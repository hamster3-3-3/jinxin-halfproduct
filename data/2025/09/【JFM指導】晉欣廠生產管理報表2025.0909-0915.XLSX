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11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晉欣\"/>
    </mc:Choice>
  </mc:AlternateContent>
  <xr:revisionPtr revIDLastSave="0" documentId="11_4258349B1170F91AE4641B162BC92AE8C804A9B2" xr6:coauthVersionLast="47" xr6:coauthVersionMax="47" xr10:uidLastSave="{00000000-0000-0000-0000-000000000000}"/>
  <bookViews>
    <workbookView xWindow="14385" yWindow="-15" windowWidth="14430" windowHeight="12630" tabRatio="924" firstSheet="11" activeTab="11" xr2:uid="{00000000-000D-0000-FFFF-FFFF00000000}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" sheetId="19" r:id="rId24"/>
    <sheet name="生產管理報表 8-2" sheetId="20" r:id="rId25"/>
    <sheet name="生產管理報表 9" sheetId="21" r:id="rId26"/>
    <sheet name="報廢－原因別分析" sheetId="29" r:id="rId27"/>
    <sheet name="超用－原因別分析" sheetId="43" r:id="rId28"/>
    <sheet name="鮮食品群番" sheetId="38" state="hidden" r:id="rId29"/>
  </sheets>
  <externalReferences>
    <externalReference r:id="rId30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6" hidden="1">'報廢－原因別分析'!$U$7:$U$118</definedName>
    <definedName name="_xlnm._FilterDatabase" localSheetId="27" hidden="1">'超用－原因別分析'!$U$7:$U$118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28">鮮食品群番!$B$2:$F$20</definedName>
  </definedNames>
  <calcPr calcId="162913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8" i="34" l="1"/>
  <c r="M49" i="34"/>
  <c r="M50" i="34"/>
  <c r="M51" i="34"/>
  <c r="M52" i="34"/>
  <c r="M53" i="34"/>
  <c r="M47" i="34"/>
  <c r="M48" i="32" l="1"/>
  <c r="M49" i="32"/>
  <c r="M50" i="32"/>
  <c r="M51" i="32"/>
  <c r="M52" i="32"/>
  <c r="M53" i="32"/>
  <c r="M54" i="32"/>
  <c r="M55" i="32"/>
  <c r="M56" i="32"/>
  <c r="M47" i="32"/>
  <c r="M78" i="33"/>
  <c r="M79" i="33"/>
  <c r="M80" i="33"/>
  <c r="M81" i="33"/>
  <c r="M82" i="33"/>
  <c r="M83" i="33"/>
  <c r="M84" i="33"/>
  <c r="M85" i="33"/>
  <c r="M86" i="33"/>
  <c r="M87" i="33"/>
  <c r="M88" i="33"/>
  <c r="M89" i="33"/>
  <c r="M90" i="33"/>
  <c r="M91" i="33"/>
  <c r="M92" i="33"/>
  <c r="M93" i="33"/>
  <c r="M94" i="33"/>
  <c r="M95" i="33"/>
  <c r="M96" i="33"/>
  <c r="M97" i="33"/>
  <c r="M98" i="33"/>
  <c r="M99" i="33"/>
  <c r="M100" i="33"/>
  <c r="M101" i="33"/>
  <c r="M77" i="33"/>
  <c r="M42" i="33"/>
  <c r="K54" i="35" l="1"/>
  <c r="J54" i="35"/>
  <c r="I54" i="35"/>
  <c r="AW52" i="37" l="1"/>
  <c r="AW51" i="37"/>
  <c r="AW50" i="37"/>
  <c r="AW49" i="37"/>
  <c r="AW48" i="37"/>
  <c r="AW61" i="37"/>
  <c r="AR52" i="37"/>
  <c r="AR51" i="37"/>
  <c r="AR50" i="37"/>
  <c r="AR49" i="37"/>
  <c r="AR48" i="37"/>
  <c r="AR58" i="37"/>
  <c r="AM52" i="37"/>
  <c r="AM51" i="37"/>
  <c r="AM50" i="37"/>
  <c r="AM49" i="37"/>
  <c r="AM48" i="37"/>
  <c r="AM59" i="37"/>
  <c r="AH52" i="37"/>
  <c r="AH51" i="37"/>
  <c r="AH50" i="37"/>
  <c r="AH49" i="37"/>
  <c r="AH48" i="37"/>
  <c r="AH47" i="37"/>
  <c r="AH60" i="37"/>
  <c r="AC61" i="37"/>
  <c r="AC57" i="37"/>
  <c r="AC53" i="37"/>
  <c r="AC52" i="37"/>
  <c r="AC51" i="37"/>
  <c r="AC50" i="37"/>
  <c r="AC49" i="37"/>
  <c r="AC48" i="37"/>
  <c r="AC60" i="37"/>
  <c r="X58" i="37"/>
  <c r="X54" i="37"/>
  <c r="X52" i="37"/>
  <c r="X49" i="37"/>
  <c r="X48" i="37"/>
  <c r="X47" i="37"/>
  <c r="X61" i="37"/>
  <c r="AW61" i="36"/>
  <c r="AW60" i="36"/>
  <c r="AW57" i="36"/>
  <c r="AW56" i="36"/>
  <c r="AW53" i="36"/>
  <c r="AW52" i="36"/>
  <c r="AW51" i="36"/>
  <c r="AW50" i="36"/>
  <c r="AW49" i="36"/>
  <c r="AW48" i="36"/>
  <c r="AW59" i="36"/>
  <c r="AR51" i="36"/>
  <c r="AR50" i="36"/>
  <c r="AR49" i="36"/>
  <c r="AR48" i="36"/>
  <c r="AR47" i="36"/>
  <c r="AR59" i="36"/>
  <c r="AM61" i="36"/>
  <c r="AM60" i="36"/>
  <c r="AM57" i="36"/>
  <c r="AM56" i="36"/>
  <c r="AM53" i="36"/>
  <c r="AM52" i="36"/>
  <c r="AM51" i="36"/>
  <c r="AM50" i="36"/>
  <c r="AM49" i="36"/>
  <c r="AM48" i="36"/>
  <c r="AM59" i="36"/>
  <c r="AH51" i="36"/>
  <c r="AH50" i="36"/>
  <c r="AH49" i="36"/>
  <c r="AH48" i="36"/>
  <c r="AH59" i="36"/>
  <c r="AC61" i="36"/>
  <c r="AC60" i="36"/>
  <c r="AC57" i="36"/>
  <c r="AC56" i="36"/>
  <c r="AC53" i="36"/>
  <c r="AC52" i="36"/>
  <c r="AC51" i="36"/>
  <c r="AC50" i="36"/>
  <c r="AC49" i="36"/>
  <c r="AC48" i="36"/>
  <c r="AC59" i="36"/>
  <c r="X51" i="36"/>
  <c r="X50" i="36"/>
  <c r="X49" i="36"/>
  <c r="X48" i="36"/>
  <c r="X59" i="36"/>
  <c r="S61" i="36"/>
  <c r="S60" i="36"/>
  <c r="S59" i="36"/>
  <c r="S58" i="36"/>
  <c r="S57" i="36"/>
  <c r="S56" i="36"/>
  <c r="S55" i="36"/>
  <c r="S54" i="36"/>
  <c r="S53" i="36"/>
  <c r="S52" i="36"/>
  <c r="S51" i="36"/>
  <c r="S50" i="36"/>
  <c r="S49" i="36"/>
  <c r="S48" i="36"/>
  <c r="S47" i="36"/>
  <c r="AW54" i="35"/>
  <c r="AW53" i="35"/>
  <c r="AW52" i="35"/>
  <c r="AW51" i="35"/>
  <c r="AW50" i="35"/>
  <c r="AW49" i="35"/>
  <c r="AW48" i="35"/>
  <c r="AW61" i="35"/>
  <c r="AR60" i="35"/>
  <c r="AR59" i="35"/>
  <c r="AR58" i="35"/>
  <c r="AR56" i="35"/>
  <c r="AR55" i="35"/>
  <c r="AR54" i="35"/>
  <c r="AR53" i="35"/>
  <c r="AR52" i="35"/>
  <c r="AR51" i="35"/>
  <c r="AR50" i="35"/>
  <c r="AR49" i="35"/>
  <c r="AR48" i="35"/>
  <c r="AR47" i="35"/>
  <c r="AR61" i="35"/>
  <c r="AM54" i="35"/>
  <c r="AM53" i="35"/>
  <c r="AM52" i="35"/>
  <c r="AM51" i="35"/>
  <c r="AM50" i="35"/>
  <c r="AM49" i="35"/>
  <c r="AM48" i="35"/>
  <c r="AM59" i="35"/>
  <c r="AH60" i="35"/>
  <c r="AH58" i="35"/>
  <c r="AH56" i="35"/>
  <c r="AH54" i="35"/>
  <c r="AH53" i="35"/>
  <c r="AH52" i="35"/>
  <c r="AH51" i="35"/>
  <c r="AH50" i="35"/>
  <c r="AH49" i="35"/>
  <c r="AH48" i="35"/>
  <c r="AH47" i="35"/>
  <c r="AH61" i="35"/>
  <c r="AC54" i="35"/>
  <c r="AC53" i="35"/>
  <c r="AC52" i="35"/>
  <c r="AC51" i="35"/>
  <c r="AC50" i="35"/>
  <c r="AC49" i="35"/>
  <c r="AC48" i="35"/>
  <c r="AC61" i="35"/>
  <c r="X60" i="35"/>
  <c r="X58" i="35"/>
  <c r="X56" i="35"/>
  <c r="X54" i="35"/>
  <c r="X53" i="35"/>
  <c r="X52" i="35"/>
  <c r="X51" i="35"/>
  <c r="X50" i="35"/>
  <c r="X49" i="35"/>
  <c r="X48" i="35"/>
  <c r="X47" i="35"/>
  <c r="X59" i="35"/>
  <c r="S54" i="35"/>
  <c r="S52" i="35"/>
  <c r="S50" i="35"/>
  <c r="S60" i="35"/>
  <c r="S61" i="35"/>
  <c r="S59" i="35"/>
  <c r="S57" i="35"/>
  <c r="S55" i="35"/>
  <c r="S53" i="35"/>
  <c r="S51" i="35"/>
  <c r="S49" i="35"/>
  <c r="S47" i="35"/>
  <c r="AW54" i="34"/>
  <c r="AW53" i="34"/>
  <c r="AW52" i="34"/>
  <c r="AW51" i="34"/>
  <c r="AW50" i="34"/>
  <c r="AW49" i="34"/>
  <c r="AW48" i="34"/>
  <c r="AW61" i="34"/>
  <c r="AR60" i="34"/>
  <c r="AR59" i="34"/>
  <c r="AR58" i="34"/>
  <c r="AR56" i="34"/>
  <c r="AR55" i="34"/>
  <c r="AR54" i="34"/>
  <c r="AR53" i="34"/>
  <c r="AR52" i="34"/>
  <c r="AR51" i="34"/>
  <c r="AR50" i="34"/>
  <c r="AR49" i="34"/>
  <c r="AR48" i="34"/>
  <c r="AR47" i="34"/>
  <c r="AR61" i="34"/>
  <c r="AM54" i="34"/>
  <c r="AM53" i="34"/>
  <c r="AM52" i="34"/>
  <c r="AM51" i="34"/>
  <c r="AM50" i="34"/>
  <c r="AM49" i="34"/>
  <c r="AM48" i="34"/>
  <c r="AM59" i="34"/>
  <c r="AH60" i="34"/>
  <c r="AH58" i="34"/>
  <c r="AH56" i="34"/>
  <c r="AH54" i="34"/>
  <c r="AH53" i="34"/>
  <c r="AH52" i="34"/>
  <c r="AH51" i="34"/>
  <c r="AH50" i="34"/>
  <c r="AH49" i="34"/>
  <c r="AH48" i="34"/>
  <c r="AH47" i="34"/>
  <c r="AH61" i="34"/>
  <c r="AC59" i="34"/>
  <c r="AC55" i="34"/>
  <c r="AC54" i="34"/>
  <c r="AC53" i="34"/>
  <c r="AC52" i="34"/>
  <c r="AC51" i="34"/>
  <c r="AC50" i="34"/>
  <c r="AC49" i="34"/>
  <c r="AC48" i="34"/>
  <c r="AC61" i="34"/>
  <c r="X60" i="34"/>
  <c r="X58" i="34"/>
  <c r="X56" i="34"/>
  <c r="X54" i="34"/>
  <c r="X53" i="34"/>
  <c r="X52" i="34"/>
  <c r="X51" i="34"/>
  <c r="X50" i="34"/>
  <c r="X49" i="34"/>
  <c r="X48" i="34"/>
  <c r="X47" i="34"/>
  <c r="X59" i="34"/>
  <c r="S61" i="34"/>
  <c r="S60" i="34"/>
  <c r="S59" i="34"/>
  <c r="S58" i="34"/>
  <c r="S57" i="34"/>
  <c r="S56" i="34"/>
  <c r="S55" i="34"/>
  <c r="S54" i="34"/>
  <c r="S53" i="34"/>
  <c r="S52" i="34"/>
  <c r="S51" i="34"/>
  <c r="S50" i="34"/>
  <c r="S49" i="34"/>
  <c r="S48" i="34"/>
  <c r="S47" i="34"/>
  <c r="AW106" i="33"/>
  <c r="AW105" i="33"/>
  <c r="AW102" i="33"/>
  <c r="AW101" i="33"/>
  <c r="AW100" i="33"/>
  <c r="AW99" i="33"/>
  <c r="AW98" i="33"/>
  <c r="AW97" i="33"/>
  <c r="AW96" i="33"/>
  <c r="AW95" i="33"/>
  <c r="AW94" i="33"/>
  <c r="AW93" i="33"/>
  <c r="AW92" i="33"/>
  <c r="AW91" i="33"/>
  <c r="AW90" i="33"/>
  <c r="AW89" i="33"/>
  <c r="AW88" i="33"/>
  <c r="AW87" i="33"/>
  <c r="AW86" i="33"/>
  <c r="AW85" i="33"/>
  <c r="AW84" i="33"/>
  <c r="AW83" i="33"/>
  <c r="AW82" i="33"/>
  <c r="AW81" i="33"/>
  <c r="AW80" i="33"/>
  <c r="AW79" i="33"/>
  <c r="AW78" i="33"/>
  <c r="AW77" i="33"/>
  <c r="AW104" i="33"/>
  <c r="AR106" i="33"/>
  <c r="AR103" i="33"/>
  <c r="AR102" i="33"/>
  <c r="AR101" i="33"/>
  <c r="AR100" i="33"/>
  <c r="AR99" i="33"/>
  <c r="AR98" i="33"/>
  <c r="AR97" i="33"/>
  <c r="AR96" i="33"/>
  <c r="AR95" i="33"/>
  <c r="AR94" i="33"/>
  <c r="AR93" i="33"/>
  <c r="AR92" i="33"/>
  <c r="AR91" i="33"/>
  <c r="AR90" i="33"/>
  <c r="AR89" i="33"/>
  <c r="AR88" i="33"/>
  <c r="AR87" i="33"/>
  <c r="AR86" i="33"/>
  <c r="AR85" i="33"/>
  <c r="AR84" i="33"/>
  <c r="AR83" i="33"/>
  <c r="AR82" i="33"/>
  <c r="AR81" i="33"/>
  <c r="AR80" i="33"/>
  <c r="AR79" i="33"/>
  <c r="AR78" i="33"/>
  <c r="AR105" i="33"/>
  <c r="AM103" i="33"/>
  <c r="AM101" i="33"/>
  <c r="AM100" i="33"/>
  <c r="AM99" i="33"/>
  <c r="AM98" i="33"/>
  <c r="AM97" i="33"/>
  <c r="AM96" i="33"/>
  <c r="AM95" i="33"/>
  <c r="AM94" i="33"/>
  <c r="AM93" i="33"/>
  <c r="AM92" i="33"/>
  <c r="AM91" i="33"/>
  <c r="AM90" i="33"/>
  <c r="AM89" i="33"/>
  <c r="AM88" i="33"/>
  <c r="AM87" i="33"/>
  <c r="AM86" i="33"/>
  <c r="AM85" i="33"/>
  <c r="AM84" i="33"/>
  <c r="AM83" i="33"/>
  <c r="AM82" i="33"/>
  <c r="AM81" i="33"/>
  <c r="AM80" i="33"/>
  <c r="AM79" i="33"/>
  <c r="AM78" i="33"/>
  <c r="AM104" i="33"/>
  <c r="AH101" i="33"/>
  <c r="AH100" i="33"/>
  <c r="AH99" i="33"/>
  <c r="AH98" i="33"/>
  <c r="AH97" i="33"/>
  <c r="AH96" i="33"/>
  <c r="AH95" i="33"/>
  <c r="AH94" i="33"/>
  <c r="AH93" i="33"/>
  <c r="AH92" i="33"/>
  <c r="AH91" i="33"/>
  <c r="AH90" i="33"/>
  <c r="AH89" i="33"/>
  <c r="AH88" i="33"/>
  <c r="AH87" i="33"/>
  <c r="AH86" i="33"/>
  <c r="AH85" i="33"/>
  <c r="AH84" i="33"/>
  <c r="AH83" i="33"/>
  <c r="AH82" i="33"/>
  <c r="AH81" i="33"/>
  <c r="AH80" i="33"/>
  <c r="AH79" i="33"/>
  <c r="AH78" i="33"/>
  <c r="AH105" i="33"/>
  <c r="AC106" i="33"/>
  <c r="AC105" i="33"/>
  <c r="AC102" i="33"/>
  <c r="AC101" i="33"/>
  <c r="AC100" i="33"/>
  <c r="AC99" i="33"/>
  <c r="AC98" i="33"/>
  <c r="AC97" i="33"/>
  <c r="AC96" i="33"/>
  <c r="AC95" i="33"/>
  <c r="AC94" i="33"/>
  <c r="AC93" i="33"/>
  <c r="AC92" i="33"/>
  <c r="AC91" i="33"/>
  <c r="AC90" i="33"/>
  <c r="AC89" i="33"/>
  <c r="AC88" i="33"/>
  <c r="AC87" i="33"/>
  <c r="AC86" i="33"/>
  <c r="AC85" i="33"/>
  <c r="AC84" i="33"/>
  <c r="AC83" i="33"/>
  <c r="AC82" i="33"/>
  <c r="AC81" i="33"/>
  <c r="AC80" i="33"/>
  <c r="AC79" i="33"/>
  <c r="AC78" i="33"/>
  <c r="AC77" i="33"/>
  <c r="AC104" i="33"/>
  <c r="X106" i="33"/>
  <c r="X103" i="33"/>
  <c r="X102" i="33"/>
  <c r="X101" i="33"/>
  <c r="X100" i="33"/>
  <c r="X99" i="33"/>
  <c r="X98" i="33"/>
  <c r="X97" i="33"/>
  <c r="X96" i="33"/>
  <c r="X95" i="33"/>
  <c r="X94" i="33"/>
  <c r="X93" i="33"/>
  <c r="X92" i="33"/>
  <c r="X91" i="33"/>
  <c r="X90" i="33"/>
  <c r="X89" i="33"/>
  <c r="X88" i="33"/>
  <c r="X87" i="33"/>
  <c r="X86" i="33"/>
  <c r="X85" i="33"/>
  <c r="X84" i="33"/>
  <c r="X83" i="33"/>
  <c r="X82" i="33"/>
  <c r="X81" i="33"/>
  <c r="X80" i="33"/>
  <c r="X79" i="33"/>
  <c r="X78" i="33"/>
  <c r="X105" i="33"/>
  <c r="S104" i="33"/>
  <c r="S105" i="33"/>
  <c r="S103" i="33"/>
  <c r="S101" i="33"/>
  <c r="S99" i="33"/>
  <c r="S97" i="33"/>
  <c r="S95" i="33"/>
  <c r="S93" i="33"/>
  <c r="S91" i="33"/>
  <c r="S89" i="33"/>
  <c r="S87" i="33"/>
  <c r="S85" i="33"/>
  <c r="S83" i="33"/>
  <c r="S81" i="33"/>
  <c r="S79" i="33"/>
  <c r="S77" i="33"/>
  <c r="AW61" i="31"/>
  <c r="AW60" i="31"/>
  <c r="AW57" i="31"/>
  <c r="AW56" i="31"/>
  <c r="AW53" i="31"/>
  <c r="AW52" i="31"/>
  <c r="AW49" i="31"/>
  <c r="AW48" i="31"/>
  <c r="AW59" i="31"/>
  <c r="AR59" i="31"/>
  <c r="AM61" i="31"/>
  <c r="AM60" i="31"/>
  <c r="AM57" i="31"/>
  <c r="AM56" i="31"/>
  <c r="AM53" i="31"/>
  <c r="AM52" i="31"/>
  <c r="AM49" i="31"/>
  <c r="AM48" i="31"/>
  <c r="AM59" i="31"/>
  <c r="AH58" i="31"/>
  <c r="AC61" i="31"/>
  <c r="AC60" i="31"/>
  <c r="AC57" i="31"/>
  <c r="AC56" i="31"/>
  <c r="AC53" i="31"/>
  <c r="AC52" i="31"/>
  <c r="AC49" i="31"/>
  <c r="AC48" i="31"/>
  <c r="AC59" i="31"/>
  <c r="X51" i="31"/>
  <c r="AW61" i="32"/>
  <c r="AW60" i="32"/>
  <c r="AW57" i="32"/>
  <c r="AW56" i="32"/>
  <c r="AW55" i="32"/>
  <c r="AW54" i="32"/>
  <c r="AW53" i="32"/>
  <c r="AW52" i="32"/>
  <c r="AW51" i="32"/>
  <c r="AW50" i="32"/>
  <c r="AW49" i="32"/>
  <c r="AW48" i="32"/>
  <c r="AW47" i="32"/>
  <c r="AW59" i="32"/>
  <c r="AR61" i="32"/>
  <c r="AR58" i="32"/>
  <c r="AR57" i="32"/>
  <c r="AR56" i="32"/>
  <c r="AR55" i="32"/>
  <c r="AR54" i="32"/>
  <c r="AR53" i="32"/>
  <c r="AR52" i="32"/>
  <c r="AR51" i="32"/>
  <c r="AR50" i="32"/>
  <c r="AR49" i="32"/>
  <c r="AR48" i="32"/>
  <c r="AR60" i="32"/>
  <c r="AM58" i="32"/>
  <c r="AM56" i="32"/>
  <c r="AM55" i="32"/>
  <c r="AM54" i="32"/>
  <c r="AM53" i="32"/>
  <c r="AM52" i="32"/>
  <c r="AM51" i="32"/>
  <c r="AM50" i="32"/>
  <c r="AM49" i="32"/>
  <c r="AM48" i="32"/>
  <c r="AM61" i="32"/>
  <c r="AH56" i="32"/>
  <c r="AH55" i="32"/>
  <c r="AH54" i="32"/>
  <c r="AH53" i="32"/>
  <c r="AH52" i="32"/>
  <c r="AH51" i="32"/>
  <c r="AH50" i="32"/>
  <c r="AH49" i="32"/>
  <c r="AH48" i="32"/>
  <c r="AH59" i="32"/>
  <c r="AC61" i="32"/>
  <c r="AC60" i="32"/>
  <c r="AC57" i="32"/>
  <c r="AC56" i="32"/>
  <c r="AC55" i="32"/>
  <c r="AC54" i="32"/>
  <c r="AC53" i="32"/>
  <c r="AC52" i="32"/>
  <c r="AC51" i="32"/>
  <c r="AC50" i="32"/>
  <c r="AC49" i="32"/>
  <c r="AC48" i="32"/>
  <c r="AC47" i="32"/>
  <c r="AC59" i="32"/>
  <c r="X61" i="32"/>
  <c r="X58" i="32"/>
  <c r="X57" i="32"/>
  <c r="X56" i="32"/>
  <c r="X55" i="32"/>
  <c r="X54" i="32"/>
  <c r="X53" i="32"/>
  <c r="X52" i="32"/>
  <c r="X51" i="32"/>
  <c r="X50" i="32"/>
  <c r="X49" i="32"/>
  <c r="X48" i="32"/>
  <c r="X60" i="32"/>
  <c r="S56" i="32"/>
  <c r="S54" i="32"/>
  <c r="S52" i="32"/>
  <c r="S50" i="32"/>
  <c r="S58" i="32"/>
  <c r="S61" i="32"/>
  <c r="S59" i="32"/>
  <c r="S57" i="32"/>
  <c r="S55" i="32"/>
  <c r="S53" i="32"/>
  <c r="S51" i="32"/>
  <c r="S49" i="32"/>
  <c r="S47" i="32"/>
  <c r="AW61" i="30"/>
  <c r="AW59" i="30"/>
  <c r="AW57" i="30"/>
  <c r="AW55" i="30"/>
  <c r="AW53" i="30"/>
  <c r="AW52" i="30"/>
  <c r="AW51" i="30"/>
  <c r="AW50" i="30"/>
  <c r="AW49" i="30"/>
  <c r="AW48" i="30"/>
  <c r="AW47" i="30"/>
  <c r="AW60" i="30"/>
  <c r="AR61" i="30"/>
  <c r="AR59" i="30"/>
  <c r="AR57" i="30"/>
  <c r="AR55" i="30"/>
  <c r="AR53" i="30"/>
  <c r="AR52" i="30"/>
  <c r="AR51" i="30"/>
  <c r="AR50" i="30"/>
  <c r="AR49" i="30"/>
  <c r="AR48" i="30"/>
  <c r="AR47" i="30"/>
  <c r="AR60" i="30"/>
  <c r="AM61" i="30"/>
  <c r="AM59" i="30"/>
  <c r="AM57" i="30"/>
  <c r="AM55" i="30"/>
  <c r="AM53" i="30"/>
  <c r="AM52" i="30"/>
  <c r="AM51" i="30"/>
  <c r="AM50" i="30"/>
  <c r="AM49" i="30"/>
  <c r="AM48" i="30"/>
  <c r="AM47" i="30"/>
  <c r="AM60" i="30"/>
  <c r="AH61" i="30"/>
  <c r="AH59" i="30"/>
  <c r="AH57" i="30"/>
  <c r="AH55" i="30"/>
  <c r="AH53" i="30"/>
  <c r="AH52" i="30"/>
  <c r="AH51" i="30"/>
  <c r="AH50" i="30"/>
  <c r="AH49" i="30"/>
  <c r="AH48" i="30"/>
  <c r="AH47" i="30"/>
  <c r="AH60" i="30"/>
  <c r="AC61" i="30"/>
  <c r="AC59" i="30"/>
  <c r="AC57" i="30"/>
  <c r="AC55" i="30"/>
  <c r="AC53" i="30"/>
  <c r="AC52" i="30"/>
  <c r="AC51" i="30"/>
  <c r="AC50" i="30"/>
  <c r="AC49" i="30"/>
  <c r="AC48" i="30"/>
  <c r="AC47" i="30"/>
  <c r="AC60" i="30"/>
  <c r="X61" i="30"/>
  <c r="X59" i="30"/>
  <c r="X57" i="30"/>
  <c r="X55" i="30"/>
  <c r="X53" i="30"/>
  <c r="X52" i="30"/>
  <c r="X51" i="30"/>
  <c r="X50" i="30"/>
  <c r="X49" i="30"/>
  <c r="X48" i="30"/>
  <c r="X47" i="30"/>
  <c r="X60" i="30"/>
  <c r="S61" i="30"/>
  <c r="S59" i="30"/>
  <c r="S57" i="30"/>
  <c r="S55" i="30"/>
  <c r="S53" i="30"/>
  <c r="S51" i="30"/>
  <c r="S49" i="30"/>
  <c r="S47" i="30"/>
  <c r="S60" i="30"/>
  <c r="S58" i="30"/>
  <c r="S56" i="30"/>
  <c r="S54" i="30"/>
  <c r="S52" i="30"/>
  <c r="S50" i="30"/>
  <c r="S48" i="30"/>
  <c r="AW98" i="8"/>
  <c r="AW97" i="8"/>
  <c r="AW96" i="8"/>
  <c r="AW95" i="8"/>
  <c r="AW94" i="8"/>
  <c r="AW93" i="8"/>
  <c r="AW92" i="8"/>
  <c r="AW91" i="8"/>
  <c r="AW90" i="8"/>
  <c r="AW89" i="8"/>
  <c r="AW88" i="8"/>
  <c r="AW87" i="8"/>
  <c r="AW86" i="8"/>
  <c r="AW85" i="8"/>
  <c r="AW84" i="8"/>
  <c r="AW83" i="8"/>
  <c r="AW82" i="8"/>
  <c r="AW81" i="8"/>
  <c r="AW80" i="8"/>
  <c r="AW79" i="8"/>
  <c r="AW78" i="8"/>
  <c r="AW106" i="8"/>
  <c r="AR98" i="8"/>
  <c r="AR97" i="8"/>
  <c r="AR96" i="8"/>
  <c r="AR95" i="8"/>
  <c r="AR94" i="8"/>
  <c r="AR93" i="8"/>
  <c r="AR92" i="8"/>
  <c r="AR91" i="8"/>
  <c r="AR90" i="8"/>
  <c r="AR89" i="8"/>
  <c r="AR88" i="8"/>
  <c r="AR87" i="8"/>
  <c r="AR86" i="8"/>
  <c r="AR85" i="8"/>
  <c r="AR84" i="8"/>
  <c r="AR83" i="8"/>
  <c r="AR82" i="8"/>
  <c r="AR81" i="8"/>
  <c r="AR80" i="8"/>
  <c r="AR79" i="8"/>
  <c r="AR78" i="8"/>
  <c r="AR106" i="8"/>
  <c r="AM98" i="8"/>
  <c r="AM97" i="8"/>
  <c r="AM96" i="8"/>
  <c r="AM95" i="8"/>
  <c r="AM94" i="8"/>
  <c r="AM93" i="8"/>
  <c r="AM92" i="8"/>
  <c r="AM91" i="8"/>
  <c r="AM90" i="8"/>
  <c r="AM89" i="8"/>
  <c r="AM88" i="8"/>
  <c r="AM87" i="8"/>
  <c r="AM86" i="8"/>
  <c r="AM85" i="8"/>
  <c r="AM84" i="8"/>
  <c r="AM83" i="8"/>
  <c r="AM82" i="8"/>
  <c r="AM81" i="8"/>
  <c r="AM80" i="8"/>
  <c r="AM79" i="8"/>
  <c r="AM78" i="8"/>
  <c r="AM106" i="8"/>
  <c r="AH87" i="8"/>
  <c r="AH86" i="8"/>
  <c r="AH85" i="8"/>
  <c r="AH84" i="8"/>
  <c r="AH83" i="8"/>
  <c r="AH82" i="8"/>
  <c r="AH81" i="8"/>
  <c r="AH80" i="8"/>
  <c r="AH79" i="8"/>
  <c r="AH78" i="8"/>
  <c r="AC98" i="8"/>
  <c r="AC97" i="8"/>
  <c r="AC96" i="8"/>
  <c r="AC95" i="8"/>
  <c r="AC94" i="8"/>
  <c r="AC93" i="8"/>
  <c r="AC92" i="8"/>
  <c r="AC91" i="8"/>
  <c r="AC90" i="8"/>
  <c r="AC89" i="8"/>
  <c r="AC88" i="8"/>
  <c r="AC87" i="8"/>
  <c r="AC86" i="8"/>
  <c r="AC85" i="8"/>
  <c r="AC84" i="8"/>
  <c r="AC83" i="8"/>
  <c r="AC82" i="8"/>
  <c r="AC81" i="8"/>
  <c r="AC80" i="8"/>
  <c r="AC79" i="8"/>
  <c r="AC78" i="8"/>
  <c r="AC102" i="8"/>
  <c r="K98" i="8"/>
  <c r="I98" i="8"/>
  <c r="X97" i="8"/>
  <c r="X96" i="8"/>
  <c r="I96" i="8"/>
  <c r="X95" i="8"/>
  <c r="X94" i="8"/>
  <c r="X93" i="8"/>
  <c r="X92" i="8"/>
  <c r="X91" i="8"/>
  <c r="X90" i="8"/>
  <c r="X89" i="8"/>
  <c r="X88" i="8"/>
  <c r="X87" i="8"/>
  <c r="X86" i="8"/>
  <c r="X85" i="8"/>
  <c r="X84" i="8"/>
  <c r="X83" i="8"/>
  <c r="X82" i="8"/>
  <c r="X81" i="8"/>
  <c r="X80" i="8"/>
  <c r="X79" i="8"/>
  <c r="X78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S77" i="8"/>
  <c r="J98" i="8"/>
  <c r="K97" i="8"/>
  <c r="J97" i="8"/>
  <c r="I97" i="8"/>
  <c r="J96" i="8"/>
  <c r="X55" i="37" l="1"/>
  <c r="X59" i="37"/>
  <c r="AC54" i="37"/>
  <c r="AC58" i="37"/>
  <c r="AH53" i="37"/>
  <c r="AH57" i="37"/>
  <c r="AH61" i="37"/>
  <c r="AM47" i="37"/>
  <c r="AM56" i="37"/>
  <c r="AM60" i="37"/>
  <c r="AR55" i="37"/>
  <c r="AR59" i="37"/>
  <c r="AW54" i="37"/>
  <c r="AW58" i="37"/>
  <c r="X50" i="37"/>
  <c r="X51" i="37"/>
  <c r="X56" i="37"/>
  <c r="X60" i="37"/>
  <c r="AC55" i="37"/>
  <c r="AC59" i="37"/>
  <c r="AH54" i="37"/>
  <c r="AH58" i="37"/>
  <c r="AM53" i="37"/>
  <c r="AM57" i="37"/>
  <c r="AM61" i="37"/>
  <c r="AR47" i="37"/>
  <c r="AR56" i="37"/>
  <c r="AR60" i="37"/>
  <c r="AW55" i="37"/>
  <c r="AW59" i="37"/>
  <c r="X53" i="37"/>
  <c r="X57" i="37"/>
  <c r="AC47" i="37"/>
  <c r="AC56" i="37"/>
  <c r="AH55" i="37"/>
  <c r="AH59" i="37"/>
  <c r="AM54" i="37"/>
  <c r="AM58" i="37"/>
  <c r="AR53" i="37"/>
  <c r="AR57" i="37"/>
  <c r="AR61" i="37"/>
  <c r="AW47" i="37"/>
  <c r="AW56" i="37"/>
  <c r="AW60" i="37"/>
  <c r="AH56" i="37"/>
  <c r="AM55" i="37"/>
  <c r="AR54" i="37"/>
  <c r="AW53" i="37"/>
  <c r="AW57" i="37"/>
  <c r="X52" i="36"/>
  <c r="X56" i="36"/>
  <c r="X60" i="36"/>
  <c r="AC54" i="36"/>
  <c r="AC58" i="36"/>
  <c r="AH52" i="36"/>
  <c r="AH56" i="36"/>
  <c r="AH60" i="36"/>
  <c r="AM54" i="36"/>
  <c r="AM58" i="36"/>
  <c r="AR52" i="36"/>
  <c r="AR56" i="36"/>
  <c r="AR60" i="36"/>
  <c r="AW54" i="36"/>
  <c r="AW58" i="36"/>
  <c r="X53" i="36"/>
  <c r="X57" i="36"/>
  <c r="X61" i="36"/>
  <c r="AC47" i="36"/>
  <c r="AC55" i="36"/>
  <c r="AH53" i="36"/>
  <c r="AH57" i="36"/>
  <c r="AH61" i="36"/>
  <c r="AM47" i="36"/>
  <c r="AM55" i="36"/>
  <c r="AR53" i="36"/>
  <c r="AR57" i="36"/>
  <c r="AR61" i="36"/>
  <c r="AW47" i="36"/>
  <c r="AW55" i="36"/>
  <c r="X54" i="36"/>
  <c r="X58" i="36"/>
  <c r="AH54" i="36"/>
  <c r="AH58" i="36"/>
  <c r="AR54" i="36"/>
  <c r="AR58" i="36"/>
  <c r="X47" i="36"/>
  <c r="X55" i="36"/>
  <c r="AH47" i="36"/>
  <c r="AH55" i="36"/>
  <c r="AR55" i="36"/>
  <c r="X57" i="35"/>
  <c r="X61" i="35"/>
  <c r="AC47" i="35"/>
  <c r="AC58" i="35"/>
  <c r="AH55" i="35"/>
  <c r="AH59" i="35"/>
  <c r="AM56" i="35"/>
  <c r="AM60" i="35"/>
  <c r="AR57" i="35"/>
  <c r="AW47" i="35"/>
  <c r="AW58" i="35"/>
  <c r="AC55" i="35"/>
  <c r="AC59" i="35"/>
  <c r="AM57" i="35"/>
  <c r="AM61" i="35"/>
  <c r="AW55" i="35"/>
  <c r="AW59" i="35"/>
  <c r="X55" i="35"/>
  <c r="AC56" i="35"/>
  <c r="AC60" i="35"/>
  <c r="AH57" i="35"/>
  <c r="AM47" i="35"/>
  <c r="AM58" i="35"/>
  <c r="AW56" i="35"/>
  <c r="AW60" i="35"/>
  <c r="AC57" i="35"/>
  <c r="AM55" i="35"/>
  <c r="AW57" i="35"/>
  <c r="S58" i="35"/>
  <c r="S48" i="35"/>
  <c r="S56" i="35"/>
  <c r="AC57" i="34"/>
  <c r="X57" i="34"/>
  <c r="X61" i="34"/>
  <c r="AC47" i="34"/>
  <c r="AC58" i="34"/>
  <c r="AH55" i="34"/>
  <c r="AH59" i="34"/>
  <c r="AM56" i="34"/>
  <c r="AM60" i="34"/>
  <c r="AR57" i="34"/>
  <c r="AW47" i="34"/>
  <c r="AW58" i="34"/>
  <c r="AM61" i="34"/>
  <c r="AW55" i="34"/>
  <c r="AW59" i="34"/>
  <c r="AM57" i="34"/>
  <c r="X55" i="34"/>
  <c r="AC56" i="34"/>
  <c r="AC60" i="34"/>
  <c r="AH57" i="34"/>
  <c r="AM47" i="34"/>
  <c r="AM58" i="34"/>
  <c r="AW56" i="34"/>
  <c r="AW60" i="34"/>
  <c r="AM55" i="34"/>
  <c r="AW57" i="34"/>
  <c r="X104" i="33"/>
  <c r="AC103" i="33"/>
  <c r="AH102" i="33"/>
  <c r="AH106" i="33"/>
  <c r="AM77" i="33"/>
  <c r="AM105" i="33"/>
  <c r="AR104" i="33"/>
  <c r="AW103" i="33"/>
  <c r="AH104" i="33"/>
  <c r="X77" i="33"/>
  <c r="AH103" i="33"/>
  <c r="AM102" i="33"/>
  <c r="AM106" i="33"/>
  <c r="AR77" i="33"/>
  <c r="AH77" i="33"/>
  <c r="S78" i="33"/>
  <c r="S82" i="33"/>
  <c r="S86" i="33"/>
  <c r="S90" i="33"/>
  <c r="S94" i="33"/>
  <c r="S98" i="33"/>
  <c r="S102" i="33"/>
  <c r="S106" i="33"/>
  <c r="S80" i="33"/>
  <c r="S84" i="33"/>
  <c r="S88" i="33"/>
  <c r="S92" i="33"/>
  <c r="S96" i="33"/>
  <c r="S100" i="33"/>
  <c r="X58" i="31"/>
  <c r="AH50" i="31"/>
  <c r="X55" i="31"/>
  <c r="AH47" i="31"/>
  <c r="AH55" i="31"/>
  <c r="AR51" i="31"/>
  <c r="X48" i="31"/>
  <c r="X52" i="31"/>
  <c r="X56" i="31"/>
  <c r="X60" i="31"/>
  <c r="AC50" i="31"/>
  <c r="AC54" i="31"/>
  <c r="AC58" i="31"/>
  <c r="AH48" i="31"/>
  <c r="AH52" i="31"/>
  <c r="AH56" i="31"/>
  <c r="AH60" i="31"/>
  <c r="AM50" i="31"/>
  <c r="AM54" i="31"/>
  <c r="AM58" i="31"/>
  <c r="AR48" i="31"/>
  <c r="AR52" i="31"/>
  <c r="AR56" i="31"/>
  <c r="AR60" i="31"/>
  <c r="AW50" i="31"/>
  <c r="AW54" i="31"/>
  <c r="AW58" i="31"/>
  <c r="X50" i="31"/>
  <c r="X47" i="31"/>
  <c r="X59" i="31"/>
  <c r="AH51" i="31"/>
  <c r="AH59" i="31"/>
  <c r="AR47" i="31"/>
  <c r="AR55" i="31"/>
  <c r="X49" i="31"/>
  <c r="X53" i="31"/>
  <c r="X57" i="31"/>
  <c r="X61" i="31"/>
  <c r="AC47" i="31"/>
  <c r="AC51" i="31"/>
  <c r="AC55" i="31"/>
  <c r="AH49" i="31"/>
  <c r="AH53" i="31"/>
  <c r="AH57" i="31"/>
  <c r="AH61" i="31"/>
  <c r="AM47" i="31"/>
  <c r="AM51" i="31"/>
  <c r="AM55" i="31"/>
  <c r="AR49" i="31"/>
  <c r="AR53" i="31"/>
  <c r="AR57" i="31"/>
  <c r="AR61" i="31"/>
  <c r="AW47" i="31"/>
  <c r="AW51" i="31"/>
  <c r="AW55" i="31"/>
  <c r="X54" i="31"/>
  <c r="AH54" i="31"/>
  <c r="AR50" i="31"/>
  <c r="AR54" i="31"/>
  <c r="AR58" i="31"/>
  <c r="AH47" i="32"/>
  <c r="AH60" i="32"/>
  <c r="X59" i="32"/>
  <c r="AC58" i="32"/>
  <c r="AH57" i="32"/>
  <c r="AH61" i="32"/>
  <c r="AM47" i="32"/>
  <c r="AM60" i="32"/>
  <c r="AR59" i="32"/>
  <c r="AW58" i="32"/>
  <c r="AM59" i="32"/>
  <c r="X47" i="32"/>
  <c r="AH58" i="32"/>
  <c r="AM57" i="32"/>
  <c r="AR47" i="32"/>
  <c r="S48" i="32"/>
  <c r="S60" i="32"/>
  <c r="AW54" i="30"/>
  <c r="AW58" i="30"/>
  <c r="AW56" i="30"/>
  <c r="X54" i="30"/>
  <c r="X58" i="30"/>
  <c r="AC54" i="30"/>
  <c r="AC58" i="30"/>
  <c r="AH54" i="30"/>
  <c r="AH58" i="30"/>
  <c r="AM54" i="30"/>
  <c r="AM58" i="30"/>
  <c r="AR54" i="30"/>
  <c r="AR58" i="30"/>
  <c r="X56" i="30"/>
  <c r="AC56" i="30"/>
  <c r="AH56" i="30"/>
  <c r="AM56" i="30"/>
  <c r="AR56" i="30"/>
  <c r="X104" i="8"/>
  <c r="X100" i="8"/>
  <c r="X103" i="8"/>
  <c r="X99" i="8"/>
  <c r="X105" i="8"/>
  <c r="AH106" i="8"/>
  <c r="AH102" i="8"/>
  <c r="AH105" i="8"/>
  <c r="AH101" i="8"/>
  <c r="AH104" i="8"/>
  <c r="AH100" i="8"/>
  <c r="AH103" i="8"/>
  <c r="AH99" i="8"/>
  <c r="AH92" i="8"/>
  <c r="K96" i="8"/>
  <c r="X77" i="8"/>
  <c r="X98" i="8"/>
  <c r="X106" i="8"/>
  <c r="AC77" i="8"/>
  <c r="AC106" i="8"/>
  <c r="AH77" i="8"/>
  <c r="AH91" i="8"/>
  <c r="AH95" i="8"/>
  <c r="AC101" i="8"/>
  <c r="X101" i="8"/>
  <c r="AH90" i="8"/>
  <c r="AH94" i="8"/>
  <c r="AH98" i="8"/>
  <c r="X102" i="8"/>
  <c r="AH89" i="8"/>
  <c r="AH93" i="8"/>
  <c r="AH97" i="8"/>
  <c r="AC104" i="8"/>
  <c r="AC100" i="8"/>
  <c r="AC103" i="8"/>
  <c r="AC99" i="8"/>
  <c r="AC105" i="8"/>
  <c r="AH88" i="8"/>
  <c r="AH96" i="8"/>
  <c r="AM99" i="8"/>
  <c r="AM103" i="8"/>
  <c r="AR99" i="8"/>
  <c r="AR103" i="8"/>
  <c r="AW99" i="8"/>
  <c r="AW103" i="8"/>
  <c r="AM100" i="8"/>
  <c r="AM104" i="8"/>
  <c r="AR100" i="8"/>
  <c r="AR104" i="8"/>
  <c r="AW100" i="8"/>
  <c r="AW104" i="8"/>
  <c r="AM101" i="8"/>
  <c r="AM105" i="8"/>
  <c r="AR101" i="8"/>
  <c r="AR105" i="8"/>
  <c r="AW101" i="8"/>
  <c r="AW105" i="8"/>
  <c r="AM77" i="8"/>
  <c r="AM102" i="8"/>
  <c r="AR77" i="8"/>
  <c r="AR102" i="8"/>
  <c r="AW77" i="8"/>
  <c r="AW102" i="8"/>
  <c r="M80" i="41"/>
  <c r="K80" i="41"/>
  <c r="I80" i="41"/>
  <c r="G80" i="41"/>
  <c r="M75" i="41"/>
  <c r="K75" i="41"/>
  <c r="I75" i="41"/>
  <c r="G75" i="41"/>
  <c r="M79" i="41"/>
  <c r="K79" i="41"/>
  <c r="I79" i="41"/>
  <c r="G79" i="41"/>
  <c r="M74" i="41"/>
  <c r="K74" i="41"/>
  <c r="I74" i="41"/>
  <c r="G74" i="41"/>
  <c r="C62" i="41"/>
  <c r="C61" i="41"/>
  <c r="C75" i="41"/>
  <c r="C74" i="41"/>
  <c r="R52" i="37" l="1"/>
  <c r="Q52" i="37"/>
  <c r="P52" i="37"/>
  <c r="J101" i="33"/>
  <c r="K101" i="33"/>
  <c r="I101" i="33"/>
  <c r="R47" i="31"/>
  <c r="Q47" i="31"/>
  <c r="S52" i="37" l="1"/>
  <c r="S50" i="37"/>
  <c r="S54" i="37"/>
  <c r="S48" i="37"/>
  <c r="S51" i="37"/>
  <c r="S49" i="37"/>
  <c r="S59" i="37"/>
  <c r="S60" i="37"/>
  <c r="S58" i="37"/>
  <c r="S56" i="37"/>
  <c r="S53" i="37"/>
  <c r="S57" i="37"/>
  <c r="S61" i="37"/>
  <c r="S55" i="37"/>
  <c r="S47" i="37"/>
  <c r="S60" i="31"/>
  <c r="S48" i="31"/>
  <c r="S59" i="31"/>
  <c r="S47" i="31"/>
  <c r="S58" i="31"/>
  <c r="S57" i="31"/>
  <c r="S56" i="31"/>
  <c r="S49" i="31"/>
  <c r="S55" i="31"/>
  <c r="S54" i="31"/>
  <c r="S61" i="31"/>
  <c r="S53" i="31"/>
  <c r="S50" i="31"/>
  <c r="S52" i="31"/>
  <c r="S51" i="31"/>
  <c r="M156" i="29"/>
  <c r="K156" i="29"/>
  <c r="I156" i="29"/>
  <c r="M155" i="29"/>
  <c r="K155" i="29"/>
  <c r="I155" i="29"/>
  <c r="M154" i="29"/>
  <c r="K154" i="29"/>
  <c r="I154" i="29"/>
  <c r="M153" i="29"/>
  <c r="K153" i="29"/>
  <c r="I153" i="29"/>
  <c r="M152" i="29"/>
  <c r="K152" i="29"/>
  <c r="I152" i="29"/>
  <c r="M151" i="29"/>
  <c r="K151" i="29"/>
  <c r="I151" i="29"/>
  <c r="M150" i="29"/>
  <c r="K150" i="29"/>
  <c r="I150" i="29"/>
  <c r="M149" i="29"/>
  <c r="K149" i="29"/>
  <c r="I149" i="29"/>
  <c r="M148" i="29"/>
  <c r="K148" i="29"/>
  <c r="I148" i="29"/>
  <c r="M147" i="29"/>
  <c r="K147" i="29"/>
  <c r="I147" i="29"/>
  <c r="M146" i="29"/>
  <c r="K146" i="29"/>
  <c r="I146" i="29"/>
  <c r="M145" i="29"/>
  <c r="K145" i="29"/>
  <c r="I145" i="29"/>
  <c r="M144" i="29"/>
  <c r="K144" i="29"/>
  <c r="I144" i="29"/>
  <c r="M143" i="29"/>
  <c r="K143" i="29"/>
  <c r="I143" i="29"/>
  <c r="M142" i="29"/>
  <c r="K142" i="29"/>
  <c r="I142" i="29"/>
  <c r="M141" i="29"/>
  <c r="K141" i="29"/>
  <c r="I141" i="29"/>
  <c r="M140" i="29"/>
  <c r="K140" i="29"/>
  <c r="I140" i="29"/>
  <c r="M139" i="29"/>
  <c r="K139" i="29"/>
  <c r="I139" i="29"/>
  <c r="M138" i="29"/>
  <c r="K138" i="29"/>
  <c r="I138" i="29"/>
  <c r="M137" i="29"/>
  <c r="K137" i="29"/>
  <c r="I137" i="29"/>
  <c r="M136" i="29"/>
  <c r="K136" i="29"/>
  <c r="I136" i="29"/>
  <c r="M135" i="29"/>
  <c r="K135" i="29"/>
  <c r="I135" i="29"/>
  <c r="M134" i="29"/>
  <c r="K134" i="29"/>
  <c r="I134" i="29"/>
  <c r="M133" i="29"/>
  <c r="K133" i="29"/>
  <c r="I133" i="29"/>
  <c r="M132" i="29"/>
  <c r="K132" i="29"/>
  <c r="I132" i="29"/>
  <c r="M131" i="29"/>
  <c r="K131" i="29"/>
  <c r="I131" i="29"/>
  <c r="M130" i="29"/>
  <c r="K130" i="29"/>
  <c r="I130" i="29"/>
  <c r="M129" i="29"/>
  <c r="K129" i="29"/>
  <c r="I129" i="29"/>
  <c r="M128" i="29"/>
  <c r="K128" i="29"/>
  <c r="I128" i="29"/>
  <c r="M127" i="29"/>
  <c r="K127" i="29"/>
  <c r="I127" i="29"/>
  <c r="M126" i="29"/>
  <c r="K126" i="29"/>
  <c r="I126" i="29"/>
  <c r="M125" i="29"/>
  <c r="K125" i="29"/>
  <c r="I125" i="29"/>
  <c r="M124" i="29"/>
  <c r="K124" i="29"/>
  <c r="I124" i="29"/>
  <c r="M123" i="29"/>
  <c r="K123" i="29"/>
  <c r="I123" i="29"/>
  <c r="M122" i="29"/>
  <c r="K122" i="29"/>
  <c r="I122" i="29"/>
  <c r="M121" i="29"/>
  <c r="K121" i="29"/>
  <c r="I121" i="29"/>
  <c r="M120" i="29"/>
  <c r="K120" i="29"/>
  <c r="I120" i="29"/>
  <c r="M119" i="29"/>
  <c r="K119" i="29"/>
  <c r="I119" i="29"/>
  <c r="M118" i="29"/>
  <c r="K118" i="29"/>
  <c r="I118" i="29"/>
  <c r="M117" i="29"/>
  <c r="K117" i="29"/>
  <c r="I117" i="29"/>
  <c r="M116" i="29"/>
  <c r="K116" i="29"/>
  <c r="I116" i="29"/>
  <c r="M115" i="29"/>
  <c r="K115" i="29"/>
  <c r="I115" i="29"/>
  <c r="M114" i="29"/>
  <c r="K114" i="29"/>
  <c r="I114" i="29"/>
  <c r="M113" i="29"/>
  <c r="K113" i="29"/>
  <c r="I113" i="29"/>
  <c r="M112" i="29"/>
  <c r="K112" i="29"/>
  <c r="I112" i="29"/>
  <c r="M111" i="29"/>
  <c r="K111" i="29"/>
  <c r="I111" i="29"/>
  <c r="M110" i="29"/>
  <c r="K110" i="29"/>
  <c r="I110" i="29"/>
  <c r="M109" i="29"/>
  <c r="K109" i="29"/>
  <c r="I109" i="29"/>
  <c r="M108" i="29"/>
  <c r="K108" i="29"/>
  <c r="I108" i="29"/>
  <c r="M107" i="29"/>
  <c r="K107" i="29"/>
  <c r="I107" i="29"/>
  <c r="M106" i="29"/>
  <c r="K106" i="29"/>
  <c r="I106" i="29"/>
  <c r="M105" i="29"/>
  <c r="K105" i="29"/>
  <c r="I105" i="29"/>
  <c r="M104" i="29"/>
  <c r="K104" i="29"/>
  <c r="I104" i="29"/>
  <c r="M103" i="29"/>
  <c r="K103" i="29"/>
  <c r="I103" i="29"/>
  <c r="M102" i="29"/>
  <c r="K102" i="29"/>
  <c r="I102" i="29"/>
  <c r="M101" i="29"/>
  <c r="K101" i="29"/>
  <c r="I101" i="29"/>
  <c r="M100" i="29"/>
  <c r="K100" i="29"/>
  <c r="I100" i="29"/>
  <c r="M99" i="29"/>
  <c r="K99" i="29"/>
  <c r="I99" i="29"/>
  <c r="M98" i="29"/>
  <c r="K98" i="29"/>
  <c r="I98" i="29"/>
  <c r="M97" i="29"/>
  <c r="K97" i="29"/>
  <c r="I97" i="29"/>
  <c r="M96" i="29"/>
  <c r="K96" i="29"/>
  <c r="I96" i="29"/>
  <c r="M95" i="29"/>
  <c r="K95" i="29"/>
  <c r="I95" i="29"/>
  <c r="M94" i="29"/>
  <c r="K94" i="29"/>
  <c r="I94" i="29"/>
  <c r="M93" i="29"/>
  <c r="K93" i="29"/>
  <c r="I93" i="29"/>
  <c r="M92" i="29"/>
  <c r="K92" i="29"/>
  <c r="I92" i="29"/>
  <c r="M91" i="29"/>
  <c r="K91" i="29"/>
  <c r="I91" i="29"/>
  <c r="M90" i="29"/>
  <c r="K90" i="29"/>
  <c r="I90" i="29"/>
  <c r="M89" i="29"/>
  <c r="K89" i="29"/>
  <c r="I89" i="29"/>
  <c r="M88" i="29"/>
  <c r="K88" i="29"/>
  <c r="I88" i="29"/>
  <c r="M87" i="29"/>
  <c r="K87" i="29"/>
  <c r="I87" i="29"/>
  <c r="M86" i="29"/>
  <c r="K86" i="29"/>
  <c r="I86" i="29"/>
  <c r="M85" i="29"/>
  <c r="K85" i="29"/>
  <c r="I85" i="29"/>
  <c r="M84" i="29"/>
  <c r="K84" i="29"/>
  <c r="I84" i="29"/>
  <c r="M83" i="29"/>
  <c r="K83" i="29"/>
  <c r="I83" i="29"/>
  <c r="M82" i="29"/>
  <c r="K82" i="29"/>
  <c r="I82" i="29"/>
  <c r="M81" i="29"/>
  <c r="K81" i="29"/>
  <c r="I81" i="29"/>
  <c r="M80" i="29"/>
  <c r="K80" i="29"/>
  <c r="I80" i="29"/>
  <c r="M79" i="29"/>
  <c r="K79" i="29"/>
  <c r="I79" i="29"/>
  <c r="M78" i="29"/>
  <c r="K78" i="29"/>
  <c r="I78" i="29"/>
  <c r="M77" i="29"/>
  <c r="K77" i="29"/>
  <c r="I77" i="29"/>
  <c r="M76" i="29"/>
  <c r="K76" i="29"/>
  <c r="I76" i="29"/>
  <c r="M75" i="29"/>
  <c r="K75" i="29"/>
  <c r="I75" i="29"/>
  <c r="M74" i="29"/>
  <c r="K74" i="29"/>
  <c r="I74" i="29"/>
  <c r="M73" i="29"/>
  <c r="K73" i="29"/>
  <c r="I73" i="29"/>
  <c r="M72" i="29"/>
  <c r="K72" i="29"/>
  <c r="I72" i="29"/>
  <c r="M71" i="29"/>
  <c r="K71" i="29"/>
  <c r="I71" i="29"/>
  <c r="M70" i="29"/>
  <c r="K70" i="29"/>
  <c r="I70" i="29"/>
  <c r="M69" i="29"/>
  <c r="K69" i="29"/>
  <c r="I69" i="29"/>
  <c r="M68" i="29"/>
  <c r="K68" i="29"/>
  <c r="I68" i="29"/>
  <c r="M67" i="29"/>
  <c r="K67" i="29"/>
  <c r="I67" i="29"/>
  <c r="M66" i="29"/>
  <c r="K66" i="29"/>
  <c r="I66" i="29"/>
  <c r="M65" i="29"/>
  <c r="K65" i="29"/>
  <c r="I65" i="29"/>
  <c r="M64" i="29"/>
  <c r="K64" i="29"/>
  <c r="I64" i="29"/>
  <c r="M63" i="29"/>
  <c r="K63" i="29"/>
  <c r="I63" i="29"/>
  <c r="M62" i="29"/>
  <c r="K62" i="29"/>
  <c r="I62" i="29"/>
  <c r="M61" i="29"/>
  <c r="K61" i="29"/>
  <c r="I61" i="29"/>
  <c r="M60" i="29"/>
  <c r="K60" i="29"/>
  <c r="I60" i="29"/>
  <c r="M59" i="29"/>
  <c r="K59" i="29"/>
  <c r="I59" i="29"/>
  <c r="M58" i="29"/>
  <c r="K58" i="29"/>
  <c r="I58" i="29"/>
  <c r="M57" i="29"/>
  <c r="K57" i="29"/>
  <c r="I57" i="29"/>
  <c r="M56" i="29"/>
  <c r="K56" i="29"/>
  <c r="I56" i="29"/>
  <c r="M55" i="29"/>
  <c r="K55" i="29"/>
  <c r="I55" i="29"/>
  <c r="M54" i="29"/>
  <c r="K54" i="29"/>
  <c r="I54" i="29"/>
  <c r="M53" i="29"/>
  <c r="K53" i="29"/>
  <c r="I53" i="29"/>
  <c r="M52" i="29"/>
  <c r="K52" i="29"/>
  <c r="I52" i="29"/>
  <c r="M51" i="29"/>
  <c r="K51" i="29"/>
  <c r="I51" i="29"/>
  <c r="M50" i="29"/>
  <c r="K50" i="29"/>
  <c r="I50" i="29"/>
  <c r="M49" i="29"/>
  <c r="K49" i="29"/>
  <c r="I49" i="29"/>
  <c r="M48" i="29"/>
  <c r="K48" i="29"/>
  <c r="I48" i="29"/>
  <c r="M47" i="29"/>
  <c r="K47" i="29"/>
  <c r="I47" i="29"/>
  <c r="M46" i="29"/>
  <c r="K46" i="29"/>
  <c r="I46" i="29"/>
  <c r="M45" i="29"/>
  <c r="K45" i="29"/>
  <c r="I45" i="29"/>
  <c r="M44" i="29"/>
  <c r="K44" i="29"/>
  <c r="I44" i="29"/>
  <c r="M43" i="29"/>
  <c r="K43" i="29"/>
  <c r="I43" i="29"/>
  <c r="M42" i="29"/>
  <c r="K42" i="29"/>
  <c r="I42" i="29"/>
  <c r="M41" i="29"/>
  <c r="K41" i="29"/>
  <c r="I41" i="29"/>
  <c r="M40" i="29"/>
  <c r="K40" i="29"/>
  <c r="I40" i="29"/>
  <c r="M39" i="29"/>
  <c r="K39" i="29"/>
  <c r="I39" i="29"/>
  <c r="M38" i="29"/>
  <c r="K38" i="29"/>
  <c r="I38" i="29"/>
  <c r="M37" i="29"/>
  <c r="K37" i="29"/>
  <c r="I37" i="29"/>
  <c r="M36" i="29"/>
  <c r="K36" i="29"/>
  <c r="I36" i="29"/>
  <c r="M35" i="29"/>
  <c r="K35" i="29"/>
  <c r="I35" i="29"/>
  <c r="M34" i="29"/>
  <c r="K34" i="29"/>
  <c r="I34" i="29"/>
  <c r="M33" i="29"/>
  <c r="K33" i="29"/>
  <c r="I33" i="29"/>
  <c r="M32" i="29"/>
  <c r="K32" i="29"/>
  <c r="I32" i="29"/>
  <c r="M31" i="29"/>
  <c r="K31" i="29"/>
  <c r="I31" i="29"/>
  <c r="M30" i="29"/>
  <c r="K30" i="29"/>
  <c r="I30" i="29"/>
  <c r="M29" i="29"/>
  <c r="K29" i="29"/>
  <c r="I29" i="29"/>
  <c r="M28" i="29"/>
  <c r="K28" i="29"/>
  <c r="I28" i="29"/>
  <c r="M27" i="29"/>
  <c r="K27" i="29"/>
  <c r="I27" i="29"/>
  <c r="M26" i="29"/>
  <c r="K26" i="29"/>
  <c r="I26" i="29"/>
  <c r="M25" i="29"/>
  <c r="K25" i="29"/>
  <c r="I25" i="29"/>
  <c r="M24" i="29"/>
  <c r="K24" i="29"/>
  <c r="I24" i="29"/>
  <c r="M23" i="29"/>
  <c r="K23" i="29"/>
  <c r="I23" i="29"/>
  <c r="M22" i="29"/>
  <c r="K22" i="29"/>
  <c r="I22" i="29"/>
  <c r="M21" i="29"/>
  <c r="K21" i="29"/>
  <c r="I21" i="29"/>
  <c r="M20" i="29"/>
  <c r="K20" i="29"/>
  <c r="I20" i="29"/>
  <c r="M19" i="29"/>
  <c r="K19" i="29"/>
  <c r="I19" i="29"/>
  <c r="M18" i="29"/>
  <c r="K18" i="29"/>
  <c r="I18" i="29"/>
  <c r="M17" i="29"/>
  <c r="K17" i="29"/>
  <c r="I17" i="29"/>
  <c r="M16" i="29"/>
  <c r="K16" i="29"/>
  <c r="I16" i="29"/>
  <c r="M15" i="29"/>
  <c r="K15" i="29"/>
  <c r="I15" i="29"/>
  <c r="M14" i="29"/>
  <c r="K14" i="29"/>
  <c r="I14" i="29"/>
  <c r="M13" i="29"/>
  <c r="K13" i="29"/>
  <c r="I13" i="29"/>
  <c r="M12" i="29"/>
  <c r="K12" i="29"/>
  <c r="I12" i="29"/>
  <c r="M11" i="29"/>
  <c r="K11" i="29"/>
  <c r="I11" i="29"/>
  <c r="M10" i="29"/>
  <c r="K10" i="29"/>
  <c r="I10" i="29"/>
  <c r="M9" i="29"/>
  <c r="K9" i="29"/>
  <c r="I9" i="29"/>
  <c r="M8" i="29"/>
  <c r="K8" i="29"/>
  <c r="I8" i="29"/>
  <c r="M7" i="29"/>
  <c r="K7" i="29"/>
  <c r="I7" i="29"/>
  <c r="B157" i="29"/>
  <c r="B167" i="29" s="1"/>
  <c r="B177" i="29" s="1"/>
  <c r="B187" i="29" s="1"/>
  <c r="B197" i="29" s="1"/>
  <c r="B207" i="29" s="1"/>
  <c r="B217" i="29" s="1"/>
  <c r="B227" i="29" s="1"/>
  <c r="B237" i="29" s="1"/>
  <c r="B247" i="29" s="1"/>
  <c r="B257" i="29" s="1"/>
  <c r="B267" i="29" s="1"/>
  <c r="B277" i="29" s="1"/>
  <c r="B287" i="29" s="1"/>
  <c r="B297" i="29" s="1"/>
  <c r="B307" i="29" s="1"/>
  <c r="B317" i="29" s="1"/>
  <c r="B327" i="29" s="1"/>
  <c r="B337" i="29" s="1"/>
  <c r="B347" i="29" s="1"/>
  <c r="B357" i="29" s="1"/>
  <c r="B167" i="43"/>
  <c r="B177" i="43" s="1"/>
  <c r="B187" i="43" s="1"/>
  <c r="B197" i="43" s="1"/>
  <c r="B207" i="43" s="1"/>
  <c r="B217" i="43" s="1"/>
  <c r="B227" i="43" s="1"/>
  <c r="B237" i="43" s="1"/>
  <c r="B247" i="43" s="1"/>
  <c r="B257" i="43" s="1"/>
  <c r="B267" i="43" s="1"/>
  <c r="B277" i="43" s="1"/>
  <c r="B287" i="43" s="1"/>
  <c r="B297" i="43" s="1"/>
  <c r="B307" i="43" s="1"/>
  <c r="B317" i="43" s="1"/>
  <c r="B327" i="43" s="1"/>
  <c r="B337" i="43" s="1"/>
  <c r="B347" i="43" s="1"/>
  <c r="B357" i="43" s="1"/>
  <c r="B157" i="43"/>
  <c r="M156" i="43"/>
  <c r="K156" i="43"/>
  <c r="I156" i="43"/>
  <c r="M155" i="43"/>
  <c r="K155" i="43"/>
  <c r="I155" i="43"/>
  <c r="M154" i="43"/>
  <c r="K154" i="43"/>
  <c r="I154" i="43"/>
  <c r="M153" i="43"/>
  <c r="K153" i="43"/>
  <c r="I153" i="43"/>
  <c r="M152" i="43"/>
  <c r="K152" i="43"/>
  <c r="I152" i="43"/>
  <c r="M151" i="43"/>
  <c r="K151" i="43"/>
  <c r="I151" i="43"/>
  <c r="M150" i="43"/>
  <c r="K150" i="43"/>
  <c r="I150" i="43"/>
  <c r="M149" i="43"/>
  <c r="K149" i="43"/>
  <c r="I149" i="43"/>
  <c r="M148" i="43"/>
  <c r="K148" i="43"/>
  <c r="I148" i="43"/>
  <c r="M147" i="43"/>
  <c r="K147" i="43"/>
  <c r="I147" i="43"/>
  <c r="M146" i="43"/>
  <c r="K146" i="43"/>
  <c r="I146" i="43"/>
  <c r="M145" i="43"/>
  <c r="K145" i="43"/>
  <c r="I145" i="43"/>
  <c r="M144" i="43"/>
  <c r="K144" i="43"/>
  <c r="I144" i="43"/>
  <c r="M143" i="43"/>
  <c r="K143" i="43"/>
  <c r="I143" i="43"/>
  <c r="M142" i="43"/>
  <c r="K142" i="43"/>
  <c r="I142" i="43"/>
  <c r="M141" i="43"/>
  <c r="K141" i="43"/>
  <c r="I141" i="43"/>
  <c r="M140" i="43"/>
  <c r="K140" i="43"/>
  <c r="I140" i="43"/>
  <c r="M139" i="43"/>
  <c r="K139" i="43"/>
  <c r="I139" i="43"/>
  <c r="M138" i="43"/>
  <c r="K138" i="43"/>
  <c r="I138" i="43"/>
  <c r="M137" i="43"/>
  <c r="K137" i="43"/>
  <c r="I137" i="43"/>
  <c r="M136" i="43"/>
  <c r="K136" i="43"/>
  <c r="I136" i="43"/>
  <c r="M135" i="43"/>
  <c r="K135" i="43"/>
  <c r="I135" i="43"/>
  <c r="M134" i="43"/>
  <c r="K134" i="43"/>
  <c r="I134" i="43"/>
  <c r="M133" i="43"/>
  <c r="K133" i="43"/>
  <c r="I133" i="43"/>
  <c r="M132" i="43"/>
  <c r="K132" i="43"/>
  <c r="I132" i="43"/>
  <c r="M131" i="43"/>
  <c r="K131" i="43"/>
  <c r="I131" i="43"/>
  <c r="M130" i="43"/>
  <c r="K130" i="43"/>
  <c r="I130" i="43"/>
  <c r="M129" i="43"/>
  <c r="K129" i="43"/>
  <c r="I129" i="43"/>
  <c r="M128" i="43"/>
  <c r="K128" i="43"/>
  <c r="I128" i="43"/>
  <c r="M127" i="43"/>
  <c r="K127" i="43"/>
  <c r="I127" i="43"/>
  <c r="M126" i="43"/>
  <c r="K126" i="43"/>
  <c r="I126" i="43"/>
  <c r="M125" i="43"/>
  <c r="K125" i="43"/>
  <c r="I125" i="43"/>
  <c r="M124" i="43"/>
  <c r="K124" i="43"/>
  <c r="I124" i="43"/>
  <c r="M123" i="43"/>
  <c r="K123" i="43"/>
  <c r="I123" i="43"/>
  <c r="M122" i="43"/>
  <c r="K122" i="43"/>
  <c r="I122" i="43"/>
  <c r="M121" i="43"/>
  <c r="K121" i="43"/>
  <c r="I121" i="43"/>
  <c r="M120" i="43"/>
  <c r="K120" i="43"/>
  <c r="I120" i="43"/>
  <c r="M119" i="43"/>
  <c r="K119" i="43"/>
  <c r="I119" i="43"/>
  <c r="M118" i="43"/>
  <c r="K118" i="43"/>
  <c r="I118" i="43"/>
  <c r="M117" i="43"/>
  <c r="K117" i="43"/>
  <c r="I117" i="43"/>
  <c r="M116" i="43"/>
  <c r="K116" i="43"/>
  <c r="I116" i="43"/>
  <c r="M115" i="43"/>
  <c r="K115" i="43"/>
  <c r="I115" i="43"/>
  <c r="M114" i="43"/>
  <c r="K114" i="43"/>
  <c r="I114" i="43"/>
  <c r="M113" i="43"/>
  <c r="K113" i="43"/>
  <c r="I113" i="43"/>
  <c r="M112" i="43"/>
  <c r="K112" i="43"/>
  <c r="I112" i="43"/>
  <c r="M111" i="43"/>
  <c r="K111" i="43"/>
  <c r="I111" i="43"/>
  <c r="M110" i="43"/>
  <c r="K110" i="43"/>
  <c r="I110" i="43"/>
  <c r="M109" i="43"/>
  <c r="K109" i="43"/>
  <c r="I109" i="43"/>
  <c r="M108" i="43"/>
  <c r="K108" i="43"/>
  <c r="I108" i="43"/>
  <c r="M107" i="43"/>
  <c r="K107" i="43"/>
  <c r="I107" i="43"/>
  <c r="M106" i="43"/>
  <c r="K106" i="43"/>
  <c r="I106" i="43"/>
  <c r="M105" i="43"/>
  <c r="K105" i="43"/>
  <c r="I105" i="43"/>
  <c r="M104" i="43"/>
  <c r="K104" i="43"/>
  <c r="I104" i="43"/>
  <c r="M103" i="43"/>
  <c r="K103" i="43"/>
  <c r="I103" i="43"/>
  <c r="M102" i="43"/>
  <c r="K102" i="43"/>
  <c r="I102" i="43"/>
  <c r="M101" i="43"/>
  <c r="K101" i="43"/>
  <c r="I101" i="43"/>
  <c r="M100" i="43"/>
  <c r="K100" i="43"/>
  <c r="I100" i="43"/>
  <c r="M99" i="43"/>
  <c r="K99" i="43"/>
  <c r="I99" i="43"/>
  <c r="M98" i="43"/>
  <c r="K98" i="43"/>
  <c r="I98" i="43"/>
  <c r="M97" i="43"/>
  <c r="K97" i="43"/>
  <c r="I97" i="43"/>
  <c r="M96" i="43"/>
  <c r="K96" i="43"/>
  <c r="I96" i="43"/>
  <c r="M95" i="43"/>
  <c r="K95" i="43"/>
  <c r="I95" i="43"/>
  <c r="M94" i="43"/>
  <c r="K94" i="43"/>
  <c r="I94" i="43"/>
  <c r="M93" i="43"/>
  <c r="K93" i="43"/>
  <c r="I93" i="43"/>
  <c r="M92" i="43"/>
  <c r="K92" i="43"/>
  <c r="I92" i="43"/>
  <c r="M91" i="43"/>
  <c r="K91" i="43"/>
  <c r="I91" i="43"/>
  <c r="M90" i="43"/>
  <c r="K90" i="43"/>
  <c r="I90" i="43"/>
  <c r="M89" i="43"/>
  <c r="K89" i="43"/>
  <c r="I89" i="43"/>
  <c r="M88" i="43"/>
  <c r="K88" i="43"/>
  <c r="I88" i="43"/>
  <c r="M87" i="43"/>
  <c r="K87" i="43"/>
  <c r="I87" i="43"/>
  <c r="M86" i="43"/>
  <c r="K86" i="43"/>
  <c r="I86" i="43"/>
  <c r="M85" i="43"/>
  <c r="K85" i="43"/>
  <c r="I85" i="43"/>
  <c r="M84" i="43"/>
  <c r="K84" i="43"/>
  <c r="I84" i="43"/>
  <c r="M83" i="43"/>
  <c r="K83" i="43"/>
  <c r="I83" i="43"/>
  <c r="M82" i="43"/>
  <c r="K82" i="43"/>
  <c r="I82" i="43"/>
  <c r="M81" i="43"/>
  <c r="K81" i="43"/>
  <c r="I81" i="43"/>
  <c r="M80" i="43"/>
  <c r="K80" i="43"/>
  <c r="I80" i="43"/>
  <c r="M79" i="43"/>
  <c r="K79" i="43"/>
  <c r="I79" i="43"/>
  <c r="M78" i="43"/>
  <c r="K78" i="43"/>
  <c r="I78" i="43"/>
  <c r="M77" i="43"/>
  <c r="K77" i="43"/>
  <c r="I77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M22" i="43"/>
  <c r="K22" i="43"/>
  <c r="I22" i="43"/>
  <c r="M21" i="43"/>
  <c r="K21" i="43"/>
  <c r="I21" i="43"/>
  <c r="M20" i="43"/>
  <c r="K20" i="43"/>
  <c r="I20" i="43"/>
  <c r="M19" i="43"/>
  <c r="K19" i="43"/>
  <c r="I19" i="43"/>
  <c r="M18" i="43"/>
  <c r="K18" i="43"/>
  <c r="I18" i="43"/>
  <c r="M17" i="43"/>
  <c r="K17" i="43"/>
  <c r="I17" i="43"/>
  <c r="M16" i="43"/>
  <c r="K16" i="43"/>
  <c r="I16" i="43"/>
  <c r="M15" i="43"/>
  <c r="K15" i="43"/>
  <c r="I15" i="43"/>
  <c r="M14" i="43"/>
  <c r="K14" i="43"/>
  <c r="I14" i="43"/>
  <c r="M13" i="43"/>
  <c r="K13" i="43"/>
  <c r="I13" i="43"/>
  <c r="M12" i="43"/>
  <c r="K12" i="43"/>
  <c r="I12" i="43"/>
  <c r="M11" i="43"/>
  <c r="K11" i="43"/>
  <c r="I11" i="43"/>
  <c r="M10" i="43"/>
  <c r="K10" i="43"/>
  <c r="I10" i="43"/>
  <c r="M9" i="43"/>
  <c r="K9" i="43"/>
  <c r="I9" i="43"/>
  <c r="M8" i="43"/>
  <c r="K8" i="43"/>
  <c r="I8" i="43"/>
  <c r="M7" i="43"/>
  <c r="K7" i="43"/>
  <c r="I7" i="43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AC14" i="6" l="1"/>
  <c r="AB14" i="6"/>
  <c r="S14" i="6"/>
  <c r="R14" i="6"/>
  <c r="M14" i="6"/>
  <c r="AC13" i="6"/>
  <c r="AB13" i="6"/>
  <c r="S13" i="6"/>
  <c r="R13" i="6"/>
  <c r="M13" i="6"/>
  <c r="AC12" i="6"/>
  <c r="AB12" i="6"/>
  <c r="S12" i="6"/>
  <c r="R12" i="6"/>
  <c r="M12" i="6"/>
  <c r="AC11" i="6"/>
  <c r="AB11" i="6"/>
  <c r="S11" i="6"/>
  <c r="R11" i="6"/>
  <c r="M11" i="6"/>
  <c r="AC10" i="6"/>
  <c r="AB10" i="6"/>
  <c r="S10" i="6"/>
  <c r="R10" i="6"/>
  <c r="M10" i="6"/>
  <c r="AC9" i="6"/>
  <c r="AB9" i="6"/>
  <c r="S9" i="6"/>
  <c r="R9" i="6"/>
  <c r="M9" i="6"/>
  <c r="AC8" i="6"/>
  <c r="AB8" i="6"/>
  <c r="S8" i="6"/>
  <c r="R8" i="6"/>
  <c r="M8" i="6"/>
  <c r="AC7" i="6"/>
  <c r="AB7" i="6"/>
  <c r="S7" i="6"/>
  <c r="R7" i="6"/>
  <c r="M7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P34" i="3"/>
  <c r="P27" i="3"/>
  <c r="P20" i="3"/>
  <c r="S34" i="3"/>
  <c r="V34" i="3" s="1"/>
  <c r="S27" i="3"/>
  <c r="V27" i="3" s="1"/>
  <c r="S20" i="3"/>
  <c r="S13" i="3"/>
  <c r="B10" i="39" s="1"/>
  <c r="S6" i="3"/>
  <c r="S5" i="3"/>
  <c r="M34" i="3"/>
  <c r="M27" i="3"/>
  <c r="M20" i="3"/>
  <c r="M13" i="3"/>
  <c r="B8" i="39" s="1"/>
  <c r="M6" i="3"/>
  <c r="M5" i="3"/>
  <c r="J34" i="3"/>
  <c r="J27" i="3"/>
  <c r="J20" i="3"/>
  <c r="J13" i="3"/>
  <c r="B7" i="39" s="1"/>
  <c r="J6" i="3"/>
  <c r="J5" i="3"/>
  <c r="G34" i="3"/>
  <c r="G27" i="3"/>
  <c r="G20" i="3"/>
  <c r="V20" i="3" s="1"/>
  <c r="G13" i="3"/>
  <c r="B6" i="39" s="1"/>
  <c r="G6" i="3"/>
  <c r="G5" i="3"/>
  <c r="V34" i="5"/>
  <c r="V27" i="5"/>
  <c r="V20" i="5"/>
  <c r="V13" i="5"/>
  <c r="I11" i="39" s="1"/>
  <c r="V6" i="5"/>
  <c r="V5" i="5"/>
  <c r="S34" i="5"/>
  <c r="S27" i="5"/>
  <c r="S20" i="5"/>
  <c r="S13" i="5"/>
  <c r="S6" i="5"/>
  <c r="S5" i="5"/>
  <c r="P34" i="5"/>
  <c r="P27" i="5"/>
  <c r="P20" i="5"/>
  <c r="P13" i="5"/>
  <c r="I9" i="39" s="1"/>
  <c r="P6" i="5"/>
  <c r="P5" i="5"/>
  <c r="M34" i="5"/>
  <c r="M27" i="5"/>
  <c r="M20" i="5"/>
  <c r="M13" i="5"/>
  <c r="I8" i="39" s="1"/>
  <c r="M6" i="5"/>
  <c r="M5" i="5"/>
  <c r="J34" i="5"/>
  <c r="J27" i="5"/>
  <c r="J20" i="5"/>
  <c r="G34" i="5"/>
  <c r="G27" i="5"/>
  <c r="G20" i="5"/>
  <c r="G13" i="5"/>
  <c r="I6" i="39" s="1"/>
  <c r="G6" i="5"/>
  <c r="G5" i="5"/>
  <c r="V6" i="3" l="1"/>
  <c r="V13" i="3"/>
  <c r="B11" i="39" s="1"/>
  <c r="P6" i="3"/>
  <c r="P13" i="3"/>
  <c r="B9" i="39" s="1"/>
  <c r="K27" i="30"/>
  <c r="K34" i="30"/>
  <c r="J34" i="30"/>
  <c r="I34" i="30"/>
  <c r="K14" i="30"/>
  <c r="J14" i="30"/>
  <c r="I14" i="30"/>
  <c r="M67" i="41" l="1"/>
  <c r="K67" i="41"/>
  <c r="I67" i="41"/>
  <c r="G67" i="41"/>
  <c r="M66" i="41"/>
  <c r="K66" i="41"/>
  <c r="I66" i="41"/>
  <c r="G66" i="41"/>
  <c r="M62" i="41"/>
  <c r="K62" i="41"/>
  <c r="I62" i="41"/>
  <c r="G62" i="41"/>
  <c r="M61" i="41"/>
  <c r="K61" i="41"/>
  <c r="I61" i="41"/>
  <c r="G61" i="41"/>
  <c r="W5" i="5" l="1"/>
  <c r="T5" i="5"/>
  <c r="Q5" i="5"/>
  <c r="N5" i="5"/>
  <c r="H5" i="5"/>
  <c r="I26" i="33" l="1"/>
  <c r="J26" i="33"/>
  <c r="K26" i="33"/>
  <c r="AW41" i="37" l="1"/>
  <c r="AR41" i="37"/>
  <c r="AM41" i="37"/>
  <c r="AH41" i="37"/>
  <c r="AC41" i="37"/>
  <c r="X41" i="37"/>
  <c r="S41" i="37"/>
  <c r="AW40" i="37"/>
  <c r="AR40" i="37"/>
  <c r="AM40" i="37"/>
  <c r="AH40" i="37"/>
  <c r="AC40" i="37"/>
  <c r="X40" i="37"/>
  <c r="S40" i="37"/>
  <c r="AW39" i="37"/>
  <c r="AR39" i="37"/>
  <c r="AM39" i="37"/>
  <c r="AH39" i="37"/>
  <c r="AC39" i="37"/>
  <c r="X39" i="37"/>
  <c r="S39" i="37"/>
  <c r="AW38" i="37"/>
  <c r="AR38" i="37"/>
  <c r="AM38" i="37"/>
  <c r="AH38" i="37"/>
  <c r="AC38" i="37"/>
  <c r="X38" i="37"/>
  <c r="S38" i="37"/>
  <c r="AW37" i="37"/>
  <c r="AR37" i="37"/>
  <c r="AM37" i="37"/>
  <c r="AH37" i="37"/>
  <c r="AC37" i="37"/>
  <c r="X37" i="37"/>
  <c r="S37" i="37"/>
  <c r="AW36" i="37"/>
  <c r="AR36" i="37"/>
  <c r="AM36" i="37"/>
  <c r="AH36" i="37"/>
  <c r="AC36" i="37"/>
  <c r="X36" i="37"/>
  <c r="S36" i="37"/>
  <c r="AW35" i="37"/>
  <c r="AR35" i="37"/>
  <c r="AM35" i="37"/>
  <c r="AH35" i="37"/>
  <c r="AC35" i="37"/>
  <c r="X35" i="37"/>
  <c r="S35" i="37"/>
  <c r="AW34" i="37"/>
  <c r="AR34" i="37"/>
  <c r="AM34" i="37"/>
  <c r="AH34" i="37"/>
  <c r="AC34" i="37"/>
  <c r="X34" i="37"/>
  <c r="S34" i="37"/>
  <c r="AW33" i="37"/>
  <c r="AR33" i="37"/>
  <c r="AM33" i="37"/>
  <c r="AH33" i="37"/>
  <c r="AC33" i="37"/>
  <c r="X33" i="37"/>
  <c r="S33" i="37"/>
  <c r="AW32" i="37"/>
  <c r="AR32" i="37"/>
  <c r="AM32" i="37"/>
  <c r="AH32" i="37"/>
  <c r="AC32" i="37"/>
  <c r="X32" i="37"/>
  <c r="S32" i="37"/>
  <c r="AW31" i="37"/>
  <c r="AR31" i="37"/>
  <c r="AM31" i="37"/>
  <c r="AH31" i="37"/>
  <c r="AC31" i="37"/>
  <c r="X31" i="37"/>
  <c r="S31" i="37"/>
  <c r="AW30" i="37"/>
  <c r="AR30" i="37"/>
  <c r="AM30" i="37"/>
  <c r="AH30" i="37"/>
  <c r="AC30" i="37"/>
  <c r="X30" i="37"/>
  <c r="S30" i="37"/>
  <c r="AW29" i="37"/>
  <c r="AR29" i="37"/>
  <c r="AM29" i="37"/>
  <c r="AH29" i="37"/>
  <c r="AC29" i="37"/>
  <c r="X29" i="37"/>
  <c r="S29" i="37"/>
  <c r="AW28" i="37"/>
  <c r="AR28" i="37"/>
  <c r="AM28" i="37"/>
  <c r="AH28" i="37"/>
  <c r="AC28" i="37"/>
  <c r="X28" i="37"/>
  <c r="S28" i="37"/>
  <c r="AW27" i="37"/>
  <c r="AR27" i="37"/>
  <c r="AM27" i="37"/>
  <c r="AH27" i="37"/>
  <c r="AC27" i="37"/>
  <c r="X27" i="37"/>
  <c r="S27" i="37"/>
  <c r="AW21" i="37"/>
  <c r="AR21" i="37"/>
  <c r="AM21" i="37"/>
  <c r="AH21" i="37"/>
  <c r="AC21" i="37"/>
  <c r="X21" i="37"/>
  <c r="S21" i="37"/>
  <c r="AW20" i="37"/>
  <c r="AR20" i="37"/>
  <c r="AM20" i="37"/>
  <c r="AH20" i="37"/>
  <c r="AC20" i="37"/>
  <c r="X20" i="37"/>
  <c r="S20" i="37"/>
  <c r="AW19" i="37"/>
  <c r="AR19" i="37"/>
  <c r="AM19" i="37"/>
  <c r="AH19" i="37"/>
  <c r="AC19" i="37"/>
  <c r="X19" i="37"/>
  <c r="S19" i="37"/>
  <c r="AW18" i="37"/>
  <c r="AR18" i="37"/>
  <c r="AM18" i="37"/>
  <c r="AH18" i="37"/>
  <c r="AC18" i="37"/>
  <c r="X18" i="37"/>
  <c r="S18" i="37"/>
  <c r="AW17" i="37"/>
  <c r="AR17" i="37"/>
  <c r="AM17" i="37"/>
  <c r="AH17" i="37"/>
  <c r="AC17" i="37"/>
  <c r="X17" i="37"/>
  <c r="S17" i="37"/>
  <c r="AW16" i="37"/>
  <c r="AR16" i="37"/>
  <c r="AM16" i="37"/>
  <c r="AH16" i="37"/>
  <c r="AC16" i="37"/>
  <c r="X16" i="37"/>
  <c r="S16" i="37"/>
  <c r="AW15" i="37"/>
  <c r="AR15" i="37"/>
  <c r="AM15" i="37"/>
  <c r="AH15" i="37"/>
  <c r="AC15" i="37"/>
  <c r="X15" i="37"/>
  <c r="S15" i="37"/>
  <c r="AW14" i="37"/>
  <c r="AR14" i="37"/>
  <c r="AM14" i="37"/>
  <c r="AH14" i="37"/>
  <c r="AC14" i="37"/>
  <c r="X14" i="37"/>
  <c r="S14" i="37"/>
  <c r="AW13" i="37"/>
  <c r="AR13" i="37"/>
  <c r="AM13" i="37"/>
  <c r="AH13" i="37"/>
  <c r="AC13" i="37"/>
  <c r="X13" i="37"/>
  <c r="S13" i="37"/>
  <c r="AW12" i="37"/>
  <c r="AR12" i="37"/>
  <c r="AM12" i="37"/>
  <c r="AH12" i="37"/>
  <c r="AC12" i="37"/>
  <c r="X12" i="37"/>
  <c r="S12" i="37"/>
  <c r="AW11" i="37"/>
  <c r="AR11" i="37"/>
  <c r="AM11" i="37"/>
  <c r="AH11" i="37"/>
  <c r="AC11" i="37"/>
  <c r="X11" i="37"/>
  <c r="S11" i="37"/>
  <c r="AW10" i="37"/>
  <c r="AR10" i="37"/>
  <c r="AM10" i="37"/>
  <c r="AH10" i="37"/>
  <c r="AC10" i="37"/>
  <c r="X10" i="37"/>
  <c r="S10" i="37"/>
  <c r="AW9" i="37"/>
  <c r="AR9" i="37"/>
  <c r="AM9" i="37"/>
  <c r="AH9" i="37"/>
  <c r="AC9" i="37"/>
  <c r="X9" i="37"/>
  <c r="S9" i="37"/>
  <c r="AW8" i="37"/>
  <c r="AR8" i="37"/>
  <c r="AM8" i="37"/>
  <c r="AH8" i="37"/>
  <c r="AC8" i="37"/>
  <c r="X8" i="37"/>
  <c r="S8" i="37"/>
  <c r="AW7" i="37"/>
  <c r="AR7" i="37"/>
  <c r="AM7" i="37"/>
  <c r="AH7" i="37"/>
  <c r="AC7" i="37"/>
  <c r="X7" i="37"/>
  <c r="S7" i="37"/>
  <c r="AW41" i="36"/>
  <c r="AR41" i="36"/>
  <c r="AM41" i="36"/>
  <c r="AH41" i="36"/>
  <c r="AC41" i="36"/>
  <c r="X41" i="36"/>
  <c r="S41" i="36"/>
  <c r="AW40" i="36"/>
  <c r="AR40" i="36"/>
  <c r="AM40" i="36"/>
  <c r="AH40" i="36"/>
  <c r="AC40" i="36"/>
  <c r="X40" i="36"/>
  <c r="S40" i="36"/>
  <c r="AW39" i="36"/>
  <c r="AR39" i="36"/>
  <c r="AM39" i="36"/>
  <c r="AH39" i="36"/>
  <c r="AC39" i="36"/>
  <c r="X39" i="36"/>
  <c r="S39" i="36"/>
  <c r="AW38" i="36"/>
  <c r="AR38" i="36"/>
  <c r="AM38" i="36"/>
  <c r="AH38" i="36"/>
  <c r="AC38" i="36"/>
  <c r="X38" i="36"/>
  <c r="S38" i="36"/>
  <c r="AW37" i="36"/>
  <c r="AR37" i="36"/>
  <c r="AM37" i="36"/>
  <c r="AH37" i="36"/>
  <c r="AC37" i="36"/>
  <c r="X37" i="36"/>
  <c r="S37" i="36"/>
  <c r="AW36" i="36"/>
  <c r="AR36" i="36"/>
  <c r="AM36" i="36"/>
  <c r="AH36" i="36"/>
  <c r="AC36" i="36"/>
  <c r="X36" i="36"/>
  <c r="S36" i="36"/>
  <c r="AW35" i="36"/>
  <c r="AR35" i="36"/>
  <c r="AM35" i="36"/>
  <c r="AH35" i="36"/>
  <c r="AC35" i="36"/>
  <c r="X35" i="36"/>
  <c r="S35" i="36"/>
  <c r="AW34" i="36"/>
  <c r="AR34" i="36"/>
  <c r="AM34" i="36"/>
  <c r="AH34" i="36"/>
  <c r="AC34" i="36"/>
  <c r="X34" i="36"/>
  <c r="S34" i="36"/>
  <c r="AW33" i="36"/>
  <c r="AR33" i="36"/>
  <c r="AM33" i="36"/>
  <c r="AH33" i="36"/>
  <c r="AC33" i="36"/>
  <c r="X33" i="36"/>
  <c r="S33" i="36"/>
  <c r="AW32" i="36"/>
  <c r="AR32" i="36"/>
  <c r="AM32" i="36"/>
  <c r="AH32" i="36"/>
  <c r="AC32" i="36"/>
  <c r="X32" i="36"/>
  <c r="S32" i="36"/>
  <c r="AW31" i="36"/>
  <c r="AR31" i="36"/>
  <c r="AM31" i="36"/>
  <c r="AH31" i="36"/>
  <c r="AC31" i="36"/>
  <c r="X31" i="36"/>
  <c r="S31" i="36"/>
  <c r="AW30" i="36"/>
  <c r="AR30" i="36"/>
  <c r="AM30" i="36"/>
  <c r="AH30" i="36"/>
  <c r="AC30" i="36"/>
  <c r="X30" i="36"/>
  <c r="S30" i="36"/>
  <c r="AW29" i="36"/>
  <c r="AR29" i="36"/>
  <c r="AM29" i="36"/>
  <c r="AH29" i="36"/>
  <c r="AC29" i="36"/>
  <c r="X29" i="36"/>
  <c r="S29" i="36"/>
  <c r="AW28" i="36"/>
  <c r="AR28" i="36"/>
  <c r="AM28" i="36"/>
  <c r="AH28" i="36"/>
  <c r="AC28" i="36"/>
  <c r="X28" i="36"/>
  <c r="S28" i="36"/>
  <c r="AW27" i="36"/>
  <c r="AR27" i="36"/>
  <c r="AM27" i="36"/>
  <c r="AH27" i="36"/>
  <c r="AC27" i="36"/>
  <c r="X27" i="36"/>
  <c r="S27" i="36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AW19" i="36"/>
  <c r="AR19" i="36"/>
  <c r="AM19" i="36"/>
  <c r="AH19" i="36"/>
  <c r="AC19" i="36"/>
  <c r="X19" i="36"/>
  <c r="S19" i="36"/>
  <c r="AW18" i="36"/>
  <c r="AR18" i="36"/>
  <c r="AM18" i="36"/>
  <c r="AH18" i="36"/>
  <c r="AC18" i="36"/>
  <c r="X18" i="36"/>
  <c r="S18" i="36"/>
  <c r="AW17" i="36"/>
  <c r="AR17" i="36"/>
  <c r="AM17" i="36"/>
  <c r="AH17" i="36"/>
  <c r="AC17" i="36"/>
  <c r="X17" i="36"/>
  <c r="S17" i="36"/>
  <c r="AW16" i="36"/>
  <c r="AR16" i="36"/>
  <c r="AM16" i="36"/>
  <c r="AH16" i="36"/>
  <c r="AC16" i="36"/>
  <c r="X16" i="36"/>
  <c r="S16" i="36"/>
  <c r="AW15" i="36"/>
  <c r="AR15" i="36"/>
  <c r="AM15" i="36"/>
  <c r="AH15" i="36"/>
  <c r="AC15" i="36"/>
  <c r="X15" i="36"/>
  <c r="S15" i="36"/>
  <c r="AW14" i="36"/>
  <c r="AR14" i="36"/>
  <c r="AM14" i="36"/>
  <c r="AH14" i="36"/>
  <c r="AC14" i="36"/>
  <c r="X14" i="36"/>
  <c r="S14" i="36"/>
  <c r="AW13" i="36"/>
  <c r="AR13" i="36"/>
  <c r="AM13" i="36"/>
  <c r="AH13" i="36"/>
  <c r="AC13" i="36"/>
  <c r="X13" i="36"/>
  <c r="S13" i="36"/>
  <c r="AW12" i="36"/>
  <c r="AR12" i="36"/>
  <c r="AM12" i="36"/>
  <c r="AH12" i="36"/>
  <c r="AC12" i="36"/>
  <c r="X12" i="36"/>
  <c r="S12" i="36"/>
  <c r="AW11" i="36"/>
  <c r="AR11" i="36"/>
  <c r="AM11" i="36"/>
  <c r="AH11" i="36"/>
  <c r="AC11" i="36"/>
  <c r="X11" i="36"/>
  <c r="S11" i="36"/>
  <c r="AW10" i="36"/>
  <c r="AR10" i="36"/>
  <c r="AM10" i="36"/>
  <c r="AH10" i="36"/>
  <c r="AC10" i="36"/>
  <c r="X10" i="36"/>
  <c r="S10" i="36"/>
  <c r="AW9" i="36"/>
  <c r="AR9" i="36"/>
  <c r="AM9" i="36"/>
  <c r="AH9" i="36"/>
  <c r="AC9" i="36"/>
  <c r="X9" i="36"/>
  <c r="S9" i="36"/>
  <c r="AW8" i="36"/>
  <c r="AR8" i="36"/>
  <c r="AM8" i="36"/>
  <c r="AH8" i="36"/>
  <c r="AC8" i="36"/>
  <c r="X8" i="36"/>
  <c r="S8" i="36"/>
  <c r="AW7" i="36"/>
  <c r="AR7" i="36"/>
  <c r="AM7" i="36"/>
  <c r="AH7" i="36"/>
  <c r="AC7" i="36"/>
  <c r="X7" i="36"/>
  <c r="S7" i="36"/>
  <c r="AW41" i="35"/>
  <c r="AR41" i="35"/>
  <c r="AM41" i="35"/>
  <c r="AH41" i="35"/>
  <c r="AC41" i="35"/>
  <c r="X41" i="35"/>
  <c r="S41" i="35"/>
  <c r="AW40" i="35"/>
  <c r="AR40" i="35"/>
  <c r="AM40" i="35"/>
  <c r="AH40" i="35"/>
  <c r="AC40" i="35"/>
  <c r="X40" i="35"/>
  <c r="S40" i="35"/>
  <c r="AW39" i="35"/>
  <c r="AR39" i="35"/>
  <c r="AM39" i="35"/>
  <c r="AH39" i="35"/>
  <c r="AC39" i="35"/>
  <c r="X39" i="35"/>
  <c r="S39" i="35"/>
  <c r="AW38" i="35"/>
  <c r="AR38" i="35"/>
  <c r="AM38" i="35"/>
  <c r="AH38" i="35"/>
  <c r="AC38" i="35"/>
  <c r="X38" i="35"/>
  <c r="S38" i="35"/>
  <c r="AW37" i="35"/>
  <c r="AR37" i="35"/>
  <c r="AM37" i="35"/>
  <c r="AH37" i="35"/>
  <c r="AC37" i="35"/>
  <c r="X37" i="35"/>
  <c r="S37" i="35"/>
  <c r="AW36" i="35"/>
  <c r="AR36" i="35"/>
  <c r="AM36" i="35"/>
  <c r="AH36" i="35"/>
  <c r="AC36" i="35"/>
  <c r="X36" i="35"/>
  <c r="S36" i="35"/>
  <c r="AW35" i="35"/>
  <c r="AR35" i="35"/>
  <c r="AM35" i="35"/>
  <c r="AH35" i="35"/>
  <c r="AC35" i="35"/>
  <c r="X35" i="35"/>
  <c r="S35" i="35"/>
  <c r="AW34" i="35"/>
  <c r="AR34" i="35"/>
  <c r="AM34" i="35"/>
  <c r="AH34" i="35"/>
  <c r="AC34" i="35"/>
  <c r="X34" i="35"/>
  <c r="S34" i="35"/>
  <c r="AW33" i="35"/>
  <c r="AR33" i="35"/>
  <c r="AM33" i="35"/>
  <c r="AH33" i="35"/>
  <c r="AC33" i="35"/>
  <c r="X33" i="35"/>
  <c r="S33" i="35"/>
  <c r="AW32" i="35"/>
  <c r="AR32" i="35"/>
  <c r="AM32" i="35"/>
  <c r="AH32" i="35"/>
  <c r="AC32" i="35"/>
  <c r="X32" i="35"/>
  <c r="S32" i="35"/>
  <c r="AW31" i="35"/>
  <c r="AR31" i="35"/>
  <c r="AM31" i="35"/>
  <c r="AH31" i="35"/>
  <c r="AC31" i="35"/>
  <c r="X31" i="35"/>
  <c r="S31" i="35"/>
  <c r="AW30" i="35"/>
  <c r="AR30" i="35"/>
  <c r="AM30" i="35"/>
  <c r="AH30" i="35"/>
  <c r="AC30" i="35"/>
  <c r="X30" i="35"/>
  <c r="S30" i="35"/>
  <c r="AW29" i="35"/>
  <c r="AR29" i="35"/>
  <c r="AM29" i="35"/>
  <c r="AH29" i="35"/>
  <c r="AC29" i="35"/>
  <c r="X29" i="35"/>
  <c r="S29" i="35"/>
  <c r="AW28" i="35"/>
  <c r="AR28" i="35"/>
  <c r="AM28" i="35"/>
  <c r="AH28" i="35"/>
  <c r="AC28" i="35"/>
  <c r="X28" i="35"/>
  <c r="S28" i="35"/>
  <c r="AW27" i="35"/>
  <c r="AR27" i="35"/>
  <c r="AM27" i="35"/>
  <c r="AH27" i="35"/>
  <c r="AC27" i="35"/>
  <c r="X27" i="35"/>
  <c r="S27" i="35"/>
  <c r="AW21" i="35"/>
  <c r="AR21" i="35"/>
  <c r="AM21" i="35"/>
  <c r="AH21" i="35"/>
  <c r="AC21" i="35"/>
  <c r="X21" i="35"/>
  <c r="S21" i="35"/>
  <c r="AW20" i="35"/>
  <c r="AR20" i="35"/>
  <c r="AM20" i="35"/>
  <c r="AH20" i="35"/>
  <c r="AC20" i="35"/>
  <c r="X20" i="35"/>
  <c r="S20" i="35"/>
  <c r="AW19" i="35"/>
  <c r="AR19" i="35"/>
  <c r="AM19" i="35"/>
  <c r="AH19" i="35"/>
  <c r="AC19" i="35"/>
  <c r="X19" i="35"/>
  <c r="S19" i="35"/>
  <c r="AW18" i="35"/>
  <c r="AR18" i="35"/>
  <c r="AM18" i="35"/>
  <c r="AH18" i="35"/>
  <c r="AC18" i="35"/>
  <c r="X18" i="35"/>
  <c r="S18" i="35"/>
  <c r="AW17" i="35"/>
  <c r="AR17" i="35"/>
  <c r="AM17" i="35"/>
  <c r="AH17" i="35"/>
  <c r="AC17" i="35"/>
  <c r="X17" i="35"/>
  <c r="S17" i="35"/>
  <c r="AW16" i="35"/>
  <c r="AR16" i="35"/>
  <c r="AM16" i="35"/>
  <c r="AH16" i="35"/>
  <c r="AC16" i="35"/>
  <c r="X16" i="35"/>
  <c r="S16" i="35"/>
  <c r="AW15" i="35"/>
  <c r="AR15" i="35"/>
  <c r="AM15" i="35"/>
  <c r="AH15" i="35"/>
  <c r="AC15" i="35"/>
  <c r="X15" i="35"/>
  <c r="S15" i="35"/>
  <c r="AW14" i="35"/>
  <c r="AR14" i="35"/>
  <c r="AM14" i="35"/>
  <c r="AH14" i="35"/>
  <c r="AC14" i="35"/>
  <c r="X14" i="35"/>
  <c r="S14" i="35"/>
  <c r="AW13" i="35"/>
  <c r="AR13" i="35"/>
  <c r="AM13" i="35"/>
  <c r="AH13" i="35"/>
  <c r="AC13" i="35"/>
  <c r="X13" i="35"/>
  <c r="S13" i="35"/>
  <c r="AW12" i="35"/>
  <c r="AR12" i="35"/>
  <c r="AM12" i="35"/>
  <c r="AH12" i="35"/>
  <c r="AC12" i="35"/>
  <c r="X12" i="35"/>
  <c r="S12" i="35"/>
  <c r="AW11" i="35"/>
  <c r="AR11" i="35"/>
  <c r="AM11" i="35"/>
  <c r="AH11" i="35"/>
  <c r="AC11" i="35"/>
  <c r="X11" i="35"/>
  <c r="S11" i="35"/>
  <c r="AW10" i="35"/>
  <c r="AR10" i="35"/>
  <c r="AM10" i="35"/>
  <c r="AH10" i="35"/>
  <c r="AC10" i="35"/>
  <c r="X10" i="35"/>
  <c r="S10" i="35"/>
  <c r="AW9" i="35"/>
  <c r="AR9" i="35"/>
  <c r="AM9" i="35"/>
  <c r="AH9" i="35"/>
  <c r="AC9" i="35"/>
  <c r="X9" i="35"/>
  <c r="S9" i="35"/>
  <c r="AW8" i="35"/>
  <c r="AR8" i="35"/>
  <c r="AM8" i="35"/>
  <c r="AH8" i="35"/>
  <c r="AC8" i="35"/>
  <c r="X8" i="35"/>
  <c r="S8" i="35"/>
  <c r="AW7" i="35"/>
  <c r="AR7" i="35"/>
  <c r="AM7" i="35"/>
  <c r="AH7" i="35"/>
  <c r="AC7" i="35"/>
  <c r="X7" i="35"/>
  <c r="S7" i="35"/>
  <c r="AW41" i="34"/>
  <c r="AR41" i="34"/>
  <c r="AM41" i="34"/>
  <c r="AH41" i="34"/>
  <c r="AC41" i="34"/>
  <c r="X41" i="34"/>
  <c r="S41" i="34"/>
  <c r="AW40" i="34"/>
  <c r="AR40" i="34"/>
  <c r="AM40" i="34"/>
  <c r="AH40" i="34"/>
  <c r="AC40" i="34"/>
  <c r="X40" i="34"/>
  <c r="S40" i="34"/>
  <c r="AW39" i="34"/>
  <c r="AR39" i="34"/>
  <c r="AM39" i="34"/>
  <c r="AH39" i="34"/>
  <c r="AC39" i="34"/>
  <c r="X39" i="34"/>
  <c r="S39" i="34"/>
  <c r="AW38" i="34"/>
  <c r="AR38" i="34"/>
  <c r="AM38" i="34"/>
  <c r="AH38" i="34"/>
  <c r="AC38" i="34"/>
  <c r="X38" i="34"/>
  <c r="S38" i="34"/>
  <c r="AW37" i="34"/>
  <c r="AR37" i="34"/>
  <c r="AM37" i="34"/>
  <c r="AH37" i="34"/>
  <c r="AC37" i="34"/>
  <c r="X37" i="34"/>
  <c r="S37" i="34"/>
  <c r="AW36" i="34"/>
  <c r="AR36" i="34"/>
  <c r="AM36" i="34"/>
  <c r="AH36" i="34"/>
  <c r="AC36" i="34"/>
  <c r="X36" i="34"/>
  <c r="S36" i="34"/>
  <c r="AW35" i="34"/>
  <c r="AR35" i="34"/>
  <c r="AM35" i="34"/>
  <c r="AH35" i="34"/>
  <c r="AC35" i="34"/>
  <c r="X35" i="34"/>
  <c r="S35" i="34"/>
  <c r="AW34" i="34"/>
  <c r="AR34" i="34"/>
  <c r="AM34" i="34"/>
  <c r="AH34" i="34"/>
  <c r="AC34" i="34"/>
  <c r="X34" i="34"/>
  <c r="S34" i="34"/>
  <c r="AW33" i="34"/>
  <c r="AR33" i="34"/>
  <c r="AM33" i="34"/>
  <c r="AH33" i="34"/>
  <c r="AC33" i="34"/>
  <c r="X33" i="34"/>
  <c r="S33" i="34"/>
  <c r="AW32" i="34"/>
  <c r="AR32" i="34"/>
  <c r="AM32" i="34"/>
  <c r="AH32" i="34"/>
  <c r="AC32" i="34"/>
  <c r="X32" i="34"/>
  <c r="S32" i="34"/>
  <c r="AW31" i="34"/>
  <c r="AR31" i="34"/>
  <c r="AM31" i="34"/>
  <c r="AH31" i="34"/>
  <c r="AC31" i="34"/>
  <c r="X31" i="34"/>
  <c r="S31" i="34"/>
  <c r="AW30" i="34"/>
  <c r="AR30" i="34"/>
  <c r="AM30" i="34"/>
  <c r="AH30" i="34"/>
  <c r="AC30" i="34"/>
  <c r="X30" i="34"/>
  <c r="S30" i="34"/>
  <c r="AW29" i="34"/>
  <c r="AR29" i="34"/>
  <c r="AM29" i="34"/>
  <c r="AH29" i="34"/>
  <c r="AC29" i="34"/>
  <c r="X29" i="34"/>
  <c r="S29" i="34"/>
  <c r="AW28" i="34"/>
  <c r="AR28" i="34"/>
  <c r="AM28" i="34"/>
  <c r="AH28" i="34"/>
  <c r="AC28" i="34"/>
  <c r="X28" i="34"/>
  <c r="S28" i="34"/>
  <c r="AW27" i="34"/>
  <c r="AR27" i="34"/>
  <c r="AM27" i="34"/>
  <c r="AH27" i="34"/>
  <c r="AC27" i="34"/>
  <c r="X27" i="34"/>
  <c r="S27" i="34"/>
  <c r="AW21" i="34"/>
  <c r="AR21" i="34"/>
  <c r="AM21" i="34"/>
  <c r="AH21" i="34"/>
  <c r="AC21" i="34"/>
  <c r="X21" i="34"/>
  <c r="S21" i="34"/>
  <c r="AW20" i="34"/>
  <c r="AR20" i="34"/>
  <c r="AM20" i="34"/>
  <c r="AH20" i="34"/>
  <c r="AC20" i="34"/>
  <c r="X20" i="34"/>
  <c r="S20" i="34"/>
  <c r="AW19" i="34"/>
  <c r="AR19" i="34"/>
  <c r="AM19" i="34"/>
  <c r="AH19" i="34"/>
  <c r="AC19" i="34"/>
  <c r="X19" i="34"/>
  <c r="S19" i="34"/>
  <c r="AW18" i="34"/>
  <c r="AR18" i="34"/>
  <c r="AM18" i="34"/>
  <c r="AH18" i="34"/>
  <c r="AC18" i="34"/>
  <c r="X18" i="34"/>
  <c r="S18" i="34"/>
  <c r="AW17" i="34"/>
  <c r="AR17" i="34"/>
  <c r="AM17" i="34"/>
  <c r="AH17" i="34"/>
  <c r="AC17" i="34"/>
  <c r="X17" i="34"/>
  <c r="S17" i="34"/>
  <c r="AW16" i="34"/>
  <c r="AR16" i="34"/>
  <c r="AM16" i="34"/>
  <c r="AH16" i="34"/>
  <c r="AC16" i="34"/>
  <c r="X16" i="34"/>
  <c r="S16" i="34"/>
  <c r="AW15" i="34"/>
  <c r="AR15" i="34"/>
  <c r="AM15" i="34"/>
  <c r="AH15" i="34"/>
  <c r="AC15" i="34"/>
  <c r="X15" i="34"/>
  <c r="S15" i="34"/>
  <c r="AW14" i="34"/>
  <c r="AR14" i="34"/>
  <c r="AM14" i="34"/>
  <c r="AH14" i="34"/>
  <c r="AC14" i="34"/>
  <c r="X14" i="34"/>
  <c r="S14" i="34"/>
  <c r="AW13" i="34"/>
  <c r="AR13" i="34"/>
  <c r="AM13" i="34"/>
  <c r="AH13" i="34"/>
  <c r="AC13" i="34"/>
  <c r="X13" i="34"/>
  <c r="S13" i="34"/>
  <c r="AW12" i="34"/>
  <c r="AR12" i="34"/>
  <c r="AM12" i="34"/>
  <c r="AH12" i="34"/>
  <c r="AC12" i="34"/>
  <c r="X12" i="34"/>
  <c r="S12" i="34"/>
  <c r="AW11" i="34"/>
  <c r="AR11" i="34"/>
  <c r="AM11" i="34"/>
  <c r="AH11" i="34"/>
  <c r="AC11" i="34"/>
  <c r="X11" i="34"/>
  <c r="S11" i="34"/>
  <c r="AW10" i="34"/>
  <c r="AR10" i="34"/>
  <c r="AM10" i="34"/>
  <c r="AH10" i="34"/>
  <c r="AC10" i="34"/>
  <c r="X10" i="34"/>
  <c r="S10" i="34"/>
  <c r="AW9" i="34"/>
  <c r="AR9" i="34"/>
  <c r="AM9" i="34"/>
  <c r="AH9" i="34"/>
  <c r="AC9" i="34"/>
  <c r="X9" i="34"/>
  <c r="S9" i="34"/>
  <c r="AW8" i="34"/>
  <c r="AR8" i="34"/>
  <c r="AM8" i="34"/>
  <c r="AH8" i="34"/>
  <c r="AC8" i="34"/>
  <c r="X8" i="34"/>
  <c r="S8" i="34"/>
  <c r="AW7" i="34"/>
  <c r="AR7" i="34"/>
  <c r="AM7" i="34"/>
  <c r="AH7" i="34"/>
  <c r="AC7" i="34"/>
  <c r="X7" i="34"/>
  <c r="S7" i="34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AW64" i="33"/>
  <c r="AR64" i="33"/>
  <c r="AM64" i="33"/>
  <c r="AH64" i="33"/>
  <c r="AC64" i="33"/>
  <c r="X64" i="33"/>
  <c r="S64" i="33"/>
  <c r="AW63" i="33"/>
  <c r="AR63" i="33"/>
  <c r="AM63" i="33"/>
  <c r="AH63" i="33"/>
  <c r="AC63" i="33"/>
  <c r="X63" i="33"/>
  <c r="S63" i="33"/>
  <c r="AW62" i="33"/>
  <c r="AR62" i="33"/>
  <c r="AM62" i="33"/>
  <c r="AH62" i="33"/>
  <c r="AC62" i="33"/>
  <c r="X62" i="33"/>
  <c r="S62" i="33"/>
  <c r="AW61" i="33"/>
  <c r="AR61" i="33"/>
  <c r="AM61" i="33"/>
  <c r="AH61" i="33"/>
  <c r="AC61" i="33"/>
  <c r="X61" i="33"/>
  <c r="S61" i="33"/>
  <c r="AW60" i="33"/>
  <c r="AR60" i="33"/>
  <c r="AM60" i="33"/>
  <c r="AH60" i="33"/>
  <c r="AC60" i="33"/>
  <c r="X60" i="33"/>
  <c r="S60" i="33"/>
  <c r="AW59" i="33"/>
  <c r="AR59" i="33"/>
  <c r="AM59" i="33"/>
  <c r="AH59" i="33"/>
  <c r="AC59" i="33"/>
  <c r="X59" i="33"/>
  <c r="S59" i="33"/>
  <c r="AW58" i="33"/>
  <c r="AR58" i="33"/>
  <c r="AM58" i="33"/>
  <c r="AH58" i="33"/>
  <c r="AC58" i="33"/>
  <c r="X58" i="33"/>
  <c r="S58" i="33"/>
  <c r="AW57" i="33"/>
  <c r="AR57" i="33"/>
  <c r="AM57" i="33"/>
  <c r="AH57" i="33"/>
  <c r="AC57" i="33"/>
  <c r="X57" i="33"/>
  <c r="S57" i="33"/>
  <c r="AW56" i="33"/>
  <c r="AR56" i="33"/>
  <c r="AM56" i="33"/>
  <c r="AH56" i="33"/>
  <c r="AC56" i="33"/>
  <c r="X56" i="33"/>
  <c r="S56" i="33"/>
  <c r="AW55" i="33"/>
  <c r="AR55" i="33"/>
  <c r="AM55" i="33"/>
  <c r="AH55" i="33"/>
  <c r="AC55" i="33"/>
  <c r="X55" i="33"/>
  <c r="S55" i="33"/>
  <c r="AW54" i="33"/>
  <c r="AR54" i="33"/>
  <c r="AM54" i="33"/>
  <c r="AH54" i="33"/>
  <c r="AC54" i="33"/>
  <c r="X54" i="33"/>
  <c r="S54" i="33"/>
  <c r="AW53" i="33"/>
  <c r="AR53" i="33"/>
  <c r="AM53" i="33"/>
  <c r="AH53" i="33"/>
  <c r="AC53" i="33"/>
  <c r="X53" i="33"/>
  <c r="S53" i="33"/>
  <c r="AW52" i="33"/>
  <c r="AR52" i="33"/>
  <c r="AM52" i="33"/>
  <c r="AH52" i="33"/>
  <c r="AC52" i="33"/>
  <c r="X52" i="33"/>
  <c r="S52" i="33"/>
  <c r="AW51" i="33"/>
  <c r="AR51" i="33"/>
  <c r="AM51" i="33"/>
  <c r="AH51" i="33"/>
  <c r="AC51" i="33"/>
  <c r="X51" i="33"/>
  <c r="S51" i="33"/>
  <c r="AW50" i="33"/>
  <c r="AR50" i="33"/>
  <c r="AM50" i="33"/>
  <c r="AH50" i="33"/>
  <c r="AC50" i="33"/>
  <c r="X50" i="33"/>
  <c r="S50" i="33"/>
  <c r="AW49" i="33"/>
  <c r="AR49" i="33"/>
  <c r="AM49" i="33"/>
  <c r="AH49" i="33"/>
  <c r="AC49" i="33"/>
  <c r="X49" i="33"/>
  <c r="S49" i="33"/>
  <c r="AW48" i="33"/>
  <c r="AR48" i="33"/>
  <c r="AM48" i="33"/>
  <c r="AH48" i="33"/>
  <c r="AC48" i="33"/>
  <c r="X48" i="33"/>
  <c r="S48" i="33"/>
  <c r="AW47" i="33"/>
  <c r="AR47" i="33"/>
  <c r="AM47" i="33"/>
  <c r="AH47" i="33"/>
  <c r="AC47" i="33"/>
  <c r="X47" i="33"/>
  <c r="S47" i="33"/>
  <c r="AW46" i="33"/>
  <c r="AR46" i="33"/>
  <c r="AM46" i="33"/>
  <c r="AH46" i="33"/>
  <c r="AC46" i="33"/>
  <c r="X46" i="33"/>
  <c r="S46" i="33"/>
  <c r="AW45" i="33"/>
  <c r="AR45" i="33"/>
  <c r="AM45" i="33"/>
  <c r="AH45" i="33"/>
  <c r="AC45" i="33"/>
  <c r="X45" i="33"/>
  <c r="S45" i="33"/>
  <c r="AW44" i="33"/>
  <c r="AR44" i="33"/>
  <c r="AM44" i="33"/>
  <c r="AH44" i="33"/>
  <c r="AC44" i="33"/>
  <c r="X44" i="33"/>
  <c r="S44" i="33"/>
  <c r="AW43" i="33"/>
  <c r="AR43" i="33"/>
  <c r="AM43" i="33"/>
  <c r="AH43" i="33"/>
  <c r="AC43" i="33"/>
  <c r="X43" i="33"/>
  <c r="S43" i="33"/>
  <c r="AW42" i="33"/>
  <c r="AR42" i="33"/>
  <c r="AM42" i="33"/>
  <c r="AH42" i="33"/>
  <c r="AC42" i="33"/>
  <c r="X42" i="33"/>
  <c r="S42" i="33"/>
  <c r="AW36" i="33"/>
  <c r="AR36" i="33"/>
  <c r="AM36" i="33"/>
  <c r="AH36" i="33"/>
  <c r="AC36" i="33"/>
  <c r="X36" i="33"/>
  <c r="S36" i="33"/>
  <c r="AW35" i="33"/>
  <c r="AR35" i="33"/>
  <c r="AM35" i="33"/>
  <c r="AH35" i="33"/>
  <c r="AC35" i="33"/>
  <c r="X35" i="33"/>
  <c r="S35" i="33"/>
  <c r="AW34" i="33"/>
  <c r="AR34" i="33"/>
  <c r="AM34" i="33"/>
  <c r="AH34" i="33"/>
  <c r="AC34" i="33"/>
  <c r="X34" i="33"/>
  <c r="S34" i="33"/>
  <c r="AW33" i="33"/>
  <c r="AR33" i="33"/>
  <c r="AM33" i="33"/>
  <c r="AH33" i="33"/>
  <c r="AC33" i="33"/>
  <c r="X33" i="33"/>
  <c r="S33" i="33"/>
  <c r="AW32" i="33"/>
  <c r="AR32" i="33"/>
  <c r="AM32" i="33"/>
  <c r="AH32" i="33"/>
  <c r="AC32" i="33"/>
  <c r="X32" i="33"/>
  <c r="S32" i="33"/>
  <c r="AW31" i="33"/>
  <c r="AR31" i="33"/>
  <c r="AM31" i="33"/>
  <c r="AH31" i="33"/>
  <c r="AC31" i="33"/>
  <c r="X31" i="33"/>
  <c r="S31" i="33"/>
  <c r="AW30" i="33"/>
  <c r="AR30" i="33"/>
  <c r="AM30" i="33"/>
  <c r="AH30" i="33"/>
  <c r="AC30" i="33"/>
  <c r="X30" i="33"/>
  <c r="S30" i="33"/>
  <c r="AW29" i="33"/>
  <c r="AR29" i="33"/>
  <c r="AM29" i="33"/>
  <c r="AH29" i="33"/>
  <c r="AC29" i="33"/>
  <c r="X29" i="33"/>
  <c r="S29" i="33"/>
  <c r="AW28" i="33"/>
  <c r="AR28" i="33"/>
  <c r="AM28" i="33"/>
  <c r="AH28" i="33"/>
  <c r="AC28" i="33"/>
  <c r="X28" i="33"/>
  <c r="S28" i="33"/>
  <c r="AW27" i="33"/>
  <c r="AR27" i="33"/>
  <c r="AM27" i="33"/>
  <c r="AH27" i="33"/>
  <c r="AC27" i="33"/>
  <c r="X27" i="33"/>
  <c r="S27" i="33"/>
  <c r="AW26" i="33"/>
  <c r="AR26" i="33"/>
  <c r="AM26" i="33"/>
  <c r="AH26" i="33"/>
  <c r="AC26" i="33"/>
  <c r="X26" i="33"/>
  <c r="S26" i="33"/>
  <c r="AW25" i="33"/>
  <c r="AR25" i="33"/>
  <c r="AM25" i="33"/>
  <c r="AH25" i="33"/>
  <c r="AC25" i="33"/>
  <c r="X25" i="33"/>
  <c r="S25" i="33"/>
  <c r="AW24" i="33"/>
  <c r="AR24" i="33"/>
  <c r="AM24" i="33"/>
  <c r="AH24" i="33"/>
  <c r="AC24" i="33"/>
  <c r="X24" i="33"/>
  <c r="S24" i="33"/>
  <c r="AW23" i="33"/>
  <c r="AR23" i="33"/>
  <c r="AM23" i="33"/>
  <c r="AH23" i="33"/>
  <c r="AC23" i="33"/>
  <c r="X23" i="33"/>
  <c r="S23" i="33"/>
  <c r="AW22" i="33"/>
  <c r="AR22" i="33"/>
  <c r="AM22" i="33"/>
  <c r="AH22" i="33"/>
  <c r="AC22" i="33"/>
  <c r="X22" i="33"/>
  <c r="S22" i="33"/>
  <c r="AW21" i="33"/>
  <c r="AR21" i="33"/>
  <c r="AM21" i="33"/>
  <c r="AH21" i="33"/>
  <c r="AC21" i="33"/>
  <c r="X21" i="33"/>
  <c r="S21" i="33"/>
  <c r="AW20" i="33"/>
  <c r="AR20" i="33"/>
  <c r="AM20" i="33"/>
  <c r="AH20" i="33"/>
  <c r="AC20" i="33"/>
  <c r="X20" i="33"/>
  <c r="S20" i="33"/>
  <c r="AW19" i="33"/>
  <c r="AR19" i="33"/>
  <c r="AM19" i="33"/>
  <c r="AH19" i="33"/>
  <c r="AC19" i="33"/>
  <c r="X19" i="33"/>
  <c r="S19" i="33"/>
  <c r="AW18" i="33"/>
  <c r="AR18" i="33"/>
  <c r="AM18" i="33"/>
  <c r="AH18" i="33"/>
  <c r="AC18" i="33"/>
  <c r="X18" i="33"/>
  <c r="S18" i="33"/>
  <c r="AW17" i="33"/>
  <c r="AR17" i="33"/>
  <c r="AM17" i="33"/>
  <c r="AH17" i="33"/>
  <c r="AC17" i="33"/>
  <c r="X17" i="33"/>
  <c r="S17" i="33"/>
  <c r="AW16" i="33"/>
  <c r="AR16" i="33"/>
  <c r="AM16" i="33"/>
  <c r="AH16" i="33"/>
  <c r="AC16" i="33"/>
  <c r="X16" i="33"/>
  <c r="S16" i="33"/>
  <c r="AW15" i="33"/>
  <c r="AR15" i="33"/>
  <c r="AM15" i="33"/>
  <c r="AH15" i="33"/>
  <c r="AC15" i="33"/>
  <c r="X15" i="33"/>
  <c r="S15" i="33"/>
  <c r="AW14" i="33"/>
  <c r="AR14" i="33"/>
  <c r="AM14" i="33"/>
  <c r="AH14" i="33"/>
  <c r="AC14" i="33"/>
  <c r="X14" i="33"/>
  <c r="S14" i="33"/>
  <c r="AW13" i="33"/>
  <c r="AR13" i="33"/>
  <c r="AM13" i="33"/>
  <c r="AH13" i="33"/>
  <c r="AC13" i="33"/>
  <c r="X13" i="33"/>
  <c r="S13" i="33"/>
  <c r="AW12" i="33"/>
  <c r="AR12" i="33"/>
  <c r="AM12" i="33"/>
  <c r="AH12" i="33"/>
  <c r="AC12" i="33"/>
  <c r="X12" i="33"/>
  <c r="S12" i="33"/>
  <c r="AW11" i="33"/>
  <c r="AR11" i="33"/>
  <c r="AM11" i="33"/>
  <c r="AH11" i="33"/>
  <c r="AC11" i="33"/>
  <c r="X11" i="33"/>
  <c r="S11" i="33"/>
  <c r="AW10" i="33"/>
  <c r="AR10" i="33"/>
  <c r="AM10" i="33"/>
  <c r="AH10" i="33"/>
  <c r="AC10" i="33"/>
  <c r="X10" i="33"/>
  <c r="S10" i="33"/>
  <c r="AW9" i="33"/>
  <c r="AR9" i="33"/>
  <c r="AM9" i="33"/>
  <c r="AH9" i="33"/>
  <c r="AC9" i="33"/>
  <c r="X9" i="33"/>
  <c r="S9" i="33"/>
  <c r="AW8" i="33"/>
  <c r="AR8" i="33"/>
  <c r="AM8" i="33"/>
  <c r="AH8" i="33"/>
  <c r="AC8" i="33"/>
  <c r="X8" i="33"/>
  <c r="S8" i="33"/>
  <c r="AW7" i="33"/>
  <c r="AR7" i="33"/>
  <c r="AM7" i="33"/>
  <c r="AH7" i="33"/>
  <c r="AC7" i="33"/>
  <c r="X7" i="33"/>
  <c r="S7" i="33"/>
  <c r="AW41" i="31"/>
  <c r="AR41" i="31"/>
  <c r="AM41" i="31"/>
  <c r="AH41" i="31"/>
  <c r="AC41" i="31"/>
  <c r="X41" i="31"/>
  <c r="S41" i="31"/>
  <c r="AW40" i="31"/>
  <c r="AR40" i="31"/>
  <c r="AM40" i="31"/>
  <c r="AH40" i="31"/>
  <c r="AC40" i="31"/>
  <c r="X40" i="31"/>
  <c r="S40" i="31"/>
  <c r="AW39" i="31"/>
  <c r="AR39" i="31"/>
  <c r="AM39" i="31"/>
  <c r="AH39" i="31"/>
  <c r="AC39" i="31"/>
  <c r="X39" i="31"/>
  <c r="S39" i="31"/>
  <c r="AW38" i="31"/>
  <c r="AR38" i="31"/>
  <c r="AM38" i="31"/>
  <c r="AH38" i="31"/>
  <c r="AC38" i="31"/>
  <c r="X38" i="31"/>
  <c r="S38" i="31"/>
  <c r="AW37" i="31"/>
  <c r="AR37" i="31"/>
  <c r="AM37" i="31"/>
  <c r="AH37" i="31"/>
  <c r="AC37" i="31"/>
  <c r="X37" i="31"/>
  <c r="S37" i="31"/>
  <c r="AW36" i="31"/>
  <c r="AR36" i="31"/>
  <c r="AM36" i="31"/>
  <c r="AH36" i="31"/>
  <c r="AC36" i="31"/>
  <c r="X36" i="31"/>
  <c r="S36" i="31"/>
  <c r="AW35" i="31"/>
  <c r="AR35" i="31"/>
  <c r="AM35" i="31"/>
  <c r="AH35" i="31"/>
  <c r="AC35" i="31"/>
  <c r="X35" i="31"/>
  <c r="S35" i="31"/>
  <c r="AW34" i="31"/>
  <c r="AR34" i="31"/>
  <c r="AM34" i="31"/>
  <c r="AH34" i="31"/>
  <c r="AC34" i="31"/>
  <c r="X34" i="31"/>
  <c r="S34" i="31"/>
  <c r="AW33" i="31"/>
  <c r="AR33" i="31"/>
  <c r="AM33" i="31"/>
  <c r="AH33" i="31"/>
  <c r="AC33" i="31"/>
  <c r="X33" i="31"/>
  <c r="S33" i="31"/>
  <c r="AW32" i="31"/>
  <c r="AR32" i="31"/>
  <c r="AM32" i="31"/>
  <c r="AH32" i="31"/>
  <c r="AC32" i="31"/>
  <c r="X32" i="31"/>
  <c r="S32" i="31"/>
  <c r="AW31" i="31"/>
  <c r="AR31" i="31"/>
  <c r="AM31" i="31"/>
  <c r="AH31" i="31"/>
  <c r="AC31" i="31"/>
  <c r="X31" i="31"/>
  <c r="S31" i="31"/>
  <c r="AW30" i="31"/>
  <c r="AR30" i="31"/>
  <c r="AM30" i="31"/>
  <c r="AH30" i="31"/>
  <c r="AC30" i="31"/>
  <c r="X30" i="31"/>
  <c r="S30" i="31"/>
  <c r="AW29" i="31"/>
  <c r="AR29" i="31"/>
  <c r="AM29" i="31"/>
  <c r="AH29" i="31"/>
  <c r="AC29" i="31"/>
  <c r="X29" i="31"/>
  <c r="S29" i="31"/>
  <c r="AW28" i="31"/>
  <c r="AR28" i="31"/>
  <c r="AM28" i="31"/>
  <c r="AH28" i="31"/>
  <c r="AC28" i="31"/>
  <c r="X28" i="31"/>
  <c r="S28" i="31"/>
  <c r="AW27" i="31"/>
  <c r="AR27" i="31"/>
  <c r="AM27" i="31"/>
  <c r="AH27" i="31"/>
  <c r="AC27" i="31"/>
  <c r="X27" i="31"/>
  <c r="S27" i="31"/>
  <c r="AW21" i="31"/>
  <c r="AR21" i="31"/>
  <c r="AM21" i="31"/>
  <c r="AH21" i="31"/>
  <c r="AC21" i="31"/>
  <c r="X21" i="31"/>
  <c r="S21" i="31"/>
  <c r="AW20" i="31"/>
  <c r="AR20" i="31"/>
  <c r="AM20" i="31"/>
  <c r="AH20" i="31"/>
  <c r="AC20" i="31"/>
  <c r="X20" i="31"/>
  <c r="S20" i="31"/>
  <c r="AW19" i="31"/>
  <c r="AR19" i="31"/>
  <c r="AM19" i="31"/>
  <c r="AH19" i="31"/>
  <c r="AC19" i="31"/>
  <c r="X19" i="31"/>
  <c r="S19" i="31"/>
  <c r="AW18" i="31"/>
  <c r="AR18" i="31"/>
  <c r="AM18" i="31"/>
  <c r="AH18" i="31"/>
  <c r="AC18" i="31"/>
  <c r="X18" i="31"/>
  <c r="S18" i="31"/>
  <c r="AW17" i="31"/>
  <c r="AR17" i="31"/>
  <c r="AM17" i="31"/>
  <c r="AH17" i="31"/>
  <c r="AC17" i="31"/>
  <c r="X17" i="31"/>
  <c r="S17" i="31"/>
  <c r="AW16" i="31"/>
  <c r="AR16" i="31"/>
  <c r="AM16" i="31"/>
  <c r="AH16" i="31"/>
  <c r="AC16" i="31"/>
  <c r="X16" i="31"/>
  <c r="S16" i="31"/>
  <c r="AW15" i="31"/>
  <c r="AR15" i="31"/>
  <c r="AM15" i="31"/>
  <c r="AH15" i="31"/>
  <c r="AC15" i="31"/>
  <c r="X15" i="31"/>
  <c r="S15" i="31"/>
  <c r="AW14" i="31"/>
  <c r="AR14" i="31"/>
  <c r="AM14" i="31"/>
  <c r="AH14" i="31"/>
  <c r="AC14" i="31"/>
  <c r="X14" i="31"/>
  <c r="S14" i="31"/>
  <c r="AW13" i="31"/>
  <c r="AR13" i="31"/>
  <c r="AM13" i="31"/>
  <c r="AH13" i="31"/>
  <c r="AC13" i="31"/>
  <c r="X13" i="31"/>
  <c r="S13" i="31"/>
  <c r="AW12" i="31"/>
  <c r="AR12" i="31"/>
  <c r="AM12" i="31"/>
  <c r="AH12" i="31"/>
  <c r="AC12" i="31"/>
  <c r="X12" i="31"/>
  <c r="S12" i="31"/>
  <c r="AW11" i="31"/>
  <c r="AR11" i="31"/>
  <c r="AM11" i="31"/>
  <c r="AH11" i="31"/>
  <c r="AC11" i="31"/>
  <c r="X11" i="31"/>
  <c r="S11" i="31"/>
  <c r="AW10" i="31"/>
  <c r="AR10" i="31"/>
  <c r="AM10" i="31"/>
  <c r="AH10" i="31"/>
  <c r="AC10" i="31"/>
  <c r="X10" i="31"/>
  <c r="S10" i="31"/>
  <c r="AW9" i="31"/>
  <c r="AR9" i="31"/>
  <c r="AM9" i="31"/>
  <c r="AH9" i="31"/>
  <c r="AC9" i="31"/>
  <c r="X9" i="31"/>
  <c r="S9" i="31"/>
  <c r="AW8" i="31"/>
  <c r="AR8" i="31"/>
  <c r="AM8" i="31"/>
  <c r="AH8" i="31"/>
  <c r="AC8" i="31"/>
  <c r="X8" i="31"/>
  <c r="S8" i="31"/>
  <c r="AW7" i="31"/>
  <c r="AR7" i="31"/>
  <c r="AM7" i="31"/>
  <c r="AH7" i="31"/>
  <c r="AC7" i="31"/>
  <c r="X7" i="31"/>
  <c r="S7" i="31"/>
  <c r="AW41" i="32"/>
  <c r="AR41" i="32"/>
  <c r="AM41" i="32"/>
  <c r="AH41" i="32"/>
  <c r="AC41" i="32"/>
  <c r="X41" i="32"/>
  <c r="S41" i="32"/>
  <c r="AW40" i="32"/>
  <c r="AR40" i="32"/>
  <c r="AM40" i="32"/>
  <c r="AH40" i="32"/>
  <c r="AC40" i="32"/>
  <c r="X40" i="32"/>
  <c r="S40" i="32"/>
  <c r="AW39" i="32"/>
  <c r="AR39" i="32"/>
  <c r="AM39" i="32"/>
  <c r="AH39" i="32"/>
  <c r="AC39" i="32"/>
  <c r="X39" i="32"/>
  <c r="S39" i="32"/>
  <c r="AW38" i="32"/>
  <c r="AR38" i="32"/>
  <c r="AM38" i="32"/>
  <c r="AH38" i="32"/>
  <c r="AC38" i="32"/>
  <c r="X38" i="32"/>
  <c r="S38" i="32"/>
  <c r="AW37" i="32"/>
  <c r="AR37" i="32"/>
  <c r="AM37" i="32"/>
  <c r="AH37" i="32"/>
  <c r="AC37" i="32"/>
  <c r="X37" i="32"/>
  <c r="S37" i="32"/>
  <c r="AW36" i="32"/>
  <c r="AR36" i="32"/>
  <c r="AM36" i="32"/>
  <c r="AH36" i="32"/>
  <c r="AC36" i="32"/>
  <c r="X36" i="32"/>
  <c r="S36" i="32"/>
  <c r="AW35" i="32"/>
  <c r="AR35" i="32"/>
  <c r="AM35" i="32"/>
  <c r="AH35" i="32"/>
  <c r="AC35" i="32"/>
  <c r="X35" i="32"/>
  <c r="S35" i="32"/>
  <c r="AW34" i="32"/>
  <c r="AR34" i="32"/>
  <c r="AM34" i="32"/>
  <c r="AH34" i="32"/>
  <c r="AC34" i="32"/>
  <c r="X34" i="32"/>
  <c r="S34" i="32"/>
  <c r="AW33" i="32"/>
  <c r="AR33" i="32"/>
  <c r="AM33" i="32"/>
  <c r="AH33" i="32"/>
  <c r="AC33" i="32"/>
  <c r="X33" i="32"/>
  <c r="S33" i="32"/>
  <c r="AW32" i="32"/>
  <c r="AR32" i="32"/>
  <c r="AM32" i="32"/>
  <c r="AH32" i="32"/>
  <c r="AC32" i="32"/>
  <c r="X32" i="32"/>
  <c r="S32" i="32"/>
  <c r="AW31" i="32"/>
  <c r="AR31" i="32"/>
  <c r="AM31" i="32"/>
  <c r="AH31" i="32"/>
  <c r="AC31" i="32"/>
  <c r="X31" i="32"/>
  <c r="S31" i="32"/>
  <c r="AW30" i="32"/>
  <c r="AR30" i="32"/>
  <c r="AM30" i="32"/>
  <c r="AH30" i="32"/>
  <c r="AC30" i="32"/>
  <c r="X30" i="32"/>
  <c r="S30" i="32"/>
  <c r="AW29" i="32"/>
  <c r="AR29" i="32"/>
  <c r="AM29" i="32"/>
  <c r="AH29" i="32"/>
  <c r="AC29" i="32"/>
  <c r="X29" i="32"/>
  <c r="S29" i="32"/>
  <c r="AW28" i="32"/>
  <c r="AR28" i="32"/>
  <c r="AM28" i="32"/>
  <c r="AH28" i="32"/>
  <c r="AC28" i="32"/>
  <c r="X28" i="32"/>
  <c r="S28" i="32"/>
  <c r="AW27" i="32"/>
  <c r="AR27" i="32"/>
  <c r="AM27" i="32"/>
  <c r="AH27" i="32"/>
  <c r="AC27" i="32"/>
  <c r="X27" i="32"/>
  <c r="S27" i="32"/>
  <c r="AW21" i="32"/>
  <c r="AR21" i="32"/>
  <c r="AM21" i="32"/>
  <c r="AH21" i="32"/>
  <c r="AC21" i="32"/>
  <c r="X21" i="32"/>
  <c r="S21" i="32"/>
  <c r="AW20" i="32"/>
  <c r="AR20" i="32"/>
  <c r="AM20" i="32"/>
  <c r="AH20" i="32"/>
  <c r="AC20" i="32"/>
  <c r="X20" i="32"/>
  <c r="S20" i="32"/>
  <c r="AW19" i="32"/>
  <c r="AR19" i="32"/>
  <c r="AM19" i="32"/>
  <c r="AH19" i="32"/>
  <c r="AC19" i="32"/>
  <c r="X19" i="32"/>
  <c r="S19" i="32"/>
  <c r="AW18" i="32"/>
  <c r="AR18" i="32"/>
  <c r="AM18" i="32"/>
  <c r="AH18" i="32"/>
  <c r="AC18" i="32"/>
  <c r="X18" i="32"/>
  <c r="S18" i="32"/>
  <c r="AW17" i="32"/>
  <c r="AR17" i="32"/>
  <c r="AM17" i="32"/>
  <c r="AH17" i="32"/>
  <c r="AC17" i="32"/>
  <c r="X17" i="32"/>
  <c r="S17" i="32"/>
  <c r="AW16" i="32"/>
  <c r="AR16" i="32"/>
  <c r="AM16" i="32"/>
  <c r="AH16" i="32"/>
  <c r="AC16" i="32"/>
  <c r="X16" i="32"/>
  <c r="S16" i="32"/>
  <c r="AW15" i="32"/>
  <c r="AR15" i="32"/>
  <c r="AM15" i="32"/>
  <c r="AH15" i="32"/>
  <c r="AC15" i="32"/>
  <c r="X15" i="32"/>
  <c r="S15" i="32"/>
  <c r="AW14" i="32"/>
  <c r="AR14" i="32"/>
  <c r="AM14" i="32"/>
  <c r="AH14" i="32"/>
  <c r="AC14" i="32"/>
  <c r="X14" i="32"/>
  <c r="S14" i="32"/>
  <c r="AW13" i="32"/>
  <c r="AR13" i="32"/>
  <c r="AM13" i="32"/>
  <c r="AH13" i="32"/>
  <c r="AC13" i="32"/>
  <c r="X13" i="32"/>
  <c r="S13" i="32"/>
  <c r="AW12" i="32"/>
  <c r="AR12" i="32"/>
  <c r="AM12" i="32"/>
  <c r="AH12" i="32"/>
  <c r="AC12" i="32"/>
  <c r="X12" i="32"/>
  <c r="S12" i="32"/>
  <c r="AW11" i="32"/>
  <c r="AR11" i="32"/>
  <c r="AM11" i="32"/>
  <c r="AH11" i="32"/>
  <c r="AC11" i="32"/>
  <c r="X11" i="32"/>
  <c r="S11" i="32"/>
  <c r="AW10" i="32"/>
  <c r="AR10" i="32"/>
  <c r="AM10" i="32"/>
  <c r="AH10" i="32"/>
  <c r="AC10" i="32"/>
  <c r="X10" i="32"/>
  <c r="S10" i="32"/>
  <c r="AW9" i="32"/>
  <c r="AR9" i="32"/>
  <c r="AM9" i="32"/>
  <c r="AH9" i="32"/>
  <c r="AC9" i="32"/>
  <c r="X9" i="32"/>
  <c r="S9" i="32"/>
  <c r="AW8" i="32"/>
  <c r="AR8" i="32"/>
  <c r="AM8" i="32"/>
  <c r="AH8" i="32"/>
  <c r="AC8" i="32"/>
  <c r="X8" i="32"/>
  <c r="S8" i="32"/>
  <c r="AW7" i="32"/>
  <c r="AR7" i="32"/>
  <c r="AM7" i="32"/>
  <c r="AH7" i="32"/>
  <c r="AC7" i="32"/>
  <c r="X7" i="32"/>
  <c r="S7" i="32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AW32" i="30"/>
  <c r="AR32" i="30"/>
  <c r="AM32" i="30"/>
  <c r="AH32" i="30"/>
  <c r="AC32" i="30"/>
  <c r="X32" i="30"/>
  <c r="S32" i="30"/>
  <c r="AW31" i="30"/>
  <c r="AR31" i="30"/>
  <c r="AM31" i="30"/>
  <c r="AH31" i="30"/>
  <c r="AC31" i="30"/>
  <c r="X31" i="30"/>
  <c r="S31" i="30"/>
  <c r="AW30" i="30"/>
  <c r="AR30" i="30"/>
  <c r="AM30" i="30"/>
  <c r="AH30" i="30"/>
  <c r="AC30" i="30"/>
  <c r="X30" i="30"/>
  <c r="S30" i="30"/>
  <c r="AW29" i="30"/>
  <c r="AR29" i="30"/>
  <c r="AM29" i="30"/>
  <c r="AH29" i="30"/>
  <c r="AC29" i="30"/>
  <c r="X29" i="30"/>
  <c r="S29" i="30"/>
  <c r="AW28" i="30"/>
  <c r="AR28" i="30"/>
  <c r="AM28" i="30"/>
  <c r="AH28" i="30"/>
  <c r="AC28" i="30"/>
  <c r="X28" i="30"/>
  <c r="S28" i="30"/>
  <c r="AW27" i="30"/>
  <c r="AR27" i="30"/>
  <c r="AM27" i="30"/>
  <c r="AH27" i="30"/>
  <c r="AC27" i="30"/>
  <c r="X27" i="30"/>
  <c r="S27" i="30"/>
  <c r="AW21" i="30"/>
  <c r="AR21" i="30"/>
  <c r="AM21" i="30"/>
  <c r="AH21" i="30"/>
  <c r="AC21" i="30"/>
  <c r="X21" i="30"/>
  <c r="S21" i="30"/>
  <c r="AW20" i="30"/>
  <c r="AR20" i="30"/>
  <c r="AM20" i="30"/>
  <c r="AH20" i="30"/>
  <c r="AC20" i="30"/>
  <c r="X20" i="30"/>
  <c r="S20" i="30"/>
  <c r="AW19" i="30"/>
  <c r="AR19" i="30"/>
  <c r="AM19" i="30"/>
  <c r="AH19" i="30"/>
  <c r="AC19" i="30"/>
  <c r="X19" i="30"/>
  <c r="S19" i="30"/>
  <c r="AW18" i="30"/>
  <c r="AR18" i="30"/>
  <c r="AM18" i="30"/>
  <c r="AH18" i="30"/>
  <c r="AC18" i="30"/>
  <c r="X18" i="30"/>
  <c r="S18" i="30"/>
  <c r="AW17" i="30"/>
  <c r="AR17" i="30"/>
  <c r="AM17" i="30"/>
  <c r="AH17" i="30"/>
  <c r="AC17" i="30"/>
  <c r="X17" i="30"/>
  <c r="S17" i="30"/>
  <c r="AW16" i="30"/>
  <c r="AR16" i="30"/>
  <c r="AM16" i="30"/>
  <c r="AH16" i="30"/>
  <c r="AC16" i="30"/>
  <c r="X16" i="30"/>
  <c r="S16" i="30"/>
  <c r="AW15" i="30"/>
  <c r="AR15" i="30"/>
  <c r="AM15" i="30"/>
  <c r="AH15" i="30"/>
  <c r="AC15" i="30"/>
  <c r="X15" i="30"/>
  <c r="S15" i="30"/>
  <c r="AW14" i="30"/>
  <c r="AR14" i="30"/>
  <c r="AM14" i="30"/>
  <c r="AH14" i="30"/>
  <c r="AC14" i="30"/>
  <c r="X14" i="30"/>
  <c r="S14" i="30"/>
  <c r="AW13" i="30"/>
  <c r="AR13" i="30"/>
  <c r="AM13" i="30"/>
  <c r="AH13" i="30"/>
  <c r="AC13" i="30"/>
  <c r="X13" i="30"/>
  <c r="S13" i="30"/>
  <c r="AW12" i="30"/>
  <c r="AR12" i="30"/>
  <c r="AM12" i="30"/>
  <c r="AH12" i="30"/>
  <c r="AC12" i="30"/>
  <c r="X12" i="30"/>
  <c r="S12" i="30"/>
  <c r="AW11" i="30"/>
  <c r="AR11" i="30"/>
  <c r="AM11" i="30"/>
  <c r="AH11" i="30"/>
  <c r="AC11" i="30"/>
  <c r="X11" i="30"/>
  <c r="S11" i="30"/>
  <c r="AW10" i="30"/>
  <c r="AR10" i="30"/>
  <c r="AM10" i="30"/>
  <c r="AH10" i="30"/>
  <c r="AC10" i="30"/>
  <c r="X10" i="30"/>
  <c r="S10" i="30"/>
  <c r="AW9" i="30"/>
  <c r="AR9" i="30"/>
  <c r="AM9" i="30"/>
  <c r="AH9" i="30"/>
  <c r="AC9" i="30"/>
  <c r="X9" i="30"/>
  <c r="S9" i="30"/>
  <c r="AW8" i="30"/>
  <c r="AR8" i="30"/>
  <c r="AM8" i="30"/>
  <c r="AH8" i="30"/>
  <c r="AC8" i="30"/>
  <c r="X8" i="30"/>
  <c r="S8" i="30"/>
  <c r="AW7" i="30"/>
  <c r="AR7" i="30"/>
  <c r="AM7" i="30"/>
  <c r="AH7" i="30"/>
  <c r="AC7" i="30"/>
  <c r="X7" i="30"/>
  <c r="S7" i="30"/>
  <c r="AW71" i="8"/>
  <c r="AR71" i="8"/>
  <c r="AM71" i="8"/>
  <c r="AH71" i="8"/>
  <c r="AC71" i="8"/>
  <c r="X71" i="8"/>
  <c r="S71" i="8"/>
  <c r="AW70" i="8"/>
  <c r="AR70" i="8"/>
  <c r="AM70" i="8"/>
  <c r="AH70" i="8"/>
  <c r="AC70" i="8"/>
  <c r="X70" i="8"/>
  <c r="S70" i="8"/>
  <c r="AW69" i="8"/>
  <c r="AR69" i="8"/>
  <c r="AM69" i="8"/>
  <c r="AH69" i="8"/>
  <c r="AC69" i="8"/>
  <c r="X69" i="8"/>
  <c r="S69" i="8"/>
  <c r="AW68" i="8"/>
  <c r="AR68" i="8"/>
  <c r="AM68" i="8"/>
  <c r="AH68" i="8"/>
  <c r="AC68" i="8"/>
  <c r="X68" i="8"/>
  <c r="S68" i="8"/>
  <c r="AW67" i="8"/>
  <c r="AR67" i="8"/>
  <c r="AM67" i="8"/>
  <c r="AH67" i="8"/>
  <c r="AC67" i="8"/>
  <c r="X67" i="8"/>
  <c r="S67" i="8"/>
  <c r="AW66" i="8"/>
  <c r="AR66" i="8"/>
  <c r="AM66" i="8"/>
  <c r="AH66" i="8"/>
  <c r="AC66" i="8"/>
  <c r="X66" i="8"/>
  <c r="S66" i="8"/>
  <c r="AW65" i="8"/>
  <c r="AR65" i="8"/>
  <c r="AM65" i="8"/>
  <c r="AH65" i="8"/>
  <c r="AC65" i="8"/>
  <c r="X65" i="8"/>
  <c r="S65" i="8"/>
  <c r="AW64" i="8"/>
  <c r="AR64" i="8"/>
  <c r="AM64" i="8"/>
  <c r="AH64" i="8"/>
  <c r="AC64" i="8"/>
  <c r="X64" i="8"/>
  <c r="S64" i="8"/>
  <c r="AW63" i="8"/>
  <c r="AR63" i="8"/>
  <c r="AM63" i="8"/>
  <c r="AH63" i="8"/>
  <c r="AC63" i="8"/>
  <c r="X63" i="8"/>
  <c r="S63" i="8"/>
  <c r="AW62" i="8"/>
  <c r="AR62" i="8"/>
  <c r="AM62" i="8"/>
  <c r="AH62" i="8"/>
  <c r="AC62" i="8"/>
  <c r="X62" i="8"/>
  <c r="S62" i="8"/>
  <c r="AW61" i="8"/>
  <c r="AR61" i="8"/>
  <c r="AM61" i="8"/>
  <c r="AH61" i="8"/>
  <c r="AC61" i="8"/>
  <c r="X61" i="8"/>
  <c r="S61" i="8"/>
  <c r="AW60" i="8"/>
  <c r="AR60" i="8"/>
  <c r="AM60" i="8"/>
  <c r="AH60" i="8"/>
  <c r="AC60" i="8"/>
  <c r="X60" i="8"/>
  <c r="S60" i="8"/>
  <c r="AW59" i="8"/>
  <c r="AR59" i="8"/>
  <c r="AM59" i="8"/>
  <c r="AH59" i="8"/>
  <c r="AC59" i="8"/>
  <c r="X59" i="8"/>
  <c r="S59" i="8"/>
  <c r="AW58" i="8"/>
  <c r="AR58" i="8"/>
  <c r="AM58" i="8"/>
  <c r="AH58" i="8"/>
  <c r="AC58" i="8"/>
  <c r="X58" i="8"/>
  <c r="S58" i="8"/>
  <c r="AW57" i="8"/>
  <c r="AR57" i="8"/>
  <c r="AM57" i="8"/>
  <c r="AH57" i="8"/>
  <c r="AC57" i="8"/>
  <c r="X57" i="8"/>
  <c r="S57" i="8"/>
  <c r="AW56" i="8"/>
  <c r="AR56" i="8"/>
  <c r="AM56" i="8"/>
  <c r="AH56" i="8"/>
  <c r="AC56" i="8"/>
  <c r="X56" i="8"/>
  <c r="S56" i="8"/>
  <c r="AW55" i="8"/>
  <c r="AR55" i="8"/>
  <c r="AM55" i="8"/>
  <c r="AH55" i="8"/>
  <c r="AC55" i="8"/>
  <c r="X55" i="8"/>
  <c r="S55" i="8"/>
  <c r="AW54" i="8"/>
  <c r="AR54" i="8"/>
  <c r="AM54" i="8"/>
  <c r="AH54" i="8"/>
  <c r="AC54" i="8"/>
  <c r="X54" i="8"/>
  <c r="S54" i="8"/>
  <c r="AW53" i="8"/>
  <c r="AR53" i="8"/>
  <c r="AM53" i="8"/>
  <c r="AH53" i="8"/>
  <c r="AC53" i="8"/>
  <c r="X53" i="8"/>
  <c r="S53" i="8"/>
  <c r="AW52" i="8"/>
  <c r="AR52" i="8"/>
  <c r="AM52" i="8"/>
  <c r="AH52" i="8"/>
  <c r="AC52" i="8"/>
  <c r="X52" i="8"/>
  <c r="S52" i="8"/>
  <c r="AW51" i="8"/>
  <c r="AR51" i="8"/>
  <c r="AM51" i="8"/>
  <c r="AH51" i="8"/>
  <c r="AC51" i="8"/>
  <c r="X51" i="8"/>
  <c r="S51" i="8"/>
  <c r="AW50" i="8"/>
  <c r="AR50" i="8"/>
  <c r="AM50" i="8"/>
  <c r="AH50" i="8"/>
  <c r="AC50" i="8"/>
  <c r="X50" i="8"/>
  <c r="S50" i="8"/>
  <c r="AW49" i="8"/>
  <c r="AR49" i="8"/>
  <c r="AM49" i="8"/>
  <c r="AH49" i="8"/>
  <c r="AC49" i="8"/>
  <c r="X49" i="8"/>
  <c r="S49" i="8"/>
  <c r="AW48" i="8"/>
  <c r="AR48" i="8"/>
  <c r="AM48" i="8"/>
  <c r="AH48" i="8"/>
  <c r="AC48" i="8"/>
  <c r="X48" i="8"/>
  <c r="S48" i="8"/>
  <c r="AW47" i="8"/>
  <c r="AR47" i="8"/>
  <c r="AM47" i="8"/>
  <c r="AH47" i="8"/>
  <c r="AC47" i="8"/>
  <c r="X47" i="8"/>
  <c r="S47" i="8"/>
  <c r="AW46" i="8"/>
  <c r="AR46" i="8"/>
  <c r="AM46" i="8"/>
  <c r="AH46" i="8"/>
  <c r="AC46" i="8"/>
  <c r="X46" i="8"/>
  <c r="S46" i="8"/>
  <c r="AW45" i="8"/>
  <c r="AR45" i="8"/>
  <c r="AM45" i="8"/>
  <c r="AH45" i="8"/>
  <c r="AC45" i="8"/>
  <c r="X45" i="8"/>
  <c r="S45" i="8"/>
  <c r="AW44" i="8"/>
  <c r="AR44" i="8"/>
  <c r="AM44" i="8"/>
  <c r="AH44" i="8"/>
  <c r="AC44" i="8"/>
  <c r="X44" i="8"/>
  <c r="S44" i="8"/>
  <c r="AW43" i="8"/>
  <c r="AR43" i="8"/>
  <c r="AM43" i="8"/>
  <c r="AH43" i="8"/>
  <c r="AC43" i="8"/>
  <c r="X43" i="8"/>
  <c r="S43" i="8"/>
  <c r="AW42" i="8"/>
  <c r="AR42" i="8"/>
  <c r="AM42" i="8"/>
  <c r="AH42" i="8"/>
  <c r="AC42" i="8"/>
  <c r="X42" i="8"/>
  <c r="S42" i="8"/>
  <c r="AW36" i="8"/>
  <c r="AR36" i="8"/>
  <c r="AM36" i="8"/>
  <c r="AH36" i="8"/>
  <c r="AC36" i="8"/>
  <c r="X36" i="8"/>
  <c r="S36" i="8"/>
  <c r="AW35" i="8"/>
  <c r="AR35" i="8"/>
  <c r="AM35" i="8"/>
  <c r="AH35" i="8"/>
  <c r="AC35" i="8"/>
  <c r="X35" i="8"/>
  <c r="S35" i="8"/>
  <c r="AW34" i="8"/>
  <c r="AR34" i="8"/>
  <c r="AM34" i="8"/>
  <c r="AH34" i="8"/>
  <c r="AC34" i="8"/>
  <c r="X34" i="8"/>
  <c r="S34" i="8"/>
  <c r="AW33" i="8"/>
  <c r="AR33" i="8"/>
  <c r="AM33" i="8"/>
  <c r="AH33" i="8"/>
  <c r="AC33" i="8"/>
  <c r="X33" i="8"/>
  <c r="S33" i="8"/>
  <c r="AW32" i="8"/>
  <c r="AR32" i="8"/>
  <c r="AM32" i="8"/>
  <c r="AH32" i="8"/>
  <c r="AC32" i="8"/>
  <c r="X32" i="8"/>
  <c r="S32" i="8"/>
  <c r="AW31" i="8"/>
  <c r="AR31" i="8"/>
  <c r="AM31" i="8"/>
  <c r="AH31" i="8"/>
  <c r="AC31" i="8"/>
  <c r="X31" i="8"/>
  <c r="S31" i="8"/>
  <c r="AW30" i="8"/>
  <c r="AR30" i="8"/>
  <c r="AM30" i="8"/>
  <c r="AH30" i="8"/>
  <c r="AC30" i="8"/>
  <c r="X30" i="8"/>
  <c r="S30" i="8"/>
  <c r="AW29" i="8"/>
  <c r="AR29" i="8"/>
  <c r="AM29" i="8"/>
  <c r="AH29" i="8"/>
  <c r="AC29" i="8"/>
  <c r="X29" i="8"/>
  <c r="S29" i="8"/>
  <c r="AW28" i="8"/>
  <c r="AR28" i="8"/>
  <c r="AM28" i="8"/>
  <c r="AH28" i="8"/>
  <c r="AC28" i="8"/>
  <c r="X28" i="8"/>
  <c r="S28" i="8"/>
  <c r="AW27" i="8"/>
  <c r="AR27" i="8"/>
  <c r="AM27" i="8"/>
  <c r="AH27" i="8"/>
  <c r="AC27" i="8"/>
  <c r="X27" i="8"/>
  <c r="S27" i="8"/>
  <c r="AW26" i="8"/>
  <c r="AR26" i="8"/>
  <c r="AM26" i="8"/>
  <c r="AH26" i="8"/>
  <c r="AC26" i="8"/>
  <c r="X26" i="8"/>
  <c r="S26" i="8"/>
  <c r="AW25" i="8"/>
  <c r="AR25" i="8"/>
  <c r="AM25" i="8"/>
  <c r="AH25" i="8"/>
  <c r="AC25" i="8"/>
  <c r="X25" i="8"/>
  <c r="S25" i="8"/>
  <c r="AW24" i="8"/>
  <c r="AR24" i="8"/>
  <c r="AM24" i="8"/>
  <c r="AH24" i="8"/>
  <c r="AC24" i="8"/>
  <c r="X24" i="8"/>
  <c r="S24" i="8"/>
  <c r="AW23" i="8"/>
  <c r="AR23" i="8"/>
  <c r="AM23" i="8"/>
  <c r="AH23" i="8"/>
  <c r="AC23" i="8"/>
  <c r="X23" i="8"/>
  <c r="S23" i="8"/>
  <c r="AW22" i="8"/>
  <c r="AR22" i="8"/>
  <c r="AM22" i="8"/>
  <c r="AH22" i="8"/>
  <c r="AC22" i="8"/>
  <c r="X22" i="8"/>
  <c r="S22" i="8"/>
  <c r="AW21" i="8"/>
  <c r="AR21" i="8"/>
  <c r="AM21" i="8"/>
  <c r="AH21" i="8"/>
  <c r="AC21" i="8"/>
  <c r="X21" i="8"/>
  <c r="S21" i="8"/>
  <c r="AW20" i="8"/>
  <c r="AR20" i="8"/>
  <c r="AM20" i="8"/>
  <c r="AH20" i="8"/>
  <c r="AC20" i="8"/>
  <c r="X20" i="8"/>
  <c r="S20" i="8"/>
  <c r="AW19" i="8"/>
  <c r="AR19" i="8"/>
  <c r="AM19" i="8"/>
  <c r="AH19" i="8"/>
  <c r="AC19" i="8"/>
  <c r="X19" i="8"/>
  <c r="S19" i="8"/>
  <c r="AW18" i="8"/>
  <c r="AR18" i="8"/>
  <c r="AM18" i="8"/>
  <c r="AH18" i="8"/>
  <c r="AC18" i="8"/>
  <c r="X18" i="8"/>
  <c r="S18" i="8"/>
  <c r="AW17" i="8"/>
  <c r="AR17" i="8"/>
  <c r="AM17" i="8"/>
  <c r="AH17" i="8"/>
  <c r="AC17" i="8"/>
  <c r="X17" i="8"/>
  <c r="S17" i="8"/>
  <c r="AW16" i="8"/>
  <c r="AR16" i="8"/>
  <c r="AM16" i="8"/>
  <c r="AH16" i="8"/>
  <c r="AC16" i="8"/>
  <c r="X16" i="8"/>
  <c r="S16" i="8"/>
  <c r="AW15" i="8"/>
  <c r="AR15" i="8"/>
  <c r="AM15" i="8"/>
  <c r="AH15" i="8"/>
  <c r="AC15" i="8"/>
  <c r="X15" i="8"/>
  <c r="S15" i="8"/>
  <c r="AW14" i="8"/>
  <c r="AR14" i="8"/>
  <c r="AM14" i="8"/>
  <c r="AH14" i="8"/>
  <c r="AC14" i="8"/>
  <c r="X14" i="8"/>
  <c r="S14" i="8"/>
  <c r="AW13" i="8"/>
  <c r="AR13" i="8"/>
  <c r="AM13" i="8"/>
  <c r="AH13" i="8"/>
  <c r="AC13" i="8"/>
  <c r="X13" i="8"/>
  <c r="S13" i="8"/>
  <c r="AW12" i="8"/>
  <c r="AR12" i="8"/>
  <c r="AM12" i="8"/>
  <c r="AH12" i="8"/>
  <c r="AC12" i="8"/>
  <c r="X12" i="8"/>
  <c r="S12" i="8"/>
  <c r="AW11" i="8"/>
  <c r="AR11" i="8"/>
  <c r="AM11" i="8"/>
  <c r="AH11" i="8"/>
  <c r="AC11" i="8"/>
  <c r="X11" i="8"/>
  <c r="S11" i="8"/>
  <c r="AW10" i="8"/>
  <c r="AR10" i="8"/>
  <c r="AM10" i="8"/>
  <c r="AH10" i="8"/>
  <c r="AC10" i="8"/>
  <c r="X10" i="8"/>
  <c r="S10" i="8"/>
  <c r="AW9" i="8"/>
  <c r="AR9" i="8"/>
  <c r="AM9" i="8"/>
  <c r="AH9" i="8"/>
  <c r="AC9" i="8"/>
  <c r="X9" i="8"/>
  <c r="S9" i="8"/>
  <c r="AW8" i="8"/>
  <c r="AR8" i="8"/>
  <c r="AM8" i="8"/>
  <c r="AH8" i="8"/>
  <c r="AC8" i="8"/>
  <c r="X8" i="8"/>
  <c r="S8" i="8"/>
  <c r="AW7" i="8"/>
  <c r="AR7" i="8"/>
  <c r="AM7" i="8"/>
  <c r="AH7" i="8"/>
  <c r="AC7" i="8"/>
  <c r="X7" i="8"/>
  <c r="S7" i="8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AS7" i="37"/>
  <c r="AN7" i="37"/>
  <c r="AI7" i="37"/>
  <c r="AD7" i="37"/>
  <c r="Y7" i="37"/>
  <c r="T7" i="37"/>
  <c r="K7" i="37"/>
  <c r="J7" i="37"/>
  <c r="I7" i="37"/>
  <c r="H7" i="37"/>
  <c r="K11" i="36"/>
  <c r="J11" i="36"/>
  <c r="I11" i="36"/>
  <c r="K10" i="36"/>
  <c r="J10" i="36"/>
  <c r="I10" i="36"/>
  <c r="K9" i="36"/>
  <c r="J9" i="36"/>
  <c r="I9" i="36"/>
  <c r="K8" i="36"/>
  <c r="J8" i="36"/>
  <c r="I8" i="36"/>
  <c r="AX7" i="36"/>
  <c r="AS7" i="36"/>
  <c r="AN7" i="36"/>
  <c r="AI7" i="36"/>
  <c r="AD7" i="36"/>
  <c r="Y7" i="36"/>
  <c r="T7" i="36"/>
  <c r="K7" i="36"/>
  <c r="J7" i="36"/>
  <c r="I7" i="36"/>
  <c r="H7" i="36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AX7" i="35"/>
  <c r="AS7" i="35"/>
  <c r="AN7" i="35"/>
  <c r="AI7" i="35"/>
  <c r="AD7" i="35"/>
  <c r="Y7" i="35"/>
  <c r="T7" i="35"/>
  <c r="K7" i="35"/>
  <c r="J7" i="35"/>
  <c r="I7" i="35"/>
  <c r="H7" i="35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AS7" i="34"/>
  <c r="AN7" i="34"/>
  <c r="AI7" i="34"/>
  <c r="AD7" i="34"/>
  <c r="Y7" i="34"/>
  <c r="T7" i="34"/>
  <c r="K7" i="34"/>
  <c r="J7" i="34"/>
  <c r="I7" i="34"/>
  <c r="H7" i="34"/>
  <c r="K30" i="33"/>
  <c r="J30" i="33"/>
  <c r="I30" i="33"/>
  <c r="K29" i="33"/>
  <c r="J29" i="33"/>
  <c r="I29" i="33"/>
  <c r="K28" i="33"/>
  <c r="J28" i="33"/>
  <c r="I28" i="33"/>
  <c r="K27" i="33"/>
  <c r="J27" i="33"/>
  <c r="I27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AX7" i="33"/>
  <c r="AS7" i="33"/>
  <c r="AN7" i="33"/>
  <c r="AI7" i="33"/>
  <c r="AD7" i="33"/>
  <c r="Y7" i="33"/>
  <c r="T7" i="33"/>
  <c r="K7" i="33"/>
  <c r="J7" i="33"/>
  <c r="I7" i="33"/>
  <c r="H7" i="33"/>
  <c r="AX7" i="31"/>
  <c r="AS7" i="31"/>
  <c r="AN7" i="31"/>
  <c r="AI7" i="31"/>
  <c r="AD7" i="31"/>
  <c r="Y7" i="31"/>
  <c r="T7" i="31"/>
  <c r="K7" i="31"/>
  <c r="M17" i="31" s="1"/>
  <c r="J7" i="31"/>
  <c r="I7" i="31"/>
  <c r="H7" i="31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AX7" i="32"/>
  <c r="AS7" i="32"/>
  <c r="AN7" i="32"/>
  <c r="AI7" i="32"/>
  <c r="AD7" i="32"/>
  <c r="Y7" i="32"/>
  <c r="T7" i="32"/>
  <c r="K7" i="32"/>
  <c r="J7" i="32"/>
  <c r="I7" i="32"/>
  <c r="H7" i="32"/>
  <c r="K13" i="30"/>
  <c r="J13" i="30"/>
  <c r="I13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AX7" i="30"/>
  <c r="AS7" i="30"/>
  <c r="AN7" i="30"/>
  <c r="AI7" i="30"/>
  <c r="AD7" i="30"/>
  <c r="Y7" i="30"/>
  <c r="T7" i="30"/>
  <c r="K7" i="30"/>
  <c r="J7" i="30"/>
  <c r="I7" i="30"/>
  <c r="H7" i="30"/>
  <c r="M11" i="37" l="1"/>
  <c r="M8" i="37"/>
  <c r="M12" i="37"/>
  <c r="M18" i="37"/>
  <c r="M9" i="37"/>
  <c r="M15" i="37"/>
  <c r="M8" i="36"/>
  <c r="M9" i="36"/>
  <c r="M11" i="36"/>
  <c r="M17" i="36"/>
  <c r="M20" i="36"/>
  <c r="M18" i="35"/>
  <c r="M8" i="35"/>
  <c r="M9" i="35"/>
  <c r="M10" i="35"/>
  <c r="M14" i="35"/>
  <c r="M11" i="35"/>
  <c r="M12" i="35"/>
  <c r="M8" i="34"/>
  <c r="L7" i="34"/>
  <c r="M12" i="34"/>
  <c r="M9" i="34"/>
  <c r="M13" i="34"/>
  <c r="M14" i="34"/>
  <c r="M11" i="34"/>
  <c r="M8" i="33"/>
  <c r="M12" i="33"/>
  <c r="M16" i="33"/>
  <c r="M20" i="33"/>
  <c r="M24" i="33"/>
  <c r="M21" i="33"/>
  <c r="M35" i="33"/>
  <c r="M17" i="33"/>
  <c r="M29" i="33"/>
  <c r="M9" i="33"/>
  <c r="M18" i="33"/>
  <c r="M26" i="33"/>
  <c r="M30" i="33"/>
  <c r="M14" i="33"/>
  <c r="M15" i="33"/>
  <c r="M23" i="33"/>
  <c r="M27" i="33"/>
  <c r="M32" i="33"/>
  <c r="M11" i="33"/>
  <c r="M15" i="31"/>
  <c r="M11" i="32"/>
  <c r="M9" i="32"/>
  <c r="L7" i="32"/>
  <c r="M14" i="32"/>
  <c r="M15" i="32"/>
  <c r="M12" i="32"/>
  <c r="M8" i="30"/>
  <c r="M10" i="30"/>
  <c r="M11" i="30"/>
  <c r="M12" i="30"/>
  <c r="M13" i="30"/>
  <c r="M9" i="30"/>
  <c r="M20" i="30"/>
  <c r="M19" i="34"/>
  <c r="M16" i="34"/>
  <c r="M7" i="34"/>
  <c r="M18" i="31"/>
  <c r="M17" i="35"/>
  <c r="M12" i="36"/>
  <c r="M17" i="32"/>
  <c r="M12" i="31"/>
  <c r="M19" i="36"/>
  <c r="M16" i="36"/>
  <c r="M13" i="36"/>
  <c r="M7" i="36"/>
  <c r="M19" i="37"/>
  <c r="M16" i="37"/>
  <c r="M13" i="37"/>
  <c r="M7" i="37"/>
  <c r="M7" i="30"/>
  <c r="M16" i="30"/>
  <c r="M19" i="30"/>
  <c r="M9" i="31"/>
  <c r="M20" i="31"/>
  <c r="M14" i="36"/>
  <c r="M20" i="37"/>
  <c r="M20" i="32"/>
  <c r="M13" i="32"/>
  <c r="L7" i="33"/>
  <c r="M34" i="33"/>
  <c r="M31" i="33"/>
  <c r="M7" i="33"/>
  <c r="L7" i="36"/>
  <c r="L7" i="37"/>
  <c r="M17" i="37"/>
  <c r="M16" i="32"/>
  <c r="M28" i="33"/>
  <c r="M19" i="31"/>
  <c r="M16" i="31"/>
  <c r="M13" i="31"/>
  <c r="M10" i="31"/>
  <c r="M7" i="31"/>
  <c r="M13" i="33"/>
  <c r="M25" i="33"/>
  <c r="M10" i="34"/>
  <c r="M8" i="32"/>
  <c r="M14" i="31"/>
  <c r="M21" i="34"/>
  <c r="M14" i="37"/>
  <c r="M11" i="31"/>
  <c r="M18" i="34"/>
  <c r="M10" i="32"/>
  <c r="M15" i="30"/>
  <c r="M18" i="30"/>
  <c r="M21" i="30"/>
  <c r="M8" i="31"/>
  <c r="M15" i="34"/>
  <c r="M21" i="35"/>
  <c r="M10" i="33"/>
  <c r="M22" i="33"/>
  <c r="M10" i="36"/>
  <c r="M10" i="37"/>
  <c r="M36" i="33"/>
  <c r="M19" i="32"/>
  <c r="M7" i="32"/>
  <c r="M19" i="35"/>
  <c r="M16" i="35"/>
  <c r="M7" i="35"/>
  <c r="M21" i="32"/>
  <c r="M33" i="33"/>
  <c r="M20" i="34"/>
  <c r="M15" i="35"/>
  <c r="M21" i="36"/>
  <c r="M18" i="32"/>
  <c r="M17" i="34"/>
  <c r="M18" i="36"/>
  <c r="L7" i="35"/>
  <c r="M19" i="33"/>
  <c r="M13" i="35"/>
  <c r="M14" i="30"/>
  <c r="M17" i="30"/>
  <c r="M21" i="31"/>
  <c r="M20" i="35"/>
  <c r="M15" i="36"/>
  <c r="M21" i="37"/>
  <c r="L7" i="31"/>
  <c r="L7" i="30"/>
  <c r="K32" i="37" l="1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AX27" i="37"/>
  <c r="AS27" i="37"/>
  <c r="AN27" i="37"/>
  <c r="AI27" i="37"/>
  <c r="AD27" i="37"/>
  <c r="Y27" i="37"/>
  <c r="T27" i="37"/>
  <c r="K27" i="37"/>
  <c r="J27" i="37"/>
  <c r="I27" i="37"/>
  <c r="H27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AX47" i="37"/>
  <c r="AS47" i="37"/>
  <c r="AN47" i="37"/>
  <c r="AI47" i="37"/>
  <c r="AD47" i="37"/>
  <c r="Y47" i="37"/>
  <c r="T47" i="37"/>
  <c r="K47" i="37"/>
  <c r="J47" i="37"/>
  <c r="I47" i="37"/>
  <c r="H47" i="37"/>
  <c r="AW81" i="37"/>
  <c r="AR81" i="37"/>
  <c r="AM81" i="37"/>
  <c r="AH81" i="37"/>
  <c r="AC81" i="37"/>
  <c r="X81" i="37"/>
  <c r="S81" i="37"/>
  <c r="AW80" i="37"/>
  <c r="AR80" i="37"/>
  <c r="AM80" i="37"/>
  <c r="AH80" i="37"/>
  <c r="AC80" i="37"/>
  <c r="X80" i="37"/>
  <c r="S80" i="37"/>
  <c r="AW79" i="37"/>
  <c r="AR79" i="37"/>
  <c r="AM79" i="37"/>
  <c r="AH79" i="37"/>
  <c r="AC79" i="37"/>
  <c r="X79" i="37"/>
  <c r="S79" i="37"/>
  <c r="AW78" i="37"/>
  <c r="AR78" i="37"/>
  <c r="AM78" i="37"/>
  <c r="AH78" i="37"/>
  <c r="AC78" i="37"/>
  <c r="X78" i="37"/>
  <c r="S78" i="37"/>
  <c r="AW77" i="37"/>
  <c r="AR77" i="37"/>
  <c r="AM77" i="37"/>
  <c r="AH77" i="37"/>
  <c r="AC77" i="37"/>
  <c r="X77" i="37"/>
  <c r="S77" i="37"/>
  <c r="AW76" i="37"/>
  <c r="AR76" i="37"/>
  <c r="AM76" i="37"/>
  <c r="AH76" i="37"/>
  <c r="AC76" i="37"/>
  <c r="X76" i="37"/>
  <c r="S76" i="37"/>
  <c r="AW75" i="37"/>
  <c r="AR75" i="37"/>
  <c r="AM75" i="37"/>
  <c r="AH75" i="37"/>
  <c r="AC75" i="37"/>
  <c r="X75" i="37"/>
  <c r="S75" i="37"/>
  <c r="AW74" i="37"/>
  <c r="AR74" i="37"/>
  <c r="AM74" i="37"/>
  <c r="AH74" i="37"/>
  <c r="AC74" i="37"/>
  <c r="X74" i="37"/>
  <c r="S74" i="37"/>
  <c r="AW73" i="37"/>
  <c r="AR73" i="37"/>
  <c r="AM73" i="37"/>
  <c r="AH73" i="37"/>
  <c r="AC73" i="37"/>
  <c r="X73" i="37"/>
  <c r="S73" i="37"/>
  <c r="AW72" i="37"/>
  <c r="AR72" i="37"/>
  <c r="AM72" i="37"/>
  <c r="AH72" i="37"/>
  <c r="AC72" i="37"/>
  <c r="X72" i="37"/>
  <c r="S72" i="37"/>
  <c r="K72" i="37"/>
  <c r="M72" i="37" s="1"/>
  <c r="J72" i="37"/>
  <c r="I72" i="37"/>
  <c r="AW71" i="37"/>
  <c r="AR71" i="37"/>
  <c r="AM71" i="37"/>
  <c r="AH71" i="37"/>
  <c r="AC71" i="37"/>
  <c r="X71" i="37"/>
  <c r="S71" i="37"/>
  <c r="K71" i="37"/>
  <c r="M71" i="37" s="1"/>
  <c r="J71" i="37"/>
  <c r="I71" i="37"/>
  <c r="AW70" i="37"/>
  <c r="AR70" i="37"/>
  <c r="AM70" i="37"/>
  <c r="AH70" i="37"/>
  <c r="AC70" i="37"/>
  <c r="X70" i="37"/>
  <c r="S70" i="37"/>
  <c r="K70" i="37"/>
  <c r="M70" i="37" s="1"/>
  <c r="J70" i="37"/>
  <c r="I70" i="37"/>
  <c r="AW69" i="37"/>
  <c r="AR69" i="37"/>
  <c r="AM69" i="37"/>
  <c r="AH69" i="37"/>
  <c r="AC69" i="37"/>
  <c r="X69" i="37"/>
  <c r="S69" i="37"/>
  <c r="M69" i="37"/>
  <c r="K69" i="37"/>
  <c r="J69" i="37"/>
  <c r="I69" i="37"/>
  <c r="AW68" i="37"/>
  <c r="AR68" i="37"/>
  <c r="AM68" i="37"/>
  <c r="AH68" i="37"/>
  <c r="AC68" i="37"/>
  <c r="X68" i="37"/>
  <c r="S68" i="37"/>
  <c r="K68" i="37"/>
  <c r="M68" i="37" s="1"/>
  <c r="J68" i="37"/>
  <c r="I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T67" i="37"/>
  <c r="S67" i="37"/>
  <c r="K67" i="37"/>
  <c r="M67" i="37" s="1"/>
  <c r="J67" i="37"/>
  <c r="I67" i="37"/>
  <c r="H67" i="37"/>
  <c r="K31" i="36"/>
  <c r="J31" i="36"/>
  <c r="I31" i="36"/>
  <c r="K30" i="36"/>
  <c r="J30" i="36"/>
  <c r="I30" i="36"/>
  <c r="K29" i="36"/>
  <c r="J29" i="36"/>
  <c r="I29" i="36"/>
  <c r="K28" i="36"/>
  <c r="J28" i="36"/>
  <c r="I28" i="36"/>
  <c r="AX27" i="36"/>
  <c r="AS27" i="36"/>
  <c r="AN27" i="36"/>
  <c r="AI27" i="36"/>
  <c r="AD27" i="36"/>
  <c r="Y27" i="36"/>
  <c r="T27" i="36"/>
  <c r="K27" i="36"/>
  <c r="J27" i="36"/>
  <c r="I27" i="36"/>
  <c r="H27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AX47" i="36"/>
  <c r="AS47" i="36"/>
  <c r="AN47" i="36"/>
  <c r="AI47" i="36"/>
  <c r="AD47" i="36"/>
  <c r="Y47" i="36"/>
  <c r="T47" i="36"/>
  <c r="K47" i="36"/>
  <c r="J47" i="36"/>
  <c r="I47" i="36"/>
  <c r="H47" i="36"/>
  <c r="AW81" i="36"/>
  <c r="AR81" i="36"/>
  <c r="AM81" i="36"/>
  <c r="AH81" i="36"/>
  <c r="AC81" i="36"/>
  <c r="X81" i="36"/>
  <c r="S81" i="36"/>
  <c r="AW80" i="36"/>
  <c r="AR80" i="36"/>
  <c r="AM80" i="36"/>
  <c r="AH80" i="36"/>
  <c r="AC80" i="36"/>
  <c r="X80" i="36"/>
  <c r="S80" i="36"/>
  <c r="AW79" i="36"/>
  <c r="AR79" i="36"/>
  <c r="AM79" i="36"/>
  <c r="AH79" i="36"/>
  <c r="AC79" i="36"/>
  <c r="X79" i="36"/>
  <c r="S79" i="36"/>
  <c r="AW78" i="36"/>
  <c r="AR78" i="36"/>
  <c r="AM78" i="36"/>
  <c r="AH78" i="36"/>
  <c r="AC78" i="36"/>
  <c r="X78" i="36"/>
  <c r="S78" i="36"/>
  <c r="AW77" i="36"/>
  <c r="AR77" i="36"/>
  <c r="AM77" i="36"/>
  <c r="AH77" i="36"/>
  <c r="AC77" i="36"/>
  <c r="X77" i="36"/>
  <c r="S77" i="36"/>
  <c r="AW76" i="36"/>
  <c r="AR76" i="36"/>
  <c r="AM76" i="36"/>
  <c r="AH76" i="36"/>
  <c r="AC76" i="36"/>
  <c r="X76" i="36"/>
  <c r="S76" i="36"/>
  <c r="AW75" i="36"/>
  <c r="AR75" i="36"/>
  <c r="AM75" i="36"/>
  <c r="AH75" i="36"/>
  <c r="AC75" i="36"/>
  <c r="X75" i="36"/>
  <c r="S75" i="36"/>
  <c r="AW74" i="36"/>
  <c r="AR74" i="36"/>
  <c r="AM74" i="36"/>
  <c r="AH74" i="36"/>
  <c r="AC74" i="36"/>
  <c r="X74" i="36"/>
  <c r="S74" i="36"/>
  <c r="AW73" i="36"/>
  <c r="AR73" i="36"/>
  <c r="AM73" i="36"/>
  <c r="AH73" i="36"/>
  <c r="AC73" i="36"/>
  <c r="X73" i="36"/>
  <c r="S73" i="36"/>
  <c r="AW72" i="36"/>
  <c r="AR72" i="36"/>
  <c r="AM72" i="36"/>
  <c r="AH72" i="36"/>
  <c r="AC72" i="36"/>
  <c r="X72" i="36"/>
  <c r="S72" i="36"/>
  <c r="AW71" i="36"/>
  <c r="AR71" i="36"/>
  <c r="AM71" i="36"/>
  <c r="AH71" i="36"/>
  <c r="AC71" i="36"/>
  <c r="X71" i="36"/>
  <c r="S71" i="36"/>
  <c r="K71" i="36"/>
  <c r="M71" i="36" s="1"/>
  <c r="J71" i="36"/>
  <c r="I71" i="36"/>
  <c r="AW70" i="36"/>
  <c r="AR70" i="36"/>
  <c r="AM70" i="36"/>
  <c r="AH70" i="36"/>
  <c r="AC70" i="36"/>
  <c r="X70" i="36"/>
  <c r="S70" i="36"/>
  <c r="K70" i="36"/>
  <c r="M70" i="36" s="1"/>
  <c r="J70" i="36"/>
  <c r="I70" i="36"/>
  <c r="AW69" i="36"/>
  <c r="AR69" i="36"/>
  <c r="AM69" i="36"/>
  <c r="AH69" i="36"/>
  <c r="AC69" i="36"/>
  <c r="X69" i="36"/>
  <c r="S69" i="36"/>
  <c r="K69" i="36"/>
  <c r="M69" i="36" s="1"/>
  <c r="J69" i="36"/>
  <c r="I69" i="36"/>
  <c r="AW68" i="36"/>
  <c r="AR68" i="36"/>
  <c r="AM68" i="36"/>
  <c r="AH68" i="36"/>
  <c r="AC68" i="36"/>
  <c r="X68" i="36"/>
  <c r="S68" i="36"/>
  <c r="K68" i="36"/>
  <c r="M68" i="36" s="1"/>
  <c r="J68" i="36"/>
  <c r="I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T67" i="36"/>
  <c r="S67" i="36"/>
  <c r="M67" i="36"/>
  <c r="K67" i="36"/>
  <c r="L67" i="36" s="1"/>
  <c r="J67" i="36"/>
  <c r="I67" i="36"/>
  <c r="H67" i="36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AX27" i="35"/>
  <c r="AS27" i="35"/>
  <c r="AN27" i="35"/>
  <c r="AI27" i="35"/>
  <c r="AD27" i="35"/>
  <c r="Y27" i="35"/>
  <c r="T27" i="35"/>
  <c r="K27" i="35"/>
  <c r="J27" i="35"/>
  <c r="I27" i="35"/>
  <c r="H27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AX47" i="35"/>
  <c r="AS47" i="35"/>
  <c r="AN47" i="35"/>
  <c r="AI47" i="35"/>
  <c r="AD47" i="35"/>
  <c r="Y47" i="35"/>
  <c r="T47" i="35"/>
  <c r="K47" i="35"/>
  <c r="J47" i="35"/>
  <c r="I47" i="35"/>
  <c r="H47" i="35"/>
  <c r="AW81" i="35"/>
  <c r="AR81" i="35"/>
  <c r="AM81" i="35"/>
  <c r="AH81" i="35"/>
  <c r="AC81" i="35"/>
  <c r="X81" i="35"/>
  <c r="S81" i="35"/>
  <c r="AW80" i="35"/>
  <c r="AR80" i="35"/>
  <c r="AM80" i="35"/>
  <c r="AH80" i="35"/>
  <c r="AC80" i="35"/>
  <c r="X80" i="35"/>
  <c r="S80" i="35"/>
  <c r="AW79" i="35"/>
  <c r="AR79" i="35"/>
  <c r="AM79" i="35"/>
  <c r="AH79" i="35"/>
  <c r="AC79" i="35"/>
  <c r="X79" i="35"/>
  <c r="S79" i="35"/>
  <c r="AW78" i="35"/>
  <c r="AR78" i="35"/>
  <c r="AM78" i="35"/>
  <c r="AH78" i="35"/>
  <c r="AC78" i="35"/>
  <c r="X78" i="35"/>
  <c r="S78" i="35"/>
  <c r="AW77" i="35"/>
  <c r="AR77" i="35"/>
  <c r="AM77" i="35"/>
  <c r="AH77" i="35"/>
  <c r="AC77" i="35"/>
  <c r="X77" i="35"/>
  <c r="S77" i="35"/>
  <c r="AW76" i="35"/>
  <c r="AR76" i="35"/>
  <c r="AM76" i="35"/>
  <c r="AH76" i="35"/>
  <c r="AC76" i="35"/>
  <c r="X76" i="35"/>
  <c r="S76" i="35"/>
  <c r="AW75" i="35"/>
  <c r="AR75" i="35"/>
  <c r="AM75" i="35"/>
  <c r="AH75" i="35"/>
  <c r="AC75" i="35"/>
  <c r="X75" i="35"/>
  <c r="S75" i="35"/>
  <c r="AW74" i="35"/>
  <c r="AR74" i="35"/>
  <c r="AM74" i="35"/>
  <c r="AH74" i="35"/>
  <c r="AC74" i="35"/>
  <c r="X74" i="35"/>
  <c r="S74" i="35"/>
  <c r="AW73" i="35"/>
  <c r="AR73" i="35"/>
  <c r="AM73" i="35"/>
  <c r="AH73" i="35"/>
  <c r="AC73" i="35"/>
  <c r="X73" i="35"/>
  <c r="S73" i="35"/>
  <c r="K73" i="35"/>
  <c r="M73" i="35" s="1"/>
  <c r="J73" i="35"/>
  <c r="I73" i="35"/>
  <c r="AW72" i="35"/>
  <c r="AR72" i="35"/>
  <c r="AM72" i="35"/>
  <c r="AH72" i="35"/>
  <c r="AC72" i="35"/>
  <c r="X72" i="35"/>
  <c r="S72" i="35"/>
  <c r="K72" i="35"/>
  <c r="M72" i="35" s="1"/>
  <c r="J72" i="35"/>
  <c r="I72" i="35"/>
  <c r="AW71" i="35"/>
  <c r="AR71" i="35"/>
  <c r="AM71" i="35"/>
  <c r="AH71" i="35"/>
  <c r="AC71" i="35"/>
  <c r="X71" i="35"/>
  <c r="S71" i="35"/>
  <c r="K71" i="35"/>
  <c r="M71" i="35" s="1"/>
  <c r="J71" i="35"/>
  <c r="I71" i="35"/>
  <c r="AW70" i="35"/>
  <c r="AR70" i="35"/>
  <c r="AM70" i="35"/>
  <c r="AH70" i="35"/>
  <c r="AC70" i="35"/>
  <c r="X70" i="35"/>
  <c r="S70" i="35"/>
  <c r="M70" i="35"/>
  <c r="K70" i="35"/>
  <c r="J70" i="35"/>
  <c r="I70" i="35"/>
  <c r="AW69" i="35"/>
  <c r="AR69" i="35"/>
  <c r="AM69" i="35"/>
  <c r="AH69" i="35"/>
  <c r="AC69" i="35"/>
  <c r="X69" i="35"/>
  <c r="S69" i="35"/>
  <c r="K69" i="35"/>
  <c r="M69" i="35" s="1"/>
  <c r="J69" i="35"/>
  <c r="I69" i="35"/>
  <c r="AW68" i="35"/>
  <c r="AR68" i="35"/>
  <c r="AM68" i="35"/>
  <c r="AH68" i="35"/>
  <c r="AC68" i="35"/>
  <c r="X68" i="35"/>
  <c r="S68" i="35"/>
  <c r="K68" i="35"/>
  <c r="M68" i="35" s="1"/>
  <c r="J68" i="35"/>
  <c r="I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T67" i="35"/>
  <c r="S67" i="35"/>
  <c r="K67" i="35"/>
  <c r="M67" i="35" s="1"/>
  <c r="J67" i="35"/>
  <c r="I67" i="35"/>
  <c r="H67" i="35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AX27" i="34"/>
  <c r="AS27" i="34"/>
  <c r="AN27" i="34"/>
  <c r="AI27" i="34"/>
  <c r="AD27" i="34"/>
  <c r="Y27" i="34"/>
  <c r="T27" i="34"/>
  <c r="K27" i="34"/>
  <c r="J27" i="34"/>
  <c r="I27" i="34"/>
  <c r="H27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AX47" i="34"/>
  <c r="AS47" i="34"/>
  <c r="AN47" i="34"/>
  <c r="AI47" i="34"/>
  <c r="AD47" i="34"/>
  <c r="Y47" i="34"/>
  <c r="T47" i="34"/>
  <c r="K47" i="34"/>
  <c r="J47" i="34"/>
  <c r="I47" i="34"/>
  <c r="H47" i="34"/>
  <c r="AW81" i="34"/>
  <c r="AR81" i="34"/>
  <c r="AM81" i="34"/>
  <c r="AH81" i="34"/>
  <c r="AC81" i="34"/>
  <c r="X81" i="34"/>
  <c r="S81" i="34"/>
  <c r="AW80" i="34"/>
  <c r="AR80" i="34"/>
  <c r="AM80" i="34"/>
  <c r="AH80" i="34"/>
  <c r="AC80" i="34"/>
  <c r="X80" i="34"/>
  <c r="S80" i="34"/>
  <c r="AW79" i="34"/>
  <c r="AR79" i="34"/>
  <c r="AM79" i="34"/>
  <c r="AH79" i="34"/>
  <c r="AC79" i="34"/>
  <c r="X79" i="34"/>
  <c r="S79" i="34"/>
  <c r="AW78" i="34"/>
  <c r="AR78" i="34"/>
  <c r="AM78" i="34"/>
  <c r="AH78" i="34"/>
  <c r="AC78" i="34"/>
  <c r="X78" i="34"/>
  <c r="S78" i="34"/>
  <c r="AW77" i="34"/>
  <c r="AR77" i="34"/>
  <c r="AM77" i="34"/>
  <c r="AH77" i="34"/>
  <c r="AC77" i="34"/>
  <c r="X77" i="34"/>
  <c r="S77" i="34"/>
  <c r="AW76" i="34"/>
  <c r="AR76" i="34"/>
  <c r="AM76" i="34"/>
  <c r="AH76" i="34"/>
  <c r="AC76" i="34"/>
  <c r="X76" i="34"/>
  <c r="S76" i="34"/>
  <c r="AW75" i="34"/>
  <c r="AR75" i="34"/>
  <c r="AM75" i="34"/>
  <c r="AH75" i="34"/>
  <c r="AC75" i="34"/>
  <c r="X75" i="34"/>
  <c r="S75" i="34"/>
  <c r="AW74" i="34"/>
  <c r="AR74" i="34"/>
  <c r="AM74" i="34"/>
  <c r="AH74" i="34"/>
  <c r="AC74" i="34"/>
  <c r="X74" i="34"/>
  <c r="S74" i="34"/>
  <c r="K74" i="34"/>
  <c r="M74" i="34" s="1"/>
  <c r="J74" i="34"/>
  <c r="I74" i="34"/>
  <c r="AW73" i="34"/>
  <c r="AR73" i="34"/>
  <c r="AM73" i="34"/>
  <c r="AH73" i="34"/>
  <c r="AC73" i="34"/>
  <c r="X73" i="34"/>
  <c r="S73" i="34"/>
  <c r="M73" i="34"/>
  <c r="K73" i="34"/>
  <c r="J73" i="34"/>
  <c r="I73" i="34"/>
  <c r="AW72" i="34"/>
  <c r="AR72" i="34"/>
  <c r="AM72" i="34"/>
  <c r="AH72" i="34"/>
  <c r="AC72" i="34"/>
  <c r="X72" i="34"/>
  <c r="S72" i="34"/>
  <c r="K72" i="34"/>
  <c r="M72" i="34" s="1"/>
  <c r="J72" i="34"/>
  <c r="I72" i="34"/>
  <c r="AW71" i="34"/>
  <c r="AR71" i="34"/>
  <c r="AM71" i="34"/>
  <c r="AH71" i="34"/>
  <c r="AC71" i="34"/>
  <c r="X71" i="34"/>
  <c r="S71" i="34"/>
  <c r="K71" i="34"/>
  <c r="M71" i="34" s="1"/>
  <c r="J71" i="34"/>
  <c r="I71" i="34"/>
  <c r="AW70" i="34"/>
  <c r="AR70" i="34"/>
  <c r="AM70" i="34"/>
  <c r="AH70" i="34"/>
  <c r="AC70" i="34"/>
  <c r="X70" i="34"/>
  <c r="S70" i="34"/>
  <c r="K70" i="34"/>
  <c r="M70" i="34" s="1"/>
  <c r="J70" i="34"/>
  <c r="I70" i="34"/>
  <c r="AW69" i="34"/>
  <c r="AR69" i="34"/>
  <c r="AM69" i="34"/>
  <c r="AH69" i="34"/>
  <c r="AC69" i="34"/>
  <c r="X69" i="34"/>
  <c r="S69" i="34"/>
  <c r="K69" i="34"/>
  <c r="M69" i="34" s="1"/>
  <c r="J69" i="34"/>
  <c r="I69" i="34"/>
  <c r="AW68" i="34"/>
  <c r="AR68" i="34"/>
  <c r="AM68" i="34"/>
  <c r="AH68" i="34"/>
  <c r="AC68" i="34"/>
  <c r="X68" i="34"/>
  <c r="S68" i="34"/>
  <c r="K68" i="34"/>
  <c r="M68" i="34" s="1"/>
  <c r="J68" i="34"/>
  <c r="I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T67" i="34"/>
  <c r="S67" i="34"/>
  <c r="K67" i="34"/>
  <c r="L67" i="34" s="1"/>
  <c r="J67" i="34"/>
  <c r="I67" i="34"/>
  <c r="H67" i="34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AX42" i="33"/>
  <c r="AS42" i="33"/>
  <c r="AN42" i="33"/>
  <c r="AI42" i="33"/>
  <c r="AD42" i="33"/>
  <c r="Y42" i="33"/>
  <c r="T42" i="33"/>
  <c r="K42" i="33"/>
  <c r="J42" i="33"/>
  <c r="I42" i="33"/>
  <c r="H42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AX77" i="33"/>
  <c r="AS77" i="33"/>
  <c r="AN77" i="33"/>
  <c r="AI77" i="33"/>
  <c r="AD77" i="33"/>
  <c r="Y77" i="33"/>
  <c r="T77" i="33"/>
  <c r="K77" i="33"/>
  <c r="J77" i="33"/>
  <c r="I77" i="33"/>
  <c r="H7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K135" i="33"/>
  <c r="M135" i="33" s="1"/>
  <c r="J135" i="33"/>
  <c r="I135" i="33"/>
  <c r="AW134" i="33"/>
  <c r="AR134" i="33"/>
  <c r="AM134" i="33"/>
  <c r="AH134" i="33"/>
  <c r="AC134" i="33"/>
  <c r="X134" i="33"/>
  <c r="S134" i="33"/>
  <c r="K134" i="33"/>
  <c r="M134" i="33" s="1"/>
  <c r="J134" i="33"/>
  <c r="I134" i="33"/>
  <c r="AW133" i="33"/>
  <c r="AR133" i="33"/>
  <c r="AM133" i="33"/>
  <c r="AH133" i="33"/>
  <c r="AC133" i="33"/>
  <c r="X133" i="33"/>
  <c r="S133" i="33"/>
  <c r="K133" i="33"/>
  <c r="M133" i="33" s="1"/>
  <c r="J133" i="33"/>
  <c r="I133" i="33"/>
  <c r="AW132" i="33"/>
  <c r="AR132" i="33"/>
  <c r="AM132" i="33"/>
  <c r="AH132" i="33"/>
  <c r="AC132" i="33"/>
  <c r="X132" i="33"/>
  <c r="S132" i="33"/>
  <c r="K132" i="33"/>
  <c r="M132" i="33" s="1"/>
  <c r="J132" i="33"/>
  <c r="I132" i="33"/>
  <c r="AW131" i="33"/>
  <c r="AR131" i="33"/>
  <c r="AM131" i="33"/>
  <c r="AH131" i="33"/>
  <c r="AC131" i="33"/>
  <c r="X131" i="33"/>
  <c r="S131" i="33"/>
  <c r="K131" i="33"/>
  <c r="M131" i="33" s="1"/>
  <c r="J131" i="33"/>
  <c r="I131" i="33"/>
  <c r="AW130" i="33"/>
  <c r="AR130" i="33"/>
  <c r="AM130" i="33"/>
  <c r="AH130" i="33"/>
  <c r="AC130" i="33"/>
  <c r="X130" i="33"/>
  <c r="S130" i="33"/>
  <c r="K130" i="33"/>
  <c r="M130" i="33" s="1"/>
  <c r="J130" i="33"/>
  <c r="I130" i="33"/>
  <c r="AW129" i="33"/>
  <c r="AR129" i="33"/>
  <c r="AM129" i="33"/>
  <c r="AH129" i="33"/>
  <c r="AC129" i="33"/>
  <c r="X129" i="33"/>
  <c r="S129" i="33"/>
  <c r="K129" i="33"/>
  <c r="M129" i="33" s="1"/>
  <c r="J129" i="33"/>
  <c r="I129" i="33"/>
  <c r="AW128" i="33"/>
  <c r="AR128" i="33"/>
  <c r="AM128" i="33"/>
  <c r="AH128" i="33"/>
  <c r="AC128" i="33"/>
  <c r="X128" i="33"/>
  <c r="S128" i="33"/>
  <c r="K128" i="33"/>
  <c r="M128" i="33" s="1"/>
  <c r="J128" i="33"/>
  <c r="I128" i="33"/>
  <c r="AW127" i="33"/>
  <c r="AR127" i="33"/>
  <c r="AM127" i="33"/>
  <c r="AH127" i="33"/>
  <c r="AC127" i="33"/>
  <c r="X127" i="33"/>
  <c r="S127" i="33"/>
  <c r="K127" i="33"/>
  <c r="M127" i="33" s="1"/>
  <c r="J127" i="33"/>
  <c r="I127" i="33"/>
  <c r="AW126" i="33"/>
  <c r="AR126" i="33"/>
  <c r="AM126" i="33"/>
  <c r="AH126" i="33"/>
  <c r="AC126" i="33"/>
  <c r="X126" i="33"/>
  <c r="S126" i="33"/>
  <c r="K126" i="33"/>
  <c r="M126" i="33" s="1"/>
  <c r="J126" i="33"/>
  <c r="I126" i="33"/>
  <c r="AW125" i="33"/>
  <c r="AR125" i="33"/>
  <c r="AM125" i="33"/>
  <c r="AH125" i="33"/>
  <c r="AC125" i="33"/>
  <c r="X125" i="33"/>
  <c r="S125" i="33"/>
  <c r="K125" i="33"/>
  <c r="M125" i="33" s="1"/>
  <c r="J125" i="33"/>
  <c r="I125" i="33"/>
  <c r="AW124" i="33"/>
  <c r="AR124" i="33"/>
  <c r="AM124" i="33"/>
  <c r="AH124" i="33"/>
  <c r="AC124" i="33"/>
  <c r="X124" i="33"/>
  <c r="S124" i="33"/>
  <c r="K124" i="33"/>
  <c r="M124" i="33" s="1"/>
  <c r="J124" i="33"/>
  <c r="I124" i="33"/>
  <c r="AW123" i="33"/>
  <c r="AR123" i="33"/>
  <c r="AM123" i="33"/>
  <c r="AH123" i="33"/>
  <c r="AC123" i="33"/>
  <c r="X123" i="33"/>
  <c r="S123" i="33"/>
  <c r="M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M122" i="33" s="1"/>
  <c r="J122" i="33"/>
  <c r="I122" i="33"/>
  <c r="AW121" i="33"/>
  <c r="AR121" i="33"/>
  <c r="AM121" i="33"/>
  <c r="AH121" i="33"/>
  <c r="AC121" i="33"/>
  <c r="X121" i="33"/>
  <c r="S121" i="33"/>
  <c r="K121" i="33"/>
  <c r="M121" i="33" s="1"/>
  <c r="J121" i="33"/>
  <c r="I121" i="33"/>
  <c r="AW120" i="33"/>
  <c r="AR120" i="33"/>
  <c r="AM120" i="33"/>
  <c r="AH120" i="33"/>
  <c r="AC120" i="33"/>
  <c r="X120" i="33"/>
  <c r="S120" i="33"/>
  <c r="K120" i="33"/>
  <c r="M120" i="33" s="1"/>
  <c r="J120" i="33"/>
  <c r="I120" i="33"/>
  <c r="AW119" i="33"/>
  <c r="AR119" i="33"/>
  <c r="AM119" i="33"/>
  <c r="AH119" i="33"/>
  <c r="AC119" i="33"/>
  <c r="X119" i="33"/>
  <c r="S119" i="33"/>
  <c r="K119" i="33"/>
  <c r="M119" i="33" s="1"/>
  <c r="J119" i="33"/>
  <c r="I119" i="33"/>
  <c r="AW118" i="33"/>
  <c r="AR118" i="33"/>
  <c r="AM118" i="33"/>
  <c r="AH118" i="33"/>
  <c r="AC118" i="33"/>
  <c r="X118" i="33"/>
  <c r="S118" i="33"/>
  <c r="K118" i="33"/>
  <c r="M118" i="33" s="1"/>
  <c r="J118" i="33"/>
  <c r="I118" i="33"/>
  <c r="AW117" i="33"/>
  <c r="AR117" i="33"/>
  <c r="AM117" i="33"/>
  <c r="AH117" i="33"/>
  <c r="AC117" i="33"/>
  <c r="X117" i="33"/>
  <c r="S117" i="33"/>
  <c r="K117" i="33"/>
  <c r="M117" i="33" s="1"/>
  <c r="J117" i="33"/>
  <c r="I117" i="33"/>
  <c r="AW116" i="33"/>
  <c r="AR116" i="33"/>
  <c r="AM116" i="33"/>
  <c r="AH116" i="33"/>
  <c r="AC116" i="33"/>
  <c r="X116" i="33"/>
  <c r="S116" i="33"/>
  <c r="K116" i="33"/>
  <c r="M116" i="33" s="1"/>
  <c r="J116" i="33"/>
  <c r="I116" i="33"/>
  <c r="AW115" i="33"/>
  <c r="AR115" i="33"/>
  <c r="AM115" i="33"/>
  <c r="AH115" i="33"/>
  <c r="AC115" i="33"/>
  <c r="X115" i="33"/>
  <c r="S115" i="33"/>
  <c r="K115" i="33"/>
  <c r="M115" i="33" s="1"/>
  <c r="J115" i="33"/>
  <c r="I115" i="33"/>
  <c r="AW114" i="33"/>
  <c r="AR114" i="33"/>
  <c r="AM114" i="33"/>
  <c r="AH114" i="33"/>
  <c r="AC114" i="33"/>
  <c r="X114" i="33"/>
  <c r="S114" i="33"/>
  <c r="K114" i="33"/>
  <c r="M114" i="33" s="1"/>
  <c r="J114" i="33"/>
  <c r="I114" i="33"/>
  <c r="AW113" i="33"/>
  <c r="AR113" i="33"/>
  <c r="AM113" i="33"/>
  <c r="AH113" i="33"/>
  <c r="AC113" i="33"/>
  <c r="X113" i="33"/>
  <c r="S113" i="33"/>
  <c r="K113" i="33"/>
  <c r="M113" i="33" s="1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L112" i="33" s="1"/>
  <c r="J112" i="33"/>
  <c r="I112" i="33"/>
  <c r="H112" i="33"/>
  <c r="AX27" i="31"/>
  <c r="AS27" i="31"/>
  <c r="AN27" i="31"/>
  <c r="AI27" i="31"/>
  <c r="AD27" i="31"/>
  <c r="Y27" i="31"/>
  <c r="T27" i="31"/>
  <c r="K27" i="31"/>
  <c r="J27" i="31"/>
  <c r="I27" i="31"/>
  <c r="H27" i="31"/>
  <c r="AX47" i="31"/>
  <c r="AS47" i="31"/>
  <c r="AN47" i="31"/>
  <c r="AI47" i="31"/>
  <c r="AD47" i="31"/>
  <c r="Y47" i="31"/>
  <c r="T47" i="31"/>
  <c r="K47" i="31"/>
  <c r="J47" i="31"/>
  <c r="I47" i="31"/>
  <c r="H47" i="31"/>
  <c r="AW81" i="31"/>
  <c r="AR81" i="31"/>
  <c r="AM81" i="31"/>
  <c r="AH81" i="31"/>
  <c r="AC81" i="31"/>
  <c r="X81" i="31"/>
  <c r="S81" i="31"/>
  <c r="AW80" i="31"/>
  <c r="AR80" i="31"/>
  <c r="AM80" i="31"/>
  <c r="AH80" i="31"/>
  <c r="AC80" i="31"/>
  <c r="X80" i="31"/>
  <c r="S80" i="31"/>
  <c r="AW79" i="31"/>
  <c r="AR79" i="31"/>
  <c r="AM79" i="31"/>
  <c r="AH79" i="31"/>
  <c r="AC79" i="31"/>
  <c r="X79" i="31"/>
  <c r="S79" i="31"/>
  <c r="AW78" i="31"/>
  <c r="AR78" i="31"/>
  <c r="AM78" i="31"/>
  <c r="AH78" i="31"/>
  <c r="AC78" i="31"/>
  <c r="X78" i="31"/>
  <c r="S78" i="31"/>
  <c r="AW77" i="31"/>
  <c r="AR77" i="31"/>
  <c r="AM77" i="31"/>
  <c r="AH77" i="31"/>
  <c r="AC77" i="31"/>
  <c r="X77" i="31"/>
  <c r="S77" i="31"/>
  <c r="AW76" i="31"/>
  <c r="AR76" i="31"/>
  <c r="AM76" i="31"/>
  <c r="AH76" i="31"/>
  <c r="AC76" i="31"/>
  <c r="X76" i="31"/>
  <c r="S76" i="31"/>
  <c r="AW75" i="31"/>
  <c r="AR75" i="31"/>
  <c r="AM75" i="31"/>
  <c r="AH75" i="31"/>
  <c r="AC75" i="31"/>
  <c r="X75" i="31"/>
  <c r="S75" i="31"/>
  <c r="AW74" i="31"/>
  <c r="AR74" i="31"/>
  <c r="AM74" i="31"/>
  <c r="AH74" i="31"/>
  <c r="AC74" i="31"/>
  <c r="X74" i="31"/>
  <c r="S74" i="31"/>
  <c r="AW73" i="31"/>
  <c r="AR73" i="31"/>
  <c r="AM73" i="31"/>
  <c r="AH73" i="31"/>
  <c r="AC73" i="31"/>
  <c r="X73" i="31"/>
  <c r="S73" i="31"/>
  <c r="AW72" i="31"/>
  <c r="AR72" i="31"/>
  <c r="AM72" i="31"/>
  <c r="AH72" i="31"/>
  <c r="AC72" i="31"/>
  <c r="X72" i="31"/>
  <c r="S72" i="31"/>
  <c r="AW71" i="31"/>
  <c r="AR71" i="31"/>
  <c r="AM71" i="31"/>
  <c r="AH71" i="31"/>
  <c r="AC71" i="31"/>
  <c r="X71" i="31"/>
  <c r="S71" i="31"/>
  <c r="AW70" i="31"/>
  <c r="AR70" i="31"/>
  <c r="AM70" i="31"/>
  <c r="AH70" i="31"/>
  <c r="AC70" i="31"/>
  <c r="X70" i="31"/>
  <c r="S70" i="31"/>
  <c r="AW69" i="31"/>
  <c r="AR69" i="31"/>
  <c r="AM69" i="31"/>
  <c r="AH69" i="31"/>
  <c r="AC69" i="31"/>
  <c r="X69" i="31"/>
  <c r="S69" i="31"/>
  <c r="AW68" i="31"/>
  <c r="AR68" i="31"/>
  <c r="AM68" i="31"/>
  <c r="AH68" i="31"/>
  <c r="AC68" i="31"/>
  <c r="X68" i="31"/>
  <c r="S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T67" i="31"/>
  <c r="S67" i="31"/>
  <c r="K67" i="31"/>
  <c r="M67" i="31" s="1"/>
  <c r="J67" i="31"/>
  <c r="I67" i="31"/>
  <c r="H67" i="31"/>
  <c r="K36" i="32"/>
  <c r="J36" i="32"/>
  <c r="I36" i="32"/>
  <c r="K35" i="32"/>
  <c r="J35" i="32"/>
  <c r="I35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AX27" i="32"/>
  <c r="AS27" i="32"/>
  <c r="AN27" i="32"/>
  <c r="AI27" i="32"/>
  <c r="AD27" i="32"/>
  <c r="Y27" i="32"/>
  <c r="T27" i="32"/>
  <c r="K27" i="32"/>
  <c r="J27" i="32"/>
  <c r="I27" i="32"/>
  <c r="H2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AX47" i="32"/>
  <c r="AS47" i="32"/>
  <c r="AN47" i="32"/>
  <c r="AI47" i="32"/>
  <c r="AD47" i="32"/>
  <c r="Y47" i="32"/>
  <c r="T47" i="32"/>
  <c r="K47" i="32"/>
  <c r="J47" i="32"/>
  <c r="I47" i="32"/>
  <c r="H47" i="32"/>
  <c r="AW81" i="32"/>
  <c r="AR81" i="32"/>
  <c r="AM81" i="32"/>
  <c r="AH81" i="32"/>
  <c r="AC81" i="32"/>
  <c r="X81" i="32"/>
  <c r="S81" i="32"/>
  <c r="AW80" i="32"/>
  <c r="AR80" i="32"/>
  <c r="AM80" i="32"/>
  <c r="AH80" i="32"/>
  <c r="AC80" i="32"/>
  <c r="X80" i="32"/>
  <c r="S80" i="32"/>
  <c r="AW79" i="32"/>
  <c r="AR79" i="32"/>
  <c r="AM79" i="32"/>
  <c r="AH79" i="32"/>
  <c r="AC79" i="32"/>
  <c r="X79" i="32"/>
  <c r="S79" i="32"/>
  <c r="AW78" i="32"/>
  <c r="AR78" i="32"/>
  <c r="AM78" i="32"/>
  <c r="AH78" i="32"/>
  <c r="AC78" i="32"/>
  <c r="X78" i="32"/>
  <c r="S78" i="32"/>
  <c r="AW77" i="32"/>
  <c r="AR77" i="32"/>
  <c r="AM77" i="32"/>
  <c r="AH77" i="32"/>
  <c r="AC77" i="32"/>
  <c r="X77" i="32"/>
  <c r="S77" i="32"/>
  <c r="AW76" i="32"/>
  <c r="AR76" i="32"/>
  <c r="AM76" i="32"/>
  <c r="AH76" i="32"/>
  <c r="AC76" i="32"/>
  <c r="X76" i="32"/>
  <c r="S76" i="32"/>
  <c r="K76" i="32"/>
  <c r="M76" i="32" s="1"/>
  <c r="J76" i="32"/>
  <c r="I76" i="32"/>
  <c r="AW75" i="32"/>
  <c r="AR75" i="32"/>
  <c r="AM75" i="32"/>
  <c r="AH75" i="32"/>
  <c r="AC75" i="32"/>
  <c r="X75" i="32"/>
  <c r="S75" i="32"/>
  <c r="K75" i="32"/>
  <c r="M75" i="32" s="1"/>
  <c r="J75" i="32"/>
  <c r="I75" i="32"/>
  <c r="AW74" i="32"/>
  <c r="AR74" i="32"/>
  <c r="AM74" i="32"/>
  <c r="AH74" i="32"/>
  <c r="AC74" i="32"/>
  <c r="X74" i="32"/>
  <c r="S74" i="32"/>
  <c r="K74" i="32"/>
  <c r="M74" i="32" s="1"/>
  <c r="J74" i="32"/>
  <c r="I74" i="32"/>
  <c r="AW73" i="32"/>
  <c r="AR73" i="32"/>
  <c r="AM73" i="32"/>
  <c r="AH73" i="32"/>
  <c r="AC73" i="32"/>
  <c r="X73" i="32"/>
  <c r="S73" i="32"/>
  <c r="K73" i="32"/>
  <c r="M73" i="32" s="1"/>
  <c r="J73" i="32"/>
  <c r="I73" i="32"/>
  <c r="AW72" i="32"/>
  <c r="AR72" i="32"/>
  <c r="AM72" i="32"/>
  <c r="AH72" i="32"/>
  <c r="AC72" i="32"/>
  <c r="X72" i="32"/>
  <c r="S72" i="32"/>
  <c r="K72" i="32"/>
  <c r="M72" i="32" s="1"/>
  <c r="J72" i="32"/>
  <c r="I72" i="32"/>
  <c r="AW71" i="32"/>
  <c r="AR71" i="32"/>
  <c r="AM71" i="32"/>
  <c r="AH71" i="32"/>
  <c r="AC71" i="32"/>
  <c r="X71" i="32"/>
  <c r="S71" i="32"/>
  <c r="K71" i="32"/>
  <c r="M71" i="32" s="1"/>
  <c r="J71" i="32"/>
  <c r="I71" i="32"/>
  <c r="AW70" i="32"/>
  <c r="AR70" i="32"/>
  <c r="AM70" i="32"/>
  <c r="AH70" i="32"/>
  <c r="AC70" i="32"/>
  <c r="X70" i="32"/>
  <c r="S70" i="32"/>
  <c r="K70" i="32"/>
  <c r="M70" i="32" s="1"/>
  <c r="J70" i="32"/>
  <c r="I70" i="32"/>
  <c r="AW69" i="32"/>
  <c r="AR69" i="32"/>
  <c r="AM69" i="32"/>
  <c r="AH69" i="32"/>
  <c r="AC69" i="32"/>
  <c r="X69" i="32"/>
  <c r="S69" i="32"/>
  <c r="K69" i="32"/>
  <c r="M69" i="32" s="1"/>
  <c r="J69" i="32"/>
  <c r="I69" i="32"/>
  <c r="AW68" i="32"/>
  <c r="AR68" i="32"/>
  <c r="AM68" i="32"/>
  <c r="AH68" i="32"/>
  <c r="AC68" i="32"/>
  <c r="X68" i="32"/>
  <c r="S68" i="32"/>
  <c r="K68" i="32"/>
  <c r="M68" i="32" s="1"/>
  <c r="J68" i="32"/>
  <c r="I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T67" i="32"/>
  <c r="S67" i="32"/>
  <c r="L67" i="32"/>
  <c r="K67" i="32"/>
  <c r="M67" i="32" s="1"/>
  <c r="J67" i="32"/>
  <c r="I67" i="32"/>
  <c r="H67" i="32"/>
  <c r="K33" i="30"/>
  <c r="J33" i="30"/>
  <c r="I33" i="30"/>
  <c r="K32" i="30"/>
  <c r="J32" i="30"/>
  <c r="I32" i="30"/>
  <c r="K31" i="30"/>
  <c r="J31" i="30"/>
  <c r="I31" i="30"/>
  <c r="K30" i="30"/>
  <c r="J30" i="30"/>
  <c r="I30" i="30"/>
  <c r="K29" i="30"/>
  <c r="J29" i="30"/>
  <c r="I29" i="30"/>
  <c r="K28" i="30"/>
  <c r="J28" i="30"/>
  <c r="I28" i="30"/>
  <c r="AX27" i="30"/>
  <c r="AS27" i="30"/>
  <c r="AN27" i="30"/>
  <c r="AI27" i="30"/>
  <c r="AD27" i="30"/>
  <c r="Y27" i="30"/>
  <c r="T27" i="30"/>
  <c r="J27" i="30"/>
  <c r="I27" i="30"/>
  <c r="H27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AX47" i="30"/>
  <c r="AS47" i="30"/>
  <c r="AN47" i="30"/>
  <c r="AI47" i="30"/>
  <c r="AD47" i="30"/>
  <c r="Y47" i="30"/>
  <c r="T47" i="30"/>
  <c r="K47" i="30"/>
  <c r="J47" i="30"/>
  <c r="I47" i="30"/>
  <c r="H4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K73" i="30"/>
  <c r="M73" i="30" s="1"/>
  <c r="J73" i="30"/>
  <c r="I73" i="30"/>
  <c r="AW72" i="30"/>
  <c r="AR72" i="30"/>
  <c r="AM72" i="30"/>
  <c r="AH72" i="30"/>
  <c r="AC72" i="30"/>
  <c r="X72" i="30"/>
  <c r="S72" i="30"/>
  <c r="K72" i="30"/>
  <c r="M72" i="30" s="1"/>
  <c r="J72" i="30"/>
  <c r="I72" i="30"/>
  <c r="AW71" i="30"/>
  <c r="AR71" i="30"/>
  <c r="AM71" i="30"/>
  <c r="AH71" i="30"/>
  <c r="AC71" i="30"/>
  <c r="X71" i="30"/>
  <c r="S71" i="30"/>
  <c r="K71" i="30"/>
  <c r="M71" i="30" s="1"/>
  <c r="J71" i="30"/>
  <c r="I71" i="30"/>
  <c r="AW70" i="30"/>
  <c r="AR70" i="30"/>
  <c r="AM70" i="30"/>
  <c r="AH70" i="30"/>
  <c r="AC70" i="30"/>
  <c r="X70" i="30"/>
  <c r="S70" i="30"/>
  <c r="K70" i="30"/>
  <c r="M70" i="30" s="1"/>
  <c r="J70" i="30"/>
  <c r="I70" i="30"/>
  <c r="AW69" i="30"/>
  <c r="AR69" i="30"/>
  <c r="AM69" i="30"/>
  <c r="AH69" i="30"/>
  <c r="AC69" i="30"/>
  <c r="X69" i="30"/>
  <c r="S69" i="30"/>
  <c r="K69" i="30"/>
  <c r="M69" i="30" s="1"/>
  <c r="J69" i="30"/>
  <c r="I69" i="30"/>
  <c r="AW68" i="30"/>
  <c r="AR68" i="30"/>
  <c r="AM68" i="30"/>
  <c r="AH68" i="30"/>
  <c r="AC68" i="30"/>
  <c r="X68" i="30"/>
  <c r="S68" i="30"/>
  <c r="K68" i="30"/>
  <c r="M68" i="30" s="1"/>
  <c r="J68" i="30"/>
  <c r="I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L67" i="30"/>
  <c r="K67" i="30"/>
  <c r="M67" i="30" s="1"/>
  <c r="J67" i="30"/>
  <c r="I67" i="30"/>
  <c r="H67" i="30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AX42" i="8"/>
  <c r="AS42" i="8"/>
  <c r="AN42" i="8"/>
  <c r="AI42" i="8"/>
  <c r="AD42" i="8"/>
  <c r="Y42" i="8"/>
  <c r="T42" i="8"/>
  <c r="K42" i="8"/>
  <c r="J42" i="8"/>
  <c r="I42" i="8"/>
  <c r="H42" i="8"/>
  <c r="K95" i="8"/>
  <c r="J95" i="8"/>
  <c r="I95" i="8"/>
  <c r="K94" i="8"/>
  <c r="J94" i="8"/>
  <c r="I94" i="8"/>
  <c r="K93" i="8"/>
  <c r="J93" i="8"/>
  <c r="I93" i="8"/>
  <c r="K92" i="8"/>
  <c r="M92" i="8" s="1"/>
  <c r="J92" i="8"/>
  <c r="I92" i="8"/>
  <c r="K91" i="8"/>
  <c r="J91" i="8"/>
  <c r="I91" i="8"/>
  <c r="K90" i="8"/>
  <c r="J90" i="8"/>
  <c r="I90" i="8"/>
  <c r="K89" i="8"/>
  <c r="J89" i="8"/>
  <c r="I89" i="8"/>
  <c r="K88" i="8"/>
  <c r="M88" i="8" s="1"/>
  <c r="J88" i="8"/>
  <c r="I88" i="8"/>
  <c r="K87" i="8"/>
  <c r="J87" i="8"/>
  <c r="I87" i="8"/>
  <c r="K86" i="8"/>
  <c r="J86" i="8"/>
  <c r="I86" i="8"/>
  <c r="K85" i="8"/>
  <c r="J85" i="8"/>
  <c r="I85" i="8"/>
  <c r="K84" i="8"/>
  <c r="M84" i="8" s="1"/>
  <c r="J84" i="8"/>
  <c r="I84" i="8"/>
  <c r="K83" i="8"/>
  <c r="J83" i="8"/>
  <c r="I83" i="8"/>
  <c r="K82" i="8"/>
  <c r="J82" i="8"/>
  <c r="I82" i="8"/>
  <c r="K81" i="8"/>
  <c r="J81" i="8"/>
  <c r="I81" i="8"/>
  <c r="K80" i="8"/>
  <c r="M80" i="8" s="1"/>
  <c r="J80" i="8"/>
  <c r="I80" i="8"/>
  <c r="K79" i="8"/>
  <c r="J79" i="8"/>
  <c r="I79" i="8"/>
  <c r="K78" i="8"/>
  <c r="J78" i="8"/>
  <c r="I78" i="8"/>
  <c r="AX77" i="8"/>
  <c r="AS77" i="8"/>
  <c r="AN77" i="8"/>
  <c r="AI77" i="8"/>
  <c r="AD77" i="8"/>
  <c r="Y77" i="8"/>
  <c r="T77" i="8"/>
  <c r="K77" i="8"/>
  <c r="J77" i="8"/>
  <c r="I77" i="8"/>
  <c r="H77" i="8"/>
  <c r="AW141" i="8"/>
  <c r="AR141" i="8"/>
  <c r="AM141" i="8"/>
  <c r="AH141" i="8"/>
  <c r="AC141" i="8"/>
  <c r="X141" i="8"/>
  <c r="S141" i="8"/>
  <c r="AW140" i="8"/>
  <c r="AR140" i="8"/>
  <c r="AM140" i="8"/>
  <c r="AH140" i="8"/>
  <c r="AC140" i="8"/>
  <c r="X140" i="8"/>
  <c r="S140" i="8"/>
  <c r="AW139" i="8"/>
  <c r="AR139" i="8"/>
  <c r="AM139" i="8"/>
  <c r="AH139" i="8"/>
  <c r="AC139" i="8"/>
  <c r="X139" i="8"/>
  <c r="S139" i="8"/>
  <c r="AW138" i="8"/>
  <c r="AR138" i="8"/>
  <c r="AM138" i="8"/>
  <c r="AH138" i="8"/>
  <c r="AC138" i="8"/>
  <c r="X138" i="8"/>
  <c r="S138" i="8"/>
  <c r="AW137" i="8"/>
  <c r="AR137" i="8"/>
  <c r="AM137" i="8"/>
  <c r="AH137" i="8"/>
  <c r="AC137" i="8"/>
  <c r="X137" i="8"/>
  <c r="S137" i="8"/>
  <c r="AW136" i="8"/>
  <c r="AR136" i="8"/>
  <c r="AM136" i="8"/>
  <c r="AH136" i="8"/>
  <c r="AC136" i="8"/>
  <c r="X136" i="8"/>
  <c r="S136" i="8"/>
  <c r="AW135" i="8"/>
  <c r="AR135" i="8"/>
  <c r="AM135" i="8"/>
  <c r="AH135" i="8"/>
  <c r="AC135" i="8"/>
  <c r="X135" i="8"/>
  <c r="S135" i="8"/>
  <c r="M135" i="8"/>
  <c r="AW134" i="8"/>
  <c r="AR134" i="8"/>
  <c r="AM134" i="8"/>
  <c r="AH134" i="8"/>
  <c r="AC134" i="8"/>
  <c r="X134" i="8"/>
  <c r="S134" i="8"/>
  <c r="AW133" i="8"/>
  <c r="AR133" i="8"/>
  <c r="AM133" i="8"/>
  <c r="AH133" i="8"/>
  <c r="AC133" i="8"/>
  <c r="X133" i="8"/>
  <c r="S133" i="8"/>
  <c r="AW132" i="8"/>
  <c r="AR132" i="8"/>
  <c r="AM132" i="8"/>
  <c r="AH132" i="8"/>
  <c r="AC132" i="8"/>
  <c r="X132" i="8"/>
  <c r="S132" i="8"/>
  <c r="AW131" i="8"/>
  <c r="AR131" i="8"/>
  <c r="AM131" i="8"/>
  <c r="AH131" i="8"/>
  <c r="AC131" i="8"/>
  <c r="X131" i="8"/>
  <c r="S131" i="8"/>
  <c r="K131" i="8"/>
  <c r="M131" i="8" s="1"/>
  <c r="J131" i="8"/>
  <c r="I131" i="8"/>
  <c r="AW130" i="8"/>
  <c r="AR130" i="8"/>
  <c r="AM130" i="8"/>
  <c r="AH130" i="8"/>
  <c r="AC130" i="8"/>
  <c r="X130" i="8"/>
  <c r="S130" i="8"/>
  <c r="K130" i="8"/>
  <c r="M130" i="8" s="1"/>
  <c r="J130" i="8"/>
  <c r="I130" i="8"/>
  <c r="AW129" i="8"/>
  <c r="AR129" i="8"/>
  <c r="AM129" i="8"/>
  <c r="AH129" i="8"/>
  <c r="AC129" i="8"/>
  <c r="X129" i="8"/>
  <c r="S129" i="8"/>
  <c r="K129" i="8"/>
  <c r="M129" i="8" s="1"/>
  <c r="J129" i="8"/>
  <c r="I129" i="8"/>
  <c r="AW128" i="8"/>
  <c r="AR128" i="8"/>
  <c r="AM128" i="8"/>
  <c r="AH128" i="8"/>
  <c r="AC128" i="8"/>
  <c r="X128" i="8"/>
  <c r="S128" i="8"/>
  <c r="M128" i="8"/>
  <c r="K128" i="8"/>
  <c r="J128" i="8"/>
  <c r="I128" i="8"/>
  <c r="AW127" i="8"/>
  <c r="AR127" i="8"/>
  <c r="AM127" i="8"/>
  <c r="AH127" i="8"/>
  <c r="AC127" i="8"/>
  <c r="X127" i="8"/>
  <c r="S127" i="8"/>
  <c r="K127" i="8"/>
  <c r="M127" i="8" s="1"/>
  <c r="J127" i="8"/>
  <c r="I127" i="8"/>
  <c r="AW126" i="8"/>
  <c r="AR126" i="8"/>
  <c r="AM126" i="8"/>
  <c r="AH126" i="8"/>
  <c r="AC126" i="8"/>
  <c r="X126" i="8"/>
  <c r="S126" i="8"/>
  <c r="K126" i="8"/>
  <c r="M126" i="8" s="1"/>
  <c r="J126" i="8"/>
  <c r="I126" i="8"/>
  <c r="AW125" i="8"/>
  <c r="AR125" i="8"/>
  <c r="AM125" i="8"/>
  <c r="AH125" i="8"/>
  <c r="AC125" i="8"/>
  <c r="X125" i="8"/>
  <c r="S125" i="8"/>
  <c r="K125" i="8"/>
  <c r="M125" i="8" s="1"/>
  <c r="J125" i="8"/>
  <c r="I125" i="8"/>
  <c r="AW124" i="8"/>
  <c r="AR124" i="8"/>
  <c r="AM124" i="8"/>
  <c r="AH124" i="8"/>
  <c r="AC124" i="8"/>
  <c r="X124" i="8"/>
  <c r="S124" i="8"/>
  <c r="M124" i="8"/>
  <c r="K124" i="8"/>
  <c r="J124" i="8"/>
  <c r="I124" i="8"/>
  <c r="AW123" i="8"/>
  <c r="AR123" i="8"/>
  <c r="AM123" i="8"/>
  <c r="AH123" i="8"/>
  <c r="AC123" i="8"/>
  <c r="X123" i="8"/>
  <c r="S123" i="8"/>
  <c r="K123" i="8"/>
  <c r="M123" i="8" s="1"/>
  <c r="J123" i="8"/>
  <c r="I123" i="8"/>
  <c r="AW122" i="8"/>
  <c r="AR122" i="8"/>
  <c r="AM122" i="8"/>
  <c r="AH122" i="8"/>
  <c r="AC122" i="8"/>
  <c r="X122" i="8"/>
  <c r="S122" i="8"/>
  <c r="K122" i="8"/>
  <c r="M122" i="8" s="1"/>
  <c r="J122" i="8"/>
  <c r="I122" i="8"/>
  <c r="AW121" i="8"/>
  <c r="AR121" i="8"/>
  <c r="AM121" i="8"/>
  <c r="AH121" i="8"/>
  <c r="AC121" i="8"/>
  <c r="X121" i="8"/>
  <c r="S121" i="8"/>
  <c r="K121" i="8"/>
  <c r="M121" i="8" s="1"/>
  <c r="J121" i="8"/>
  <c r="I121" i="8"/>
  <c r="AW120" i="8"/>
  <c r="AR120" i="8"/>
  <c r="AM120" i="8"/>
  <c r="AH120" i="8"/>
  <c r="AC120" i="8"/>
  <c r="X120" i="8"/>
  <c r="S120" i="8"/>
  <c r="M120" i="8"/>
  <c r="K120" i="8"/>
  <c r="J120" i="8"/>
  <c r="I120" i="8"/>
  <c r="AW119" i="8"/>
  <c r="AR119" i="8"/>
  <c r="AM119" i="8"/>
  <c r="AH119" i="8"/>
  <c r="AC119" i="8"/>
  <c r="X119" i="8"/>
  <c r="S119" i="8"/>
  <c r="K119" i="8"/>
  <c r="M119" i="8" s="1"/>
  <c r="J119" i="8"/>
  <c r="I119" i="8"/>
  <c r="AW118" i="8"/>
  <c r="AR118" i="8"/>
  <c r="AM118" i="8"/>
  <c r="AH118" i="8"/>
  <c r="AC118" i="8"/>
  <c r="X118" i="8"/>
  <c r="S118" i="8"/>
  <c r="K118" i="8"/>
  <c r="M118" i="8" s="1"/>
  <c r="J118" i="8"/>
  <c r="I118" i="8"/>
  <c r="AW117" i="8"/>
  <c r="AR117" i="8"/>
  <c r="AM117" i="8"/>
  <c r="AH117" i="8"/>
  <c r="AC117" i="8"/>
  <c r="X117" i="8"/>
  <c r="S117" i="8"/>
  <c r="K117" i="8"/>
  <c r="M117" i="8" s="1"/>
  <c r="J117" i="8"/>
  <c r="I117" i="8"/>
  <c r="AW116" i="8"/>
  <c r="AR116" i="8"/>
  <c r="AM116" i="8"/>
  <c r="AH116" i="8"/>
  <c r="AC116" i="8"/>
  <c r="X116" i="8"/>
  <c r="S116" i="8"/>
  <c r="M116" i="8"/>
  <c r="K116" i="8"/>
  <c r="J116" i="8"/>
  <c r="I116" i="8"/>
  <c r="AW115" i="8"/>
  <c r="AR115" i="8"/>
  <c r="AM115" i="8"/>
  <c r="AH115" i="8"/>
  <c r="AC115" i="8"/>
  <c r="X115" i="8"/>
  <c r="S115" i="8"/>
  <c r="K115" i="8"/>
  <c r="M115" i="8" s="1"/>
  <c r="J115" i="8"/>
  <c r="I115" i="8"/>
  <c r="AW114" i="8"/>
  <c r="AR114" i="8"/>
  <c r="AM114" i="8"/>
  <c r="AH114" i="8"/>
  <c r="AC114" i="8"/>
  <c r="X114" i="8"/>
  <c r="S114" i="8"/>
  <c r="K114" i="8"/>
  <c r="M114" i="8" s="1"/>
  <c r="J114" i="8"/>
  <c r="I114" i="8"/>
  <c r="AW113" i="8"/>
  <c r="AR113" i="8"/>
  <c r="AM113" i="8"/>
  <c r="AH113" i="8"/>
  <c r="AC113" i="8"/>
  <c r="X113" i="8"/>
  <c r="S113" i="8"/>
  <c r="K113" i="8"/>
  <c r="M113" i="8" s="1"/>
  <c r="J113" i="8"/>
  <c r="I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T112" i="8"/>
  <c r="S112" i="8"/>
  <c r="K112" i="8"/>
  <c r="M112" i="8" s="1"/>
  <c r="J112" i="8"/>
  <c r="I112" i="8"/>
  <c r="H112" i="8"/>
  <c r="I147" i="8"/>
  <c r="J147" i="8"/>
  <c r="K147" i="8"/>
  <c r="M105" i="8" s="1"/>
  <c r="I148" i="8"/>
  <c r="J148" i="8"/>
  <c r="K148" i="8"/>
  <c r="I149" i="8"/>
  <c r="J149" i="8"/>
  <c r="K149" i="8"/>
  <c r="I150" i="8"/>
  <c r="J150" i="8"/>
  <c r="K150" i="8"/>
  <c r="I151" i="8"/>
  <c r="J151" i="8"/>
  <c r="K151" i="8"/>
  <c r="I152" i="8"/>
  <c r="J152" i="8"/>
  <c r="K152" i="8"/>
  <c r="I153" i="8"/>
  <c r="J153" i="8"/>
  <c r="K153" i="8"/>
  <c r="I154" i="8"/>
  <c r="J154" i="8"/>
  <c r="K154" i="8"/>
  <c r="I155" i="8"/>
  <c r="J155" i="8"/>
  <c r="K155" i="8"/>
  <c r="I156" i="8"/>
  <c r="J156" i="8"/>
  <c r="K156" i="8"/>
  <c r="I157" i="8"/>
  <c r="J157" i="8"/>
  <c r="K157" i="8"/>
  <c r="I158" i="8"/>
  <c r="J158" i="8"/>
  <c r="K158" i="8"/>
  <c r="I159" i="8"/>
  <c r="J159" i="8"/>
  <c r="K159" i="8"/>
  <c r="I160" i="8"/>
  <c r="J160" i="8"/>
  <c r="K160" i="8"/>
  <c r="I161" i="8"/>
  <c r="J161" i="8"/>
  <c r="K161" i="8"/>
  <c r="I162" i="8"/>
  <c r="J162" i="8"/>
  <c r="K162" i="8"/>
  <c r="I163" i="8"/>
  <c r="J163" i="8"/>
  <c r="K163" i="8"/>
  <c r="I164" i="8"/>
  <c r="J164" i="8"/>
  <c r="K164" i="8"/>
  <c r="I165" i="8"/>
  <c r="J165" i="8"/>
  <c r="K165" i="8"/>
  <c r="I166" i="8"/>
  <c r="J166" i="8"/>
  <c r="K166" i="8"/>
  <c r="U2" i="32"/>
  <c r="Z2" i="32" s="1"/>
  <c r="AE2" i="32" s="1"/>
  <c r="AJ2" i="32" s="1"/>
  <c r="AO2" i="32" s="1"/>
  <c r="AT2" i="32" s="1"/>
  <c r="P22" i="32" s="1"/>
  <c r="U2" i="31"/>
  <c r="Z2" i="31" s="1"/>
  <c r="AE2" i="31" s="1"/>
  <c r="AJ2" i="31" s="1"/>
  <c r="AO2" i="31" s="1"/>
  <c r="AT2" i="31" s="1"/>
  <c r="P22" i="31" s="1"/>
  <c r="U2" i="33"/>
  <c r="Z2" i="33" s="1"/>
  <c r="AE2" i="33" s="1"/>
  <c r="AJ2" i="33" s="1"/>
  <c r="AO2" i="33" s="1"/>
  <c r="AT2" i="33" s="1"/>
  <c r="P37" i="33" s="1"/>
  <c r="U2" i="34"/>
  <c r="Z2" i="34" s="1"/>
  <c r="AE2" i="34" s="1"/>
  <c r="AJ2" i="34" s="1"/>
  <c r="AO2" i="34" s="1"/>
  <c r="AT2" i="34" s="1"/>
  <c r="P22" i="34" s="1"/>
  <c r="U2" i="35"/>
  <c r="Z2" i="35" s="1"/>
  <c r="AE2" i="35" s="1"/>
  <c r="AJ2" i="35" s="1"/>
  <c r="AO2" i="35" s="1"/>
  <c r="AT2" i="35" s="1"/>
  <c r="P22" i="35" s="1"/>
  <c r="Z2" i="36"/>
  <c r="AE2" i="36" s="1"/>
  <c r="AJ2" i="36" s="1"/>
  <c r="AO2" i="36" s="1"/>
  <c r="AT2" i="36" s="1"/>
  <c r="P22" i="36" s="1"/>
  <c r="U2" i="36"/>
  <c r="Z2" i="37"/>
  <c r="AE2" i="37" s="1"/>
  <c r="AJ2" i="37" s="1"/>
  <c r="AO2" i="37" s="1"/>
  <c r="AT2" i="37" s="1"/>
  <c r="P22" i="37" s="1"/>
  <c r="U2" i="37"/>
  <c r="U2" i="30"/>
  <c r="Z2" i="30" s="1"/>
  <c r="AE2" i="30" s="1"/>
  <c r="AJ2" i="30" s="1"/>
  <c r="AO2" i="30" s="1"/>
  <c r="AT2" i="30" s="1"/>
  <c r="P22" i="30" s="1"/>
  <c r="U2" i="8"/>
  <c r="Z2" i="8" s="1"/>
  <c r="AE2" i="8" s="1"/>
  <c r="AJ2" i="8" s="1"/>
  <c r="AO2" i="8" s="1"/>
  <c r="AT2" i="8" s="1"/>
  <c r="P37" i="8" s="1"/>
  <c r="H7" i="8"/>
  <c r="I7" i="8"/>
  <c r="J7" i="8"/>
  <c r="K7" i="8"/>
  <c r="T7" i="8"/>
  <c r="Y7" i="8"/>
  <c r="AD7" i="8"/>
  <c r="AI7" i="8"/>
  <c r="AN7" i="8"/>
  <c r="AS7" i="8"/>
  <c r="AX7" i="8"/>
  <c r="I8" i="8"/>
  <c r="J8" i="8"/>
  <c r="K8" i="8"/>
  <c r="I9" i="8"/>
  <c r="J9" i="8"/>
  <c r="K9" i="8"/>
  <c r="I10" i="8"/>
  <c r="J10" i="8"/>
  <c r="K10" i="8"/>
  <c r="I11" i="8"/>
  <c r="J11" i="8"/>
  <c r="K11" i="8"/>
  <c r="I12" i="8"/>
  <c r="J12" i="8"/>
  <c r="K12" i="8"/>
  <c r="I13" i="8"/>
  <c r="J13" i="8"/>
  <c r="K13" i="8"/>
  <c r="I14" i="8"/>
  <c r="J14" i="8"/>
  <c r="K14" i="8"/>
  <c r="I15" i="8"/>
  <c r="J15" i="8"/>
  <c r="K15" i="8"/>
  <c r="I16" i="8"/>
  <c r="J16" i="8"/>
  <c r="K16" i="8"/>
  <c r="I17" i="8"/>
  <c r="J17" i="8"/>
  <c r="K17" i="8"/>
  <c r="I18" i="8"/>
  <c r="J18" i="8"/>
  <c r="K18" i="8"/>
  <c r="I19" i="8"/>
  <c r="J19" i="8"/>
  <c r="K19" i="8"/>
  <c r="I20" i="8"/>
  <c r="J20" i="8"/>
  <c r="K20" i="8"/>
  <c r="I21" i="8"/>
  <c r="J21" i="8"/>
  <c r="K21" i="8"/>
  <c r="I22" i="8"/>
  <c r="J22" i="8"/>
  <c r="K22" i="8"/>
  <c r="I23" i="8"/>
  <c r="J23" i="8"/>
  <c r="K23" i="8"/>
  <c r="I24" i="8"/>
  <c r="J24" i="8"/>
  <c r="K24" i="8"/>
  <c r="I25" i="8"/>
  <c r="J25" i="8"/>
  <c r="K25" i="8"/>
  <c r="U43" i="3"/>
  <c r="U42" i="3"/>
  <c r="U41" i="3"/>
  <c r="U40" i="3"/>
  <c r="U39" i="3"/>
  <c r="U38" i="3"/>
  <c r="U37" i="3"/>
  <c r="U36" i="3"/>
  <c r="L67" i="37" l="1"/>
  <c r="M132" i="8"/>
  <c r="M81" i="8"/>
  <c r="M85" i="8"/>
  <c r="M89" i="8"/>
  <c r="M93" i="8"/>
  <c r="M78" i="8"/>
  <c r="M82" i="8"/>
  <c r="M86" i="8"/>
  <c r="M90" i="8"/>
  <c r="M94" i="8"/>
  <c r="M112" i="33"/>
  <c r="M141" i="8"/>
  <c r="M79" i="8"/>
  <c r="M83" i="8"/>
  <c r="M87" i="8"/>
  <c r="M91" i="8"/>
  <c r="M95" i="8"/>
  <c r="M20" i="8"/>
  <c r="M96" i="8"/>
  <c r="M138" i="8"/>
  <c r="L47" i="37"/>
  <c r="B36" i="39" s="1"/>
  <c r="L47" i="34"/>
  <c r="B33" i="39" s="1"/>
  <c r="L77" i="33"/>
  <c r="B32" i="39" s="1"/>
  <c r="L47" i="30"/>
  <c r="B29" i="39" s="1"/>
  <c r="L77" i="8"/>
  <c r="B28" i="39" s="1"/>
  <c r="M29" i="37"/>
  <c r="M30" i="37"/>
  <c r="M31" i="37"/>
  <c r="M28" i="37"/>
  <c r="M32" i="37"/>
  <c r="M28" i="36"/>
  <c r="M29" i="36"/>
  <c r="M30" i="36"/>
  <c r="M31" i="36"/>
  <c r="L27" i="35"/>
  <c r="M28" i="35"/>
  <c r="M32" i="35"/>
  <c r="M29" i="35"/>
  <c r="M33" i="35"/>
  <c r="M30" i="35"/>
  <c r="M31" i="35"/>
  <c r="M30" i="34"/>
  <c r="M34" i="34"/>
  <c r="M31" i="34"/>
  <c r="M28" i="34"/>
  <c r="M32" i="34"/>
  <c r="M29" i="34"/>
  <c r="M33" i="34"/>
  <c r="M43" i="33"/>
  <c r="M47" i="33"/>
  <c r="M51" i="33"/>
  <c r="M55" i="33"/>
  <c r="M59" i="33"/>
  <c r="M63" i="33"/>
  <c r="M44" i="33"/>
  <c r="M48" i="33"/>
  <c r="M52" i="33"/>
  <c r="M56" i="33"/>
  <c r="M60" i="33"/>
  <c r="M64" i="33"/>
  <c r="M45" i="33"/>
  <c r="M49" i="33"/>
  <c r="M53" i="33"/>
  <c r="M57" i="33"/>
  <c r="M61" i="33"/>
  <c r="M65" i="33"/>
  <c r="M46" i="33"/>
  <c r="M50" i="33"/>
  <c r="M54" i="33"/>
  <c r="M58" i="33"/>
  <c r="M62" i="33"/>
  <c r="L27" i="32"/>
  <c r="M28" i="32"/>
  <c r="M32" i="32"/>
  <c r="M36" i="32"/>
  <c r="M29" i="32"/>
  <c r="M33" i="32"/>
  <c r="M30" i="32"/>
  <c r="M34" i="32"/>
  <c r="M31" i="32"/>
  <c r="M35" i="32"/>
  <c r="M29" i="30"/>
  <c r="M31" i="30"/>
  <c r="M28" i="30"/>
  <c r="M32" i="30"/>
  <c r="M33" i="30"/>
  <c r="M30" i="30"/>
  <c r="M46" i="8"/>
  <c r="M50" i="8"/>
  <c r="M54" i="8"/>
  <c r="M16" i="8"/>
  <c r="L47" i="32"/>
  <c r="B30" i="39" s="1"/>
  <c r="M12" i="8"/>
  <c r="L112" i="8"/>
  <c r="M98" i="8"/>
  <c r="M101" i="8"/>
  <c r="M104" i="8"/>
  <c r="M58" i="8"/>
  <c r="M23" i="8"/>
  <c r="M19" i="8"/>
  <c r="M15" i="8"/>
  <c r="M11" i="8"/>
  <c r="M43" i="8"/>
  <c r="M47" i="8"/>
  <c r="M51" i="8"/>
  <c r="M55" i="8"/>
  <c r="M59" i="8"/>
  <c r="M134" i="8"/>
  <c r="M137" i="8"/>
  <c r="M140" i="8"/>
  <c r="M40" i="37"/>
  <c r="M41" i="37"/>
  <c r="M39" i="37"/>
  <c r="M36" i="37"/>
  <c r="M33" i="37"/>
  <c r="M27" i="37"/>
  <c r="M37" i="37"/>
  <c r="M35" i="37"/>
  <c r="M38" i="37"/>
  <c r="M34" i="37"/>
  <c r="M24" i="8"/>
  <c r="M70" i="8"/>
  <c r="M67" i="8"/>
  <c r="M64" i="8"/>
  <c r="M71" i="8"/>
  <c r="M68" i="8"/>
  <c r="M65" i="8"/>
  <c r="M69" i="8"/>
  <c r="M66" i="8"/>
  <c r="M63" i="8"/>
  <c r="M42" i="8"/>
  <c r="M62" i="8"/>
  <c r="L27" i="37"/>
  <c r="M18" i="8"/>
  <c r="M14" i="8"/>
  <c r="M10" i="8"/>
  <c r="M97" i="8"/>
  <c r="M100" i="8"/>
  <c r="M103" i="8"/>
  <c r="M106" i="8"/>
  <c r="M44" i="8"/>
  <c r="M48" i="8"/>
  <c r="M52" i="8"/>
  <c r="M56" i="8"/>
  <c r="M60" i="8"/>
  <c r="L42" i="33"/>
  <c r="M69" i="33"/>
  <c r="M66" i="33"/>
  <c r="M68" i="33"/>
  <c r="M71" i="33"/>
  <c r="M67" i="33"/>
  <c r="M70" i="33"/>
  <c r="M39" i="36"/>
  <c r="M36" i="36"/>
  <c r="M33" i="36"/>
  <c r="M27" i="36"/>
  <c r="M34" i="36"/>
  <c r="M37" i="36"/>
  <c r="M40" i="36"/>
  <c r="M32" i="36"/>
  <c r="M35" i="36"/>
  <c r="M38" i="36"/>
  <c r="M41" i="36"/>
  <c r="M22" i="8"/>
  <c r="M26" i="8"/>
  <c r="M133" i="8"/>
  <c r="M136" i="8"/>
  <c r="M139" i="8"/>
  <c r="M39" i="30"/>
  <c r="M36" i="30"/>
  <c r="M27" i="30"/>
  <c r="M34" i="30"/>
  <c r="M37" i="30"/>
  <c r="M40" i="30"/>
  <c r="M35" i="30"/>
  <c r="M38" i="30"/>
  <c r="M41" i="30"/>
  <c r="M39" i="35"/>
  <c r="M36" i="35"/>
  <c r="M27" i="35"/>
  <c r="M34" i="35"/>
  <c r="M37" i="35"/>
  <c r="M40" i="35"/>
  <c r="M35" i="35"/>
  <c r="M38" i="35"/>
  <c r="M41" i="35"/>
  <c r="M21" i="8"/>
  <c r="M17" i="8"/>
  <c r="M13" i="8"/>
  <c r="M9" i="8"/>
  <c r="M45" i="8"/>
  <c r="M49" i="8"/>
  <c r="M53" i="8"/>
  <c r="M57" i="8"/>
  <c r="M61" i="8"/>
  <c r="M39" i="31"/>
  <c r="M36" i="31"/>
  <c r="M33" i="31"/>
  <c r="M30" i="31"/>
  <c r="M27" i="31"/>
  <c r="M37" i="31"/>
  <c r="M40" i="31"/>
  <c r="M29" i="31"/>
  <c r="M32" i="31"/>
  <c r="M35" i="31"/>
  <c r="M38" i="31"/>
  <c r="M41" i="31"/>
  <c r="M31" i="31"/>
  <c r="M28" i="31"/>
  <c r="M34" i="31"/>
  <c r="M39" i="34"/>
  <c r="M36" i="34"/>
  <c r="M27" i="34"/>
  <c r="M38" i="34"/>
  <c r="M37" i="34"/>
  <c r="M40" i="34"/>
  <c r="M35" i="34"/>
  <c r="M41" i="34"/>
  <c r="M8" i="8"/>
  <c r="M25" i="8"/>
  <c r="M35" i="8"/>
  <c r="M32" i="8"/>
  <c r="M29" i="8"/>
  <c r="M36" i="8"/>
  <c r="M33" i="8"/>
  <c r="M30" i="8"/>
  <c r="M27" i="8"/>
  <c r="M34" i="8"/>
  <c r="M31" i="8"/>
  <c r="M28" i="8"/>
  <c r="M7" i="8"/>
  <c r="M99" i="8"/>
  <c r="M102" i="8"/>
  <c r="M39" i="32"/>
  <c r="M27" i="32"/>
  <c r="M37" i="32"/>
  <c r="M40" i="32"/>
  <c r="M38" i="32"/>
  <c r="M41" i="32"/>
  <c r="L27" i="34"/>
  <c r="L42" i="8"/>
  <c r="L7" i="8"/>
  <c r="L27" i="36"/>
  <c r="L47" i="36"/>
  <c r="B35" i="39" s="1"/>
  <c r="L47" i="35"/>
  <c r="B34" i="39" s="1"/>
  <c r="L67" i="35"/>
  <c r="M67" i="34"/>
  <c r="L27" i="31"/>
  <c r="L47" i="31"/>
  <c r="B31" i="39" s="1"/>
  <c r="L67" i="31"/>
  <c r="L27" i="30"/>
  <c r="M77" i="8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M41" i="41" l="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AK46" i="7" l="1"/>
  <c r="AK47" i="7" s="1"/>
  <c r="AI46" i="7"/>
  <c r="AI47" i="7" s="1"/>
  <c r="AG46" i="7"/>
  <c r="B21" i="13" s="1"/>
  <c r="AE46" i="7"/>
  <c r="AE47" i="7" s="1"/>
  <c r="AA46" i="7"/>
  <c r="Y46" i="7"/>
  <c r="W46" i="7"/>
  <c r="B18" i="13" s="1"/>
  <c r="U46" i="7"/>
  <c r="B17" i="13" s="1"/>
  <c r="Q46" i="7"/>
  <c r="O46" i="7"/>
  <c r="K46" i="7"/>
  <c r="I46" i="7"/>
  <c r="B23" i="13" l="1"/>
  <c r="B22" i="13"/>
  <c r="B20" i="13"/>
  <c r="W47" i="7"/>
  <c r="U47" i="7"/>
  <c r="AG47" i="7"/>
  <c r="AK46" i="6"/>
  <c r="AK47" i="6" s="1"/>
  <c r="AI46" i="6"/>
  <c r="H22" i="13" s="1"/>
  <c r="AG46" i="6"/>
  <c r="AG47" i="6" s="1"/>
  <c r="AE46" i="6"/>
  <c r="AE47" i="6" s="1"/>
  <c r="AA46" i="6"/>
  <c r="Y46" i="6"/>
  <c r="W46" i="6"/>
  <c r="H18" i="13" s="1"/>
  <c r="U46" i="6"/>
  <c r="U47" i="6" s="1"/>
  <c r="Q46" i="6"/>
  <c r="O46" i="6"/>
  <c r="K46" i="6"/>
  <c r="I46" i="6"/>
  <c r="H23" i="13" l="1"/>
  <c r="AI47" i="6"/>
  <c r="H21" i="13"/>
  <c r="H20" i="13"/>
  <c r="W47" i="6"/>
  <c r="H17" i="13"/>
  <c r="K93" i="30" l="1"/>
  <c r="J93" i="30"/>
  <c r="I93" i="30"/>
  <c r="K92" i="30"/>
  <c r="J92" i="30"/>
  <c r="I92" i="30"/>
  <c r="K91" i="30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M52" i="30" l="1"/>
  <c r="M51" i="30"/>
  <c r="M47" i="30"/>
  <c r="M50" i="30"/>
  <c r="M48" i="30"/>
  <c r="M49" i="30"/>
  <c r="M53" i="30"/>
  <c r="M80" i="30"/>
  <c r="M77" i="30"/>
  <c r="M74" i="30"/>
  <c r="M61" i="30"/>
  <c r="M58" i="30"/>
  <c r="M55" i="30"/>
  <c r="M81" i="30"/>
  <c r="M78" i="30"/>
  <c r="M75" i="30"/>
  <c r="M59" i="30"/>
  <c r="M56" i="30"/>
  <c r="M79" i="30"/>
  <c r="M76" i="30"/>
  <c r="M60" i="30"/>
  <c r="M57" i="30"/>
  <c r="M54" i="30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I16" i="5" l="1"/>
  <c r="I17" i="5"/>
  <c r="I18" i="5"/>
  <c r="I19" i="5"/>
  <c r="AH8" i="43" l="1"/>
  <c r="AG8" i="43"/>
  <c r="AF8" i="43"/>
  <c r="AE8" i="43"/>
  <c r="AD8" i="43"/>
  <c r="AC8" i="43"/>
  <c r="AB8" i="43"/>
  <c r="AA8" i="43"/>
  <c r="AH8" i="29"/>
  <c r="AG8" i="29"/>
  <c r="AF8" i="29"/>
  <c r="AE8" i="29"/>
  <c r="AD8" i="29"/>
  <c r="AC8" i="29"/>
  <c r="AB8" i="29"/>
  <c r="AA8" i="29"/>
  <c r="AW175" i="8" l="1"/>
  <c r="AR175" i="8"/>
  <c r="AM175" i="8"/>
  <c r="AH175" i="8"/>
  <c r="AC175" i="8"/>
  <c r="X175" i="8"/>
  <c r="S175" i="8"/>
  <c r="AW174" i="8"/>
  <c r="AR174" i="8"/>
  <c r="AM174" i="8"/>
  <c r="AH174" i="8"/>
  <c r="AC174" i="8"/>
  <c r="X174" i="8"/>
  <c r="S174" i="8"/>
  <c r="AW173" i="8"/>
  <c r="AR173" i="8"/>
  <c r="AM173" i="8"/>
  <c r="AH173" i="8"/>
  <c r="AC173" i="8"/>
  <c r="X173" i="8"/>
  <c r="S173" i="8"/>
  <c r="AW172" i="8"/>
  <c r="AR172" i="8"/>
  <c r="AM172" i="8"/>
  <c r="AH172" i="8"/>
  <c r="AC172" i="8"/>
  <c r="X172" i="8"/>
  <c r="S172" i="8"/>
  <c r="AW171" i="8"/>
  <c r="AR171" i="8"/>
  <c r="AM171" i="8"/>
  <c r="AH171" i="8"/>
  <c r="AC171" i="8"/>
  <c r="X171" i="8"/>
  <c r="S171" i="8"/>
  <c r="AW170" i="8"/>
  <c r="AR170" i="8"/>
  <c r="AM170" i="8"/>
  <c r="AH170" i="8"/>
  <c r="AC170" i="8"/>
  <c r="X170" i="8"/>
  <c r="S170" i="8"/>
  <c r="AW169" i="8"/>
  <c r="AR169" i="8"/>
  <c r="AM169" i="8"/>
  <c r="AH169" i="8"/>
  <c r="AC169" i="8"/>
  <c r="X169" i="8"/>
  <c r="S169" i="8"/>
  <c r="AW168" i="8"/>
  <c r="AR168" i="8"/>
  <c r="AM168" i="8"/>
  <c r="AH168" i="8"/>
  <c r="AC168" i="8"/>
  <c r="X168" i="8"/>
  <c r="S168" i="8"/>
  <c r="AW167" i="8"/>
  <c r="AR167" i="8"/>
  <c r="AM167" i="8"/>
  <c r="AH167" i="8"/>
  <c r="AC167" i="8"/>
  <c r="X167" i="8"/>
  <c r="S167" i="8"/>
  <c r="AW166" i="8"/>
  <c r="AR166" i="8"/>
  <c r="AM166" i="8"/>
  <c r="AH166" i="8"/>
  <c r="AC166" i="8"/>
  <c r="X166" i="8"/>
  <c r="S166" i="8"/>
  <c r="AW165" i="8"/>
  <c r="AR165" i="8"/>
  <c r="AM165" i="8"/>
  <c r="AH165" i="8"/>
  <c r="AC165" i="8"/>
  <c r="X165" i="8"/>
  <c r="S165" i="8"/>
  <c r="AW164" i="8"/>
  <c r="AR164" i="8"/>
  <c r="AM164" i="8"/>
  <c r="AH164" i="8"/>
  <c r="AC164" i="8"/>
  <c r="X164" i="8"/>
  <c r="S164" i="8"/>
  <c r="AW163" i="8"/>
  <c r="AR163" i="8"/>
  <c r="AM163" i="8"/>
  <c r="AH163" i="8"/>
  <c r="AC163" i="8"/>
  <c r="X163" i="8"/>
  <c r="S163" i="8"/>
  <c r="AW162" i="8"/>
  <c r="AR162" i="8"/>
  <c r="AM162" i="8"/>
  <c r="AH162" i="8"/>
  <c r="AC162" i="8"/>
  <c r="X162" i="8"/>
  <c r="S162" i="8"/>
  <c r="AW161" i="8"/>
  <c r="AR161" i="8"/>
  <c r="AM161" i="8"/>
  <c r="AH161" i="8"/>
  <c r="AC161" i="8"/>
  <c r="X161" i="8"/>
  <c r="S161" i="8"/>
  <c r="AW175" i="33" l="1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AW169" i="33"/>
  <c r="AR169" i="33"/>
  <c r="AM169" i="33"/>
  <c r="AH169" i="33"/>
  <c r="AC169" i="33"/>
  <c r="X169" i="33"/>
  <c r="S169" i="33"/>
  <c r="AW168" i="33"/>
  <c r="AR168" i="33"/>
  <c r="AM168" i="33"/>
  <c r="AH168" i="33"/>
  <c r="AC168" i="33"/>
  <c r="X168" i="33"/>
  <c r="S168" i="33"/>
  <c r="AW167" i="33"/>
  <c r="AR167" i="33"/>
  <c r="AM167" i="33"/>
  <c r="AH167" i="33"/>
  <c r="AC167" i="33"/>
  <c r="X167" i="33"/>
  <c r="S167" i="33"/>
  <c r="AW166" i="33"/>
  <c r="AR166" i="33"/>
  <c r="AM166" i="33"/>
  <c r="AH166" i="33"/>
  <c r="AC166" i="33"/>
  <c r="X166" i="33"/>
  <c r="S166" i="33"/>
  <c r="AW165" i="33"/>
  <c r="AR165" i="33"/>
  <c r="AM165" i="33"/>
  <c r="AH165" i="33"/>
  <c r="AC165" i="33"/>
  <c r="X165" i="33"/>
  <c r="S165" i="33"/>
  <c r="AW164" i="33"/>
  <c r="AR164" i="33"/>
  <c r="AM164" i="33"/>
  <c r="AH164" i="33"/>
  <c r="AC164" i="33"/>
  <c r="X164" i="33"/>
  <c r="S164" i="33"/>
  <c r="AW163" i="33"/>
  <c r="AR163" i="33"/>
  <c r="AM163" i="33"/>
  <c r="AH163" i="33"/>
  <c r="AC163" i="33"/>
  <c r="X163" i="33"/>
  <c r="S163" i="33"/>
  <c r="AW162" i="33"/>
  <c r="AR162" i="33"/>
  <c r="AM162" i="33"/>
  <c r="AH162" i="33"/>
  <c r="AC162" i="33"/>
  <c r="X162" i="33"/>
  <c r="S162" i="33"/>
  <c r="AW161" i="33"/>
  <c r="AR161" i="33"/>
  <c r="AM161" i="33"/>
  <c r="AH161" i="33"/>
  <c r="AC161" i="33"/>
  <c r="X161" i="33"/>
  <c r="S161" i="33"/>
  <c r="AW101" i="37"/>
  <c r="AR101" i="37"/>
  <c r="AM101" i="37"/>
  <c r="AH101" i="37"/>
  <c r="AC101" i="37"/>
  <c r="X101" i="37"/>
  <c r="S101" i="37"/>
  <c r="AW100" i="37"/>
  <c r="AR100" i="37"/>
  <c r="AM100" i="37"/>
  <c r="AH100" i="37"/>
  <c r="AC100" i="37"/>
  <c r="X100" i="37"/>
  <c r="S100" i="37"/>
  <c r="AW99" i="37"/>
  <c r="AR99" i="37"/>
  <c r="AM99" i="37"/>
  <c r="AH99" i="37"/>
  <c r="AC99" i="37"/>
  <c r="X99" i="37"/>
  <c r="S99" i="37"/>
  <c r="AW98" i="37"/>
  <c r="AR98" i="37"/>
  <c r="AM98" i="37"/>
  <c r="AH98" i="37"/>
  <c r="AC98" i="37"/>
  <c r="X98" i="37"/>
  <c r="S98" i="37"/>
  <c r="AW97" i="37"/>
  <c r="AR97" i="37"/>
  <c r="AM97" i="37"/>
  <c r="AH97" i="37"/>
  <c r="AC97" i="37"/>
  <c r="X97" i="37"/>
  <c r="S97" i="37"/>
  <c r="AW96" i="37"/>
  <c r="AR96" i="37"/>
  <c r="AM96" i="37"/>
  <c r="AH96" i="37"/>
  <c r="AC96" i="37"/>
  <c r="X96" i="37"/>
  <c r="S96" i="37"/>
  <c r="AW95" i="37"/>
  <c r="AR95" i="37"/>
  <c r="AM95" i="37"/>
  <c r="AH95" i="37"/>
  <c r="AC95" i="37"/>
  <c r="X95" i="37"/>
  <c r="S95" i="37"/>
  <c r="AW94" i="37"/>
  <c r="AR94" i="37"/>
  <c r="AM94" i="37"/>
  <c r="AH94" i="37"/>
  <c r="AC94" i="37"/>
  <c r="X94" i="37"/>
  <c r="S94" i="37"/>
  <c r="AW93" i="37"/>
  <c r="AR93" i="37"/>
  <c r="AM93" i="37"/>
  <c r="AH93" i="37"/>
  <c r="AC93" i="37"/>
  <c r="X93" i="37"/>
  <c r="S93" i="37"/>
  <c r="AW92" i="37"/>
  <c r="AR92" i="37"/>
  <c r="AM92" i="37"/>
  <c r="AH92" i="37"/>
  <c r="AC92" i="37"/>
  <c r="X92" i="37"/>
  <c r="S92" i="37"/>
  <c r="AW91" i="37"/>
  <c r="AR91" i="37"/>
  <c r="AM91" i="37"/>
  <c r="AH91" i="37"/>
  <c r="AC91" i="37"/>
  <c r="X91" i="37"/>
  <c r="S91" i="37"/>
  <c r="AW90" i="37"/>
  <c r="AR90" i="37"/>
  <c r="AM90" i="37"/>
  <c r="AH90" i="37"/>
  <c r="AC90" i="37"/>
  <c r="X90" i="37"/>
  <c r="S90" i="37"/>
  <c r="AW89" i="37"/>
  <c r="AR89" i="37"/>
  <c r="AM89" i="37"/>
  <c r="AH89" i="37"/>
  <c r="AC89" i="37"/>
  <c r="X89" i="37"/>
  <c r="S89" i="37"/>
  <c r="AW88" i="37"/>
  <c r="AR88" i="37"/>
  <c r="AM88" i="37"/>
  <c r="AH88" i="37"/>
  <c r="AC88" i="37"/>
  <c r="X88" i="37"/>
  <c r="S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T87" i="37"/>
  <c r="S87" i="37"/>
  <c r="P42" i="37"/>
  <c r="P62" i="37" s="1"/>
  <c r="U22" i="37"/>
  <c r="Z22" i="37" s="1"/>
  <c r="AE22" i="37" s="1"/>
  <c r="AJ22" i="37" s="1"/>
  <c r="AO22" i="37" s="1"/>
  <c r="AT22" i="37" s="1"/>
  <c r="AW101" i="35"/>
  <c r="AR101" i="35"/>
  <c r="AM101" i="35"/>
  <c r="AH101" i="35"/>
  <c r="AC101" i="35"/>
  <c r="X101" i="35"/>
  <c r="S101" i="35"/>
  <c r="AW100" i="35"/>
  <c r="AR100" i="35"/>
  <c r="AM100" i="35"/>
  <c r="AH100" i="35"/>
  <c r="AC100" i="35"/>
  <c r="X100" i="35"/>
  <c r="S100" i="35"/>
  <c r="AW99" i="35"/>
  <c r="AR99" i="35"/>
  <c r="AM99" i="35"/>
  <c r="AH99" i="35"/>
  <c r="AC99" i="35"/>
  <c r="X99" i="35"/>
  <c r="S99" i="35"/>
  <c r="AW98" i="35"/>
  <c r="AR98" i="35"/>
  <c r="AM98" i="35"/>
  <c r="AH98" i="35"/>
  <c r="AC98" i="35"/>
  <c r="X98" i="35"/>
  <c r="S98" i="35"/>
  <c r="AW97" i="35"/>
  <c r="AR97" i="35"/>
  <c r="AM97" i="35"/>
  <c r="AH97" i="35"/>
  <c r="AC97" i="35"/>
  <c r="X97" i="35"/>
  <c r="S97" i="35"/>
  <c r="AW96" i="35"/>
  <c r="AR96" i="35"/>
  <c r="AM96" i="35"/>
  <c r="AH96" i="35"/>
  <c r="AC96" i="35"/>
  <c r="X96" i="35"/>
  <c r="S96" i="35"/>
  <c r="AW95" i="35"/>
  <c r="AR95" i="35"/>
  <c r="AM95" i="35"/>
  <c r="AH95" i="35"/>
  <c r="AC95" i="35"/>
  <c r="X95" i="35"/>
  <c r="S95" i="35"/>
  <c r="AW94" i="35"/>
  <c r="AR94" i="35"/>
  <c r="AM94" i="35"/>
  <c r="AH94" i="35"/>
  <c r="AC94" i="35"/>
  <c r="X94" i="35"/>
  <c r="S94" i="35"/>
  <c r="AW93" i="35"/>
  <c r="AR93" i="35"/>
  <c r="AM93" i="35"/>
  <c r="AH93" i="35"/>
  <c r="AC93" i="35"/>
  <c r="X93" i="35"/>
  <c r="S93" i="35"/>
  <c r="AW92" i="35"/>
  <c r="AR92" i="35"/>
  <c r="AM92" i="35"/>
  <c r="AH92" i="35"/>
  <c r="AC92" i="35"/>
  <c r="X92" i="35"/>
  <c r="S92" i="35"/>
  <c r="AW91" i="35"/>
  <c r="AR91" i="35"/>
  <c r="AM91" i="35"/>
  <c r="AH91" i="35"/>
  <c r="AC91" i="35"/>
  <c r="X91" i="35"/>
  <c r="S91" i="35"/>
  <c r="AW90" i="35"/>
  <c r="AR90" i="35"/>
  <c r="AM90" i="35"/>
  <c r="AH90" i="35"/>
  <c r="AC90" i="35"/>
  <c r="X90" i="35"/>
  <c r="S90" i="35"/>
  <c r="AW89" i="35"/>
  <c r="AR89" i="35"/>
  <c r="AM89" i="35"/>
  <c r="AH89" i="35"/>
  <c r="AC89" i="35"/>
  <c r="X89" i="35"/>
  <c r="S89" i="35"/>
  <c r="AW88" i="35"/>
  <c r="AR88" i="35"/>
  <c r="AM88" i="35"/>
  <c r="AH88" i="35"/>
  <c r="AC88" i="35"/>
  <c r="X88" i="35"/>
  <c r="S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T87" i="35"/>
  <c r="S87" i="35"/>
  <c r="P42" i="35"/>
  <c r="P62" i="35" s="1"/>
  <c r="U22" i="35"/>
  <c r="Z22" i="35" s="1"/>
  <c r="AE22" i="35" s="1"/>
  <c r="AJ22" i="35" s="1"/>
  <c r="AO22" i="35" s="1"/>
  <c r="AT22" i="35" s="1"/>
  <c r="AW101" i="34"/>
  <c r="AR101" i="34"/>
  <c r="AM101" i="34"/>
  <c r="AH101" i="34"/>
  <c r="AC101" i="34"/>
  <c r="X101" i="34"/>
  <c r="S101" i="34"/>
  <c r="AW100" i="34"/>
  <c r="AR100" i="34"/>
  <c r="AM100" i="34"/>
  <c r="AH100" i="34"/>
  <c r="AC100" i="34"/>
  <c r="X100" i="34"/>
  <c r="S100" i="34"/>
  <c r="AW99" i="34"/>
  <c r="AR99" i="34"/>
  <c r="AM99" i="34"/>
  <c r="AH99" i="34"/>
  <c r="AC99" i="34"/>
  <c r="X99" i="34"/>
  <c r="S99" i="34"/>
  <c r="AW98" i="34"/>
  <c r="AR98" i="34"/>
  <c r="AM98" i="34"/>
  <c r="AH98" i="34"/>
  <c r="AC98" i="34"/>
  <c r="X98" i="34"/>
  <c r="S98" i="34"/>
  <c r="AW97" i="34"/>
  <c r="AR97" i="34"/>
  <c r="AM97" i="34"/>
  <c r="AH97" i="34"/>
  <c r="AC97" i="34"/>
  <c r="X97" i="34"/>
  <c r="S97" i="34"/>
  <c r="AW96" i="34"/>
  <c r="AR96" i="34"/>
  <c r="AM96" i="34"/>
  <c r="AH96" i="34"/>
  <c r="AC96" i="34"/>
  <c r="X96" i="34"/>
  <c r="S96" i="34"/>
  <c r="AW95" i="34"/>
  <c r="AR95" i="34"/>
  <c r="AM95" i="34"/>
  <c r="AH95" i="34"/>
  <c r="AC95" i="34"/>
  <c r="X95" i="34"/>
  <c r="S95" i="34"/>
  <c r="AW94" i="34"/>
  <c r="AR94" i="34"/>
  <c r="AM94" i="34"/>
  <c r="AH94" i="34"/>
  <c r="AC94" i="34"/>
  <c r="X94" i="34"/>
  <c r="S94" i="34"/>
  <c r="AW93" i="34"/>
  <c r="AR93" i="34"/>
  <c r="AM93" i="34"/>
  <c r="AH93" i="34"/>
  <c r="AC93" i="34"/>
  <c r="X93" i="34"/>
  <c r="S93" i="34"/>
  <c r="AW92" i="34"/>
  <c r="AR92" i="34"/>
  <c r="AM92" i="34"/>
  <c r="AH92" i="34"/>
  <c r="AC92" i="34"/>
  <c r="X92" i="34"/>
  <c r="S92" i="34"/>
  <c r="AW91" i="34"/>
  <c r="AR91" i="34"/>
  <c r="AM91" i="34"/>
  <c r="AH91" i="34"/>
  <c r="AC91" i="34"/>
  <c r="X91" i="34"/>
  <c r="S91" i="34"/>
  <c r="AW90" i="34"/>
  <c r="AR90" i="34"/>
  <c r="AM90" i="34"/>
  <c r="AH90" i="34"/>
  <c r="AC90" i="34"/>
  <c r="X90" i="34"/>
  <c r="S90" i="34"/>
  <c r="AW89" i="34"/>
  <c r="AR89" i="34"/>
  <c r="AM89" i="34"/>
  <c r="AH89" i="34"/>
  <c r="AC89" i="34"/>
  <c r="X89" i="34"/>
  <c r="S89" i="34"/>
  <c r="AW88" i="34"/>
  <c r="AR88" i="34"/>
  <c r="AM88" i="34"/>
  <c r="AH88" i="34"/>
  <c r="AC88" i="34"/>
  <c r="X88" i="34"/>
  <c r="S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T87" i="34"/>
  <c r="S87" i="34"/>
  <c r="P42" i="34"/>
  <c r="P62" i="34" s="1"/>
  <c r="U22" i="34"/>
  <c r="Z22" i="34" s="1"/>
  <c r="AE22" i="34" s="1"/>
  <c r="AJ22" i="34" s="1"/>
  <c r="AO22" i="34" s="1"/>
  <c r="AT22" i="34" s="1"/>
  <c r="AW176" i="33"/>
  <c r="AR176" i="33"/>
  <c r="AM176" i="33"/>
  <c r="AH176" i="33"/>
  <c r="AC176" i="33"/>
  <c r="X176" i="33"/>
  <c r="S176" i="33"/>
  <c r="AW160" i="33"/>
  <c r="AR160" i="33"/>
  <c r="AM160" i="33"/>
  <c r="AH160" i="33"/>
  <c r="AC160" i="33"/>
  <c r="X160" i="33"/>
  <c r="S160" i="33"/>
  <c r="AW159" i="33"/>
  <c r="AR159" i="33"/>
  <c r="AM159" i="33"/>
  <c r="AH159" i="33"/>
  <c r="AC159" i="33"/>
  <c r="X159" i="33"/>
  <c r="S159" i="33"/>
  <c r="AW158" i="33"/>
  <c r="AR158" i="33"/>
  <c r="AM158" i="33"/>
  <c r="AH158" i="33"/>
  <c r="AC158" i="33"/>
  <c r="X158" i="33"/>
  <c r="S158" i="33"/>
  <c r="AW157" i="33"/>
  <c r="AR157" i="33"/>
  <c r="AM157" i="33"/>
  <c r="AH157" i="33"/>
  <c r="AC157" i="33"/>
  <c r="X157" i="33"/>
  <c r="S157" i="33"/>
  <c r="AW156" i="33"/>
  <c r="AR156" i="33"/>
  <c r="AM156" i="33"/>
  <c r="AH156" i="33"/>
  <c r="AC156" i="33"/>
  <c r="X156" i="33"/>
  <c r="S156" i="33"/>
  <c r="AW155" i="33"/>
  <c r="AR155" i="33"/>
  <c r="AM155" i="33"/>
  <c r="AH155" i="33"/>
  <c r="AC155" i="33"/>
  <c r="X155" i="33"/>
  <c r="S155" i="33"/>
  <c r="AW154" i="33"/>
  <c r="AR154" i="33"/>
  <c r="AM154" i="33"/>
  <c r="AH154" i="33"/>
  <c r="AC154" i="33"/>
  <c r="X154" i="33"/>
  <c r="S154" i="33"/>
  <c r="AW153" i="33"/>
  <c r="AR153" i="33"/>
  <c r="AM153" i="33"/>
  <c r="AH153" i="33"/>
  <c r="AC153" i="33"/>
  <c r="X153" i="33"/>
  <c r="S153" i="33"/>
  <c r="AW152" i="33"/>
  <c r="AR152" i="33"/>
  <c r="AM152" i="33"/>
  <c r="AH152" i="33"/>
  <c r="AC152" i="33"/>
  <c r="X152" i="33"/>
  <c r="S152" i="33"/>
  <c r="AW151" i="33"/>
  <c r="AR151" i="33"/>
  <c r="AM151" i="33"/>
  <c r="AH151" i="33"/>
  <c r="AC151" i="33"/>
  <c r="X151" i="33"/>
  <c r="S151" i="33"/>
  <c r="AW150" i="33"/>
  <c r="AR150" i="33"/>
  <c r="AM150" i="33"/>
  <c r="AH150" i="33"/>
  <c r="AC150" i="33"/>
  <c r="X150" i="33"/>
  <c r="S150" i="33"/>
  <c r="AW149" i="33"/>
  <c r="AR149" i="33"/>
  <c r="AM149" i="33"/>
  <c r="AH149" i="33"/>
  <c r="AC149" i="33"/>
  <c r="X149" i="33"/>
  <c r="S149" i="33"/>
  <c r="AW148" i="33"/>
  <c r="AR148" i="33"/>
  <c r="AM148" i="33"/>
  <c r="AH148" i="33"/>
  <c r="AC148" i="33"/>
  <c r="X148" i="33"/>
  <c r="S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P72" i="33"/>
  <c r="P107" i="33" s="1"/>
  <c r="U37" i="33"/>
  <c r="Z37" i="33" s="1"/>
  <c r="AE37" i="33" s="1"/>
  <c r="AJ37" i="33" s="1"/>
  <c r="AO37" i="33" s="1"/>
  <c r="AT37" i="33" s="1"/>
  <c r="AW101" i="31"/>
  <c r="AR101" i="31"/>
  <c r="AM101" i="31"/>
  <c r="AH101" i="31"/>
  <c r="AC101" i="31"/>
  <c r="X101" i="31"/>
  <c r="S101" i="31"/>
  <c r="AW100" i="31"/>
  <c r="AR100" i="31"/>
  <c r="AM100" i="31"/>
  <c r="AH100" i="31"/>
  <c r="AC100" i="31"/>
  <c r="X100" i="31"/>
  <c r="S100" i="31"/>
  <c r="AW99" i="31"/>
  <c r="AR99" i="31"/>
  <c r="AM99" i="31"/>
  <c r="AH99" i="31"/>
  <c r="AC99" i="31"/>
  <c r="X99" i="31"/>
  <c r="S99" i="31"/>
  <c r="AW98" i="31"/>
  <c r="AR98" i="31"/>
  <c r="AM98" i="31"/>
  <c r="AH98" i="31"/>
  <c r="AC98" i="31"/>
  <c r="X98" i="31"/>
  <c r="S98" i="31"/>
  <c r="AW97" i="31"/>
  <c r="AR97" i="31"/>
  <c r="AM97" i="31"/>
  <c r="AH97" i="31"/>
  <c r="AC97" i="31"/>
  <c r="X97" i="31"/>
  <c r="S97" i="31"/>
  <c r="AW96" i="31"/>
  <c r="AR96" i="31"/>
  <c r="AM96" i="31"/>
  <c r="AH96" i="31"/>
  <c r="AC96" i="31"/>
  <c r="X96" i="31"/>
  <c r="S96" i="31"/>
  <c r="AW95" i="31"/>
  <c r="AR95" i="31"/>
  <c r="AM95" i="31"/>
  <c r="AH95" i="31"/>
  <c r="AC95" i="31"/>
  <c r="X95" i="31"/>
  <c r="S95" i="31"/>
  <c r="AW94" i="31"/>
  <c r="AR94" i="31"/>
  <c r="AM94" i="31"/>
  <c r="AH94" i="31"/>
  <c r="AC94" i="31"/>
  <c r="X94" i="31"/>
  <c r="S94" i="31"/>
  <c r="AW93" i="31"/>
  <c r="AR93" i="31"/>
  <c r="AM93" i="31"/>
  <c r="AH93" i="31"/>
  <c r="AC93" i="31"/>
  <c r="X93" i="31"/>
  <c r="S93" i="31"/>
  <c r="AW92" i="31"/>
  <c r="AR92" i="31"/>
  <c r="AM92" i="31"/>
  <c r="AH92" i="31"/>
  <c r="AC92" i="31"/>
  <c r="X92" i="31"/>
  <c r="S92" i="31"/>
  <c r="AW91" i="31"/>
  <c r="AR91" i="31"/>
  <c r="AM91" i="31"/>
  <c r="AH91" i="31"/>
  <c r="AC91" i="31"/>
  <c r="X91" i="31"/>
  <c r="S91" i="31"/>
  <c r="AW90" i="31"/>
  <c r="AR90" i="31"/>
  <c r="AM90" i="31"/>
  <c r="AH90" i="31"/>
  <c r="AC90" i="31"/>
  <c r="X90" i="31"/>
  <c r="S90" i="31"/>
  <c r="AW89" i="31"/>
  <c r="AR89" i="31"/>
  <c r="AM89" i="31"/>
  <c r="AH89" i="31"/>
  <c r="AC89" i="31"/>
  <c r="X89" i="31"/>
  <c r="S89" i="31"/>
  <c r="AW88" i="31"/>
  <c r="AR88" i="31"/>
  <c r="AM88" i="31"/>
  <c r="AH88" i="31"/>
  <c r="AC88" i="31"/>
  <c r="X88" i="31"/>
  <c r="S88" i="31"/>
  <c r="AX87" i="31"/>
  <c r="AW87" i="31"/>
  <c r="AS87" i="31"/>
  <c r="AR87" i="31"/>
  <c r="AN87" i="31"/>
  <c r="AM87" i="31"/>
  <c r="AI87" i="31"/>
  <c r="AH87" i="31"/>
  <c r="AD87" i="31"/>
  <c r="AC87" i="31"/>
  <c r="Y87" i="31"/>
  <c r="X87" i="31"/>
  <c r="T87" i="31"/>
  <c r="S87" i="31"/>
  <c r="P42" i="31"/>
  <c r="P62" i="31" s="1"/>
  <c r="U22" i="31"/>
  <c r="Z22" i="31" s="1"/>
  <c r="AE22" i="31" s="1"/>
  <c r="AJ22" i="31" s="1"/>
  <c r="AO22" i="31" s="1"/>
  <c r="AT22" i="31" s="1"/>
  <c r="AW101" i="32"/>
  <c r="AR101" i="32"/>
  <c r="AM101" i="32"/>
  <c r="AH101" i="32"/>
  <c r="AC101" i="32"/>
  <c r="X101" i="32"/>
  <c r="S101" i="32"/>
  <c r="AW100" i="32"/>
  <c r="AR100" i="32"/>
  <c r="AM100" i="32"/>
  <c r="AH100" i="32"/>
  <c r="AC100" i="32"/>
  <c r="X100" i="32"/>
  <c r="S100" i="32"/>
  <c r="AW99" i="32"/>
  <c r="AR99" i="32"/>
  <c r="AM99" i="32"/>
  <c r="AH99" i="32"/>
  <c r="AC99" i="32"/>
  <c r="X99" i="32"/>
  <c r="S99" i="32"/>
  <c r="AW98" i="32"/>
  <c r="AR98" i="32"/>
  <c r="AM98" i="32"/>
  <c r="AH98" i="32"/>
  <c r="AC98" i="32"/>
  <c r="X98" i="32"/>
  <c r="S98" i="32"/>
  <c r="AW97" i="32"/>
  <c r="AR97" i="32"/>
  <c r="AM97" i="32"/>
  <c r="AH97" i="32"/>
  <c r="AC97" i="32"/>
  <c r="X97" i="32"/>
  <c r="S97" i="32"/>
  <c r="AW96" i="32"/>
  <c r="AR96" i="32"/>
  <c r="AM96" i="32"/>
  <c r="AH96" i="32"/>
  <c r="AC96" i="32"/>
  <c r="X96" i="32"/>
  <c r="S96" i="32"/>
  <c r="AW95" i="32"/>
  <c r="AR95" i="32"/>
  <c r="AM95" i="32"/>
  <c r="AH95" i="32"/>
  <c r="AC95" i="32"/>
  <c r="X95" i="32"/>
  <c r="S95" i="32"/>
  <c r="AW94" i="32"/>
  <c r="AR94" i="32"/>
  <c r="AM94" i="32"/>
  <c r="AH94" i="32"/>
  <c r="AC94" i="32"/>
  <c r="X94" i="32"/>
  <c r="S94" i="32"/>
  <c r="AW93" i="32"/>
  <c r="AR93" i="32"/>
  <c r="AM93" i="32"/>
  <c r="AH93" i="32"/>
  <c r="AC93" i="32"/>
  <c r="X93" i="32"/>
  <c r="S93" i="32"/>
  <c r="AW92" i="32"/>
  <c r="AR92" i="32"/>
  <c r="AM92" i="32"/>
  <c r="AH92" i="32"/>
  <c r="AC92" i="32"/>
  <c r="X92" i="32"/>
  <c r="S92" i="32"/>
  <c r="AW91" i="32"/>
  <c r="AR91" i="32"/>
  <c r="AM91" i="32"/>
  <c r="AH91" i="32"/>
  <c r="AC91" i="32"/>
  <c r="X91" i="32"/>
  <c r="S91" i="32"/>
  <c r="AW90" i="32"/>
  <c r="AR90" i="32"/>
  <c r="AM90" i="32"/>
  <c r="AH90" i="32"/>
  <c r="AC90" i="32"/>
  <c r="X90" i="32"/>
  <c r="S90" i="32"/>
  <c r="AW89" i="32"/>
  <c r="AR89" i="32"/>
  <c r="AM89" i="32"/>
  <c r="AH89" i="32"/>
  <c r="AC89" i="32"/>
  <c r="X89" i="32"/>
  <c r="S89" i="32"/>
  <c r="AW88" i="32"/>
  <c r="AR88" i="32"/>
  <c r="AM88" i="32"/>
  <c r="AH88" i="32"/>
  <c r="AC88" i="32"/>
  <c r="X88" i="32"/>
  <c r="S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T87" i="32"/>
  <c r="S87" i="32"/>
  <c r="P42" i="32"/>
  <c r="P62" i="32" s="1"/>
  <c r="U22" i="32"/>
  <c r="Z22" i="32" s="1"/>
  <c r="AE22" i="32" s="1"/>
  <c r="AJ22" i="32" s="1"/>
  <c r="AO22" i="32" s="1"/>
  <c r="AT22" i="32" s="1"/>
  <c r="AW101" i="30"/>
  <c r="AR101" i="30"/>
  <c r="AM101" i="30"/>
  <c r="AH101" i="30"/>
  <c r="AC101" i="30"/>
  <c r="X101" i="30"/>
  <c r="S101" i="30"/>
  <c r="AW100" i="30"/>
  <c r="AR100" i="30"/>
  <c r="AM100" i="30"/>
  <c r="AH100" i="30"/>
  <c r="AC100" i="30"/>
  <c r="X100" i="30"/>
  <c r="S100" i="30"/>
  <c r="AW99" i="30"/>
  <c r="AR99" i="30"/>
  <c r="AM99" i="30"/>
  <c r="AH99" i="30"/>
  <c r="AC99" i="30"/>
  <c r="X99" i="30"/>
  <c r="S99" i="30"/>
  <c r="AW98" i="30"/>
  <c r="AR98" i="30"/>
  <c r="AM98" i="30"/>
  <c r="AH98" i="30"/>
  <c r="AC98" i="30"/>
  <c r="X98" i="30"/>
  <c r="S98" i="30"/>
  <c r="AW97" i="30"/>
  <c r="AR97" i="30"/>
  <c r="AM97" i="30"/>
  <c r="AH97" i="30"/>
  <c r="AC97" i="30"/>
  <c r="X97" i="30"/>
  <c r="S97" i="30"/>
  <c r="AW96" i="30"/>
  <c r="AR96" i="30"/>
  <c r="AM96" i="30"/>
  <c r="AH96" i="30"/>
  <c r="AC96" i="30"/>
  <c r="X96" i="30"/>
  <c r="S96" i="30"/>
  <c r="AW95" i="30"/>
  <c r="AR95" i="30"/>
  <c r="AM95" i="30"/>
  <c r="AH95" i="30"/>
  <c r="AC95" i="30"/>
  <c r="X95" i="30"/>
  <c r="S95" i="30"/>
  <c r="AW94" i="30"/>
  <c r="AR94" i="30"/>
  <c r="AM94" i="30"/>
  <c r="AH94" i="30"/>
  <c r="AC94" i="30"/>
  <c r="X94" i="30"/>
  <c r="S94" i="30"/>
  <c r="AW93" i="30"/>
  <c r="AR93" i="30"/>
  <c r="AM93" i="30"/>
  <c r="AH93" i="30"/>
  <c r="AC93" i="30"/>
  <c r="X93" i="30"/>
  <c r="S93" i="30"/>
  <c r="AW92" i="30"/>
  <c r="AR92" i="30"/>
  <c r="AM92" i="30"/>
  <c r="AH92" i="30"/>
  <c r="AC92" i="30"/>
  <c r="X92" i="30"/>
  <c r="S92" i="30"/>
  <c r="AW91" i="30"/>
  <c r="AR91" i="30"/>
  <c r="AM91" i="30"/>
  <c r="AH91" i="30"/>
  <c r="AC91" i="30"/>
  <c r="X91" i="30"/>
  <c r="S91" i="30"/>
  <c r="AW90" i="30"/>
  <c r="AR90" i="30"/>
  <c r="AM90" i="30"/>
  <c r="AH90" i="30"/>
  <c r="AC90" i="30"/>
  <c r="X90" i="30"/>
  <c r="S90" i="30"/>
  <c r="AW89" i="30"/>
  <c r="AR89" i="30"/>
  <c r="AM89" i="30"/>
  <c r="AH89" i="30"/>
  <c r="AC89" i="30"/>
  <c r="X89" i="30"/>
  <c r="S89" i="30"/>
  <c r="AW88" i="30"/>
  <c r="AR88" i="30"/>
  <c r="AM88" i="30"/>
  <c r="AH88" i="30"/>
  <c r="AC88" i="30"/>
  <c r="X88" i="30"/>
  <c r="S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T87" i="30"/>
  <c r="S87" i="30"/>
  <c r="P42" i="30"/>
  <c r="P62" i="30" s="1"/>
  <c r="U22" i="30"/>
  <c r="Z22" i="30" s="1"/>
  <c r="AE22" i="30" s="1"/>
  <c r="AJ22" i="30" s="1"/>
  <c r="AO22" i="30" s="1"/>
  <c r="AT22" i="30" s="1"/>
  <c r="AW176" i="8"/>
  <c r="AR176" i="8"/>
  <c r="AM176" i="8"/>
  <c r="AH176" i="8"/>
  <c r="AC176" i="8"/>
  <c r="X176" i="8"/>
  <c r="S176" i="8"/>
  <c r="AW160" i="8"/>
  <c r="AR160" i="8"/>
  <c r="AM160" i="8"/>
  <c r="AH160" i="8"/>
  <c r="AC160" i="8"/>
  <c r="X160" i="8"/>
  <c r="S160" i="8"/>
  <c r="AW159" i="8"/>
  <c r="AR159" i="8"/>
  <c r="AM159" i="8"/>
  <c r="AH159" i="8"/>
  <c r="AC159" i="8"/>
  <c r="X159" i="8"/>
  <c r="S159" i="8"/>
  <c r="AW158" i="8"/>
  <c r="AR158" i="8"/>
  <c r="AM158" i="8"/>
  <c r="AH158" i="8"/>
  <c r="AC158" i="8"/>
  <c r="X158" i="8"/>
  <c r="S158" i="8"/>
  <c r="AW157" i="8"/>
  <c r="AR157" i="8"/>
  <c r="AM157" i="8"/>
  <c r="AH157" i="8"/>
  <c r="AC157" i="8"/>
  <c r="X157" i="8"/>
  <c r="S157" i="8"/>
  <c r="AW156" i="8"/>
  <c r="AR156" i="8"/>
  <c r="AM156" i="8"/>
  <c r="AH156" i="8"/>
  <c r="AC156" i="8"/>
  <c r="X156" i="8"/>
  <c r="S156" i="8"/>
  <c r="AW155" i="8"/>
  <c r="AR155" i="8"/>
  <c r="AM155" i="8"/>
  <c r="AH155" i="8"/>
  <c r="AC155" i="8"/>
  <c r="X155" i="8"/>
  <c r="S155" i="8"/>
  <c r="AW154" i="8"/>
  <c r="AR154" i="8"/>
  <c r="AM154" i="8"/>
  <c r="AH154" i="8"/>
  <c r="AC154" i="8"/>
  <c r="X154" i="8"/>
  <c r="S154" i="8"/>
  <c r="AW153" i="8"/>
  <c r="AR153" i="8"/>
  <c r="AM153" i="8"/>
  <c r="AH153" i="8"/>
  <c r="AC153" i="8"/>
  <c r="X153" i="8"/>
  <c r="S153" i="8"/>
  <c r="AW152" i="8"/>
  <c r="AR152" i="8"/>
  <c r="AM152" i="8"/>
  <c r="AH152" i="8"/>
  <c r="AC152" i="8"/>
  <c r="X152" i="8"/>
  <c r="S152" i="8"/>
  <c r="AW151" i="8"/>
  <c r="AR151" i="8"/>
  <c r="AM151" i="8"/>
  <c r="AH151" i="8"/>
  <c r="AC151" i="8"/>
  <c r="X151" i="8"/>
  <c r="S151" i="8"/>
  <c r="AW150" i="8"/>
  <c r="AR150" i="8"/>
  <c r="AM150" i="8"/>
  <c r="AH150" i="8"/>
  <c r="AC150" i="8"/>
  <c r="X150" i="8"/>
  <c r="S150" i="8"/>
  <c r="AW149" i="8"/>
  <c r="AR149" i="8"/>
  <c r="AM149" i="8"/>
  <c r="AH149" i="8"/>
  <c r="AC149" i="8"/>
  <c r="X149" i="8"/>
  <c r="S149" i="8"/>
  <c r="AW148" i="8"/>
  <c r="AR148" i="8"/>
  <c r="AM148" i="8"/>
  <c r="AH148" i="8"/>
  <c r="AC148" i="8"/>
  <c r="X148" i="8"/>
  <c r="S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T147" i="8"/>
  <c r="S147" i="8"/>
  <c r="P72" i="8"/>
  <c r="P107" i="8" s="1"/>
  <c r="U37" i="8"/>
  <c r="Z37" i="8" s="1"/>
  <c r="AE37" i="8" s="1"/>
  <c r="AJ37" i="8" s="1"/>
  <c r="AO37" i="8" s="1"/>
  <c r="AT37" i="8" s="1"/>
  <c r="AW101" i="36"/>
  <c r="AR101" i="36"/>
  <c r="AM101" i="36"/>
  <c r="AH101" i="36"/>
  <c r="AC101" i="36"/>
  <c r="X101" i="36"/>
  <c r="S101" i="36"/>
  <c r="AW100" i="36"/>
  <c r="AR100" i="36"/>
  <c r="AM100" i="36"/>
  <c r="AH100" i="36"/>
  <c r="AC100" i="36"/>
  <c r="X100" i="36"/>
  <c r="S100" i="36"/>
  <c r="AW99" i="36"/>
  <c r="AR99" i="36"/>
  <c r="AM99" i="36"/>
  <c r="AH99" i="36"/>
  <c r="AC99" i="36"/>
  <c r="X99" i="36"/>
  <c r="S99" i="36"/>
  <c r="AW98" i="36"/>
  <c r="AR98" i="36"/>
  <c r="AM98" i="36"/>
  <c r="AH98" i="36"/>
  <c r="AC98" i="36"/>
  <c r="X98" i="36"/>
  <c r="S98" i="36"/>
  <c r="AW97" i="36"/>
  <c r="AR97" i="36"/>
  <c r="AM97" i="36"/>
  <c r="AH97" i="36"/>
  <c r="AC97" i="36"/>
  <c r="X97" i="36"/>
  <c r="S97" i="36"/>
  <c r="AW96" i="36"/>
  <c r="AR96" i="36"/>
  <c r="AM96" i="36"/>
  <c r="AH96" i="36"/>
  <c r="AC96" i="36"/>
  <c r="X96" i="36"/>
  <c r="S96" i="36"/>
  <c r="AW95" i="36"/>
  <c r="AR95" i="36"/>
  <c r="AM95" i="36"/>
  <c r="AH95" i="36"/>
  <c r="AC95" i="36"/>
  <c r="X95" i="36"/>
  <c r="S95" i="36"/>
  <c r="AW94" i="36"/>
  <c r="AR94" i="36"/>
  <c r="AM94" i="36"/>
  <c r="AH94" i="36"/>
  <c r="AC94" i="36"/>
  <c r="X94" i="36"/>
  <c r="S94" i="36"/>
  <c r="AW93" i="36"/>
  <c r="AR93" i="36"/>
  <c r="AM93" i="36"/>
  <c r="AH93" i="36"/>
  <c r="AC93" i="36"/>
  <c r="X93" i="36"/>
  <c r="S93" i="36"/>
  <c r="AW92" i="36"/>
  <c r="AR92" i="36"/>
  <c r="AM92" i="36"/>
  <c r="AH92" i="36"/>
  <c r="AC92" i="36"/>
  <c r="X92" i="36"/>
  <c r="S92" i="36"/>
  <c r="AW91" i="36"/>
  <c r="AR91" i="36"/>
  <c r="AM91" i="36"/>
  <c r="AH91" i="36"/>
  <c r="AC91" i="36"/>
  <c r="X91" i="36"/>
  <c r="S91" i="36"/>
  <c r="AW90" i="36"/>
  <c r="AR90" i="36"/>
  <c r="AM90" i="36"/>
  <c r="AH90" i="36"/>
  <c r="AC90" i="36"/>
  <c r="X90" i="36"/>
  <c r="S90" i="36"/>
  <c r="AW89" i="36"/>
  <c r="AR89" i="36"/>
  <c r="AM89" i="36"/>
  <c r="AH89" i="36"/>
  <c r="AC89" i="36"/>
  <c r="X89" i="36"/>
  <c r="S89" i="36"/>
  <c r="AW88" i="36"/>
  <c r="AR88" i="36"/>
  <c r="AM88" i="36"/>
  <c r="AH88" i="36"/>
  <c r="AC88" i="36"/>
  <c r="X88" i="36"/>
  <c r="S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T87" i="36"/>
  <c r="S87" i="36"/>
  <c r="P42" i="36"/>
  <c r="P62" i="36" s="1"/>
  <c r="U22" i="36"/>
  <c r="Z22" i="36" s="1"/>
  <c r="AE22" i="36" s="1"/>
  <c r="AJ22" i="36" s="1"/>
  <c r="AO22" i="36" s="1"/>
  <c r="AT22" i="36" s="1"/>
  <c r="U62" i="37" l="1"/>
  <c r="Z62" i="37" s="1"/>
  <c r="AE62" i="37" s="1"/>
  <c r="AJ62" i="37" s="1"/>
  <c r="AO62" i="37" s="1"/>
  <c r="AT62" i="37" s="1"/>
  <c r="P82" i="37"/>
  <c r="U82" i="37" s="1"/>
  <c r="Z82" i="37" s="1"/>
  <c r="AE82" i="37" s="1"/>
  <c r="AJ82" i="37" s="1"/>
  <c r="AO82" i="37" s="1"/>
  <c r="AT82" i="37" s="1"/>
  <c r="U42" i="37"/>
  <c r="Z42" i="37" s="1"/>
  <c r="AE42" i="37" s="1"/>
  <c r="AJ42" i="37" s="1"/>
  <c r="AO42" i="37" s="1"/>
  <c r="AT42" i="37" s="1"/>
  <c r="U62" i="35"/>
  <c r="Z62" i="35" s="1"/>
  <c r="AE62" i="35" s="1"/>
  <c r="AJ62" i="35" s="1"/>
  <c r="AO62" i="35" s="1"/>
  <c r="AT62" i="35" s="1"/>
  <c r="P82" i="35"/>
  <c r="U82" i="35" s="1"/>
  <c r="Z82" i="35" s="1"/>
  <c r="AE82" i="35" s="1"/>
  <c r="AJ82" i="35" s="1"/>
  <c r="AO82" i="35" s="1"/>
  <c r="AT82" i="35" s="1"/>
  <c r="U42" i="35"/>
  <c r="Z42" i="35" s="1"/>
  <c r="AE42" i="35" s="1"/>
  <c r="AJ42" i="35" s="1"/>
  <c r="AO42" i="35" s="1"/>
  <c r="AT42" i="35" s="1"/>
  <c r="U62" i="34"/>
  <c r="Z62" i="34" s="1"/>
  <c r="AE62" i="34" s="1"/>
  <c r="AJ62" i="34" s="1"/>
  <c r="AO62" i="34" s="1"/>
  <c r="AT62" i="34" s="1"/>
  <c r="P82" i="34"/>
  <c r="U82" i="34" s="1"/>
  <c r="Z82" i="34" s="1"/>
  <c r="AE82" i="34" s="1"/>
  <c r="AJ82" i="34" s="1"/>
  <c r="AO82" i="34" s="1"/>
  <c r="AT82" i="34" s="1"/>
  <c r="U42" i="34"/>
  <c r="Z42" i="34" s="1"/>
  <c r="AE42" i="34" s="1"/>
  <c r="AJ42" i="34" s="1"/>
  <c r="AO42" i="34" s="1"/>
  <c r="AT42" i="34" s="1"/>
  <c r="U107" i="33"/>
  <c r="Z107" i="33" s="1"/>
  <c r="AE107" i="33" s="1"/>
  <c r="AJ107" i="33" s="1"/>
  <c r="AO107" i="33" s="1"/>
  <c r="AT107" i="33" s="1"/>
  <c r="P142" i="33"/>
  <c r="U142" i="33" s="1"/>
  <c r="Z142" i="33" s="1"/>
  <c r="AE142" i="33" s="1"/>
  <c r="AJ142" i="33" s="1"/>
  <c r="AO142" i="33" s="1"/>
  <c r="AT142" i="33" s="1"/>
  <c r="U72" i="33"/>
  <c r="Z72" i="33" s="1"/>
  <c r="AE72" i="33" s="1"/>
  <c r="AJ72" i="33" s="1"/>
  <c r="AO72" i="33" s="1"/>
  <c r="AT72" i="33" s="1"/>
  <c r="U62" i="31"/>
  <c r="Z62" i="31" s="1"/>
  <c r="AE62" i="31" s="1"/>
  <c r="AJ62" i="31" s="1"/>
  <c r="AO62" i="31" s="1"/>
  <c r="AT62" i="31" s="1"/>
  <c r="P82" i="31"/>
  <c r="U82" i="31" s="1"/>
  <c r="Z82" i="31" s="1"/>
  <c r="AE82" i="31" s="1"/>
  <c r="AJ82" i="31" s="1"/>
  <c r="AO82" i="31" s="1"/>
  <c r="AT82" i="31" s="1"/>
  <c r="U42" i="31"/>
  <c r="Z42" i="31" s="1"/>
  <c r="AE42" i="31" s="1"/>
  <c r="AJ42" i="31" s="1"/>
  <c r="AO42" i="31" s="1"/>
  <c r="AT42" i="31" s="1"/>
  <c r="U62" i="32"/>
  <c r="Z62" i="32" s="1"/>
  <c r="AE62" i="32" s="1"/>
  <c r="AJ62" i="32" s="1"/>
  <c r="AO62" i="32" s="1"/>
  <c r="AT62" i="32" s="1"/>
  <c r="P82" i="32"/>
  <c r="U82" i="32" s="1"/>
  <c r="Z82" i="32" s="1"/>
  <c r="AE82" i="32" s="1"/>
  <c r="AJ82" i="32" s="1"/>
  <c r="AO82" i="32" s="1"/>
  <c r="AT82" i="32" s="1"/>
  <c r="U42" i="32"/>
  <c r="Z42" i="32" s="1"/>
  <c r="AE42" i="32" s="1"/>
  <c r="AJ42" i="32" s="1"/>
  <c r="AO42" i="32" s="1"/>
  <c r="AT42" i="32" s="1"/>
  <c r="U62" i="30"/>
  <c r="Z62" i="30" s="1"/>
  <c r="AE62" i="30" s="1"/>
  <c r="AJ62" i="30" s="1"/>
  <c r="AO62" i="30" s="1"/>
  <c r="AT62" i="30" s="1"/>
  <c r="P82" i="30"/>
  <c r="U82" i="30" s="1"/>
  <c r="Z82" i="30" s="1"/>
  <c r="AE82" i="30" s="1"/>
  <c r="AJ82" i="30" s="1"/>
  <c r="AO82" i="30" s="1"/>
  <c r="AT82" i="30" s="1"/>
  <c r="U42" i="30"/>
  <c r="Z42" i="30" s="1"/>
  <c r="AE42" i="30" s="1"/>
  <c r="AJ42" i="30" s="1"/>
  <c r="AO42" i="30" s="1"/>
  <c r="AT42" i="30" s="1"/>
  <c r="U107" i="8"/>
  <c r="Z107" i="8" s="1"/>
  <c r="AE107" i="8" s="1"/>
  <c r="AJ107" i="8" s="1"/>
  <c r="AO107" i="8" s="1"/>
  <c r="AT107" i="8" s="1"/>
  <c r="P142" i="8"/>
  <c r="U142" i="8" s="1"/>
  <c r="Z142" i="8" s="1"/>
  <c r="AE142" i="8" s="1"/>
  <c r="AJ142" i="8" s="1"/>
  <c r="AO142" i="8" s="1"/>
  <c r="AT142" i="8" s="1"/>
  <c r="U72" i="8"/>
  <c r="Z72" i="8" s="1"/>
  <c r="AE72" i="8" s="1"/>
  <c r="AJ72" i="8" s="1"/>
  <c r="AO72" i="8" s="1"/>
  <c r="AT72" i="8" s="1"/>
  <c r="U62" i="36"/>
  <c r="Z62" i="36" s="1"/>
  <c r="AE62" i="36" s="1"/>
  <c r="AJ62" i="36" s="1"/>
  <c r="AO62" i="36" s="1"/>
  <c r="AT62" i="36" s="1"/>
  <c r="P82" i="36"/>
  <c r="U82" i="36" s="1"/>
  <c r="Z82" i="36" s="1"/>
  <c r="AE82" i="36" s="1"/>
  <c r="AJ82" i="36" s="1"/>
  <c r="AO82" i="36" s="1"/>
  <c r="AT82" i="36" s="1"/>
  <c r="U42" i="36"/>
  <c r="Z42" i="36" s="1"/>
  <c r="AE42" i="36" s="1"/>
  <c r="AJ42" i="36" s="1"/>
  <c r="AO42" i="36" s="1"/>
  <c r="AT42" i="36" s="1"/>
  <c r="G14" i="40" l="1"/>
  <c r="AA7" i="43"/>
  <c r="AH23" i="43"/>
  <c r="AG23" i="43"/>
  <c r="AF23" i="43"/>
  <c r="AE23" i="43"/>
  <c r="AD23" i="43"/>
  <c r="AC23" i="43"/>
  <c r="AB23" i="43"/>
  <c r="AA23" i="43"/>
  <c r="AH22" i="43"/>
  <c r="AG22" i="43"/>
  <c r="AF22" i="43"/>
  <c r="AE22" i="43"/>
  <c r="AD22" i="43"/>
  <c r="AC22" i="43"/>
  <c r="AB22" i="43"/>
  <c r="AA22" i="43"/>
  <c r="Z22" i="43"/>
  <c r="AH19" i="43"/>
  <c r="AG19" i="43"/>
  <c r="AF19" i="43"/>
  <c r="AE19" i="43"/>
  <c r="AD19" i="43"/>
  <c r="AC19" i="43"/>
  <c r="AB19" i="43"/>
  <c r="AA19" i="43"/>
  <c r="AH18" i="43"/>
  <c r="AG18" i="43"/>
  <c r="AF18" i="43"/>
  <c r="AE18" i="43"/>
  <c r="AD18" i="43"/>
  <c r="AC18" i="43"/>
  <c r="AB18" i="43"/>
  <c r="AA18" i="43"/>
  <c r="Z18" i="43"/>
  <c r="AH16" i="43"/>
  <c r="AG16" i="43"/>
  <c r="AF16" i="43"/>
  <c r="AE16" i="43"/>
  <c r="AD16" i="43"/>
  <c r="AC16" i="43"/>
  <c r="AB16" i="43"/>
  <c r="AA16" i="43"/>
  <c r="AH15" i="43"/>
  <c r="AG15" i="43"/>
  <c r="AF15" i="43"/>
  <c r="AE15" i="43"/>
  <c r="AD15" i="43"/>
  <c r="AC15" i="43"/>
  <c r="AB15" i="43"/>
  <c r="AA15" i="43"/>
  <c r="Z15" i="43"/>
  <c r="AH13" i="43"/>
  <c r="AG13" i="43"/>
  <c r="AF13" i="43"/>
  <c r="AE13" i="43"/>
  <c r="AD13" i="43"/>
  <c r="AC13" i="43"/>
  <c r="AB13" i="43"/>
  <c r="AA13" i="43"/>
  <c r="AH12" i="43"/>
  <c r="AG12" i="43"/>
  <c r="AF12" i="43"/>
  <c r="AE12" i="43"/>
  <c r="AD12" i="43"/>
  <c r="AC12" i="43"/>
  <c r="AB12" i="43"/>
  <c r="AA12" i="43"/>
  <c r="Z12" i="43"/>
  <c r="AH10" i="43"/>
  <c r="AG10" i="43"/>
  <c r="AF10" i="43"/>
  <c r="AE10" i="43"/>
  <c r="AD10" i="43"/>
  <c r="AC10" i="43"/>
  <c r="AB10" i="43"/>
  <c r="AA10" i="43"/>
  <c r="AH9" i="43"/>
  <c r="AG9" i="43"/>
  <c r="AF9" i="43"/>
  <c r="AE9" i="43"/>
  <c r="AD9" i="43"/>
  <c r="AC9" i="43"/>
  <c r="AB9" i="43"/>
  <c r="AA9" i="43"/>
  <c r="Z9" i="43"/>
  <c r="AH7" i="43"/>
  <c r="AG7" i="43"/>
  <c r="AF7" i="43"/>
  <c r="AE7" i="43"/>
  <c r="AD7" i="43"/>
  <c r="AC7" i="43"/>
  <c r="AB7" i="43"/>
  <c r="Z7" i="43"/>
  <c r="AA23" i="29"/>
  <c r="AB13" i="29"/>
  <c r="Q19" i="1"/>
  <c r="AB19" i="29"/>
  <c r="AC19" i="29"/>
  <c r="AD19" i="29"/>
  <c r="AE19" i="29"/>
  <c r="AF19" i="29"/>
  <c r="AG19" i="29"/>
  <c r="AH19" i="29"/>
  <c r="AA19" i="29"/>
  <c r="AB16" i="29"/>
  <c r="AC16" i="29"/>
  <c r="AD16" i="29"/>
  <c r="AE16" i="29"/>
  <c r="AF16" i="29"/>
  <c r="AG16" i="29"/>
  <c r="AH16" i="29"/>
  <c r="AA16" i="29"/>
  <c r="AC13" i="29"/>
  <c r="AD13" i="29"/>
  <c r="AE13" i="29"/>
  <c r="AF13" i="29"/>
  <c r="AG13" i="29"/>
  <c r="AH13" i="29"/>
  <c r="AA13" i="29"/>
  <c r="AH10" i="29"/>
  <c r="AB10" i="29"/>
  <c r="AC10" i="29"/>
  <c r="AD10" i="29"/>
  <c r="AE10" i="29"/>
  <c r="AF10" i="29"/>
  <c r="AG10" i="29"/>
  <c r="AA10" i="29"/>
  <c r="Z22" i="29"/>
  <c r="AB18" i="29"/>
  <c r="AC18" i="29"/>
  <c r="AD18" i="29"/>
  <c r="AE18" i="29"/>
  <c r="AF18" i="29"/>
  <c r="AG18" i="29"/>
  <c r="AH18" i="29"/>
  <c r="AA18" i="29"/>
  <c r="AB15" i="29"/>
  <c r="AC15" i="29"/>
  <c r="AD15" i="29"/>
  <c r="AE15" i="29"/>
  <c r="AF15" i="29"/>
  <c r="AG15" i="29"/>
  <c r="AH15" i="29"/>
  <c r="AA15" i="29"/>
  <c r="AB12" i="29"/>
  <c r="AC12" i="29"/>
  <c r="AD12" i="29"/>
  <c r="AE12" i="29"/>
  <c r="AF12" i="29"/>
  <c r="AG12" i="29"/>
  <c r="AH12" i="29"/>
  <c r="AA12" i="29"/>
  <c r="AB9" i="29"/>
  <c r="AH9" i="29"/>
  <c r="AG9" i="29"/>
  <c r="AF9" i="29"/>
  <c r="AE9" i="29"/>
  <c r="AD9" i="29"/>
  <c r="AC9" i="29"/>
  <c r="AA9" i="29"/>
  <c r="AA7" i="29"/>
  <c r="Z18" i="29"/>
  <c r="Z15" i="29"/>
  <c r="Z12" i="29"/>
  <c r="Z9" i="29"/>
  <c r="AH7" i="29"/>
  <c r="AG7" i="29"/>
  <c r="AF7" i="29"/>
  <c r="AE7" i="29"/>
  <c r="AD7" i="29"/>
  <c r="AC7" i="29"/>
  <c r="AB7" i="29"/>
  <c r="Z7" i="29"/>
  <c r="C10" i="41"/>
  <c r="C9" i="41"/>
  <c r="AA22" i="29" l="1"/>
  <c r="C10" i="40"/>
  <c r="C9" i="40"/>
  <c r="J24" i="39"/>
  <c r="D24" i="39"/>
  <c r="I6" i="5" l="1"/>
  <c r="I7" i="5"/>
  <c r="I8" i="5"/>
  <c r="I9" i="5"/>
  <c r="I10" i="5"/>
  <c r="I11" i="5"/>
  <c r="I12" i="5"/>
  <c r="I13" i="5"/>
  <c r="I14" i="5"/>
  <c r="I15" i="5"/>
  <c r="I5" i="5"/>
  <c r="J13" i="5" l="1"/>
  <c r="I7" i="39" s="1"/>
  <c r="K5" i="5"/>
  <c r="J5" i="5"/>
  <c r="J6" i="5"/>
  <c r="L20" i="21"/>
  <c r="F7" i="6" l="1"/>
  <c r="AL7" i="6" l="1"/>
  <c r="X7" i="6"/>
  <c r="L7" i="6"/>
  <c r="AH7" i="6"/>
  <c r="AF7" i="6"/>
  <c r="AJ7" i="6"/>
  <c r="V7" i="6"/>
  <c r="P7" i="6"/>
  <c r="J7" i="6"/>
  <c r="Z7" i="6"/>
  <c r="N7" i="6"/>
  <c r="AD7" i="6"/>
  <c r="T7" i="6"/>
  <c r="H5" i="3"/>
  <c r="AB22" i="29"/>
  <c r="B6" i="13" l="1"/>
  <c r="E6" i="13" s="1"/>
  <c r="E6" i="39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J88" i="37"/>
  <c r="I88" i="37"/>
  <c r="K87" i="37"/>
  <c r="J87" i="37"/>
  <c r="I87" i="37"/>
  <c r="H87" i="37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H87" i="36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H87" i="34"/>
  <c r="K147" i="33"/>
  <c r="J147" i="33"/>
  <c r="I147" i="33"/>
  <c r="H147" i="33"/>
  <c r="K96" i="32"/>
  <c r="J96" i="32"/>
  <c r="I96" i="32"/>
  <c r="K95" i="32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87" i="31"/>
  <c r="M47" i="31" s="1"/>
  <c r="J87" i="31"/>
  <c r="I87" i="31"/>
  <c r="H87" i="31"/>
  <c r="M96" i="30"/>
  <c r="M95" i="30"/>
  <c r="M94" i="30"/>
  <c r="M93" i="30"/>
  <c r="M92" i="30"/>
  <c r="M91" i="30"/>
  <c r="M90" i="30"/>
  <c r="M89" i="30"/>
  <c r="M88" i="30"/>
  <c r="H87" i="30"/>
  <c r="M48" i="36" l="1"/>
  <c r="M49" i="36"/>
  <c r="M50" i="36"/>
  <c r="M51" i="36"/>
  <c r="M47" i="36"/>
  <c r="M52" i="35"/>
  <c r="M50" i="35"/>
  <c r="M49" i="35"/>
  <c r="M53" i="35"/>
  <c r="M47" i="35"/>
  <c r="M48" i="35"/>
  <c r="M51" i="35"/>
  <c r="M52" i="37"/>
  <c r="M48" i="37"/>
  <c r="M51" i="37"/>
  <c r="M50" i="37"/>
  <c r="M47" i="37"/>
  <c r="M49" i="37"/>
  <c r="M54" i="34"/>
  <c r="M96" i="31"/>
  <c r="M61" i="31"/>
  <c r="M58" i="31"/>
  <c r="M55" i="31"/>
  <c r="M52" i="31"/>
  <c r="M49" i="31"/>
  <c r="M79" i="31"/>
  <c r="M76" i="31"/>
  <c r="M73" i="31"/>
  <c r="M70" i="31"/>
  <c r="M78" i="31"/>
  <c r="M59" i="31"/>
  <c r="M56" i="31"/>
  <c r="M53" i="31"/>
  <c r="M50" i="31"/>
  <c r="M80" i="31"/>
  <c r="M77" i="31"/>
  <c r="M74" i="31"/>
  <c r="M71" i="31"/>
  <c r="M68" i="31"/>
  <c r="M69" i="31"/>
  <c r="M72" i="31"/>
  <c r="M60" i="31"/>
  <c r="M57" i="31"/>
  <c r="M54" i="31"/>
  <c r="M51" i="31"/>
  <c r="M48" i="31"/>
  <c r="M75" i="31"/>
  <c r="M81" i="31"/>
  <c r="M61" i="35"/>
  <c r="M58" i="35"/>
  <c r="M55" i="35"/>
  <c r="M80" i="35"/>
  <c r="M81" i="35"/>
  <c r="M78" i="35"/>
  <c r="M75" i="35"/>
  <c r="M77" i="35"/>
  <c r="M59" i="35"/>
  <c r="M56" i="35"/>
  <c r="M79" i="35"/>
  <c r="M76" i="35"/>
  <c r="M60" i="35"/>
  <c r="M57" i="35"/>
  <c r="M54" i="35"/>
  <c r="M74" i="35"/>
  <c r="M61" i="36"/>
  <c r="M58" i="36"/>
  <c r="M55" i="36"/>
  <c r="M52" i="36"/>
  <c r="M79" i="36"/>
  <c r="M76" i="36"/>
  <c r="M73" i="36"/>
  <c r="M59" i="36"/>
  <c r="M56" i="36"/>
  <c r="M53" i="36"/>
  <c r="M80" i="36"/>
  <c r="M77" i="36"/>
  <c r="M74" i="36"/>
  <c r="M60" i="36"/>
  <c r="M57" i="36"/>
  <c r="M54" i="36"/>
  <c r="M81" i="36"/>
  <c r="M78" i="36"/>
  <c r="M75" i="36"/>
  <c r="M72" i="36"/>
  <c r="M61" i="34"/>
  <c r="M58" i="34"/>
  <c r="M55" i="34"/>
  <c r="M80" i="34"/>
  <c r="M77" i="34"/>
  <c r="M59" i="34"/>
  <c r="M56" i="34"/>
  <c r="M81" i="34"/>
  <c r="M78" i="34"/>
  <c r="M75" i="34"/>
  <c r="M60" i="34"/>
  <c r="M57" i="34"/>
  <c r="M79" i="34"/>
  <c r="M76" i="34"/>
  <c r="M79" i="32"/>
  <c r="M59" i="32"/>
  <c r="M80" i="32"/>
  <c r="M77" i="32"/>
  <c r="M60" i="32"/>
  <c r="M57" i="32"/>
  <c r="M81" i="32"/>
  <c r="M78" i="32"/>
  <c r="M61" i="32"/>
  <c r="M58" i="32"/>
  <c r="M80" i="37"/>
  <c r="M77" i="37"/>
  <c r="M74" i="37"/>
  <c r="M60" i="37"/>
  <c r="M57" i="37"/>
  <c r="M54" i="37"/>
  <c r="M81" i="37"/>
  <c r="M78" i="37"/>
  <c r="M75" i="37"/>
  <c r="M61" i="37"/>
  <c r="M58" i="37"/>
  <c r="M55" i="37"/>
  <c r="M79" i="37"/>
  <c r="M76" i="37"/>
  <c r="M73" i="37"/>
  <c r="M59" i="37"/>
  <c r="M56" i="37"/>
  <c r="M53" i="37"/>
  <c r="L147" i="33"/>
  <c r="M141" i="33"/>
  <c r="M138" i="33"/>
  <c r="M106" i="33"/>
  <c r="M103" i="33"/>
  <c r="M139" i="33"/>
  <c r="M136" i="33"/>
  <c r="M104" i="33"/>
  <c r="M140" i="33"/>
  <c r="M137" i="33"/>
  <c r="M105" i="33"/>
  <c r="M102" i="33"/>
  <c r="M96" i="37"/>
  <c r="M95" i="37"/>
  <c r="M88" i="34"/>
  <c r="M151" i="33"/>
  <c r="M148" i="33"/>
  <c r="M152" i="33"/>
  <c r="M156" i="33"/>
  <c r="M153" i="33"/>
  <c r="M149" i="33"/>
  <c r="M150" i="33"/>
  <c r="M154" i="33"/>
  <c r="M155" i="33"/>
  <c r="M93" i="37"/>
  <c r="M94" i="37"/>
  <c r="M97" i="37"/>
  <c r="M88" i="37"/>
  <c r="M92" i="37"/>
  <c r="M91" i="37"/>
  <c r="M90" i="37"/>
  <c r="M89" i="37"/>
  <c r="M95" i="36"/>
  <c r="M90" i="36"/>
  <c r="M92" i="36"/>
  <c r="M96" i="36"/>
  <c r="M89" i="36"/>
  <c r="M93" i="36"/>
  <c r="M88" i="36"/>
  <c r="M94" i="36"/>
  <c r="M91" i="36"/>
  <c r="M95" i="35"/>
  <c r="M88" i="35"/>
  <c r="M94" i="35"/>
  <c r="M96" i="35"/>
  <c r="M91" i="35"/>
  <c r="M90" i="35"/>
  <c r="M89" i="35"/>
  <c r="M93" i="35"/>
  <c r="M92" i="35"/>
  <c r="M95" i="34"/>
  <c r="M96" i="34"/>
  <c r="M89" i="34"/>
  <c r="M93" i="34"/>
  <c r="M92" i="34"/>
  <c r="M91" i="34"/>
  <c r="M90" i="34"/>
  <c r="M94" i="34"/>
  <c r="M89" i="31"/>
  <c r="M93" i="31"/>
  <c r="M90" i="31"/>
  <c r="M94" i="31"/>
  <c r="M91" i="31"/>
  <c r="M95" i="31"/>
  <c r="M88" i="31"/>
  <c r="M92" i="31"/>
  <c r="M88" i="32"/>
  <c r="M92" i="32"/>
  <c r="M96" i="32"/>
  <c r="M91" i="32"/>
  <c r="M95" i="32"/>
  <c r="M90" i="32"/>
  <c r="M94" i="32"/>
  <c r="M89" i="32"/>
  <c r="M93" i="32"/>
  <c r="M150" i="8"/>
  <c r="M154" i="8"/>
  <c r="M149" i="8"/>
  <c r="M153" i="8"/>
  <c r="M148" i="8"/>
  <c r="M152" i="8"/>
  <c r="M156" i="8"/>
  <c r="M151" i="8"/>
  <c r="M155" i="8"/>
  <c r="M101" i="34"/>
  <c r="L87" i="34"/>
  <c r="M101" i="30"/>
  <c r="L87" i="30"/>
  <c r="M99" i="32"/>
  <c r="L87" i="32"/>
  <c r="D32" i="39"/>
  <c r="M101" i="36"/>
  <c r="L87" i="36"/>
  <c r="M98" i="31"/>
  <c r="L87" i="31"/>
  <c r="M101" i="37"/>
  <c r="L87" i="37"/>
  <c r="M157" i="8"/>
  <c r="L147" i="8"/>
  <c r="M166" i="8"/>
  <c r="M175" i="8"/>
  <c r="M163" i="8"/>
  <c r="M174" i="8"/>
  <c r="M171" i="8"/>
  <c r="M168" i="8"/>
  <c r="M165" i="8"/>
  <c r="M162" i="8"/>
  <c r="M172" i="8"/>
  <c r="M169" i="8"/>
  <c r="M173" i="8"/>
  <c r="M170" i="8"/>
  <c r="M167" i="8"/>
  <c r="M164" i="8"/>
  <c r="M161" i="8"/>
  <c r="M101" i="35"/>
  <c r="L87" i="35"/>
  <c r="M98" i="30"/>
  <c r="M176" i="33"/>
  <c r="M174" i="33"/>
  <c r="M175" i="33"/>
  <c r="M172" i="33"/>
  <c r="M169" i="33"/>
  <c r="M166" i="33"/>
  <c r="M163" i="33"/>
  <c r="M173" i="33"/>
  <c r="M170" i="33"/>
  <c r="M167" i="33"/>
  <c r="M164" i="33"/>
  <c r="M161" i="33"/>
  <c r="M171" i="33"/>
  <c r="M168" i="33"/>
  <c r="M165" i="33"/>
  <c r="M162" i="33"/>
  <c r="M97" i="34"/>
  <c r="M100" i="34"/>
  <c r="M160" i="33"/>
  <c r="M158" i="33"/>
  <c r="M98" i="32"/>
  <c r="M97" i="30"/>
  <c r="M160" i="8"/>
  <c r="M159" i="8"/>
  <c r="M147" i="8"/>
  <c r="M158" i="8"/>
  <c r="M176" i="8"/>
  <c r="M98" i="37"/>
  <c r="M99" i="37"/>
  <c r="M100" i="37"/>
  <c r="M87" i="37"/>
  <c r="M97" i="36"/>
  <c r="M98" i="36"/>
  <c r="M99" i="36"/>
  <c r="M100" i="36"/>
  <c r="M87" i="36"/>
  <c r="M97" i="35"/>
  <c r="M98" i="35"/>
  <c r="M99" i="35"/>
  <c r="M100" i="35"/>
  <c r="M87" i="35"/>
  <c r="M98" i="34"/>
  <c r="M99" i="34"/>
  <c r="M87" i="34"/>
  <c r="M157" i="33"/>
  <c r="M159" i="33"/>
  <c r="M147" i="33"/>
  <c r="M100" i="32"/>
  <c r="M87" i="32"/>
  <c r="M101" i="32"/>
  <c r="M97" i="32"/>
  <c r="M101" i="31"/>
  <c r="M87" i="31"/>
  <c r="M100" i="31"/>
  <c r="M99" i="31"/>
  <c r="M97" i="31"/>
  <c r="M99" i="30"/>
  <c r="M100" i="30"/>
  <c r="M87" i="30"/>
  <c r="AH23" i="29"/>
  <c r="AH22" i="29"/>
  <c r="D29" i="39" l="1"/>
  <c r="D35" i="39"/>
  <c r="D30" i="39"/>
  <c r="D34" i="39"/>
  <c r="D33" i="39"/>
  <c r="D31" i="39"/>
  <c r="D28" i="39"/>
  <c r="C1" i="37"/>
  <c r="D36" i="39"/>
  <c r="C1" i="35"/>
  <c r="C1" i="33"/>
  <c r="C1" i="30"/>
  <c r="C1" i="31"/>
  <c r="C1" i="34"/>
  <c r="C1" i="36"/>
  <c r="C1" i="32"/>
  <c r="M14" i="40"/>
  <c r="M14" i="41"/>
  <c r="G9" i="40"/>
  <c r="G9" i="41"/>
  <c r="M15" i="41"/>
  <c r="M15" i="40"/>
  <c r="G10" i="41"/>
  <c r="G10" i="40"/>
  <c r="AG23" i="29"/>
  <c r="AF23" i="29"/>
  <c r="AE23" i="29"/>
  <c r="AD23" i="29"/>
  <c r="AC23" i="29"/>
  <c r="AB23" i="29"/>
  <c r="AG22" i="29"/>
  <c r="AF22" i="29"/>
  <c r="AE22" i="29"/>
  <c r="AD22" i="29"/>
  <c r="AC22" i="29"/>
  <c r="D37" i="39" l="1"/>
  <c r="E36" i="39"/>
  <c r="B36" i="13"/>
  <c r="E35" i="39"/>
  <c r="B35" i="13"/>
  <c r="E34" i="39"/>
  <c r="B34" i="13"/>
  <c r="E33" i="39"/>
  <c r="B33" i="13"/>
  <c r="E32" i="39"/>
  <c r="B32" i="13"/>
  <c r="E31" i="39"/>
  <c r="B31" i="13"/>
  <c r="E30" i="39"/>
  <c r="B30" i="13"/>
  <c r="E29" i="39"/>
  <c r="B29" i="13"/>
  <c r="G14" i="41"/>
  <c r="I14" i="40"/>
  <c r="I14" i="41"/>
  <c r="I9" i="40"/>
  <c r="I9" i="41"/>
  <c r="K9" i="40"/>
  <c r="K9" i="41"/>
  <c r="K14" i="40"/>
  <c r="K14" i="41"/>
  <c r="M9" i="40"/>
  <c r="M9" i="41"/>
  <c r="K10" i="41"/>
  <c r="K10" i="40"/>
  <c r="I10" i="41"/>
  <c r="I10" i="40"/>
  <c r="K15" i="41"/>
  <c r="K15" i="40"/>
  <c r="G15" i="41"/>
  <c r="G15" i="40"/>
  <c r="M10" i="41"/>
  <c r="M10" i="40"/>
  <c r="I15" i="41"/>
  <c r="I15" i="40"/>
  <c r="N36" i="13" l="1"/>
  <c r="R36" i="13" s="1"/>
  <c r="E36" i="13" s="1"/>
  <c r="D36" i="13"/>
  <c r="D35" i="13"/>
  <c r="N35" i="13"/>
  <c r="R35" i="13" s="1"/>
  <c r="E35" i="13" s="1"/>
  <c r="N33" i="13"/>
  <c r="R33" i="13" s="1"/>
  <c r="E33" i="13" s="1"/>
  <c r="D33" i="13"/>
  <c r="D32" i="13"/>
  <c r="N32" i="13"/>
  <c r="R32" i="13" s="1"/>
  <c r="E32" i="13" s="1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34" i="13"/>
  <c r="R34" i="13" s="1"/>
  <c r="E34" i="13" s="1"/>
  <c r="D34" i="13"/>
  <c r="C1" i="8"/>
  <c r="E28" i="39" l="1"/>
  <c r="B28" i="13"/>
  <c r="N28" i="13" l="1"/>
  <c r="R28" i="13" s="1"/>
  <c r="E28" i="13" s="1"/>
  <c r="D28" i="13"/>
  <c r="V5" i="3"/>
  <c r="P5" i="3"/>
  <c r="B8" i="25"/>
  <c r="A8" i="25"/>
  <c r="C21" i="13"/>
  <c r="E21" i="13" s="1"/>
  <c r="L19" i="21" l="1"/>
  <c r="L18" i="21"/>
  <c r="L17" i="21"/>
  <c r="L16" i="21"/>
  <c r="L10" i="21"/>
  <c r="L11" i="21"/>
  <c r="L12" i="21"/>
  <c r="L13" i="21"/>
  <c r="L9" i="21"/>
  <c r="C17" i="13"/>
  <c r="E17" i="13" s="1"/>
  <c r="C18" i="13"/>
  <c r="E18" i="13" s="1"/>
  <c r="C20" i="13"/>
  <c r="E20" i="13" s="1"/>
  <c r="C22" i="13"/>
  <c r="E22" i="13" s="1"/>
  <c r="C23" i="13"/>
  <c r="E23" i="13" s="1"/>
  <c r="D24" i="13"/>
  <c r="J24" i="13"/>
  <c r="D6" i="13"/>
  <c r="H147" i="8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F26" i="7" s="1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B45" i="6"/>
  <c r="AB44" i="6"/>
  <c r="AB43" i="6"/>
  <c r="AB42" i="6"/>
  <c r="AB41" i="6"/>
  <c r="AB40" i="6"/>
  <c r="AB39" i="6"/>
  <c r="AB38" i="6"/>
  <c r="AB37" i="6"/>
  <c r="AB36" i="6"/>
  <c r="AB35" i="6"/>
  <c r="AB34" i="6"/>
  <c r="AB33" i="6"/>
  <c r="AB32" i="6"/>
  <c r="AB31" i="6"/>
  <c r="AB30" i="6"/>
  <c r="AB29" i="6"/>
  <c r="AB28" i="6"/>
  <c r="AB27" i="6"/>
  <c r="AB26" i="6"/>
  <c r="AB25" i="6"/>
  <c r="AB24" i="6"/>
  <c r="AB23" i="6"/>
  <c r="AB22" i="6"/>
  <c r="AB21" i="6"/>
  <c r="AB20" i="6"/>
  <c r="AB19" i="6"/>
  <c r="AB18" i="6"/>
  <c r="AB17" i="6"/>
  <c r="AB16" i="6"/>
  <c r="AB15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F8" i="6"/>
  <c r="F9" i="6"/>
  <c r="F11" i="6"/>
  <c r="F13" i="6"/>
  <c r="F14" i="6"/>
  <c r="M15" i="6"/>
  <c r="M16" i="6"/>
  <c r="M17" i="6"/>
  <c r="F17" i="6" s="1"/>
  <c r="M18" i="6"/>
  <c r="F18" i="6" s="1"/>
  <c r="M19" i="6"/>
  <c r="M20" i="6"/>
  <c r="F20" i="6" s="1"/>
  <c r="M21" i="6"/>
  <c r="F21" i="6" s="1"/>
  <c r="M22" i="6"/>
  <c r="M23" i="6"/>
  <c r="M24" i="6"/>
  <c r="M25" i="6"/>
  <c r="M26" i="6"/>
  <c r="F26" i="6" s="1"/>
  <c r="M27" i="6"/>
  <c r="M28" i="6"/>
  <c r="M29" i="6"/>
  <c r="F29" i="6" s="1"/>
  <c r="M30" i="6"/>
  <c r="F30" i="6" s="1"/>
  <c r="M31" i="6"/>
  <c r="F31" i="6" s="1"/>
  <c r="M32" i="6"/>
  <c r="F32" i="6" s="1"/>
  <c r="M33" i="6"/>
  <c r="F33" i="6" s="1"/>
  <c r="M34" i="6"/>
  <c r="M35" i="6"/>
  <c r="M36" i="6"/>
  <c r="M37" i="6"/>
  <c r="F37" i="6" s="1"/>
  <c r="M38" i="6"/>
  <c r="F38" i="6" s="1"/>
  <c r="M39" i="6"/>
  <c r="M40" i="6"/>
  <c r="M41" i="6"/>
  <c r="M42" i="6"/>
  <c r="F42" i="6" s="1"/>
  <c r="M43" i="6"/>
  <c r="F43" i="6" s="1"/>
  <c r="M44" i="6"/>
  <c r="M45" i="6"/>
  <c r="I10" i="13"/>
  <c r="K10" i="13" s="1"/>
  <c r="T5" i="3"/>
  <c r="B10" i="13" s="1"/>
  <c r="O43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N5" i="3"/>
  <c r="B8" i="13" s="1"/>
  <c r="K5" i="3"/>
  <c r="E7" i="39" s="1"/>
  <c r="F35" i="6" l="1"/>
  <c r="F23" i="6"/>
  <c r="F28" i="6"/>
  <c r="F16" i="6"/>
  <c r="F39" i="6"/>
  <c r="F27" i="6"/>
  <c r="F19" i="6"/>
  <c r="F15" i="6"/>
  <c r="Z9" i="6"/>
  <c r="AL9" i="6"/>
  <c r="X9" i="6"/>
  <c r="L9" i="6"/>
  <c r="AJ9" i="6"/>
  <c r="V9" i="6"/>
  <c r="P9" i="6"/>
  <c r="J9" i="6"/>
  <c r="AH9" i="6"/>
  <c r="AF9" i="6"/>
  <c r="N9" i="6"/>
  <c r="AD9" i="6"/>
  <c r="T9" i="6"/>
  <c r="AH14" i="6"/>
  <c r="T14" i="6"/>
  <c r="X14" i="6"/>
  <c r="L14" i="6"/>
  <c r="J14" i="6"/>
  <c r="AF14" i="6"/>
  <c r="Z14" i="6"/>
  <c r="AL14" i="6"/>
  <c r="AJ14" i="6"/>
  <c r="V14" i="6"/>
  <c r="P14" i="6"/>
  <c r="N14" i="6"/>
  <c r="AD14" i="6"/>
  <c r="AH8" i="6"/>
  <c r="AJ8" i="6"/>
  <c r="V8" i="6"/>
  <c r="P8" i="6"/>
  <c r="AF8" i="6"/>
  <c r="Z8" i="6"/>
  <c r="AL8" i="6"/>
  <c r="X8" i="6"/>
  <c r="L8" i="6"/>
  <c r="J8" i="6"/>
  <c r="N8" i="6"/>
  <c r="AD8" i="6"/>
  <c r="T8" i="6"/>
  <c r="AL13" i="6"/>
  <c r="X13" i="6"/>
  <c r="L13" i="6"/>
  <c r="AH13" i="6"/>
  <c r="Z13" i="6"/>
  <c r="AJ13" i="6"/>
  <c r="V13" i="6"/>
  <c r="P13" i="6"/>
  <c r="J13" i="6"/>
  <c r="AF13" i="6"/>
  <c r="AD13" i="6"/>
  <c r="N13" i="6"/>
  <c r="T13" i="6"/>
  <c r="AL11" i="6"/>
  <c r="X11" i="6"/>
  <c r="L11" i="6"/>
  <c r="AF11" i="6"/>
  <c r="AJ11" i="6"/>
  <c r="V11" i="6"/>
  <c r="P11" i="6"/>
  <c r="J11" i="6"/>
  <c r="AH11" i="6"/>
  <c r="Z11" i="6"/>
  <c r="AD11" i="6"/>
  <c r="T11" i="6"/>
  <c r="N11" i="6"/>
  <c r="F36" i="6"/>
  <c r="AD36" i="6" s="1"/>
  <c r="F24" i="6"/>
  <c r="F12" i="6"/>
  <c r="F34" i="6"/>
  <c r="AD34" i="6" s="1"/>
  <c r="F22" i="6"/>
  <c r="F10" i="6"/>
  <c r="F44" i="6"/>
  <c r="T44" i="6" s="1"/>
  <c r="F40" i="6"/>
  <c r="F41" i="6"/>
  <c r="T41" i="6" s="1"/>
  <c r="F45" i="6"/>
  <c r="N45" i="6" s="1"/>
  <c r="K7" i="39"/>
  <c r="I7" i="13"/>
  <c r="K7" i="13" s="1"/>
  <c r="K6" i="39"/>
  <c r="I6" i="13"/>
  <c r="K6" i="13" s="1"/>
  <c r="K11" i="39"/>
  <c r="I11" i="13"/>
  <c r="K11" i="13" s="1"/>
  <c r="K9" i="39"/>
  <c r="I9" i="13"/>
  <c r="K9" i="13" s="1"/>
  <c r="K8" i="39"/>
  <c r="I8" i="13"/>
  <c r="K8" i="13" s="1"/>
  <c r="S46" i="6"/>
  <c r="S47" i="6" s="1"/>
  <c r="H16" i="13" s="1"/>
  <c r="D10" i="13"/>
  <c r="E10" i="13"/>
  <c r="D8" i="13"/>
  <c r="E8" i="13"/>
  <c r="AC46" i="7"/>
  <c r="AC47" i="7" s="1"/>
  <c r="S46" i="7"/>
  <c r="S47" i="7" s="1"/>
  <c r="D8" i="39"/>
  <c r="C16" i="39"/>
  <c r="E16" i="39" s="1"/>
  <c r="AH26" i="7"/>
  <c r="AB26" i="7"/>
  <c r="R26" i="7"/>
  <c r="M46" i="7"/>
  <c r="AC46" i="6"/>
  <c r="F25" i="6"/>
  <c r="T25" i="6" s="1"/>
  <c r="M46" i="6"/>
  <c r="C20" i="39"/>
  <c r="E20" i="39" s="1"/>
  <c r="I21" i="39"/>
  <c r="K21" i="39" s="1"/>
  <c r="I19" i="39"/>
  <c r="K19" i="39" s="1"/>
  <c r="I15" i="39"/>
  <c r="I16" i="39"/>
  <c r="K16" i="39" s="1"/>
  <c r="D7" i="39"/>
  <c r="I23" i="39"/>
  <c r="K23" i="39" s="1"/>
  <c r="I17" i="39"/>
  <c r="K17" i="39" s="1"/>
  <c r="I20" i="39"/>
  <c r="K20" i="39" s="1"/>
  <c r="I18" i="39"/>
  <c r="K18" i="39" s="1"/>
  <c r="I22" i="39"/>
  <c r="K22" i="39" s="1"/>
  <c r="D10" i="39"/>
  <c r="Q5" i="3"/>
  <c r="E8" i="39"/>
  <c r="W5" i="3"/>
  <c r="E10" i="39"/>
  <c r="T20" i="6"/>
  <c r="T17" i="6"/>
  <c r="T40" i="6"/>
  <c r="AD28" i="6"/>
  <c r="AD16" i="6"/>
  <c r="F41" i="7"/>
  <c r="F44" i="7"/>
  <c r="T39" i="6"/>
  <c r="T27" i="6"/>
  <c r="AD15" i="6"/>
  <c r="F38" i="7"/>
  <c r="F45" i="7"/>
  <c r="AD38" i="6"/>
  <c r="AD26" i="6"/>
  <c r="F40" i="7"/>
  <c r="F42" i="7"/>
  <c r="N24" i="6"/>
  <c r="N31" i="6"/>
  <c r="T35" i="6"/>
  <c r="T23" i="6"/>
  <c r="T37" i="6"/>
  <c r="AD43" i="6"/>
  <c r="T42" i="6"/>
  <c r="T26" i="6"/>
  <c r="F16" i="7"/>
  <c r="X16" i="7" s="1"/>
  <c r="F39" i="7"/>
  <c r="F43" i="7"/>
  <c r="T30" i="6"/>
  <c r="T21" i="6"/>
  <c r="F9" i="7"/>
  <c r="F8" i="7"/>
  <c r="F10" i="7"/>
  <c r="F11" i="7"/>
  <c r="F15" i="7"/>
  <c r="F17" i="7"/>
  <c r="F19" i="7"/>
  <c r="F23" i="7"/>
  <c r="F25" i="7"/>
  <c r="T26" i="7"/>
  <c r="AJ26" i="7"/>
  <c r="F27" i="7"/>
  <c r="F34" i="7"/>
  <c r="T34" i="7" s="1"/>
  <c r="F14" i="7"/>
  <c r="F18" i="7"/>
  <c r="F22" i="7"/>
  <c r="N26" i="7"/>
  <c r="V26" i="7"/>
  <c r="AD26" i="7"/>
  <c r="AL26" i="7"/>
  <c r="F30" i="7"/>
  <c r="F31" i="7"/>
  <c r="F33" i="7"/>
  <c r="F37" i="7"/>
  <c r="F13" i="7"/>
  <c r="F21" i="7"/>
  <c r="J26" i="7"/>
  <c r="P26" i="7"/>
  <c r="X26" i="7"/>
  <c r="AF26" i="7"/>
  <c r="F29" i="7"/>
  <c r="F32" i="7"/>
  <c r="F36" i="7"/>
  <c r="F12" i="7"/>
  <c r="F20" i="7"/>
  <c r="F24" i="7"/>
  <c r="L26" i="7"/>
  <c r="Z26" i="7"/>
  <c r="F28" i="7"/>
  <c r="F35" i="7"/>
  <c r="F7" i="7"/>
  <c r="G7" i="7" s="1"/>
  <c r="G36" i="7" l="1"/>
  <c r="G29" i="7"/>
  <c r="G22" i="7"/>
  <c r="G8" i="7"/>
  <c r="G15" i="7"/>
  <c r="AH10" i="6"/>
  <c r="AJ10" i="6"/>
  <c r="V10" i="6"/>
  <c r="J10" i="6"/>
  <c r="AF10" i="6"/>
  <c r="Z10" i="6"/>
  <c r="AL10" i="6"/>
  <c r="X10" i="6"/>
  <c r="L10" i="6"/>
  <c r="P10" i="6"/>
  <c r="AD10" i="6"/>
  <c r="T10" i="6"/>
  <c r="N10" i="6"/>
  <c r="AH12" i="6"/>
  <c r="AL12" i="6"/>
  <c r="P12" i="6"/>
  <c r="AF12" i="6"/>
  <c r="Z12" i="6"/>
  <c r="X12" i="6"/>
  <c r="L12" i="6"/>
  <c r="AJ12" i="6"/>
  <c r="V12" i="6"/>
  <c r="J12" i="6"/>
  <c r="AD12" i="6"/>
  <c r="T12" i="6"/>
  <c r="N12" i="6"/>
  <c r="AJ12" i="7"/>
  <c r="V12" i="7"/>
  <c r="P12" i="7"/>
  <c r="J12" i="7"/>
  <c r="AH12" i="7"/>
  <c r="AB12" i="7"/>
  <c r="T12" i="7"/>
  <c r="N12" i="7"/>
  <c r="AF12" i="7"/>
  <c r="Z12" i="7"/>
  <c r="AL12" i="7"/>
  <c r="AD12" i="7"/>
  <c r="X12" i="7"/>
  <c r="R12" i="7"/>
  <c r="L12" i="7"/>
  <c r="AF13" i="7"/>
  <c r="Z13" i="7"/>
  <c r="AL13" i="7"/>
  <c r="AD13" i="7"/>
  <c r="X13" i="7"/>
  <c r="R13" i="7"/>
  <c r="L13" i="7"/>
  <c r="AJ13" i="7"/>
  <c r="V13" i="7"/>
  <c r="P13" i="7"/>
  <c r="J13" i="7"/>
  <c r="AH13" i="7"/>
  <c r="AB13" i="7"/>
  <c r="T13" i="7"/>
  <c r="N13" i="7"/>
  <c r="AF9" i="7"/>
  <c r="Z9" i="7"/>
  <c r="AL9" i="7"/>
  <c r="AD9" i="7"/>
  <c r="X9" i="7"/>
  <c r="R9" i="7"/>
  <c r="L9" i="7"/>
  <c r="AJ9" i="7"/>
  <c r="V9" i="7"/>
  <c r="P9" i="7"/>
  <c r="J9" i="7"/>
  <c r="AH9" i="7"/>
  <c r="AB9" i="7"/>
  <c r="T9" i="7"/>
  <c r="N9" i="7"/>
  <c r="AF11" i="7"/>
  <c r="Z11" i="7"/>
  <c r="AL11" i="7"/>
  <c r="AD11" i="7"/>
  <c r="X11" i="7"/>
  <c r="R11" i="7"/>
  <c r="L11" i="7"/>
  <c r="AJ11" i="7"/>
  <c r="V11" i="7"/>
  <c r="P11" i="7"/>
  <c r="J11" i="7"/>
  <c r="AH11" i="7"/>
  <c r="AB11" i="7"/>
  <c r="T11" i="7"/>
  <c r="N11" i="7"/>
  <c r="AJ10" i="7"/>
  <c r="V10" i="7"/>
  <c r="P10" i="7"/>
  <c r="J10" i="7"/>
  <c r="AH10" i="7"/>
  <c r="AB10" i="7"/>
  <c r="T10" i="7"/>
  <c r="N10" i="7"/>
  <c r="AF10" i="7"/>
  <c r="Z10" i="7"/>
  <c r="AL10" i="7"/>
  <c r="AD10" i="7"/>
  <c r="X10" i="7"/>
  <c r="R10" i="7"/>
  <c r="L10" i="7"/>
  <c r="AF7" i="7"/>
  <c r="Z7" i="7"/>
  <c r="AL7" i="7"/>
  <c r="AD7" i="7"/>
  <c r="X7" i="7"/>
  <c r="R7" i="7"/>
  <c r="L7" i="7"/>
  <c r="AJ7" i="7"/>
  <c r="V7" i="7"/>
  <c r="P7" i="7"/>
  <c r="J7" i="7"/>
  <c r="AH7" i="7"/>
  <c r="AB7" i="7"/>
  <c r="T7" i="7"/>
  <c r="N7" i="7"/>
  <c r="AJ14" i="7"/>
  <c r="V14" i="7"/>
  <c r="P14" i="7"/>
  <c r="J14" i="7"/>
  <c r="AH14" i="7"/>
  <c r="AB14" i="7"/>
  <c r="T14" i="7"/>
  <c r="N14" i="7"/>
  <c r="AF14" i="7"/>
  <c r="Z14" i="7"/>
  <c r="AL14" i="7"/>
  <c r="AD14" i="7"/>
  <c r="X14" i="7"/>
  <c r="R14" i="7"/>
  <c r="L14" i="7"/>
  <c r="AJ8" i="7"/>
  <c r="V8" i="7"/>
  <c r="P8" i="7"/>
  <c r="J8" i="7"/>
  <c r="AH8" i="7"/>
  <c r="AB8" i="7"/>
  <c r="T8" i="7"/>
  <c r="N8" i="7"/>
  <c r="AF8" i="7"/>
  <c r="Z8" i="7"/>
  <c r="AL8" i="7"/>
  <c r="AD8" i="7"/>
  <c r="X8" i="7"/>
  <c r="R8" i="7"/>
  <c r="L8" i="7"/>
  <c r="B19" i="13"/>
  <c r="C19" i="13" s="1"/>
  <c r="E19" i="13" s="1"/>
  <c r="R44" i="7"/>
  <c r="AB44" i="7"/>
  <c r="AD43" i="7"/>
  <c r="R43" i="7"/>
  <c r="AB43" i="7"/>
  <c r="T41" i="7"/>
  <c r="R41" i="7"/>
  <c r="AB41" i="7"/>
  <c r="R39" i="7"/>
  <c r="AB39" i="7"/>
  <c r="AD42" i="7"/>
  <c r="R42" i="7"/>
  <c r="AB42" i="7"/>
  <c r="R40" i="7"/>
  <c r="AB40" i="7"/>
  <c r="AD45" i="7"/>
  <c r="R45" i="7"/>
  <c r="AB45" i="7"/>
  <c r="N38" i="7"/>
  <c r="R38" i="7"/>
  <c r="AB38" i="7"/>
  <c r="T33" i="7"/>
  <c r="AB33" i="7"/>
  <c r="R33" i="7"/>
  <c r="N35" i="7"/>
  <c r="R35" i="7"/>
  <c r="AB35" i="7"/>
  <c r="AD36" i="7"/>
  <c r="R36" i="7"/>
  <c r="AB36" i="7"/>
  <c r="R32" i="7"/>
  <c r="AB32" i="7"/>
  <c r="N34" i="7"/>
  <c r="AB34" i="7"/>
  <c r="R34" i="7"/>
  <c r="AB37" i="7"/>
  <c r="R37" i="7"/>
  <c r="B16" i="13"/>
  <c r="C16" i="13" s="1"/>
  <c r="E16" i="13" s="1"/>
  <c r="T21" i="7"/>
  <c r="AB21" i="7"/>
  <c r="R21" i="7"/>
  <c r="R18" i="7"/>
  <c r="AB18" i="7"/>
  <c r="N19" i="7"/>
  <c r="AB19" i="7"/>
  <c r="R19" i="7"/>
  <c r="AD17" i="7"/>
  <c r="AB17" i="7"/>
  <c r="R17" i="7"/>
  <c r="AH16" i="7"/>
  <c r="AB16" i="7"/>
  <c r="R16" i="7"/>
  <c r="T24" i="7"/>
  <c r="AB24" i="7"/>
  <c r="R24" i="7"/>
  <c r="AD15" i="7"/>
  <c r="R15" i="7"/>
  <c r="AB15" i="7"/>
  <c r="AB20" i="7"/>
  <c r="R20" i="7"/>
  <c r="R22" i="7"/>
  <c r="AB22" i="7"/>
  <c r="N23" i="7"/>
  <c r="R23" i="7"/>
  <c r="AB23" i="7"/>
  <c r="C17" i="39"/>
  <c r="E17" i="39" s="1"/>
  <c r="C19" i="39"/>
  <c r="E19" i="39" s="1"/>
  <c r="D6" i="39"/>
  <c r="C22" i="39"/>
  <c r="E22" i="39" s="1"/>
  <c r="C18" i="39"/>
  <c r="E18" i="39" s="1"/>
  <c r="C23" i="39"/>
  <c r="E23" i="39" s="1"/>
  <c r="C21" i="39"/>
  <c r="E21" i="39" s="1"/>
  <c r="C15" i="39"/>
  <c r="E15" i="39" s="1"/>
  <c r="B9" i="13"/>
  <c r="E9" i="39"/>
  <c r="E11" i="39"/>
  <c r="B11" i="13"/>
  <c r="AD30" i="7"/>
  <c r="R30" i="7"/>
  <c r="AB30" i="7"/>
  <c r="T25" i="7"/>
  <c r="R25" i="7"/>
  <c r="AB25" i="7"/>
  <c r="N28" i="7"/>
  <c r="AB28" i="7"/>
  <c r="R28" i="7"/>
  <c r="AD29" i="7"/>
  <c r="R29" i="7"/>
  <c r="AB29" i="7"/>
  <c r="AB27" i="7"/>
  <c r="R27" i="7"/>
  <c r="M47" i="7"/>
  <c r="B15" i="13"/>
  <c r="C15" i="13" s="1"/>
  <c r="AD31" i="7"/>
  <c r="AB31" i="7"/>
  <c r="R31" i="7"/>
  <c r="AC47" i="6"/>
  <c r="H19" i="13"/>
  <c r="M47" i="6"/>
  <c r="H15" i="13"/>
  <c r="AD21" i="7"/>
  <c r="T45" i="7"/>
  <c r="T17" i="7"/>
  <c r="AD24" i="6"/>
  <c r="N23" i="6"/>
  <c r="D9" i="39"/>
  <c r="K15" i="39"/>
  <c r="I24" i="39"/>
  <c r="D11" i="39"/>
  <c r="T38" i="6"/>
  <c r="T34" i="6"/>
  <c r="AD44" i="6"/>
  <c r="AD19" i="7"/>
  <c r="N40" i="6"/>
  <c r="T24" i="6"/>
  <c r="N25" i="6"/>
  <c r="AD40" i="6"/>
  <c r="T19" i="7"/>
  <c r="AD17" i="6"/>
  <c r="T15" i="6"/>
  <c r="J16" i="7"/>
  <c r="AL16" i="7"/>
  <c r="AD16" i="7"/>
  <c r="V16" i="7"/>
  <c r="AJ16" i="7"/>
  <c r="N16" i="7"/>
  <c r="AD41" i="7"/>
  <c r="N45" i="7"/>
  <c r="T43" i="7"/>
  <c r="P16" i="7"/>
  <c r="Z16" i="7"/>
  <c r="L16" i="7"/>
  <c r="N43" i="7"/>
  <c r="T15" i="7"/>
  <c r="AF16" i="7"/>
  <c r="T42" i="7"/>
  <c r="AL29" i="6"/>
  <c r="AH29" i="6"/>
  <c r="L29" i="6"/>
  <c r="AF29" i="6"/>
  <c r="J29" i="6"/>
  <c r="V29" i="6"/>
  <c r="Z29" i="6"/>
  <c r="X29" i="6"/>
  <c r="AJ29" i="6"/>
  <c r="P29" i="6"/>
  <c r="X22" i="6"/>
  <c r="Z22" i="6"/>
  <c r="V22" i="6"/>
  <c r="AL22" i="6"/>
  <c r="AJ22" i="6"/>
  <c r="P22" i="6"/>
  <c r="AH22" i="6"/>
  <c r="L22" i="6"/>
  <c r="AF22" i="6"/>
  <c r="J22" i="6"/>
  <c r="T22" i="6"/>
  <c r="N21" i="7"/>
  <c r="V33" i="6"/>
  <c r="AL33" i="6"/>
  <c r="AJ33" i="6"/>
  <c r="P33" i="6"/>
  <c r="AH33" i="6"/>
  <c r="L33" i="6"/>
  <c r="AF33" i="6"/>
  <c r="J33" i="6"/>
  <c r="Z33" i="6"/>
  <c r="X33" i="6"/>
  <c r="P39" i="7"/>
  <c r="AL39" i="7"/>
  <c r="AJ39" i="7"/>
  <c r="L39" i="7"/>
  <c r="AH39" i="7"/>
  <c r="J39" i="7"/>
  <c r="AF39" i="7"/>
  <c r="V39" i="7"/>
  <c r="Z39" i="7"/>
  <c r="X39" i="7"/>
  <c r="N22" i="6"/>
  <c r="AH40" i="7"/>
  <c r="J40" i="7"/>
  <c r="AF40" i="7"/>
  <c r="Z40" i="7"/>
  <c r="AL40" i="7"/>
  <c r="X40" i="7"/>
  <c r="V40" i="7"/>
  <c r="AJ40" i="7"/>
  <c r="L40" i="7"/>
  <c r="P40" i="7"/>
  <c r="AF39" i="6"/>
  <c r="J39" i="6"/>
  <c r="Z39" i="6"/>
  <c r="AJ39" i="6"/>
  <c r="X39" i="6"/>
  <c r="P39" i="6"/>
  <c r="V39" i="6"/>
  <c r="AL39" i="6"/>
  <c r="G39" i="6"/>
  <c r="AH39" i="6"/>
  <c r="L39" i="6"/>
  <c r="AD39" i="6"/>
  <c r="AH41" i="6"/>
  <c r="L41" i="6"/>
  <c r="V41" i="6"/>
  <c r="AF41" i="6"/>
  <c r="J41" i="6"/>
  <c r="Z41" i="6"/>
  <c r="X41" i="6"/>
  <c r="AL41" i="6"/>
  <c r="AJ41" i="6"/>
  <c r="P41" i="6"/>
  <c r="N20" i="6"/>
  <c r="AJ18" i="6"/>
  <c r="P18" i="6"/>
  <c r="AH18" i="6"/>
  <c r="L18" i="6"/>
  <c r="AF18" i="6"/>
  <c r="J18" i="6"/>
  <c r="Z18" i="6"/>
  <c r="V18" i="6"/>
  <c r="X18" i="6"/>
  <c r="AL18" i="6"/>
  <c r="G18" i="6"/>
  <c r="AD29" i="6"/>
  <c r="N33" i="6"/>
  <c r="N39" i="7"/>
  <c r="X34" i="6"/>
  <c r="V34" i="6"/>
  <c r="AL34" i="6"/>
  <c r="AJ34" i="6"/>
  <c r="P34" i="6"/>
  <c r="Z34" i="6"/>
  <c r="AH34" i="6"/>
  <c r="L34" i="6"/>
  <c r="AF34" i="6"/>
  <c r="J34" i="6"/>
  <c r="N40" i="7"/>
  <c r="N39" i="6"/>
  <c r="N41" i="6"/>
  <c r="V32" i="6"/>
  <c r="AL32" i="6"/>
  <c r="AJ32" i="6"/>
  <c r="P32" i="6"/>
  <c r="AH32" i="6"/>
  <c r="L32" i="6"/>
  <c r="AF32" i="6"/>
  <c r="J32" i="6"/>
  <c r="G32" i="6"/>
  <c r="X32" i="6"/>
  <c r="Z32" i="6"/>
  <c r="AD32" i="6"/>
  <c r="Z38" i="7"/>
  <c r="X38" i="7"/>
  <c r="V38" i="7"/>
  <c r="AL38" i="7"/>
  <c r="P38" i="7"/>
  <c r="AJ38" i="7"/>
  <c r="AH38" i="7"/>
  <c r="L38" i="7"/>
  <c r="AF38" i="7"/>
  <c r="J38" i="7"/>
  <c r="AD23" i="7"/>
  <c r="AL45" i="6"/>
  <c r="V45" i="6"/>
  <c r="Z45" i="6"/>
  <c r="AJ45" i="6"/>
  <c r="P45" i="6"/>
  <c r="AH45" i="6"/>
  <c r="L45" i="6"/>
  <c r="AF45" i="6"/>
  <c r="J45" i="6"/>
  <c r="X45" i="6"/>
  <c r="N34" i="6"/>
  <c r="AL31" i="6"/>
  <c r="AJ31" i="6"/>
  <c r="P31" i="6"/>
  <c r="AH31" i="6"/>
  <c r="L31" i="6"/>
  <c r="AF31" i="6"/>
  <c r="J31" i="6"/>
  <c r="X31" i="6"/>
  <c r="Z31" i="6"/>
  <c r="V31" i="6"/>
  <c r="Z24" i="6"/>
  <c r="X24" i="6"/>
  <c r="J24" i="6"/>
  <c r="V24" i="6"/>
  <c r="AL24" i="6"/>
  <c r="AJ24" i="6"/>
  <c r="P24" i="6"/>
  <c r="AH24" i="6"/>
  <c r="L24" i="6"/>
  <c r="AF24" i="6"/>
  <c r="T29" i="6"/>
  <c r="T32" i="6"/>
  <c r="AD18" i="6"/>
  <c r="N32" i="6"/>
  <c r="N21" i="6"/>
  <c r="N27" i="6"/>
  <c r="AD20" i="6"/>
  <c r="AD21" i="6"/>
  <c r="AL19" i="6"/>
  <c r="AJ19" i="6"/>
  <c r="P19" i="6"/>
  <c r="AH19" i="6"/>
  <c r="L19" i="6"/>
  <c r="AF19" i="6"/>
  <c r="J19" i="6"/>
  <c r="Z19" i="6"/>
  <c r="X19" i="6"/>
  <c r="V19" i="6"/>
  <c r="AF26" i="6"/>
  <c r="J26" i="6"/>
  <c r="AH26" i="6"/>
  <c r="Z26" i="6"/>
  <c r="X26" i="6"/>
  <c r="V26" i="6"/>
  <c r="L26" i="6"/>
  <c r="AL26" i="6"/>
  <c r="AJ26" i="6"/>
  <c r="P26" i="6"/>
  <c r="AF44" i="7"/>
  <c r="J44" i="7"/>
  <c r="Z44" i="7"/>
  <c r="X44" i="7"/>
  <c r="AL44" i="7"/>
  <c r="AJ44" i="7"/>
  <c r="V44" i="7"/>
  <c r="AH44" i="7"/>
  <c r="L44" i="7"/>
  <c r="P44" i="7"/>
  <c r="AL44" i="6"/>
  <c r="V44" i="6"/>
  <c r="AJ44" i="6"/>
  <c r="P44" i="6"/>
  <c r="AH44" i="6"/>
  <c r="L44" i="6"/>
  <c r="AF44" i="6"/>
  <c r="J44" i="6"/>
  <c r="Z44" i="6"/>
  <c r="X44" i="6"/>
  <c r="AD27" i="6"/>
  <c r="AJ30" i="6"/>
  <c r="P30" i="6"/>
  <c r="AH30" i="6"/>
  <c r="L30" i="6"/>
  <c r="V30" i="6"/>
  <c r="AF30" i="6"/>
  <c r="J30" i="6"/>
  <c r="Z30" i="6"/>
  <c r="X30" i="6"/>
  <c r="AL30" i="6"/>
  <c r="AD33" i="6"/>
  <c r="G11" i="6"/>
  <c r="Z36" i="6"/>
  <c r="J36" i="6"/>
  <c r="X36" i="6"/>
  <c r="V36" i="6"/>
  <c r="AL36" i="6"/>
  <c r="AJ36" i="6"/>
  <c r="P36" i="6"/>
  <c r="AF36" i="6"/>
  <c r="AH36" i="6"/>
  <c r="L36" i="6"/>
  <c r="N19" i="6"/>
  <c r="N26" i="6"/>
  <c r="T45" i="6"/>
  <c r="N44" i="7"/>
  <c r="AD19" i="6"/>
  <c r="N44" i="6"/>
  <c r="N18" i="6"/>
  <c r="N30" i="6"/>
  <c r="AD45" i="6"/>
  <c r="AJ42" i="6"/>
  <c r="P42" i="6"/>
  <c r="V42" i="6"/>
  <c r="AH42" i="6"/>
  <c r="L42" i="6"/>
  <c r="AF42" i="6"/>
  <c r="J42" i="6"/>
  <c r="AL42" i="6"/>
  <c r="Z42" i="6"/>
  <c r="X42" i="6"/>
  <c r="T38" i="7"/>
  <c r="N36" i="6"/>
  <c r="AF38" i="6"/>
  <c r="J38" i="6"/>
  <c r="Z38" i="6"/>
  <c r="X38" i="6"/>
  <c r="V38" i="6"/>
  <c r="AL38" i="6"/>
  <c r="L38" i="6"/>
  <c r="AJ38" i="6"/>
  <c r="P38" i="6"/>
  <c r="AH38" i="6"/>
  <c r="T33" i="6"/>
  <c r="AD30" i="6"/>
  <c r="AH16" i="6"/>
  <c r="L16" i="6"/>
  <c r="AF16" i="6"/>
  <c r="J16" i="6"/>
  <c r="AJ16" i="6"/>
  <c r="Z16" i="6"/>
  <c r="P16" i="6"/>
  <c r="X16" i="6"/>
  <c r="AL16" i="6"/>
  <c r="V16" i="6"/>
  <c r="T43" i="6"/>
  <c r="AD31" i="6"/>
  <c r="T23" i="7"/>
  <c r="N42" i="6"/>
  <c r="X23" i="6"/>
  <c r="V23" i="6"/>
  <c r="J23" i="6"/>
  <c r="AL23" i="6"/>
  <c r="AJ23" i="6"/>
  <c r="P23" i="6"/>
  <c r="AF23" i="6"/>
  <c r="AH23" i="6"/>
  <c r="L23" i="6"/>
  <c r="Z23" i="6"/>
  <c r="Z25" i="6"/>
  <c r="AH25" i="6"/>
  <c r="X25" i="6"/>
  <c r="V25" i="6"/>
  <c r="G25" i="6"/>
  <c r="AL25" i="6"/>
  <c r="L25" i="6"/>
  <c r="AJ25" i="6"/>
  <c r="P25" i="6"/>
  <c r="AF25" i="6"/>
  <c r="J25" i="6"/>
  <c r="AD39" i="7"/>
  <c r="N38" i="6"/>
  <c r="T44" i="7"/>
  <c r="N16" i="6"/>
  <c r="T31" i="6"/>
  <c r="AD41" i="6"/>
  <c r="V21" i="6"/>
  <c r="AL21" i="6"/>
  <c r="AJ21" i="6"/>
  <c r="P21" i="6"/>
  <c r="AH21" i="6"/>
  <c r="L21" i="6"/>
  <c r="AF21" i="6"/>
  <c r="J21" i="6"/>
  <c r="X21" i="6"/>
  <c r="Z21" i="6"/>
  <c r="N29" i="6"/>
  <c r="T39" i="7"/>
  <c r="AJ43" i="6"/>
  <c r="P43" i="6"/>
  <c r="AH43" i="6"/>
  <c r="L43" i="6"/>
  <c r="AF43" i="6"/>
  <c r="J43" i="6"/>
  <c r="X43" i="6"/>
  <c r="Z43" i="6"/>
  <c r="AL43" i="6"/>
  <c r="V43" i="6"/>
  <c r="AD23" i="6"/>
  <c r="V42" i="7"/>
  <c r="P42" i="7"/>
  <c r="AL42" i="7"/>
  <c r="Z42" i="7"/>
  <c r="AJ42" i="7"/>
  <c r="L42" i="7"/>
  <c r="AH42" i="7"/>
  <c r="J42" i="7"/>
  <c r="AF42" i="7"/>
  <c r="X42" i="7"/>
  <c r="Z41" i="7"/>
  <c r="X41" i="7"/>
  <c r="AH41" i="7"/>
  <c r="J41" i="7"/>
  <c r="V41" i="7"/>
  <c r="AF41" i="7"/>
  <c r="P41" i="7"/>
  <c r="AL41" i="7"/>
  <c r="AJ41" i="7"/>
  <c r="L41" i="7"/>
  <c r="AH28" i="6"/>
  <c r="L28" i="6"/>
  <c r="AF28" i="6"/>
  <c r="J28" i="6"/>
  <c r="P28" i="6"/>
  <c r="Z28" i="6"/>
  <c r="X28" i="6"/>
  <c r="AJ28" i="6"/>
  <c r="V28" i="6"/>
  <c r="AL28" i="6"/>
  <c r="T19" i="6"/>
  <c r="AD38" i="7"/>
  <c r="AF27" i="6"/>
  <c r="J27" i="6"/>
  <c r="Z27" i="6"/>
  <c r="X27" i="6"/>
  <c r="AJ27" i="6"/>
  <c r="V27" i="6"/>
  <c r="P27" i="6"/>
  <c r="AL27" i="6"/>
  <c r="AH27" i="6"/>
  <c r="L27" i="6"/>
  <c r="AD22" i="6"/>
  <c r="T18" i="6"/>
  <c r="T16" i="7"/>
  <c r="AD42" i="6"/>
  <c r="N43" i="6"/>
  <c r="J35" i="6"/>
  <c r="X35" i="6"/>
  <c r="V35" i="6"/>
  <c r="AF35" i="6"/>
  <c r="AL35" i="6"/>
  <c r="AJ35" i="6"/>
  <c r="P35" i="6"/>
  <c r="AH35" i="6"/>
  <c r="L35" i="6"/>
  <c r="Z35" i="6"/>
  <c r="AD35" i="6"/>
  <c r="N42" i="7"/>
  <c r="Z37" i="6"/>
  <c r="X37" i="6"/>
  <c r="V37" i="6"/>
  <c r="AL37" i="6"/>
  <c r="AJ37" i="6"/>
  <c r="P37" i="6"/>
  <c r="AH37" i="6"/>
  <c r="AF37" i="6"/>
  <c r="J37" i="6"/>
  <c r="L37" i="6"/>
  <c r="AD25" i="6"/>
  <c r="AF15" i="6"/>
  <c r="J15" i="6"/>
  <c r="P15" i="6"/>
  <c r="Z15" i="6"/>
  <c r="X15" i="6"/>
  <c r="AJ15" i="6"/>
  <c r="V15" i="6"/>
  <c r="AL15" i="6"/>
  <c r="AH15" i="6"/>
  <c r="L15" i="6"/>
  <c r="N41" i="7"/>
  <c r="N28" i="6"/>
  <c r="AH17" i="6"/>
  <c r="L17" i="6"/>
  <c r="AF17" i="6"/>
  <c r="J17" i="6"/>
  <c r="Z17" i="6"/>
  <c r="AL17" i="6"/>
  <c r="X17" i="6"/>
  <c r="AJ17" i="6"/>
  <c r="P17" i="6"/>
  <c r="V17" i="6"/>
  <c r="T16" i="6"/>
  <c r="T28" i="6"/>
  <c r="V20" i="6"/>
  <c r="AL20" i="6"/>
  <c r="X20" i="6"/>
  <c r="AJ20" i="6"/>
  <c r="P20" i="6"/>
  <c r="AH20" i="6"/>
  <c r="L20" i="6"/>
  <c r="AF20" i="6"/>
  <c r="J20" i="6"/>
  <c r="Z20" i="6"/>
  <c r="P43" i="7"/>
  <c r="AL43" i="7"/>
  <c r="AJ43" i="7"/>
  <c r="L43" i="7"/>
  <c r="AH43" i="7"/>
  <c r="J43" i="7"/>
  <c r="AF43" i="7"/>
  <c r="V43" i="7"/>
  <c r="Z43" i="7"/>
  <c r="X43" i="7"/>
  <c r="AD40" i="7"/>
  <c r="N35" i="6"/>
  <c r="T36" i="6"/>
  <c r="N37" i="6"/>
  <c r="AD37" i="6"/>
  <c r="Z45" i="7"/>
  <c r="X45" i="7"/>
  <c r="AF45" i="7"/>
  <c r="V45" i="7"/>
  <c r="P45" i="7"/>
  <c r="AL45" i="7"/>
  <c r="AJ45" i="7"/>
  <c r="L45" i="7"/>
  <c r="AH45" i="7"/>
  <c r="J45" i="7"/>
  <c r="N15" i="6"/>
  <c r="T40" i="7"/>
  <c r="AH40" i="6"/>
  <c r="L40" i="6"/>
  <c r="AF40" i="6"/>
  <c r="J40" i="6"/>
  <c r="Z40" i="6"/>
  <c r="AJ40" i="6"/>
  <c r="P40" i="6"/>
  <c r="X40" i="6"/>
  <c r="V40" i="6"/>
  <c r="AL40" i="6"/>
  <c r="N17" i="6"/>
  <c r="AD44" i="7"/>
  <c r="AD35" i="7"/>
  <c r="AD28" i="7"/>
  <c r="T35" i="7"/>
  <c r="T28" i="7"/>
  <c r="N17" i="7"/>
  <c r="N15" i="7"/>
  <c r="AD34" i="7"/>
  <c r="AL20" i="7"/>
  <c r="V20" i="7"/>
  <c r="AJ20" i="7"/>
  <c r="L20" i="7"/>
  <c r="AH20" i="7"/>
  <c r="Z20" i="7"/>
  <c r="J20" i="7"/>
  <c r="AF20" i="7"/>
  <c r="X20" i="7"/>
  <c r="P20" i="7"/>
  <c r="AF32" i="7"/>
  <c r="X32" i="7"/>
  <c r="P32" i="7"/>
  <c r="AL32" i="7"/>
  <c r="V32" i="7"/>
  <c r="AJ32" i="7"/>
  <c r="L32" i="7"/>
  <c r="AH32" i="7"/>
  <c r="Z32" i="7"/>
  <c r="J32" i="7"/>
  <c r="AF37" i="7"/>
  <c r="X37" i="7"/>
  <c r="J37" i="7"/>
  <c r="AL37" i="7"/>
  <c r="V37" i="7"/>
  <c r="P37" i="7"/>
  <c r="AJ37" i="7"/>
  <c r="AH37" i="7"/>
  <c r="Z37" i="7"/>
  <c r="L37" i="7"/>
  <c r="AD37" i="7"/>
  <c r="T36" i="7"/>
  <c r="T32" i="7"/>
  <c r="AF30" i="7"/>
  <c r="X30" i="7"/>
  <c r="J30" i="7"/>
  <c r="AL30" i="7"/>
  <c r="V30" i="7"/>
  <c r="P30" i="7"/>
  <c r="AJ30" i="7"/>
  <c r="T30" i="7"/>
  <c r="AH30" i="7"/>
  <c r="Z30" i="7"/>
  <c r="L30" i="7"/>
  <c r="AH22" i="7"/>
  <c r="Z22" i="7"/>
  <c r="J22" i="7"/>
  <c r="AF22" i="7"/>
  <c r="X22" i="7"/>
  <c r="P22" i="7"/>
  <c r="AL22" i="7"/>
  <c r="V22" i="7"/>
  <c r="AJ22" i="7"/>
  <c r="L22" i="7"/>
  <c r="AH18" i="7"/>
  <c r="Z18" i="7"/>
  <c r="J18" i="7"/>
  <c r="AF18" i="7"/>
  <c r="X18" i="7"/>
  <c r="P18" i="7"/>
  <c r="AL18" i="7"/>
  <c r="V18" i="7"/>
  <c r="AJ18" i="7"/>
  <c r="L18" i="7"/>
  <c r="AJ27" i="7"/>
  <c r="L27" i="7"/>
  <c r="AH27" i="7"/>
  <c r="Z27" i="7"/>
  <c r="J27" i="7"/>
  <c r="AF27" i="7"/>
  <c r="X27" i="7"/>
  <c r="P27" i="7"/>
  <c r="AL27" i="7"/>
  <c r="V27" i="7"/>
  <c r="AH25" i="7"/>
  <c r="L25" i="7"/>
  <c r="AF25" i="7"/>
  <c r="Z25" i="7"/>
  <c r="J25" i="7"/>
  <c r="AL25" i="7"/>
  <c r="X25" i="7"/>
  <c r="P25" i="7"/>
  <c r="AJ25" i="7"/>
  <c r="V25" i="7"/>
  <c r="T37" i="7"/>
  <c r="T27" i="7"/>
  <c r="AD24" i="7"/>
  <c r="AD20" i="7"/>
  <c r="AD32" i="7"/>
  <c r="T20" i="7"/>
  <c r="AD33" i="7"/>
  <c r="N30" i="7"/>
  <c r="N22" i="7"/>
  <c r="N18" i="7"/>
  <c r="N27" i="7"/>
  <c r="N25" i="7"/>
  <c r="T22" i="7"/>
  <c r="T18" i="7"/>
  <c r="AL24" i="7"/>
  <c r="V24" i="7"/>
  <c r="AJ24" i="7"/>
  <c r="L24" i="7"/>
  <c r="AH24" i="7"/>
  <c r="Z24" i="7"/>
  <c r="J24" i="7"/>
  <c r="AF24" i="7"/>
  <c r="X24" i="7"/>
  <c r="P24" i="7"/>
  <c r="AF36" i="7"/>
  <c r="X36" i="7"/>
  <c r="P36" i="7"/>
  <c r="AL36" i="7"/>
  <c r="V36" i="7"/>
  <c r="AJ36" i="7"/>
  <c r="L36" i="7"/>
  <c r="AH36" i="7"/>
  <c r="Z36" i="7"/>
  <c r="J36" i="7"/>
  <c r="AF29" i="7"/>
  <c r="X29" i="7"/>
  <c r="P29" i="7"/>
  <c r="AL29" i="7"/>
  <c r="V29" i="7"/>
  <c r="AJ29" i="7"/>
  <c r="L29" i="7"/>
  <c r="AH29" i="7"/>
  <c r="Z29" i="7"/>
  <c r="J29" i="7"/>
  <c r="AH33" i="7"/>
  <c r="Z33" i="7"/>
  <c r="J33" i="7"/>
  <c r="AF33" i="7"/>
  <c r="X33" i="7"/>
  <c r="P33" i="7"/>
  <c r="AL33" i="7"/>
  <c r="V33" i="7"/>
  <c r="AJ33" i="7"/>
  <c r="L33" i="7"/>
  <c r="AH31" i="7"/>
  <c r="Z31" i="7"/>
  <c r="J31" i="7"/>
  <c r="AF31" i="7"/>
  <c r="X31" i="7"/>
  <c r="P31" i="7"/>
  <c r="AL31" i="7"/>
  <c r="V31" i="7"/>
  <c r="AJ31" i="7"/>
  <c r="L31" i="7"/>
  <c r="T29" i="7"/>
  <c r="T31" i="7"/>
  <c r="AL35" i="7"/>
  <c r="V35" i="7"/>
  <c r="AJ35" i="7"/>
  <c r="L35" i="7"/>
  <c r="AH35" i="7"/>
  <c r="Z35" i="7"/>
  <c r="J35" i="7"/>
  <c r="AF35" i="7"/>
  <c r="X35" i="7"/>
  <c r="P35" i="7"/>
  <c r="AL28" i="7"/>
  <c r="V28" i="7"/>
  <c r="AJ28" i="7"/>
  <c r="L28" i="7"/>
  <c r="AH28" i="7"/>
  <c r="Z28" i="7"/>
  <c r="J28" i="7"/>
  <c r="AF28" i="7"/>
  <c r="X28" i="7"/>
  <c r="P28" i="7"/>
  <c r="N24" i="7"/>
  <c r="N20" i="7"/>
  <c r="N36" i="7"/>
  <c r="N32" i="7"/>
  <c r="N29" i="7"/>
  <c r="AF21" i="7"/>
  <c r="X21" i="7"/>
  <c r="P21" i="7"/>
  <c r="AL21" i="7"/>
  <c r="V21" i="7"/>
  <c r="AJ21" i="7"/>
  <c r="L21" i="7"/>
  <c r="AH21" i="7"/>
  <c r="Z21" i="7"/>
  <c r="J21" i="7"/>
  <c r="N37" i="7"/>
  <c r="N33" i="7"/>
  <c r="N31" i="7"/>
  <c r="AD22" i="7"/>
  <c r="AD18" i="7"/>
  <c r="AJ34" i="7"/>
  <c r="L34" i="7"/>
  <c r="AH34" i="7"/>
  <c r="Z34" i="7"/>
  <c r="J34" i="7"/>
  <c r="AF34" i="7"/>
  <c r="X34" i="7"/>
  <c r="P34" i="7"/>
  <c r="AL34" i="7"/>
  <c r="V34" i="7"/>
  <c r="AD27" i="7"/>
  <c r="AJ23" i="7"/>
  <c r="L23" i="7"/>
  <c r="AH23" i="7"/>
  <c r="Z23" i="7"/>
  <c r="J23" i="7"/>
  <c r="AF23" i="7"/>
  <c r="X23" i="7"/>
  <c r="P23" i="7"/>
  <c r="AL23" i="7"/>
  <c r="V23" i="7"/>
  <c r="AJ19" i="7"/>
  <c r="L19" i="7"/>
  <c r="AH19" i="7"/>
  <c r="Z19" i="7"/>
  <c r="J19" i="7"/>
  <c r="AF19" i="7"/>
  <c r="X19" i="7"/>
  <c r="P19" i="7"/>
  <c r="AL19" i="7"/>
  <c r="V19" i="7"/>
  <c r="AJ17" i="7"/>
  <c r="L17" i="7"/>
  <c r="AH17" i="7"/>
  <c r="Z17" i="7"/>
  <c r="J17" i="7"/>
  <c r="AF17" i="7"/>
  <c r="X17" i="7"/>
  <c r="P17" i="7"/>
  <c r="AL17" i="7"/>
  <c r="V17" i="7"/>
  <c r="AH15" i="7"/>
  <c r="L15" i="7"/>
  <c r="AF15" i="7"/>
  <c r="Z15" i="7"/>
  <c r="J15" i="7"/>
  <c r="AL15" i="7"/>
  <c r="X15" i="7"/>
  <c r="P15" i="7"/>
  <c r="AJ15" i="7"/>
  <c r="V15" i="7"/>
  <c r="AD25" i="7"/>
  <c r="H7" i="7"/>
  <c r="G7" i="6"/>
  <c r="H7" i="6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D9" i="13" l="1"/>
  <c r="E9" i="13"/>
  <c r="D11" i="13"/>
  <c r="E11" i="13"/>
  <c r="C24" i="39"/>
  <c r="P46" i="7"/>
  <c r="L46" i="7"/>
  <c r="R46" i="7"/>
  <c r="X46" i="7"/>
  <c r="T46" i="7"/>
  <c r="AB46" i="7"/>
  <c r="Z46" i="7"/>
  <c r="AF46" i="7"/>
  <c r="AL46" i="7"/>
  <c r="V46" i="7"/>
  <c r="AH46" i="7"/>
  <c r="AJ46" i="7"/>
  <c r="AD46" i="7"/>
  <c r="J46" i="7"/>
  <c r="N46" i="7"/>
  <c r="E15" i="13"/>
  <c r="C24" i="13"/>
  <c r="R46" i="6"/>
  <c r="AJ46" i="6"/>
  <c r="X46" i="6"/>
  <c r="P46" i="6"/>
  <c r="L46" i="6"/>
  <c r="AF46" i="6"/>
  <c r="AB46" i="6"/>
  <c r="T46" i="6"/>
  <c r="N46" i="6"/>
  <c r="B7" i="13"/>
  <c r="E7" i="13" s="1"/>
  <c r="AL46" i="6"/>
  <c r="AH46" i="6"/>
  <c r="AD46" i="6"/>
  <c r="Z46" i="6"/>
  <c r="V46" i="6"/>
  <c r="J46" i="6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E9" i="1" l="1"/>
  <c r="X34" i="1"/>
  <c r="V34" i="1" s="1"/>
  <c r="I21" i="13"/>
  <c r="K21" i="13" s="1"/>
  <c r="I18" i="13"/>
  <c r="K18" i="13" s="1"/>
  <c r="I15" i="13"/>
  <c r="I17" i="13"/>
  <c r="K17" i="13" s="1"/>
  <c r="I19" i="13"/>
  <c r="K19" i="13" s="1"/>
  <c r="I22" i="13"/>
  <c r="K22" i="13" s="1"/>
  <c r="I16" i="13"/>
  <c r="K16" i="13" s="1"/>
  <c r="D7" i="13"/>
  <c r="I20" i="13"/>
  <c r="K20" i="13" s="1"/>
  <c r="I23" i="13"/>
  <c r="K23" i="13" s="1"/>
  <c r="X28" i="1"/>
  <c r="V28" i="1" s="1"/>
  <c r="D9" i="1"/>
  <c r="D11" i="1"/>
  <c r="O14" i="1"/>
  <c r="X42" i="1"/>
  <c r="V42" i="1" s="1"/>
  <c r="U14" i="1"/>
  <c r="K15" i="13" l="1"/>
  <c r="I24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<sst xmlns="http://schemas.openxmlformats.org/spreadsheetml/2006/main" count="6667" uniqueCount="632">
  <si>
    <t>月別</t>
    <phoneticPr fontId="6"/>
  </si>
  <si>
    <t>工廠名</t>
    <phoneticPr fontId="6"/>
  </si>
  <si>
    <t>・・・・・・・・</t>
  </si>
  <si>
    <t>（１）收支狀況</t>
    <phoneticPr fontId="6"/>
  </si>
  <si>
    <t>※單位：千元</t>
    <phoneticPr fontId="6"/>
  </si>
  <si>
    <t>（２）ＫＰＩ達成進度</t>
    <phoneticPr fontId="6"/>
  </si>
  <si>
    <t>（３）業績構成比</t>
    <phoneticPr fontId="6"/>
  </si>
  <si>
    <t>（４）訂單數量構成比</t>
    <phoneticPr fontId="6"/>
  </si>
  <si>
    <t>當月</t>
    <phoneticPr fontId="6"/>
  </si>
  <si>
    <t>前月</t>
  </si>
  <si>
    <t>差異</t>
  </si>
  <si>
    <t>累計</t>
  </si>
  <si>
    <t>KPI</t>
    <phoneticPr fontId="6"/>
  </si>
  <si>
    <t>前月</t>
    <phoneticPr fontId="6"/>
  </si>
  <si>
    <t>※補充</t>
    <phoneticPr fontId="6"/>
  </si>
  <si>
    <t>比例</t>
    <phoneticPr fontId="6"/>
  </si>
  <si>
    <t>差異</t>
    <phoneticPr fontId="6"/>
  </si>
  <si>
    <t>業績金額</t>
    <phoneticPr fontId="6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</si>
  <si>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6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</si>
  <si>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6"/>
  </si>
  <si>
    <t>飯糰</t>
    <phoneticPr fontId="6"/>
  </si>
  <si>
    <t>訂單數量</t>
    <phoneticPr fontId="6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</si>
  <si>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6"/>
  </si>
  <si>
    <t>達成率</t>
  </si>
  <si>
    <t>大口飯糰</t>
    <phoneticPr fontId="6"/>
  </si>
  <si>
    <t>材料費</t>
  </si>
  <si>
    <t>半成品報廢</t>
    <phoneticPr fontId="6"/>
  </si>
  <si>
    <t>報廢率</t>
    <phoneticPr fontId="6"/>
  </si>
  <si>
    <t>便當</t>
    <phoneticPr fontId="6"/>
  </si>
  <si>
    <t>材料費率</t>
  </si>
  <si>
    <t>半成品超用</t>
    <phoneticPr fontId="6"/>
  </si>
  <si>
    <t>超用率</t>
    <phoneticPr fontId="6"/>
  </si>
  <si>
    <t>調理麵</t>
    <phoneticPr fontId="6"/>
  </si>
  <si>
    <t>勞務成本</t>
    <phoneticPr fontId="6"/>
  </si>
  <si>
    <t>固定產線</t>
    <phoneticPr fontId="6"/>
  </si>
  <si>
    <t>導入率</t>
  </si>
  <si>
    <t>調理麵包</t>
    <phoneticPr fontId="6"/>
  </si>
  <si>
    <t>-</t>
  </si>
  <si>
    <t>-%</t>
  </si>
  <si>
    <t>勞務費率</t>
    <phoneticPr fontId="6"/>
  </si>
  <si>
    <t>教育訓練</t>
    <phoneticPr fontId="6"/>
  </si>
  <si>
    <t>實施率</t>
    <phoneticPr fontId="6"/>
  </si>
  <si>
    <t>袋裝調理麵包</t>
    <phoneticPr fontId="6"/>
  </si>
  <si>
    <t>義大利麵</t>
    <phoneticPr fontId="6"/>
  </si>
  <si>
    <t>（５）品群別人時生產性</t>
    <phoneticPr fontId="6"/>
  </si>
  <si>
    <t>調理包</t>
    <phoneticPr fontId="6"/>
  </si>
  <si>
    <t>（７）原因別分析</t>
    <phoneticPr fontId="6"/>
  </si>
  <si>
    <t>合計</t>
  </si>
  <si>
    <t>作業原因</t>
    <phoneticPr fontId="6"/>
  </si>
  <si>
    <t>規格原因</t>
    <phoneticPr fontId="6"/>
  </si>
  <si>
    <t>金額</t>
  </si>
  <si>
    <t>（６）人時生產性前幾名品項</t>
    <phoneticPr fontId="6"/>
  </si>
  <si>
    <t>排名</t>
    <phoneticPr fontId="6"/>
  </si>
  <si>
    <t>商品名</t>
  </si>
  <si>
    <t>人數</t>
    <phoneticPr fontId="6"/>
  </si>
  <si>
    <t>產能</t>
    <phoneticPr fontId="6"/>
  </si>
  <si>
    <t>人時生產性</t>
    <phoneticPr fontId="6"/>
  </si>
  <si>
    <t>前月比</t>
  </si>
  <si>
    <t>主要原因&amp;對策</t>
    <phoneticPr fontId="6"/>
  </si>
  <si>
    <t>（８）報廢原因別前幾名品項</t>
    <phoneticPr fontId="6"/>
  </si>
  <si>
    <t>手巻明太子</t>
  </si>
  <si>
    <t>減少暫時停止生產,人時UP</t>
    <phoneticPr fontId="6"/>
  </si>
  <si>
    <t>半成品名</t>
    <phoneticPr fontId="6"/>
  </si>
  <si>
    <t>單價</t>
    <phoneticPr fontId="6"/>
  </si>
  <si>
    <t>數量</t>
    <phoneticPr fontId="6"/>
  </si>
  <si>
    <t>明太子海苔便當</t>
    <phoneticPr fontId="6"/>
  </si>
  <si>
    <t>油炸白身魚</t>
    <phoneticPr fontId="6"/>
  </si>
  <si>
    <t>油調過多報廢。變更條件。</t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</si>
  <si>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6"/>
  </si>
  <si>
    <t>手巻卵黄雞絞肉</t>
    <phoneticPr fontId="6"/>
  </si>
  <si>
    <t>6/30新商品</t>
  </si>
  <si>
    <t>因組裝2食材,人員增加,產速減少</t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</si>
  <si>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6"/>
  </si>
  <si>
    <t>前幾名合計比例</t>
    <phoneticPr fontId="6"/>
  </si>
  <si>
    <t>前幾名合計金額</t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</si>
  <si>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6"/>
  </si>
  <si>
    <t>海老炒飯</t>
  </si>
  <si>
    <t>川燙蝦子拌醬</t>
    <phoneticPr fontId="6"/>
  </si>
  <si>
    <t>蝦子入數不足</t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</si>
  <si>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</si>
  <si>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6"/>
  </si>
  <si>
    <t>直巻明太子美奶茲</t>
    <phoneticPr fontId="6"/>
  </si>
  <si>
    <t>透由調整速度提升。</t>
    <phoneticPr fontId="6"/>
  </si>
  <si>
    <t>特製醬汁炙燒牛五花便當</t>
    <phoneticPr fontId="6"/>
  </si>
  <si>
    <t>牛五花醬汁</t>
    <phoneticPr fontId="6"/>
  </si>
  <si>
    <t>難度有差異。調理指導。</t>
    <phoneticPr fontId="6"/>
  </si>
  <si>
    <t>大口飯糰燒肉美奶滋</t>
    <phoneticPr fontId="6"/>
  </si>
  <si>
    <t>因摺疊增員。實施教育訓練。</t>
    <phoneticPr fontId="6"/>
  </si>
  <si>
    <t>牛五花燒成</t>
    <phoneticPr fontId="6"/>
  </si>
  <si>
    <t>因原料變更。</t>
    <phoneticPr fontId="6"/>
  </si>
  <si>
    <t>指導鋪開炒柴魚片</t>
    <phoneticPr fontId="6"/>
  </si>
  <si>
    <t>（９）歩留</t>
  </si>
  <si>
    <t>肉狀態不良，已連動開發</t>
    <phoneticPr fontId="6"/>
  </si>
  <si>
    <t>No.</t>
  </si>
  <si>
    <t>規格</t>
  </si>
  <si>
    <t>實績</t>
    <phoneticPr fontId="6"/>
  </si>
  <si>
    <t>主要原因&amp;對策</t>
  </si>
  <si>
    <t>燒成過多，調整調理條件。</t>
    <phoneticPr fontId="6"/>
  </si>
  <si>
    <t>大口飯糰三種起司午餐肉</t>
    <phoneticPr fontId="6"/>
  </si>
  <si>
    <t>３種起司燒成</t>
    <phoneticPr fontId="6"/>
  </si>
  <si>
    <t>與燒成範本不同。</t>
    <phoneticPr fontId="6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</si>
  <si>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9" type="noConversion"/>
  </si>
  <si>
    <t>工廠</t>
    <phoneticPr fontId="6"/>
  </si>
  <si>
    <t>晉欣廠</t>
    <phoneticPr fontId="9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</si>
  <si>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6"/>
  </si>
  <si>
    <t>項目</t>
    <phoneticPr fontId="9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</si>
  <si>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6"/>
  </si>
  <si>
    <t>個／MH</t>
    <phoneticPr fontId="6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</si>
  <si>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6"/>
  </si>
  <si>
    <t>半成品-報廢(%)</t>
    <phoneticPr fontId="6"/>
  </si>
  <si>
    <t>半成品-超用(%)</t>
    <phoneticPr fontId="6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</si>
  <si>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6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</si>
  <si>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6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</si>
  <si>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9" type="noConversion"/>
  </si>
  <si>
    <t>18℃-飯A15:A23糰(061,063)</t>
  </si>
  <si>
    <t>18℃-壽司手卷(071,072,075,076)</t>
    <phoneticPr fontId="9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</si>
  <si>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9" type="noConversion"/>
  </si>
  <si>
    <t>4℃-飯糰(065)</t>
  </si>
  <si>
    <t>4℃-壽司手卷(077)</t>
    <phoneticPr fontId="9" type="noConversion"/>
  </si>
  <si>
    <t>4℃-壽司手卷(077)</t>
  </si>
  <si>
    <t>主食(091,092,093,094,095)</t>
    <phoneticPr fontId="9" type="noConversion"/>
  </si>
  <si>
    <t>主食(091,092,093,094,095)</t>
  </si>
  <si>
    <t>便當(083)</t>
    <phoneticPr fontId="9" type="noConversion"/>
  </si>
  <si>
    <t>便當(083)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</si>
  <si>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9" type="noConversion"/>
  </si>
  <si>
    <t>熱食義麵(122,123,124,126)</t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</si>
  <si>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9" type="noConversion"/>
  </si>
  <si>
    <t>季節調理麵(111,112)</t>
  </si>
  <si>
    <t>微波小吃(153,154,155)</t>
    <phoneticPr fontId="9" type="noConversion"/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</si>
  <si>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</si>
  <si>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6"/>
  </si>
  <si>
    <t>品群</t>
    <phoneticPr fontId="6"/>
  </si>
  <si>
    <r>
      <t>8</t>
    </r>
    <r>
      <rPr>
        <sz val="10"/>
        <color rgb="FF000000"/>
        <rFont val="細明體"/>
        <family val="3"/>
        <charset val="136"/>
      </rPr>
      <t>月</t>
    </r>
    <phoneticPr fontId="9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</si>
  <si>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9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</si>
  <si>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</si>
  <si>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</si>
  <si>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</si>
  <si>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18℃-壽司手卷(071,072,075,076)</t>
  </si>
  <si>
    <t>週別</t>
    <phoneticPr fontId="9" type="noConversion"/>
  </si>
  <si>
    <t>W2</t>
    <phoneticPr fontId="9" type="noConversion"/>
  </si>
  <si>
    <t>當週</t>
    <phoneticPr fontId="6"/>
  </si>
  <si>
    <t>前週</t>
    <phoneticPr fontId="9" type="noConversion"/>
  </si>
  <si>
    <t>當週</t>
  </si>
  <si>
    <t>前週</t>
  </si>
  <si>
    <t>前週</t>
    <phoneticPr fontId="6"/>
  </si>
  <si>
    <t>18℃-飯糰(061,063)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</si>
  <si>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6"/>
  </si>
  <si>
    <t>累計</t>
    <phoneticPr fontId="9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</si>
  <si>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9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</si>
  <si>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9" type="noConversion"/>
  </si>
  <si>
    <t>日期</t>
    <phoneticPr fontId="9" type="noConversion"/>
  </si>
  <si>
    <t>營業額(元)</t>
    <phoneticPr fontId="9" type="noConversion"/>
  </si>
  <si>
    <t>訂單數量(個)</t>
    <phoneticPr fontId="9" type="noConversion"/>
  </si>
  <si>
    <t>材料費(元)</t>
    <phoneticPr fontId="9" type="noConversion"/>
  </si>
  <si>
    <t>材料費率（材料費／營業額）</t>
    <phoneticPr fontId="9" type="noConversion"/>
  </si>
  <si>
    <t>勞務成本（全廠人事成本）</t>
    <phoneticPr fontId="9" type="noConversion"/>
  </si>
  <si>
    <t>勞務費率（勞務成本／營業額）</t>
    <phoneticPr fontId="9" type="noConversion"/>
  </si>
  <si>
    <t>日</t>
    <phoneticPr fontId="9" type="noConversion"/>
  </si>
  <si>
    <t>週累積</t>
    <phoneticPr fontId="9" type="noConversion"/>
  </si>
  <si>
    <t>月累積</t>
    <phoneticPr fontId="9" type="noConversion"/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</si>
  <si>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9" type="noConversion"/>
  </si>
  <si>
    <t>八</t>
    <phoneticPr fontId="9" type="noConversion"/>
  </si>
  <si>
    <t>一</t>
  </si>
  <si>
    <t>二</t>
  </si>
  <si>
    <t>三</t>
  </si>
  <si>
    <t>四</t>
  </si>
  <si>
    <t>五</t>
  </si>
  <si>
    <t>六</t>
  </si>
  <si>
    <t>日</t>
  </si>
  <si>
    <t>KPI</t>
    <phoneticPr fontId="9" type="noConversion"/>
  </si>
  <si>
    <t>（２）ＫＰＩ達成進度</t>
    <phoneticPr fontId="9" type="noConversion"/>
  </si>
  <si>
    <t xml:space="preserve">人時生產性(個/人) </t>
  </si>
  <si>
    <t xml:space="preserve">人時生產性達成率(%) </t>
  </si>
  <si>
    <t xml:space="preserve">半成品報廢(%) </t>
    <phoneticPr fontId="9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</si>
  <si>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</si>
  <si>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</si>
  <si>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</si>
  <si>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9" type="noConversion"/>
  </si>
  <si>
    <t>月平均</t>
    <phoneticPr fontId="9" type="noConversion"/>
  </si>
  <si>
    <t>（3）業績構成比</t>
    <phoneticPr fontId="9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</si>
  <si>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9" type="noConversion"/>
  </si>
  <si>
    <t>營業額</t>
    <phoneticPr fontId="9" type="noConversion"/>
  </si>
  <si>
    <t>品類業績</t>
    <phoneticPr fontId="9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</si>
  <si>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9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</si>
  <si>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9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</si>
  <si>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9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</si>
  <si>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9" type="noConversion"/>
  </si>
  <si>
    <t>主食</t>
    <phoneticPr fontId="9" type="noConversion"/>
  </si>
  <si>
    <t>便當</t>
    <phoneticPr fontId="9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</si>
  <si>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9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</si>
  <si>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9" type="noConversion"/>
  </si>
  <si>
    <t>微波小吃</t>
    <phoneticPr fontId="9" type="noConversion"/>
  </si>
  <si>
    <t>一配</t>
    <phoneticPr fontId="9" type="noConversion"/>
  </si>
  <si>
    <t>二配</t>
    <phoneticPr fontId="9" type="noConversion"/>
  </si>
  <si>
    <t>合計</t>
    <phoneticPr fontId="9" type="noConversion"/>
  </si>
  <si>
    <t>業績(元)</t>
    <phoneticPr fontId="9" type="noConversion"/>
  </si>
  <si>
    <t>比例(%)</t>
    <phoneticPr fontId="9" type="noConversion"/>
  </si>
  <si>
    <t>（4）訂單數量構成比</t>
    <phoneticPr fontId="9" type="noConversion"/>
  </si>
  <si>
    <t>訂單量</t>
    <phoneticPr fontId="9" type="noConversion"/>
  </si>
  <si>
    <t>品類訂單量</t>
    <phoneticPr fontId="9" type="noConversion"/>
  </si>
  <si>
    <t>訂單數</t>
    <phoneticPr fontId="9" type="noConversion"/>
  </si>
  <si>
    <t>月平均人時性</t>
    <phoneticPr fontId="9" type="noConversion"/>
  </si>
  <si>
    <t>產線配置圖－每週更新</t>
    <phoneticPr fontId="9" type="noConversion"/>
  </si>
  <si>
    <t>資料繳交</t>
    <phoneticPr fontId="9" type="noConversion"/>
  </si>
  <si>
    <t>二</t>
    <phoneticPr fontId="9" type="noConversion"/>
  </si>
  <si>
    <t>三</t>
    <phoneticPr fontId="9" type="noConversion"/>
  </si>
  <si>
    <t>四</t>
    <phoneticPr fontId="9" type="noConversion"/>
  </si>
  <si>
    <t>五</t>
    <phoneticPr fontId="9" type="noConversion"/>
  </si>
  <si>
    <t>六</t>
    <phoneticPr fontId="9" type="noConversion"/>
  </si>
  <si>
    <t>一</t>
    <phoneticPr fontId="9" type="noConversion"/>
  </si>
  <si>
    <t>品群</t>
    <phoneticPr fontId="9" type="noConversion"/>
  </si>
  <si>
    <t>商品名稱</t>
    <phoneticPr fontId="9" type="noConversion"/>
  </si>
  <si>
    <t>計畫</t>
    <phoneticPr fontId="9" type="noConversion"/>
  </si>
  <si>
    <t>平均人時性</t>
    <phoneticPr fontId="9" type="noConversion"/>
  </si>
  <si>
    <t>實績</t>
    <phoneticPr fontId="9" type="noConversion"/>
  </si>
  <si>
    <t>排名</t>
    <phoneticPr fontId="9" type="noConversion"/>
  </si>
  <si>
    <t>日報</t>
    <phoneticPr fontId="9" type="noConversion"/>
  </si>
  <si>
    <t>實際</t>
    <phoneticPr fontId="9" type="noConversion"/>
  </si>
  <si>
    <t>產線配置圖</t>
    <phoneticPr fontId="9" type="noConversion"/>
  </si>
  <si>
    <t>生產實績</t>
    <phoneticPr fontId="9" type="noConversion"/>
  </si>
  <si>
    <t>人數</t>
    <phoneticPr fontId="9" type="noConversion"/>
  </si>
  <si>
    <t>產能／時</t>
    <phoneticPr fontId="9" type="noConversion"/>
  </si>
  <si>
    <t>人時性</t>
    <phoneticPr fontId="9" type="noConversion"/>
  </si>
  <si>
    <t>18℃-飯糰</t>
  </si>
  <si>
    <t>經典肉鬆飯糰</t>
  </si>
  <si>
    <t>蔬食鮪魚飯糰</t>
  </si>
  <si>
    <t>北海道秋鮭親子飯糰</t>
  </si>
  <si>
    <t>熟成紅鮭飯糰</t>
  </si>
  <si>
    <t>贅沢鮭魚肚飯糰</t>
  </si>
  <si>
    <t>鮪魚飯糰</t>
  </si>
  <si>
    <t>壹號醬炙烤牛飯糰</t>
  </si>
  <si>
    <t>明太子龍蝦風味沙拉飯糰</t>
  </si>
  <si>
    <t>鹽蔥燒肉飯糰</t>
  </si>
  <si>
    <t>香辣鹹水雞飯糰(區)</t>
  </si>
  <si>
    <t>胡麻鮮蔬雞絲飯糰(區)</t>
  </si>
  <si>
    <t>三杯辣海瓜子飯糰</t>
  </si>
  <si>
    <t>雞肉飯飯糰</t>
  </si>
  <si>
    <t>碳烤燒肉飯飯糰(區)</t>
  </si>
  <si>
    <t>二配芝麻香鬆飯糰</t>
  </si>
  <si>
    <t>二配大飯糰韓式炸雞</t>
  </si>
  <si>
    <t>二配大飯糰春川風味辣炒雞</t>
  </si>
  <si>
    <t>二配油蔥G絲飯糰</t>
  </si>
  <si>
    <t>哇沙米魚卵沙拉飯糰</t>
  </si>
  <si>
    <t>筋子銀鮭飯糰</t>
  </si>
  <si>
    <t>博多明太子奶油飯糰</t>
  </si>
  <si>
    <t>照燒鰤魚大根飯糰</t>
  </si>
  <si>
    <t>月平均人時性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</si>
  <si>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9" type="noConversion"/>
  </si>
  <si>
    <t>日式厚蛋脆卷</t>
  </si>
  <si>
    <t>長野稻荷壽司</t>
  </si>
  <si>
    <t>雙饗雙手卷</t>
  </si>
  <si>
    <t>海饌雙手卷</t>
  </si>
  <si>
    <t>芝麻海苔香鬆細卷</t>
  </si>
  <si>
    <t>鮪魚沙拉細卷</t>
  </si>
  <si>
    <t>炙烤焦糖鮭魚細卷</t>
  </si>
  <si>
    <t>新之助の豆皮壽司喔</t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</si>
  <si>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9" type="noConversion"/>
  </si>
  <si>
    <t>鮭魚炙燒明太子烤飯糰</t>
  </si>
  <si>
    <t>淡麗清酒蒸蛤蜊烤飯糰</t>
  </si>
  <si>
    <t>糖燻野郎起司炙燒牛烤飯糰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</si>
  <si>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</si>
  <si>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</si>
  <si>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</si>
  <si>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</si>
  <si>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大口花椒香麻雞飯糰</t>
  </si>
  <si>
    <t>大口義式香草雞腿排飯糰</t>
  </si>
  <si>
    <t>麻油雞飯糰</t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</si>
  <si>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9" type="noConversion"/>
  </si>
  <si>
    <t>日式明太子炙烤牛飯卷</t>
  </si>
  <si>
    <t>v</t>
    <phoneticPr fontId="9" type="noConversion"/>
  </si>
  <si>
    <t>(隨)優質池上飯</t>
  </si>
  <si>
    <t>優質池上飯</t>
  </si>
  <si>
    <t>多穀紫米飯</t>
  </si>
  <si>
    <t>壽喜燒牛丼</t>
  </si>
  <si>
    <t>蒜蒜燒豚飯</t>
  </si>
  <si>
    <t>姨次滿足熟成牛豚雙拼</t>
  </si>
  <si>
    <t>極上炙烤親子丼</t>
  </si>
  <si>
    <t>鐵板滑蛋炸豬排丼</t>
  </si>
  <si>
    <t>二配香拌海鮮醬肉絲蛋炒飯</t>
  </si>
  <si>
    <t>二配香辣醬蒜味香腸蛋炒飯</t>
  </si>
  <si>
    <t>二配三杯海瓜子好下飯</t>
  </si>
  <si>
    <t>二配粗飽系雞排炒飯</t>
  </si>
  <si>
    <t>二配里肌豬排可可咖哩歐姆蛋飯</t>
  </si>
  <si>
    <t>二配黃金雞排蘑菇白醬歐姆蛋飯</t>
  </si>
  <si>
    <t>柚見極炙烤牛</t>
  </si>
  <si>
    <t>二配煸椒烘蛋飯</t>
  </si>
  <si>
    <t>二配港式香滑嫩蛋牛肉燴飯</t>
  </si>
  <si>
    <t>二配金咖哩濃厚辛辣咖哩飯</t>
  </si>
  <si>
    <t>二配川味麻婆燒豆腐燴飯</t>
  </si>
  <si>
    <t>二配金咖哩果香甘口咖哩飯</t>
  </si>
  <si>
    <t>二配鐵板蘑菇肉醬起司焗飯</t>
  </si>
  <si>
    <t>二配哞哞培根奶香海陸焗飯</t>
  </si>
  <si>
    <t>二配極旨黑咖哩漢堡排飯</t>
  </si>
  <si>
    <t>二配美味蟹煲</t>
  </si>
  <si>
    <t>二配乳酪燻腸紅醬焗飯</t>
  </si>
  <si>
    <t>嘉義劉里長雞肉飯</t>
  </si>
  <si>
    <t>嫩烤香料雞胸排蔬滿盒</t>
  </si>
  <si>
    <t>經典滷肉飯</t>
  </si>
  <si>
    <t>新招牌腿排便當</t>
  </si>
  <si>
    <t>美式雞丁餐盒</t>
  </si>
  <si>
    <t>一口滷魂便當</t>
  </si>
  <si>
    <t>健身G肉餐盒</t>
  </si>
  <si>
    <t>烤蛋白餐盒</t>
  </si>
  <si>
    <t>熱食義麵</t>
    <phoneticPr fontId="9" type="noConversion"/>
  </si>
  <si>
    <t>沙茶豬肉炒麵</t>
  </si>
  <si>
    <t>老北京風味炸醬麵</t>
  </si>
  <si>
    <t>府城鹽水意麵</t>
  </si>
  <si>
    <t>滿滿杏鮑菇三杯拌麵</t>
  </si>
  <si>
    <t>炙烤燒肉拌麵</t>
  </si>
  <si>
    <t>春日部防衛隊的咖哩炒麵</t>
  </si>
  <si>
    <t>蕃茄起司手工千層麵(區)</t>
  </si>
  <si>
    <t>魚介雞叉燒辣拌麵</t>
  </si>
  <si>
    <t>雙醬雞排鐵板麵</t>
  </si>
  <si>
    <t>季節調理麵</t>
    <phoneticPr fontId="9" type="noConversion"/>
  </si>
  <si>
    <t>椒麻香蔥雞涼拌麵</t>
  </si>
  <si>
    <t>台式麻醬涼麵</t>
  </si>
  <si>
    <t>日式蕎麥沾麵</t>
  </si>
  <si>
    <t>大滿足香辣涼麵</t>
  </si>
  <si>
    <t>大滿足麻醬涼麵</t>
  </si>
  <si>
    <t>糖燻豬耳絲</t>
  </si>
  <si>
    <t>韓式蒜味炸雞</t>
  </si>
  <si>
    <t>香辣醬粉絲煲</t>
  </si>
  <si>
    <t>摩登燒</t>
  </si>
  <si>
    <t>古早味炒炊粉</t>
  </si>
  <si>
    <t>燻之味-糖燻雞胗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</si>
  <si>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9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</si>
  <si>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9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</si>
  <si>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</si>
  <si>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</si>
  <si>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</si>
  <si>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</si>
  <si>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主食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</si>
  <si>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</si>
  <si>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</si>
  <si>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</si>
  <si>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微波小吃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</si>
  <si>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6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</si>
  <si>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6"/>
  </si>
  <si>
    <t>前週比</t>
    <phoneticPr fontId="9" type="noConversion"/>
  </si>
  <si>
    <t>－</t>
    <phoneticPr fontId="9" type="noConversion"/>
  </si>
  <si>
    <r>
      <rPr>
        <sz val="9"/>
        <color theme="1"/>
        <rFont val="細明體"/>
        <family val="3"/>
        <charset val="136"/>
      </rPr>
      <t>飯糰</t>
    </r>
    <r>
      <rPr>
        <sz val="9"/>
        <color theme="1"/>
        <rFont val="Meiryo UI"/>
        <family val="2"/>
      </rPr>
      <t>商品</t>
    </r>
    <r>
      <rPr>
        <sz val="9"/>
        <color theme="1"/>
        <rFont val="細明體"/>
        <family val="3"/>
        <charset val="136"/>
      </rPr>
      <t>人時生產性差異不大</t>
    </r>
    <r>
      <rPr>
        <sz val="9"/>
        <color theme="1"/>
        <rFont val="Meiryo UI"/>
        <family val="2"/>
      </rPr>
      <t>，差別在於訂單量，前5名</t>
    </r>
    <r>
      <rPr>
        <sz val="9"/>
        <color theme="1"/>
        <rFont val="細明體"/>
        <family val="3"/>
        <charset val="136"/>
      </rPr>
      <t>皆</t>
    </r>
    <r>
      <rPr>
        <sz val="9"/>
        <color theme="1"/>
        <rFont val="Meiryo UI"/>
        <family val="2"/>
      </rPr>
      <t>為3人作業，除鮪魚飯</t>
    </r>
    <r>
      <rPr>
        <sz val="9"/>
        <color theme="1"/>
        <rFont val="細明體"/>
        <family val="3"/>
        <charset val="136"/>
      </rPr>
      <t>糰</t>
    </r>
    <r>
      <rPr>
        <sz val="9"/>
        <color theme="1"/>
        <rFont val="Meiryo UI"/>
        <family val="2"/>
      </rPr>
      <t>訂單量大，人時生</t>
    </r>
    <r>
      <rPr>
        <sz val="9"/>
        <color theme="1"/>
        <rFont val="細明體"/>
        <family val="3"/>
        <charset val="136"/>
      </rPr>
      <t>產</t>
    </r>
    <r>
      <rPr>
        <sz val="9"/>
        <color theme="1"/>
        <rFont val="Meiryo UI"/>
        <family val="2"/>
      </rPr>
      <t>性高，</t>
    </r>
    <r>
      <rPr>
        <sz val="9"/>
        <color theme="1"/>
        <rFont val="細明體"/>
        <family val="3"/>
        <charset val="136"/>
      </rPr>
      <t>其餘排名的差異影響原因為訂單及生產順暢度。</t>
    </r>
    <phoneticPr fontId="9" type="noConversion"/>
  </si>
  <si>
    <t>▲</t>
    <phoneticPr fontId="9" type="noConversion"/>
  </si>
  <si>
    <t>▼1</t>
    <phoneticPr fontId="6"/>
  </si>
  <si>
    <t>▼2</t>
    <phoneticPr fontId="6"/>
  </si>
  <si>
    <t>▼3</t>
    <phoneticPr fontId="6"/>
  </si>
  <si>
    <t>▼</t>
    <phoneticPr fontId="9" type="noConversion"/>
  </si>
  <si>
    <t>雙料作業需較多人力，以致尾數幾名為雙料飯糰居多。</t>
    <phoneticPr fontId="9" type="noConversion"/>
  </si>
  <si>
    <t>▼4</t>
    <phoneticPr fontId="6"/>
  </si>
  <si>
    <t>▼5</t>
    <phoneticPr fontId="6"/>
  </si>
  <si>
    <r>
      <rPr>
        <sz val="10"/>
        <color theme="1"/>
        <rFont val="細明體"/>
        <family val="3"/>
        <charset val="136"/>
      </rPr>
      <t>細捲商品產力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產能平均，差別在於訂單量，人時產力差異不大</t>
    </r>
    <phoneticPr fontId="9" type="noConversion"/>
  </si>
  <si>
    <t>手卷系列人時性差異不大，差異在人員作業順暢度</t>
    <phoneticPr fontId="9" type="noConversion"/>
  </si>
  <si>
    <t>訂單量減少</t>
  </si>
  <si>
    <t>4℃-飯糰</t>
  </si>
  <si>
    <t>糖燻野郎起司炙燒牛烤飯糰</t>
    <phoneticPr fontId="9" type="noConversion"/>
  </si>
  <si>
    <t>－</t>
  </si>
  <si>
    <t>烤飯糰包裝作業產力/產能平均，差別在於訂單量，訂單量越少，人時生產性越低</t>
    <phoneticPr fontId="9" type="noConversion"/>
  </si>
  <si>
    <t>鮭魚炙燒明太子烤飯糰</t>
    <phoneticPr fontId="9" type="noConversion"/>
  </si>
  <si>
    <t>淡麗清酒蒸蛤蜊烤飯糰</t>
    <phoneticPr fontId="9" type="noConversion"/>
  </si>
  <si>
    <t>大口義式香草雞腿排飯糰</t>
    <phoneticPr fontId="9" type="noConversion"/>
  </si>
  <si>
    <t>大口花椒香麻雞飯糰</t>
    <phoneticPr fontId="9" type="noConversion"/>
  </si>
  <si>
    <t>麻油雞飯糰</t>
    <phoneticPr fontId="9" type="noConversion"/>
  </si>
  <si>
    <t>大口蒜味香腸燒肉雙拼飯糰</t>
    <phoneticPr fontId="9" type="noConversion"/>
  </si>
  <si>
    <r>
      <t>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性與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力與上周差異小，差異在</t>
    </r>
    <r>
      <rPr>
        <sz val="10"/>
        <color theme="1"/>
        <rFont val="細明體"/>
        <family val="3"/>
        <charset val="136"/>
      </rPr>
      <t>訂單量</t>
    </r>
    <phoneticPr fontId="9" type="noConversion"/>
  </si>
  <si>
    <t>大口金黃薯牛堡飯糰</t>
    <phoneticPr fontId="9" type="noConversion"/>
  </si>
  <si>
    <t>大口日式塔塔醬蝦排飯糰</t>
    <phoneticPr fontId="9" type="noConversion"/>
  </si>
  <si>
    <t>大口歐風焙煎咖哩漢堡排飯糰</t>
    <phoneticPr fontId="9" type="noConversion"/>
  </si>
  <si>
    <r>
      <t>日式明太子炙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牛飯卷</t>
    </r>
    <phoneticPr fontId="9" type="noConversion"/>
  </si>
  <si>
    <t>人時生產性與產力對比上週成長</t>
    <phoneticPr fontId="9" type="noConversion"/>
  </si>
  <si>
    <t>本週下架</t>
    <phoneticPr fontId="9" type="noConversion"/>
  </si>
  <si>
    <t>訓練人員模具成型，人時性增加</t>
    <phoneticPr fontId="9" type="noConversion"/>
  </si>
  <si>
    <t>人時生產性與產力與上周差異小，差異在人員作業順暢度</t>
  </si>
  <si>
    <t>熱食義麵</t>
  </si>
  <si>
    <t>新品上市，產線配置人力需求低，人時性高</t>
    <phoneticPr fontId="9" type="noConversion"/>
  </si>
  <si>
    <t>賣相要求，肉片擺放不易，人時性較低。</t>
    <phoneticPr fontId="9" type="noConversion"/>
  </si>
  <si>
    <t>季節調理麵</t>
  </si>
  <si>
    <t>產力平均與上週差異不大</t>
    <phoneticPr fontId="9" type="noConversion"/>
  </si>
  <si>
    <t>訂單量略微下降</t>
    <phoneticPr fontId="9" type="noConversion"/>
  </si>
  <si>
    <t>日式胡麻雞絲冷麵</t>
  </si>
  <si>
    <t>袋裝作業，耗費較多產線機台調整時間</t>
    <phoneticPr fontId="9" type="noConversion"/>
  </si>
  <si>
    <t>古早味炒炊粉</t>
    <phoneticPr fontId="9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</si>
  <si>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9" type="noConversion"/>
  </si>
  <si>
    <t>業績金額</t>
    <phoneticPr fontId="9" type="noConversion"/>
  </si>
  <si>
    <t>展開量高於１０5％</t>
    <phoneticPr fontId="6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</si>
  <si>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6"/>
  </si>
  <si>
    <t>製程不穩</t>
    <phoneticPr fontId="6"/>
  </si>
  <si>
    <t>抓樣不穩</t>
    <phoneticPr fontId="6"/>
  </si>
  <si>
    <t>報廢</t>
    <phoneticPr fontId="6"/>
  </si>
  <si>
    <t>超用</t>
    <phoneticPr fontId="6"/>
  </si>
  <si>
    <t>原物料規格</t>
    <phoneticPr fontId="6"/>
  </si>
  <si>
    <t>研發設定</t>
    <phoneticPr fontId="6"/>
  </si>
  <si>
    <t>其他原因</t>
    <phoneticPr fontId="6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</si>
  <si>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9" type="noConversion"/>
  </si>
  <si>
    <t>（７）原因別分析(8/1-8/11)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</si>
  <si>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9" type="noConversion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</si>
  <si>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9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</si>
  <si>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9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</si>
  <si>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9" type="noConversion"/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</si>
  <si>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9" type="noConversion"/>
  </si>
  <si>
    <t>（８）報廢原因別前幾名品項</t>
    <phoneticPr fontId="9" type="noConversion"/>
  </si>
  <si>
    <t>類型</t>
    <phoneticPr fontId="9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</si>
  <si>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6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</si>
  <si>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6"/>
  </si>
  <si>
    <t>前週比</t>
  </si>
  <si>
    <t>展開量高於１０5％</t>
    <phoneticPr fontId="9" type="noConversion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</si>
  <si>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9" type="noConversion"/>
  </si>
  <si>
    <t>薑炒筍尾</t>
  </si>
  <si>
    <t>反應調配課級，追蹤三天備料狀況</t>
    <phoneticPr fontId="9" type="noConversion"/>
  </si>
  <si>
    <t>二配川燙切片青江菜</t>
  </si>
  <si>
    <t>蒸全熟雞肉片CL</t>
  </si>
  <si>
    <t>反應調配課級，追蹤三天備料狀況</t>
  </si>
  <si>
    <t>韓式辣炒豆芽</t>
  </si>
  <si>
    <t>炒油蔥酥(113年)</t>
  </si>
  <si>
    <t>製程不穩</t>
    <phoneticPr fontId="9" type="noConversion"/>
  </si>
  <si>
    <t>炒紅K碎蛋</t>
  </si>
  <si>
    <t>確認備料是否正確，重新計算製成率範圍，調整出料率</t>
  </si>
  <si>
    <t>粉絲煲湯凍</t>
  </si>
  <si>
    <t>二配炒解凍11N培根片</t>
  </si>
  <si>
    <t>(V)炒三杯杏鮑菇片</t>
  </si>
  <si>
    <t>確認備料是否正確，重新計算製成率範圍，調整出料率</t>
    <phoneticPr fontId="9" type="noConversion"/>
  </si>
  <si>
    <t>抓樣不穩</t>
  </si>
  <si>
    <t>共用類</t>
  </si>
  <si>
    <t>清洗蔥花</t>
  </si>
  <si>
    <t>增加線上抽秤頻率</t>
    <phoneticPr fontId="9" type="noConversion"/>
  </si>
  <si>
    <t>(V)煮素三杯湯凍</t>
  </si>
  <si>
    <t>增加線上抽秤頻率</t>
  </si>
  <si>
    <t>二配辛口咖哩豬肉(112年)</t>
  </si>
  <si>
    <t>原物料規格</t>
  </si>
  <si>
    <t>粗剝-蒸鰤魚</t>
  </si>
  <si>
    <t>撥碎時所產生碎肉</t>
    <phoneticPr fontId="9" type="noConversion"/>
  </si>
  <si>
    <t>二配蒸鼎泰豐香辣醬</t>
  </si>
  <si>
    <t>不拆包加熱</t>
    <phoneticPr fontId="9" type="noConversion"/>
  </si>
  <si>
    <t>川燙青花菜</t>
  </si>
  <si>
    <t>原物料青花菜大小差異</t>
    <phoneticPr fontId="9" type="noConversion"/>
  </si>
  <si>
    <t>二配果香甘口咖哩腿丁</t>
  </si>
  <si>
    <t>腿肉丁大小差異</t>
    <phoneticPr fontId="9" type="noConversion"/>
  </si>
  <si>
    <t>炙烤雞腿丁(113年)</t>
  </si>
  <si>
    <t>研發設定</t>
  </si>
  <si>
    <t>18切烤千層麵</t>
  </si>
  <si>
    <t>製程報廢</t>
    <phoneticPr fontId="9" type="noConversion"/>
  </si>
  <si>
    <t>切-烤台式肉片</t>
  </si>
  <si>
    <t>賣相要求</t>
    <phoneticPr fontId="9" type="noConversion"/>
  </si>
  <si>
    <t>其他原因</t>
    <phoneticPr fontId="9" type="noConversion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</si>
  <si>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9" type="noConversion"/>
  </si>
  <si>
    <t>原料原因</t>
    <phoneticPr fontId="6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</si>
  <si>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9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</si>
  <si>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</si>
  <si>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</si>
  <si>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</si>
  <si>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9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</si>
  <si>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9" type="noConversion"/>
  </si>
  <si>
    <t>次數</t>
    <phoneticPr fontId="9" type="noConversion"/>
  </si>
  <si>
    <t>備註-商品名稱</t>
  </si>
  <si>
    <t>分析原因（件）</t>
    <phoneticPr fontId="9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</si>
  <si>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</si>
  <si>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</si>
  <si>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</si>
  <si>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</si>
  <si>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</si>
  <si>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9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</si>
  <si>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</si>
  <si>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</si>
  <si>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</si>
  <si>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</si>
  <si>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9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</si>
  <si>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9" type="noConversion"/>
  </si>
  <si>
    <t>補單
(kg)</t>
  </si>
  <si>
    <t>補單占比</t>
    <phoneticPr fontId="9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</si>
  <si>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</si>
  <si>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</si>
  <si>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</si>
  <si>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</si>
  <si>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</si>
  <si>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</si>
  <si>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9" type="noConversion"/>
  </si>
  <si>
    <t>展開量105%</t>
    <phoneticPr fontId="9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</si>
  <si>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9" type="noConversion"/>
  </si>
  <si>
    <t>抓樣不穩</t>
    <phoneticPr fontId="9" type="noConversion"/>
  </si>
  <si>
    <t>原物料規格</t>
    <phoneticPr fontId="9" type="noConversion"/>
  </si>
  <si>
    <t>研發設定</t>
    <phoneticPr fontId="9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</si>
  <si>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9" type="noConversion"/>
  </si>
  <si>
    <t>二配蒸珍珍蟹味絲CL</t>
  </si>
  <si>
    <t>生產課</t>
  </si>
  <si>
    <t>w1</t>
    <phoneticPr fontId="9" type="noConversion"/>
  </si>
  <si>
    <t>切蒸前腿肉</t>
  </si>
  <si>
    <t>其他</t>
  </si>
  <si>
    <t>112年拌鹽烤豬肉片</t>
  </si>
  <si>
    <t>炙烤牛五花(飯卷)</t>
  </si>
  <si>
    <t>調配課</t>
  </si>
  <si>
    <t>製程不穩</t>
  </si>
  <si>
    <t>w2</t>
  </si>
  <si>
    <t>拌紅蔥手撕雞</t>
  </si>
  <si>
    <t>炙烤銀鮭魚肚</t>
  </si>
  <si>
    <t>二配清洗小黃瓜絲</t>
  </si>
  <si>
    <t>二配海饌雙手卷</t>
  </si>
  <si>
    <t>w3</t>
  </si>
  <si>
    <t>切-究極燒肉片</t>
  </si>
  <si>
    <t>壹號醬雞豚雙拼</t>
  </si>
  <si>
    <t>拌明太子沙拉</t>
  </si>
  <si>
    <t>準備課</t>
  </si>
  <si>
    <t>炒咖哩腿肉丁</t>
  </si>
  <si>
    <t>w4</t>
  </si>
  <si>
    <t>二配川燙醃嫩化淨零碳排牛肉片</t>
  </si>
  <si>
    <t>滷冬粉(112年)</t>
  </si>
  <si>
    <t>w5</t>
  </si>
  <si>
    <t>拌燒肉片</t>
  </si>
  <si>
    <t>切-炙燒炭火燒肉片</t>
  </si>
  <si>
    <t>(V)川燙油菜(調理麵)</t>
  </si>
  <si>
    <t>月合計</t>
    <phoneticPr fontId="9" type="noConversion"/>
  </si>
  <si>
    <t>雞肉飯醬汁(113年)</t>
  </si>
  <si>
    <t>112年炒炊粉混蔬</t>
  </si>
  <si>
    <t>調理多產</t>
  </si>
  <si>
    <t>切蒸新原味雞胸排CL</t>
  </si>
  <si>
    <t>二配果香甘口咖哩醬</t>
  </si>
  <si>
    <t>丼飯-滑蛋(112年)</t>
  </si>
  <si>
    <t>二配歐姆蛋-黑咖哩醬</t>
  </si>
  <si>
    <t>煮燒肉拌麵湯凍</t>
  </si>
  <si>
    <t>烤60切豆腐蛋白丁</t>
  </si>
  <si>
    <t>自製蒜味奶油</t>
  </si>
  <si>
    <t>蒸鼎泰豐香辣醬</t>
  </si>
  <si>
    <t>切烤雞胸肉</t>
  </si>
  <si>
    <t>炙燒韓式牛五花</t>
  </si>
  <si>
    <t>煮辣雞油</t>
  </si>
  <si>
    <t>煮意麵肉燥</t>
  </si>
  <si>
    <t>二配鼎泰豐-麻婆豆腐燴汁(113年)</t>
  </si>
  <si>
    <t>二配歐姆蛋(111年版)</t>
  </si>
  <si>
    <t>炒扁魚紅K白菜</t>
  </si>
  <si>
    <t>二配鼎泰豐-煮麻婆豆腐(113年)</t>
  </si>
  <si>
    <t>蒜炒紅K高麗菜(111年)</t>
  </si>
  <si>
    <t>二配川燙青花菜</t>
  </si>
  <si>
    <t>二配濃辛辣咖哩醬</t>
  </si>
  <si>
    <t>台式燒肉片</t>
  </si>
  <si>
    <t>113年煮義式洋蔥</t>
  </si>
  <si>
    <t>二配油亮後腿肉絲</t>
  </si>
  <si>
    <t>蒸-全熟雞肉絲CL(升)</t>
  </si>
  <si>
    <t>小黃瓜絲</t>
  </si>
  <si>
    <t>煮魚介湯凍</t>
  </si>
  <si>
    <t>二配炒洋菇片</t>
  </si>
  <si>
    <t>日式烤洋蔥絲(114年)</t>
  </si>
  <si>
    <t>113年炒沙茶豬肉片</t>
  </si>
  <si>
    <t>拌燒肉拌麵</t>
  </si>
  <si>
    <t>二配180切-蒸家常豆腐</t>
  </si>
  <si>
    <t>拌胡麻雞絲</t>
  </si>
  <si>
    <t>占比</t>
    <phoneticPr fontId="9" type="noConversion"/>
  </si>
  <si>
    <t>金額</t>
    <phoneticPr fontId="9" type="noConversion"/>
  </si>
  <si>
    <t>二配油亮蒜味香腸片</t>
  </si>
  <si>
    <t>二配炒辛口馬鈴薯丁(112年)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</si>
  <si>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9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</si>
  <si>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9" type="noConversion"/>
  </si>
  <si>
    <t>切-鹽烤牛肉</t>
  </si>
  <si>
    <t>拌鮭魚碎肉</t>
  </si>
  <si>
    <t>拌明太子醬</t>
  </si>
  <si>
    <t>柴魚片</t>
  </si>
  <si>
    <t>摩登燒(區)</t>
  </si>
  <si>
    <t>針辣椒絲</t>
  </si>
  <si>
    <t>蒸-醬香雞肉絲CL(全)</t>
  </si>
  <si>
    <t>二配蒸海鮮醬(料)</t>
  </si>
  <si>
    <t>切博多明太子</t>
  </si>
  <si>
    <t>切筋子</t>
  </si>
  <si>
    <t>二配(V)炒素雞肉絲</t>
  </si>
  <si>
    <t>二配三杯海瓜子</t>
  </si>
  <si>
    <t>二配川燙青紅辣椒圓片</t>
  </si>
  <si>
    <t>解凍-醬油漬鮭魚卵</t>
  </si>
  <si>
    <t>二配烤鹹蛋黃碎</t>
  </si>
  <si>
    <t>二配蒸-全熟雞肉絲CL(升)</t>
  </si>
  <si>
    <t>二配雞肉飯飯糰</t>
  </si>
  <si>
    <t>日式牛培根</t>
  </si>
  <si>
    <t>鮮食品群番</t>
    <phoneticPr fontId="9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</si>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</sst>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0,000&quot;個&quot;"/>
  </numFmts>
  <fonts count="90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11"/>
      <color rgb="FF92D050"/>
      <name val="新細明體"/>
      <family val="1"/>
      <charset val="136"/>
    </font>
    <font>
      <sz val="7"/>
      <color theme="1"/>
      <name val="Meiryo UI"/>
      <family val="2"/>
    </font>
    <font>
      <sz val="7"/>
      <color rgb="FF000000"/>
      <name val="Meiryo UI"/>
      <family val="2"/>
    </font>
    <font>
      <sz val="8.5"/>
      <color theme="1"/>
      <name val="細明體"/>
      <family val="3"/>
      <charset val="136"/>
    </font>
    <font>
      <sz val="10"/>
      <color rgb="FF000000"/>
      <name val="細明體"/>
      <family val="3"/>
      <charset val="136"/>
    </font>
    <font>
      <sz val="8"/>
      <color theme="1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9"/>
      <color theme="1"/>
      <name val="Meiryo UI"/>
      <family val="2"/>
    </font>
    <font>
      <sz val="9"/>
      <color theme="1"/>
      <name val="細明體"/>
      <family val="3"/>
      <charset val="136"/>
    </font>
    <font>
      <sz val="10"/>
      <color rgb="FFFF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5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0" fillId="0" borderId="0"/>
    <xf numFmtId="0" fontId="1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43" fontId="74" fillId="0" borderId="0" applyFont="0" applyFill="0" applyBorder="0" applyAlignment="0" applyProtection="0">
      <alignment vertical="center"/>
    </xf>
  </cellStyleXfs>
  <cellXfs count="613">
    <xf numFmtId="0" fontId="0" fillId="0" borderId="0" xfId="0"/>
    <xf numFmtId="0" fontId="3" fillId="0" borderId="0" xfId="0" applyFont="1" applyAlignment="1">
      <alignment shrinkToFit="1"/>
    </xf>
    <xf numFmtId="0" fontId="0" fillId="0" borderId="0" xfId="0" applyAlignment="1">
      <alignment shrinkToFit="1"/>
    </xf>
    <xf numFmtId="0" fontId="3" fillId="0" borderId="1" xfId="0" applyFont="1" applyBorder="1" applyAlignment="1">
      <alignment horizontal="right" shrinkToFit="1"/>
    </xf>
    <xf numFmtId="0" fontId="3" fillId="0" borderId="1" xfId="0" applyFont="1" applyBorder="1" applyAlignment="1">
      <alignment shrinkToFit="1"/>
    </xf>
    <xf numFmtId="0" fontId="3" fillId="0" borderId="2" xfId="0" applyFont="1" applyBorder="1" applyAlignment="1">
      <alignment shrinkToFit="1"/>
    </xf>
    <xf numFmtId="0" fontId="4" fillId="0" borderId="3" xfId="0" applyFont="1" applyBorder="1" applyAlignment="1">
      <alignment shrinkToFit="1"/>
    </xf>
    <xf numFmtId="0" fontId="4" fillId="2" borderId="1" xfId="0" applyFont="1" applyFill="1" applyBorder="1" applyAlignment="1">
      <alignment shrinkToFit="1"/>
    </xf>
    <xf numFmtId="0" fontId="3" fillId="2" borderId="1" xfId="0" applyFont="1" applyFill="1" applyBorder="1" applyAlignment="1">
      <alignment shrinkToFit="1"/>
    </xf>
    <xf numFmtId="3" fontId="3" fillId="0" borderId="1" xfId="0" applyNumberFormat="1" applyFont="1" applyBorder="1" applyAlignment="1">
      <alignment shrinkToFit="1"/>
    </xf>
    <xf numFmtId="3" fontId="3" fillId="3" borderId="1" xfId="0" applyNumberFormat="1" applyFont="1" applyFill="1" applyBorder="1" applyAlignment="1">
      <alignment shrinkToFit="1"/>
    </xf>
    <xf numFmtId="4" fontId="3" fillId="0" borderId="1" xfId="0" applyNumberFormat="1" applyFont="1" applyBorder="1" applyAlignment="1">
      <alignment horizontal="right" shrinkToFit="1"/>
    </xf>
    <xf numFmtId="10" fontId="3" fillId="2" borderId="1" xfId="0" applyNumberFormat="1" applyFont="1" applyFill="1" applyBorder="1" applyAlignment="1">
      <alignment horizontal="right" shrinkToFit="1"/>
    </xf>
    <xf numFmtId="10" fontId="3" fillId="3" borderId="1" xfId="0" applyNumberFormat="1" applyFont="1" applyFill="1" applyBorder="1" applyAlignment="1">
      <alignment shrinkToFit="1"/>
    </xf>
    <xf numFmtId="10" fontId="3" fillId="0" borderId="1" xfId="0" applyNumberFormat="1" applyFont="1" applyBorder="1" applyAlignment="1">
      <alignment shrinkToFit="1"/>
    </xf>
    <xf numFmtId="10" fontId="4" fillId="0" borderId="0" xfId="0" applyNumberFormat="1" applyFont="1" applyAlignment="1">
      <alignment shrinkToFit="1"/>
    </xf>
    <xf numFmtId="0" fontId="3" fillId="3" borderId="1" xfId="0" applyFont="1" applyFill="1" applyBorder="1" applyAlignment="1">
      <alignment shrinkToFit="1"/>
    </xf>
    <xf numFmtId="4" fontId="3" fillId="0" borderId="1" xfId="0" applyNumberFormat="1" applyFont="1" applyBorder="1" applyAlignment="1">
      <alignment shrinkToFit="1"/>
    </xf>
    <xf numFmtId="0" fontId="4" fillId="2" borderId="5" xfId="0" applyFont="1" applyFill="1" applyBorder="1" applyAlignment="1">
      <alignment shrinkToFit="1"/>
    </xf>
    <xf numFmtId="0" fontId="4" fillId="2" borderId="3" xfId="0" applyFont="1" applyFill="1" applyBorder="1" applyAlignment="1">
      <alignment shrinkToFit="1"/>
    </xf>
    <xf numFmtId="0" fontId="4" fillId="2" borderId="6" xfId="0" applyFont="1" applyFill="1" applyBorder="1" applyAlignment="1">
      <alignment shrinkToFit="1"/>
    </xf>
    <xf numFmtId="0" fontId="3" fillId="2" borderId="3" xfId="0" applyFont="1" applyFill="1" applyBorder="1" applyAlignment="1">
      <alignment shrinkToFit="1"/>
    </xf>
    <xf numFmtId="0" fontId="3" fillId="2" borderId="6" xfId="0" applyFont="1" applyFill="1" applyBorder="1" applyAlignment="1">
      <alignment shrinkToFit="1"/>
    </xf>
    <xf numFmtId="0" fontId="4" fillId="2" borderId="7" xfId="0" applyFont="1" applyFill="1" applyBorder="1" applyAlignment="1">
      <alignment shrinkToFit="1"/>
    </xf>
    <xf numFmtId="0" fontId="3" fillId="0" borderId="3" xfId="0" applyFont="1" applyBorder="1" applyAlignment="1">
      <alignment shrinkToFit="1"/>
    </xf>
    <xf numFmtId="0" fontId="3" fillId="2" borderId="7" xfId="0" applyFont="1" applyFill="1" applyBorder="1" applyAlignment="1">
      <alignment shrinkToFit="1"/>
    </xf>
    <xf numFmtId="0" fontId="4" fillId="0" borderId="8" xfId="0" applyFont="1" applyBorder="1" applyAlignment="1">
      <alignment shrinkToFit="1"/>
    </xf>
    <xf numFmtId="0" fontId="3" fillId="0" borderId="5" xfId="0" applyFont="1" applyBorder="1" applyAlignment="1">
      <alignment shrinkToFit="1"/>
    </xf>
    <xf numFmtId="0" fontId="3" fillId="0" borderId="14" xfId="0" applyFont="1" applyBorder="1" applyAlignment="1">
      <alignment shrinkToFit="1"/>
    </xf>
    <xf numFmtId="0" fontId="3" fillId="0" borderId="8" xfId="0" applyFont="1" applyBorder="1" applyAlignment="1">
      <alignment shrinkToFit="1"/>
    </xf>
    <xf numFmtId="10" fontId="3" fillId="0" borderId="5" xfId="0" applyNumberFormat="1" applyFont="1" applyBorder="1" applyAlignment="1">
      <alignment shrinkToFit="1"/>
    </xf>
    <xf numFmtId="0" fontId="3" fillId="3" borderId="5" xfId="0" applyFont="1" applyFill="1" applyBorder="1" applyAlignment="1">
      <alignment shrinkToFit="1"/>
    </xf>
    <xf numFmtId="0" fontId="3" fillId="2" borderId="15" xfId="0" applyFont="1" applyFill="1" applyBorder="1" applyAlignment="1">
      <alignment shrinkToFit="1"/>
    </xf>
    <xf numFmtId="10" fontId="3" fillId="3" borderId="17" xfId="0" applyNumberFormat="1" applyFont="1" applyFill="1" applyBorder="1" applyAlignment="1">
      <alignment shrinkToFit="1"/>
    </xf>
    <xf numFmtId="0" fontId="3" fillId="3" borderId="18" xfId="0" applyFont="1" applyFill="1" applyBorder="1" applyAlignment="1">
      <alignment shrinkToFit="1"/>
    </xf>
    <xf numFmtId="0" fontId="3" fillId="0" borderId="6" xfId="0" applyFont="1" applyBorder="1" applyAlignment="1">
      <alignment shrinkToFit="1"/>
    </xf>
    <xf numFmtId="10" fontId="3" fillId="0" borderId="6" xfId="0" applyNumberFormat="1" applyFont="1" applyBorder="1" applyAlignment="1">
      <alignment shrinkToFit="1"/>
    </xf>
    <xf numFmtId="0" fontId="3" fillId="3" borderId="6" xfId="0" applyFont="1" applyFill="1" applyBorder="1" applyAlignment="1">
      <alignment shrinkToFit="1"/>
    </xf>
    <xf numFmtId="10" fontId="3" fillId="0" borderId="0" xfId="0" applyNumberFormat="1" applyFont="1" applyAlignment="1">
      <alignment shrinkToFit="1"/>
    </xf>
    <xf numFmtId="10" fontId="3" fillId="2" borderId="1" xfId="0" applyNumberFormat="1" applyFont="1" applyFill="1" applyBorder="1" applyAlignment="1">
      <alignment shrinkToFit="1"/>
    </xf>
    <xf numFmtId="0" fontId="3" fillId="3" borderId="7" xfId="0" applyFont="1" applyFill="1" applyBorder="1" applyAlignment="1">
      <alignment shrinkToFit="1"/>
    </xf>
    <xf numFmtId="10" fontId="3" fillId="3" borderId="5" xfId="0" applyNumberFormat="1" applyFont="1" applyFill="1" applyBorder="1" applyAlignment="1">
      <alignment shrinkToFit="1"/>
    </xf>
    <xf numFmtId="0" fontId="3" fillId="0" borderId="11" xfId="0" applyFont="1" applyBorder="1" applyAlignment="1">
      <alignment shrinkToFit="1"/>
    </xf>
    <xf numFmtId="10" fontId="3" fillId="0" borderId="14" xfId="0" applyNumberFormat="1" applyFont="1" applyBorder="1" applyAlignment="1">
      <alignment shrinkToFit="1"/>
    </xf>
    <xf numFmtId="10" fontId="3" fillId="3" borderId="14" xfId="0" applyNumberFormat="1" applyFont="1" applyFill="1" applyBorder="1" applyAlignment="1">
      <alignment shrinkToFit="1"/>
    </xf>
    <xf numFmtId="0" fontId="3" fillId="2" borderId="2" xfId="0" applyFont="1" applyFill="1" applyBorder="1" applyAlignment="1">
      <alignment shrinkToFit="1"/>
    </xf>
    <xf numFmtId="0" fontId="3" fillId="2" borderId="4" xfId="0" applyFont="1" applyFill="1" applyBorder="1" applyAlignment="1">
      <alignment shrinkToFit="1"/>
    </xf>
    <xf numFmtId="0" fontId="7" fillId="0" borderId="1" xfId="0" applyFont="1" applyBorder="1" applyAlignment="1">
      <alignment shrinkToFit="1"/>
    </xf>
    <xf numFmtId="0" fontId="7" fillId="2" borderId="1" xfId="0" applyFont="1" applyFill="1" applyBorder="1" applyAlignment="1">
      <alignment horizontal="left" shrinkToFit="1"/>
    </xf>
    <xf numFmtId="0" fontId="8" fillId="2" borderId="1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3" fillId="2" borderId="22" xfId="0" applyFont="1" applyFill="1" applyBorder="1" applyAlignment="1">
      <alignment shrinkToFit="1"/>
    </xf>
    <xf numFmtId="0" fontId="3" fillId="2" borderId="23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16" xfId="0" applyFont="1" applyFill="1" applyBorder="1" applyAlignment="1">
      <alignment shrinkToFit="1"/>
    </xf>
    <xf numFmtId="0" fontId="7" fillId="4" borderId="0" xfId="0" applyFont="1" applyFill="1"/>
    <xf numFmtId="0" fontId="8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4" fillId="4" borderId="0" xfId="0" applyFont="1" applyFill="1" applyAlignment="1">
      <alignment shrinkToFit="1"/>
    </xf>
    <xf numFmtId="0" fontId="3" fillId="4" borderId="0" xfId="0" applyFont="1" applyFill="1"/>
    <xf numFmtId="10" fontId="3" fillId="4" borderId="0" xfId="0" applyNumberFormat="1" applyFont="1" applyFill="1" applyAlignment="1">
      <alignment shrinkToFit="1"/>
    </xf>
    <xf numFmtId="0" fontId="3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3" fillId="2" borderId="24" xfId="0" applyFont="1" applyFill="1" applyBorder="1" applyAlignment="1">
      <alignment shrinkToFit="1"/>
    </xf>
    <xf numFmtId="0" fontId="8" fillId="0" borderId="11" xfId="0" applyFont="1" applyBorder="1" applyAlignment="1">
      <alignment horizontal="right" shrinkToFit="1"/>
    </xf>
    <xf numFmtId="0" fontId="8" fillId="0" borderId="3" xfId="0" applyFont="1" applyBorder="1" applyAlignment="1">
      <alignment horizontal="right" shrinkToFit="1"/>
    </xf>
    <xf numFmtId="0" fontId="10" fillId="0" borderId="0" xfId="0" applyFont="1" applyAlignment="1">
      <alignment horizontal="center"/>
    </xf>
    <xf numFmtId="10" fontId="10" fillId="0" borderId="0" xfId="0" applyNumberFormat="1" applyFont="1"/>
    <xf numFmtId="0" fontId="10" fillId="0" borderId="0" xfId="0" applyFont="1"/>
    <xf numFmtId="0" fontId="14" fillId="0" borderId="0" xfId="0" applyFont="1" applyAlignment="1">
      <alignment horizontal="left" vertical="center"/>
    </xf>
    <xf numFmtId="0" fontId="22" fillId="0" borderId="0" xfId="0" applyFont="1"/>
    <xf numFmtId="176" fontId="23" fillId="5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76" fontId="23" fillId="0" borderId="0" xfId="0" applyNumberFormat="1" applyFont="1" applyAlignment="1">
      <alignment horizontal="center" vertical="center"/>
    </xf>
    <xf numFmtId="179" fontId="22" fillId="0" borderId="0" xfId="0" applyNumberFormat="1" applyFont="1" applyAlignment="1">
      <alignment horizontal="center"/>
    </xf>
    <xf numFmtId="176" fontId="22" fillId="0" borderId="0" xfId="0" applyNumberFormat="1" applyFont="1"/>
    <xf numFmtId="177" fontId="22" fillId="0" borderId="0" xfId="0" applyNumberFormat="1" applyFont="1"/>
    <xf numFmtId="178" fontId="22" fillId="0" borderId="0" xfId="0" applyNumberFormat="1" applyFont="1"/>
    <xf numFmtId="10" fontId="22" fillId="0" borderId="0" xfId="0" applyNumberFormat="1" applyFont="1"/>
    <xf numFmtId="176" fontId="23" fillId="6" borderId="0" xfId="0" applyNumberFormat="1" applyFont="1" applyFill="1" applyAlignment="1">
      <alignment horizontal="center" vertical="center"/>
    </xf>
    <xf numFmtId="176" fontId="23" fillId="7" borderId="0" xfId="0" applyNumberFormat="1" applyFont="1" applyFill="1" applyAlignment="1">
      <alignment horizontal="center" vertical="center"/>
    </xf>
    <xf numFmtId="180" fontId="22" fillId="0" borderId="0" xfId="0" applyNumberFormat="1" applyFont="1"/>
    <xf numFmtId="180" fontId="10" fillId="0" borderId="0" xfId="0" applyNumberFormat="1" applyFont="1"/>
    <xf numFmtId="176" fontId="13" fillId="0" borderId="0" xfId="0" applyNumberFormat="1" applyFont="1" applyAlignment="1">
      <alignment horizontal="center" vertical="center"/>
    </xf>
    <xf numFmtId="180" fontId="13" fillId="0" borderId="0" xfId="0" applyNumberFormat="1" applyFont="1" applyAlignment="1">
      <alignment horizontal="center" vertical="center"/>
    </xf>
    <xf numFmtId="182" fontId="22" fillId="0" borderId="0" xfId="0" applyNumberFormat="1" applyFont="1"/>
    <xf numFmtId="182" fontId="23" fillId="0" borderId="22" xfId="0" applyNumberFormat="1" applyFont="1" applyBorder="1" applyAlignment="1">
      <alignment horizontal="center" vertical="center"/>
    </xf>
    <xf numFmtId="10" fontId="23" fillId="0" borderId="22" xfId="0" applyNumberFormat="1" applyFont="1" applyBorder="1" applyAlignment="1">
      <alignment horizontal="center" vertical="center"/>
    </xf>
    <xf numFmtId="10" fontId="22" fillId="0" borderId="22" xfId="0" applyNumberFormat="1" applyFont="1" applyBorder="1"/>
    <xf numFmtId="182" fontId="22" fillId="0" borderId="0" xfId="0" applyNumberFormat="1" applyFont="1" applyAlignment="1">
      <alignment horizontal="center"/>
    </xf>
    <xf numFmtId="0" fontId="25" fillId="0" borderId="0" xfId="0" applyFont="1"/>
    <xf numFmtId="177" fontId="22" fillId="0" borderId="0" xfId="0" applyNumberFormat="1" applyFont="1" applyAlignment="1">
      <alignment horizontal="center"/>
    </xf>
    <xf numFmtId="177" fontId="13" fillId="0" borderId="22" xfId="0" applyNumberFormat="1" applyFont="1" applyBorder="1" applyAlignment="1">
      <alignment horizontal="center" vertical="center"/>
    </xf>
    <xf numFmtId="177" fontId="22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3" fillId="0" borderId="3" xfId="0" applyFont="1" applyBorder="1" applyAlignment="1">
      <alignment vertical="center" shrinkToFit="1"/>
    </xf>
    <xf numFmtId="0" fontId="3" fillId="0" borderId="8" xfId="0" applyFont="1" applyBorder="1" applyAlignment="1">
      <alignment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7" fillId="2" borderId="16" xfId="0" applyFont="1" applyFill="1" applyBorder="1" applyAlignment="1">
      <alignment horizontal="center" shrinkToFit="1"/>
    </xf>
    <xf numFmtId="0" fontId="22" fillId="0" borderId="0" xfId="0" applyFont="1" applyAlignment="1">
      <alignment shrinkToFit="1"/>
    </xf>
    <xf numFmtId="0" fontId="22" fillId="4" borderId="0" xfId="0" applyFont="1" applyFill="1" applyAlignment="1">
      <alignment shrinkToFit="1"/>
    </xf>
    <xf numFmtId="0" fontId="24" fillId="0" borderId="0" xfId="0" applyFont="1" applyAlignment="1">
      <alignment shrinkToFit="1"/>
    </xf>
    <xf numFmtId="0" fontId="43" fillId="0" borderId="0" xfId="0" applyFont="1" applyAlignment="1">
      <alignment shrinkToFit="1"/>
    </xf>
    <xf numFmtId="0" fontId="22" fillId="0" borderId="22" xfId="0" applyFont="1" applyBorder="1" applyAlignment="1">
      <alignment shrinkToFit="1"/>
    </xf>
    <xf numFmtId="0" fontId="22" fillId="0" borderId="0" xfId="0" applyFont="1" applyAlignment="1">
      <alignment horizontal="center" shrinkToFit="1"/>
    </xf>
    <xf numFmtId="0" fontId="24" fillId="0" borderId="0" xfId="0" applyFont="1" applyAlignment="1">
      <alignment horizontal="center" shrinkToFit="1"/>
    </xf>
    <xf numFmtId="0" fontId="22" fillId="0" borderId="0" xfId="0" applyFont="1" applyAlignment="1">
      <alignment horizontal="center" vertical="center" shrinkToFit="1"/>
    </xf>
    <xf numFmtId="0" fontId="43" fillId="0" borderId="22" xfId="0" applyFont="1" applyBorder="1" applyAlignment="1">
      <alignment shrinkToFit="1"/>
    </xf>
    <xf numFmtId="4" fontId="24" fillId="0" borderId="22" xfId="0" applyNumberFormat="1" applyFont="1" applyBorder="1" applyAlignment="1">
      <alignment shrinkToFit="1"/>
    </xf>
    <xf numFmtId="0" fontId="24" fillId="4" borderId="0" xfId="0" applyFont="1" applyFill="1" applyAlignment="1">
      <alignment shrinkToFit="1"/>
    </xf>
    <xf numFmtId="0" fontId="47" fillId="0" borderId="0" xfId="0" applyFont="1"/>
    <xf numFmtId="0" fontId="49" fillId="0" borderId="0" xfId="0" applyFont="1"/>
    <xf numFmtId="10" fontId="43" fillId="0" borderId="0" xfId="0" applyNumberFormat="1" applyFont="1" applyAlignment="1">
      <alignment shrinkToFit="1"/>
    </xf>
    <xf numFmtId="0" fontId="44" fillId="0" borderId="0" xfId="0" applyFont="1"/>
    <xf numFmtId="0" fontId="50" fillId="0" borderId="22" xfId="0" applyFont="1" applyBorder="1" applyAlignment="1">
      <alignment horizontal="center" vertical="center" shrinkToFit="1"/>
    </xf>
    <xf numFmtId="0" fontId="50" fillId="8" borderId="22" xfId="0" applyFont="1" applyFill="1" applyBorder="1" applyAlignment="1">
      <alignment horizontal="center" vertical="center" shrinkToFit="1"/>
    </xf>
    <xf numFmtId="0" fontId="43" fillId="0" borderId="22" xfId="0" applyFont="1" applyBorder="1" applyAlignment="1">
      <alignment horizontal="center" shrinkToFit="1"/>
    </xf>
    <xf numFmtId="3" fontId="24" fillId="0" borderId="22" xfId="0" applyNumberFormat="1" applyFont="1" applyBorder="1" applyAlignment="1">
      <alignment shrinkToFit="1"/>
    </xf>
    <xf numFmtId="10" fontId="24" fillId="0" borderId="22" xfId="0" applyNumberFormat="1" applyFont="1" applyBorder="1" applyAlignment="1">
      <alignment shrinkToFit="1"/>
    </xf>
    <xf numFmtId="4" fontId="24" fillId="0" borderId="22" xfId="0" applyNumberFormat="1" applyFont="1" applyBorder="1" applyAlignment="1">
      <alignment horizontal="right" shrinkToFit="1"/>
    </xf>
    <xf numFmtId="0" fontId="43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shrinkToFit="1"/>
    </xf>
    <xf numFmtId="0" fontId="3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3" fillId="0" borderId="0" xfId="0" applyFont="1" applyAlignment="1">
      <alignment horizontal="right" shrinkToFit="1"/>
    </xf>
    <xf numFmtId="0" fontId="7" fillId="0" borderId="0" xfId="0" applyFont="1" applyAlignment="1">
      <alignment shrinkToFit="1"/>
    </xf>
    <xf numFmtId="0" fontId="4" fillId="0" borderId="0" xfId="0" applyFont="1" applyAlignment="1">
      <alignment shrinkToFit="1"/>
    </xf>
    <xf numFmtId="0" fontId="22" fillId="4" borderId="0" xfId="0" applyFont="1" applyFill="1" applyAlignment="1">
      <alignment horizontal="center" vertical="center" shrinkToFit="1"/>
    </xf>
    <xf numFmtId="0" fontId="22" fillId="4" borderId="0" xfId="0" applyFont="1" applyFill="1" applyAlignment="1">
      <alignment horizontal="center" shrinkToFit="1"/>
    </xf>
    <xf numFmtId="0" fontId="24" fillId="0" borderId="22" xfId="0" applyFont="1" applyBorder="1" applyAlignment="1">
      <alignment horizontal="center" vertical="center" shrinkToFit="1"/>
    </xf>
    <xf numFmtId="0" fontId="24" fillId="0" borderId="22" xfId="0" applyFont="1" applyBorder="1" applyAlignment="1">
      <alignment horizontal="center" shrinkToFit="1"/>
    </xf>
    <xf numFmtId="0" fontId="22" fillId="4" borderId="22" xfId="0" applyFont="1" applyFill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2" fillId="0" borderId="0" xfId="0" applyFont="1" applyAlignment="1">
      <alignment vertical="center" shrinkToFit="1"/>
    </xf>
    <xf numFmtId="0" fontId="43" fillId="2" borderId="22" xfId="0" applyFont="1" applyFill="1" applyBorder="1" applyAlignment="1">
      <alignment horizontal="center" vertical="center" shrinkToFit="1"/>
    </xf>
    <xf numFmtId="0" fontId="24" fillId="2" borderId="22" xfId="0" applyFont="1" applyFill="1" applyBorder="1" applyAlignment="1">
      <alignment horizontal="center" vertical="center" shrinkToFit="1"/>
    </xf>
    <xf numFmtId="0" fontId="24" fillId="0" borderId="22" xfId="0" applyFont="1" applyBorder="1" applyAlignment="1">
      <alignment shrinkToFit="1"/>
    </xf>
    <xf numFmtId="0" fontId="43" fillId="0" borderId="22" xfId="0" applyFont="1" applyBorder="1" applyAlignment="1">
      <alignment horizontal="right" shrinkToFit="1"/>
    </xf>
    <xf numFmtId="0" fontId="24" fillId="5" borderId="22" xfId="0" applyFont="1" applyFill="1" applyBorder="1" applyAlignment="1">
      <alignment horizontal="center" vertical="center" shrinkToFit="1"/>
    </xf>
    <xf numFmtId="0" fontId="24" fillId="5" borderId="22" xfId="0" applyFont="1" applyFill="1" applyBorder="1" applyAlignment="1">
      <alignment horizontal="center" shrinkToFit="1"/>
    </xf>
    <xf numFmtId="0" fontId="43" fillId="5" borderId="22" xfId="0" applyFont="1" applyFill="1" applyBorder="1" applyAlignment="1">
      <alignment horizontal="center" shrinkToFit="1"/>
    </xf>
    <xf numFmtId="0" fontId="22" fillId="5" borderId="22" xfId="0" applyFont="1" applyFill="1" applyBorder="1" applyAlignment="1">
      <alignment horizontal="center" shrinkToFit="1"/>
    </xf>
    <xf numFmtId="0" fontId="24" fillId="2" borderId="1" xfId="0" applyFont="1" applyFill="1" applyBorder="1" applyAlignment="1">
      <alignment horizontal="center" vertical="center" shrinkToFit="1"/>
    </xf>
    <xf numFmtId="0" fontId="24" fillId="0" borderId="3" xfId="0" applyFont="1" applyBorder="1" applyAlignment="1">
      <alignment vertical="center" shrinkToFit="1"/>
    </xf>
    <xf numFmtId="0" fontId="24" fillId="0" borderId="1" xfId="0" applyFont="1" applyBorder="1" applyAlignment="1">
      <alignment shrinkToFit="1"/>
    </xf>
    <xf numFmtId="0" fontId="24" fillId="0" borderId="8" xfId="0" applyFont="1" applyBorder="1" applyAlignment="1">
      <alignment vertical="center" shrinkToFit="1"/>
    </xf>
    <xf numFmtId="0" fontId="24" fillId="0" borderId="5" xfId="0" applyFont="1" applyBorder="1" applyAlignment="1">
      <alignment shrinkToFit="1"/>
    </xf>
    <xf numFmtId="0" fontId="22" fillId="0" borderId="0" xfId="0" applyFont="1" applyAlignment="1">
      <alignment wrapText="1" shrinkToFit="1"/>
    </xf>
    <xf numFmtId="0" fontId="22" fillId="0" borderId="0" xfId="0" applyFont="1" applyAlignment="1">
      <alignment horizontal="center" vertical="center" wrapText="1" shrinkToFit="1"/>
    </xf>
    <xf numFmtId="10" fontId="24" fillId="2" borderId="22" xfId="0" applyNumberFormat="1" applyFont="1" applyFill="1" applyBorder="1" applyAlignment="1">
      <alignment horizontal="center" vertical="center" shrinkToFit="1"/>
    </xf>
    <xf numFmtId="10" fontId="24" fillId="3" borderId="22" xfId="0" applyNumberFormat="1" applyFont="1" applyFill="1" applyBorder="1" applyAlignment="1">
      <alignment shrinkToFit="1"/>
    </xf>
    <xf numFmtId="0" fontId="24" fillId="2" borderId="23" xfId="0" applyFont="1" applyFill="1" applyBorder="1" applyAlignment="1">
      <alignment horizontal="center" vertical="center" shrinkToFit="1"/>
    </xf>
    <xf numFmtId="10" fontId="24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Border="1" applyAlignment="1">
      <alignment horizontal="center" vertical="center"/>
    </xf>
    <xf numFmtId="0" fontId="22" fillId="0" borderId="0" xfId="11" applyFont="1" applyAlignment="1">
      <alignment shrinkToFit="1"/>
    </xf>
    <xf numFmtId="0" fontId="22" fillId="4" borderId="0" xfId="11" applyFont="1" applyFill="1" applyAlignment="1">
      <alignment shrinkToFit="1"/>
    </xf>
    <xf numFmtId="0" fontId="44" fillId="0" borderId="0" xfId="11" applyFont="1" applyAlignment="1">
      <alignment shrinkToFit="1"/>
    </xf>
    <xf numFmtId="184" fontId="62" fillId="0" borderId="0" xfId="11" applyNumberFormat="1" applyFont="1" applyAlignment="1">
      <alignment shrinkToFit="1"/>
    </xf>
    <xf numFmtId="0" fontId="43" fillId="0" borderId="6" xfId="11" applyFont="1" applyBorder="1" applyAlignment="1">
      <alignment horizontal="center" shrinkToFit="1"/>
    </xf>
    <xf numFmtId="3" fontId="32" fillId="0" borderId="6" xfId="11" applyNumberFormat="1" applyFont="1" applyBorder="1" applyAlignment="1">
      <alignment shrinkToFit="1"/>
    </xf>
    <xf numFmtId="10" fontId="32" fillId="0" borderId="6" xfId="11" applyNumberFormat="1" applyFont="1" applyBorder="1" applyAlignment="1">
      <alignment shrinkToFit="1"/>
    </xf>
    <xf numFmtId="3" fontId="24" fillId="0" borderId="22" xfId="11" applyNumberFormat="1" applyFont="1" applyBorder="1" applyAlignment="1">
      <alignment shrinkToFit="1"/>
    </xf>
    <xf numFmtId="10" fontId="24" fillId="0" borderId="22" xfId="11" applyNumberFormat="1" applyFont="1" applyBorder="1" applyAlignment="1">
      <alignment shrinkToFit="1"/>
    </xf>
    <xf numFmtId="0" fontId="43" fillId="0" borderId="1" xfId="11" applyFont="1" applyBorder="1" applyAlignment="1">
      <alignment horizontal="center" shrinkToFit="1"/>
    </xf>
    <xf numFmtId="3" fontId="32" fillId="0" borderId="1" xfId="11" applyNumberFormat="1" applyFont="1" applyBorder="1" applyAlignment="1">
      <alignment shrinkToFit="1"/>
    </xf>
    <xf numFmtId="0" fontId="25" fillId="0" borderId="0" xfId="11" applyFont="1"/>
    <xf numFmtId="0" fontId="25" fillId="0" borderId="0" xfId="11" applyFont="1" applyAlignment="1">
      <alignment vertical="center"/>
    </xf>
    <xf numFmtId="0" fontId="25" fillId="0" borderId="22" xfId="11" applyFont="1" applyBorder="1"/>
    <xf numFmtId="1" fontId="25" fillId="0" borderId="22" xfId="11" applyNumberFormat="1" applyFont="1" applyBorder="1"/>
    <xf numFmtId="185" fontId="25" fillId="0" borderId="22" xfId="13" applyNumberFormat="1" applyFont="1" applyFill="1" applyBorder="1" applyAlignment="1"/>
    <xf numFmtId="0" fontId="25" fillId="0" borderId="0" xfId="11" applyFont="1" applyAlignment="1">
      <alignment horizontal="center"/>
    </xf>
    <xf numFmtId="9" fontId="65" fillId="0" borderId="0" xfId="13" applyFont="1" applyFill="1" applyAlignment="1"/>
    <xf numFmtId="0" fontId="25" fillId="0" borderId="0" xfId="11" applyFont="1" applyAlignment="1">
      <alignment horizontal="center" vertical="center"/>
    </xf>
    <xf numFmtId="0" fontId="32" fillId="0" borderId="22" xfId="11" applyFont="1" applyBorder="1"/>
    <xf numFmtId="0" fontId="32" fillId="5" borderId="22" xfId="12" applyFont="1" applyFill="1" applyBorder="1" applyAlignment="1">
      <alignment horizontal="center" vertical="center" wrapText="1"/>
    </xf>
    <xf numFmtId="0" fontId="32" fillId="5" borderId="22" xfId="12" applyFont="1" applyFill="1" applyBorder="1" applyAlignment="1">
      <alignment horizontal="center" vertical="center"/>
    </xf>
    <xf numFmtId="185" fontId="32" fillId="8" borderId="22" xfId="13" applyNumberFormat="1" applyFont="1" applyFill="1" applyBorder="1" applyAlignment="1"/>
    <xf numFmtId="0" fontId="31" fillId="0" borderId="34" xfId="0" applyFont="1" applyBorder="1" applyAlignment="1">
      <alignment horizontal="left" vertical="center"/>
    </xf>
    <xf numFmtId="0" fontId="31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1" fillId="0" borderId="26" xfId="0" applyFont="1" applyBorder="1" applyAlignment="1">
      <alignment horizontal="left" vertical="center"/>
    </xf>
    <xf numFmtId="0" fontId="31" fillId="0" borderId="32" xfId="0" applyFont="1" applyBorder="1" applyAlignment="1">
      <alignment horizontal="left" vertical="center"/>
    </xf>
    <xf numFmtId="0" fontId="31" fillId="0" borderId="37" xfId="0" applyFont="1" applyBorder="1" applyAlignment="1">
      <alignment horizontal="left" vertical="center"/>
    </xf>
    <xf numFmtId="0" fontId="3" fillId="0" borderId="0" xfId="5"/>
    <xf numFmtId="0" fontId="67" fillId="8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8" borderId="22" xfId="5" applyFont="1" applyFill="1" applyBorder="1"/>
    <xf numFmtId="185" fontId="22" fillId="0" borderId="0" xfId="0" applyNumberFormat="1" applyFont="1"/>
    <xf numFmtId="0" fontId="24" fillId="0" borderId="22" xfId="11" applyFont="1" applyBorder="1" applyAlignment="1">
      <alignment horizontal="center" vertical="center" shrinkToFit="1"/>
    </xf>
    <xf numFmtId="0" fontId="25" fillId="0" borderId="22" xfId="11" applyFont="1" applyBorder="1" applyAlignment="1">
      <alignment horizontal="center"/>
    </xf>
    <xf numFmtId="0" fontId="32" fillId="5" borderId="23" xfId="5" applyFont="1" applyFill="1" applyBorder="1" applyAlignment="1">
      <alignment horizontal="center" vertical="center"/>
    </xf>
    <xf numFmtId="0" fontId="68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shrinkToFit="1"/>
    </xf>
    <xf numFmtId="183" fontId="0" fillId="0" borderId="0" xfId="0" applyNumberFormat="1" applyAlignment="1">
      <alignment horizontal="center" vertical="center"/>
    </xf>
    <xf numFmtId="0" fontId="69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61" fillId="2" borderId="22" xfId="0" applyFont="1" applyFill="1" applyBorder="1" applyAlignment="1">
      <alignment horizontal="center" vertical="center" shrinkToFit="1"/>
    </xf>
    <xf numFmtId="0" fontId="25" fillId="0" borderId="41" xfId="11" applyFont="1" applyBorder="1"/>
    <xf numFmtId="1" fontId="25" fillId="0" borderId="41" xfId="11" applyNumberFormat="1" applyFont="1" applyBorder="1"/>
    <xf numFmtId="0" fontId="70" fillId="0" borderId="0" xfId="11" applyFont="1"/>
    <xf numFmtId="1" fontId="65" fillId="0" borderId="41" xfId="11" applyNumberFormat="1" applyFont="1" applyBorder="1"/>
    <xf numFmtId="0" fontId="25" fillId="5" borderId="23" xfId="11" applyFont="1" applyFill="1" applyBorder="1" applyAlignment="1">
      <alignment horizontal="center" vertical="center"/>
    </xf>
    <xf numFmtId="3" fontId="24" fillId="5" borderId="22" xfId="0" applyNumberFormat="1" applyFont="1" applyFill="1" applyBorder="1" applyAlignment="1">
      <alignment shrinkToFit="1"/>
    </xf>
    <xf numFmtId="10" fontId="24" fillId="5" borderId="22" xfId="0" applyNumberFormat="1" applyFont="1" applyFill="1" applyBorder="1" applyAlignment="1">
      <alignment shrinkToFit="1"/>
    </xf>
    <xf numFmtId="0" fontId="0" fillId="5" borderId="22" xfId="0" applyFill="1" applyBorder="1" applyAlignment="1">
      <alignment horizontal="center" vertical="center"/>
    </xf>
    <xf numFmtId="186" fontId="72" fillId="0" borderId="22" xfId="0" applyNumberFormat="1" applyFont="1" applyBorder="1"/>
    <xf numFmtId="186" fontId="22" fillId="0" borderId="0" xfId="0" applyNumberFormat="1" applyFont="1"/>
    <xf numFmtId="180" fontId="22" fillId="9" borderId="0" xfId="0" applyNumberFormat="1" applyFont="1" applyFill="1"/>
    <xf numFmtId="187" fontId="22" fillId="9" borderId="0" xfId="0" applyNumberFormat="1" applyFont="1" applyFill="1"/>
    <xf numFmtId="177" fontId="22" fillId="9" borderId="0" xfId="0" applyNumberFormat="1" applyFont="1" applyFill="1"/>
    <xf numFmtId="186" fontId="22" fillId="9" borderId="0" xfId="0" applyNumberFormat="1" applyFont="1" applyFill="1"/>
    <xf numFmtId="185" fontId="22" fillId="9" borderId="0" xfId="0" applyNumberFormat="1" applyFont="1" applyFill="1"/>
    <xf numFmtId="186" fontId="72" fillId="9" borderId="22" xfId="0" applyNumberFormat="1" applyFont="1" applyFill="1" applyBorder="1"/>
    <xf numFmtId="177" fontId="22" fillId="9" borderId="22" xfId="0" applyNumberFormat="1" applyFont="1" applyFill="1" applyBorder="1"/>
    <xf numFmtId="188" fontId="24" fillId="0" borderId="22" xfId="14" applyNumberFormat="1" applyFont="1" applyFill="1" applyBorder="1" applyAlignment="1">
      <alignment shrinkToFit="1"/>
    </xf>
    <xf numFmtId="189" fontId="24" fillId="5" borderId="22" xfId="0" applyNumberFormat="1" applyFont="1" applyFill="1" applyBorder="1" applyAlignment="1">
      <alignment shrinkToFit="1"/>
    </xf>
    <xf numFmtId="3" fontId="24" fillId="5" borderId="22" xfId="0" applyNumberFormat="1" applyFont="1" applyFill="1" applyBorder="1" applyAlignment="1">
      <alignment horizontal="right" shrinkToFit="1"/>
    </xf>
    <xf numFmtId="188" fontId="24" fillId="5" borderId="22" xfId="14" applyNumberFormat="1" applyFont="1" applyFill="1" applyBorder="1" applyAlignment="1">
      <alignment shrinkToFit="1"/>
    </xf>
    <xf numFmtId="1" fontId="24" fillId="0" borderId="22" xfId="0" applyNumberFormat="1" applyFont="1" applyBorder="1" applyAlignment="1">
      <alignment horizontal="center" vertical="center" shrinkToFit="1"/>
    </xf>
    <xf numFmtId="0" fontId="75" fillId="0" borderId="22" xfId="0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shrinkToFit="1"/>
    </xf>
    <xf numFmtId="1" fontId="24" fillId="0" borderId="22" xfId="0" applyNumberFormat="1" applyFont="1" applyBorder="1" applyAlignment="1">
      <alignment horizontal="center" shrinkToFit="1"/>
    </xf>
    <xf numFmtId="0" fontId="79" fillId="0" borderId="22" xfId="0" applyFont="1" applyBorder="1" applyAlignment="1">
      <alignment horizontal="center" vertical="center" shrinkToFit="1"/>
    </xf>
    <xf numFmtId="190" fontId="24" fillId="5" borderId="22" xfId="14" applyNumberFormat="1" applyFont="1" applyFill="1" applyBorder="1" applyAlignment="1">
      <alignment shrinkToFit="1"/>
    </xf>
    <xf numFmtId="191" fontId="24" fillId="0" borderId="22" xfId="0" applyNumberFormat="1" applyFont="1" applyBorder="1" applyAlignment="1">
      <alignment shrinkToFit="1"/>
    </xf>
    <xf numFmtId="1" fontId="25" fillId="0" borderId="22" xfId="13" applyNumberFormat="1" applyFont="1" applyFill="1" applyBorder="1" applyAlignment="1"/>
    <xf numFmtId="10" fontId="24" fillId="3" borderId="22" xfId="0" applyNumberFormat="1" applyFont="1" applyFill="1" applyBorder="1" applyAlignment="1">
      <alignment horizontal="center" shrinkToFit="1"/>
    </xf>
    <xf numFmtId="0" fontId="7" fillId="2" borderId="22" xfId="0" applyFont="1" applyFill="1" applyBorder="1" applyAlignment="1">
      <alignment horizontal="center" shrinkToFit="1"/>
    </xf>
    <xf numFmtId="183" fontId="24" fillId="3" borderId="18" xfId="0" applyNumberFormat="1" applyFont="1" applyFill="1" applyBorder="1" applyAlignment="1">
      <alignment shrinkToFit="1"/>
    </xf>
    <xf numFmtId="189" fontId="22" fillId="9" borderId="0" xfId="0" applyNumberFormat="1" applyFont="1" applyFill="1"/>
    <xf numFmtId="189" fontId="24" fillId="0" borderId="22" xfId="0" applyNumberFormat="1" applyFont="1" applyBorder="1" applyAlignment="1">
      <alignment shrinkToFit="1"/>
    </xf>
    <xf numFmtId="185" fontId="24" fillId="5" borderId="22" xfId="0" applyNumberFormat="1" applyFont="1" applyFill="1" applyBorder="1" applyAlignment="1">
      <alignment shrinkToFit="1"/>
    </xf>
    <xf numFmtId="185" fontId="24" fillId="0" borderId="22" xfId="0" applyNumberFormat="1" applyFont="1" applyBorder="1" applyAlignment="1">
      <alignment shrinkToFit="1"/>
    </xf>
    <xf numFmtId="183" fontId="22" fillId="0" borderId="0" xfId="0" applyNumberFormat="1" applyFont="1" applyAlignment="1">
      <alignment shrinkToFit="1"/>
    </xf>
    <xf numFmtId="9" fontId="24" fillId="5" borderId="22" xfId="0" applyNumberFormat="1" applyFont="1" applyFill="1" applyBorder="1" applyAlignment="1">
      <alignment shrinkToFit="1"/>
    </xf>
    <xf numFmtId="9" fontId="24" fillId="0" borderId="22" xfId="0" applyNumberFormat="1" applyFont="1" applyBorder="1" applyAlignment="1">
      <alignment shrinkToFit="1"/>
    </xf>
    <xf numFmtId="3" fontId="44" fillId="5" borderId="22" xfId="0" applyNumberFormat="1" applyFont="1" applyFill="1" applyBorder="1" applyAlignment="1">
      <alignment shrinkToFit="1"/>
    </xf>
    <xf numFmtId="10" fontId="44" fillId="5" borderId="22" xfId="0" applyNumberFormat="1" applyFont="1" applyFill="1" applyBorder="1" applyAlignment="1">
      <alignment shrinkToFit="1"/>
    </xf>
    <xf numFmtId="189" fontId="44" fillId="5" borderId="22" xfId="0" applyNumberFormat="1" applyFont="1" applyFill="1" applyBorder="1" applyAlignment="1">
      <alignment shrinkToFit="1"/>
    </xf>
    <xf numFmtId="185" fontId="44" fillId="5" borderId="22" xfId="0" applyNumberFormat="1" applyFont="1" applyFill="1" applyBorder="1" applyAlignment="1">
      <alignment shrinkToFit="1"/>
    </xf>
    <xf numFmtId="190" fontId="44" fillId="5" borderId="22" xfId="14" applyNumberFormat="1" applyFont="1" applyFill="1" applyBorder="1" applyAlignment="1">
      <alignment shrinkToFit="1"/>
    </xf>
    <xf numFmtId="191" fontId="24" fillId="0" borderId="22" xfId="0" applyNumberFormat="1" applyFont="1" applyBorder="1" applyAlignment="1">
      <alignment horizontal="right" shrinkToFit="1"/>
    </xf>
    <xf numFmtId="191" fontId="44" fillId="5" borderId="22" xfId="0" applyNumberFormat="1" applyFont="1" applyFill="1" applyBorder="1" applyAlignment="1">
      <alignment horizontal="right" shrinkToFit="1"/>
    </xf>
    <xf numFmtId="190" fontId="24" fillId="0" borderId="22" xfId="14" applyNumberFormat="1" applyFont="1" applyFill="1" applyBorder="1" applyAlignment="1">
      <alignment horizontal="right" shrinkToFit="1"/>
    </xf>
    <xf numFmtId="183" fontId="24" fillId="3" borderId="22" xfId="0" applyNumberFormat="1" applyFont="1" applyFill="1" applyBorder="1" applyAlignment="1">
      <alignment shrinkToFit="1"/>
    </xf>
    <xf numFmtId="0" fontId="44" fillId="0" borderId="45" xfId="11" applyFont="1" applyBorder="1" applyAlignment="1">
      <alignment shrinkToFit="1"/>
    </xf>
    <xf numFmtId="0" fontId="22" fillId="0" borderId="46" xfId="11" applyFont="1" applyBorder="1" applyAlignment="1">
      <alignment shrinkToFit="1"/>
    </xf>
    <xf numFmtId="0" fontId="24" fillId="0" borderId="48" xfId="11" applyFont="1" applyBorder="1" applyAlignment="1">
      <alignment horizontal="center" vertical="center" shrinkToFit="1"/>
    </xf>
    <xf numFmtId="0" fontId="43" fillId="0" borderId="49" xfId="11" applyFont="1" applyBorder="1" applyAlignment="1">
      <alignment horizontal="center" shrinkToFit="1"/>
    </xf>
    <xf numFmtId="3" fontId="32" fillId="7" borderId="6" xfId="11" applyNumberFormat="1" applyFont="1" applyFill="1" applyBorder="1" applyAlignment="1">
      <alignment shrinkToFit="1"/>
    </xf>
    <xf numFmtId="3" fontId="24" fillId="7" borderId="22" xfId="11" applyNumberFormat="1" applyFont="1" applyFill="1" applyBorder="1" applyAlignment="1">
      <alignment shrinkToFit="1"/>
    </xf>
    <xf numFmtId="10" fontId="24" fillId="0" borderId="48" xfId="11" applyNumberFormat="1" applyFont="1" applyBorder="1" applyAlignment="1">
      <alignment shrinkToFit="1"/>
    </xf>
    <xf numFmtId="0" fontId="43" fillId="0" borderId="50" xfId="11" applyFont="1" applyBorder="1" applyAlignment="1">
      <alignment horizontal="center" shrinkToFit="1"/>
    </xf>
    <xf numFmtId="3" fontId="32" fillId="7" borderId="1" xfId="11" applyNumberFormat="1" applyFont="1" applyFill="1" applyBorder="1" applyAlignment="1">
      <alignment shrinkToFit="1"/>
    </xf>
    <xf numFmtId="0" fontId="22" fillId="0" borderId="45" xfId="11" applyFont="1" applyBorder="1" applyAlignment="1">
      <alignment shrinkToFit="1"/>
    </xf>
    <xf numFmtId="0" fontId="22" fillId="0" borderId="51" xfId="11" applyFont="1" applyBorder="1" applyAlignment="1">
      <alignment shrinkToFit="1"/>
    </xf>
    <xf numFmtId="0" fontId="22" fillId="0" borderId="52" xfId="11" applyFont="1" applyBorder="1" applyAlignment="1">
      <alignment shrinkToFit="1"/>
    </xf>
    <xf numFmtId="0" fontId="43" fillId="0" borderId="53" xfId="11" applyFont="1" applyBorder="1" applyAlignment="1">
      <alignment horizontal="center" shrinkToFit="1"/>
    </xf>
    <xf numFmtId="3" fontId="24" fillId="7" borderId="54" xfId="11" applyNumberFormat="1" applyFont="1" applyFill="1" applyBorder="1" applyAlignment="1">
      <alignment shrinkToFit="1"/>
    </xf>
    <xf numFmtId="10" fontId="24" fillId="0" borderId="54" xfId="11" applyNumberFormat="1" applyFont="1" applyBorder="1" applyAlignment="1">
      <alignment shrinkToFit="1"/>
    </xf>
    <xf numFmtId="10" fontId="24" fillId="0" borderId="55" xfId="11" applyNumberFormat="1" applyFont="1" applyBorder="1" applyAlignment="1">
      <alignment shrinkToFit="1"/>
    </xf>
    <xf numFmtId="0" fontId="43" fillId="2" borderId="22" xfId="0" applyFont="1" applyFill="1" applyBorder="1" applyAlignment="1">
      <alignment horizontal="center" shrinkToFit="1"/>
    </xf>
    <xf numFmtId="10" fontId="22" fillId="11" borderId="22" xfId="0" applyNumberFormat="1" applyFont="1" applyFill="1" applyBorder="1"/>
    <xf numFmtId="177" fontId="73" fillId="11" borderId="0" xfId="0" applyNumberFormat="1" applyFont="1" applyFill="1"/>
    <xf numFmtId="177" fontId="73" fillId="0" borderId="0" xfId="0" applyNumberFormat="1" applyFont="1"/>
    <xf numFmtId="10" fontId="81" fillId="11" borderId="22" xfId="0" applyNumberFormat="1" applyFont="1" applyFill="1" applyBorder="1"/>
    <xf numFmtId="177" fontId="81" fillId="0" borderId="0" xfId="0" applyNumberFormat="1" applyFont="1"/>
    <xf numFmtId="10" fontId="81" fillId="0" borderId="0" xfId="0" applyNumberFormat="1" applyFont="1"/>
    <xf numFmtId="3" fontId="81" fillId="0" borderId="0" xfId="0" applyNumberFormat="1" applyFont="1"/>
    <xf numFmtId="186" fontId="72" fillId="11" borderId="22" xfId="0" applyNumberFormat="1" applyFont="1" applyFill="1" applyBorder="1"/>
    <xf numFmtId="3" fontId="24" fillId="12" borderId="22" xfId="0" applyNumberFormat="1" applyFont="1" applyFill="1" applyBorder="1" applyAlignment="1">
      <alignment shrinkToFit="1"/>
    </xf>
    <xf numFmtId="10" fontId="24" fillId="12" borderId="22" xfId="0" applyNumberFormat="1" applyFont="1" applyFill="1" applyBorder="1" applyAlignment="1">
      <alignment shrinkToFit="1"/>
    </xf>
    <xf numFmtId="183" fontId="24" fillId="0" borderId="22" xfId="0" applyNumberFormat="1" applyFont="1" applyBorder="1" applyAlignment="1">
      <alignment shrinkToFit="1"/>
    </xf>
    <xf numFmtId="3" fontId="24" fillId="0" borderId="22" xfId="0" applyNumberFormat="1" applyFont="1" applyBorder="1" applyAlignment="1">
      <alignment horizontal="right" shrinkToFit="1"/>
    </xf>
    <xf numFmtId="0" fontId="29" fillId="0" borderId="22" xfId="0" applyFont="1" applyBorder="1" applyAlignment="1">
      <alignment horizontal="center" vertical="center"/>
    </xf>
    <xf numFmtId="0" fontId="70" fillId="0" borderId="22" xfId="11" applyFont="1" applyBorder="1"/>
    <xf numFmtId="0" fontId="54" fillId="0" borderId="27" xfId="0" applyFont="1" applyBorder="1" applyAlignment="1">
      <alignment horizontal="left" shrinkToFit="1"/>
    </xf>
    <xf numFmtId="0" fontId="54" fillId="0" borderId="28" xfId="0" applyFont="1" applyBorder="1" applyAlignment="1">
      <alignment horizontal="left" shrinkToFit="1"/>
    </xf>
    <xf numFmtId="0" fontId="54" fillId="0" borderId="25" xfId="0" applyFont="1" applyBorder="1" applyAlignment="1">
      <alignment horizontal="left" shrinkToFit="1"/>
    </xf>
    <xf numFmtId="0" fontId="80" fillId="0" borderId="35" xfId="0" applyFont="1" applyBorder="1" applyAlignment="1">
      <alignment wrapText="1"/>
    </xf>
    <xf numFmtId="0" fontId="80" fillId="0" borderId="36" xfId="0" applyFont="1" applyBorder="1" applyAlignment="1">
      <alignment wrapText="1"/>
    </xf>
    <xf numFmtId="180" fontId="22" fillId="10" borderId="0" xfId="0" applyNumberFormat="1" applyFont="1" applyFill="1"/>
    <xf numFmtId="4" fontId="24" fillId="12" borderId="22" xfId="0" applyNumberFormat="1" applyFont="1" applyFill="1" applyBorder="1" applyAlignment="1">
      <alignment horizontal="right" shrinkToFit="1"/>
    </xf>
    <xf numFmtId="189" fontId="24" fillId="12" borderId="22" xfId="0" applyNumberFormat="1" applyFont="1" applyFill="1" applyBorder="1" applyAlignment="1">
      <alignment shrinkToFit="1"/>
    </xf>
    <xf numFmtId="185" fontId="24" fillId="12" borderId="22" xfId="0" applyNumberFormat="1" applyFont="1" applyFill="1" applyBorder="1" applyAlignment="1">
      <alignment shrinkToFit="1"/>
    </xf>
    <xf numFmtId="183" fontId="3" fillId="0" borderId="0" xfId="0" applyNumberFormat="1" applyFont="1" applyAlignment="1">
      <alignment horizontal="right" vertical="center" shrinkToFit="1"/>
    </xf>
    <xf numFmtId="185" fontId="22" fillId="10" borderId="0" xfId="0" applyNumberFormat="1" applyFont="1" applyFill="1"/>
    <xf numFmtId="189" fontId="22" fillId="10" borderId="0" xfId="0" applyNumberFormat="1" applyFont="1" applyFill="1"/>
    <xf numFmtId="2" fontId="25" fillId="0" borderId="22" xfId="11" applyNumberFormat="1" applyFont="1" applyBorder="1"/>
    <xf numFmtId="0" fontId="24" fillId="2" borderId="22" xfId="0" applyFont="1" applyFill="1" applyBorder="1" applyAlignment="1">
      <alignment horizontal="center" shrinkToFit="1"/>
    </xf>
    <xf numFmtId="0" fontId="24" fillId="2" borderId="4" xfId="0" applyFont="1" applyFill="1" applyBorder="1" applyAlignment="1">
      <alignment horizontal="center" vertical="center" shrinkToFit="1"/>
    </xf>
    <xf numFmtId="0" fontId="24" fillId="2" borderId="2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shrinkToFit="1"/>
    </xf>
    <xf numFmtId="191" fontId="22" fillId="0" borderId="0" xfId="0" applyNumberFormat="1" applyFont="1" applyAlignment="1">
      <alignment shrinkToFit="1"/>
    </xf>
    <xf numFmtId="187" fontId="22" fillId="0" borderId="0" xfId="0" applyNumberFormat="1" applyFont="1"/>
    <xf numFmtId="189" fontId="22" fillId="0" borderId="0" xfId="0" applyNumberFormat="1" applyFont="1"/>
    <xf numFmtId="179" fontId="62" fillId="0" borderId="0" xfId="0" applyNumberFormat="1" applyFont="1" applyAlignment="1">
      <alignment horizontal="center"/>
    </xf>
    <xf numFmtId="176" fontId="44" fillId="0" borderId="0" xfId="0" applyNumberFormat="1" applyFont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2" fontId="25" fillId="0" borderId="22" xfId="13" applyNumberFormat="1" applyFont="1" applyFill="1" applyBorder="1" applyAlignment="1"/>
    <xf numFmtId="0" fontId="51" fillId="0" borderId="35" xfId="0" applyFont="1" applyBorder="1" applyAlignment="1">
      <alignment vertical="center" shrinkToFit="1"/>
    </xf>
    <xf numFmtId="0" fontId="51" fillId="0" borderId="36" xfId="0" applyFont="1" applyBorder="1" applyAlignment="1">
      <alignment vertical="center" shrinkToFit="1"/>
    </xf>
    <xf numFmtId="0" fontId="89" fillId="0" borderId="22" xfId="0" applyFont="1" applyBorder="1" applyAlignment="1">
      <alignment horizontal="center" vertical="center"/>
    </xf>
    <xf numFmtId="0" fontId="89" fillId="5" borderId="22" xfId="0" applyFont="1" applyFill="1" applyBorder="1" applyAlignment="1">
      <alignment horizontal="center" vertical="center"/>
    </xf>
    <xf numFmtId="183" fontId="89" fillId="0" borderId="22" xfId="0" applyNumberFormat="1" applyFont="1" applyBorder="1" applyAlignment="1">
      <alignment horizontal="center" vertical="center"/>
    </xf>
    <xf numFmtId="192" fontId="22" fillId="0" borderId="0" xfId="0" applyNumberFormat="1" applyFont="1"/>
    <xf numFmtId="192" fontId="22" fillId="9" borderId="22" xfId="0" applyNumberFormat="1" applyFont="1" applyFill="1" applyBorder="1"/>
    <xf numFmtId="192" fontId="22" fillId="0" borderId="22" xfId="0" applyNumberFormat="1" applyFont="1" applyBorder="1"/>
    <xf numFmtId="0" fontId="4" fillId="5" borderId="22" xfId="0" applyFont="1" applyFill="1" applyBorder="1" applyAlignment="1">
      <alignment horizontal="center" vertical="center"/>
    </xf>
    <xf numFmtId="0" fontId="4" fillId="0" borderId="4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4" fillId="2" borderId="4" xfId="0" applyFont="1" applyFill="1" applyBorder="1" applyAlignment="1">
      <alignment shrinkToFit="1"/>
    </xf>
    <xf numFmtId="0" fontId="7" fillId="0" borderId="4" xfId="0" applyFont="1" applyBorder="1" applyAlignment="1">
      <alignment shrinkToFit="1"/>
    </xf>
    <xf numFmtId="0" fontId="3" fillId="0" borderId="4" xfId="0" applyFont="1" applyBorder="1" applyAlignment="1">
      <alignment shrinkToFit="1"/>
    </xf>
    <xf numFmtId="0" fontId="3" fillId="0" borderId="9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0" fontId="7" fillId="0" borderId="12" xfId="0" applyFont="1" applyBorder="1" applyAlignment="1">
      <alignment shrinkToFit="1"/>
    </xf>
    <xf numFmtId="0" fontId="5" fillId="0" borderId="11" xfId="0" applyFont="1" applyBorder="1" applyAlignment="1">
      <alignment shrinkToFit="1"/>
    </xf>
    <xf numFmtId="0" fontId="5" fillId="0" borderId="10" xfId="0" applyFont="1" applyBorder="1" applyAlignment="1">
      <alignment shrinkToFit="1"/>
    </xf>
    <xf numFmtId="0" fontId="3" fillId="2" borderId="4" xfId="0" applyFont="1" applyFill="1" applyBorder="1" applyAlignment="1">
      <alignment shrinkToFit="1"/>
    </xf>
    <xf numFmtId="0" fontId="3" fillId="2" borderId="2" xfId="0" applyFont="1" applyFill="1" applyBorder="1" applyAlignment="1">
      <alignment shrinkToFit="1"/>
    </xf>
    <xf numFmtId="0" fontId="3" fillId="2" borderId="3" xfId="0" applyFont="1" applyFill="1" applyBorder="1" applyAlignment="1">
      <alignment shrinkToFit="1"/>
    </xf>
    <xf numFmtId="0" fontId="4" fillId="0" borderId="9" xfId="0" applyFont="1" applyBorder="1" applyAlignment="1">
      <alignment shrinkToFit="1"/>
    </xf>
    <xf numFmtId="0" fontId="5" fillId="0" borderId="1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19" xfId="0" applyFont="1" applyBorder="1" applyAlignment="1">
      <alignment shrinkToFit="1"/>
    </xf>
    <xf numFmtId="0" fontId="5" fillId="0" borderId="20" xfId="0" applyFont="1" applyBorder="1" applyAlignment="1">
      <alignment shrinkToFit="1"/>
    </xf>
    <xf numFmtId="0" fontId="5" fillId="0" borderId="21" xfId="0" applyFont="1" applyBorder="1" applyAlignment="1">
      <alignment shrinkToFit="1"/>
    </xf>
    <xf numFmtId="0" fontId="3" fillId="0" borderId="0" xfId="0" applyFont="1" applyAlignment="1">
      <alignment shrinkToFit="1"/>
    </xf>
    <xf numFmtId="0" fontId="0" fillId="0" borderId="0" xfId="0" applyAlignment="1">
      <alignment shrinkToFit="1"/>
    </xf>
    <xf numFmtId="0" fontId="3" fillId="0" borderId="19" xfId="0" applyFont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40" fillId="0" borderId="0" xfId="0" applyFont="1" applyAlignment="1">
      <alignment horizontal="center" vertical="center" shrinkToFit="1"/>
    </xf>
    <xf numFmtId="0" fontId="50" fillId="8" borderId="22" xfId="0" applyFont="1" applyFill="1" applyBorder="1" applyAlignment="1">
      <alignment horizontal="center" vertical="center" shrinkToFit="1"/>
    </xf>
    <xf numFmtId="10" fontId="23" fillId="0" borderId="0" xfId="0" applyNumberFormat="1" applyFont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187" fontId="22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7" fontId="23" fillId="7" borderId="0" xfId="0" applyNumberFormat="1" applyFont="1" applyFill="1" applyAlignment="1">
      <alignment horizontal="center" vertical="center"/>
    </xf>
    <xf numFmtId="178" fontId="23" fillId="6" borderId="0" xfId="0" applyNumberFormat="1" applyFont="1" applyFill="1" applyAlignment="1">
      <alignment horizontal="center" vertical="center"/>
    </xf>
    <xf numFmtId="176" fontId="23" fillId="5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shrinkToFit="1"/>
    </xf>
    <xf numFmtId="178" fontId="23" fillId="0" borderId="0" xfId="0" applyNumberFormat="1" applyFont="1" applyAlignment="1">
      <alignment horizontal="center" vertical="center"/>
    </xf>
    <xf numFmtId="177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80" fontId="22" fillId="0" borderId="0" xfId="0" applyNumberFormat="1" applyFont="1" applyAlignment="1">
      <alignment horizontal="center"/>
    </xf>
    <xf numFmtId="0" fontId="21" fillId="0" borderId="0" xfId="0" applyFont="1" applyAlignment="1">
      <alignment horizontal="center" vertical="center"/>
    </xf>
    <xf numFmtId="181" fontId="11" fillId="0" borderId="0" xfId="0" applyNumberFormat="1" applyFont="1" applyAlignment="1">
      <alignment horizontal="center" vertical="center"/>
    </xf>
    <xf numFmtId="10" fontId="11" fillId="5" borderId="0" xfId="0" applyNumberFormat="1" applyFont="1" applyFill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85" fontId="22" fillId="0" borderId="0" xfId="0" applyNumberFormat="1" applyFont="1" applyAlignment="1">
      <alignment horizontal="center"/>
    </xf>
    <xf numFmtId="189" fontId="22" fillId="0" borderId="0" xfId="0" applyNumberFormat="1" applyFont="1" applyAlignment="1">
      <alignment horizontal="center"/>
    </xf>
    <xf numFmtId="0" fontId="26" fillId="0" borderId="2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shrinkToFit="1"/>
    </xf>
    <xf numFmtId="182" fontId="24" fillId="0" borderId="22" xfId="0" applyNumberFormat="1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182" fontId="23" fillId="0" borderId="22" xfId="0" applyNumberFormat="1" applyFont="1" applyBorder="1" applyAlignment="1">
      <alignment horizontal="center" vertical="center"/>
    </xf>
    <xf numFmtId="186" fontId="73" fillId="0" borderId="0" xfId="0" applyNumberFormat="1" applyFont="1" applyAlignment="1">
      <alignment horizontal="center" vertical="center"/>
    </xf>
    <xf numFmtId="177" fontId="26" fillId="0" borderId="22" xfId="0" applyNumberFormat="1" applyFont="1" applyBorder="1" applyAlignment="1">
      <alignment horizontal="center" vertical="center"/>
    </xf>
    <xf numFmtId="177" fontId="19" fillId="0" borderId="22" xfId="0" applyNumberFormat="1" applyFont="1" applyBorder="1" applyAlignment="1">
      <alignment horizontal="center" vertical="center"/>
    </xf>
    <xf numFmtId="177" fontId="23" fillId="0" borderId="22" xfId="0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 vertical="center"/>
    </xf>
    <xf numFmtId="192" fontId="22" fillId="0" borderId="0" xfId="0" applyNumberFormat="1" applyFont="1" applyAlignment="1">
      <alignment horizontal="center"/>
    </xf>
    <xf numFmtId="177" fontId="22" fillId="0" borderId="0" xfId="0" applyNumberFormat="1" applyFont="1" applyAlignment="1">
      <alignment horizontal="center"/>
    </xf>
    <xf numFmtId="177" fontId="18" fillId="0" borderId="22" xfId="0" applyNumberFormat="1" applyFont="1" applyBorder="1" applyAlignment="1">
      <alignment horizontal="center" vertical="center" shrinkToFit="1"/>
    </xf>
    <xf numFmtId="177" fontId="24" fillId="0" borderId="22" xfId="0" applyNumberFormat="1" applyFont="1" applyBorder="1" applyAlignment="1">
      <alignment horizontal="center" vertical="center" shrinkToFit="1"/>
    </xf>
    <xf numFmtId="0" fontId="30" fillId="0" borderId="0" xfId="0" applyFont="1" applyAlignment="1">
      <alignment horizontal="left" vertical="center"/>
    </xf>
    <xf numFmtId="0" fontId="30" fillId="0" borderId="26" xfId="0" applyFont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83" fontId="0" fillId="0" borderId="23" xfId="0" applyNumberFormat="1" applyBorder="1" applyAlignment="1">
      <alignment horizontal="center" vertical="center"/>
    </xf>
    <xf numFmtId="183" fontId="0" fillId="0" borderId="29" xfId="0" applyNumberFormat="1" applyBorder="1" applyAlignment="1">
      <alignment horizontal="center" vertical="center"/>
    </xf>
    <xf numFmtId="183" fontId="0" fillId="0" borderId="30" xfId="0" applyNumberForma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179" fontId="29" fillId="0" borderId="27" xfId="0" applyNumberFormat="1" applyFont="1" applyBorder="1" applyAlignment="1">
      <alignment horizontal="center" vertical="center"/>
    </xf>
    <xf numFmtId="179" fontId="29" fillId="0" borderId="28" xfId="0" applyNumberFormat="1" applyFont="1" applyBorder="1" applyAlignment="1">
      <alignment horizontal="center" vertical="center"/>
    </xf>
    <xf numFmtId="179" fontId="29" fillId="0" borderId="25" xfId="0" applyNumberFormat="1" applyFont="1" applyBorder="1" applyAlignment="1">
      <alignment horizontal="center" vertical="center"/>
    </xf>
    <xf numFmtId="179" fontId="71" fillId="5" borderId="22" xfId="0" applyNumberFormat="1" applyFont="1" applyFill="1" applyBorder="1" applyAlignment="1">
      <alignment horizontal="center" vertical="center"/>
    </xf>
    <xf numFmtId="0" fontId="71" fillId="5" borderId="22" xfId="0" applyFont="1" applyFill="1" applyBorder="1" applyAlignment="1">
      <alignment horizontal="center" vertical="center"/>
    </xf>
    <xf numFmtId="179" fontId="29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0" fontId="31" fillId="0" borderId="37" xfId="0" applyFont="1" applyBorder="1" applyAlignment="1">
      <alignment horizontal="left" vertical="center"/>
    </xf>
    <xf numFmtId="0" fontId="31" fillId="0" borderId="26" xfId="0" applyFont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22" fillId="0" borderId="27" xfId="0" applyFont="1" applyBorder="1" applyAlignment="1">
      <alignment horizontal="left" shrinkToFit="1"/>
    </xf>
    <xf numFmtId="0" fontId="22" fillId="0" borderId="28" xfId="0" applyFont="1" applyBorder="1" applyAlignment="1">
      <alignment horizontal="left" shrinkToFit="1"/>
    </xf>
    <xf numFmtId="0" fontId="22" fillId="0" borderId="25" xfId="0" applyFont="1" applyBorder="1" applyAlignment="1">
      <alignment horizontal="left" shrinkToFit="1"/>
    </xf>
    <xf numFmtId="0" fontId="52" fillId="0" borderId="0" xfId="0" applyFont="1" applyAlignment="1">
      <alignment horizontal="left" vertical="center" shrinkToFit="1"/>
    </xf>
    <xf numFmtId="0" fontId="53" fillId="0" borderId="0" xfId="0" applyFont="1" applyAlignment="1">
      <alignment horizontal="left" vertical="center" shrinkToFit="1"/>
    </xf>
    <xf numFmtId="0" fontId="51" fillId="0" borderId="31" xfId="0" applyFont="1" applyBorder="1" applyAlignment="1">
      <alignment horizontal="left" vertical="top" wrapText="1"/>
    </xf>
    <xf numFmtId="0" fontId="82" fillId="0" borderId="32" xfId="0" applyFont="1" applyBorder="1" applyAlignment="1">
      <alignment horizontal="left" vertical="top" wrapText="1"/>
    </xf>
    <xf numFmtId="0" fontId="82" fillId="0" borderId="33" xfId="0" applyFont="1" applyBorder="1" applyAlignment="1">
      <alignment horizontal="left" vertical="top" wrapText="1"/>
    </xf>
    <xf numFmtId="0" fontId="82" fillId="0" borderId="34" xfId="0" applyFont="1" applyBorder="1" applyAlignment="1">
      <alignment horizontal="left" vertical="top" wrapText="1"/>
    </xf>
    <xf numFmtId="0" fontId="82" fillId="0" borderId="35" xfId="0" applyFont="1" applyBorder="1" applyAlignment="1">
      <alignment horizontal="left" vertical="top" wrapText="1"/>
    </xf>
    <xf numFmtId="0" fontId="82" fillId="0" borderId="36" xfId="0" applyFont="1" applyBorder="1" applyAlignment="1">
      <alignment horizontal="left" vertical="top" wrapText="1"/>
    </xf>
    <xf numFmtId="0" fontId="22" fillId="0" borderId="22" xfId="0" applyFont="1" applyBorder="1" applyAlignment="1">
      <alignment horizontal="center" vertical="center" shrinkToFit="1"/>
    </xf>
    <xf numFmtId="0" fontId="43" fillId="2" borderId="22" xfId="0" applyFont="1" applyFill="1" applyBorder="1" applyAlignment="1">
      <alignment horizontal="center" vertical="center" shrinkToFit="1"/>
    </xf>
    <xf numFmtId="0" fontId="54" fillId="0" borderId="22" xfId="0" applyFont="1" applyBorder="1" applyAlignment="1">
      <alignment horizontal="center" vertical="center" shrinkToFit="1"/>
    </xf>
    <xf numFmtId="0" fontId="24" fillId="0" borderId="22" xfId="0" applyFont="1" applyBorder="1" applyAlignment="1">
      <alignment shrinkToFit="1"/>
    </xf>
    <xf numFmtId="0" fontId="54" fillId="0" borderId="22" xfId="0" applyFont="1" applyBorder="1" applyAlignment="1">
      <alignment shrinkToFit="1"/>
    </xf>
    <xf numFmtId="0" fontId="43" fillId="0" borderId="22" xfId="0" applyFont="1" applyBorder="1" applyAlignment="1">
      <alignment shrinkToFit="1"/>
    </xf>
    <xf numFmtId="0" fontId="87" fillId="0" borderId="31" xfId="0" applyFont="1" applyBorder="1" applyAlignment="1">
      <alignment horizontal="left" vertical="top" wrapText="1" shrinkToFit="1"/>
    </xf>
    <xf numFmtId="0" fontId="87" fillId="0" borderId="32" xfId="0" applyFont="1" applyBorder="1" applyAlignment="1">
      <alignment horizontal="left" vertical="top" wrapText="1" shrinkToFit="1"/>
    </xf>
    <xf numFmtId="0" fontId="87" fillId="0" borderId="33" xfId="0" applyFont="1" applyBorder="1" applyAlignment="1">
      <alignment horizontal="left" vertical="top" wrapText="1" shrinkToFit="1"/>
    </xf>
    <xf numFmtId="0" fontId="87" fillId="0" borderId="34" xfId="0" applyFont="1" applyBorder="1" applyAlignment="1">
      <alignment horizontal="left" vertical="top" wrapText="1" shrinkToFit="1"/>
    </xf>
    <xf numFmtId="0" fontId="87" fillId="0" borderId="35" xfId="0" applyFont="1" applyBorder="1" applyAlignment="1">
      <alignment horizontal="left" vertical="top" wrapText="1" shrinkToFit="1"/>
    </xf>
    <xf numFmtId="0" fontId="87" fillId="0" borderId="36" xfId="0" applyFont="1" applyBorder="1" applyAlignment="1">
      <alignment horizontal="left" vertical="top" wrapText="1" shrinkToFit="1"/>
    </xf>
    <xf numFmtId="0" fontId="22" fillId="0" borderId="27" xfId="0" applyFont="1" applyBorder="1" applyAlignment="1">
      <alignment horizontal="center" shrinkToFit="1"/>
    </xf>
    <xf numFmtId="0" fontId="22" fillId="0" borderId="25" xfId="0" applyFont="1" applyBorder="1" applyAlignment="1">
      <alignment horizontal="center" shrinkToFit="1"/>
    </xf>
    <xf numFmtId="0" fontId="84" fillId="0" borderId="31" xfId="0" applyFont="1" applyBorder="1" applyAlignment="1">
      <alignment horizontal="center" vertical="top" wrapText="1"/>
    </xf>
    <xf numFmtId="0" fontId="84" fillId="0" borderId="32" xfId="0" applyFont="1" applyBorder="1" applyAlignment="1">
      <alignment horizontal="center" vertical="top" wrapText="1"/>
    </xf>
    <xf numFmtId="0" fontId="84" fillId="0" borderId="35" xfId="0" applyFont="1" applyBorder="1" applyAlignment="1">
      <alignment horizontal="center" vertical="top" wrapText="1"/>
    </xf>
    <xf numFmtId="0" fontId="84" fillId="0" borderId="36" xfId="0" applyFont="1" applyBorder="1" applyAlignment="1">
      <alignment horizontal="center" vertical="top" wrapText="1"/>
    </xf>
    <xf numFmtId="0" fontId="82" fillId="0" borderId="35" xfId="0" applyFont="1" applyBorder="1" applyAlignment="1">
      <alignment horizontal="center" vertical="top" wrapText="1"/>
    </xf>
    <xf numFmtId="0" fontId="82" fillId="0" borderId="36" xfId="0" applyFont="1" applyBorder="1" applyAlignment="1">
      <alignment horizontal="center" vertical="top" wrapText="1"/>
    </xf>
    <xf numFmtId="0" fontId="51" fillId="0" borderId="22" xfId="0" applyFont="1" applyBorder="1" applyAlignment="1">
      <alignment shrinkToFit="1"/>
    </xf>
    <xf numFmtId="0" fontId="51" fillId="0" borderId="31" xfId="0" applyFont="1" applyBorder="1" applyAlignment="1">
      <alignment horizontal="left" vertical="center" wrapText="1" shrinkToFit="1"/>
    </xf>
    <xf numFmtId="0" fontId="51" fillId="0" borderId="32" xfId="0" applyFont="1" applyBorder="1" applyAlignment="1">
      <alignment horizontal="left" vertical="center" wrapText="1" shrinkToFit="1"/>
    </xf>
    <xf numFmtId="0" fontId="51" fillId="0" borderId="35" xfId="0" applyFont="1" applyBorder="1" applyAlignment="1">
      <alignment horizontal="left" vertical="center" wrapText="1" shrinkToFit="1"/>
    </xf>
    <xf numFmtId="0" fontId="51" fillId="0" borderId="36" xfId="0" applyFont="1" applyBorder="1" applyAlignment="1">
      <alignment horizontal="left" vertical="center" wrapText="1" shrinkToFit="1"/>
    </xf>
    <xf numFmtId="0" fontId="43" fillId="2" borderId="22" xfId="0" applyFont="1" applyFill="1" applyBorder="1" applyAlignment="1">
      <alignment horizontal="center" shrinkToFit="1"/>
    </xf>
    <xf numFmtId="0" fontId="54" fillId="0" borderId="22" xfId="0" applyFont="1" applyBorder="1" applyAlignment="1">
      <alignment horizontal="center" shrinkToFit="1"/>
    </xf>
    <xf numFmtId="0" fontId="24" fillId="0" borderId="27" xfId="0" applyFont="1" applyBorder="1" applyAlignment="1">
      <alignment horizontal="left" shrinkToFit="1"/>
    </xf>
    <xf numFmtId="0" fontId="24" fillId="0" borderId="28" xfId="0" applyFont="1" applyBorder="1" applyAlignment="1">
      <alignment horizontal="left" shrinkToFit="1"/>
    </xf>
    <xf numFmtId="0" fontId="24" fillId="0" borderId="25" xfId="0" applyFont="1" applyBorder="1" applyAlignment="1">
      <alignment horizontal="left" shrinkToFit="1"/>
    </xf>
    <xf numFmtId="0" fontId="18" fillId="0" borderId="22" xfId="0" applyFont="1" applyBorder="1" applyAlignment="1">
      <alignment shrinkToFit="1"/>
    </xf>
    <xf numFmtId="0" fontId="18" fillId="0" borderId="31" xfId="0" applyFont="1" applyBorder="1" applyAlignment="1">
      <alignment horizontal="left" wrapText="1"/>
    </xf>
    <xf numFmtId="0" fontId="18" fillId="0" borderId="32" xfId="0" applyFont="1" applyBorder="1" applyAlignment="1">
      <alignment horizontal="left" wrapText="1"/>
    </xf>
    <xf numFmtId="0" fontId="18" fillId="0" borderId="33" xfId="0" applyFont="1" applyBorder="1" applyAlignment="1">
      <alignment horizontal="left" wrapText="1"/>
    </xf>
    <xf numFmtId="0" fontId="18" fillId="0" borderId="34" xfId="0" applyFont="1" applyBorder="1" applyAlignment="1">
      <alignment horizontal="left" wrapText="1"/>
    </xf>
    <xf numFmtId="0" fontId="18" fillId="0" borderId="35" xfId="0" applyFont="1" applyBorder="1" applyAlignment="1">
      <alignment horizontal="left" wrapText="1"/>
    </xf>
    <xf numFmtId="0" fontId="18" fillId="0" borderId="36" xfId="0" applyFont="1" applyBorder="1" applyAlignment="1">
      <alignment horizontal="left" wrapText="1"/>
    </xf>
    <xf numFmtId="0" fontId="54" fillId="0" borderId="27" xfId="0" applyFont="1" applyBorder="1" applyAlignment="1">
      <alignment horizontal="left" shrinkToFit="1"/>
    </xf>
    <xf numFmtId="0" fontId="54" fillId="0" borderId="28" xfId="0" applyFont="1" applyBorder="1" applyAlignment="1">
      <alignment horizontal="left" shrinkToFit="1"/>
    </xf>
    <xf numFmtId="0" fontId="54" fillId="0" borderId="25" xfId="0" applyFont="1" applyBorder="1" applyAlignment="1">
      <alignment horizontal="left" shrinkToFit="1"/>
    </xf>
    <xf numFmtId="0" fontId="88" fillId="0" borderId="31" xfId="0" applyFont="1" applyBorder="1" applyAlignment="1">
      <alignment horizontal="center" vertical="center" wrapText="1" shrinkToFit="1"/>
    </xf>
    <xf numFmtId="0" fontId="88" fillId="0" borderId="32" xfId="0" applyFont="1" applyBorder="1" applyAlignment="1">
      <alignment horizontal="center" vertical="center" wrapText="1" shrinkToFit="1"/>
    </xf>
    <xf numFmtId="0" fontId="88" fillId="0" borderId="33" xfId="0" applyFont="1" applyBorder="1" applyAlignment="1">
      <alignment horizontal="center" vertical="center" wrapText="1" shrinkToFit="1"/>
    </xf>
    <xf numFmtId="0" fontId="88" fillId="0" borderId="34" xfId="0" applyFont="1" applyBorder="1" applyAlignment="1">
      <alignment horizontal="center" vertical="center" wrapText="1" shrinkToFit="1"/>
    </xf>
    <xf numFmtId="0" fontId="43" fillId="0" borderId="27" xfId="0" applyFont="1" applyBorder="1" applyAlignment="1">
      <alignment shrinkToFit="1"/>
    </xf>
    <xf numFmtId="0" fontId="43" fillId="0" borderId="25" xfId="0" applyFont="1" applyBorder="1" applyAlignment="1">
      <alignment shrinkToFit="1"/>
    </xf>
    <xf numFmtId="0" fontId="24" fillId="0" borderId="27" xfId="0" applyFont="1" applyBorder="1" applyAlignment="1">
      <alignment shrinkToFit="1"/>
    </xf>
    <xf numFmtId="0" fontId="24" fillId="0" borderId="25" xfId="0" applyFont="1" applyBorder="1" applyAlignment="1">
      <alignment shrinkToFit="1"/>
    </xf>
    <xf numFmtId="0" fontId="43" fillId="2" borderId="27" xfId="0" applyFont="1" applyFill="1" applyBorder="1" applyAlignment="1">
      <alignment horizontal="center" shrinkToFit="1"/>
    </xf>
    <xf numFmtId="0" fontId="43" fillId="2" borderId="25" xfId="0" applyFont="1" applyFill="1" applyBorder="1" applyAlignment="1">
      <alignment horizontal="center" shrinkToFit="1"/>
    </xf>
    <xf numFmtId="0" fontId="43" fillId="2" borderId="28" xfId="0" applyFont="1" applyFill="1" applyBorder="1" applyAlignment="1">
      <alignment horizontal="center" shrinkToFit="1"/>
    </xf>
    <xf numFmtId="0" fontId="22" fillId="0" borderId="23" xfId="0" applyFont="1" applyBorder="1" applyAlignment="1">
      <alignment horizontal="center" vertical="center" shrinkToFit="1"/>
    </xf>
    <xf numFmtId="0" fontId="22" fillId="0" borderId="29" xfId="0" applyFont="1" applyBorder="1" applyAlignment="1">
      <alignment horizontal="center" vertical="center" shrinkToFit="1"/>
    </xf>
    <xf numFmtId="0" fontId="22" fillId="0" borderId="30" xfId="0" applyFont="1" applyBorder="1" applyAlignment="1">
      <alignment horizontal="center" vertical="center" shrinkToFit="1"/>
    </xf>
    <xf numFmtId="0" fontId="43" fillId="2" borderId="23" xfId="0" applyFont="1" applyFill="1" applyBorder="1" applyAlignment="1">
      <alignment horizontal="center" vertical="center" shrinkToFit="1"/>
    </xf>
    <xf numFmtId="0" fontId="43" fillId="2" borderId="29" xfId="0" applyFont="1" applyFill="1" applyBorder="1" applyAlignment="1">
      <alignment horizontal="center" vertical="center" shrinkToFit="1"/>
    </xf>
    <xf numFmtId="0" fontId="43" fillId="2" borderId="30" xfId="0" applyFont="1" applyFill="1" applyBorder="1" applyAlignment="1">
      <alignment horizontal="center" vertical="center" shrinkToFit="1"/>
    </xf>
    <xf numFmtId="0" fontId="18" fillId="0" borderId="27" xfId="0" applyFont="1" applyBorder="1" applyAlignment="1">
      <alignment shrinkToFit="1"/>
    </xf>
    <xf numFmtId="0" fontId="51" fillId="0" borderId="27" xfId="0" applyFont="1" applyBorder="1" applyAlignment="1">
      <alignment shrinkToFit="1"/>
    </xf>
    <xf numFmtId="0" fontId="43" fillId="2" borderId="27" xfId="0" applyFont="1" applyFill="1" applyBorder="1" applyAlignment="1">
      <alignment horizontal="center" vertical="center" shrinkToFit="1"/>
    </xf>
    <xf numFmtId="0" fontId="43" fillId="2" borderId="25" xfId="0" applyFont="1" applyFill="1" applyBorder="1" applyAlignment="1">
      <alignment horizontal="center" vertical="center" shrinkToFit="1"/>
    </xf>
    <xf numFmtId="0" fontId="43" fillId="2" borderId="28" xfId="0" applyFont="1" applyFill="1" applyBorder="1" applyAlignment="1">
      <alignment horizontal="center" vertical="center" shrinkToFit="1"/>
    </xf>
    <xf numFmtId="0" fontId="51" fillId="0" borderId="27" xfId="0" applyFont="1" applyBorder="1" applyAlignment="1">
      <alignment vertical="center" shrinkToFit="1"/>
    </xf>
    <xf numFmtId="0" fontId="43" fillId="0" borderId="25" xfId="0" applyFont="1" applyBorder="1" applyAlignment="1">
      <alignment vertical="center" shrinkToFit="1"/>
    </xf>
    <xf numFmtId="0" fontId="43" fillId="0" borderId="28" xfId="0" applyFont="1" applyBorder="1" applyAlignment="1">
      <alignment shrinkToFit="1"/>
    </xf>
    <xf numFmtId="0" fontId="24" fillId="0" borderId="28" xfId="0" applyFont="1" applyBorder="1" applyAlignment="1">
      <alignment shrinkToFit="1"/>
    </xf>
    <xf numFmtId="0" fontId="40" fillId="0" borderId="0" xfId="11" applyFont="1" applyAlignment="1">
      <alignment horizontal="center" vertical="center" shrinkToFit="1"/>
    </xf>
    <xf numFmtId="0" fontId="52" fillId="0" borderId="0" xfId="11" applyFont="1" applyAlignment="1">
      <alignment horizontal="left" vertical="center" shrinkToFit="1"/>
    </xf>
    <xf numFmtId="0" fontId="44" fillId="0" borderId="22" xfId="11" applyFont="1" applyBorder="1" applyAlignment="1">
      <alignment horizontal="center" vertical="center"/>
    </xf>
    <xf numFmtId="0" fontId="24" fillId="0" borderId="22" xfId="11" applyFont="1" applyBorder="1" applyAlignment="1">
      <alignment horizontal="center" vertical="center" shrinkToFit="1"/>
    </xf>
    <xf numFmtId="0" fontId="24" fillId="0" borderId="37" xfId="11" applyFont="1" applyBorder="1" applyAlignment="1">
      <alignment horizontal="center" vertical="center" shrinkToFit="1"/>
    </xf>
    <xf numFmtId="0" fontId="24" fillId="0" borderId="0" xfId="11" applyFont="1" applyAlignment="1">
      <alignment horizontal="center" vertical="center" shrinkToFit="1"/>
    </xf>
    <xf numFmtId="0" fontId="22" fillId="0" borderId="22" xfId="11" applyFont="1" applyBorder="1" applyAlignment="1">
      <alignment horizontal="center" vertical="center" shrinkToFit="1"/>
    </xf>
    <xf numFmtId="0" fontId="22" fillId="0" borderId="22" xfId="11" applyFont="1" applyBorder="1" applyAlignment="1">
      <alignment horizontal="center" shrinkToFit="1"/>
    </xf>
    <xf numFmtId="0" fontId="59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2" fillId="0" borderId="27" xfId="11" applyFont="1" applyBorder="1" applyAlignment="1">
      <alignment horizontal="center" vertical="center" shrinkToFit="1"/>
    </xf>
    <xf numFmtId="0" fontId="22" fillId="0" borderId="25" xfId="11" applyFont="1" applyBorder="1" applyAlignment="1">
      <alignment horizontal="center" vertical="center" shrinkToFit="1"/>
    </xf>
    <xf numFmtId="0" fontId="22" fillId="0" borderId="27" xfId="11" applyFont="1" applyBorder="1" applyAlignment="1">
      <alignment horizontal="center" shrinkToFit="1"/>
    </xf>
    <xf numFmtId="0" fontId="22" fillId="0" borderId="58" xfId="11" applyFont="1" applyBorder="1" applyAlignment="1">
      <alignment horizontal="center" shrinkToFit="1"/>
    </xf>
    <xf numFmtId="0" fontId="59" fillId="0" borderId="27" xfId="11" applyFont="1" applyBorder="1" applyAlignment="1">
      <alignment horizontal="center" vertical="center" shrinkToFit="1"/>
    </xf>
    <xf numFmtId="0" fontId="59" fillId="0" borderId="25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58" xfId="11" applyFont="1" applyBorder="1" applyAlignment="1">
      <alignment horizontal="center" vertical="center" shrinkToFit="1"/>
    </xf>
    <xf numFmtId="0" fontId="52" fillId="0" borderId="42" xfId="11" applyFont="1" applyBorder="1" applyAlignment="1">
      <alignment horizontal="left" vertical="center" shrinkToFit="1"/>
    </xf>
    <xf numFmtId="0" fontId="52" fillId="0" borderId="43" xfId="11" applyFont="1" applyBorder="1" applyAlignment="1">
      <alignment horizontal="left" vertical="center" shrinkToFit="1"/>
    </xf>
    <xf numFmtId="0" fontId="52" fillId="0" borderId="44" xfId="11" applyFont="1" applyBorder="1" applyAlignment="1">
      <alignment horizontal="left" vertical="center" shrinkToFit="1"/>
    </xf>
    <xf numFmtId="0" fontId="52" fillId="0" borderId="45" xfId="11" applyFont="1" applyBorder="1" applyAlignment="1">
      <alignment horizontal="left" vertical="center" shrinkToFit="1"/>
    </xf>
    <xf numFmtId="0" fontId="52" fillId="0" borderId="46" xfId="11" applyFont="1" applyBorder="1" applyAlignment="1">
      <alignment horizontal="left" vertical="center" shrinkToFit="1"/>
    </xf>
    <xf numFmtId="0" fontId="44" fillId="0" borderId="47" xfId="11" applyFont="1" applyBorder="1" applyAlignment="1">
      <alignment horizontal="center" vertical="center"/>
    </xf>
    <xf numFmtId="0" fontId="24" fillId="0" borderId="52" xfId="11" applyFont="1" applyBorder="1" applyAlignment="1">
      <alignment horizontal="center" vertical="center" shrinkToFit="1"/>
    </xf>
    <xf numFmtId="0" fontId="22" fillId="0" borderId="48" xfId="11" applyFont="1" applyBorder="1" applyAlignment="1">
      <alignment horizontal="center" vertical="center" shrinkToFit="1"/>
    </xf>
    <xf numFmtId="0" fontId="59" fillId="0" borderId="48" xfId="11" applyFont="1" applyBorder="1" applyAlignment="1">
      <alignment horizontal="center" vertical="center" shrinkToFit="1"/>
    </xf>
    <xf numFmtId="0" fontId="22" fillId="0" borderId="48" xfId="11" applyFont="1" applyBorder="1" applyAlignment="1">
      <alignment horizontal="center" shrinkToFit="1"/>
    </xf>
    <xf numFmtId="0" fontId="26" fillId="0" borderId="48" xfId="11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61" fillId="0" borderId="22" xfId="0" applyFont="1" applyBorder="1" applyAlignment="1">
      <alignment horizontal="center" vertical="center" shrinkToFit="1"/>
    </xf>
    <xf numFmtId="0" fontId="22" fillId="8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4" fillId="2" borderId="22" xfId="0" applyFont="1" applyFill="1" applyBorder="1" applyAlignment="1">
      <alignment horizontal="center" shrinkToFit="1"/>
    </xf>
    <xf numFmtId="0" fontId="3" fillId="0" borderId="2" xfId="0" applyFont="1" applyBorder="1" applyAlignment="1">
      <alignment shrinkToFit="1"/>
    </xf>
    <xf numFmtId="0" fontId="3" fillId="0" borderId="3" xfId="0" applyFont="1" applyBorder="1" applyAlignment="1">
      <alignment shrinkToFit="1"/>
    </xf>
    <xf numFmtId="0" fontId="43" fillId="2" borderId="4" xfId="0" applyFont="1" applyFill="1" applyBorder="1" applyAlignment="1">
      <alignment horizontal="center" vertical="center" shrinkToFit="1"/>
    </xf>
    <xf numFmtId="0" fontId="43" fillId="2" borderId="3" xfId="0" applyFont="1" applyFill="1" applyBorder="1" applyAlignment="1">
      <alignment horizontal="center" vertical="center" shrinkToFit="1"/>
    </xf>
    <xf numFmtId="0" fontId="3" fillId="0" borderId="3" xfId="0" applyFont="1" applyBorder="1" applyAlignment="1">
      <alignment horizontal="center" shrinkToFit="1"/>
    </xf>
    <xf numFmtId="0" fontId="22" fillId="0" borderId="22" xfId="0" applyFont="1" applyBorder="1" applyAlignment="1">
      <alignment horizontal="center" vertical="center" wrapText="1" shrinkToFit="1"/>
    </xf>
    <xf numFmtId="0" fontId="24" fillId="2" borderId="4" xfId="0" applyFont="1" applyFill="1" applyBorder="1" applyAlignment="1">
      <alignment horizontal="center" vertical="center" shrinkToFit="1"/>
    </xf>
    <xf numFmtId="0" fontId="24" fillId="2" borderId="2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shrinkToFit="1"/>
    </xf>
    <xf numFmtId="0" fontId="24" fillId="2" borderId="22" xfId="0" applyFont="1" applyFill="1" applyBorder="1" applyAlignment="1">
      <alignment horizontal="center" vertical="center" shrinkToFit="1"/>
    </xf>
    <xf numFmtId="0" fontId="7" fillId="0" borderId="56" xfId="0" applyFont="1" applyBorder="1" applyAlignment="1">
      <alignment horizontal="center" shrinkToFit="1"/>
    </xf>
    <xf numFmtId="0" fontId="7" fillId="0" borderId="57" xfId="0" applyFont="1" applyBorder="1" applyAlignment="1">
      <alignment horizontal="center" shrinkToFit="1"/>
    </xf>
    <xf numFmtId="0" fontId="3" fillId="0" borderId="4" xfId="0" applyFont="1" applyBorder="1" applyAlignment="1">
      <alignment horizontal="center" shrinkToFit="1"/>
    </xf>
    <xf numFmtId="0" fontId="29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wrapText="1" shrinkToFit="1"/>
    </xf>
    <xf numFmtId="0" fontId="3" fillId="2" borderId="22" xfId="0" applyFont="1" applyFill="1" applyBorder="1" applyAlignment="1">
      <alignment horizontal="center" shrinkToFit="1"/>
    </xf>
    <xf numFmtId="0" fontId="3" fillId="2" borderId="22" xfId="0" applyFont="1" applyFill="1" applyBorder="1" applyAlignment="1">
      <alignment horizontal="center" vertical="center" shrinkToFit="1"/>
    </xf>
    <xf numFmtId="0" fontId="29" fillId="0" borderId="22" xfId="0" applyFont="1" applyBorder="1" applyAlignment="1">
      <alignment horizontal="center" vertical="center" wrapText="1" shrinkToFit="1"/>
    </xf>
    <xf numFmtId="0" fontId="3" fillId="2" borderId="39" xfId="0" applyFont="1" applyFill="1" applyBorder="1" applyAlignment="1">
      <alignment horizontal="center" shrinkToFit="1"/>
    </xf>
    <xf numFmtId="0" fontId="3" fillId="2" borderId="2" xfId="0" applyFont="1" applyFill="1" applyBorder="1" applyAlignment="1">
      <alignment horizontal="center" shrinkToFit="1"/>
    </xf>
    <xf numFmtId="0" fontId="3" fillId="2" borderId="3" xfId="0" applyFont="1" applyFill="1" applyBorder="1" applyAlignment="1">
      <alignment horizontal="center" shrinkToFit="1"/>
    </xf>
    <xf numFmtId="0" fontId="3" fillId="2" borderId="0" xfId="0" applyFont="1" applyFill="1" applyAlignment="1">
      <alignment horizontal="center" vertical="center" shrinkToFit="1"/>
    </xf>
    <xf numFmtId="0" fontId="3" fillId="2" borderId="40" xfId="0" applyFont="1" applyFill="1" applyBorder="1" applyAlignment="1">
      <alignment horizontal="center" vertical="center" shrinkToFit="1"/>
    </xf>
    <xf numFmtId="0" fontId="52" fillId="0" borderId="26" xfId="0" applyFont="1" applyBorder="1" applyAlignment="1">
      <alignment horizontal="left" vertical="center" shrinkToFit="1"/>
    </xf>
    <xf numFmtId="0" fontId="24" fillId="2" borderId="23" xfId="0" applyFont="1" applyFill="1" applyBorder="1" applyAlignment="1">
      <alignment horizontal="center" vertical="center" shrinkToFit="1"/>
    </xf>
    <xf numFmtId="0" fontId="24" fillId="2" borderId="33" xfId="0" applyFont="1" applyFill="1" applyBorder="1" applyAlignment="1">
      <alignment horizontal="center" vertical="center" shrinkToFit="1"/>
    </xf>
    <xf numFmtId="0" fontId="24" fillId="2" borderId="0" xfId="0" applyFont="1" applyFill="1" applyAlignment="1">
      <alignment horizontal="center" vertical="center" shrinkToFit="1"/>
    </xf>
    <xf numFmtId="0" fontId="24" fillId="0" borderId="0" xfId="0" applyFont="1" applyAlignment="1">
      <alignment horizontal="center" shrinkToFit="1"/>
    </xf>
    <xf numFmtId="0" fontId="24" fillId="0" borderId="38" xfId="0" applyFont="1" applyBorder="1" applyAlignment="1">
      <alignment horizontal="center" shrinkToFit="1"/>
    </xf>
    <xf numFmtId="0" fontId="24" fillId="2" borderId="29" xfId="0" applyFont="1" applyFill="1" applyBorder="1" applyAlignment="1">
      <alignment horizontal="center" vertical="center" shrinkToFit="1"/>
    </xf>
    <xf numFmtId="179" fontId="25" fillId="0" borderId="23" xfId="11" applyNumberFormat="1" applyFont="1" applyBorder="1" applyAlignment="1">
      <alignment horizontal="center" vertical="center"/>
    </xf>
    <xf numFmtId="179" fontId="25" fillId="0" borderId="29" xfId="11" applyNumberFormat="1" applyFont="1" applyBorder="1" applyAlignment="1">
      <alignment horizontal="center" vertical="center"/>
    </xf>
    <xf numFmtId="179" fontId="25" fillId="0" borderId="30" xfId="11" applyNumberFormat="1" applyFont="1" applyBorder="1" applyAlignment="1">
      <alignment horizontal="center" vertical="center"/>
    </xf>
    <xf numFmtId="0" fontId="70" fillId="0" borderId="23" xfId="11" applyFont="1" applyBorder="1" applyAlignment="1">
      <alignment horizontal="center" vertical="center"/>
    </xf>
    <xf numFmtId="0" fontId="70" fillId="0" borderId="29" xfId="11" applyFont="1" applyBorder="1" applyAlignment="1">
      <alignment horizontal="center" vertical="center"/>
    </xf>
    <xf numFmtId="0" fontId="70" fillId="0" borderId="30" xfId="11" applyFont="1" applyBorder="1" applyAlignment="1">
      <alignment horizontal="center" vertical="center"/>
    </xf>
    <xf numFmtId="0" fontId="34" fillId="5" borderId="22" xfId="12" applyFont="1" applyFill="1" applyBorder="1" applyAlignment="1">
      <alignment horizontal="center"/>
    </xf>
    <xf numFmtId="179" fontId="25" fillId="0" borderId="27" xfId="11" applyNumberFormat="1" applyFont="1" applyBorder="1" applyAlignment="1">
      <alignment horizontal="center" vertical="center"/>
    </xf>
    <xf numFmtId="0" fontId="25" fillId="0" borderId="27" xfId="11" applyFont="1" applyBorder="1" applyAlignment="1">
      <alignment horizontal="center" vertical="center"/>
    </xf>
    <xf numFmtId="0" fontId="70" fillId="0" borderId="22" xfId="11" applyFont="1" applyBorder="1" applyAlignment="1">
      <alignment horizontal="center" vertical="center"/>
    </xf>
    <xf numFmtId="0" fontId="25" fillId="0" borderId="22" xfId="11" applyFont="1" applyBorder="1" applyAlignment="1">
      <alignment horizontal="center" vertical="center"/>
    </xf>
    <xf numFmtId="0" fontId="32" fillId="5" borderId="22" xfId="12" applyFont="1" applyFill="1" applyBorder="1" applyAlignment="1">
      <alignment horizontal="center" vertical="center"/>
    </xf>
    <xf numFmtId="0" fontId="32" fillId="5" borderId="22" xfId="5" applyFont="1" applyFill="1" applyBorder="1" applyAlignment="1">
      <alignment horizontal="center" vertical="center"/>
    </xf>
    <xf numFmtId="0" fontId="36" fillId="0" borderId="26" xfId="11" applyFont="1" applyBorder="1" applyAlignment="1">
      <alignment horizontal="center" vertical="center"/>
    </xf>
    <xf numFmtId="0" fontId="28" fillId="0" borderId="26" xfId="11" applyFont="1" applyBorder="1" applyAlignment="1">
      <alignment horizontal="center" vertical="center"/>
    </xf>
    <xf numFmtId="0" fontId="25" fillId="5" borderId="31" xfId="11" applyFont="1" applyFill="1" applyBorder="1" applyAlignment="1">
      <alignment horizontal="center" vertical="center"/>
    </xf>
    <xf numFmtId="0" fontId="25" fillId="5" borderId="32" xfId="11" applyFont="1" applyFill="1" applyBorder="1" applyAlignment="1">
      <alignment horizontal="center" vertical="center"/>
    </xf>
    <xf numFmtId="0" fontId="25" fillId="5" borderId="33" xfId="11" applyFont="1" applyFill="1" applyBorder="1" applyAlignment="1">
      <alignment horizontal="center" vertical="center"/>
    </xf>
    <xf numFmtId="0" fontId="25" fillId="5" borderId="34" xfId="11" applyFont="1" applyFill="1" applyBorder="1" applyAlignment="1">
      <alignment horizontal="center" vertical="center"/>
    </xf>
    <xf numFmtId="0" fontId="25" fillId="5" borderId="35" xfId="11" applyFont="1" applyFill="1" applyBorder="1" applyAlignment="1">
      <alignment horizontal="center" vertical="center"/>
    </xf>
    <xf numFmtId="0" fontId="25" fillId="5" borderId="36" xfId="11" applyFont="1" applyFill="1" applyBorder="1" applyAlignment="1">
      <alignment horizontal="center" vertical="center"/>
    </xf>
    <xf numFmtId="0" fontId="32" fillId="5" borderId="31" xfId="5" applyFont="1" applyFill="1" applyBorder="1" applyAlignment="1">
      <alignment horizontal="center" vertical="center"/>
    </xf>
    <xf numFmtId="0" fontId="32" fillId="5" borderId="33" xfId="5" applyFont="1" applyFill="1" applyBorder="1" applyAlignment="1">
      <alignment horizontal="center" vertical="center"/>
    </xf>
    <xf numFmtId="0" fontId="32" fillId="5" borderId="35" xfId="5" applyFont="1" applyFill="1" applyBorder="1" applyAlignment="1">
      <alignment horizontal="center" vertical="center"/>
    </xf>
    <xf numFmtId="0" fontId="32" fillId="5" borderId="23" xfId="5" applyFont="1" applyFill="1" applyBorder="1" applyAlignment="1">
      <alignment horizontal="center" vertical="center"/>
    </xf>
    <xf numFmtId="0" fontId="32" fillId="5" borderId="29" xfId="5" applyFont="1" applyFill="1" applyBorder="1" applyAlignment="1">
      <alignment horizontal="center" vertical="center"/>
    </xf>
    <xf numFmtId="0" fontId="32" fillId="5" borderId="30" xfId="5" applyFont="1" applyFill="1" applyBorder="1" applyAlignment="1">
      <alignment horizontal="center" vertical="center"/>
    </xf>
    <xf numFmtId="0" fontId="32" fillId="5" borderId="22" xfId="12" applyFont="1" applyFill="1" applyBorder="1" applyAlignment="1">
      <alignment horizontal="center" vertical="center" wrapText="1"/>
    </xf>
    <xf numFmtId="0" fontId="34" fillId="5" borderId="27" xfId="12" applyFont="1" applyFill="1" applyBorder="1" applyAlignment="1">
      <alignment horizontal="center"/>
    </xf>
    <xf numFmtId="0" fontId="34" fillId="5" borderId="28" xfId="12" applyFont="1" applyFill="1" applyBorder="1" applyAlignment="1">
      <alignment horizontal="center"/>
    </xf>
    <xf numFmtId="0" fontId="34" fillId="5" borderId="25" xfId="12" applyFont="1" applyFill="1" applyBorder="1" applyAlignment="1">
      <alignment horizontal="center"/>
    </xf>
    <xf numFmtId="0" fontId="33" fillId="5" borderId="22" xfId="5" applyFont="1" applyFill="1" applyBorder="1" applyAlignment="1">
      <alignment horizontal="center"/>
    </xf>
  </cellXfs>
  <cellStyles count="15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3 2" xfId="6" xr:uid="{00000000-0005-0000-0000-000005000000}"/>
    <cellStyle name="一般 2 2 30 3 30" xfId="7" xr:uid="{00000000-0005-0000-0000-000006000000}"/>
    <cellStyle name="一般 3" xfId="11" xr:uid="{00000000-0005-0000-0000-000007000000}"/>
    <cellStyle name="一般 4" xfId="5" xr:uid="{00000000-0005-0000-0000-000008000000}"/>
    <cellStyle name="千分位" xfId="14" builtinId="3"/>
    <cellStyle name="千分位 2" xfId="2" xr:uid="{00000000-0005-0000-0000-00000A000000}"/>
    <cellStyle name="百分比 2" xfId="8" xr:uid="{00000000-0005-0000-0000-00000B000000}"/>
    <cellStyle name="百分比 2 2" xfId="10" xr:uid="{00000000-0005-0000-0000-00000C000000}"/>
    <cellStyle name="百分比 3" xfId="3" xr:uid="{00000000-0005-0000-0000-00000D000000}"/>
    <cellStyle name="百分比 4" xfId="13" xr:uid="{00000000-0005-0000-0000-00000E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09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7">
          <cell r="P47">
            <v>13</v>
          </cell>
          <cell r="Q47">
            <v>1412.9999999999993</v>
          </cell>
          <cell r="R47">
            <v>108.69230769230764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>
        <row r="52">
          <cell r="P52" t="str">
            <v/>
          </cell>
          <cell r="Q52" t="str">
            <v/>
          </cell>
          <cell r="R52" t="str">
            <v/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0</v>
      </c>
      <c r="C2" s="47" t="s">
        <v>1</v>
      </c>
      <c r="D2" s="5" t="s">
        <v>2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3</v>
      </c>
      <c r="B4" s="67"/>
      <c r="C4" s="67"/>
      <c r="D4" s="67"/>
      <c r="E4" s="61" t="s">
        <v>4</v>
      </c>
      <c r="G4" s="60" t="s">
        <v>5</v>
      </c>
      <c r="H4" s="67"/>
      <c r="I4" s="67"/>
      <c r="J4" s="67"/>
      <c r="K4" s="67"/>
      <c r="M4" s="60" t="s">
        <v>6</v>
      </c>
      <c r="N4" s="67"/>
      <c r="O4" s="67"/>
      <c r="P4" s="67"/>
      <c r="Q4" s="67"/>
      <c r="R4" s="67"/>
      <c r="S4" s="60" t="s">
        <v>7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15</v>
      </c>
      <c r="P5" s="49" t="s">
        <v>13</v>
      </c>
      <c r="Q5" s="49" t="s">
        <v>16</v>
      </c>
      <c r="R5" s="67"/>
      <c r="S5" s="7"/>
      <c r="T5" s="49" t="s">
        <v>8</v>
      </c>
      <c r="U5" s="49" t="s">
        <v>15</v>
      </c>
      <c r="V5" s="49" t="s">
        <v>13</v>
      </c>
      <c r="W5" s="49" t="s">
        <v>16</v>
      </c>
    </row>
    <row r="6" spans="1:23" ht="15.75" customHeight="1">
      <c r="A6" s="49" t="s">
        <v>17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18</v>
      </c>
      <c r="H6" s="11">
        <v>110</v>
      </c>
      <c r="I6" s="11">
        <v>100</v>
      </c>
      <c r="J6" s="11">
        <v>90</v>
      </c>
      <c r="K6" s="12"/>
      <c r="L6" s="62" t="s">
        <v>19</v>
      </c>
      <c r="M6" s="49" t="s">
        <v>20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20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21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22</v>
      </c>
      <c r="H7" s="14">
        <v>0.8</v>
      </c>
      <c r="I7" s="14">
        <v>0.85</v>
      </c>
      <c r="J7" s="14">
        <v>0.81</v>
      </c>
      <c r="K7" s="14">
        <v>0.84</v>
      </c>
      <c r="L7" s="66" t="s">
        <v>23</v>
      </c>
      <c r="M7" s="49" t="s">
        <v>24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24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27</v>
      </c>
      <c r="M8" s="49" t="s">
        <v>28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28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29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30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31</v>
      </c>
      <c r="M9" s="49" t="s">
        <v>32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32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33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34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35</v>
      </c>
      <c r="M10" s="49" t="s">
        <v>36</v>
      </c>
      <c r="N10" s="9" t="s">
        <v>37</v>
      </c>
      <c r="O10" s="13" t="str">
        <f t="shared" si="2"/>
        <v/>
      </c>
      <c r="P10" s="4" t="s">
        <v>38</v>
      </c>
      <c r="Q10" s="13" t="str">
        <f t="shared" si="3"/>
        <v/>
      </c>
      <c r="S10" s="49" t="s">
        <v>36</v>
      </c>
      <c r="T10" s="9" t="s">
        <v>37</v>
      </c>
      <c r="U10" s="13" t="str">
        <f t="shared" si="4"/>
        <v/>
      </c>
      <c r="V10" s="4" t="s">
        <v>38</v>
      </c>
      <c r="W10" s="13" t="str">
        <f t="shared" si="5"/>
        <v/>
      </c>
    </row>
    <row r="11" spans="1:23" ht="15.75" customHeight="1">
      <c r="A11" s="49" t="s">
        <v>39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40</v>
      </c>
      <c r="H11" s="14">
        <v>0.8</v>
      </c>
      <c r="I11" s="14">
        <v>0.85</v>
      </c>
      <c r="J11" s="14">
        <v>1</v>
      </c>
      <c r="K11" s="14">
        <v>0.92</v>
      </c>
      <c r="L11" s="62" t="s">
        <v>41</v>
      </c>
      <c r="M11" s="49" t="s">
        <v>42</v>
      </c>
      <c r="N11" s="9" t="s">
        <v>37</v>
      </c>
      <c r="O11" s="13" t="str">
        <f t="shared" si="2"/>
        <v/>
      </c>
      <c r="P11" s="4" t="s">
        <v>38</v>
      </c>
      <c r="Q11" s="13" t="str">
        <f t="shared" si="3"/>
        <v/>
      </c>
      <c r="S11" s="49" t="s">
        <v>42</v>
      </c>
      <c r="T11" s="9" t="s">
        <v>37</v>
      </c>
      <c r="U11" s="13" t="str">
        <f t="shared" si="4"/>
        <v/>
      </c>
      <c r="V11" s="4" t="s">
        <v>38</v>
      </c>
      <c r="W11" s="13" t="str">
        <f t="shared" si="5"/>
        <v/>
      </c>
    </row>
    <row r="12" spans="1:23" ht="15.75" customHeight="1">
      <c r="M12" s="49" t="s">
        <v>43</v>
      </c>
      <c r="N12" s="9" t="s">
        <v>37</v>
      </c>
      <c r="O12" s="13" t="str">
        <f t="shared" si="2"/>
        <v/>
      </c>
      <c r="P12" s="4" t="s">
        <v>38</v>
      </c>
      <c r="Q12" s="13" t="str">
        <f t="shared" si="3"/>
        <v/>
      </c>
      <c r="S12" s="49" t="s">
        <v>43</v>
      </c>
      <c r="T12" s="9" t="s">
        <v>37</v>
      </c>
      <c r="U12" s="13" t="str">
        <f t="shared" si="4"/>
        <v/>
      </c>
      <c r="V12" s="4" t="s">
        <v>38</v>
      </c>
      <c r="W12" s="13" t="str">
        <f t="shared" si="5"/>
        <v/>
      </c>
    </row>
    <row r="13" spans="1:23" ht="15.75" customHeight="1">
      <c r="A13" s="60" t="s">
        <v>44</v>
      </c>
      <c r="B13" s="67"/>
      <c r="C13" s="67"/>
      <c r="D13" s="67"/>
      <c r="E13" s="67"/>
      <c r="F13" s="67"/>
      <c r="M13" s="49" t="s">
        <v>45</v>
      </c>
      <c r="N13" s="9" t="s">
        <v>37</v>
      </c>
      <c r="O13" s="13" t="str">
        <f t="shared" si="2"/>
        <v/>
      </c>
      <c r="P13" s="4" t="s">
        <v>38</v>
      </c>
      <c r="Q13" s="13" t="str">
        <f t="shared" si="3"/>
        <v/>
      </c>
      <c r="S13" s="49" t="s">
        <v>45</v>
      </c>
      <c r="T13" s="9" t="s">
        <v>37</v>
      </c>
      <c r="U13" s="13" t="str">
        <f t="shared" si="4"/>
        <v/>
      </c>
      <c r="V13" s="4" t="s">
        <v>38</v>
      </c>
      <c r="W13" s="13" t="str">
        <f t="shared" si="5"/>
        <v/>
      </c>
    </row>
    <row r="14" spans="1:23" ht="12.75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20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36</v>
      </c>
      <c r="H15" s="4"/>
      <c r="I15" s="4"/>
      <c r="J15" s="16">
        <f t="shared" ref="J15:J18" si="12">H15-I15</f>
        <v>0</v>
      </c>
      <c r="K15" s="17"/>
      <c r="M15" s="60" t="s">
        <v>46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42</v>
      </c>
      <c r="H16" s="4"/>
      <c r="I16" s="4"/>
      <c r="J16" s="16">
        <f t="shared" si="12"/>
        <v>0</v>
      </c>
      <c r="K16" s="17"/>
      <c r="M16" s="18"/>
      <c r="N16" s="46" t="s">
        <v>47</v>
      </c>
      <c r="O16" s="19"/>
      <c r="P16" s="58" t="s">
        <v>48</v>
      </c>
      <c r="Q16" s="19"/>
      <c r="R16" s="51" t="s">
        <v>49</v>
      </c>
      <c r="S16" s="19"/>
    </row>
    <row r="17" spans="1:27" ht="15.75" customHeight="1">
      <c r="A17" s="49" t="s">
        <v>28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43</v>
      </c>
      <c r="H17" s="4"/>
      <c r="I17" s="4"/>
      <c r="J17" s="16">
        <f t="shared" si="12"/>
        <v>0</v>
      </c>
      <c r="K17" s="17"/>
      <c r="M17" s="20"/>
      <c r="N17" s="21" t="s">
        <v>50</v>
      </c>
      <c r="O17" s="50" t="s">
        <v>15</v>
      </c>
      <c r="P17" s="8" t="s">
        <v>50</v>
      </c>
      <c r="Q17" s="50" t="s">
        <v>15</v>
      </c>
      <c r="R17" s="8" t="s">
        <v>50</v>
      </c>
      <c r="S17" s="50" t="s">
        <v>15</v>
      </c>
    </row>
    <row r="18" spans="1:27" ht="15.75" customHeight="1">
      <c r="A18" s="49" t="s">
        <v>32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45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30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51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52</v>
      </c>
      <c r="C21" s="335" t="s">
        <v>53</v>
      </c>
      <c r="D21" s="333"/>
      <c r="E21" s="334"/>
      <c r="F21" s="49" t="s">
        <v>54</v>
      </c>
      <c r="G21" s="49" t="s">
        <v>55</v>
      </c>
      <c r="H21" s="49" t="s">
        <v>56</v>
      </c>
      <c r="I21" s="8" t="s">
        <v>57</v>
      </c>
      <c r="J21" s="348" t="s">
        <v>58</v>
      </c>
      <c r="K21" s="334"/>
      <c r="M21" s="60" t="s">
        <v>59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20</v>
      </c>
      <c r="B22" s="6">
        <v>1</v>
      </c>
      <c r="C22" s="337" t="s">
        <v>60</v>
      </c>
      <c r="D22" s="333"/>
      <c r="E22" s="334"/>
      <c r="F22" s="4">
        <v>3</v>
      </c>
      <c r="G22" s="4">
        <v>3000</v>
      </c>
      <c r="H22" s="4">
        <v>1000</v>
      </c>
      <c r="I22" s="4">
        <v>10</v>
      </c>
      <c r="J22" s="336" t="s">
        <v>61</v>
      </c>
      <c r="K22" s="334"/>
      <c r="M22" s="52" t="s">
        <v>26</v>
      </c>
      <c r="N22" s="57" t="s">
        <v>52</v>
      </c>
      <c r="O22" s="343" t="s">
        <v>53</v>
      </c>
      <c r="P22" s="333"/>
      <c r="Q22" s="334"/>
      <c r="R22" s="349" t="s">
        <v>62</v>
      </c>
      <c r="S22" s="333"/>
      <c r="T22" s="334"/>
      <c r="U22" s="57" t="s">
        <v>63</v>
      </c>
      <c r="V22" s="57" t="s">
        <v>27</v>
      </c>
      <c r="W22" s="57" t="s">
        <v>64</v>
      </c>
      <c r="X22" s="8" t="s">
        <v>50</v>
      </c>
      <c r="Y22" s="8" t="s">
        <v>57</v>
      </c>
      <c r="Z22" s="348" t="s">
        <v>58</v>
      </c>
      <c r="AA22" s="334"/>
    </row>
    <row r="23" spans="1:27" ht="15.75" customHeight="1">
      <c r="A23" s="23"/>
      <c r="B23" s="6">
        <v>2</v>
      </c>
      <c r="C23" s="332"/>
      <c r="D23" s="333"/>
      <c r="E23" s="334"/>
      <c r="F23" s="4"/>
      <c r="G23" s="4"/>
      <c r="H23" s="4"/>
      <c r="I23" s="4"/>
      <c r="J23" s="332"/>
      <c r="K23" s="334"/>
      <c r="M23" s="56" t="s">
        <v>48</v>
      </c>
      <c r="N23" s="24">
        <v>1</v>
      </c>
      <c r="O23" s="336" t="s">
        <v>65</v>
      </c>
      <c r="P23" s="333"/>
      <c r="Q23" s="334"/>
      <c r="R23" s="336" t="s">
        <v>66</v>
      </c>
      <c r="S23" s="333"/>
      <c r="T23" s="334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336" t="s">
        <v>67</v>
      </c>
      <c r="AA23" s="334"/>
    </row>
    <row r="24" spans="1:27" ht="15.75" customHeight="1">
      <c r="A24" s="23"/>
      <c r="B24" s="6">
        <v>3</v>
      </c>
      <c r="C24" s="332"/>
      <c r="D24" s="333"/>
      <c r="E24" s="334"/>
      <c r="F24" s="4"/>
      <c r="G24" s="4"/>
      <c r="H24" s="4"/>
      <c r="I24" s="4"/>
      <c r="J24" s="332"/>
      <c r="K24" s="334"/>
      <c r="M24" s="25"/>
      <c r="N24" s="24">
        <v>2</v>
      </c>
      <c r="O24" s="337"/>
      <c r="P24" s="333"/>
      <c r="Q24" s="334"/>
      <c r="R24" s="337"/>
      <c r="S24" s="333"/>
      <c r="T24" s="334"/>
      <c r="U24" s="4"/>
      <c r="V24" s="14"/>
      <c r="W24" s="4"/>
      <c r="X24" s="16">
        <f t="shared" si="16"/>
        <v>0</v>
      </c>
      <c r="Y24" s="4"/>
      <c r="Z24" s="337"/>
      <c r="AA24" s="334"/>
    </row>
    <row r="25" spans="1:27" ht="15.75" customHeight="1">
      <c r="A25" s="23"/>
      <c r="B25" s="6">
        <v>4</v>
      </c>
      <c r="C25" s="332"/>
      <c r="D25" s="333"/>
      <c r="E25" s="334"/>
      <c r="F25" s="4"/>
      <c r="G25" s="4"/>
      <c r="H25" s="4"/>
      <c r="I25" s="4"/>
      <c r="J25" s="332"/>
      <c r="K25" s="334"/>
      <c r="M25" s="25"/>
      <c r="N25" s="24">
        <v>3</v>
      </c>
      <c r="O25" s="337"/>
      <c r="P25" s="333"/>
      <c r="Q25" s="334"/>
      <c r="R25" s="337"/>
      <c r="S25" s="333"/>
      <c r="T25" s="334"/>
      <c r="U25" s="4"/>
      <c r="V25" s="14"/>
      <c r="W25" s="4"/>
      <c r="X25" s="16">
        <f t="shared" si="16"/>
        <v>0</v>
      </c>
      <c r="Y25" s="4"/>
      <c r="Z25" s="337"/>
      <c r="AA25" s="334"/>
    </row>
    <row r="26" spans="1:27" ht="15.75" customHeight="1">
      <c r="A26" s="23"/>
      <c r="B26" s="26">
        <v>5</v>
      </c>
      <c r="C26" s="346"/>
      <c r="D26" s="342"/>
      <c r="E26" s="339"/>
      <c r="F26" s="27"/>
      <c r="G26" s="27"/>
      <c r="H26" s="27"/>
      <c r="I26" s="27"/>
      <c r="J26" s="346"/>
      <c r="K26" s="339"/>
      <c r="M26" s="25"/>
      <c r="N26" s="24">
        <v>4</v>
      </c>
      <c r="O26" s="337"/>
      <c r="P26" s="333"/>
      <c r="Q26" s="334"/>
      <c r="R26" s="337"/>
      <c r="S26" s="333"/>
      <c r="T26" s="334"/>
      <c r="U26" s="4"/>
      <c r="V26" s="14"/>
      <c r="W26" s="4"/>
      <c r="X26" s="16">
        <f t="shared" si="16"/>
        <v>0</v>
      </c>
      <c r="Y26" s="4"/>
      <c r="Z26" s="337"/>
      <c r="AA26" s="334"/>
    </row>
    <row r="27" spans="1:27" ht="15.75" customHeight="1">
      <c r="A27" s="23"/>
      <c r="B27" s="69" t="s">
        <v>68</v>
      </c>
      <c r="C27" s="340" t="s">
        <v>69</v>
      </c>
      <c r="D27" s="347"/>
      <c r="E27" s="341"/>
      <c r="F27" s="28">
        <v>4</v>
      </c>
      <c r="G27" s="28">
        <v>2800</v>
      </c>
      <c r="H27" s="28">
        <v>700</v>
      </c>
      <c r="I27" s="28" t="s">
        <v>70</v>
      </c>
      <c r="J27" s="340" t="s">
        <v>71</v>
      </c>
      <c r="K27" s="341"/>
      <c r="M27" s="25"/>
      <c r="N27" s="29">
        <v>5</v>
      </c>
      <c r="O27" s="338"/>
      <c r="P27" s="342"/>
      <c r="Q27" s="339"/>
      <c r="R27" s="338"/>
      <c r="S27" s="342"/>
      <c r="T27" s="339"/>
      <c r="U27" s="27"/>
      <c r="V27" s="30"/>
      <c r="W27" s="27"/>
      <c r="X27" s="31">
        <f t="shared" si="16"/>
        <v>0</v>
      </c>
      <c r="Y27" s="4"/>
      <c r="Z27" s="338"/>
      <c r="AA27" s="339"/>
    </row>
    <row r="28" spans="1:27" ht="15.75" customHeight="1">
      <c r="A28" s="23"/>
      <c r="B28" s="70" t="s">
        <v>72</v>
      </c>
      <c r="C28" s="332"/>
      <c r="D28" s="333"/>
      <c r="E28" s="334"/>
      <c r="F28" s="4"/>
      <c r="G28" s="4"/>
      <c r="H28" s="4"/>
      <c r="I28" s="4"/>
      <c r="J28" s="332"/>
      <c r="K28" s="334"/>
      <c r="M28" s="32"/>
      <c r="N28" s="55"/>
      <c r="O28" s="344"/>
      <c r="P28" s="333"/>
      <c r="Q28" s="333"/>
      <c r="R28" s="344"/>
      <c r="S28" s="333"/>
      <c r="T28" s="333"/>
      <c r="U28" s="59" t="s">
        <v>73</v>
      </c>
      <c r="V28" s="33">
        <f>X28/N18</f>
        <v>8.3333333333333329E-2</v>
      </c>
      <c r="W28" s="59" t="s">
        <v>74</v>
      </c>
      <c r="X28" s="34">
        <f>SUM(X23:X27)</f>
        <v>100</v>
      </c>
      <c r="Y28" s="45"/>
      <c r="Z28" s="344"/>
      <c r="AA28" s="334"/>
    </row>
    <row r="29" spans="1:27" ht="15.75" customHeight="1">
      <c r="A29" s="23"/>
      <c r="B29" s="70" t="s">
        <v>75</v>
      </c>
      <c r="C29" s="332"/>
      <c r="D29" s="333"/>
      <c r="E29" s="334"/>
      <c r="F29" s="4"/>
      <c r="G29" s="4"/>
      <c r="H29" s="4"/>
      <c r="I29" s="4"/>
      <c r="J29" s="332"/>
      <c r="K29" s="334"/>
      <c r="M29" s="56" t="s">
        <v>49</v>
      </c>
      <c r="N29" s="24">
        <v>1</v>
      </c>
      <c r="O29" s="357" t="s">
        <v>76</v>
      </c>
      <c r="P29" s="353"/>
      <c r="Q29" s="354"/>
      <c r="R29" s="352" t="s">
        <v>77</v>
      </c>
      <c r="S29" s="353"/>
      <c r="T29" s="354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352" t="s">
        <v>78</v>
      </c>
      <c r="AA29" s="354"/>
    </row>
    <row r="30" spans="1:27" ht="15.75" customHeight="1">
      <c r="A30" s="23"/>
      <c r="B30" s="70" t="s">
        <v>79</v>
      </c>
      <c r="C30" s="332"/>
      <c r="D30" s="333"/>
      <c r="E30" s="334"/>
      <c r="F30" s="4"/>
      <c r="G30" s="4"/>
      <c r="H30" s="4"/>
      <c r="I30" s="4"/>
      <c r="J30" s="332"/>
      <c r="K30" s="334"/>
      <c r="M30" s="25"/>
      <c r="N30" s="24">
        <v>2</v>
      </c>
      <c r="O30" s="337"/>
      <c r="P30" s="333"/>
      <c r="Q30" s="334"/>
      <c r="R30" s="337"/>
      <c r="S30" s="333"/>
      <c r="T30" s="334"/>
      <c r="U30" s="4"/>
      <c r="V30" s="14"/>
      <c r="W30" s="4"/>
      <c r="X30" s="16">
        <f t="shared" si="17"/>
        <v>0</v>
      </c>
      <c r="Y30" s="4"/>
      <c r="Z30" s="337"/>
      <c r="AA30" s="334"/>
    </row>
    <row r="31" spans="1:27" ht="15.75" customHeight="1">
      <c r="A31" s="20"/>
      <c r="B31" s="70" t="s">
        <v>80</v>
      </c>
      <c r="C31" s="332"/>
      <c r="D31" s="333"/>
      <c r="E31" s="334"/>
      <c r="F31" s="4"/>
      <c r="G31" s="4"/>
      <c r="H31" s="4"/>
      <c r="I31" s="4"/>
      <c r="J31" s="332"/>
      <c r="K31" s="334"/>
      <c r="M31" s="25"/>
      <c r="N31" s="24">
        <v>3</v>
      </c>
      <c r="O31" s="337"/>
      <c r="P31" s="333"/>
      <c r="Q31" s="334"/>
      <c r="R31" s="337"/>
      <c r="S31" s="333"/>
      <c r="T31" s="334"/>
      <c r="U31" s="4"/>
      <c r="V31" s="14"/>
      <c r="W31" s="4"/>
      <c r="X31" s="16">
        <f t="shared" si="17"/>
        <v>0</v>
      </c>
      <c r="Y31" s="4"/>
      <c r="Z31" s="337"/>
      <c r="AA31" s="334"/>
    </row>
    <row r="32" spans="1:27" ht="15.75" customHeight="1">
      <c r="A32" s="67"/>
      <c r="M32" s="25"/>
      <c r="N32" s="24">
        <v>4</v>
      </c>
      <c r="O32" s="337"/>
      <c r="P32" s="333"/>
      <c r="Q32" s="334"/>
      <c r="R32" s="337"/>
      <c r="S32" s="333"/>
      <c r="T32" s="334"/>
      <c r="U32" s="4"/>
      <c r="V32" s="14"/>
      <c r="W32" s="4"/>
      <c r="X32" s="16">
        <f t="shared" si="17"/>
        <v>0</v>
      </c>
      <c r="Y32" s="4"/>
      <c r="Z32" s="337"/>
      <c r="AA32" s="334"/>
    </row>
    <row r="33" spans="1:27" ht="15.75" customHeight="1">
      <c r="A33" s="18"/>
      <c r="B33" s="49" t="s">
        <v>52</v>
      </c>
      <c r="C33" s="335" t="s">
        <v>53</v>
      </c>
      <c r="D33" s="333"/>
      <c r="E33" s="334"/>
      <c r="F33" s="49" t="s">
        <v>54</v>
      </c>
      <c r="G33" s="49" t="s">
        <v>55</v>
      </c>
      <c r="H33" s="49" t="s">
        <v>56</v>
      </c>
      <c r="I33" s="8" t="s">
        <v>57</v>
      </c>
      <c r="J33" s="348" t="s">
        <v>58</v>
      </c>
      <c r="K33" s="334"/>
      <c r="M33" s="25"/>
      <c r="N33" s="29">
        <v>5</v>
      </c>
      <c r="O33" s="337"/>
      <c r="P33" s="333"/>
      <c r="Q33" s="334"/>
      <c r="R33" s="337"/>
      <c r="S33" s="333"/>
      <c r="T33" s="334"/>
      <c r="U33" s="27"/>
      <c r="V33" s="30"/>
      <c r="W33" s="27"/>
      <c r="X33" s="31">
        <f t="shared" si="17"/>
        <v>0</v>
      </c>
      <c r="Y33" s="4"/>
      <c r="Z33" s="337"/>
      <c r="AA33" s="334"/>
    </row>
    <row r="34" spans="1:27" ht="15.75" customHeight="1">
      <c r="A34" s="52" t="s">
        <v>24</v>
      </c>
      <c r="B34" s="6">
        <v>1</v>
      </c>
      <c r="C34" s="336" t="s">
        <v>81</v>
      </c>
      <c r="D34" s="333"/>
      <c r="E34" s="334"/>
      <c r="F34" s="4">
        <v>3</v>
      </c>
      <c r="G34" s="4">
        <v>2500</v>
      </c>
      <c r="H34" s="4">
        <v>833.33</v>
      </c>
      <c r="I34" s="4">
        <v>20</v>
      </c>
      <c r="J34" s="336" t="s">
        <v>82</v>
      </c>
      <c r="K34" s="334"/>
      <c r="M34" s="68"/>
      <c r="N34" s="45"/>
      <c r="O34" s="344"/>
      <c r="P34" s="333"/>
      <c r="Q34" s="333"/>
      <c r="R34" s="344"/>
      <c r="S34" s="333"/>
      <c r="T34" s="333"/>
      <c r="U34" s="59" t="s">
        <v>73</v>
      </c>
      <c r="V34" s="33">
        <f>X34/N18</f>
        <v>0.23125000000000001</v>
      </c>
      <c r="W34" s="59" t="s">
        <v>74</v>
      </c>
      <c r="X34" s="34">
        <f>SUM(X29:X33)</f>
        <v>277.5</v>
      </c>
      <c r="Y34" s="45"/>
      <c r="Z34" s="344"/>
      <c r="AA34" s="334"/>
    </row>
    <row r="35" spans="1:27" ht="15.75" customHeight="1">
      <c r="A35" s="23"/>
      <c r="B35" s="6">
        <v>2</v>
      </c>
      <c r="C35" s="337"/>
      <c r="D35" s="333"/>
      <c r="E35" s="334"/>
      <c r="F35" s="4"/>
      <c r="G35" s="4"/>
      <c r="H35" s="4"/>
      <c r="I35" s="4"/>
      <c r="J35" s="337"/>
      <c r="K35" s="334"/>
      <c r="M35" s="1"/>
      <c r="N35" s="1"/>
      <c r="O35" s="355"/>
      <c r="P35" s="356"/>
      <c r="Q35" s="356"/>
      <c r="R35" s="355"/>
      <c r="S35" s="356"/>
      <c r="T35" s="356"/>
      <c r="U35" s="1"/>
      <c r="V35" s="38"/>
      <c r="W35" s="1"/>
      <c r="X35" s="1"/>
      <c r="Y35" s="355"/>
      <c r="Z35" s="356"/>
      <c r="AA35" s="356"/>
    </row>
    <row r="36" spans="1:27" ht="15.75" customHeight="1">
      <c r="A36" s="23"/>
      <c r="B36" s="6">
        <v>3</v>
      </c>
      <c r="C36" s="337"/>
      <c r="D36" s="333"/>
      <c r="E36" s="334"/>
      <c r="F36" s="4"/>
      <c r="G36" s="4"/>
      <c r="H36" s="4"/>
      <c r="I36" s="4"/>
      <c r="J36" s="337"/>
      <c r="K36" s="334"/>
      <c r="M36" s="52" t="s">
        <v>30</v>
      </c>
      <c r="N36" s="57" t="s">
        <v>52</v>
      </c>
      <c r="O36" s="343" t="s">
        <v>53</v>
      </c>
      <c r="P36" s="344"/>
      <c r="Q36" s="345"/>
      <c r="R36" s="349" t="s">
        <v>62</v>
      </c>
      <c r="S36" s="350"/>
      <c r="T36" s="351"/>
      <c r="U36" s="57" t="s">
        <v>63</v>
      </c>
      <c r="V36" s="57" t="s">
        <v>27</v>
      </c>
      <c r="W36" s="57" t="s">
        <v>64</v>
      </c>
      <c r="X36" s="8" t="s">
        <v>50</v>
      </c>
      <c r="Y36" s="8" t="s">
        <v>57</v>
      </c>
      <c r="Z36" s="348" t="s">
        <v>58</v>
      </c>
      <c r="AA36" s="358"/>
    </row>
    <row r="37" spans="1:27" ht="15.75" customHeight="1">
      <c r="A37" s="23"/>
      <c r="B37" s="6">
        <v>4</v>
      </c>
      <c r="C37" s="337"/>
      <c r="D37" s="333"/>
      <c r="E37" s="334"/>
      <c r="F37" s="4"/>
      <c r="G37" s="4"/>
      <c r="H37" s="4"/>
      <c r="I37" s="4"/>
      <c r="J37" s="337"/>
      <c r="K37" s="334"/>
      <c r="M37" s="56" t="s">
        <v>48</v>
      </c>
      <c r="N37" s="24">
        <v>1</v>
      </c>
      <c r="O37" s="336" t="s">
        <v>83</v>
      </c>
      <c r="P37" s="333"/>
      <c r="Q37" s="334"/>
      <c r="R37" s="336" t="s">
        <v>84</v>
      </c>
      <c r="S37" s="333"/>
      <c r="T37" s="334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336" t="s">
        <v>85</v>
      </c>
      <c r="AA37" s="334"/>
    </row>
    <row r="38" spans="1:27" ht="15.75" customHeight="1">
      <c r="A38" s="23"/>
      <c r="B38" s="26">
        <v>5</v>
      </c>
      <c r="C38" s="338"/>
      <c r="D38" s="342"/>
      <c r="E38" s="339"/>
      <c r="F38" s="27"/>
      <c r="G38" s="27"/>
      <c r="H38" s="27"/>
      <c r="I38" s="27"/>
      <c r="J38" s="338"/>
      <c r="K38" s="339"/>
      <c r="M38" s="25"/>
      <c r="N38" s="24">
        <v>2</v>
      </c>
      <c r="O38" s="337"/>
      <c r="P38" s="333"/>
      <c r="Q38" s="334"/>
      <c r="R38" s="337"/>
      <c r="S38" s="333"/>
      <c r="T38" s="334"/>
      <c r="U38" s="4"/>
      <c r="V38" s="14"/>
      <c r="W38" s="4"/>
      <c r="X38" s="16">
        <f t="shared" si="18"/>
        <v>0</v>
      </c>
      <c r="Y38" s="4"/>
      <c r="Z38" s="337"/>
      <c r="AA38" s="334"/>
    </row>
    <row r="39" spans="1:27" ht="14.25">
      <c r="A39" s="23"/>
      <c r="B39" s="69" t="s">
        <v>68</v>
      </c>
      <c r="C39" s="340" t="s">
        <v>86</v>
      </c>
      <c r="D39" s="347"/>
      <c r="E39" s="341"/>
      <c r="F39" s="28">
        <v>7</v>
      </c>
      <c r="G39" s="28">
        <v>2200</v>
      </c>
      <c r="H39" s="28">
        <v>314.29000000000002</v>
      </c>
      <c r="I39" s="28">
        <v>-15</v>
      </c>
      <c r="J39" s="340" t="s">
        <v>87</v>
      </c>
      <c r="K39" s="341"/>
      <c r="M39" s="25"/>
      <c r="N39" s="24">
        <v>3</v>
      </c>
      <c r="O39" s="337"/>
      <c r="P39" s="333"/>
      <c r="Q39" s="334"/>
      <c r="R39" s="337"/>
      <c r="S39" s="333"/>
      <c r="T39" s="334"/>
      <c r="U39" s="4"/>
      <c r="V39" s="14"/>
      <c r="W39" s="4"/>
      <c r="X39" s="16">
        <f t="shared" si="18"/>
        <v>0</v>
      </c>
      <c r="Y39" s="4"/>
      <c r="Z39" s="337"/>
      <c r="AA39" s="334"/>
    </row>
    <row r="40" spans="1:27" ht="14.25">
      <c r="A40" s="23"/>
      <c r="B40" s="70" t="s">
        <v>72</v>
      </c>
      <c r="C40" s="337"/>
      <c r="D40" s="333"/>
      <c r="E40" s="334"/>
      <c r="F40" s="4"/>
      <c r="G40" s="4"/>
      <c r="H40" s="4"/>
      <c r="I40" s="4"/>
      <c r="J40" s="337"/>
      <c r="K40" s="334"/>
      <c r="M40" s="25"/>
      <c r="N40" s="24">
        <v>4</v>
      </c>
      <c r="O40" s="337"/>
      <c r="P40" s="333"/>
      <c r="Q40" s="334"/>
      <c r="R40" s="337"/>
      <c r="S40" s="333"/>
      <c r="T40" s="334"/>
      <c r="U40" s="4"/>
      <c r="V40" s="14"/>
      <c r="W40" s="4"/>
      <c r="X40" s="16">
        <f t="shared" si="18"/>
        <v>0</v>
      </c>
      <c r="Y40" s="4"/>
      <c r="Z40" s="337"/>
      <c r="AA40" s="334"/>
    </row>
    <row r="41" spans="1:27" ht="14.25">
      <c r="A41" s="23"/>
      <c r="B41" s="70" t="s">
        <v>75</v>
      </c>
      <c r="C41" s="337"/>
      <c r="D41" s="333"/>
      <c r="E41" s="334"/>
      <c r="F41" s="4"/>
      <c r="G41" s="4"/>
      <c r="H41" s="4"/>
      <c r="I41" s="4"/>
      <c r="J41" s="337"/>
      <c r="K41" s="334"/>
      <c r="M41" s="25"/>
      <c r="N41" s="29">
        <v>5</v>
      </c>
      <c r="O41" s="338"/>
      <c r="P41" s="342"/>
      <c r="Q41" s="339"/>
      <c r="R41" s="338"/>
      <c r="S41" s="342"/>
      <c r="T41" s="339"/>
      <c r="U41" s="27"/>
      <c r="V41" s="30"/>
      <c r="W41" s="27"/>
      <c r="X41" s="31">
        <f t="shared" si="18"/>
        <v>0</v>
      </c>
      <c r="Y41" s="4"/>
      <c r="Z41" s="337"/>
      <c r="AA41" s="334"/>
    </row>
    <row r="42" spans="1:27" ht="14.25">
      <c r="A42" s="23"/>
      <c r="B42" s="70" t="s">
        <v>79</v>
      </c>
      <c r="C42" s="337"/>
      <c r="D42" s="333"/>
      <c r="E42" s="334"/>
      <c r="F42" s="4"/>
      <c r="G42" s="4"/>
      <c r="H42" s="4"/>
      <c r="I42" s="4"/>
      <c r="J42" s="337"/>
      <c r="K42" s="334"/>
      <c r="M42" s="32"/>
      <c r="N42" s="54"/>
      <c r="O42" s="344"/>
      <c r="P42" s="333"/>
      <c r="Q42" s="333"/>
      <c r="R42" s="344"/>
      <c r="S42" s="333"/>
      <c r="T42" s="333"/>
      <c r="U42" s="59" t="s">
        <v>73</v>
      </c>
      <c r="V42" s="33">
        <f>X42/N19</f>
        <v>5.5555555555555552E-2</v>
      </c>
      <c r="W42" s="59" t="s">
        <v>74</v>
      </c>
      <c r="X42" s="34">
        <f>SUM(X37:X41)</f>
        <v>250</v>
      </c>
      <c r="Y42" s="45"/>
      <c r="Z42" s="344"/>
      <c r="AA42" s="334"/>
    </row>
    <row r="43" spans="1:27" ht="14.25">
      <c r="A43" s="20"/>
      <c r="B43" s="70" t="s">
        <v>80</v>
      </c>
      <c r="C43" s="337"/>
      <c r="D43" s="333"/>
      <c r="E43" s="334"/>
      <c r="F43" s="4"/>
      <c r="G43" s="4"/>
      <c r="H43" s="4"/>
      <c r="I43" s="4"/>
      <c r="J43" s="337"/>
      <c r="K43" s="334"/>
      <c r="M43" s="56" t="s">
        <v>49</v>
      </c>
      <c r="N43" s="24">
        <v>1</v>
      </c>
      <c r="O43" s="336" t="s">
        <v>83</v>
      </c>
      <c r="P43" s="333"/>
      <c r="Q43" s="334"/>
      <c r="R43" s="352" t="s">
        <v>88</v>
      </c>
      <c r="S43" s="353"/>
      <c r="T43" s="354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336" t="s">
        <v>89</v>
      </c>
      <c r="AA43" s="334"/>
    </row>
    <row r="44" spans="1:27" ht="14.25">
      <c r="A44" s="67"/>
      <c r="M44" s="25"/>
      <c r="N44" s="24">
        <v>2</v>
      </c>
      <c r="O44" s="337"/>
      <c r="P44" s="333"/>
      <c r="Q44" s="334"/>
      <c r="R44" s="337"/>
      <c r="S44" s="333"/>
      <c r="T44" s="334"/>
      <c r="U44" s="4"/>
      <c r="V44" s="14"/>
      <c r="W44" s="4"/>
      <c r="X44" s="37">
        <f t="shared" si="19"/>
        <v>0</v>
      </c>
      <c r="Y44" s="4"/>
      <c r="Z44" s="337"/>
      <c r="AA44" s="334"/>
    </row>
    <row r="45" spans="1:27" ht="14.25">
      <c r="A45" s="18"/>
      <c r="B45" s="49" t="s">
        <v>52</v>
      </c>
      <c r="C45" s="335" t="s">
        <v>53</v>
      </c>
      <c r="D45" s="333"/>
      <c r="E45" s="334"/>
      <c r="F45" s="49" t="s">
        <v>54</v>
      </c>
      <c r="G45" s="49" t="s">
        <v>55</v>
      </c>
      <c r="H45" s="49" t="s">
        <v>56</v>
      </c>
      <c r="I45" s="8" t="s">
        <v>57</v>
      </c>
      <c r="J45" s="348" t="s">
        <v>58</v>
      </c>
      <c r="K45" s="334"/>
      <c r="M45" s="25"/>
      <c r="N45" s="24">
        <v>3</v>
      </c>
      <c r="O45" s="337"/>
      <c r="P45" s="333"/>
      <c r="Q45" s="334"/>
      <c r="R45" s="337"/>
      <c r="S45" s="333"/>
      <c r="T45" s="334"/>
      <c r="U45" s="4"/>
      <c r="V45" s="14"/>
      <c r="W45" s="4"/>
      <c r="X45" s="37">
        <f t="shared" si="19"/>
        <v>0</v>
      </c>
      <c r="Y45" s="4"/>
      <c r="Z45" s="337"/>
      <c r="AA45" s="334"/>
    </row>
    <row r="46" spans="1:27" ht="14.25">
      <c r="A46" s="52" t="s">
        <v>28</v>
      </c>
      <c r="B46" s="6">
        <v>1</v>
      </c>
      <c r="C46" s="336" t="s">
        <v>65</v>
      </c>
      <c r="D46" s="333"/>
      <c r="E46" s="334"/>
      <c r="F46" s="4">
        <v>15</v>
      </c>
      <c r="G46" s="4">
        <v>1200</v>
      </c>
      <c r="H46" s="4">
        <v>80</v>
      </c>
      <c r="I46" s="4">
        <v>5</v>
      </c>
      <c r="J46" s="336" t="s">
        <v>90</v>
      </c>
      <c r="K46" s="334"/>
      <c r="M46" s="25"/>
      <c r="N46" s="24">
        <v>4</v>
      </c>
      <c r="O46" s="337"/>
      <c r="P46" s="333"/>
      <c r="Q46" s="334"/>
      <c r="R46" s="337"/>
      <c r="S46" s="333"/>
      <c r="T46" s="334"/>
      <c r="U46" s="4"/>
      <c r="V46" s="14"/>
      <c r="W46" s="4"/>
      <c r="X46" s="37">
        <f t="shared" si="19"/>
        <v>0</v>
      </c>
      <c r="Y46" s="4"/>
      <c r="Z46" s="337"/>
      <c r="AA46" s="334"/>
    </row>
    <row r="47" spans="1:27" ht="14.25">
      <c r="A47" s="23"/>
      <c r="B47" s="6">
        <v>2</v>
      </c>
      <c r="C47" s="337"/>
      <c r="D47" s="333"/>
      <c r="E47" s="334"/>
      <c r="F47" s="4"/>
      <c r="G47" s="4"/>
      <c r="H47" s="4"/>
      <c r="I47" s="4"/>
      <c r="J47" s="337"/>
      <c r="K47" s="334"/>
      <c r="M47" s="25"/>
      <c r="N47" s="29">
        <v>5</v>
      </c>
      <c r="O47" s="337"/>
      <c r="P47" s="333"/>
      <c r="Q47" s="334"/>
      <c r="R47" s="337"/>
      <c r="S47" s="333"/>
      <c r="T47" s="334"/>
      <c r="U47" s="27"/>
      <c r="V47" s="30"/>
      <c r="W47" s="27"/>
      <c r="X47" s="40">
        <f t="shared" si="19"/>
        <v>0</v>
      </c>
      <c r="Y47" s="4"/>
      <c r="Z47" s="337"/>
      <c r="AA47" s="334"/>
    </row>
    <row r="48" spans="1:27" ht="14.25">
      <c r="A48" s="23"/>
      <c r="B48" s="6">
        <v>3</v>
      </c>
      <c r="C48" s="337"/>
      <c r="D48" s="333"/>
      <c r="E48" s="334"/>
      <c r="F48" s="4"/>
      <c r="G48" s="4"/>
      <c r="H48" s="4"/>
      <c r="I48" s="4"/>
      <c r="J48" s="337"/>
      <c r="K48" s="334"/>
      <c r="M48" s="68"/>
      <c r="N48" s="45"/>
      <c r="O48" s="344"/>
      <c r="P48" s="333"/>
      <c r="Q48" s="333"/>
      <c r="R48" s="344"/>
      <c r="S48" s="333"/>
      <c r="T48" s="333"/>
      <c r="U48" s="59" t="s">
        <v>73</v>
      </c>
      <c r="V48" s="33">
        <f>X48/N19</f>
        <v>0.13333333333333333</v>
      </c>
      <c r="W48" s="59" t="s">
        <v>74</v>
      </c>
      <c r="X48" s="34">
        <f>SUM(X43:X47)</f>
        <v>600</v>
      </c>
      <c r="Y48" s="45"/>
      <c r="Z48" s="344"/>
      <c r="AA48" s="334"/>
    </row>
    <row r="49" spans="1:27" ht="14.25">
      <c r="A49" s="23"/>
      <c r="B49" s="6">
        <v>4</v>
      </c>
      <c r="C49" s="337"/>
      <c r="D49" s="333"/>
      <c r="E49" s="334"/>
      <c r="F49" s="4"/>
      <c r="G49" s="4"/>
      <c r="H49" s="4"/>
      <c r="I49" s="4"/>
      <c r="J49" s="337"/>
      <c r="K49" s="334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338"/>
      <c r="D50" s="342"/>
      <c r="E50" s="339"/>
      <c r="F50" s="27"/>
      <c r="G50" s="27"/>
      <c r="H50" s="27"/>
      <c r="I50" s="27"/>
      <c r="J50" s="338"/>
      <c r="K50" s="339"/>
      <c r="M50" s="64" t="s">
        <v>91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68</v>
      </c>
      <c r="C51" s="340" t="s">
        <v>83</v>
      </c>
      <c r="D51" s="347"/>
      <c r="E51" s="341"/>
      <c r="F51" s="28">
        <v>18</v>
      </c>
      <c r="G51" s="28">
        <v>800</v>
      </c>
      <c r="H51" s="28">
        <v>44.44</v>
      </c>
      <c r="I51" s="28">
        <v>-15</v>
      </c>
      <c r="J51" s="340" t="s">
        <v>92</v>
      </c>
      <c r="K51" s="341"/>
      <c r="M51" s="8"/>
      <c r="N51" s="8" t="s">
        <v>93</v>
      </c>
      <c r="O51" s="343" t="s">
        <v>53</v>
      </c>
      <c r="P51" s="344"/>
      <c r="Q51" s="345"/>
      <c r="R51" s="349" t="s">
        <v>62</v>
      </c>
      <c r="S51" s="350"/>
      <c r="T51" s="351"/>
      <c r="U51" s="57" t="s">
        <v>63</v>
      </c>
      <c r="V51" s="39" t="s">
        <v>94</v>
      </c>
      <c r="W51" s="57" t="s">
        <v>95</v>
      </c>
      <c r="X51" s="8" t="s">
        <v>10</v>
      </c>
      <c r="Y51" s="343" t="s">
        <v>96</v>
      </c>
      <c r="Z51" s="344"/>
      <c r="AA51" s="345"/>
    </row>
    <row r="52" spans="1:27" ht="14.25">
      <c r="A52" s="23"/>
      <c r="B52" s="70" t="s">
        <v>72</v>
      </c>
      <c r="C52" s="337"/>
      <c r="D52" s="333"/>
      <c r="E52" s="334"/>
      <c r="F52" s="4"/>
      <c r="G52" s="4"/>
      <c r="H52" s="4"/>
      <c r="I52" s="4"/>
      <c r="J52" s="337"/>
      <c r="K52" s="334"/>
      <c r="M52" s="56" t="s">
        <v>48</v>
      </c>
      <c r="N52" s="24">
        <v>1</v>
      </c>
      <c r="O52" s="336" t="s">
        <v>83</v>
      </c>
      <c r="P52" s="333"/>
      <c r="Q52" s="334"/>
      <c r="R52" s="352" t="s">
        <v>88</v>
      </c>
      <c r="S52" s="353"/>
      <c r="T52" s="354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336" t="s">
        <v>97</v>
      </c>
      <c r="Z52" s="333"/>
      <c r="AA52" s="334"/>
    </row>
    <row r="53" spans="1:27" ht="14.25">
      <c r="A53" s="23"/>
      <c r="B53" s="70" t="s">
        <v>75</v>
      </c>
      <c r="C53" s="337"/>
      <c r="D53" s="333"/>
      <c r="E53" s="334"/>
      <c r="F53" s="4"/>
      <c r="G53" s="4"/>
      <c r="H53" s="4"/>
      <c r="I53" s="4"/>
      <c r="J53" s="337"/>
      <c r="K53" s="334"/>
      <c r="M53" s="25"/>
      <c r="N53" s="29">
        <v>2</v>
      </c>
      <c r="O53" s="338"/>
      <c r="P53" s="342"/>
      <c r="Q53" s="339"/>
      <c r="R53" s="338"/>
      <c r="S53" s="342"/>
      <c r="T53" s="339"/>
      <c r="U53" s="27"/>
      <c r="V53" s="30"/>
      <c r="W53" s="30"/>
      <c r="X53" s="41">
        <f t="shared" si="20"/>
        <v>0</v>
      </c>
      <c r="Y53" s="338"/>
      <c r="Z53" s="342"/>
      <c r="AA53" s="339"/>
    </row>
    <row r="54" spans="1:27" ht="14.25">
      <c r="A54" s="23"/>
      <c r="B54" s="70" t="s">
        <v>79</v>
      </c>
      <c r="C54" s="337"/>
      <c r="D54" s="333"/>
      <c r="E54" s="334"/>
      <c r="F54" s="4"/>
      <c r="G54" s="4"/>
      <c r="H54" s="4"/>
      <c r="I54" s="4"/>
      <c r="J54" s="337"/>
      <c r="K54" s="334"/>
      <c r="M54" s="56" t="s">
        <v>49</v>
      </c>
      <c r="N54" s="42">
        <v>1</v>
      </c>
      <c r="O54" s="340" t="s">
        <v>98</v>
      </c>
      <c r="P54" s="347"/>
      <c r="Q54" s="341"/>
      <c r="R54" s="340" t="s">
        <v>99</v>
      </c>
      <c r="S54" s="347"/>
      <c r="T54" s="341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340" t="s">
        <v>100</v>
      </c>
      <c r="Z54" s="347"/>
      <c r="AA54" s="341"/>
    </row>
    <row r="55" spans="1:27" ht="14.25">
      <c r="A55" s="20"/>
      <c r="B55" s="70" t="s">
        <v>80</v>
      </c>
      <c r="C55" s="337"/>
      <c r="D55" s="333"/>
      <c r="E55" s="334"/>
      <c r="F55" s="4"/>
      <c r="G55" s="4"/>
      <c r="H55" s="4"/>
      <c r="I55" s="4"/>
      <c r="J55" s="337"/>
      <c r="K55" s="334"/>
      <c r="M55" s="22"/>
      <c r="N55" s="24">
        <v>2</v>
      </c>
      <c r="O55" s="337"/>
      <c r="P55" s="333"/>
      <c r="Q55" s="334"/>
      <c r="R55" s="337"/>
      <c r="S55" s="333"/>
      <c r="T55" s="334"/>
      <c r="U55" s="4"/>
      <c r="V55" s="14"/>
      <c r="W55" s="14"/>
      <c r="X55" s="13">
        <f t="shared" si="20"/>
        <v>0</v>
      </c>
      <c r="Y55" s="337"/>
      <c r="Z55" s="333"/>
      <c r="AA55" s="334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6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G29" sqref="G29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2" ht="15.75" customHeight="1">
      <c r="A1" s="359" t="s">
        <v>101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115"/>
    </row>
    <row r="2" spans="1:12" s="116" customFormat="1" ht="15.75" customHeight="1">
      <c r="A2" s="359"/>
      <c r="B2" s="359"/>
      <c r="C2" s="359"/>
      <c r="D2" s="359"/>
      <c r="E2" s="359"/>
      <c r="F2" s="359"/>
      <c r="G2" s="359"/>
      <c r="H2" s="359"/>
      <c r="I2" s="359"/>
      <c r="J2" s="359"/>
      <c r="K2" s="359"/>
    </row>
    <row r="3" spans="1:12" ht="21.6" customHeight="1">
      <c r="A3" s="130" t="s">
        <v>0</v>
      </c>
      <c r="B3" s="131">
        <v>9</v>
      </c>
      <c r="C3" s="130" t="s">
        <v>102</v>
      </c>
      <c r="D3" s="360" t="s">
        <v>103</v>
      </c>
      <c r="E3" s="360"/>
      <c r="F3" s="116"/>
      <c r="G3" s="125"/>
      <c r="H3" s="116"/>
      <c r="I3" s="116"/>
      <c r="J3" s="116"/>
      <c r="K3" s="116"/>
    </row>
    <row r="4" spans="1:12" ht="15.75" customHeight="1">
      <c r="A4" s="126" t="s">
        <v>104</v>
      </c>
      <c r="E4" s="118" t="s">
        <v>4</v>
      </c>
      <c r="G4" s="127" t="s">
        <v>5</v>
      </c>
      <c r="L4" s="115"/>
    </row>
    <row r="5" spans="1:12" s="120" customFormat="1" ht="15.75" customHeight="1">
      <c r="A5" s="137" t="s">
        <v>105</v>
      </c>
      <c r="B5" s="132" t="s">
        <v>8</v>
      </c>
      <c r="C5" s="132" t="s">
        <v>9</v>
      </c>
      <c r="D5" s="132" t="s">
        <v>10</v>
      </c>
      <c r="E5" s="132" t="s">
        <v>11</v>
      </c>
      <c r="G5" s="137" t="s">
        <v>105</v>
      </c>
      <c r="H5" s="132" t="s">
        <v>12</v>
      </c>
      <c r="I5" s="132" t="s">
        <v>8</v>
      </c>
      <c r="J5" s="132" t="s">
        <v>13</v>
      </c>
      <c r="K5" s="132" t="s">
        <v>11</v>
      </c>
      <c r="L5" s="121" t="s">
        <v>14</v>
      </c>
    </row>
    <row r="6" spans="1:12" ht="18" customHeight="1">
      <c r="A6" s="123" t="s">
        <v>17</v>
      </c>
      <c r="B6" s="133">
        <f>'（１）收支狀況'!H5/1000</f>
        <v>105939.262</v>
      </c>
      <c r="C6" s="293">
        <v>212376.15</v>
      </c>
      <c r="D6" s="133">
        <f t="shared" ref="D6:D11" si="0">B6-C6</f>
        <v>-106436.88799999999</v>
      </c>
      <c r="E6" s="133">
        <f>B6</f>
        <v>105939.262</v>
      </c>
      <c r="G6" s="123" t="s">
        <v>106</v>
      </c>
      <c r="H6" s="296">
        <v>266</v>
      </c>
      <c r="I6" s="135">
        <f>'（２）ＫＰＩ達成進度'!H5</f>
        <v>335.4328880788924</v>
      </c>
      <c r="J6" s="305">
        <v>331.32088360675885</v>
      </c>
      <c r="K6" s="135">
        <f>I6</f>
        <v>335.4328880788924</v>
      </c>
      <c r="L6" s="117" t="s">
        <v>107</v>
      </c>
    </row>
    <row r="7" spans="1:12" ht="18" customHeight="1">
      <c r="A7" s="123" t="s">
        <v>21</v>
      </c>
      <c r="B7" s="133">
        <f>'（４）訂單數量構成比'!H7</f>
        <v>3326414</v>
      </c>
      <c r="C7" s="293">
        <v>6558055</v>
      </c>
      <c r="D7" s="133">
        <f t="shared" si="0"/>
        <v>-3231641</v>
      </c>
      <c r="E7" s="133">
        <f t="shared" ref="E7:E11" si="1">B7</f>
        <v>3326414</v>
      </c>
      <c r="G7" s="123" t="s">
        <v>108</v>
      </c>
      <c r="H7" s="258">
        <v>0.8</v>
      </c>
      <c r="I7" s="134">
        <f>'（２）ＫＰＩ達成進度'!K5</f>
        <v>0.91648330076200091</v>
      </c>
      <c r="J7" s="294">
        <v>0.90524831586546117</v>
      </c>
      <c r="K7" s="134">
        <f t="shared" ref="K7:K11" si="2">I7</f>
        <v>0.91648330076200091</v>
      </c>
      <c r="L7" s="117" t="s">
        <v>23</v>
      </c>
    </row>
    <row r="8" spans="1:12" ht="18" customHeight="1">
      <c r="A8" s="123" t="s">
        <v>25</v>
      </c>
      <c r="B8" s="133">
        <f>'（１）收支狀況'!N5/1000</f>
        <v>70366.504000000001</v>
      </c>
      <c r="C8" s="293">
        <v>139088.163</v>
      </c>
      <c r="D8" s="133">
        <f>B8-C8</f>
        <v>-68721.659</v>
      </c>
      <c r="E8" s="133">
        <f t="shared" si="1"/>
        <v>70366.504000000001</v>
      </c>
      <c r="G8" s="123" t="s">
        <v>109</v>
      </c>
      <c r="H8" s="253">
        <v>2.5000000000000001E-3</v>
      </c>
      <c r="I8" s="253">
        <f>'（２）ＫＰＩ達成進度'!N5</f>
        <v>2.4784030874734904E-3</v>
      </c>
      <c r="J8" s="306">
        <v>2.4946244239327812E-3</v>
      </c>
      <c r="K8" s="253">
        <f t="shared" si="2"/>
        <v>2.4784030874734904E-3</v>
      </c>
      <c r="L8" s="117" t="s">
        <v>27</v>
      </c>
    </row>
    <row r="9" spans="1:12" ht="18" customHeight="1">
      <c r="A9" s="123" t="s">
        <v>29</v>
      </c>
      <c r="B9" s="134">
        <f>'（１）收支狀況'!Q5</f>
        <v>0.66421553890001617</v>
      </c>
      <c r="C9" s="294">
        <v>0.6549142311883891</v>
      </c>
      <c r="D9" s="134">
        <f t="shared" si="0"/>
        <v>9.3013077116270715E-3</v>
      </c>
      <c r="E9" s="134">
        <f t="shared" si="1"/>
        <v>0.66421553890001617</v>
      </c>
      <c r="G9" s="123" t="s">
        <v>110</v>
      </c>
      <c r="H9" s="253">
        <v>2.5999999999999999E-3</v>
      </c>
      <c r="I9" s="253">
        <f>'（２）ＫＰＩ達成進度'!Q5</f>
        <v>2.6021343620680165E-3</v>
      </c>
      <c r="J9" s="306">
        <v>2.3789152192140828E-3</v>
      </c>
      <c r="K9" s="253">
        <f t="shared" si="2"/>
        <v>2.6021343620680165E-3</v>
      </c>
      <c r="L9" s="117" t="s">
        <v>31</v>
      </c>
    </row>
    <row r="10" spans="1:12" ht="18" customHeight="1">
      <c r="A10" s="123" t="s">
        <v>33</v>
      </c>
      <c r="B10" s="133">
        <f>'（１）收支狀況'!T5/1000</f>
        <v>14484.046840000001</v>
      </c>
      <c r="C10" s="293">
        <v>30146.176500666668</v>
      </c>
      <c r="D10" s="133">
        <f t="shared" si="0"/>
        <v>-15662.129660666667</v>
      </c>
      <c r="E10" s="133">
        <f t="shared" si="1"/>
        <v>14484.046840000001</v>
      </c>
      <c r="G10" s="123" t="s">
        <v>111</v>
      </c>
      <c r="H10" s="255">
        <v>0.8</v>
      </c>
      <c r="I10" s="255">
        <f>'（２）ＫＰＩ達成進度'!T5</f>
        <v>0.91666666666666641</v>
      </c>
      <c r="J10" s="307">
        <v>0.91666666666666707</v>
      </c>
      <c r="K10" s="255">
        <f t="shared" si="2"/>
        <v>0.91666666666666641</v>
      </c>
      <c r="L10" s="117" t="s">
        <v>35</v>
      </c>
    </row>
    <row r="11" spans="1:12" ht="18" customHeight="1">
      <c r="A11" s="123" t="s">
        <v>39</v>
      </c>
      <c r="B11" s="134">
        <f>'（１）收支狀況'!W5</f>
        <v>0.1367202920480983</v>
      </c>
      <c r="C11" s="294">
        <v>0.14194709010718326</v>
      </c>
      <c r="D11" s="134">
        <f t="shared" si="0"/>
        <v>-5.2267980590849639E-3</v>
      </c>
      <c r="E11" s="134">
        <f t="shared" si="1"/>
        <v>0.1367202920480983</v>
      </c>
      <c r="G11" s="123" t="s">
        <v>112</v>
      </c>
      <c r="H11" s="255">
        <v>1</v>
      </c>
      <c r="I11" s="134">
        <f>'（２）ＫＰＩ達成進度'!W5</f>
        <v>0.74253333333333316</v>
      </c>
      <c r="J11" s="294">
        <v>0.67912903225806442</v>
      </c>
      <c r="K11" s="134">
        <f t="shared" si="2"/>
        <v>0.74253333333333316</v>
      </c>
      <c r="L11" s="117" t="s">
        <v>41</v>
      </c>
    </row>
    <row r="12" spans="1:12" ht="9.6" customHeight="1">
      <c r="L12" s="115"/>
    </row>
    <row r="13" spans="1:12" ht="15.75" customHeight="1">
      <c r="A13" s="126" t="s">
        <v>6</v>
      </c>
      <c r="G13" s="126" t="s">
        <v>7</v>
      </c>
      <c r="L13" s="115"/>
    </row>
    <row r="14" spans="1:12" s="122" customFormat="1" ht="12">
      <c r="A14" s="136"/>
      <c r="B14" s="136" t="s">
        <v>8</v>
      </c>
      <c r="C14" s="136" t="s">
        <v>15</v>
      </c>
      <c r="D14" s="136" t="s">
        <v>13</v>
      </c>
      <c r="E14" s="136" t="s">
        <v>16</v>
      </c>
      <c r="G14" s="136"/>
      <c r="H14" s="136" t="s">
        <v>8</v>
      </c>
      <c r="I14" s="136" t="s">
        <v>15</v>
      </c>
      <c r="J14" s="136" t="s">
        <v>13</v>
      </c>
      <c r="K14" s="136" t="s">
        <v>16</v>
      </c>
    </row>
    <row r="15" spans="1:12" ht="18" customHeight="1">
      <c r="A15" s="123" t="s">
        <v>113</v>
      </c>
      <c r="B15" s="133">
        <f>'（３）業績構成比'!M46/1000</f>
        <v>24381.95508077964</v>
      </c>
      <c r="C15" s="134">
        <f>IFERROR(B15/$B$6,"")</f>
        <v>0.23015032029182569</v>
      </c>
      <c r="D15" s="294">
        <v>0.19048549479871965</v>
      </c>
      <c r="E15" s="134">
        <f>IFERROR(C15-D15,"")</f>
        <v>3.9664825493106043E-2</v>
      </c>
      <c r="G15" s="123" t="s">
        <v>114</v>
      </c>
      <c r="H15" s="133">
        <f>'（４）訂單數量構成比'!M46</f>
        <v>1256001</v>
      </c>
      <c r="I15" s="134">
        <f t="shared" ref="I15:I23" si="3">IFERROR(H15/$B$7,"")</f>
        <v>0.37758408905205426</v>
      </c>
      <c r="J15" s="294">
        <v>0.3319345446172684</v>
      </c>
      <c r="K15" s="134">
        <f t="shared" ref="K15:K23" si="4">IFERROR(I15-J15,"")</f>
        <v>4.564954443478586E-2</v>
      </c>
      <c r="L15" s="115"/>
    </row>
    <row r="16" spans="1:12" ht="18" customHeight="1">
      <c r="A16" s="123" t="s">
        <v>115</v>
      </c>
      <c r="B16" s="133">
        <f>'（３）業績構成比'!S46/1000</f>
        <v>3773.1785854870614</v>
      </c>
      <c r="C16" s="134">
        <f t="shared" ref="C16:C23" si="5">IFERROR(B16/$B$6,"")</f>
        <v>3.5616432607271334E-2</v>
      </c>
      <c r="D16" s="294">
        <v>4.0020750239819727E-2</v>
      </c>
      <c r="E16" s="134">
        <f t="shared" ref="E16:E23" si="6">IFERROR(C16-D16,"")</f>
        <v>-4.4043176325483935E-3</v>
      </c>
      <c r="G16" s="123" t="s">
        <v>115</v>
      </c>
      <c r="H16" s="133">
        <f>'（４）訂單數量構成比'!S47</f>
        <v>143766</v>
      </c>
      <c r="I16" s="134">
        <f t="shared" si="3"/>
        <v>4.3219515069381022E-2</v>
      </c>
      <c r="J16" s="294">
        <v>5.0408543386720607E-2</v>
      </c>
      <c r="K16" s="134">
        <f t="shared" si="4"/>
        <v>-7.1890283173395853E-3</v>
      </c>
      <c r="L16" s="115"/>
    </row>
    <row r="17" spans="1:18" ht="18" customHeight="1">
      <c r="A17" s="123" t="s">
        <v>116</v>
      </c>
      <c r="B17" s="133">
        <f>'（３）業績構成比'!U46/1000</f>
        <v>9157.8177412545192</v>
      </c>
      <c r="C17" s="134">
        <f t="shared" si="5"/>
        <v>8.6444039427559155E-2</v>
      </c>
      <c r="D17" s="294">
        <v>9.8025494354577192E-2</v>
      </c>
      <c r="E17" s="134">
        <f t="shared" si="6"/>
        <v>-1.1581454927018037E-2</v>
      </c>
      <c r="G17" s="123" t="s">
        <v>117</v>
      </c>
      <c r="H17" s="133">
        <f>'（４）訂單數量構成比'!U46</f>
        <v>275702</v>
      </c>
      <c r="I17" s="134">
        <f t="shared" si="3"/>
        <v>8.2882647800303869E-2</v>
      </c>
      <c r="J17" s="294">
        <v>9.7549349616616515E-2</v>
      </c>
      <c r="K17" s="134">
        <f t="shared" si="4"/>
        <v>-1.4666701816312647E-2</v>
      </c>
      <c r="L17" s="115"/>
    </row>
    <row r="18" spans="1:18" ht="18" customHeight="1">
      <c r="A18" s="123" t="s">
        <v>118</v>
      </c>
      <c r="B18" s="133">
        <f>'（３）業績構成比'!W46/1000</f>
        <v>178.54855520692911</v>
      </c>
      <c r="C18" s="134">
        <f t="shared" si="5"/>
        <v>1.6853860583522764E-3</v>
      </c>
      <c r="D18" s="294">
        <v>2.3157870783418926E-3</v>
      </c>
      <c r="E18" s="134">
        <f t="shared" si="6"/>
        <v>-6.3040101998961613E-4</v>
      </c>
      <c r="G18" s="123" t="s">
        <v>119</v>
      </c>
      <c r="H18" s="133">
        <f>'（４）訂單數量構成比'!W46</f>
        <v>6732</v>
      </c>
      <c r="I18" s="134">
        <f t="shared" si="3"/>
        <v>2.0238010061285217E-3</v>
      </c>
      <c r="J18" s="294">
        <v>2.7738407195426083E-3</v>
      </c>
      <c r="K18" s="134">
        <f t="shared" si="4"/>
        <v>-7.5003971341408657E-4</v>
      </c>
      <c r="L18" s="115"/>
    </row>
    <row r="19" spans="1:18" ht="18" customHeight="1">
      <c r="A19" s="123" t="s">
        <v>120</v>
      </c>
      <c r="B19" s="133">
        <f>'（３）業績構成比'!AC46/1000</f>
        <v>26279.241222782537</v>
      </c>
      <c r="C19" s="134">
        <f t="shared" si="5"/>
        <v>0.24805950812440564</v>
      </c>
      <c r="D19" s="294">
        <v>0.26645165188277636</v>
      </c>
      <c r="E19" s="134">
        <f t="shared" si="6"/>
        <v>-1.8392143758370727E-2</v>
      </c>
      <c r="G19" s="123" t="s">
        <v>121</v>
      </c>
      <c r="H19" s="133">
        <f>'（４）訂單數量構成比'!AC46</f>
        <v>647461</v>
      </c>
      <c r="I19" s="134">
        <f t="shared" si="3"/>
        <v>0.19464233856639612</v>
      </c>
      <c r="J19" s="294">
        <v>0.2096606387107153</v>
      </c>
      <c r="K19" s="134">
        <f t="shared" si="4"/>
        <v>-1.501830014431918E-2</v>
      </c>
      <c r="L19" s="115"/>
    </row>
    <row r="20" spans="1:18" ht="18" customHeight="1">
      <c r="A20" s="123" t="s">
        <v>122</v>
      </c>
      <c r="B20" s="133">
        <f>'（３）業績構成比'!AE46/1000</f>
        <v>11097.284104192284</v>
      </c>
      <c r="C20" s="134">
        <f t="shared" si="5"/>
        <v>0.10475138201540694</v>
      </c>
      <c r="D20" s="294">
        <v>0.11880394760612771</v>
      </c>
      <c r="E20" s="134">
        <f t="shared" si="6"/>
        <v>-1.4052565590720767E-2</v>
      </c>
      <c r="G20" s="123" t="s">
        <v>123</v>
      </c>
      <c r="H20" s="133">
        <f>'（４）訂單數量構成比'!AE46</f>
        <v>202259</v>
      </c>
      <c r="I20" s="134">
        <f t="shared" si="3"/>
        <v>6.0803916770432065E-2</v>
      </c>
      <c r="J20" s="294">
        <v>6.9473342324820386E-2</v>
      </c>
      <c r="K20" s="134">
        <f t="shared" si="4"/>
        <v>-8.6694255543883214E-3</v>
      </c>
      <c r="L20" s="115"/>
    </row>
    <row r="21" spans="1:18" ht="18" customHeight="1">
      <c r="A21" s="123" t="s">
        <v>124</v>
      </c>
      <c r="B21" s="133">
        <f>'（３）業績構成比'!AG46/1000</f>
        <v>16124.897257529252</v>
      </c>
      <c r="C21" s="134">
        <f t="shared" ref="C21" si="7">IFERROR(B21/$B$6,"")</f>
        <v>0.15220888793362797</v>
      </c>
      <c r="D21" s="294">
        <v>0.13107603010243102</v>
      </c>
      <c r="E21" s="134">
        <f t="shared" ref="E21" si="8">IFERROR(C21-D21,"")</f>
        <v>2.1132857831196949E-2</v>
      </c>
      <c r="G21" s="123" t="s">
        <v>125</v>
      </c>
      <c r="H21" s="133">
        <f>'（４）訂單數量構成比'!AG46</f>
        <v>328032</v>
      </c>
      <c r="I21" s="134">
        <f t="shared" ref="I21" si="9">IFERROR(H21/$B$7,"")</f>
        <v>9.8614303571353409E-2</v>
      </c>
      <c r="J21" s="294">
        <v>8.7948484726035392E-2</v>
      </c>
      <c r="K21" s="134">
        <f t="shared" ref="K21" si="10">IFERROR(I21-J21,"")</f>
        <v>1.0665818845318017E-2</v>
      </c>
      <c r="L21" s="115"/>
    </row>
    <row r="22" spans="1:18" ht="18" customHeight="1">
      <c r="A22" s="123" t="s">
        <v>126</v>
      </c>
      <c r="B22" s="133">
        <f>'（３）業績構成比'!AI46/1000</f>
        <v>8914.3268633114167</v>
      </c>
      <c r="C22" s="134">
        <f t="shared" si="5"/>
        <v>8.4145638689756178E-2</v>
      </c>
      <c r="D22" s="294">
        <v>9.1535407774179067E-2</v>
      </c>
      <c r="E22" s="134">
        <f t="shared" si="6"/>
        <v>-7.3897690844228897E-3</v>
      </c>
      <c r="G22" s="123" t="s">
        <v>127</v>
      </c>
      <c r="H22" s="133">
        <f>'（４）訂單數量構成比'!AI46</f>
        <v>242894</v>
      </c>
      <c r="I22" s="134">
        <f t="shared" si="3"/>
        <v>7.3019774447798738E-2</v>
      </c>
      <c r="J22" s="294">
        <v>7.9981640898101641E-2</v>
      </c>
      <c r="K22" s="134">
        <f t="shared" si="4"/>
        <v>-6.9618664503029032E-3</v>
      </c>
      <c r="L22" s="115"/>
    </row>
    <row r="23" spans="1:18" ht="18" customHeight="1">
      <c r="A23" s="123" t="s">
        <v>128</v>
      </c>
      <c r="B23" s="133">
        <f>'（３）業績構成比'!AK46/1000</f>
        <v>6032.0125894563662</v>
      </c>
      <c r="C23" s="134">
        <f t="shared" si="5"/>
        <v>5.6938404851794855E-2</v>
      </c>
      <c r="D23" s="294">
        <v>6.1285436163027458E-2</v>
      </c>
      <c r="E23" s="134">
        <f t="shared" si="6"/>
        <v>-4.3470313112326034E-3</v>
      </c>
      <c r="G23" s="123" t="s">
        <v>129</v>
      </c>
      <c r="H23" s="133">
        <f>'（４）訂單數量構成比'!AK46</f>
        <v>223567</v>
      </c>
      <c r="I23" s="134">
        <f t="shared" si="3"/>
        <v>6.7209613716151986E-2</v>
      </c>
      <c r="J23" s="294">
        <v>7.026961500017917E-2</v>
      </c>
      <c r="K23" s="134">
        <f t="shared" si="4"/>
        <v>-3.0600012840271834E-3</v>
      </c>
      <c r="L23" s="115"/>
    </row>
    <row r="24" spans="1:18" ht="15.75" customHeight="1">
      <c r="C24" s="128">
        <f t="shared" ref="C24:D24" si="11">SUM(C15:C23)</f>
        <v>1</v>
      </c>
      <c r="D24" s="128">
        <f t="shared" si="11"/>
        <v>1</v>
      </c>
      <c r="I24" s="128">
        <f t="shared" ref="I24:J24" si="12">SUM(I15:I23)</f>
        <v>1</v>
      </c>
      <c r="J24" s="128">
        <f t="shared" si="12"/>
        <v>1.0000000000000002</v>
      </c>
      <c r="L24" s="115"/>
    </row>
    <row r="25" spans="1:18" ht="9.6" customHeight="1">
      <c r="A25" s="129"/>
      <c r="L25" s="115"/>
    </row>
    <row r="26" spans="1:18" ht="15.75" customHeight="1">
      <c r="A26" s="126" t="s">
        <v>130</v>
      </c>
      <c r="L26" s="115"/>
    </row>
    <row r="27" spans="1:18" ht="15.75" customHeight="1">
      <c r="A27" s="123" t="s">
        <v>131</v>
      </c>
      <c r="B27" s="123" t="s">
        <v>8</v>
      </c>
      <c r="C27" s="123" t="s">
        <v>9</v>
      </c>
      <c r="D27" s="123" t="s">
        <v>10</v>
      </c>
      <c r="E27" s="123" t="s">
        <v>11</v>
      </c>
      <c r="L27" s="115"/>
      <c r="M27" s="120" t="s">
        <v>132</v>
      </c>
      <c r="N27" s="120" t="s">
        <v>133</v>
      </c>
      <c r="O27" s="120" t="s">
        <v>134</v>
      </c>
      <c r="P27" s="120" t="s">
        <v>135</v>
      </c>
      <c r="Q27" s="120" t="s">
        <v>136</v>
      </c>
    </row>
    <row r="28" spans="1:18" ht="18" customHeight="1">
      <c r="A28" s="123" t="s">
        <v>114</v>
      </c>
      <c r="B28" s="295">
        <f>'（５-1）品群別人時生產性（18℃-飯糰）'!$C$1</f>
        <v>715.75052281215449</v>
      </c>
      <c r="C28" s="295">
        <v>717.52753492795955</v>
      </c>
      <c r="D28" s="247">
        <f t="shared" ref="D28:D36" si="13">B28-C28</f>
        <v>-1.7770121158050642</v>
      </c>
      <c r="E28" s="295">
        <f>R28</f>
        <v>716.63902887005702</v>
      </c>
      <c r="G28" s="138"/>
      <c r="H28" s="138"/>
      <c r="I28" s="138"/>
      <c r="L28" s="115"/>
      <c r="M28" s="295">
        <v>717.52753492795955</v>
      </c>
      <c r="N28" s="295">
        <f>B28</f>
        <v>715.75052281215449</v>
      </c>
      <c r="O28" s="295"/>
      <c r="P28" s="295"/>
      <c r="Q28" s="295"/>
      <c r="R28" s="308">
        <f>AVERAGE(M28:Q28)</f>
        <v>716.63902887005702</v>
      </c>
    </row>
    <row r="29" spans="1:18" ht="18" customHeight="1">
      <c r="A29" s="123" t="s">
        <v>137</v>
      </c>
      <c r="B29" s="295">
        <f>'（５-2）品群別人時生產性（18-壽司手卷)'!$C$1</f>
        <v>200.71731948326365</v>
      </c>
      <c r="C29" s="295">
        <v>197.63271688630809</v>
      </c>
      <c r="D29" s="247">
        <f t="shared" si="13"/>
        <v>3.0846025969555626</v>
      </c>
      <c r="E29" s="295">
        <f t="shared" ref="E29:E36" si="14">R29</f>
        <v>199.17501818478587</v>
      </c>
      <c r="G29" s="140"/>
      <c r="H29" s="140"/>
      <c r="I29" s="140"/>
      <c r="L29" s="115"/>
      <c r="M29" s="295">
        <v>197.63271688630809</v>
      </c>
      <c r="N29" s="295">
        <f t="shared" ref="N29:N36" si="15">B29</f>
        <v>200.71731948326365</v>
      </c>
      <c r="O29" s="295"/>
      <c r="P29" s="295"/>
      <c r="Q29" s="295"/>
      <c r="R29" s="308">
        <f t="shared" ref="R29:R36" si="16">AVERAGE(M29:Q29)</f>
        <v>199.17501818478587</v>
      </c>
    </row>
    <row r="30" spans="1:18" ht="18" customHeight="1">
      <c r="A30" s="123" t="s">
        <v>117</v>
      </c>
      <c r="B30" s="295">
        <f>'（５-3）品群別人時生產性（4℃-飯糰)'!$C$1</f>
        <v>251.93838427567371</v>
      </c>
      <c r="C30" s="295">
        <v>240.45857137830325</v>
      </c>
      <c r="D30" s="247">
        <f t="shared" si="13"/>
        <v>11.479812897370465</v>
      </c>
      <c r="E30" s="295">
        <f t="shared" si="14"/>
        <v>246.19847782698849</v>
      </c>
      <c r="L30" s="115"/>
      <c r="M30" s="295">
        <v>240.45857137830325</v>
      </c>
      <c r="N30" s="295">
        <f t="shared" si="15"/>
        <v>251.93838427567371</v>
      </c>
      <c r="O30" s="295"/>
      <c r="P30" s="295"/>
      <c r="Q30" s="295"/>
      <c r="R30" s="308">
        <f t="shared" si="16"/>
        <v>246.19847782698849</v>
      </c>
    </row>
    <row r="31" spans="1:18" ht="18" customHeight="1">
      <c r="A31" s="123" t="s">
        <v>119</v>
      </c>
      <c r="B31" s="295">
        <f>'（５-4）品群別人時生產性（4℃-壽司手卷)'!$C$1</f>
        <v>109.06373626373625</v>
      </c>
      <c r="C31" s="295">
        <v>106.86512290813759</v>
      </c>
      <c r="D31" s="247">
        <f t="shared" si="13"/>
        <v>2.1986133555986527</v>
      </c>
      <c r="E31" s="295">
        <f t="shared" si="14"/>
        <v>107.96442958593693</v>
      </c>
      <c r="L31" s="115"/>
      <c r="M31" s="295">
        <v>106.86512290813759</v>
      </c>
      <c r="N31" s="295">
        <f t="shared" si="15"/>
        <v>109.06373626373625</v>
      </c>
      <c r="O31" s="295"/>
      <c r="P31" s="295"/>
      <c r="Q31" s="295"/>
      <c r="R31" s="308">
        <f t="shared" si="16"/>
        <v>107.96442958593693</v>
      </c>
    </row>
    <row r="32" spans="1:18" ht="18" customHeight="1">
      <c r="A32" s="123" t="s">
        <v>121</v>
      </c>
      <c r="B32" s="295">
        <f>'（５-5）品群別人時生產性(主食) '!$C$1</f>
        <v>91.961257062417573</v>
      </c>
      <c r="C32" s="295">
        <v>89.310428404733287</v>
      </c>
      <c r="D32" s="247">
        <f t="shared" si="13"/>
        <v>2.6508286576842863</v>
      </c>
      <c r="E32" s="295">
        <f t="shared" si="14"/>
        <v>90.63584273357543</v>
      </c>
      <c r="L32" s="115"/>
      <c r="M32" s="295">
        <v>89.310428404733287</v>
      </c>
      <c r="N32" s="295">
        <f t="shared" si="15"/>
        <v>91.961257062417573</v>
      </c>
      <c r="O32" s="295"/>
      <c r="P32" s="295"/>
      <c r="Q32" s="295"/>
      <c r="R32" s="308">
        <f t="shared" si="16"/>
        <v>90.63584273357543</v>
      </c>
    </row>
    <row r="33" spans="1:18" ht="18" customHeight="1">
      <c r="A33" s="123" t="s">
        <v>123</v>
      </c>
      <c r="B33" s="295">
        <f>'（５-6）品群別人時生產性(便當)'!$C$1</f>
        <v>66.929844260869814</v>
      </c>
      <c r="C33" s="295">
        <v>65.67274245927976</v>
      </c>
      <c r="D33" s="247">
        <f t="shared" si="13"/>
        <v>1.2571018015900535</v>
      </c>
      <c r="E33" s="295">
        <f t="shared" si="14"/>
        <v>66.301293360074794</v>
      </c>
      <c r="L33" s="115"/>
      <c r="M33" s="295">
        <v>65.67274245927976</v>
      </c>
      <c r="N33" s="295">
        <f t="shared" si="15"/>
        <v>66.929844260869814</v>
      </c>
      <c r="O33" s="295"/>
      <c r="P33" s="295"/>
      <c r="Q33" s="295"/>
      <c r="R33" s="308">
        <f t="shared" si="16"/>
        <v>66.301293360074794</v>
      </c>
    </row>
    <row r="34" spans="1:18" ht="18" customHeight="1">
      <c r="A34" s="123" t="s">
        <v>125</v>
      </c>
      <c r="B34" s="295">
        <f>'（５-7）品群別人時生產性(熱食義麵) '!$C$1</f>
        <v>87.393165279301272</v>
      </c>
      <c r="C34" s="295">
        <v>75.478569021952779</v>
      </c>
      <c r="D34" s="247">
        <f t="shared" si="13"/>
        <v>11.914596257348492</v>
      </c>
      <c r="E34" s="295">
        <f t="shared" si="14"/>
        <v>81.435867150627018</v>
      </c>
      <c r="L34" s="115"/>
      <c r="M34" s="295">
        <v>75.478569021952779</v>
      </c>
      <c r="N34" s="295">
        <f t="shared" si="15"/>
        <v>87.393165279301272</v>
      </c>
      <c r="O34" s="295"/>
      <c r="P34" s="295"/>
      <c r="Q34" s="295"/>
      <c r="R34" s="308">
        <f t="shared" si="16"/>
        <v>81.435867150627018</v>
      </c>
    </row>
    <row r="35" spans="1:18" ht="18" customHeight="1">
      <c r="A35" s="123" t="s">
        <v>127</v>
      </c>
      <c r="B35" s="295">
        <f>'（５-8）品群別人時生產性(季節調理麵) '!$C$1</f>
        <v>117.40788742791322</v>
      </c>
      <c r="C35" s="295">
        <v>114.50557202660302</v>
      </c>
      <c r="D35" s="247">
        <f t="shared" si="13"/>
        <v>2.9023154013102044</v>
      </c>
      <c r="E35" s="295">
        <f t="shared" si="14"/>
        <v>115.95672972725812</v>
      </c>
      <c r="L35" s="115"/>
      <c r="M35" s="295">
        <v>114.50557202660302</v>
      </c>
      <c r="N35" s="295">
        <f t="shared" si="15"/>
        <v>117.40788742791322</v>
      </c>
      <c r="O35" s="295"/>
      <c r="P35" s="295"/>
      <c r="Q35" s="295"/>
      <c r="R35" s="308">
        <f t="shared" si="16"/>
        <v>115.95672972725812</v>
      </c>
    </row>
    <row r="36" spans="1:18" ht="18" customHeight="1">
      <c r="A36" s="119" t="s">
        <v>129</v>
      </c>
      <c r="B36" s="295">
        <f>'（５-9）品群別人時生產性(微波小吃)'!$C$1</f>
        <v>112.09351175399559</v>
      </c>
      <c r="C36" s="295">
        <v>99.648342041865732</v>
      </c>
      <c r="D36" s="247">
        <f t="shared" si="13"/>
        <v>12.445169712129854</v>
      </c>
      <c r="E36" s="295">
        <f t="shared" si="14"/>
        <v>105.87092689793066</v>
      </c>
      <c r="L36" s="115"/>
      <c r="M36" s="295">
        <v>99.648342041865732</v>
      </c>
      <c r="N36" s="295">
        <f t="shared" si="15"/>
        <v>112.09351175399559</v>
      </c>
      <c r="O36" s="295"/>
      <c r="P36" s="295"/>
      <c r="Q36" s="295"/>
      <c r="R36" s="308">
        <f t="shared" si="16"/>
        <v>105.87092689793066</v>
      </c>
    </row>
    <row r="37" spans="1:18" ht="15.75" customHeight="1">
      <c r="L37" s="115"/>
    </row>
    <row r="38" spans="1:18" ht="15.75" customHeight="1">
      <c r="L38" s="115"/>
    </row>
  </sheetData>
  <mergeCells count="2">
    <mergeCell ref="A1:K2"/>
    <mergeCell ref="D3:E3"/>
  </mergeCells>
  <phoneticPr fontId="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R38"/>
  <sheetViews>
    <sheetView zoomScale="80" zoomScaleNormal="80" zoomScaleSheetLayoutView="100" workbookViewId="0">
      <selection activeCell="C30" sqref="C30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8" ht="15.75" customHeight="1">
      <c r="A1" s="359" t="s">
        <v>101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115"/>
    </row>
    <row r="2" spans="1:18" s="116" customFormat="1" ht="15.75" customHeight="1">
      <c r="A2" s="359"/>
      <c r="B2" s="359"/>
      <c r="C2" s="359"/>
      <c r="D2" s="359"/>
      <c r="E2" s="359"/>
      <c r="F2" s="359"/>
      <c r="G2" s="359"/>
      <c r="H2" s="359"/>
      <c r="I2" s="359"/>
      <c r="J2" s="359"/>
      <c r="K2" s="359"/>
    </row>
    <row r="3" spans="1:18" ht="21.6" customHeight="1">
      <c r="A3" s="130" t="s">
        <v>0</v>
      </c>
      <c r="B3" s="131">
        <v>9</v>
      </c>
      <c r="C3" s="211" t="s">
        <v>138</v>
      </c>
      <c r="D3" s="131" t="s">
        <v>139</v>
      </c>
      <c r="E3" s="130" t="s">
        <v>102</v>
      </c>
      <c r="F3" s="360" t="s">
        <v>103</v>
      </c>
      <c r="G3" s="360"/>
      <c r="H3" s="116"/>
      <c r="I3" s="125"/>
      <c r="J3" s="116"/>
      <c r="K3" s="116"/>
      <c r="M3" s="116"/>
      <c r="N3" s="116"/>
    </row>
    <row r="4" spans="1:18" ht="15.75" customHeight="1">
      <c r="A4" s="126" t="s">
        <v>104</v>
      </c>
      <c r="E4" s="118" t="s">
        <v>4</v>
      </c>
      <c r="G4" s="127" t="s">
        <v>5</v>
      </c>
      <c r="L4" s="115"/>
    </row>
    <row r="5" spans="1:18" s="120" customFormat="1" ht="15.75" customHeight="1">
      <c r="A5" s="137" t="s">
        <v>105</v>
      </c>
      <c r="B5" s="137" t="s">
        <v>140</v>
      </c>
      <c r="C5" s="137" t="s">
        <v>141</v>
      </c>
      <c r="D5" s="132" t="s">
        <v>10</v>
      </c>
      <c r="E5" s="132" t="s">
        <v>11</v>
      </c>
      <c r="G5" s="137" t="s">
        <v>105</v>
      </c>
      <c r="H5" s="132" t="s">
        <v>12</v>
      </c>
      <c r="I5" s="132" t="s">
        <v>142</v>
      </c>
      <c r="J5" s="132" t="s">
        <v>143</v>
      </c>
      <c r="K5" s="132" t="s">
        <v>11</v>
      </c>
      <c r="L5" s="121" t="s">
        <v>14</v>
      </c>
    </row>
    <row r="6" spans="1:18" ht="18" customHeight="1">
      <c r="A6" s="123" t="s">
        <v>17</v>
      </c>
      <c r="B6" s="223">
        <f>'（１）收支狀況'!G13/1000</f>
        <v>50470.101999999999</v>
      </c>
      <c r="C6" s="259">
        <v>48362.934999999998</v>
      </c>
      <c r="D6" s="133">
        <f t="shared" ref="D6:D11" si="0">B6-C6</f>
        <v>2107.1670000000013</v>
      </c>
      <c r="E6" s="235">
        <f>'（１）收支狀況'!H5/1000</f>
        <v>105939.262</v>
      </c>
      <c r="G6" s="123" t="s">
        <v>106</v>
      </c>
      <c r="H6" s="237">
        <v>266</v>
      </c>
      <c r="I6" s="264">
        <f>'（２）ＫＰＩ達成進度'!G13</f>
        <v>335.39904588334076</v>
      </c>
      <c r="J6" s="265">
        <v>335.12857142857143</v>
      </c>
      <c r="K6" s="266">
        <f>'（２）ＫＰＩ達成進度'!H5</f>
        <v>335.4328880788924</v>
      </c>
      <c r="L6" s="117" t="s">
        <v>107</v>
      </c>
    </row>
    <row r="7" spans="1:18" ht="18" customHeight="1">
      <c r="A7" s="123" t="s">
        <v>21</v>
      </c>
      <c r="B7" s="223">
        <f>'（１）收支狀況'!J13</f>
        <v>1578863</v>
      </c>
      <c r="C7" s="259">
        <v>1525242</v>
      </c>
      <c r="D7" s="133">
        <f t="shared" si="0"/>
        <v>53621</v>
      </c>
      <c r="E7" s="235">
        <f>'（１）收支狀況'!K5</f>
        <v>3326414</v>
      </c>
      <c r="G7" s="123" t="s">
        <v>108</v>
      </c>
      <c r="H7" s="257">
        <v>0.8</v>
      </c>
      <c r="I7" s="255">
        <f>'（２）ＫＰＩ達成進度'!J13</f>
        <v>0.91639083574683255</v>
      </c>
      <c r="J7" s="262">
        <v>0.91565183450429366</v>
      </c>
      <c r="K7" s="258">
        <f>'（２）ＫＰＩ達成進度'!K5</f>
        <v>0.91648330076200091</v>
      </c>
      <c r="L7" s="117" t="s">
        <v>23</v>
      </c>
    </row>
    <row r="8" spans="1:18" ht="18" customHeight="1">
      <c r="A8" s="123" t="s">
        <v>25</v>
      </c>
      <c r="B8" s="223">
        <f>'（１）收支狀況'!M13/1000</f>
        <v>33568.313000000002</v>
      </c>
      <c r="C8" s="259">
        <v>32188.662</v>
      </c>
      <c r="D8" s="133">
        <f>B8-C8</f>
        <v>1379.6510000000017</v>
      </c>
      <c r="E8" s="235">
        <f>'（１）收支狀況'!N5/1000</f>
        <v>70366.504000000001</v>
      </c>
      <c r="G8" s="123" t="s">
        <v>109</v>
      </c>
      <c r="H8" s="236">
        <v>2.5000000000000001E-3</v>
      </c>
      <c r="I8" s="253">
        <f>'（２）ＫＰＩ達成進度'!M13</f>
        <v>2.480002536425207E-3</v>
      </c>
      <c r="J8" s="261">
        <v>2.4809019108133069E-3</v>
      </c>
      <c r="K8" s="253">
        <f>'（２）ＫＰＩ達成進度'!N5</f>
        <v>2.4784030874734904E-3</v>
      </c>
      <c r="L8" s="117" t="s">
        <v>27</v>
      </c>
    </row>
    <row r="9" spans="1:18" ht="18" customHeight="1">
      <c r="A9" s="123" t="s">
        <v>29</v>
      </c>
      <c r="B9" s="224">
        <f>'（１）收支狀況'!P13</f>
        <v>0.66511284245076419</v>
      </c>
      <c r="C9" s="260">
        <v>0.66556469329249768</v>
      </c>
      <c r="D9" s="134">
        <f t="shared" si="0"/>
        <v>-4.518508417334921E-4</v>
      </c>
      <c r="E9" s="134">
        <f>'（１）收支狀況'!Q5</f>
        <v>0.66421553890001617</v>
      </c>
      <c r="G9" s="123" t="s">
        <v>110</v>
      </c>
      <c r="H9" s="236">
        <v>2.5999999999999999E-3</v>
      </c>
      <c r="I9" s="253">
        <f>'（２）ＫＰＩ達成進度'!P13</f>
        <v>2.5266111651023096E-3</v>
      </c>
      <c r="J9" s="261">
        <v>2.7407836426619979E-3</v>
      </c>
      <c r="K9" s="253">
        <f>'（２）ＫＰＩ達成進度'!Q5</f>
        <v>2.6021343620680165E-3</v>
      </c>
      <c r="L9" s="117" t="s">
        <v>31</v>
      </c>
    </row>
    <row r="10" spans="1:18" ht="18" customHeight="1">
      <c r="A10" s="123" t="s">
        <v>33</v>
      </c>
      <c r="B10" s="223">
        <f>'（１）收支狀況'!S13/1000</f>
        <v>6793.9917480000013</v>
      </c>
      <c r="C10" s="259">
        <v>6652.0225569354852</v>
      </c>
      <c r="D10" s="133">
        <f t="shared" si="0"/>
        <v>141.96919106451605</v>
      </c>
      <c r="E10" s="235">
        <f>'（１）收支狀況'!T5/1000</f>
        <v>14484.046840000001</v>
      </c>
      <c r="G10" s="123" t="s">
        <v>111</v>
      </c>
      <c r="H10" s="254">
        <v>0.8</v>
      </c>
      <c r="I10" s="255">
        <v>0.91700000000000004</v>
      </c>
      <c r="J10" s="262">
        <v>0.91700000000000004</v>
      </c>
      <c r="K10" s="255">
        <v>0.91700000000000004</v>
      </c>
      <c r="L10" s="117" t="s">
        <v>35</v>
      </c>
    </row>
    <row r="11" spans="1:18" ht="18" customHeight="1">
      <c r="A11" s="123" t="s">
        <v>39</v>
      </c>
      <c r="B11" s="224">
        <f>'（１）收支狀況'!V13</f>
        <v>0.13461418698935859</v>
      </c>
      <c r="C11" s="260">
        <v>0.13754381443011027</v>
      </c>
      <c r="D11" s="134">
        <f t="shared" si="0"/>
        <v>-2.9296274407516754E-3</v>
      </c>
      <c r="E11" s="134">
        <f>'（１）收支狀況'!W5</f>
        <v>0.1367202920480983</v>
      </c>
      <c r="G11" s="123" t="s">
        <v>112</v>
      </c>
      <c r="H11" s="254">
        <v>1</v>
      </c>
      <c r="I11" s="255">
        <f>'（２）ＫＰＩ達成進度'!V13</f>
        <v>0.75442857142857156</v>
      </c>
      <c r="J11" s="262">
        <v>0.73357142857142854</v>
      </c>
      <c r="K11" s="255">
        <f>'（２）ＫＰＩ達成進度'!W5</f>
        <v>0.74253333333333316</v>
      </c>
      <c r="L11" s="117" t="s">
        <v>41</v>
      </c>
    </row>
    <row r="12" spans="1:18" ht="9.6" customHeight="1">
      <c r="L12" s="115"/>
    </row>
    <row r="13" spans="1:18" ht="15.75" customHeight="1">
      <c r="A13" s="126" t="s">
        <v>6</v>
      </c>
      <c r="G13" s="126" t="s">
        <v>7</v>
      </c>
      <c r="L13" s="115"/>
    </row>
    <row r="14" spans="1:18" s="122" customFormat="1" ht="14.25">
      <c r="A14" s="136"/>
      <c r="B14" s="212" t="s">
        <v>140</v>
      </c>
      <c r="C14" s="136" t="s">
        <v>15</v>
      </c>
      <c r="D14" s="212" t="s">
        <v>144</v>
      </c>
      <c r="E14" s="136" t="s">
        <v>16</v>
      </c>
      <c r="G14" s="136"/>
      <c r="H14" s="212" t="s">
        <v>140</v>
      </c>
      <c r="I14" s="136" t="s">
        <v>15</v>
      </c>
      <c r="J14" s="212" t="s">
        <v>144</v>
      </c>
      <c r="K14" s="136" t="s">
        <v>16</v>
      </c>
      <c r="M14" s="115"/>
      <c r="N14" s="115"/>
      <c r="O14" s="115"/>
      <c r="P14" s="115"/>
      <c r="Q14" s="115"/>
      <c r="R14" s="115"/>
    </row>
    <row r="15" spans="1:18" ht="18" customHeight="1">
      <c r="A15" s="123" t="s">
        <v>145</v>
      </c>
      <c r="B15" s="238">
        <f>SUM('（３）業績構成比'!I15:I21,'（３）業績構成比'!K15:K21)/1000</f>
        <v>11625.107388204722</v>
      </c>
      <c r="C15" s="134">
        <f>IFERROR(B15/$B$6,"")</f>
        <v>0.23033651463998869</v>
      </c>
      <c r="D15" s="260">
        <v>0.23463288324755269</v>
      </c>
      <c r="E15" s="134">
        <f>IFERROR(C15-D15,"")</f>
        <v>-4.296368607563994E-3</v>
      </c>
      <c r="G15" s="123" t="s">
        <v>145</v>
      </c>
      <c r="H15" s="238">
        <f>SUM(,'（４）訂單數量構成比'!I15:I21,'（４）訂單數量構成比'!K15:K21)</f>
        <v>595580</v>
      </c>
      <c r="I15" s="134">
        <f t="shared" ref="I15:I23" si="1">IFERROR(H15/$B$7,"")</f>
        <v>0.37722082283263336</v>
      </c>
      <c r="J15" s="260">
        <v>0.38257338835411037</v>
      </c>
      <c r="K15" s="134">
        <f t="shared" ref="K15:K23" si="2">IFERROR(I15-J15,"")</f>
        <v>-5.352565521477004E-3</v>
      </c>
      <c r="L15" s="115"/>
    </row>
    <row r="16" spans="1:18" ht="18" customHeight="1">
      <c r="A16" s="123" t="s">
        <v>115</v>
      </c>
      <c r="B16" s="238">
        <f>SUM('（３）業績構成比'!O15:O21,'（３）業績構成比'!Q15:Q21)/1000</f>
        <v>1660.8579760664529</v>
      </c>
      <c r="C16" s="134">
        <f t="shared" ref="C16:C23" si="3">IFERROR(B16/$B$6,"")</f>
        <v>3.2907759450663543E-2</v>
      </c>
      <c r="D16" s="260">
        <v>3.7563947285160736E-2</v>
      </c>
      <c r="E16" s="134">
        <f t="shared" ref="E16:E23" si="4">IFERROR(C16-D16,"")</f>
        <v>-4.6561878344971927E-3</v>
      </c>
      <c r="G16" s="123" t="s">
        <v>115</v>
      </c>
      <c r="H16" s="238">
        <f>SUM('（４）訂單數量構成比'!O15:O21,'（４）訂單數量構成比'!Q15:Q21)</f>
        <v>63181</v>
      </c>
      <c r="I16" s="134">
        <f t="shared" si="1"/>
        <v>4.0016771562827173E-2</v>
      </c>
      <c r="J16" s="260">
        <v>4.5363293169215113E-2</v>
      </c>
      <c r="K16" s="134">
        <f t="shared" si="2"/>
        <v>-5.3465216063879398E-3</v>
      </c>
      <c r="L16" s="115"/>
    </row>
    <row r="17" spans="1:17" ht="18" customHeight="1">
      <c r="A17" s="123" t="s">
        <v>116</v>
      </c>
      <c r="B17" s="238">
        <f>SUM('（３）業績構成比'!U15:U21)/1000</f>
        <v>4278.5418299963867</v>
      </c>
      <c r="C17" s="134">
        <f t="shared" si="3"/>
        <v>8.4773790035066438E-2</v>
      </c>
      <c r="D17" s="260">
        <v>8.7141249975436666E-2</v>
      </c>
      <c r="E17" s="134">
        <f t="shared" si="4"/>
        <v>-2.3674599403702284E-3</v>
      </c>
      <c r="G17" s="123" t="s">
        <v>117</v>
      </c>
      <c r="H17" s="238">
        <f>SUM('（４）訂單數量構成比'!U15:U21)</f>
        <v>128755</v>
      </c>
      <c r="I17" s="134">
        <f t="shared" si="1"/>
        <v>8.1549190778427261E-2</v>
      </c>
      <c r="J17" s="260">
        <v>8.3218269625410263E-2</v>
      </c>
      <c r="K17" s="134">
        <f t="shared" si="2"/>
        <v>-1.669078846983002E-3</v>
      </c>
      <c r="L17" s="115"/>
    </row>
    <row r="18" spans="1:17" ht="18" customHeight="1">
      <c r="A18" s="123" t="s">
        <v>118</v>
      </c>
      <c r="B18" s="238">
        <f>SUM('（３）業績構成比'!W15:W21)/1000</f>
        <v>83.359841322605703</v>
      </c>
      <c r="C18" s="134">
        <f t="shared" si="3"/>
        <v>1.6516677799186081E-3</v>
      </c>
      <c r="D18" s="260">
        <v>1.7380730825218909E-3</v>
      </c>
      <c r="E18" s="134">
        <f t="shared" si="4"/>
        <v>-8.6405302603282828E-5</v>
      </c>
      <c r="G18" s="123" t="s">
        <v>119</v>
      </c>
      <c r="H18" s="238">
        <f>SUM('（４）訂單數量構成比'!W15:W21)</f>
        <v>3141</v>
      </c>
      <c r="I18" s="134">
        <f t="shared" si="1"/>
        <v>1.9894063006099961E-3</v>
      </c>
      <c r="J18" s="260">
        <v>2.079014346575822E-3</v>
      </c>
      <c r="K18" s="134">
        <f t="shared" si="2"/>
        <v>-8.9608045965825899E-5</v>
      </c>
      <c r="L18" s="115"/>
    </row>
    <row r="19" spans="1:17" ht="18" customHeight="1">
      <c r="A19" s="123" t="s">
        <v>120</v>
      </c>
      <c r="B19" s="238">
        <f>SUM('（３）業績構成比'!Y15:Y21,'（３）業績構成比'!AA15:AA21)/1000</f>
        <v>12262.595453195792</v>
      </c>
      <c r="C19" s="134">
        <f t="shared" si="3"/>
        <v>0.24296751873407732</v>
      </c>
      <c r="D19" s="260">
        <v>0.24894813679850805</v>
      </c>
      <c r="E19" s="134">
        <f t="shared" si="4"/>
        <v>-5.9806180644307316E-3</v>
      </c>
      <c r="G19" s="123" t="s">
        <v>121</v>
      </c>
      <c r="H19" s="238">
        <f>SUM('（４）訂單數量構成比'!Y15:Y21,'（４）訂單數量構成比'!AA15:AA21)</f>
        <v>304518</v>
      </c>
      <c r="I19" s="134">
        <f t="shared" si="1"/>
        <v>0.19287170577814541</v>
      </c>
      <c r="J19" s="260">
        <v>0.19363484614244822</v>
      </c>
      <c r="K19" s="134">
        <f t="shared" si="2"/>
        <v>-7.6314036430280563E-4</v>
      </c>
      <c r="L19" s="115"/>
    </row>
    <row r="20" spans="1:17" ht="18" customHeight="1">
      <c r="A20" s="123" t="s">
        <v>122</v>
      </c>
      <c r="B20" s="238">
        <f>SUM('（３）業績構成比'!AE15:AE21)/1000</f>
        <v>5361.9739812696016</v>
      </c>
      <c r="C20" s="134">
        <f t="shared" si="3"/>
        <v>0.1062406012428824</v>
      </c>
      <c r="D20" s="260">
        <v>0.10285314953738443</v>
      </c>
      <c r="E20" s="134">
        <f t="shared" si="4"/>
        <v>3.3874517054979653E-3</v>
      </c>
      <c r="G20" s="123" t="s">
        <v>123</v>
      </c>
      <c r="H20" s="238">
        <f>SUM('（４）訂單數量構成比'!AE15:AE21)</f>
        <v>97515</v>
      </c>
      <c r="I20" s="134">
        <f t="shared" si="1"/>
        <v>6.1762800192290274E-2</v>
      </c>
      <c r="J20" s="260">
        <v>5.9496132417019724E-2</v>
      </c>
      <c r="K20" s="134">
        <f t="shared" si="2"/>
        <v>2.2666677752705491E-3</v>
      </c>
      <c r="L20" s="115"/>
    </row>
    <row r="21" spans="1:17" ht="18" customHeight="1">
      <c r="A21" s="123" t="s">
        <v>124</v>
      </c>
      <c r="B21" s="238">
        <f>SUM('（３）業績構成比'!AG15:AG21)/1000</f>
        <v>8185.3202413099953</v>
      </c>
      <c r="C21" s="134">
        <f t="shared" si="3"/>
        <v>0.16218156724371183</v>
      </c>
      <c r="D21" s="260">
        <v>0.14585418775366182</v>
      </c>
      <c r="E21" s="134">
        <f t="shared" si="4"/>
        <v>1.6327379490050004E-2</v>
      </c>
      <c r="G21" s="123" t="s">
        <v>125</v>
      </c>
      <c r="H21" s="238">
        <f>SUM('（４）訂單數量構成比'!AG15:AG21)</f>
        <v>166802</v>
      </c>
      <c r="I21" s="134">
        <f t="shared" si="1"/>
        <v>0.10564691173331694</v>
      </c>
      <c r="J21" s="260">
        <v>9.3981151843445174E-2</v>
      </c>
      <c r="K21" s="134">
        <f t="shared" si="2"/>
        <v>1.1665759889871771E-2</v>
      </c>
      <c r="L21" s="115"/>
    </row>
    <row r="22" spans="1:17" ht="18" customHeight="1">
      <c r="A22" s="123" t="s">
        <v>126</v>
      </c>
      <c r="B22" s="238">
        <f>SUM('（３）業績構成比'!AI15:AI21)/1000</f>
        <v>4335.414068878179</v>
      </c>
      <c r="C22" s="134">
        <f t="shared" si="3"/>
        <v>8.5900640123100586E-2</v>
      </c>
      <c r="D22" s="260">
        <v>8.2077870907071609E-2</v>
      </c>
      <c r="E22" s="134">
        <f t="shared" si="4"/>
        <v>3.8227692160289761E-3</v>
      </c>
      <c r="G22" s="123" t="s">
        <v>127</v>
      </c>
      <c r="H22" s="238">
        <f>SUM('（４）訂單數量構成比'!AI15:AI21)</f>
        <v>118035</v>
      </c>
      <c r="I22" s="134">
        <f t="shared" si="1"/>
        <v>7.4759494648997407E-2</v>
      </c>
      <c r="J22" s="260">
        <v>7.0960542654870506E-2</v>
      </c>
      <c r="K22" s="134">
        <f t="shared" si="2"/>
        <v>3.7989519941269007E-3</v>
      </c>
      <c r="L22" s="115"/>
    </row>
    <row r="23" spans="1:17" ht="18" customHeight="1">
      <c r="A23" s="123" t="s">
        <v>128</v>
      </c>
      <c r="B23" s="238">
        <f>SUM('（３）業績構成比'!AK15:AK21)/1000</f>
        <v>2676.9312197562695</v>
      </c>
      <c r="C23" s="134">
        <f t="shared" si="3"/>
        <v>5.3039940750590708E-2</v>
      </c>
      <c r="D23" s="260">
        <v>5.9190501412702275E-2</v>
      </c>
      <c r="E23" s="134">
        <f t="shared" si="4"/>
        <v>-6.1505606621115663E-3</v>
      </c>
      <c r="G23" s="123" t="s">
        <v>129</v>
      </c>
      <c r="H23" s="238">
        <f>SUM('（４）訂單數量構成比'!AK15:AK21)</f>
        <v>101336</v>
      </c>
      <c r="I23" s="134">
        <f t="shared" si="1"/>
        <v>6.4182896172752163E-2</v>
      </c>
      <c r="J23" s="260">
        <v>6.8693361446904813E-2</v>
      </c>
      <c r="K23" s="134">
        <f t="shared" si="2"/>
        <v>-4.5104652741526502E-3</v>
      </c>
      <c r="L23" s="115"/>
    </row>
    <row r="24" spans="1:17" ht="15.75" customHeight="1">
      <c r="C24" s="128">
        <f t="shared" ref="C24:D24" si="5">SUM(C15:C23)</f>
        <v>1</v>
      </c>
      <c r="D24" s="128">
        <f t="shared" si="5"/>
        <v>1.0000000000000002</v>
      </c>
      <c r="I24" s="128">
        <f t="shared" ref="I24:J24" si="6">SUM(I15:I23)</f>
        <v>1</v>
      </c>
      <c r="J24" s="128">
        <f t="shared" si="6"/>
        <v>1</v>
      </c>
      <c r="L24" s="115"/>
    </row>
    <row r="25" spans="1:17" ht="9.6" customHeight="1">
      <c r="A25" s="129"/>
      <c r="L25" s="115"/>
    </row>
    <row r="26" spans="1:17" ht="15.75" customHeight="1">
      <c r="A26" s="126" t="s">
        <v>146</v>
      </c>
      <c r="L26" s="115"/>
    </row>
    <row r="27" spans="1:17" ht="15.75" customHeight="1">
      <c r="A27" s="123" t="s">
        <v>131</v>
      </c>
      <c r="B27" s="213" t="s">
        <v>140</v>
      </c>
      <c r="C27" s="213" t="s">
        <v>141</v>
      </c>
      <c r="D27" s="123" t="s">
        <v>10</v>
      </c>
      <c r="E27" s="123" t="s">
        <v>147</v>
      </c>
      <c r="L27" s="115"/>
    </row>
    <row r="28" spans="1:17" ht="18" customHeight="1">
      <c r="A28" s="123" t="s">
        <v>145</v>
      </c>
      <c r="B28" s="246">
        <f>'（５-1）品群別人時生產性（18℃-飯糰）'!L77</f>
        <v>719.25017684589341</v>
      </c>
      <c r="C28" s="263">
        <v>714.86008071568097</v>
      </c>
      <c r="D28" s="247">
        <f t="shared" ref="D28:D36" si="7">B28-C28</f>
        <v>4.3900961302124415</v>
      </c>
      <c r="E28" s="124">
        <f>'（５-1）品群別人時生產性（18℃-飯糰）'!C1</f>
        <v>715.75052281215449</v>
      </c>
      <c r="H28" s="138"/>
      <c r="I28" s="138"/>
      <c r="J28" s="138"/>
      <c r="K28" s="138"/>
      <c r="L28" s="138"/>
      <c r="M28" s="138"/>
      <c r="N28" s="138"/>
      <c r="O28" s="138"/>
      <c r="P28" s="139"/>
      <c r="Q28" s="139"/>
    </row>
    <row r="29" spans="1:17" ht="18" customHeight="1">
      <c r="A29" s="123" t="s">
        <v>137</v>
      </c>
      <c r="B29" s="246">
        <f>'（５-2）品群別人時生產性（18-壽司手卷)'!L47</f>
        <v>209.23228734889648</v>
      </c>
      <c r="C29" s="263">
        <v>202.12383857275614</v>
      </c>
      <c r="D29" s="247">
        <f t="shared" si="7"/>
        <v>7.1084487761403352</v>
      </c>
      <c r="E29" s="124">
        <f>'（５-2）品群別人時生產性（18-壽司手卷)'!C1</f>
        <v>200.71731948326365</v>
      </c>
      <c r="H29" s="140"/>
      <c r="I29" s="141"/>
      <c r="J29" s="1"/>
      <c r="K29" s="142"/>
      <c r="L29" s="67"/>
      <c r="M29" s="66"/>
      <c r="N29" s="67"/>
      <c r="O29" s="67"/>
      <c r="P29" s="67"/>
      <c r="Q29" s="67"/>
    </row>
    <row r="30" spans="1:17" ht="18" customHeight="1">
      <c r="A30" s="123" t="s">
        <v>117</v>
      </c>
      <c r="B30" s="246">
        <f>'（５-3）品群別人時生產性（4℃-飯糰)'!L47</f>
        <v>247.44189400539238</v>
      </c>
      <c r="C30" s="263">
        <v>259.10520310272989</v>
      </c>
      <c r="D30" s="247">
        <f t="shared" si="7"/>
        <v>-11.663309097337503</v>
      </c>
      <c r="E30" s="124">
        <f>'（５-3）品群別人時生產性（4℃-飯糰)'!C1</f>
        <v>251.93838427567371</v>
      </c>
      <c r="L30" s="115"/>
    </row>
    <row r="31" spans="1:17" ht="18" customHeight="1">
      <c r="A31" s="123" t="s">
        <v>119</v>
      </c>
      <c r="B31" s="246">
        <f>'（５-4）品群別人時生產性（4℃-壽司手卷)'!L47</f>
        <v>119.14285714285722</v>
      </c>
      <c r="C31" s="263">
        <v>105.24615384615387</v>
      </c>
      <c r="D31" s="247">
        <f t="shared" si="7"/>
        <v>13.89670329670335</v>
      </c>
      <c r="E31" s="124">
        <f>'（５-4）品群別人時生產性（4℃-壽司手卷)'!C1</f>
        <v>109.06373626373625</v>
      </c>
      <c r="L31" s="115"/>
    </row>
    <row r="32" spans="1:17" ht="18" customHeight="1">
      <c r="A32" s="123" t="s">
        <v>121</v>
      </c>
      <c r="B32" s="246">
        <f>'（５-5）品群別人時生產性(主食) '!L77</f>
        <v>91.678334083827465</v>
      </c>
      <c r="C32" s="263">
        <v>91.8</v>
      </c>
      <c r="D32" s="247">
        <f t="shared" si="7"/>
        <v>-0.12166591617253175</v>
      </c>
      <c r="E32" s="124">
        <f>'（５-5）品群別人時生產性(主食) '!C1</f>
        <v>91.961257062417573</v>
      </c>
      <c r="L32" s="115"/>
    </row>
    <row r="33" spans="1:5" s="115" customFormat="1" ht="18" customHeight="1">
      <c r="A33" s="123" t="s">
        <v>123</v>
      </c>
      <c r="B33" s="246">
        <f>'（５-6）品群別人時生產性(便當)'!L47</f>
        <v>68.06287119219094</v>
      </c>
      <c r="C33" s="263">
        <v>68.168322453709834</v>
      </c>
      <c r="D33" s="247">
        <f t="shared" si="7"/>
        <v>-0.10545126151889406</v>
      </c>
      <c r="E33" s="124">
        <f>'（５-6）品群別人時生產性(便當)'!C1</f>
        <v>66.929844260869814</v>
      </c>
    </row>
    <row r="34" spans="1:5" s="115" customFormat="1" ht="18" customHeight="1">
      <c r="A34" s="123" t="s">
        <v>125</v>
      </c>
      <c r="B34" s="246">
        <f>'（５-7）品群別人時生產性(熱食義麵) '!L47</f>
        <v>86.793498282807619</v>
      </c>
      <c r="C34" s="263">
        <v>87.833649179499915</v>
      </c>
      <c r="D34" s="247">
        <f t="shared" si="7"/>
        <v>-1.0401508966922961</v>
      </c>
      <c r="E34" s="124">
        <f>'（５-7）品群別人時生產性(熱食義麵) '!C1</f>
        <v>87.393165279301272</v>
      </c>
    </row>
    <row r="35" spans="1:5" s="115" customFormat="1" ht="18" customHeight="1">
      <c r="A35" s="123" t="s">
        <v>127</v>
      </c>
      <c r="B35" s="246">
        <f>'（５-8）品群別人時生產性(季節調理麵) '!L47</f>
        <v>117.87986143047594</v>
      </c>
      <c r="C35" s="263">
        <v>117.39386069342603</v>
      </c>
      <c r="D35" s="247">
        <f t="shared" si="7"/>
        <v>0.48600073704990621</v>
      </c>
      <c r="E35" s="124">
        <f>'（５-8）品群別人時生產性(季節調理麵) '!C1</f>
        <v>117.40788742791322</v>
      </c>
    </row>
    <row r="36" spans="1:5" s="115" customFormat="1" ht="18" customHeight="1">
      <c r="A36" s="119" t="s">
        <v>129</v>
      </c>
      <c r="B36" s="246">
        <f>'（５-9）品群別人時生產性(微波小吃)'!L47</f>
        <v>119.41587210258157</v>
      </c>
      <c r="C36" s="263">
        <v>111.59971562096058</v>
      </c>
      <c r="D36" s="247">
        <f t="shared" si="7"/>
        <v>7.8161564816209932</v>
      </c>
      <c r="E36" s="124">
        <f>'（５-9）品群別人時生產性(微波小吃)'!C1</f>
        <v>112.09351175399559</v>
      </c>
    </row>
    <row r="37" spans="1:5" s="115" customFormat="1" ht="15.75" customHeight="1">
      <c r="D37" s="316">
        <f>SUM(D28:D36)</f>
        <v>20.766828250005801</v>
      </c>
    </row>
    <row r="38" spans="1:5" s="115" customFormat="1" ht="15.75" customHeight="1"/>
  </sheetData>
  <mergeCells count="2">
    <mergeCell ref="A1:K2"/>
    <mergeCell ref="F3:G3"/>
  </mergeCells>
  <phoneticPr fontId="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B2:W57"/>
  <sheetViews>
    <sheetView zoomScale="65" zoomScaleNormal="65" workbookViewId="0">
      <pane xSplit="5" ySplit="4" topLeftCell="F5" activePane="bottomRight" state="frozen"/>
      <selection pane="bottomRight" activeCell="F45" sqref="F45"/>
      <selection pane="bottomLeft" activeCell="A5" sqref="A5"/>
      <selection pane="topRight" activeCell="F1" sqref="F1"/>
    </sheetView>
  </sheetViews>
  <sheetFormatPr defaultColWidth="8.85546875" defaultRowHeight="12"/>
  <cols>
    <col min="1" max="1" width="8.85546875" style="75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19.5703125" style="83" customWidth="1"/>
    <col min="9" max="13" width="19.5703125" style="84" customWidth="1"/>
    <col min="14" max="14" width="19.5703125" style="85" customWidth="1"/>
    <col min="15" max="17" width="19.5703125" style="86" customWidth="1"/>
    <col min="18" max="20" width="19.5703125" style="85" customWidth="1"/>
    <col min="21" max="21" width="19.5703125" style="86" customWidth="1"/>
    <col min="22" max="23" width="19.5703125" style="75" customWidth="1"/>
    <col min="24" max="16384" width="8.85546875" style="75"/>
  </cols>
  <sheetData>
    <row r="2" spans="2:23" ht="38.1" customHeight="1">
      <c r="B2" s="364" t="s">
        <v>148</v>
      </c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4"/>
      <c r="W2" s="364"/>
    </row>
    <row r="3" spans="2:23" s="78" customFormat="1" ht="23.45" customHeight="1">
      <c r="B3" s="79"/>
      <c r="C3" s="368" t="s">
        <v>149</v>
      </c>
      <c r="D3" s="369" t="s">
        <v>150</v>
      </c>
      <c r="E3" s="369"/>
      <c r="F3" s="367" t="s">
        <v>151</v>
      </c>
      <c r="G3" s="367"/>
      <c r="H3" s="367"/>
      <c r="I3" s="365" t="s">
        <v>152</v>
      </c>
      <c r="J3" s="365"/>
      <c r="K3" s="365"/>
      <c r="L3" s="366" t="s">
        <v>153</v>
      </c>
      <c r="M3" s="366"/>
      <c r="N3" s="366"/>
      <c r="O3" s="361" t="s">
        <v>154</v>
      </c>
      <c r="P3" s="361"/>
      <c r="Q3" s="361"/>
      <c r="R3" s="370" t="s">
        <v>155</v>
      </c>
      <c r="S3" s="370"/>
      <c r="T3" s="370"/>
      <c r="U3" s="361" t="s">
        <v>156</v>
      </c>
      <c r="V3" s="361"/>
      <c r="W3" s="361"/>
    </row>
    <row r="4" spans="2:23" s="78" customFormat="1" ht="23.45" customHeight="1">
      <c r="B4" s="79"/>
      <c r="C4" s="368"/>
      <c r="D4" s="369"/>
      <c r="E4" s="369"/>
      <c r="F4" s="76" t="s">
        <v>157</v>
      </c>
      <c r="G4" s="76" t="s">
        <v>158</v>
      </c>
      <c r="H4" s="76" t="s">
        <v>159</v>
      </c>
      <c r="I4" s="88" t="s">
        <v>157</v>
      </c>
      <c r="J4" s="88" t="s">
        <v>158</v>
      </c>
      <c r="K4" s="88" t="s">
        <v>159</v>
      </c>
      <c r="L4" s="87" t="s">
        <v>157</v>
      </c>
      <c r="M4" s="87" t="s">
        <v>158</v>
      </c>
      <c r="N4" s="87" t="s">
        <v>159</v>
      </c>
      <c r="O4" s="81" t="s">
        <v>157</v>
      </c>
      <c r="P4" s="81" t="s">
        <v>158</v>
      </c>
      <c r="Q4" s="320" t="s">
        <v>160</v>
      </c>
      <c r="R4" s="81" t="s">
        <v>157</v>
      </c>
      <c r="S4" s="81" t="s">
        <v>158</v>
      </c>
      <c r="T4" s="81" t="s">
        <v>159</v>
      </c>
      <c r="U4" s="81" t="s">
        <v>157</v>
      </c>
      <c r="V4" s="81" t="s">
        <v>158</v>
      </c>
      <c r="W4" s="320" t="s">
        <v>160</v>
      </c>
    </row>
    <row r="5" spans="2:23">
      <c r="B5" s="79"/>
      <c r="C5" s="372" t="s">
        <v>161</v>
      </c>
      <c r="D5" s="319">
        <v>45901</v>
      </c>
      <c r="E5" s="319" t="s">
        <v>162</v>
      </c>
      <c r="F5" s="229">
        <v>7106225</v>
      </c>
      <c r="G5" s="317">
        <f>SUM(F5)</f>
        <v>7106225</v>
      </c>
      <c r="H5" s="363">
        <f>SUM(F5:F35)</f>
        <v>105939262</v>
      </c>
      <c r="I5" s="230">
        <v>222309</v>
      </c>
      <c r="J5" s="84">
        <f>SUM(I5)</f>
        <v>222309</v>
      </c>
      <c r="K5" s="371">
        <f>SUM(I5:I35)</f>
        <v>3326414</v>
      </c>
      <c r="L5" s="229">
        <v>4609529</v>
      </c>
      <c r="M5" s="317">
        <f>SUM(L5)</f>
        <v>4609529</v>
      </c>
      <c r="N5" s="363">
        <f>SUM(L5:L35)</f>
        <v>70366504</v>
      </c>
      <c r="O5" s="86">
        <f t="shared" ref="O5:O38" si="0">L5/F5</f>
        <v>0.64866071648449075</v>
      </c>
      <c r="P5" s="86">
        <f>M5/G5</f>
        <v>0.64866071648449075</v>
      </c>
      <c r="Q5" s="362">
        <f>N5/H5</f>
        <v>0.66421553890001617</v>
      </c>
      <c r="R5" s="231">
        <v>1024189.2213333334</v>
      </c>
      <c r="S5" s="317">
        <f>SUM(R5)</f>
        <v>1024189.2213333334</v>
      </c>
      <c r="T5" s="363">
        <f>SUM(R5:R35)</f>
        <v>14484046.840000002</v>
      </c>
      <c r="U5" s="86">
        <f t="shared" ref="U5:U43" si="1">R5/F5</f>
        <v>0.14412563932796013</v>
      </c>
      <c r="V5" s="86">
        <f>S5/G5</f>
        <v>0.14412563932796013</v>
      </c>
      <c r="W5" s="362">
        <f>T5/H5</f>
        <v>0.1367202920480983</v>
      </c>
    </row>
    <row r="6" spans="2:23">
      <c r="B6" s="79"/>
      <c r="C6" s="372"/>
      <c r="D6" s="82">
        <v>45902</v>
      </c>
      <c r="E6" s="82" t="s">
        <v>163</v>
      </c>
      <c r="F6" s="229">
        <v>7727458</v>
      </c>
      <c r="G6" s="317">
        <f>SUM(F6:F12)</f>
        <v>48362935</v>
      </c>
      <c r="H6" s="363"/>
      <c r="I6" s="230">
        <v>240560</v>
      </c>
      <c r="J6" s="84">
        <f>SUM(I6:I12)</f>
        <v>1525242</v>
      </c>
      <c r="K6" s="371"/>
      <c r="L6" s="229">
        <v>5103169</v>
      </c>
      <c r="M6" s="317">
        <f>SUM(L6:L12)</f>
        <v>32188662</v>
      </c>
      <c r="N6" s="363"/>
      <c r="O6" s="86">
        <f t="shared" si="0"/>
        <v>0.66039427195851463</v>
      </c>
      <c r="P6" s="86">
        <f>M6/G6</f>
        <v>0.66556469329249768</v>
      </c>
      <c r="Q6" s="362"/>
      <c r="R6" s="231">
        <v>989533.97333333339</v>
      </c>
      <c r="S6" s="317">
        <f>SUM(R6:R12)</f>
        <v>6665865.8706666669</v>
      </c>
      <c r="T6" s="363"/>
      <c r="U6" s="86">
        <f t="shared" si="1"/>
        <v>0.12805426743611331</v>
      </c>
      <c r="V6" s="86">
        <f>S6/G6</f>
        <v>0.13783005251163244</v>
      </c>
      <c r="W6" s="362"/>
    </row>
    <row r="7" spans="2:23">
      <c r="B7" s="79"/>
      <c r="C7" s="372"/>
      <c r="D7" s="82">
        <v>45903</v>
      </c>
      <c r="E7" s="82" t="s">
        <v>164</v>
      </c>
      <c r="F7" s="229">
        <v>7254649</v>
      </c>
      <c r="G7" s="317"/>
      <c r="H7" s="363"/>
      <c r="I7" s="230">
        <v>228856</v>
      </c>
      <c r="K7" s="371"/>
      <c r="L7" s="229">
        <v>4720340</v>
      </c>
      <c r="M7" s="317"/>
      <c r="N7" s="363"/>
      <c r="O7" s="86">
        <f t="shared" si="0"/>
        <v>0.6506641465355526</v>
      </c>
      <c r="Q7" s="362"/>
      <c r="R7" s="231">
        <v>938665.8853333334</v>
      </c>
      <c r="S7" s="317"/>
      <c r="T7" s="363"/>
      <c r="U7" s="86">
        <f t="shared" si="1"/>
        <v>0.12938818753785791</v>
      </c>
      <c r="V7" s="86"/>
      <c r="W7" s="362"/>
    </row>
    <row r="8" spans="2:23">
      <c r="B8" s="79"/>
      <c r="C8" s="372"/>
      <c r="D8" s="82">
        <v>45904</v>
      </c>
      <c r="E8" s="82" t="s">
        <v>165</v>
      </c>
      <c r="F8" s="229">
        <v>6602059</v>
      </c>
      <c r="G8" s="317"/>
      <c r="H8" s="363"/>
      <c r="I8" s="230">
        <v>210018</v>
      </c>
      <c r="K8" s="371"/>
      <c r="L8" s="229">
        <v>4415001</v>
      </c>
      <c r="M8" s="317"/>
      <c r="N8" s="363"/>
      <c r="O8" s="86">
        <f t="shared" si="0"/>
        <v>0.66873092167155734</v>
      </c>
      <c r="Q8" s="362"/>
      <c r="R8" s="231">
        <v>919769.24400000018</v>
      </c>
      <c r="S8" s="317"/>
      <c r="T8" s="363"/>
      <c r="U8" s="86">
        <f t="shared" si="1"/>
        <v>0.13931551414490542</v>
      </c>
      <c r="V8" s="86"/>
      <c r="W8" s="362"/>
    </row>
    <row r="9" spans="2:23">
      <c r="B9" s="79"/>
      <c r="C9" s="372"/>
      <c r="D9" s="82">
        <v>45905</v>
      </c>
      <c r="E9" s="82" t="s">
        <v>166</v>
      </c>
      <c r="F9" s="229">
        <v>5807177</v>
      </c>
      <c r="G9" s="317"/>
      <c r="H9" s="363"/>
      <c r="I9" s="230">
        <v>186157</v>
      </c>
      <c r="K9" s="371"/>
      <c r="L9" s="229">
        <v>3985603</v>
      </c>
      <c r="M9" s="317"/>
      <c r="N9" s="363"/>
      <c r="O9" s="86">
        <f t="shared" si="0"/>
        <v>0.6863236646652926</v>
      </c>
      <c r="Q9" s="362"/>
      <c r="R9" s="231">
        <v>905930.64533333317</v>
      </c>
      <c r="S9" s="317"/>
      <c r="T9" s="363"/>
      <c r="U9" s="86">
        <f t="shared" si="1"/>
        <v>0.1560018999478289</v>
      </c>
      <c r="V9" s="86"/>
      <c r="W9" s="362"/>
    </row>
    <row r="10" spans="2:23">
      <c r="B10" s="79"/>
      <c r="C10" s="372"/>
      <c r="D10" s="82">
        <v>45906</v>
      </c>
      <c r="E10" s="82" t="s">
        <v>167</v>
      </c>
      <c r="F10" s="229">
        <v>6167669</v>
      </c>
      <c r="G10" s="317"/>
      <c r="H10" s="363"/>
      <c r="I10" s="230">
        <v>195008</v>
      </c>
      <c r="K10" s="371"/>
      <c r="L10" s="229">
        <v>4414886</v>
      </c>
      <c r="M10" s="317"/>
      <c r="N10" s="363"/>
      <c r="O10" s="86">
        <f t="shared" si="0"/>
        <v>0.71581111113453078</v>
      </c>
      <c r="Q10" s="362"/>
      <c r="R10" s="231">
        <v>930400.32666666678</v>
      </c>
      <c r="S10" s="317"/>
      <c r="T10" s="363"/>
      <c r="U10" s="86">
        <f t="shared" si="1"/>
        <v>0.15085120921156223</v>
      </c>
      <c r="V10" s="86"/>
      <c r="W10" s="362"/>
    </row>
    <row r="11" spans="2:23">
      <c r="B11" s="79"/>
      <c r="C11" s="372"/>
      <c r="D11" s="82">
        <v>45907</v>
      </c>
      <c r="E11" s="82" t="s">
        <v>168</v>
      </c>
      <c r="F11" s="229">
        <v>7394780</v>
      </c>
      <c r="G11" s="317"/>
      <c r="H11" s="363"/>
      <c r="I11" s="230">
        <v>233163</v>
      </c>
      <c r="K11" s="371"/>
      <c r="L11" s="229">
        <v>4702113</v>
      </c>
      <c r="M11" s="317"/>
      <c r="N11" s="363"/>
      <c r="O11" s="86">
        <f t="shared" si="0"/>
        <v>0.63586922126148449</v>
      </c>
      <c r="Q11" s="362"/>
      <c r="R11" s="231">
        <v>984509.0853333337</v>
      </c>
      <c r="S11" s="317"/>
      <c r="T11" s="363"/>
      <c r="U11" s="86">
        <f t="shared" si="1"/>
        <v>0.13313568291867151</v>
      </c>
      <c r="V11" s="86"/>
      <c r="W11" s="362"/>
    </row>
    <row r="12" spans="2:23">
      <c r="B12" s="79"/>
      <c r="C12" s="372"/>
      <c r="D12" s="82">
        <v>45908</v>
      </c>
      <c r="E12" s="82" t="s">
        <v>162</v>
      </c>
      <c r="F12" s="229">
        <v>7409143</v>
      </c>
      <c r="G12" s="317"/>
      <c r="H12" s="363"/>
      <c r="I12" s="230">
        <v>231480</v>
      </c>
      <c r="K12" s="371"/>
      <c r="L12" s="229">
        <v>4847550</v>
      </c>
      <c r="M12" s="317"/>
      <c r="N12" s="363"/>
      <c r="O12" s="86">
        <f t="shared" si="0"/>
        <v>0.65426595221606598</v>
      </c>
      <c r="Q12" s="362"/>
      <c r="R12" s="231">
        <v>997056.71066666709</v>
      </c>
      <c r="S12" s="317"/>
      <c r="T12" s="363"/>
      <c r="U12" s="86">
        <f t="shared" si="1"/>
        <v>0.13457112525249776</v>
      </c>
      <c r="V12" s="86"/>
      <c r="W12" s="362"/>
    </row>
    <row r="13" spans="2:23">
      <c r="B13" s="79"/>
      <c r="C13" s="372"/>
      <c r="D13" s="319">
        <v>45909</v>
      </c>
      <c r="E13" s="319" t="s">
        <v>163</v>
      </c>
      <c r="F13" s="229">
        <v>7807316</v>
      </c>
      <c r="G13" s="317">
        <f>SUM(F13:F19)</f>
        <v>50470102</v>
      </c>
      <c r="H13" s="363"/>
      <c r="I13" s="230">
        <v>241607</v>
      </c>
      <c r="J13" s="84">
        <f>SUM(I13:I19)</f>
        <v>1578863</v>
      </c>
      <c r="K13" s="371"/>
      <c r="L13" s="229">
        <v>5235930</v>
      </c>
      <c r="M13" s="317">
        <f>SUM(L13:L19)</f>
        <v>33568313</v>
      </c>
      <c r="N13" s="363"/>
      <c r="O13" s="86">
        <f t="shared" si="0"/>
        <v>0.67064404719880688</v>
      </c>
      <c r="P13" s="86">
        <f>M13/G13</f>
        <v>0.66511284245076419</v>
      </c>
      <c r="Q13" s="362"/>
      <c r="R13" s="231">
        <v>1006709.66</v>
      </c>
      <c r="S13" s="317">
        <f>SUM(R13:R19)</f>
        <v>6793991.7480000015</v>
      </c>
      <c r="T13" s="363"/>
      <c r="U13" s="86">
        <f t="shared" si="1"/>
        <v>0.12894439779304437</v>
      </c>
      <c r="V13" s="86">
        <f>S13/G13</f>
        <v>0.13461418698935859</v>
      </c>
      <c r="W13" s="362"/>
    </row>
    <row r="14" spans="2:23">
      <c r="B14" s="79"/>
      <c r="C14" s="372"/>
      <c r="D14" s="319">
        <v>45910</v>
      </c>
      <c r="E14" s="319" t="s">
        <v>164</v>
      </c>
      <c r="F14" s="229">
        <v>7436383</v>
      </c>
      <c r="G14" s="317"/>
      <c r="H14" s="363"/>
      <c r="I14" s="230">
        <v>233099</v>
      </c>
      <c r="K14" s="371"/>
      <c r="L14" s="229">
        <v>5094455</v>
      </c>
      <c r="M14" s="317"/>
      <c r="N14" s="363"/>
      <c r="O14" s="86">
        <f t="shared" si="0"/>
        <v>0.68507162689172951</v>
      </c>
      <c r="Q14" s="362"/>
      <c r="R14" s="231">
        <v>989558.91066666681</v>
      </c>
      <c r="S14" s="317"/>
      <c r="T14" s="363"/>
      <c r="U14" s="86">
        <f t="shared" si="1"/>
        <v>0.13306992265818837</v>
      </c>
      <c r="V14" s="86"/>
      <c r="W14" s="362"/>
    </row>
    <row r="15" spans="2:23">
      <c r="B15" s="79"/>
      <c r="C15" s="372"/>
      <c r="D15" s="319">
        <v>45911</v>
      </c>
      <c r="E15" s="319" t="s">
        <v>165</v>
      </c>
      <c r="F15" s="229">
        <v>6919680</v>
      </c>
      <c r="G15" s="317"/>
      <c r="H15" s="363"/>
      <c r="I15" s="230">
        <v>217145</v>
      </c>
      <c r="K15" s="371"/>
      <c r="L15" s="229">
        <v>4537974</v>
      </c>
      <c r="M15" s="317"/>
      <c r="N15" s="363"/>
      <c r="O15" s="86">
        <f t="shared" si="0"/>
        <v>0.65580691592674811</v>
      </c>
      <c r="Q15" s="362"/>
      <c r="R15" s="231">
        <v>967553.36933333345</v>
      </c>
      <c r="S15" s="317"/>
      <c r="T15" s="363"/>
      <c r="U15" s="86">
        <f t="shared" si="1"/>
        <v>0.13982631701658652</v>
      </c>
      <c r="V15" s="86"/>
      <c r="W15" s="362"/>
    </row>
    <row r="16" spans="2:23">
      <c r="B16" s="79"/>
      <c r="C16" s="372"/>
      <c r="D16" s="319">
        <v>45912</v>
      </c>
      <c r="E16" s="319" t="s">
        <v>166</v>
      </c>
      <c r="F16" s="229">
        <v>6171958</v>
      </c>
      <c r="G16" s="317"/>
      <c r="H16" s="363"/>
      <c r="I16" s="230">
        <v>194357</v>
      </c>
      <c r="K16" s="371"/>
      <c r="L16" s="229">
        <v>4204918</v>
      </c>
      <c r="M16" s="317"/>
      <c r="N16" s="363"/>
      <c r="O16" s="86">
        <f t="shared" si="0"/>
        <v>0.68129400750944835</v>
      </c>
      <c r="Q16" s="362"/>
      <c r="R16" s="231">
        <v>981357.16400000046</v>
      </c>
      <c r="S16" s="317"/>
      <c r="T16" s="363"/>
      <c r="U16" s="86">
        <f t="shared" si="1"/>
        <v>0.15900256677054517</v>
      </c>
      <c r="V16" s="86"/>
      <c r="W16" s="362"/>
    </row>
    <row r="17" spans="2:23">
      <c r="B17" s="79"/>
      <c r="C17" s="372"/>
      <c r="D17" s="319">
        <v>45913</v>
      </c>
      <c r="E17" s="319" t="s">
        <v>167</v>
      </c>
      <c r="F17" s="229">
        <v>6541355</v>
      </c>
      <c r="G17" s="317"/>
      <c r="H17" s="363"/>
      <c r="I17" s="230">
        <v>204761</v>
      </c>
      <c r="K17" s="371"/>
      <c r="L17" s="229">
        <v>4415445</v>
      </c>
      <c r="M17" s="317"/>
      <c r="N17" s="363"/>
      <c r="O17" s="86">
        <f t="shared" si="0"/>
        <v>0.67500464353333522</v>
      </c>
      <c r="Q17" s="362"/>
      <c r="R17" s="231">
        <v>950165.86800000002</v>
      </c>
      <c r="S17" s="317"/>
      <c r="T17" s="363"/>
      <c r="U17" s="86">
        <f t="shared" si="1"/>
        <v>0.1452552059932537</v>
      </c>
      <c r="V17" s="86"/>
      <c r="W17" s="362"/>
    </row>
    <row r="18" spans="2:23">
      <c r="B18" s="79"/>
      <c r="C18" s="372"/>
      <c r="D18" s="319">
        <v>45914</v>
      </c>
      <c r="E18" s="319" t="s">
        <v>168</v>
      </c>
      <c r="F18" s="229">
        <v>7771753</v>
      </c>
      <c r="G18" s="317"/>
      <c r="H18" s="363"/>
      <c r="I18" s="230">
        <v>242926</v>
      </c>
      <c r="K18" s="371"/>
      <c r="L18" s="229">
        <v>4858553</v>
      </c>
      <c r="M18" s="317"/>
      <c r="N18" s="363"/>
      <c r="O18" s="86">
        <f t="shared" si="0"/>
        <v>0.6251553542682069</v>
      </c>
      <c r="Q18" s="362"/>
      <c r="R18" s="231">
        <v>910192.40399999998</v>
      </c>
      <c r="S18" s="317"/>
      <c r="T18" s="363"/>
      <c r="U18" s="86">
        <f t="shared" si="1"/>
        <v>0.1171154569631845</v>
      </c>
      <c r="V18" s="86"/>
      <c r="W18" s="362"/>
    </row>
    <row r="19" spans="2:23">
      <c r="B19" s="79"/>
      <c r="C19" s="372"/>
      <c r="D19" s="319">
        <v>45915</v>
      </c>
      <c r="E19" s="319" t="s">
        <v>162</v>
      </c>
      <c r="F19" s="229">
        <v>7821657</v>
      </c>
      <c r="G19" s="317"/>
      <c r="H19" s="363"/>
      <c r="I19" s="230">
        <v>244968</v>
      </c>
      <c r="K19" s="371"/>
      <c r="L19" s="229">
        <v>5221038</v>
      </c>
      <c r="M19" s="317"/>
      <c r="N19" s="363"/>
      <c r="O19" s="86">
        <f t="shared" si="0"/>
        <v>0.66751047763920102</v>
      </c>
      <c r="Q19" s="362"/>
      <c r="R19" s="231">
        <v>988454.37200000009</v>
      </c>
      <c r="S19" s="317"/>
      <c r="T19" s="363"/>
      <c r="U19" s="86">
        <f t="shared" si="1"/>
        <v>0.12637403711259648</v>
      </c>
      <c r="V19" s="86"/>
      <c r="W19" s="362"/>
    </row>
    <row r="20" spans="2:23">
      <c r="B20" s="79"/>
      <c r="C20" s="372"/>
      <c r="D20" s="82">
        <v>45916</v>
      </c>
      <c r="E20" s="82" t="s">
        <v>163</v>
      </c>
      <c r="F20" s="229"/>
      <c r="G20" s="317">
        <f>SUM(F20:F26)</f>
        <v>0</v>
      </c>
      <c r="H20" s="363"/>
      <c r="I20" s="230"/>
      <c r="J20" s="84">
        <f>SUM(I20:I26)</f>
        <v>0</v>
      </c>
      <c r="K20" s="371"/>
      <c r="L20" s="229"/>
      <c r="M20" s="317">
        <f>SUM(L20:L26)</f>
        <v>0</v>
      </c>
      <c r="N20" s="363"/>
      <c r="O20" s="86" t="e">
        <f t="shared" si="0"/>
        <v>#DIV/0!</v>
      </c>
      <c r="P20" s="86" t="e">
        <f>M20/G20</f>
        <v>#DIV/0!</v>
      </c>
      <c r="Q20" s="362"/>
      <c r="R20" s="231"/>
      <c r="S20" s="317">
        <f>SUM(R20:R26)</f>
        <v>0</v>
      </c>
      <c r="T20" s="363"/>
      <c r="U20" s="86" t="e">
        <f t="shared" si="1"/>
        <v>#DIV/0!</v>
      </c>
      <c r="V20" s="86" t="e">
        <f>S20/G20</f>
        <v>#DIV/0!</v>
      </c>
      <c r="W20" s="362"/>
    </row>
    <row r="21" spans="2:23">
      <c r="B21" s="79"/>
      <c r="C21" s="372"/>
      <c r="D21" s="82">
        <v>45917</v>
      </c>
      <c r="E21" s="82" t="s">
        <v>164</v>
      </c>
      <c r="F21" s="229"/>
      <c r="G21" s="317"/>
      <c r="H21" s="363"/>
      <c r="I21" s="230"/>
      <c r="K21" s="371"/>
      <c r="L21" s="229"/>
      <c r="M21" s="317"/>
      <c r="N21" s="363"/>
      <c r="O21" s="86" t="e">
        <f t="shared" si="0"/>
        <v>#DIV/0!</v>
      </c>
      <c r="Q21" s="362"/>
      <c r="R21" s="231"/>
      <c r="S21" s="317"/>
      <c r="T21" s="363"/>
      <c r="U21" s="86" t="e">
        <f t="shared" si="1"/>
        <v>#DIV/0!</v>
      </c>
      <c r="V21" s="86"/>
      <c r="W21" s="362"/>
    </row>
    <row r="22" spans="2:23">
      <c r="B22" s="79"/>
      <c r="C22" s="372"/>
      <c r="D22" s="82">
        <v>45918</v>
      </c>
      <c r="E22" s="82" t="s">
        <v>165</v>
      </c>
      <c r="F22" s="229"/>
      <c r="G22" s="317"/>
      <c r="H22" s="363"/>
      <c r="I22" s="230"/>
      <c r="K22" s="371"/>
      <c r="L22" s="229"/>
      <c r="M22" s="317"/>
      <c r="N22" s="363"/>
      <c r="O22" s="86" t="e">
        <f t="shared" si="0"/>
        <v>#DIV/0!</v>
      </c>
      <c r="Q22" s="362"/>
      <c r="R22" s="231"/>
      <c r="S22" s="317"/>
      <c r="T22" s="363"/>
      <c r="U22" s="86" t="e">
        <f t="shared" si="1"/>
        <v>#DIV/0!</v>
      </c>
      <c r="V22" s="86"/>
      <c r="W22" s="362"/>
    </row>
    <row r="23" spans="2:23">
      <c r="B23" s="79"/>
      <c r="C23" s="372"/>
      <c r="D23" s="82">
        <v>45919</v>
      </c>
      <c r="E23" s="82" t="s">
        <v>166</v>
      </c>
      <c r="F23" s="229"/>
      <c r="G23" s="317"/>
      <c r="H23" s="363"/>
      <c r="I23" s="230"/>
      <c r="K23" s="371"/>
      <c r="L23" s="229"/>
      <c r="M23" s="317"/>
      <c r="N23" s="363"/>
      <c r="O23" s="86" t="e">
        <f t="shared" si="0"/>
        <v>#DIV/0!</v>
      </c>
      <c r="Q23" s="362"/>
      <c r="R23" s="231"/>
      <c r="S23" s="317"/>
      <c r="T23" s="363"/>
      <c r="U23" s="86" t="e">
        <f t="shared" si="1"/>
        <v>#DIV/0!</v>
      </c>
      <c r="V23" s="86"/>
      <c r="W23" s="362"/>
    </row>
    <row r="24" spans="2:23">
      <c r="B24" s="79"/>
      <c r="C24" s="372"/>
      <c r="D24" s="82">
        <v>45920</v>
      </c>
      <c r="E24" s="82" t="s">
        <v>167</v>
      </c>
      <c r="F24" s="229"/>
      <c r="G24" s="317"/>
      <c r="H24" s="363"/>
      <c r="I24" s="230"/>
      <c r="K24" s="371"/>
      <c r="L24" s="229"/>
      <c r="M24" s="317"/>
      <c r="N24" s="363"/>
      <c r="O24" s="86" t="e">
        <f t="shared" si="0"/>
        <v>#DIV/0!</v>
      </c>
      <c r="Q24" s="362"/>
      <c r="R24" s="231"/>
      <c r="S24" s="317"/>
      <c r="T24" s="363"/>
      <c r="U24" s="86" t="e">
        <f t="shared" si="1"/>
        <v>#DIV/0!</v>
      </c>
      <c r="V24" s="86"/>
      <c r="W24" s="362"/>
    </row>
    <row r="25" spans="2:23">
      <c r="B25" s="79"/>
      <c r="C25" s="372"/>
      <c r="D25" s="82">
        <v>45921</v>
      </c>
      <c r="E25" s="82" t="s">
        <v>168</v>
      </c>
      <c r="F25" s="229"/>
      <c r="G25" s="317"/>
      <c r="H25" s="363"/>
      <c r="I25" s="230"/>
      <c r="K25" s="371"/>
      <c r="L25" s="229"/>
      <c r="M25" s="317"/>
      <c r="N25" s="363"/>
      <c r="O25" s="86" t="e">
        <f t="shared" si="0"/>
        <v>#DIV/0!</v>
      </c>
      <c r="Q25" s="362"/>
      <c r="R25" s="231"/>
      <c r="S25" s="317"/>
      <c r="T25" s="363"/>
      <c r="U25" s="86" t="e">
        <f t="shared" si="1"/>
        <v>#DIV/0!</v>
      </c>
      <c r="V25" s="86"/>
      <c r="W25" s="362"/>
    </row>
    <row r="26" spans="2:23">
      <c r="B26" s="79"/>
      <c r="C26" s="372"/>
      <c r="D26" s="82">
        <v>45922</v>
      </c>
      <c r="E26" s="82" t="s">
        <v>162</v>
      </c>
      <c r="F26" s="229"/>
      <c r="G26" s="317"/>
      <c r="H26" s="363"/>
      <c r="I26" s="230"/>
      <c r="K26" s="371"/>
      <c r="L26" s="229"/>
      <c r="M26" s="317"/>
      <c r="N26" s="363"/>
      <c r="O26" s="86" t="e">
        <f t="shared" si="0"/>
        <v>#DIV/0!</v>
      </c>
      <c r="Q26" s="362"/>
      <c r="R26" s="231"/>
      <c r="S26" s="317"/>
      <c r="T26" s="363"/>
      <c r="U26" s="86" t="e">
        <f t="shared" si="1"/>
        <v>#DIV/0!</v>
      </c>
      <c r="V26" s="86"/>
      <c r="W26" s="362"/>
    </row>
    <row r="27" spans="2:23">
      <c r="B27" s="79"/>
      <c r="C27" s="372"/>
      <c r="D27" s="319">
        <v>45923</v>
      </c>
      <c r="E27" s="319" t="s">
        <v>163</v>
      </c>
      <c r="F27" s="229"/>
      <c r="G27" s="317">
        <f>SUM(F27:F33)</f>
        <v>0</v>
      </c>
      <c r="H27" s="363"/>
      <c r="I27" s="230"/>
      <c r="J27" s="84">
        <f>SUM(I27:I33)</f>
        <v>0</v>
      </c>
      <c r="K27" s="371"/>
      <c r="L27" s="229"/>
      <c r="M27" s="317">
        <f>SUM(L27:L33)</f>
        <v>0</v>
      </c>
      <c r="N27" s="363"/>
      <c r="O27" s="86" t="e">
        <f t="shared" si="0"/>
        <v>#DIV/0!</v>
      </c>
      <c r="P27" s="86" t="e">
        <f>M27/G27</f>
        <v>#DIV/0!</v>
      </c>
      <c r="Q27" s="362"/>
      <c r="R27" s="231"/>
      <c r="S27" s="317">
        <f>SUM(R27:R33)</f>
        <v>0</v>
      </c>
      <c r="T27" s="363"/>
      <c r="U27" s="86" t="e">
        <f t="shared" si="1"/>
        <v>#DIV/0!</v>
      </c>
      <c r="V27" s="86" t="e">
        <f>S27/G27</f>
        <v>#DIV/0!</v>
      </c>
      <c r="W27" s="362"/>
    </row>
    <row r="28" spans="2:23">
      <c r="B28" s="79"/>
      <c r="C28" s="372"/>
      <c r="D28" s="319">
        <v>45924</v>
      </c>
      <c r="E28" s="319" t="s">
        <v>164</v>
      </c>
      <c r="F28" s="229"/>
      <c r="G28" s="317"/>
      <c r="H28" s="363"/>
      <c r="I28" s="230"/>
      <c r="K28" s="371"/>
      <c r="L28" s="229"/>
      <c r="M28" s="317"/>
      <c r="N28" s="363"/>
      <c r="O28" s="86" t="e">
        <f t="shared" si="0"/>
        <v>#DIV/0!</v>
      </c>
      <c r="Q28" s="362"/>
      <c r="R28" s="231"/>
      <c r="S28" s="317"/>
      <c r="T28" s="363"/>
      <c r="U28" s="86" t="e">
        <f t="shared" si="1"/>
        <v>#DIV/0!</v>
      </c>
      <c r="V28" s="86"/>
      <c r="W28" s="362"/>
    </row>
    <row r="29" spans="2:23">
      <c r="B29" s="79"/>
      <c r="C29" s="372"/>
      <c r="D29" s="319">
        <v>45925</v>
      </c>
      <c r="E29" s="319" t="s">
        <v>165</v>
      </c>
      <c r="F29" s="229"/>
      <c r="G29" s="317"/>
      <c r="H29" s="363"/>
      <c r="I29" s="230"/>
      <c r="K29" s="371"/>
      <c r="L29" s="229"/>
      <c r="M29" s="317"/>
      <c r="N29" s="363"/>
      <c r="O29" s="86" t="e">
        <f t="shared" si="0"/>
        <v>#DIV/0!</v>
      </c>
      <c r="Q29" s="362"/>
      <c r="R29" s="231"/>
      <c r="S29" s="317"/>
      <c r="T29" s="363"/>
      <c r="U29" s="86" t="e">
        <f t="shared" si="1"/>
        <v>#DIV/0!</v>
      </c>
      <c r="V29" s="86"/>
      <c r="W29" s="362"/>
    </row>
    <row r="30" spans="2:23">
      <c r="B30" s="79"/>
      <c r="C30" s="372"/>
      <c r="D30" s="319">
        <v>45926</v>
      </c>
      <c r="E30" s="319" t="s">
        <v>166</v>
      </c>
      <c r="F30" s="229"/>
      <c r="G30" s="317"/>
      <c r="H30" s="363"/>
      <c r="I30" s="230"/>
      <c r="K30" s="371"/>
      <c r="L30" s="229"/>
      <c r="M30" s="317"/>
      <c r="N30" s="363"/>
      <c r="O30" s="86" t="e">
        <f t="shared" si="0"/>
        <v>#DIV/0!</v>
      </c>
      <c r="Q30" s="362"/>
      <c r="R30" s="231"/>
      <c r="S30" s="317"/>
      <c r="T30" s="363"/>
      <c r="U30" s="86" t="e">
        <f t="shared" si="1"/>
        <v>#DIV/0!</v>
      </c>
      <c r="V30" s="86"/>
      <c r="W30" s="362"/>
    </row>
    <row r="31" spans="2:23">
      <c r="B31" s="79"/>
      <c r="C31" s="372"/>
      <c r="D31" s="319">
        <v>45927</v>
      </c>
      <c r="E31" s="319" t="s">
        <v>167</v>
      </c>
      <c r="F31" s="229"/>
      <c r="G31" s="317"/>
      <c r="H31" s="363"/>
      <c r="I31" s="230"/>
      <c r="K31" s="371"/>
      <c r="L31" s="229"/>
      <c r="M31" s="317"/>
      <c r="N31" s="363"/>
      <c r="O31" s="86" t="e">
        <f t="shared" si="0"/>
        <v>#DIV/0!</v>
      </c>
      <c r="Q31" s="362"/>
      <c r="R31" s="231"/>
      <c r="S31" s="317"/>
      <c r="T31" s="363"/>
      <c r="U31" s="86" t="e">
        <f t="shared" si="1"/>
        <v>#DIV/0!</v>
      </c>
      <c r="V31" s="86"/>
      <c r="W31" s="362"/>
    </row>
    <row r="32" spans="2:23">
      <c r="B32" s="79"/>
      <c r="C32" s="372"/>
      <c r="D32" s="319">
        <v>45928</v>
      </c>
      <c r="E32" s="319" t="s">
        <v>168</v>
      </c>
      <c r="F32" s="229"/>
      <c r="G32" s="317"/>
      <c r="H32" s="363"/>
      <c r="I32" s="230"/>
      <c r="K32" s="371"/>
      <c r="L32" s="229"/>
      <c r="M32" s="317"/>
      <c r="N32" s="363"/>
      <c r="O32" s="86" t="e">
        <f t="shared" si="0"/>
        <v>#DIV/0!</v>
      </c>
      <c r="Q32" s="362"/>
      <c r="R32" s="231"/>
      <c r="S32" s="317"/>
      <c r="T32" s="363"/>
      <c r="U32" s="86" t="e">
        <f t="shared" si="1"/>
        <v>#DIV/0!</v>
      </c>
      <c r="V32" s="86"/>
      <c r="W32" s="362"/>
    </row>
    <row r="33" spans="2:23">
      <c r="B33" s="79"/>
      <c r="C33" s="372"/>
      <c r="D33" s="319">
        <v>45929</v>
      </c>
      <c r="E33" s="319" t="s">
        <v>162</v>
      </c>
      <c r="F33" s="229"/>
      <c r="G33" s="317"/>
      <c r="H33" s="363"/>
      <c r="I33" s="230"/>
      <c r="K33" s="371"/>
      <c r="L33" s="229"/>
      <c r="M33" s="317"/>
      <c r="N33" s="363"/>
      <c r="O33" s="86" t="e">
        <f t="shared" si="0"/>
        <v>#DIV/0!</v>
      </c>
      <c r="Q33" s="362"/>
      <c r="R33" s="231"/>
      <c r="S33" s="317"/>
      <c r="T33" s="363"/>
      <c r="U33" s="86" t="e">
        <f t="shared" si="1"/>
        <v>#DIV/0!</v>
      </c>
      <c r="V33" s="86"/>
      <c r="W33" s="362"/>
    </row>
    <row r="34" spans="2:23">
      <c r="B34" s="79"/>
      <c r="C34" s="372"/>
      <c r="D34" s="82">
        <v>45930</v>
      </c>
      <c r="E34" s="82" t="s">
        <v>163</v>
      </c>
      <c r="F34" s="229"/>
      <c r="G34" s="317">
        <f>SUM(F34:F40)</f>
        <v>0</v>
      </c>
      <c r="H34" s="363"/>
      <c r="I34" s="230"/>
      <c r="J34" s="84">
        <f>SUM(I34:I40)</f>
        <v>0</v>
      </c>
      <c r="K34" s="371"/>
      <c r="L34" s="229"/>
      <c r="M34" s="317">
        <f>SUM(L34:L40)</f>
        <v>0</v>
      </c>
      <c r="N34" s="363"/>
      <c r="O34" s="86" t="e">
        <f t="shared" si="0"/>
        <v>#DIV/0!</v>
      </c>
      <c r="P34" s="86" t="e">
        <f>M34/G34</f>
        <v>#DIV/0!</v>
      </c>
      <c r="Q34" s="362"/>
      <c r="R34" s="231"/>
      <c r="S34" s="317">
        <f>SUM(R34:R40)</f>
        <v>0</v>
      </c>
      <c r="T34" s="363"/>
      <c r="U34" s="86" t="e">
        <f t="shared" si="1"/>
        <v>#DIV/0!</v>
      </c>
      <c r="V34" s="86" t="e">
        <f>S34/G34</f>
        <v>#DIV/0!</v>
      </c>
      <c r="W34" s="362"/>
    </row>
    <row r="35" spans="2:23">
      <c r="B35" s="79"/>
      <c r="C35" s="372"/>
      <c r="D35" s="82">
        <v>45931</v>
      </c>
      <c r="E35" s="82" t="s">
        <v>164</v>
      </c>
      <c r="F35" s="229"/>
      <c r="G35" s="317"/>
      <c r="H35" s="363"/>
      <c r="I35" s="230"/>
      <c r="K35" s="371"/>
      <c r="L35" s="229"/>
      <c r="M35" s="317"/>
      <c r="N35" s="363"/>
      <c r="O35" s="86" t="e">
        <f t="shared" si="0"/>
        <v>#DIV/0!</v>
      </c>
      <c r="Q35" s="362"/>
      <c r="R35" s="231"/>
      <c r="S35" s="317"/>
      <c r="T35" s="363"/>
      <c r="U35" s="86" t="e">
        <f t="shared" si="1"/>
        <v>#DIV/0!</v>
      </c>
      <c r="V35" s="86"/>
      <c r="W35" s="362"/>
    </row>
    <row r="36" spans="2:23">
      <c r="B36" s="79"/>
      <c r="D36" s="82">
        <v>45932</v>
      </c>
      <c r="E36" s="82" t="s">
        <v>165</v>
      </c>
      <c r="F36" s="229"/>
      <c r="G36" s="317"/>
      <c r="I36" s="230"/>
      <c r="L36" s="229"/>
      <c r="M36" s="317"/>
      <c r="N36" s="83"/>
      <c r="O36" s="86" t="e">
        <f t="shared" si="0"/>
        <v>#DIV/0!</v>
      </c>
      <c r="Q36" s="83"/>
      <c r="R36" s="231"/>
      <c r="S36" s="317"/>
      <c r="T36" s="83"/>
      <c r="U36" s="86" t="e">
        <f t="shared" si="1"/>
        <v>#DIV/0!</v>
      </c>
      <c r="V36" s="86"/>
      <c r="W36" s="83"/>
    </row>
    <row r="37" spans="2:23">
      <c r="B37" s="79"/>
      <c r="D37" s="82">
        <v>45933</v>
      </c>
      <c r="E37" s="82" t="s">
        <v>166</v>
      </c>
      <c r="F37" s="229"/>
      <c r="G37" s="317"/>
      <c r="I37" s="230"/>
      <c r="L37" s="229"/>
      <c r="M37" s="317"/>
      <c r="N37" s="83"/>
      <c r="O37" s="86" t="e">
        <f t="shared" si="0"/>
        <v>#DIV/0!</v>
      </c>
      <c r="Q37" s="83"/>
      <c r="R37" s="231"/>
      <c r="S37" s="317"/>
      <c r="T37" s="83"/>
      <c r="U37" s="86" t="e">
        <f t="shared" si="1"/>
        <v>#DIV/0!</v>
      </c>
      <c r="V37" s="86"/>
      <c r="W37" s="83"/>
    </row>
    <row r="38" spans="2:23">
      <c r="B38" s="79"/>
      <c r="D38" s="82">
        <v>45934</v>
      </c>
      <c r="E38" s="82" t="s">
        <v>167</v>
      </c>
      <c r="F38" s="229"/>
      <c r="G38" s="317"/>
      <c r="I38" s="230"/>
      <c r="L38" s="229"/>
      <c r="M38" s="317"/>
      <c r="N38" s="83"/>
      <c r="O38" s="86" t="e">
        <f t="shared" si="0"/>
        <v>#DIV/0!</v>
      </c>
      <c r="Q38" s="83"/>
      <c r="R38" s="231"/>
      <c r="S38" s="317"/>
      <c r="T38" s="83"/>
      <c r="U38" s="86" t="e">
        <f t="shared" si="1"/>
        <v>#DIV/0!</v>
      </c>
      <c r="V38" s="86"/>
      <c r="W38" s="83"/>
    </row>
    <row r="39" spans="2:23">
      <c r="B39" s="79"/>
      <c r="D39" s="82">
        <v>45935</v>
      </c>
      <c r="E39" s="82" t="s">
        <v>168</v>
      </c>
      <c r="F39" s="229"/>
      <c r="G39" s="317"/>
      <c r="I39" s="230"/>
      <c r="L39" s="229"/>
      <c r="M39" s="317"/>
      <c r="N39" s="83"/>
      <c r="O39" s="86" t="e">
        <f t="shared" ref="O39:O42" si="2">L39/F39</f>
        <v>#DIV/0!</v>
      </c>
      <c r="Q39" s="83"/>
      <c r="R39" s="231"/>
      <c r="S39" s="317"/>
      <c r="T39" s="83"/>
      <c r="U39" s="86" t="e">
        <f t="shared" si="1"/>
        <v>#DIV/0!</v>
      </c>
      <c r="V39" s="86"/>
      <c r="W39" s="83"/>
    </row>
    <row r="40" spans="2:23">
      <c r="B40" s="79"/>
      <c r="D40" s="82">
        <v>45936</v>
      </c>
      <c r="E40" s="82" t="s">
        <v>162</v>
      </c>
      <c r="F40" s="229"/>
      <c r="G40" s="317"/>
      <c r="I40" s="230"/>
      <c r="L40" s="229"/>
      <c r="M40" s="317"/>
      <c r="N40" s="83"/>
      <c r="O40" s="86" t="e">
        <f t="shared" si="2"/>
        <v>#DIV/0!</v>
      </c>
      <c r="Q40" s="83"/>
      <c r="R40" s="231"/>
      <c r="S40" s="317"/>
      <c r="T40" s="83"/>
      <c r="U40" s="86" t="e">
        <f t="shared" si="1"/>
        <v>#DIV/0!</v>
      </c>
      <c r="V40" s="86"/>
      <c r="W40" s="83"/>
    </row>
    <row r="41" spans="2:23">
      <c r="B41" s="79"/>
      <c r="D41" s="82"/>
      <c r="E41" s="82"/>
      <c r="G41" s="317"/>
      <c r="M41" s="317"/>
      <c r="N41" s="83"/>
      <c r="O41" s="86" t="e">
        <f t="shared" si="2"/>
        <v>#DIV/0!</v>
      </c>
      <c r="Q41" s="83"/>
      <c r="S41" s="317"/>
      <c r="T41" s="83"/>
      <c r="U41" s="86" t="e">
        <f t="shared" si="1"/>
        <v>#DIV/0!</v>
      </c>
      <c r="V41" s="86"/>
      <c r="W41" s="83"/>
    </row>
    <row r="42" spans="2:23">
      <c r="B42" s="79"/>
      <c r="D42" s="82"/>
      <c r="E42" s="82"/>
      <c r="G42" s="317"/>
      <c r="M42" s="317"/>
      <c r="N42" s="83"/>
      <c r="O42" s="86" t="e">
        <f t="shared" si="2"/>
        <v>#DIV/0!</v>
      </c>
      <c r="Q42" s="83"/>
      <c r="S42" s="317"/>
      <c r="T42" s="83"/>
      <c r="U42" s="86" t="e">
        <f t="shared" si="1"/>
        <v>#DIV/0!</v>
      </c>
      <c r="V42" s="86"/>
      <c r="W42" s="83"/>
    </row>
    <row r="43" spans="2:23">
      <c r="B43" s="79"/>
      <c r="D43" s="82"/>
      <c r="E43" s="82"/>
      <c r="G43" s="317"/>
      <c r="M43" s="317"/>
      <c r="N43" s="83"/>
      <c r="O43" s="86" t="e">
        <f>L43/F43</f>
        <v>#DIV/0!</v>
      </c>
      <c r="Q43" s="83"/>
      <c r="S43" s="317"/>
      <c r="T43" s="83"/>
      <c r="U43" s="86" t="e">
        <f t="shared" si="1"/>
        <v>#DIV/0!</v>
      </c>
      <c r="V43" s="86"/>
      <c r="W43" s="83"/>
    </row>
    <row r="44" spans="2:23">
      <c r="B44" s="79"/>
      <c r="M44" s="83"/>
      <c r="S44" s="83"/>
    </row>
    <row r="45" spans="2:23">
      <c r="B45" s="79"/>
      <c r="M45" s="83"/>
    </row>
    <row r="46" spans="2:23">
      <c r="B46" s="79"/>
      <c r="M46" s="83"/>
    </row>
    <row r="47" spans="2:23">
      <c r="B47" s="79"/>
      <c r="M47" s="83"/>
    </row>
    <row r="48" spans="2:23">
      <c r="B48" s="79"/>
      <c r="M48" s="83"/>
    </row>
    <row r="49" spans="2:13">
      <c r="B49" s="79"/>
      <c r="M49" s="83"/>
    </row>
    <row r="50" spans="2:13">
      <c r="M50" s="83"/>
    </row>
    <row r="51" spans="2:13">
      <c r="M51" s="83"/>
    </row>
    <row r="52" spans="2:13">
      <c r="M52" s="83"/>
    </row>
    <row r="53" spans="2:13">
      <c r="M53" s="83"/>
    </row>
    <row r="54" spans="2:13">
      <c r="M54" s="83"/>
    </row>
    <row r="55" spans="2:13">
      <c r="M55" s="83"/>
    </row>
    <row r="56" spans="2:13">
      <c r="M56" s="83"/>
    </row>
    <row r="57" spans="2:13">
      <c r="M57" s="83"/>
    </row>
  </sheetData>
  <mergeCells count="16">
    <mergeCell ref="O3:Q3"/>
    <mergeCell ref="Q5:Q35"/>
    <mergeCell ref="N5:N35"/>
    <mergeCell ref="B2:W2"/>
    <mergeCell ref="I3:K3"/>
    <mergeCell ref="L3:N3"/>
    <mergeCell ref="F3:H3"/>
    <mergeCell ref="C3:C4"/>
    <mergeCell ref="D3:E4"/>
    <mergeCell ref="R3:T3"/>
    <mergeCell ref="U3:W3"/>
    <mergeCell ref="W5:W35"/>
    <mergeCell ref="T5:T35"/>
    <mergeCell ref="H5:H35"/>
    <mergeCell ref="K5:K35"/>
    <mergeCell ref="C5:C35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49"/>
  <sheetViews>
    <sheetView zoomScale="75" zoomScaleNormal="75" workbookViewId="0">
      <pane xSplit="5" ySplit="4" topLeftCell="F5" activePane="bottomRight" state="frozen"/>
      <selection pane="bottomRight" activeCell="G53" sqref="G53"/>
      <selection pane="bottomLeft" activeCell="A5" sqref="A5"/>
      <selection pane="topRight" activeCell="F1" sqref="F1"/>
    </sheetView>
  </sheetViews>
  <sheetFormatPr defaultColWidth="8.85546875" defaultRowHeight="12"/>
  <cols>
    <col min="1" max="1" width="4.42578125" style="73" customWidth="1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25.5703125" style="90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80" t="s">
        <v>169</v>
      </c>
      <c r="C1" s="75">
        <v>366</v>
      </c>
    </row>
    <row r="2" spans="2:23" ht="38.1" customHeight="1">
      <c r="B2" s="364" t="s">
        <v>170</v>
      </c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374"/>
      <c r="Q2" s="374"/>
      <c r="R2" s="374"/>
      <c r="S2" s="374"/>
      <c r="T2" s="374"/>
      <c r="U2" s="374"/>
    </row>
    <row r="3" spans="2:23" s="71" customFormat="1" ht="23.45" customHeight="1">
      <c r="B3" s="79"/>
      <c r="C3" s="368" t="s">
        <v>149</v>
      </c>
      <c r="D3" s="369" t="s">
        <v>150</v>
      </c>
      <c r="E3" s="369"/>
      <c r="F3" s="375" t="s">
        <v>171</v>
      </c>
      <c r="G3" s="375"/>
      <c r="H3" s="375"/>
      <c r="I3" s="377" t="s">
        <v>172</v>
      </c>
      <c r="J3" s="377"/>
      <c r="K3" s="377"/>
      <c r="L3" s="376" t="s">
        <v>173</v>
      </c>
      <c r="M3" s="376"/>
      <c r="N3" s="376"/>
      <c r="O3" s="376" t="s">
        <v>174</v>
      </c>
      <c r="P3" s="376"/>
      <c r="Q3" s="376"/>
      <c r="R3" s="376" t="s">
        <v>175</v>
      </c>
      <c r="S3" s="376"/>
      <c r="T3" s="376"/>
      <c r="U3" s="376" t="s">
        <v>176</v>
      </c>
      <c r="V3" s="376"/>
      <c r="W3" s="376"/>
    </row>
    <row r="4" spans="2:23" ht="15.75">
      <c r="B4" s="79"/>
      <c r="C4" s="368"/>
      <c r="D4" s="369"/>
      <c r="E4" s="369"/>
      <c r="F4" s="81" t="s">
        <v>157</v>
      </c>
      <c r="G4" s="92" t="s">
        <v>177</v>
      </c>
      <c r="H4" s="92" t="s">
        <v>178</v>
      </c>
      <c r="I4" s="81" t="s">
        <v>157</v>
      </c>
      <c r="J4" s="91" t="s">
        <v>177</v>
      </c>
      <c r="K4" s="91" t="s">
        <v>178</v>
      </c>
      <c r="L4" s="81" t="s">
        <v>157</v>
      </c>
      <c r="M4" s="91" t="s">
        <v>177</v>
      </c>
      <c r="N4" s="91" t="s">
        <v>178</v>
      </c>
      <c r="O4" s="81" t="s">
        <v>157</v>
      </c>
      <c r="P4" s="91" t="s">
        <v>177</v>
      </c>
      <c r="Q4" s="91" t="s">
        <v>178</v>
      </c>
      <c r="R4" s="81" t="s">
        <v>157</v>
      </c>
      <c r="S4" s="91" t="s">
        <v>177</v>
      </c>
      <c r="T4" s="91" t="s">
        <v>178</v>
      </c>
      <c r="U4" s="81" t="s">
        <v>157</v>
      </c>
      <c r="V4" s="91" t="s">
        <v>177</v>
      </c>
      <c r="W4" s="91" t="s">
        <v>178</v>
      </c>
    </row>
    <row r="5" spans="2:23" ht="14.45" customHeight="1">
      <c r="B5" s="79"/>
      <c r="C5" s="372" t="s">
        <v>161</v>
      </c>
      <c r="D5" s="319">
        <v>45901</v>
      </c>
      <c r="E5" s="319" t="s">
        <v>162</v>
      </c>
      <c r="F5" s="228">
        <v>337.8</v>
      </c>
      <c r="G5" s="89">
        <f>AVERAGE(F5)</f>
        <v>337.8</v>
      </c>
      <c r="H5" s="373">
        <f>AVERAGE(F5:F99)</f>
        <v>335.4328880788924</v>
      </c>
      <c r="I5" s="86">
        <f>F5/$C$1</f>
        <v>0.92295081967213122</v>
      </c>
      <c r="J5" s="207">
        <f>AVERAGE(I5)</f>
        <v>0.92295081967213122</v>
      </c>
      <c r="K5" s="378">
        <f>AVERAGE(I5:I99)</f>
        <v>0.91648330076200091</v>
      </c>
      <c r="L5" s="252">
        <v>2.4497151814327624E-3</v>
      </c>
      <c r="M5" s="318">
        <f>AVERAGE(L5)</f>
        <v>2.4497151814327624E-3</v>
      </c>
      <c r="N5" s="379">
        <f>AVERAGE(L5:L99)</f>
        <v>2.4784030874734904E-3</v>
      </c>
      <c r="O5" s="252">
        <v>2.1602517766700986E-3</v>
      </c>
      <c r="P5" s="318">
        <f>AVERAGE(O5)</f>
        <v>2.1602517766700986E-3</v>
      </c>
      <c r="Q5" s="379">
        <f>AVERAGE(O5:O99)</f>
        <v>2.6021343620680165E-3</v>
      </c>
      <c r="R5" s="232">
        <v>0.91666666666666663</v>
      </c>
      <c r="S5" s="207">
        <f>AVERAGE(R5)</f>
        <v>0.91666666666666663</v>
      </c>
      <c r="T5" s="378">
        <f>AVERAGE(R5:R99)</f>
        <v>0.91666666666666641</v>
      </c>
      <c r="U5" s="232">
        <v>0.72199999999999998</v>
      </c>
      <c r="V5" s="207">
        <f>AVERAGE(U5)</f>
        <v>0.72199999999999998</v>
      </c>
      <c r="W5" s="378">
        <f>AVERAGE(U5:U99)</f>
        <v>0.74253333333333316</v>
      </c>
    </row>
    <row r="6" spans="2:23" ht="14.45" customHeight="1">
      <c r="B6" s="79"/>
      <c r="C6" s="372"/>
      <c r="D6" s="82">
        <v>45902</v>
      </c>
      <c r="E6" s="82" t="s">
        <v>163</v>
      </c>
      <c r="F6" s="228">
        <v>331.8</v>
      </c>
      <c r="G6" s="89">
        <f>AVERAGE(F6:F12)</f>
        <v>335.12857142857143</v>
      </c>
      <c r="H6" s="373"/>
      <c r="I6" s="86">
        <f t="shared" ref="I6:I19" si="0">F6/$C$1</f>
        <v>0.90655737704918038</v>
      </c>
      <c r="J6" s="207">
        <f>AVERAGE(I6:I12)</f>
        <v>0.91565183450429366</v>
      </c>
      <c r="K6" s="378"/>
      <c r="L6" s="252">
        <v>2.5081702245246971E-3</v>
      </c>
      <c r="M6" s="318">
        <f>AVERAGE(L6:L12)</f>
        <v>2.4809019108133069E-3</v>
      </c>
      <c r="N6" s="379"/>
      <c r="O6" s="252">
        <v>2.9875860278469994E-3</v>
      </c>
      <c r="P6" s="318">
        <f>AVERAGE(O6:O12)</f>
        <v>2.7407836426619979E-3</v>
      </c>
      <c r="Q6" s="379"/>
      <c r="R6" s="232">
        <v>0.91666666666666663</v>
      </c>
      <c r="S6" s="207">
        <f>AVERAGE(R6:R12)</f>
        <v>0.91666666666666674</v>
      </c>
      <c r="T6" s="378"/>
      <c r="U6" s="232">
        <v>0.72299999999999998</v>
      </c>
      <c r="V6" s="207">
        <f>AVERAGE(U6:U12)</f>
        <v>0.73357142857142854</v>
      </c>
      <c r="W6" s="378"/>
    </row>
    <row r="7" spans="2:23" ht="14.45" customHeight="1">
      <c r="B7" s="79"/>
      <c r="C7" s="372"/>
      <c r="D7" s="82">
        <v>45903</v>
      </c>
      <c r="E7" s="82" t="s">
        <v>164</v>
      </c>
      <c r="F7" s="228">
        <v>331.8</v>
      </c>
      <c r="G7" s="89"/>
      <c r="H7" s="373"/>
      <c r="I7" s="86">
        <f t="shared" si="0"/>
        <v>0.90655737704918038</v>
      </c>
      <c r="J7" s="207"/>
      <c r="K7" s="378"/>
      <c r="L7" s="252">
        <v>2.4356035460475628E-3</v>
      </c>
      <c r="M7" s="318"/>
      <c r="N7" s="379"/>
      <c r="O7" s="252">
        <v>2.5976288751268172E-3</v>
      </c>
      <c r="P7" s="318"/>
      <c r="Q7" s="379"/>
      <c r="R7" s="232">
        <v>0.91666666666666663</v>
      </c>
      <c r="S7" s="207"/>
      <c r="T7" s="378"/>
      <c r="U7" s="232">
        <v>0.72299999999999998</v>
      </c>
      <c r="V7" s="207"/>
      <c r="W7" s="378"/>
    </row>
    <row r="8" spans="2:23" ht="14.45" customHeight="1">
      <c r="B8" s="79"/>
      <c r="C8" s="372"/>
      <c r="D8" s="82">
        <v>45904</v>
      </c>
      <c r="E8" s="82" t="s">
        <v>165</v>
      </c>
      <c r="F8" s="228">
        <v>333.6</v>
      </c>
      <c r="G8" s="89"/>
      <c r="H8" s="373"/>
      <c r="I8" s="86">
        <f t="shared" si="0"/>
        <v>0.91147540983606568</v>
      </c>
      <c r="J8" s="207"/>
      <c r="K8" s="378"/>
      <c r="L8" s="252">
        <v>2.5008066024308231E-3</v>
      </c>
      <c r="M8" s="318"/>
      <c r="N8" s="379"/>
      <c r="O8" s="252">
        <v>3.0613898553775343E-3</v>
      </c>
      <c r="P8" s="318"/>
      <c r="Q8" s="379"/>
      <c r="R8" s="232">
        <v>0.91666666666666663</v>
      </c>
      <c r="S8" s="207"/>
      <c r="T8" s="378"/>
      <c r="U8" s="232">
        <v>0.73</v>
      </c>
      <c r="V8" s="207"/>
      <c r="W8" s="378"/>
    </row>
    <row r="9" spans="2:23" ht="14.45" customHeight="1">
      <c r="B9" s="79"/>
      <c r="C9" s="372"/>
      <c r="D9" s="82">
        <v>45905</v>
      </c>
      <c r="E9" s="82" t="s">
        <v>166</v>
      </c>
      <c r="F9" s="228">
        <v>339</v>
      </c>
      <c r="G9" s="89"/>
      <c r="H9" s="373"/>
      <c r="I9" s="86">
        <f t="shared" si="0"/>
        <v>0.92622950819672134</v>
      </c>
      <c r="J9" s="207"/>
      <c r="K9" s="378"/>
      <c r="L9" s="252">
        <v>2.5111787792803856E-3</v>
      </c>
      <c r="M9" s="318"/>
      <c r="N9" s="379"/>
      <c r="O9" s="252">
        <v>2.8302523756035115E-3</v>
      </c>
      <c r="P9" s="318"/>
      <c r="Q9" s="379"/>
      <c r="R9" s="232">
        <v>0.91666666666666663</v>
      </c>
      <c r="S9" s="207"/>
      <c r="T9" s="378"/>
      <c r="U9" s="232">
        <v>0.73499999999999999</v>
      </c>
      <c r="V9" s="207"/>
      <c r="W9" s="378"/>
    </row>
    <row r="10" spans="2:23" ht="14.45" customHeight="1">
      <c r="B10" s="79"/>
      <c r="C10" s="372"/>
      <c r="D10" s="82">
        <v>45906</v>
      </c>
      <c r="E10" s="82" t="s">
        <v>167</v>
      </c>
      <c r="F10" s="228">
        <v>335.7</v>
      </c>
      <c r="G10" s="89"/>
      <c r="H10" s="373"/>
      <c r="I10" s="86">
        <f t="shared" si="0"/>
        <v>0.91721311475409828</v>
      </c>
      <c r="J10" s="207"/>
      <c r="K10" s="378"/>
      <c r="L10" s="252">
        <v>2.4919394597486912E-3</v>
      </c>
      <c r="M10" s="318"/>
      <c r="N10" s="379"/>
      <c r="O10" s="252">
        <v>2.896537903086918E-3</v>
      </c>
      <c r="P10" s="318"/>
      <c r="Q10" s="379"/>
      <c r="R10" s="232">
        <v>0.91666666666666663</v>
      </c>
      <c r="S10" s="207"/>
      <c r="T10" s="378"/>
      <c r="U10" s="232">
        <v>0.74</v>
      </c>
      <c r="V10" s="207"/>
      <c r="W10" s="378"/>
    </row>
    <row r="11" spans="2:23" ht="14.45" customHeight="1">
      <c r="B11" s="79"/>
      <c r="C11" s="372"/>
      <c r="D11" s="82">
        <v>45907</v>
      </c>
      <c r="E11" s="82" t="s">
        <v>168</v>
      </c>
      <c r="F11" s="228">
        <v>335.9</v>
      </c>
      <c r="G11" s="89"/>
      <c r="H11" s="373"/>
      <c r="I11" s="86">
        <f t="shared" si="0"/>
        <v>0.91775956284153004</v>
      </c>
      <c r="J11" s="207"/>
      <c r="K11" s="378"/>
      <c r="L11" s="252">
        <v>2.4817889299502943E-3</v>
      </c>
      <c r="M11" s="318"/>
      <c r="N11" s="379"/>
      <c r="O11" s="252">
        <v>2.5248925868063777E-3</v>
      </c>
      <c r="P11" s="318"/>
      <c r="Q11" s="379"/>
      <c r="R11" s="232">
        <v>0.91666666666666663</v>
      </c>
      <c r="S11" s="207"/>
      <c r="T11" s="378"/>
      <c r="U11" s="232">
        <v>0.74199999999999999</v>
      </c>
      <c r="V11" s="207"/>
      <c r="W11" s="378"/>
    </row>
    <row r="12" spans="2:23" ht="14.45" customHeight="1">
      <c r="B12" s="79"/>
      <c r="C12" s="372"/>
      <c r="D12" s="82">
        <v>45908</v>
      </c>
      <c r="E12" s="82" t="s">
        <v>162</v>
      </c>
      <c r="F12" s="228">
        <v>338.1</v>
      </c>
      <c r="G12" s="89"/>
      <c r="H12" s="373"/>
      <c r="I12" s="86">
        <f t="shared" si="0"/>
        <v>0.92377049180327875</v>
      </c>
      <c r="J12" s="207"/>
      <c r="K12" s="378"/>
      <c r="L12" s="252">
        <v>2.4368258337106939E-3</v>
      </c>
      <c r="M12" s="318"/>
      <c r="N12" s="379"/>
      <c r="O12" s="252">
        <v>2.2871978747858283E-3</v>
      </c>
      <c r="P12" s="318"/>
      <c r="Q12" s="379"/>
      <c r="R12" s="232">
        <v>0.91666666666666663</v>
      </c>
      <c r="S12" s="207"/>
      <c r="T12" s="378"/>
      <c r="U12" s="232">
        <v>0.74199999999999999</v>
      </c>
      <c r="V12" s="207"/>
      <c r="W12" s="378"/>
    </row>
    <row r="13" spans="2:23" ht="14.45" customHeight="1">
      <c r="B13" s="79"/>
      <c r="C13" s="372"/>
      <c r="D13" s="319">
        <v>45909</v>
      </c>
      <c r="E13" s="319" t="s">
        <v>163</v>
      </c>
      <c r="F13" s="228">
        <v>331.71014073861716</v>
      </c>
      <c r="G13" s="89">
        <f>AVERAGE(F13:F19)</f>
        <v>335.39904588334076</v>
      </c>
      <c r="H13" s="373"/>
      <c r="I13" s="86">
        <f t="shared" si="0"/>
        <v>0.90631185994157692</v>
      </c>
      <c r="J13" s="207">
        <f>AVERAGE(I13:I19)</f>
        <v>0.91639083574683255</v>
      </c>
      <c r="K13" s="378"/>
      <c r="L13" s="252">
        <v>2.5045688615523047E-3</v>
      </c>
      <c r="M13" s="318">
        <f>AVERAGE(L13:L19)</f>
        <v>2.480002536425207E-3</v>
      </c>
      <c r="N13" s="379"/>
      <c r="O13" s="252">
        <v>2.3343101890110005E-3</v>
      </c>
      <c r="P13" s="318">
        <f>AVERAGE(O13:O19)</f>
        <v>2.5266111651023096E-3</v>
      </c>
      <c r="Q13" s="379"/>
      <c r="R13" s="232">
        <v>0.91666666666666663</v>
      </c>
      <c r="S13" s="207">
        <f>AVERAGE(R13:R19)</f>
        <v>0.91666666666666674</v>
      </c>
      <c r="T13" s="378"/>
      <c r="U13" s="232">
        <v>0.74199999999999999</v>
      </c>
      <c r="V13" s="207">
        <f>AVERAGE(U13:U19)</f>
        <v>0.75442857142857156</v>
      </c>
      <c r="W13" s="378"/>
    </row>
    <row r="14" spans="2:23" ht="14.45" customHeight="1">
      <c r="B14" s="79"/>
      <c r="C14" s="372"/>
      <c r="D14" s="319">
        <v>45910</v>
      </c>
      <c r="E14" s="319" t="s">
        <v>164</v>
      </c>
      <c r="F14" s="228">
        <v>331.2696075912761</v>
      </c>
      <c r="G14" s="89"/>
      <c r="H14" s="373"/>
      <c r="I14" s="86">
        <f t="shared" si="0"/>
        <v>0.90510821746250303</v>
      </c>
      <c r="J14" s="207"/>
      <c r="K14" s="378"/>
      <c r="L14" s="252">
        <v>2.4909689158295056E-3</v>
      </c>
      <c r="M14" s="318"/>
      <c r="N14" s="379"/>
      <c r="O14" s="252">
        <v>2.3768167484908712E-3</v>
      </c>
      <c r="P14" s="318"/>
      <c r="Q14" s="379"/>
      <c r="R14" s="232">
        <v>0.91666666666666663</v>
      </c>
      <c r="S14" s="207"/>
      <c r="T14" s="378"/>
      <c r="U14" s="232">
        <v>0.75</v>
      </c>
      <c r="V14" s="207"/>
      <c r="W14" s="378"/>
    </row>
    <row r="15" spans="2:23" ht="14.45" customHeight="1">
      <c r="B15" s="79"/>
      <c r="C15" s="372"/>
      <c r="D15" s="319">
        <v>45911</v>
      </c>
      <c r="E15" s="319" t="s">
        <v>165</v>
      </c>
      <c r="F15" s="228">
        <v>338.0729444065089</v>
      </c>
      <c r="G15" s="89"/>
      <c r="H15" s="373"/>
      <c r="I15" s="86">
        <f t="shared" si="0"/>
        <v>0.92369656941669098</v>
      </c>
      <c r="J15" s="207"/>
      <c r="K15" s="378"/>
      <c r="L15" s="252">
        <v>2.4512522316968493E-3</v>
      </c>
      <c r="M15" s="318"/>
      <c r="N15" s="379"/>
      <c r="O15" s="252">
        <v>2.6160351738387607E-3</v>
      </c>
      <c r="P15" s="318"/>
      <c r="Q15" s="379"/>
      <c r="R15" s="232">
        <v>0.91666666666666663</v>
      </c>
      <c r="S15" s="207"/>
      <c r="T15" s="378"/>
      <c r="U15" s="232">
        <v>0.753</v>
      </c>
      <c r="V15" s="207"/>
      <c r="W15" s="378"/>
    </row>
    <row r="16" spans="2:23" ht="14.45" customHeight="1">
      <c r="B16" s="79"/>
      <c r="C16" s="372"/>
      <c r="D16" s="319">
        <v>45912</v>
      </c>
      <c r="E16" s="319" t="s">
        <v>166</v>
      </c>
      <c r="F16" s="228">
        <v>337.65311954679834</v>
      </c>
      <c r="G16" s="89"/>
      <c r="H16" s="373"/>
      <c r="I16" s="86">
        <f t="shared" si="0"/>
        <v>0.92254950695846538</v>
      </c>
      <c r="J16" s="207"/>
      <c r="K16" s="378"/>
      <c r="L16" s="252">
        <v>2.4700455182355115E-3</v>
      </c>
      <c r="M16" s="318"/>
      <c r="N16" s="379"/>
      <c r="O16" s="252">
        <v>2.6182966229446342E-3</v>
      </c>
      <c r="P16" s="318"/>
      <c r="Q16" s="379"/>
      <c r="R16" s="232">
        <v>0.91666666666666663</v>
      </c>
      <c r="S16" s="207"/>
      <c r="T16" s="378"/>
      <c r="U16" s="232">
        <v>0.754</v>
      </c>
      <c r="V16" s="207"/>
      <c r="W16" s="378"/>
    </row>
    <row r="17" spans="2:23" ht="14.45" customHeight="1">
      <c r="B17" s="79"/>
      <c r="C17" s="372"/>
      <c r="D17" s="319">
        <v>45913</v>
      </c>
      <c r="E17" s="319" t="s">
        <v>167</v>
      </c>
      <c r="F17" s="228">
        <v>329.85969431753125</v>
      </c>
      <c r="G17" s="89"/>
      <c r="H17" s="373"/>
      <c r="I17" s="86">
        <f t="shared" si="0"/>
        <v>0.90125599540309087</v>
      </c>
      <c r="J17" s="207"/>
      <c r="K17" s="378"/>
      <c r="L17" s="252">
        <v>2.4422646815390426E-3</v>
      </c>
      <c r="M17" s="318"/>
      <c r="N17" s="379"/>
      <c r="O17" s="252">
        <v>2.8518211213645417E-3</v>
      </c>
      <c r="P17" s="318"/>
      <c r="Q17" s="379"/>
      <c r="R17" s="232">
        <v>0.91666666666666663</v>
      </c>
      <c r="S17" s="207"/>
      <c r="T17" s="378"/>
      <c r="U17" s="232">
        <v>0.76</v>
      </c>
      <c r="V17" s="207"/>
      <c r="W17" s="378"/>
    </row>
    <row r="18" spans="2:23" ht="14.45" customHeight="1">
      <c r="B18" s="79"/>
      <c r="C18" s="372"/>
      <c r="D18" s="319">
        <v>45914</v>
      </c>
      <c r="E18" s="319" t="s">
        <v>168</v>
      </c>
      <c r="F18" s="228">
        <v>335.39869069636433</v>
      </c>
      <c r="G18" s="89"/>
      <c r="H18" s="373"/>
      <c r="I18" s="86">
        <f t="shared" si="0"/>
        <v>0.91638986529061295</v>
      </c>
      <c r="J18" s="207"/>
      <c r="K18" s="378"/>
      <c r="L18" s="252">
        <v>2.5045834761210509E-3</v>
      </c>
      <c r="M18" s="318"/>
      <c r="N18" s="379"/>
      <c r="O18" s="252">
        <v>2.3273417967155075E-3</v>
      </c>
      <c r="P18" s="318"/>
      <c r="Q18" s="379"/>
      <c r="R18" s="232">
        <v>0.91666666666666663</v>
      </c>
      <c r="S18" s="207"/>
      <c r="T18" s="378"/>
      <c r="U18" s="232">
        <v>0.76</v>
      </c>
      <c r="V18" s="207"/>
      <c r="W18" s="378"/>
    </row>
    <row r="19" spans="2:23" ht="14.45" customHeight="1">
      <c r="B19" s="79"/>
      <c r="C19" s="372"/>
      <c r="D19" s="319">
        <v>45915</v>
      </c>
      <c r="E19" s="319" t="s">
        <v>162</v>
      </c>
      <c r="F19" s="228">
        <v>343.82912388628915</v>
      </c>
      <c r="G19" s="89"/>
      <c r="H19" s="373"/>
      <c r="I19" s="86">
        <f t="shared" si="0"/>
        <v>0.93942383575488841</v>
      </c>
      <c r="J19" s="207"/>
      <c r="K19" s="378"/>
      <c r="L19" s="252">
        <v>2.4963340700021827E-3</v>
      </c>
      <c r="M19" s="318"/>
      <c r="N19" s="379"/>
      <c r="O19" s="252">
        <v>2.561656503350853E-3</v>
      </c>
      <c r="P19" s="318"/>
      <c r="Q19" s="379"/>
      <c r="R19" s="232">
        <v>0.91666666666666663</v>
      </c>
      <c r="S19" s="207"/>
      <c r="T19" s="378"/>
      <c r="U19" s="232">
        <v>0.76200000000000001</v>
      </c>
      <c r="V19" s="207"/>
      <c r="W19" s="378"/>
    </row>
    <row r="20" spans="2:23" ht="14.45" customHeight="1">
      <c r="B20" s="79"/>
      <c r="C20" s="372"/>
      <c r="D20" s="82">
        <v>45916</v>
      </c>
      <c r="E20" s="82" t="s">
        <v>163</v>
      </c>
      <c r="F20" s="228"/>
      <c r="G20" s="89" t="e">
        <f>AVERAGE(F20:F26)</f>
        <v>#DIV/0!</v>
      </c>
      <c r="H20" s="373"/>
      <c r="I20" s="86"/>
      <c r="J20" s="207" t="e">
        <f>AVERAGE(I20:I26)</f>
        <v>#DIV/0!</v>
      </c>
      <c r="K20" s="378"/>
      <c r="L20" s="252"/>
      <c r="M20" s="318" t="e">
        <f>AVERAGE(L20:L26)</f>
        <v>#DIV/0!</v>
      </c>
      <c r="N20" s="379"/>
      <c r="O20" s="252"/>
      <c r="P20" s="318" t="e">
        <f>AVERAGE(O20:O26)</f>
        <v>#DIV/0!</v>
      </c>
      <c r="Q20" s="379"/>
      <c r="R20" s="232"/>
      <c r="S20" s="207" t="e">
        <f>AVERAGE(R20:R26)</f>
        <v>#DIV/0!</v>
      </c>
      <c r="T20" s="378"/>
      <c r="U20" s="232"/>
      <c r="V20" s="207" t="e">
        <f>AVERAGE(U20:U26)</f>
        <v>#DIV/0!</v>
      </c>
      <c r="W20" s="378"/>
    </row>
    <row r="21" spans="2:23" ht="14.45" customHeight="1">
      <c r="B21" s="79"/>
      <c r="C21" s="372"/>
      <c r="D21" s="82">
        <v>45917</v>
      </c>
      <c r="E21" s="82" t="s">
        <v>164</v>
      </c>
      <c r="F21" s="228"/>
      <c r="G21" s="89"/>
      <c r="H21" s="373"/>
      <c r="I21" s="86"/>
      <c r="J21" s="207"/>
      <c r="K21" s="378"/>
      <c r="L21" s="252"/>
      <c r="M21" s="318"/>
      <c r="N21" s="379"/>
      <c r="O21" s="252"/>
      <c r="P21" s="318"/>
      <c r="Q21" s="379"/>
      <c r="R21" s="232"/>
      <c r="S21" s="207"/>
      <c r="T21" s="378"/>
      <c r="U21" s="232"/>
      <c r="V21" s="207"/>
      <c r="W21" s="378"/>
    </row>
    <row r="22" spans="2:23" ht="14.45" customHeight="1">
      <c r="B22" s="79"/>
      <c r="C22" s="372"/>
      <c r="D22" s="82">
        <v>45918</v>
      </c>
      <c r="E22" s="82" t="s">
        <v>165</v>
      </c>
      <c r="F22" s="228"/>
      <c r="G22" s="89"/>
      <c r="H22" s="373"/>
      <c r="I22" s="86"/>
      <c r="J22" s="207"/>
      <c r="K22" s="378"/>
      <c r="L22" s="252"/>
      <c r="M22" s="318"/>
      <c r="N22" s="379"/>
      <c r="O22" s="252"/>
      <c r="P22" s="318"/>
      <c r="Q22" s="379"/>
      <c r="R22" s="232"/>
      <c r="S22" s="207"/>
      <c r="T22" s="378"/>
      <c r="U22" s="232"/>
      <c r="V22" s="207"/>
      <c r="W22" s="378"/>
    </row>
    <row r="23" spans="2:23" ht="14.45" customHeight="1">
      <c r="B23" s="79"/>
      <c r="C23" s="372"/>
      <c r="D23" s="82">
        <v>45919</v>
      </c>
      <c r="E23" s="82" t="s">
        <v>166</v>
      </c>
      <c r="F23" s="228"/>
      <c r="G23" s="89"/>
      <c r="H23" s="373"/>
      <c r="I23" s="86"/>
      <c r="J23" s="207"/>
      <c r="K23" s="378"/>
      <c r="L23" s="252"/>
      <c r="M23" s="318"/>
      <c r="N23" s="379"/>
      <c r="O23" s="252"/>
      <c r="P23" s="318"/>
      <c r="Q23" s="379"/>
      <c r="R23" s="232"/>
      <c r="S23" s="207"/>
      <c r="T23" s="378"/>
      <c r="U23" s="232"/>
      <c r="V23" s="207"/>
      <c r="W23" s="378"/>
    </row>
    <row r="24" spans="2:23" ht="14.45" customHeight="1">
      <c r="B24" s="79"/>
      <c r="C24" s="372"/>
      <c r="D24" s="82">
        <v>45920</v>
      </c>
      <c r="E24" s="82" t="s">
        <v>167</v>
      </c>
      <c r="F24" s="228"/>
      <c r="G24" s="89"/>
      <c r="H24" s="373"/>
      <c r="I24" s="86"/>
      <c r="J24" s="207"/>
      <c r="K24" s="378"/>
      <c r="L24" s="252"/>
      <c r="M24" s="318"/>
      <c r="N24" s="379"/>
      <c r="O24" s="252"/>
      <c r="P24" s="318"/>
      <c r="Q24" s="379"/>
      <c r="R24" s="232"/>
      <c r="S24" s="207"/>
      <c r="T24" s="378"/>
      <c r="U24" s="232"/>
      <c r="V24" s="207"/>
      <c r="W24" s="378"/>
    </row>
    <row r="25" spans="2:23" ht="14.45" customHeight="1">
      <c r="B25" s="79"/>
      <c r="C25" s="372"/>
      <c r="D25" s="82">
        <v>45921</v>
      </c>
      <c r="E25" s="82" t="s">
        <v>168</v>
      </c>
      <c r="F25" s="228"/>
      <c r="G25" s="89"/>
      <c r="H25" s="373"/>
      <c r="I25" s="86"/>
      <c r="J25" s="207"/>
      <c r="K25" s="378"/>
      <c r="L25" s="252"/>
      <c r="M25" s="318"/>
      <c r="N25" s="379"/>
      <c r="O25" s="252"/>
      <c r="P25" s="318"/>
      <c r="Q25" s="379"/>
      <c r="R25" s="232"/>
      <c r="S25" s="207"/>
      <c r="T25" s="378"/>
      <c r="U25" s="232"/>
      <c r="V25" s="207"/>
      <c r="W25" s="378"/>
    </row>
    <row r="26" spans="2:23" ht="14.45" customHeight="1">
      <c r="B26" s="79"/>
      <c r="C26" s="372"/>
      <c r="D26" s="82">
        <v>45922</v>
      </c>
      <c r="E26" s="82" t="s">
        <v>162</v>
      </c>
      <c r="F26" s="228"/>
      <c r="G26" s="89"/>
      <c r="H26" s="373"/>
      <c r="I26" s="86"/>
      <c r="J26" s="207"/>
      <c r="K26" s="378"/>
      <c r="L26" s="252"/>
      <c r="M26" s="318"/>
      <c r="N26" s="379"/>
      <c r="O26" s="252"/>
      <c r="P26" s="318"/>
      <c r="Q26" s="379"/>
      <c r="R26" s="232"/>
      <c r="S26" s="207"/>
      <c r="T26" s="378"/>
      <c r="U26" s="232"/>
      <c r="V26" s="207"/>
      <c r="W26" s="378"/>
    </row>
    <row r="27" spans="2:23" ht="14.45" customHeight="1">
      <c r="B27" s="79"/>
      <c r="C27" s="372"/>
      <c r="D27" s="319">
        <v>45923</v>
      </c>
      <c r="E27" s="319" t="s">
        <v>163</v>
      </c>
      <c r="F27" s="228"/>
      <c r="G27" s="89" t="e">
        <f>AVERAGE(F27:F33)</f>
        <v>#DIV/0!</v>
      </c>
      <c r="H27" s="373"/>
      <c r="I27" s="86"/>
      <c r="J27" s="207" t="e">
        <f>AVERAGE(I27:I33)</f>
        <v>#DIV/0!</v>
      </c>
      <c r="K27" s="378"/>
      <c r="L27" s="252"/>
      <c r="M27" s="318" t="e">
        <f>AVERAGE(L27:L33)</f>
        <v>#DIV/0!</v>
      </c>
      <c r="N27" s="379"/>
      <c r="O27" s="252"/>
      <c r="P27" s="318" t="e">
        <f>AVERAGE(O27:O33)</f>
        <v>#DIV/0!</v>
      </c>
      <c r="Q27" s="379"/>
      <c r="R27" s="232"/>
      <c r="S27" s="207" t="e">
        <f>AVERAGE(R27:R33)</f>
        <v>#DIV/0!</v>
      </c>
      <c r="T27" s="378"/>
      <c r="U27" s="232"/>
      <c r="V27" s="207" t="e">
        <f>AVERAGE(U27:U33)</f>
        <v>#DIV/0!</v>
      </c>
      <c r="W27" s="378"/>
    </row>
    <row r="28" spans="2:23" ht="14.45" customHeight="1">
      <c r="B28" s="79"/>
      <c r="C28" s="372"/>
      <c r="D28" s="319">
        <v>45924</v>
      </c>
      <c r="E28" s="319" t="s">
        <v>164</v>
      </c>
      <c r="F28" s="228"/>
      <c r="G28" s="89"/>
      <c r="H28" s="373"/>
      <c r="I28" s="86"/>
      <c r="J28" s="207"/>
      <c r="K28" s="378"/>
      <c r="L28" s="252"/>
      <c r="M28" s="318"/>
      <c r="N28" s="379"/>
      <c r="O28" s="252"/>
      <c r="P28" s="318"/>
      <c r="Q28" s="379"/>
      <c r="R28" s="232"/>
      <c r="S28" s="207"/>
      <c r="T28" s="378"/>
      <c r="U28" s="232"/>
      <c r="V28" s="207"/>
      <c r="W28" s="378"/>
    </row>
    <row r="29" spans="2:23" ht="14.45" customHeight="1">
      <c r="B29" s="79"/>
      <c r="C29" s="372"/>
      <c r="D29" s="319">
        <v>45925</v>
      </c>
      <c r="E29" s="319" t="s">
        <v>165</v>
      </c>
      <c r="F29" s="228"/>
      <c r="G29" s="89"/>
      <c r="H29" s="373"/>
      <c r="I29" s="86"/>
      <c r="J29" s="207"/>
      <c r="K29" s="378"/>
      <c r="L29" s="252"/>
      <c r="M29" s="318"/>
      <c r="N29" s="379"/>
      <c r="O29" s="252"/>
      <c r="P29" s="318"/>
      <c r="Q29" s="379"/>
      <c r="R29" s="232"/>
      <c r="S29" s="207"/>
      <c r="T29" s="378"/>
      <c r="U29" s="232"/>
      <c r="V29" s="207"/>
      <c r="W29" s="378"/>
    </row>
    <row r="30" spans="2:23" ht="14.45" customHeight="1">
      <c r="B30" s="79"/>
      <c r="C30" s="372"/>
      <c r="D30" s="319">
        <v>45926</v>
      </c>
      <c r="E30" s="319" t="s">
        <v>166</v>
      </c>
      <c r="F30" s="228"/>
      <c r="G30" s="89"/>
      <c r="H30" s="373"/>
      <c r="I30" s="86"/>
      <c r="J30" s="207"/>
      <c r="K30" s="378"/>
      <c r="L30" s="252"/>
      <c r="M30" s="318"/>
      <c r="N30" s="379"/>
      <c r="O30" s="252"/>
      <c r="P30" s="318"/>
      <c r="Q30" s="379"/>
      <c r="R30" s="232"/>
      <c r="S30" s="207"/>
      <c r="T30" s="378"/>
      <c r="U30" s="232"/>
      <c r="V30" s="207"/>
      <c r="W30" s="378"/>
    </row>
    <row r="31" spans="2:23" ht="14.45" customHeight="1">
      <c r="B31" s="79"/>
      <c r="C31" s="372"/>
      <c r="D31" s="319">
        <v>45927</v>
      </c>
      <c r="E31" s="319" t="s">
        <v>167</v>
      </c>
      <c r="F31" s="228"/>
      <c r="G31" s="89"/>
      <c r="H31" s="373"/>
      <c r="I31" s="86"/>
      <c r="J31" s="207"/>
      <c r="K31" s="378"/>
      <c r="L31" s="252"/>
      <c r="M31" s="318"/>
      <c r="N31" s="379"/>
      <c r="O31" s="252"/>
      <c r="P31" s="318"/>
      <c r="Q31" s="379"/>
      <c r="R31" s="232"/>
      <c r="S31" s="207"/>
      <c r="T31" s="378"/>
      <c r="U31" s="232"/>
      <c r="V31" s="207"/>
      <c r="W31" s="378"/>
    </row>
    <row r="32" spans="2:23" ht="14.45" customHeight="1">
      <c r="B32" s="79"/>
      <c r="C32" s="372"/>
      <c r="D32" s="319">
        <v>45928</v>
      </c>
      <c r="E32" s="319" t="s">
        <v>168</v>
      </c>
      <c r="F32" s="228"/>
      <c r="G32" s="89"/>
      <c r="H32" s="373"/>
      <c r="I32" s="86"/>
      <c r="J32" s="207"/>
      <c r="K32" s="378"/>
      <c r="L32" s="252"/>
      <c r="M32" s="318"/>
      <c r="N32" s="379"/>
      <c r="O32" s="252"/>
      <c r="P32" s="318"/>
      <c r="Q32" s="379"/>
      <c r="R32" s="232"/>
      <c r="S32" s="207"/>
      <c r="T32" s="378"/>
      <c r="U32" s="232"/>
      <c r="V32" s="207"/>
      <c r="W32" s="378"/>
    </row>
    <row r="33" spans="2:23" ht="14.45" customHeight="1">
      <c r="B33" s="79"/>
      <c r="C33" s="372"/>
      <c r="D33" s="319">
        <v>45929</v>
      </c>
      <c r="E33" s="319" t="s">
        <v>162</v>
      </c>
      <c r="F33" s="228"/>
      <c r="G33" s="89"/>
      <c r="H33" s="373"/>
      <c r="I33" s="86"/>
      <c r="J33" s="207"/>
      <c r="K33" s="378"/>
      <c r="L33" s="252"/>
      <c r="M33" s="318"/>
      <c r="N33" s="379"/>
      <c r="O33" s="252"/>
      <c r="P33" s="318"/>
      <c r="Q33" s="379"/>
      <c r="R33" s="232"/>
      <c r="S33" s="207"/>
      <c r="T33" s="378"/>
      <c r="U33" s="232"/>
      <c r="V33" s="207"/>
      <c r="W33" s="378"/>
    </row>
    <row r="34" spans="2:23" ht="14.45" customHeight="1">
      <c r="B34" s="79"/>
      <c r="C34" s="372"/>
      <c r="D34" s="82">
        <v>45930</v>
      </c>
      <c r="E34" s="82" t="s">
        <v>163</v>
      </c>
      <c r="F34" s="228"/>
      <c r="G34" s="89" t="e">
        <f>AVERAGE(F34:F40)</f>
        <v>#DIV/0!</v>
      </c>
      <c r="H34" s="373"/>
      <c r="I34" s="86"/>
      <c r="J34" s="207" t="e">
        <f>AVERAGE(I34:I40)</f>
        <v>#DIV/0!</v>
      </c>
      <c r="K34" s="378"/>
      <c r="L34" s="252"/>
      <c r="M34" s="318" t="e">
        <f>AVERAGE(L34:L40)</f>
        <v>#DIV/0!</v>
      </c>
      <c r="N34" s="379"/>
      <c r="O34" s="252"/>
      <c r="P34" s="318" t="e">
        <f>AVERAGE(O34:O40)</f>
        <v>#DIV/0!</v>
      </c>
      <c r="Q34" s="379"/>
      <c r="R34" s="232"/>
      <c r="S34" s="207" t="e">
        <f>AVERAGE(R34:R40)</f>
        <v>#DIV/0!</v>
      </c>
      <c r="T34" s="378"/>
      <c r="U34" s="232"/>
      <c r="V34" s="207" t="e">
        <f>AVERAGE(U34:U40)</f>
        <v>#DIV/0!</v>
      </c>
      <c r="W34" s="378"/>
    </row>
    <row r="35" spans="2:23">
      <c r="B35" s="79"/>
      <c r="C35" s="372"/>
      <c r="D35" s="82">
        <v>45931</v>
      </c>
      <c r="E35" s="82" t="s">
        <v>164</v>
      </c>
      <c r="F35" s="228"/>
      <c r="G35" s="89"/>
      <c r="H35" s="373"/>
      <c r="I35" s="86"/>
      <c r="J35" s="207"/>
      <c r="K35" s="378"/>
      <c r="L35" s="252"/>
      <c r="M35" s="86"/>
      <c r="N35" s="379"/>
      <c r="O35" s="252"/>
      <c r="P35" s="86"/>
      <c r="Q35" s="379"/>
      <c r="R35" s="232"/>
      <c r="S35" s="207"/>
      <c r="T35" s="378"/>
      <c r="U35" s="232"/>
      <c r="V35" s="207"/>
      <c r="W35" s="378"/>
    </row>
    <row r="36" spans="2:23">
      <c r="B36" s="79"/>
      <c r="D36" s="82">
        <v>45932</v>
      </c>
      <c r="E36" s="82" t="s">
        <v>165</v>
      </c>
      <c r="F36" s="228"/>
      <c r="G36" s="89"/>
      <c r="H36" s="89"/>
      <c r="I36" s="86"/>
      <c r="J36" s="207"/>
      <c r="K36" s="83"/>
      <c r="L36" s="310"/>
      <c r="M36" s="86"/>
      <c r="N36" s="86"/>
      <c r="O36" s="310"/>
      <c r="P36" s="86"/>
      <c r="Q36" s="86"/>
      <c r="R36" s="309"/>
      <c r="S36" s="207"/>
      <c r="T36" s="207"/>
      <c r="U36" s="309"/>
      <c r="V36" s="207"/>
      <c r="W36" s="207"/>
    </row>
    <row r="37" spans="2:23">
      <c r="B37" s="79"/>
      <c r="D37" s="82">
        <v>45933</v>
      </c>
      <c r="E37" s="82" t="s">
        <v>166</v>
      </c>
      <c r="F37" s="228"/>
      <c r="G37" s="89"/>
      <c r="H37" s="89"/>
      <c r="I37" s="86"/>
      <c r="J37" s="207"/>
      <c r="K37" s="83"/>
      <c r="L37" s="310"/>
      <c r="M37" s="86"/>
      <c r="N37" s="86"/>
      <c r="O37" s="310"/>
      <c r="P37" s="86"/>
      <c r="Q37" s="86"/>
      <c r="R37" s="309"/>
      <c r="S37" s="207"/>
      <c r="T37" s="207"/>
      <c r="U37" s="309"/>
      <c r="V37" s="207"/>
      <c r="W37" s="207"/>
    </row>
    <row r="38" spans="2:23">
      <c r="B38" s="79"/>
      <c r="D38" s="82">
        <v>45934</v>
      </c>
      <c r="E38" s="82" t="s">
        <v>167</v>
      </c>
      <c r="F38" s="228"/>
      <c r="G38" s="89"/>
      <c r="H38" s="89"/>
      <c r="I38" s="86"/>
      <c r="J38" s="207"/>
      <c r="K38" s="83"/>
      <c r="L38" s="310"/>
      <c r="M38" s="86"/>
      <c r="N38" s="86"/>
      <c r="O38" s="310"/>
      <c r="P38" s="86"/>
      <c r="Q38" s="86"/>
      <c r="R38" s="309"/>
      <c r="S38" s="207"/>
      <c r="T38" s="207"/>
      <c r="U38" s="309"/>
      <c r="V38" s="207"/>
      <c r="W38" s="207"/>
    </row>
    <row r="39" spans="2:23">
      <c r="B39" s="79"/>
      <c r="D39" s="82">
        <v>45935</v>
      </c>
      <c r="E39" s="82" t="s">
        <v>168</v>
      </c>
      <c r="F39" s="228"/>
      <c r="G39" s="89"/>
      <c r="H39" s="89"/>
      <c r="I39" s="86"/>
      <c r="J39" s="207"/>
      <c r="K39" s="83"/>
      <c r="L39" s="310"/>
      <c r="M39" s="86"/>
      <c r="N39" s="86"/>
      <c r="O39" s="310"/>
      <c r="P39" s="86"/>
      <c r="Q39" s="86"/>
      <c r="R39" s="309"/>
      <c r="S39" s="207"/>
      <c r="T39" s="207"/>
      <c r="U39" s="309"/>
      <c r="V39" s="207"/>
      <c r="W39" s="207"/>
    </row>
    <row r="40" spans="2:23">
      <c r="B40" s="79"/>
      <c r="D40" s="82">
        <v>45936</v>
      </c>
      <c r="E40" s="82" t="s">
        <v>162</v>
      </c>
      <c r="F40" s="228"/>
      <c r="G40" s="89"/>
      <c r="H40" s="89"/>
      <c r="I40" s="86"/>
      <c r="J40" s="207"/>
      <c r="K40" s="83"/>
      <c r="L40" s="310"/>
      <c r="M40" s="86"/>
      <c r="N40" s="86"/>
      <c r="O40" s="310"/>
      <c r="P40" s="86"/>
      <c r="Q40" s="86"/>
      <c r="R40" s="309"/>
      <c r="S40" s="207"/>
      <c r="T40" s="207"/>
      <c r="U40" s="309"/>
      <c r="V40" s="207"/>
      <c r="W40" s="207"/>
    </row>
    <row r="41" spans="2:23">
      <c r="B41" s="79"/>
      <c r="D41" s="82"/>
      <c r="E41" s="82"/>
      <c r="F41" s="304"/>
      <c r="G41" s="89"/>
      <c r="H41" s="89"/>
      <c r="I41" s="86"/>
      <c r="J41" s="207"/>
      <c r="K41" s="83"/>
      <c r="L41" s="310"/>
      <c r="M41" s="86"/>
      <c r="N41" s="86"/>
      <c r="O41" s="310"/>
      <c r="P41" s="86"/>
      <c r="Q41" s="86"/>
      <c r="R41" s="309"/>
      <c r="S41" s="207"/>
      <c r="T41" s="207"/>
      <c r="U41" s="309"/>
      <c r="V41" s="207"/>
      <c r="W41" s="207"/>
    </row>
    <row r="42" spans="2:23">
      <c r="B42" s="79"/>
      <c r="D42" s="82"/>
      <c r="E42" s="82"/>
      <c r="F42" s="304"/>
      <c r="G42" s="89"/>
      <c r="H42" s="89"/>
      <c r="I42" s="86"/>
      <c r="J42" s="207"/>
      <c r="K42" s="83"/>
      <c r="L42" s="310"/>
      <c r="M42" s="86"/>
      <c r="N42" s="86"/>
      <c r="O42" s="310"/>
      <c r="P42" s="86"/>
      <c r="Q42" s="86"/>
      <c r="R42" s="309"/>
      <c r="S42" s="207"/>
      <c r="T42" s="207"/>
      <c r="U42" s="309"/>
      <c r="V42" s="207"/>
      <c r="W42" s="207"/>
    </row>
    <row r="43" spans="2:23">
      <c r="B43" s="79"/>
      <c r="D43" s="82"/>
      <c r="E43" s="82"/>
      <c r="F43" s="304"/>
      <c r="G43" s="89"/>
      <c r="H43" s="89"/>
      <c r="I43" s="86"/>
      <c r="J43" s="207"/>
      <c r="K43" s="83"/>
      <c r="L43" s="310"/>
      <c r="M43" s="86"/>
      <c r="N43" s="86"/>
      <c r="O43" s="310"/>
      <c r="P43" s="86"/>
      <c r="Q43" s="86"/>
      <c r="R43" s="309"/>
      <c r="S43" s="207"/>
      <c r="T43" s="207"/>
      <c r="U43" s="309"/>
      <c r="V43" s="207"/>
      <c r="W43" s="207"/>
    </row>
    <row r="44" spans="2:23">
      <c r="B44" s="79"/>
    </row>
    <row r="45" spans="2:23">
      <c r="B45" s="79"/>
    </row>
    <row r="46" spans="2:23">
      <c r="B46" s="79"/>
    </row>
    <row r="47" spans="2:23">
      <c r="B47" s="79"/>
    </row>
    <row r="48" spans="2:23">
      <c r="B48" s="79"/>
    </row>
    <row r="49" spans="2:2">
      <c r="B49" s="79"/>
    </row>
  </sheetData>
  <mergeCells count="16">
    <mergeCell ref="H5:H35"/>
    <mergeCell ref="C5:C35"/>
    <mergeCell ref="B2:U2"/>
    <mergeCell ref="F3:H3"/>
    <mergeCell ref="L3:N3"/>
    <mergeCell ref="R3:T3"/>
    <mergeCell ref="C3:C4"/>
    <mergeCell ref="D3:E4"/>
    <mergeCell ref="I3:K3"/>
    <mergeCell ref="K5:K35"/>
    <mergeCell ref="O3:Q3"/>
    <mergeCell ref="Q5:Q35"/>
    <mergeCell ref="N5:N35"/>
    <mergeCell ref="U3:W3"/>
    <mergeCell ref="W5:W35"/>
    <mergeCell ref="T5:T35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T102"/>
  <sheetViews>
    <sheetView zoomScaleNormal="100" workbookViewId="0">
      <pane xSplit="5" ySplit="6" topLeftCell="F13" activePane="bottomRight" state="frozen"/>
      <selection pane="bottomRight" activeCell="G8" sqref="G8"/>
      <selection pane="bottomLeft" activeCell="A7" sqref="A7"/>
      <selection pane="topRight" activeCell="F1" sqref="F1"/>
    </sheetView>
  </sheetViews>
  <sheetFormatPr defaultColWidth="8.85546875" defaultRowHeight="14.25"/>
  <cols>
    <col min="1" max="1" width="8.85546875" style="75"/>
    <col min="2" max="2" width="13.140625" style="75" customWidth="1"/>
    <col min="3" max="3" width="8.85546875" style="98"/>
    <col min="4" max="4" width="17" style="98" customWidth="1"/>
    <col min="5" max="5" width="8.5703125" style="78" customWidth="1"/>
    <col min="6" max="8" width="17.42578125" style="97" customWidth="1"/>
    <col min="9" max="9" width="10.5703125" style="93" customWidth="1"/>
    <col min="10" max="10" width="10.5703125" style="86" customWidth="1"/>
    <col min="11" max="11" width="10.5703125" style="93" customWidth="1"/>
    <col min="12" max="14" width="10.5703125" style="86" customWidth="1"/>
    <col min="15" max="15" width="10.5703125" style="93" customWidth="1"/>
    <col min="16" max="16" width="10.5703125" style="86" customWidth="1"/>
    <col min="17" max="17" width="10.5703125" style="93" customWidth="1"/>
    <col min="18" max="18" width="10.5703125" style="86" customWidth="1"/>
    <col min="19" max="19" width="10.5703125" style="93" customWidth="1"/>
    <col min="20" max="20" width="10.5703125" style="86" customWidth="1"/>
    <col min="21" max="21" width="10.5703125" style="93" customWidth="1"/>
    <col min="22" max="22" width="10.5703125" style="86" customWidth="1"/>
    <col min="23" max="23" width="10.5703125" style="93" customWidth="1"/>
    <col min="24" max="24" width="10.5703125" style="86" customWidth="1"/>
    <col min="25" max="25" width="10.5703125" style="93" customWidth="1"/>
    <col min="26" max="26" width="10.5703125" style="86" customWidth="1"/>
    <col min="27" max="27" width="10.5703125" style="93" customWidth="1"/>
    <col min="28" max="28" width="10.5703125" style="86" customWidth="1"/>
    <col min="29" max="29" width="10.5703125" style="93" customWidth="1"/>
    <col min="30" max="30" width="10.5703125" style="86" customWidth="1"/>
    <col min="31" max="31" width="10.5703125" style="93" customWidth="1"/>
    <col min="32" max="32" width="10.5703125" style="86" customWidth="1"/>
    <col min="33" max="33" width="10.42578125" style="93" customWidth="1"/>
    <col min="34" max="34" width="10.42578125" style="86" customWidth="1"/>
    <col min="35" max="35" width="10.42578125" style="93" customWidth="1"/>
    <col min="36" max="36" width="10.42578125" style="86" customWidth="1"/>
    <col min="37" max="37" width="10.42578125" style="93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364" t="s">
        <v>179</v>
      </c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4"/>
      <c r="W2" s="364"/>
      <c r="X2" s="364"/>
      <c r="Y2" s="364"/>
      <c r="Z2" s="364"/>
      <c r="AA2" s="364"/>
      <c r="AB2" s="364"/>
      <c r="AC2" s="364"/>
      <c r="AD2" s="364"/>
      <c r="AE2" s="364"/>
      <c r="AF2" s="364"/>
      <c r="AG2" s="364"/>
      <c r="AH2" s="364"/>
      <c r="AI2" s="364"/>
      <c r="AJ2" s="364"/>
      <c r="AK2" s="364"/>
      <c r="AL2" s="364"/>
    </row>
    <row r="3" spans="1:38" ht="25.35" customHeight="1">
      <c r="B3" s="79"/>
      <c r="C3" s="381" t="s">
        <v>180</v>
      </c>
      <c r="D3" s="382" t="s">
        <v>150</v>
      </c>
      <c r="E3" s="382"/>
      <c r="F3" s="383" t="s">
        <v>181</v>
      </c>
      <c r="G3" s="383"/>
      <c r="H3" s="383"/>
      <c r="I3" s="384" t="s">
        <v>182</v>
      </c>
      <c r="J3" s="384"/>
      <c r="K3" s="384"/>
      <c r="L3" s="384"/>
      <c r="M3" s="384"/>
      <c r="N3" s="384"/>
      <c r="O3" s="384"/>
      <c r="P3" s="384"/>
      <c r="Q3" s="384"/>
      <c r="R3" s="384"/>
      <c r="S3" s="384"/>
      <c r="T3" s="384"/>
      <c r="U3" s="384"/>
      <c r="V3" s="384"/>
      <c r="W3" s="384"/>
      <c r="X3" s="384"/>
      <c r="Y3" s="384"/>
      <c r="Z3" s="384"/>
      <c r="AA3" s="384"/>
      <c r="AB3" s="384"/>
      <c r="AC3" s="384"/>
      <c r="AD3" s="384"/>
      <c r="AE3" s="384"/>
      <c r="AF3" s="384"/>
      <c r="AG3" s="384"/>
      <c r="AH3" s="384"/>
      <c r="AI3" s="384"/>
      <c r="AJ3" s="384"/>
      <c r="AK3" s="384"/>
      <c r="AL3" s="384"/>
    </row>
    <row r="4" spans="1:38" ht="25.35" customHeight="1">
      <c r="B4" s="79"/>
      <c r="C4" s="381"/>
      <c r="D4" s="382"/>
      <c r="E4" s="382"/>
      <c r="F4" s="383"/>
      <c r="G4" s="383"/>
      <c r="H4" s="383"/>
      <c r="I4" s="380" t="s">
        <v>183</v>
      </c>
      <c r="J4" s="380"/>
      <c r="K4" s="380"/>
      <c r="L4" s="380"/>
      <c r="M4" s="380"/>
      <c r="N4" s="380"/>
      <c r="O4" s="380" t="s">
        <v>184</v>
      </c>
      <c r="P4" s="380"/>
      <c r="Q4" s="380"/>
      <c r="R4" s="380"/>
      <c r="S4" s="380"/>
      <c r="T4" s="380"/>
      <c r="U4" s="380" t="s">
        <v>185</v>
      </c>
      <c r="V4" s="380"/>
      <c r="W4" s="380" t="s">
        <v>186</v>
      </c>
      <c r="X4" s="380"/>
      <c r="Y4" s="380" t="s">
        <v>187</v>
      </c>
      <c r="Z4" s="380"/>
      <c r="AA4" s="380"/>
      <c r="AB4" s="380"/>
      <c r="AC4" s="380"/>
      <c r="AD4" s="380"/>
      <c r="AE4" s="380" t="s">
        <v>188</v>
      </c>
      <c r="AF4" s="380"/>
      <c r="AG4" s="380" t="s">
        <v>189</v>
      </c>
      <c r="AH4" s="380"/>
      <c r="AI4" s="380" t="s">
        <v>190</v>
      </c>
      <c r="AJ4" s="380"/>
      <c r="AK4" s="380" t="s">
        <v>191</v>
      </c>
      <c r="AL4" s="380"/>
    </row>
    <row r="5" spans="1:38" ht="25.35" customHeight="1">
      <c r="B5" s="79"/>
      <c r="C5" s="381"/>
      <c r="D5" s="382"/>
      <c r="E5" s="382"/>
      <c r="F5" s="386" t="s">
        <v>157</v>
      </c>
      <c r="G5" s="386" t="s">
        <v>158</v>
      </c>
      <c r="H5" s="386" t="s">
        <v>159</v>
      </c>
      <c r="I5" s="380" t="s">
        <v>192</v>
      </c>
      <c r="J5" s="380"/>
      <c r="K5" s="380" t="s">
        <v>193</v>
      </c>
      <c r="L5" s="380"/>
      <c r="M5" s="385" t="s">
        <v>194</v>
      </c>
      <c r="N5" s="380"/>
      <c r="O5" s="380" t="s">
        <v>192</v>
      </c>
      <c r="P5" s="380"/>
      <c r="Q5" s="380" t="s">
        <v>193</v>
      </c>
      <c r="R5" s="380"/>
      <c r="S5" s="385" t="s">
        <v>194</v>
      </c>
      <c r="T5" s="380"/>
      <c r="U5" s="380" t="s">
        <v>192</v>
      </c>
      <c r="V5" s="380"/>
      <c r="W5" s="380" t="s">
        <v>192</v>
      </c>
      <c r="X5" s="380"/>
      <c r="Y5" s="380" t="s">
        <v>192</v>
      </c>
      <c r="Z5" s="380"/>
      <c r="AA5" s="380" t="s">
        <v>193</v>
      </c>
      <c r="AB5" s="380"/>
      <c r="AC5" s="385" t="s">
        <v>194</v>
      </c>
      <c r="AD5" s="380"/>
      <c r="AE5" s="380" t="s">
        <v>192</v>
      </c>
      <c r="AF5" s="380"/>
      <c r="AG5" s="380" t="s">
        <v>192</v>
      </c>
      <c r="AH5" s="380"/>
      <c r="AI5" s="380" t="s">
        <v>192</v>
      </c>
      <c r="AJ5" s="380"/>
      <c r="AK5" s="380" t="s">
        <v>192</v>
      </c>
      <c r="AL5" s="380"/>
    </row>
    <row r="6" spans="1:38" s="78" customFormat="1" ht="23.45" customHeight="1">
      <c r="B6" s="79"/>
      <c r="C6" s="381"/>
      <c r="D6" s="382"/>
      <c r="E6" s="382"/>
      <c r="F6" s="386"/>
      <c r="G6" s="386"/>
      <c r="H6" s="386"/>
      <c r="I6" s="94" t="s">
        <v>195</v>
      </c>
      <c r="J6" s="95" t="s">
        <v>196</v>
      </c>
      <c r="K6" s="94" t="s">
        <v>195</v>
      </c>
      <c r="L6" s="95" t="s">
        <v>196</v>
      </c>
      <c r="M6" s="94" t="s">
        <v>195</v>
      </c>
      <c r="N6" s="95" t="s">
        <v>196</v>
      </c>
      <c r="O6" s="94" t="s">
        <v>195</v>
      </c>
      <c r="P6" s="95" t="s">
        <v>196</v>
      </c>
      <c r="Q6" s="94" t="s">
        <v>195</v>
      </c>
      <c r="R6" s="95" t="s">
        <v>196</v>
      </c>
      <c r="S6" s="94" t="s">
        <v>195</v>
      </c>
      <c r="T6" s="95" t="s">
        <v>196</v>
      </c>
      <c r="U6" s="94" t="s">
        <v>195</v>
      </c>
      <c r="V6" s="95" t="s">
        <v>196</v>
      </c>
      <c r="W6" s="94" t="s">
        <v>195</v>
      </c>
      <c r="X6" s="95" t="s">
        <v>196</v>
      </c>
      <c r="Y6" s="94" t="s">
        <v>195</v>
      </c>
      <c r="Z6" s="95" t="s">
        <v>196</v>
      </c>
      <c r="AA6" s="94" t="s">
        <v>195</v>
      </c>
      <c r="AB6" s="95" t="s">
        <v>196</v>
      </c>
      <c r="AC6" s="94" t="s">
        <v>195</v>
      </c>
      <c r="AD6" s="95" t="s">
        <v>196</v>
      </c>
      <c r="AE6" s="94" t="s">
        <v>195</v>
      </c>
      <c r="AF6" s="95" t="s">
        <v>196</v>
      </c>
      <c r="AG6" s="94" t="s">
        <v>195</v>
      </c>
      <c r="AH6" s="95" t="s">
        <v>196</v>
      </c>
      <c r="AI6" s="94" t="s">
        <v>195</v>
      </c>
      <c r="AJ6" s="95" t="s">
        <v>196</v>
      </c>
      <c r="AK6" s="94" t="s">
        <v>195</v>
      </c>
      <c r="AL6" s="95" t="s">
        <v>196</v>
      </c>
    </row>
    <row r="7" spans="1:38" ht="12">
      <c r="B7" s="79"/>
      <c r="C7" s="372" t="s">
        <v>161</v>
      </c>
      <c r="D7" s="319">
        <v>45901</v>
      </c>
      <c r="E7" s="319" t="s">
        <v>162</v>
      </c>
      <c r="F7" s="227">
        <f>SUM(M7,S7,U7,W7,AC7,AE7,AG7,AI7,AK7)</f>
        <v>7106224.9999999991</v>
      </c>
      <c r="G7" s="317">
        <f>SUM(F7)</f>
        <v>7106224.9999999991</v>
      </c>
      <c r="H7" s="387">
        <f>SUM(F7:F37)</f>
        <v>105939262</v>
      </c>
      <c r="I7" s="233">
        <v>564796.27004784881</v>
      </c>
      <c r="J7" s="96">
        <f t="shared" ref="J7:J14" si="0">I7/F7</f>
        <v>7.9479086300792465E-2</v>
      </c>
      <c r="K7" s="233">
        <v>844516.5411630926</v>
      </c>
      <c r="L7" s="96">
        <f t="shared" ref="L7:L14" si="1">K7/F7</f>
        <v>0.11884179591317369</v>
      </c>
      <c r="M7" s="226">
        <f t="shared" ref="M7:M9" si="2">SUM(I7+K7)</f>
        <v>1409312.8112109415</v>
      </c>
      <c r="N7" s="96">
        <f t="shared" ref="N7:N14" si="3">M7/F7</f>
        <v>0.19832088221396615</v>
      </c>
      <c r="O7" s="233">
        <v>178305.27193870369</v>
      </c>
      <c r="P7" s="96">
        <f t="shared" ref="P7:P14" si="4">O7/F7</f>
        <v>2.5091419415892928E-2</v>
      </c>
      <c r="Q7" s="233">
        <v>117312.59658624978</v>
      </c>
      <c r="R7" s="96">
        <f t="shared" ref="R7:R14" si="5">Q7/$F7</f>
        <v>1.6508426989892636E-2</v>
      </c>
      <c r="S7" s="226">
        <f t="shared" ref="S7:S14" si="6">SUM(O7+Q7)</f>
        <v>295617.86852495349</v>
      </c>
      <c r="T7" s="96">
        <f t="shared" ref="T7:T14" si="7">S7/F7</f>
        <v>4.1599846405785568E-2</v>
      </c>
      <c r="U7" s="233">
        <v>664869.30287734128</v>
      </c>
      <c r="V7" s="96">
        <f t="shared" ref="V7:V14" si="8">U7/F7</f>
        <v>9.3561532723399746E-2</v>
      </c>
      <c r="W7" s="233">
        <v>11130.398369067578</v>
      </c>
      <c r="X7" s="96">
        <f t="shared" ref="X7:X14" si="9">W7/F7</f>
        <v>1.5662884821501682E-3</v>
      </c>
      <c r="Y7" s="233">
        <v>724213.71104631107</v>
      </c>
      <c r="Z7" s="96">
        <f t="shared" ref="Z7:Z14" si="10">Y7/F7</f>
        <v>0.10191257820380176</v>
      </c>
      <c r="AA7" s="233">
        <v>1252569.5001830829</v>
      </c>
      <c r="AB7" s="96">
        <f t="shared" ref="AB7:AB14" si="11">AA7/$F7</f>
        <v>0.17626369840289086</v>
      </c>
      <c r="AC7" s="226">
        <f t="shared" ref="AC7:AC9" si="12">SUM(Y7+AA7)</f>
        <v>1976783.211229394</v>
      </c>
      <c r="AD7" s="96">
        <f t="shared" ref="AD7:AD14" si="13">AC7/F7</f>
        <v>0.27817627660669264</v>
      </c>
      <c r="AE7" s="233">
        <v>761029.93730087741</v>
      </c>
      <c r="AF7" s="96">
        <f t="shared" ref="AF7:AF14" si="14">AE7/F7</f>
        <v>0.10709341982569895</v>
      </c>
      <c r="AG7" s="233">
        <v>885640.41441111383</v>
      </c>
      <c r="AH7" s="96">
        <f t="shared" ref="AH7:AH14" si="15">AG7/F7</f>
        <v>0.12462881690505352</v>
      </c>
      <c r="AI7" s="233">
        <v>609386.05881614168</v>
      </c>
      <c r="AJ7" s="96">
        <f t="shared" ref="AJ7:AJ14" si="16">AI7/F7</f>
        <v>8.5753836786217966E-2</v>
      </c>
      <c r="AK7" s="233">
        <v>492454.99726016948</v>
      </c>
      <c r="AL7" s="96">
        <f t="shared" ref="AL7:AL14" si="17">AK7/F7</f>
        <v>6.929910005103547E-2</v>
      </c>
    </row>
    <row r="8" spans="1:38" ht="12">
      <c r="B8" s="79"/>
      <c r="C8" s="372"/>
      <c r="D8" s="82">
        <v>45902</v>
      </c>
      <c r="E8" s="82" t="s">
        <v>163</v>
      </c>
      <c r="F8" s="227">
        <f t="shared" ref="F8:F45" si="18">SUM(M8,S8,U8,W8,AC8,AE8,AG8,AI8,AK8)</f>
        <v>7727458</v>
      </c>
      <c r="G8" s="317">
        <f>SUM(F8:F14)</f>
        <v>48362935</v>
      </c>
      <c r="H8" s="387"/>
      <c r="I8" s="233">
        <v>895945.02185481729</v>
      </c>
      <c r="J8" s="96">
        <f t="shared" si="0"/>
        <v>0.11594304645263906</v>
      </c>
      <c r="K8" s="233">
        <v>864483.49468027567</v>
      </c>
      <c r="L8" s="96">
        <f t="shared" si="1"/>
        <v>0.11187165231830126</v>
      </c>
      <c r="M8" s="226">
        <f t="shared" si="2"/>
        <v>1760428.5165350931</v>
      </c>
      <c r="N8" s="96">
        <f t="shared" si="3"/>
        <v>0.22781469877094035</v>
      </c>
      <c r="O8" s="233">
        <v>173390.15809776782</v>
      </c>
      <c r="P8" s="96">
        <f t="shared" si="4"/>
        <v>2.2438188353500959E-2</v>
      </c>
      <c r="Q8" s="233">
        <v>117719.68171027655</v>
      </c>
      <c r="R8" s="96">
        <f t="shared" si="5"/>
        <v>1.5233946494471604E-2</v>
      </c>
      <c r="S8" s="226">
        <f t="shared" si="6"/>
        <v>291109.83980804437</v>
      </c>
      <c r="T8" s="96">
        <f t="shared" si="7"/>
        <v>3.7672134847972563E-2</v>
      </c>
      <c r="U8" s="233">
        <v>654432.76618672616</v>
      </c>
      <c r="V8" s="96">
        <f t="shared" si="8"/>
        <v>8.4689268603818507E-2</v>
      </c>
      <c r="W8" s="233">
        <v>12158.13690565877</v>
      </c>
      <c r="X8" s="96">
        <f t="shared" si="9"/>
        <v>1.5733682286799579E-3</v>
      </c>
      <c r="Y8" s="233">
        <v>698241.8750627588</v>
      </c>
      <c r="Z8" s="96">
        <f t="shared" si="10"/>
        <v>9.0358546764376949E-2</v>
      </c>
      <c r="AA8" s="233">
        <v>1229944.197478238</v>
      </c>
      <c r="AB8" s="96">
        <f t="shared" si="11"/>
        <v>0.1591654328600994</v>
      </c>
      <c r="AC8" s="226">
        <f t="shared" si="12"/>
        <v>1928186.0725409968</v>
      </c>
      <c r="AD8" s="96">
        <f t="shared" si="13"/>
        <v>0.24952397962447637</v>
      </c>
      <c r="AE8" s="233">
        <v>774796.36252046062</v>
      </c>
      <c r="AF8" s="96">
        <f t="shared" si="14"/>
        <v>0.10026536055200308</v>
      </c>
      <c r="AG8" s="233">
        <v>1240057.6748251717</v>
      </c>
      <c r="AH8" s="96">
        <f t="shared" si="15"/>
        <v>0.16047420443115598</v>
      </c>
      <c r="AI8" s="233">
        <v>592076.66564673779</v>
      </c>
      <c r="AJ8" s="96">
        <f t="shared" si="16"/>
        <v>7.6619849068961327E-2</v>
      </c>
      <c r="AK8" s="233">
        <v>474211.96503111022</v>
      </c>
      <c r="AL8" s="96">
        <f t="shared" si="17"/>
        <v>6.1367135871991829E-2</v>
      </c>
    </row>
    <row r="9" spans="1:38" ht="12">
      <c r="B9" s="79"/>
      <c r="C9" s="372"/>
      <c r="D9" s="82">
        <v>45903</v>
      </c>
      <c r="E9" s="82" t="s">
        <v>164</v>
      </c>
      <c r="F9" s="227">
        <f t="shared" si="18"/>
        <v>7254649</v>
      </c>
      <c r="G9" s="317"/>
      <c r="H9" s="387"/>
      <c r="I9" s="233">
        <v>853934.48144132481</v>
      </c>
      <c r="J9" s="96">
        <f t="shared" si="0"/>
        <v>0.11770858678915062</v>
      </c>
      <c r="K9" s="233">
        <v>849068.34424354509</v>
      </c>
      <c r="L9" s="96">
        <f t="shared" si="1"/>
        <v>0.11703782557137431</v>
      </c>
      <c r="M9" s="226">
        <f t="shared" si="2"/>
        <v>1703002.8256848699</v>
      </c>
      <c r="N9" s="96">
        <f t="shared" si="3"/>
        <v>0.23474641236052493</v>
      </c>
      <c r="O9" s="233">
        <v>161410.07296267204</v>
      </c>
      <c r="P9" s="96">
        <f t="shared" si="4"/>
        <v>2.2249191237601162E-2</v>
      </c>
      <c r="Q9" s="233">
        <v>115119.30525695346</v>
      </c>
      <c r="R9" s="96">
        <f t="shared" si="5"/>
        <v>1.586834942075812E-2</v>
      </c>
      <c r="S9" s="226">
        <f t="shared" si="6"/>
        <v>276529.37821962551</v>
      </c>
      <c r="T9" s="96">
        <f t="shared" si="7"/>
        <v>3.8117540658359282E-2</v>
      </c>
      <c r="U9" s="233">
        <v>629174.44992639963</v>
      </c>
      <c r="V9" s="96">
        <f t="shared" si="8"/>
        <v>8.6727069762630782E-2</v>
      </c>
      <c r="W9" s="233">
        <v>11437.042135412441</v>
      </c>
      <c r="X9" s="96">
        <f t="shared" si="9"/>
        <v>1.5765121283486548E-3</v>
      </c>
      <c r="Y9" s="233">
        <v>665754.8201271788</v>
      </c>
      <c r="Z9" s="96">
        <f t="shared" si="10"/>
        <v>9.1769404712368413E-2</v>
      </c>
      <c r="AA9" s="233">
        <v>1124097.9310420207</v>
      </c>
      <c r="AB9" s="96">
        <f t="shared" si="11"/>
        <v>0.15494863101468048</v>
      </c>
      <c r="AC9" s="226">
        <f t="shared" si="12"/>
        <v>1789852.7511691996</v>
      </c>
      <c r="AD9" s="96">
        <f t="shared" si="13"/>
        <v>0.2467180357270489</v>
      </c>
      <c r="AE9" s="233">
        <v>742015.9358736705</v>
      </c>
      <c r="AF9" s="96">
        <f t="shared" si="14"/>
        <v>0.10228143854701592</v>
      </c>
      <c r="AG9" s="233">
        <v>1057877.4620749927</v>
      </c>
      <c r="AH9" s="96">
        <f t="shared" si="15"/>
        <v>0.14582062648034283</v>
      </c>
      <c r="AI9" s="233">
        <v>574185.35629958881</v>
      </c>
      <c r="AJ9" s="96">
        <f t="shared" si="16"/>
        <v>7.914722770179354E-2</v>
      </c>
      <c r="AK9" s="233">
        <v>470573.79861624161</v>
      </c>
      <c r="AL9" s="96">
        <f t="shared" si="17"/>
        <v>6.4865136633935228E-2</v>
      </c>
    </row>
    <row r="10" spans="1:38" ht="12">
      <c r="B10" s="79"/>
      <c r="C10" s="372"/>
      <c r="D10" s="82">
        <v>45904</v>
      </c>
      <c r="E10" s="82" t="s">
        <v>165</v>
      </c>
      <c r="F10" s="227">
        <f t="shared" si="18"/>
        <v>6602058.9999999991</v>
      </c>
      <c r="G10" s="317"/>
      <c r="H10" s="387"/>
      <c r="I10" s="233">
        <v>766879.8295513296</v>
      </c>
      <c r="J10" s="96">
        <f t="shared" si="0"/>
        <v>0.11615767589343411</v>
      </c>
      <c r="K10" s="233">
        <v>783941.3262372117</v>
      </c>
      <c r="L10" s="96">
        <f t="shared" si="1"/>
        <v>0.11874194493524093</v>
      </c>
      <c r="M10" s="226">
        <f t="shared" ref="M10:M14" si="19">SUM(I10+K10)</f>
        <v>1550821.1557885413</v>
      </c>
      <c r="N10" s="96">
        <f t="shared" si="3"/>
        <v>0.23489962082867505</v>
      </c>
      <c r="O10" s="233">
        <v>152373.3627694915</v>
      </c>
      <c r="P10" s="96">
        <f t="shared" si="4"/>
        <v>2.3079672988304333E-2</v>
      </c>
      <c r="Q10" s="233">
        <v>116613.79335836833</v>
      </c>
      <c r="R10" s="96">
        <f t="shared" si="5"/>
        <v>1.7663246171894003E-2</v>
      </c>
      <c r="S10" s="226">
        <f t="shared" si="6"/>
        <v>268987.15612785984</v>
      </c>
      <c r="T10" s="96">
        <f t="shared" si="7"/>
        <v>4.0742919160198336E-2</v>
      </c>
      <c r="U10" s="233">
        <v>592627.72346288012</v>
      </c>
      <c r="V10" s="96">
        <f t="shared" si="8"/>
        <v>8.976407564108109E-2</v>
      </c>
      <c r="W10" s="233">
        <v>11154.125371774713</v>
      </c>
      <c r="X10" s="96">
        <f t="shared" si="9"/>
        <v>1.6894919254394295E-3</v>
      </c>
      <c r="Y10" s="233">
        <v>623826.76329390204</v>
      </c>
      <c r="Z10" s="96">
        <f t="shared" si="10"/>
        <v>9.4489728627675421E-2</v>
      </c>
      <c r="AA10" s="233">
        <v>912090.60356497345</v>
      </c>
      <c r="AB10" s="96">
        <f t="shared" si="11"/>
        <v>0.138152446617786</v>
      </c>
      <c r="AC10" s="226">
        <f t="shared" ref="AC10:AC14" si="20">SUM(Y10+AA10)</f>
        <v>1535917.3668588754</v>
      </c>
      <c r="AD10" s="96">
        <f t="shared" si="13"/>
        <v>0.23264217524546138</v>
      </c>
      <c r="AE10" s="233">
        <v>686539.58391751151</v>
      </c>
      <c r="AF10" s="96">
        <f t="shared" si="14"/>
        <v>0.10398870775276495</v>
      </c>
      <c r="AG10" s="233">
        <v>974352.73253173218</v>
      </c>
      <c r="AH10" s="96">
        <f t="shared" si="15"/>
        <v>0.14758316042491174</v>
      </c>
      <c r="AI10" s="233">
        <v>542486.8982181251</v>
      </c>
      <c r="AJ10" s="96">
        <f t="shared" si="16"/>
        <v>8.2169350231211982E-2</v>
      </c>
      <c r="AK10" s="233">
        <v>439172.25772269932</v>
      </c>
      <c r="AL10" s="96">
        <f t="shared" si="17"/>
        <v>6.6520498790256094E-2</v>
      </c>
    </row>
    <row r="11" spans="1:38" ht="12">
      <c r="B11" s="79"/>
      <c r="C11" s="372"/>
      <c r="D11" s="82">
        <v>45905</v>
      </c>
      <c r="E11" s="82" t="s">
        <v>166</v>
      </c>
      <c r="F11" s="227">
        <f t="shared" si="18"/>
        <v>5807177.0000000009</v>
      </c>
      <c r="G11" s="317"/>
      <c r="H11" s="387"/>
      <c r="I11" s="233">
        <v>700967.78191338049</v>
      </c>
      <c r="J11" s="96">
        <f t="shared" si="0"/>
        <v>0.12070714943136404</v>
      </c>
      <c r="K11" s="233">
        <v>734957.28866221954</v>
      </c>
      <c r="L11" s="96">
        <f t="shared" si="1"/>
        <v>0.12656016661145672</v>
      </c>
      <c r="M11" s="226">
        <f t="shared" si="19"/>
        <v>1435925.0705756</v>
      </c>
      <c r="N11" s="96">
        <f t="shared" si="3"/>
        <v>0.24726731604282076</v>
      </c>
      <c r="O11" s="233">
        <v>119243.5158736647</v>
      </c>
      <c r="P11" s="96">
        <f t="shared" si="4"/>
        <v>2.0533818045095693E-2</v>
      </c>
      <c r="Q11" s="233">
        <v>97402.176993135727</v>
      </c>
      <c r="R11" s="96">
        <f t="shared" si="5"/>
        <v>1.6772723991904451E-2</v>
      </c>
      <c r="S11" s="226">
        <f t="shared" si="6"/>
        <v>216645.69286680041</v>
      </c>
      <c r="T11" s="96">
        <f t="shared" si="7"/>
        <v>3.7306542037000144E-2</v>
      </c>
      <c r="U11" s="233">
        <v>509402.49105089885</v>
      </c>
      <c r="V11" s="96">
        <f t="shared" si="8"/>
        <v>8.7719470415814557E-2</v>
      </c>
      <c r="W11" s="233">
        <v>9800.5843294107362</v>
      </c>
      <c r="X11" s="96">
        <f t="shared" si="9"/>
        <v>1.6876675757275411E-3</v>
      </c>
      <c r="Y11" s="233">
        <v>552530.00086749927</v>
      </c>
      <c r="Z11" s="96">
        <f t="shared" si="10"/>
        <v>9.5146058208230813E-2</v>
      </c>
      <c r="AA11" s="233">
        <v>872926.26236349822</v>
      </c>
      <c r="AB11" s="96">
        <f t="shared" si="11"/>
        <v>0.15031852178149521</v>
      </c>
      <c r="AC11" s="226">
        <f t="shared" si="20"/>
        <v>1425456.2632309976</v>
      </c>
      <c r="AD11" s="96">
        <f t="shared" si="13"/>
        <v>0.24546457998972607</v>
      </c>
      <c r="AE11" s="233">
        <v>565244.89907216455</v>
      </c>
      <c r="AF11" s="96">
        <f t="shared" si="14"/>
        <v>9.7335572701187589E-2</v>
      </c>
      <c r="AG11" s="233">
        <v>792265.17271445296</v>
      </c>
      <c r="AH11" s="96">
        <f t="shared" si="15"/>
        <v>0.13642862490922059</v>
      </c>
      <c r="AI11" s="233">
        <v>534404.30954584363</v>
      </c>
      <c r="AJ11" s="96">
        <f t="shared" si="16"/>
        <v>9.2024801301190506E-2</v>
      </c>
      <c r="AK11" s="233">
        <v>318032.5166138318</v>
      </c>
      <c r="AL11" s="96">
        <f t="shared" si="17"/>
        <v>5.4765425027312194E-2</v>
      </c>
    </row>
    <row r="12" spans="1:38" ht="12">
      <c r="B12" s="79"/>
      <c r="C12" s="372"/>
      <c r="D12" s="82">
        <v>45906</v>
      </c>
      <c r="E12" s="82" t="s">
        <v>167</v>
      </c>
      <c r="F12" s="227">
        <f t="shared" si="18"/>
        <v>6167669.0000000009</v>
      </c>
      <c r="G12" s="317"/>
      <c r="H12" s="387"/>
      <c r="I12" s="233">
        <v>686612.50312752288</v>
      </c>
      <c r="J12" s="96">
        <f t="shared" si="0"/>
        <v>0.11132447333466222</v>
      </c>
      <c r="K12" s="233">
        <v>794389.29108657711</v>
      </c>
      <c r="L12" s="96">
        <f t="shared" si="1"/>
        <v>0.1287989499901141</v>
      </c>
      <c r="M12" s="226">
        <f t="shared" si="19"/>
        <v>1481001.7942141001</v>
      </c>
      <c r="N12" s="96">
        <f t="shared" si="3"/>
        <v>0.24012342332477632</v>
      </c>
      <c r="O12" s="233">
        <v>117355.57416161375</v>
      </c>
      <c r="P12" s="96">
        <f t="shared" si="4"/>
        <v>1.9027540901046042E-2</v>
      </c>
      <c r="Q12" s="233">
        <v>97295.734102843882</v>
      </c>
      <c r="R12" s="96">
        <f t="shared" si="5"/>
        <v>1.5775122514331406E-2</v>
      </c>
      <c r="S12" s="226">
        <f t="shared" si="6"/>
        <v>214651.30826445762</v>
      </c>
      <c r="T12" s="96">
        <f t="shared" si="7"/>
        <v>3.4802663415377445E-2</v>
      </c>
      <c r="U12" s="233">
        <v>510856.35382599407</v>
      </c>
      <c r="V12" s="96">
        <f t="shared" si="8"/>
        <v>8.2828107965261105E-2</v>
      </c>
      <c r="W12" s="233">
        <v>10781.210577613198</v>
      </c>
      <c r="X12" s="96">
        <f t="shared" si="9"/>
        <v>1.7480202938278944E-3</v>
      </c>
      <c r="Y12" s="233">
        <v>593184.79404934752</v>
      </c>
      <c r="Z12" s="96">
        <f t="shared" si="10"/>
        <v>9.6176496185081825E-2</v>
      </c>
      <c r="AA12" s="233">
        <v>1000410.8272963532</v>
      </c>
      <c r="AB12" s="96">
        <f t="shared" si="11"/>
        <v>0.16220241833606067</v>
      </c>
      <c r="AC12" s="226">
        <f t="shared" si="20"/>
        <v>1593595.6213457007</v>
      </c>
      <c r="AD12" s="96">
        <f t="shared" si="13"/>
        <v>0.25837891452114248</v>
      </c>
      <c r="AE12" s="233">
        <v>611938.26799833286</v>
      </c>
      <c r="AF12" s="96">
        <f t="shared" si="14"/>
        <v>9.9217105846363146E-2</v>
      </c>
      <c r="AG12" s="233">
        <v>879693.66110324161</v>
      </c>
      <c r="AH12" s="96">
        <f t="shared" si="15"/>
        <v>0.14262984299307266</v>
      </c>
      <c r="AI12" s="233">
        <v>526676.21307572233</v>
      </c>
      <c r="AJ12" s="96">
        <f t="shared" si="16"/>
        <v>8.5393073635391628E-2</v>
      </c>
      <c r="AK12" s="233">
        <v>338474.56959483767</v>
      </c>
      <c r="AL12" s="96">
        <f t="shared" si="17"/>
        <v>5.4878848004787158E-2</v>
      </c>
    </row>
    <row r="13" spans="1:38" ht="12">
      <c r="B13" s="79"/>
      <c r="C13" s="372"/>
      <c r="D13" s="82">
        <v>45907</v>
      </c>
      <c r="E13" s="82" t="s">
        <v>168</v>
      </c>
      <c r="F13" s="227">
        <f t="shared" si="18"/>
        <v>7394780.0000000009</v>
      </c>
      <c r="G13" s="317"/>
      <c r="H13" s="387"/>
      <c r="I13" s="233">
        <v>869357.48802530079</v>
      </c>
      <c r="J13" s="96">
        <f t="shared" si="0"/>
        <v>0.11756367167451914</v>
      </c>
      <c r="K13" s="233">
        <v>860695.51284405577</v>
      </c>
      <c r="L13" s="96">
        <f t="shared" si="1"/>
        <v>0.11639230820173901</v>
      </c>
      <c r="M13" s="226">
        <f t="shared" si="19"/>
        <v>1730053.0008693566</v>
      </c>
      <c r="N13" s="96">
        <f t="shared" si="3"/>
        <v>0.23395597987625816</v>
      </c>
      <c r="O13" s="233">
        <v>167431.93186351052</v>
      </c>
      <c r="P13" s="96">
        <f t="shared" si="4"/>
        <v>2.2641908462930675E-2</v>
      </c>
      <c r="Q13" s="233">
        <v>114451.34715081632</v>
      </c>
      <c r="R13" s="96">
        <f t="shared" si="5"/>
        <v>1.5477316046023858E-2</v>
      </c>
      <c r="S13" s="226">
        <f t="shared" si="6"/>
        <v>281883.27901432686</v>
      </c>
      <c r="T13" s="96">
        <f t="shared" si="7"/>
        <v>3.8119224508954538E-2</v>
      </c>
      <c r="U13" s="233">
        <v>662934.91588169825</v>
      </c>
      <c r="V13" s="96">
        <f t="shared" si="8"/>
        <v>8.9649038359721073E-2</v>
      </c>
      <c r="W13" s="233">
        <v>14838.642813986213</v>
      </c>
      <c r="X13" s="96">
        <f t="shared" si="9"/>
        <v>2.0066374948255676E-3</v>
      </c>
      <c r="Y13" s="233">
        <v>707930.81974924006</v>
      </c>
      <c r="Z13" s="96">
        <f t="shared" si="10"/>
        <v>9.5733858174176914E-2</v>
      </c>
      <c r="AA13" s="233">
        <v>1130952.3641188948</v>
      </c>
      <c r="AB13" s="96">
        <f t="shared" si="11"/>
        <v>0.15293928475477223</v>
      </c>
      <c r="AC13" s="226">
        <f t="shared" si="20"/>
        <v>1838883.1838681349</v>
      </c>
      <c r="AD13" s="96">
        <f t="shared" si="13"/>
        <v>0.24867314292894915</v>
      </c>
      <c r="AE13" s="233">
        <v>778191.0641184689</v>
      </c>
      <c r="AF13" s="96">
        <f t="shared" si="14"/>
        <v>0.10523518808111516</v>
      </c>
      <c r="AG13" s="233">
        <v>1065808.7960687354</v>
      </c>
      <c r="AH13" s="96">
        <f t="shared" si="15"/>
        <v>0.14412988568540719</v>
      </c>
      <c r="AI13" s="233">
        <v>611514.13093732484</v>
      </c>
      <c r="AJ13" s="96">
        <f t="shared" si="16"/>
        <v>8.2695378488247762E-2</v>
      </c>
      <c r="AK13" s="233">
        <v>410672.98642796936</v>
      </c>
      <c r="AL13" s="96">
        <f t="shared" si="17"/>
        <v>5.5535524576521451E-2</v>
      </c>
    </row>
    <row r="14" spans="1:38" ht="12">
      <c r="B14" s="79"/>
      <c r="C14" s="372"/>
      <c r="D14" s="82">
        <v>45908</v>
      </c>
      <c r="E14" s="82" t="s">
        <v>162</v>
      </c>
      <c r="F14" s="227">
        <f t="shared" si="18"/>
        <v>7409143</v>
      </c>
      <c r="G14" s="317"/>
      <c r="H14" s="387"/>
      <c r="I14" s="233">
        <v>814238.04462370218</v>
      </c>
      <c r="J14" s="96">
        <f t="shared" si="0"/>
        <v>0.10989638675130203</v>
      </c>
      <c r="K14" s="233">
        <v>872064.47307271545</v>
      </c>
      <c r="L14" s="96">
        <f t="shared" si="1"/>
        <v>0.117701125902512</v>
      </c>
      <c r="M14" s="226">
        <f t="shared" si="19"/>
        <v>1686302.5176964176</v>
      </c>
      <c r="N14" s="96">
        <f t="shared" si="3"/>
        <v>0.22759751265381403</v>
      </c>
      <c r="O14" s="233">
        <v>153939.37669214242</v>
      </c>
      <c r="P14" s="96">
        <f t="shared" si="4"/>
        <v>2.077694771070587E-2</v>
      </c>
      <c r="Q14" s="233">
        <v>112956.70990239808</v>
      </c>
      <c r="R14" s="96">
        <f t="shared" si="5"/>
        <v>1.524558372033015E-2</v>
      </c>
      <c r="S14" s="226">
        <f t="shared" si="6"/>
        <v>266896.08659454051</v>
      </c>
      <c r="T14" s="96">
        <f t="shared" si="7"/>
        <v>3.6022531431036023E-2</v>
      </c>
      <c r="U14" s="233">
        <v>654977.90804619738</v>
      </c>
      <c r="V14" s="96">
        <f t="shared" si="8"/>
        <v>8.8401304718534565E-2</v>
      </c>
      <c r="W14" s="233">
        <v>13888.573381399774</v>
      </c>
      <c r="X14" s="96">
        <f t="shared" si="9"/>
        <v>1.8745181975027036E-3</v>
      </c>
      <c r="Y14" s="233">
        <v>727257.57424210629</v>
      </c>
      <c r="Z14" s="96">
        <f t="shared" si="10"/>
        <v>9.8156773899775757E-2</v>
      </c>
      <c r="AA14" s="233">
        <v>1200713.725101338</v>
      </c>
      <c r="AB14" s="96">
        <f t="shared" si="11"/>
        <v>0.16205838179953308</v>
      </c>
      <c r="AC14" s="226">
        <f t="shared" si="20"/>
        <v>1927971.2993434444</v>
      </c>
      <c r="AD14" s="96">
        <f t="shared" si="13"/>
        <v>0.26021515569930886</v>
      </c>
      <c r="AE14" s="233">
        <v>815554.0721211934</v>
      </c>
      <c r="AF14" s="96">
        <f t="shared" si="14"/>
        <v>0.11007400884571851</v>
      </c>
      <c r="AG14" s="233">
        <v>1043881.1024898164</v>
      </c>
      <c r="AH14" s="96">
        <f t="shared" si="15"/>
        <v>0.14089093738504122</v>
      </c>
      <c r="AI14" s="233">
        <v>588183.1618937524</v>
      </c>
      <c r="AJ14" s="96">
        <f t="shared" si="16"/>
        <v>7.9386126289336348E-2</v>
      </c>
      <c r="AK14" s="233">
        <v>411488.2784332381</v>
      </c>
      <c r="AL14" s="96">
        <f t="shared" si="17"/>
        <v>5.5537904779707735E-2</v>
      </c>
    </row>
    <row r="15" spans="1:38" ht="12">
      <c r="B15" s="79"/>
      <c r="C15" s="372"/>
      <c r="D15" s="319">
        <v>45909</v>
      </c>
      <c r="E15" s="319" t="s">
        <v>163</v>
      </c>
      <c r="F15" s="227">
        <f t="shared" si="18"/>
        <v>7807316</v>
      </c>
      <c r="G15" s="317">
        <f>SUM(F15:F21)</f>
        <v>50470102</v>
      </c>
      <c r="H15" s="387"/>
      <c r="I15" s="233">
        <v>935505.98117920221</v>
      </c>
      <c r="J15" s="96">
        <f t="shared" ref="J15:J40" si="21">I15/F15</f>
        <v>0.11982427522841425</v>
      </c>
      <c r="K15" s="233">
        <v>859055.75034170342</v>
      </c>
      <c r="L15" s="96">
        <f t="shared" ref="L15:L40" si="22">K15/F15</f>
        <v>0.11003214809567122</v>
      </c>
      <c r="M15" s="226">
        <f t="shared" ref="M15:M40" si="23">SUM(I15+K15)</f>
        <v>1794561.7315209056</v>
      </c>
      <c r="N15" s="96">
        <f t="shared" ref="N15:N40" si="24">M15/F15</f>
        <v>0.22985642332408546</v>
      </c>
      <c r="O15" s="233">
        <v>145071.4195694692</v>
      </c>
      <c r="P15" s="96">
        <f t="shared" ref="P15:P40" si="25">O15/F15</f>
        <v>1.8581471477453867E-2</v>
      </c>
      <c r="Q15" s="233">
        <v>109329.73621002937</v>
      </c>
      <c r="R15" s="96">
        <f t="shared" ref="R15:R45" si="26">Q15/$F15</f>
        <v>1.4003498284177221E-2</v>
      </c>
      <c r="S15" s="226">
        <f t="shared" ref="S15:S45" si="27">SUM(O15+Q15)</f>
        <v>254401.15577949857</v>
      </c>
      <c r="T15" s="96">
        <f t="shared" ref="T15:T40" si="28">S15/F15</f>
        <v>3.258496976163109E-2</v>
      </c>
      <c r="U15" s="233">
        <v>640272.04797369102</v>
      </c>
      <c r="V15" s="96">
        <f t="shared" ref="V15:V40" si="29">U15/F15</f>
        <v>8.2009239535544745E-2</v>
      </c>
      <c r="W15" s="233">
        <v>12461.268940562757</v>
      </c>
      <c r="X15" s="96">
        <f t="shared" ref="X15:X40" si="30">W15/F15</f>
        <v>1.5961015207483285E-3</v>
      </c>
      <c r="Y15" s="233">
        <v>723855.47018692677</v>
      </c>
      <c r="Z15" s="96">
        <f t="shared" ref="Z15:Z40" si="31">Y15/F15</f>
        <v>9.2715021421821114E-2</v>
      </c>
      <c r="AA15" s="233">
        <v>1170755.2382698802</v>
      </c>
      <c r="AB15" s="96">
        <f t="shared" ref="AB15:AB45" si="32">AA15/$F15</f>
        <v>0.14995617421785928</v>
      </c>
      <c r="AC15" s="226">
        <f t="shared" ref="AC15:AC40" si="33">SUM(Y15+AA15)</f>
        <v>1894610.7084568068</v>
      </c>
      <c r="AD15" s="96">
        <f t="shared" ref="AD15:AD40" si="34">AC15/F15</f>
        <v>0.24267119563968037</v>
      </c>
      <c r="AE15" s="233">
        <v>818962.8763339388</v>
      </c>
      <c r="AF15" s="96">
        <f t="shared" ref="AF15:AF40" si="35">AE15/F15</f>
        <v>0.10489685268713843</v>
      </c>
      <c r="AG15" s="233">
        <v>1405614.5800909617</v>
      </c>
      <c r="AH15" s="96">
        <f t="shared" ref="AH15:AH40" si="36">AG15/F15</f>
        <v>0.180038130913487</v>
      </c>
      <c r="AI15" s="233">
        <v>589547.64933144127</v>
      </c>
      <c r="AJ15" s="96">
        <f t="shared" ref="AJ15:AJ40" si="37">AI15/F15</f>
        <v>7.551220538933498E-2</v>
      </c>
      <c r="AK15" s="233">
        <v>396883.98157219274</v>
      </c>
      <c r="AL15" s="96">
        <f t="shared" ref="AL15:AL40" si="38">AK15/F15</f>
        <v>5.0834881228349504E-2</v>
      </c>
    </row>
    <row r="16" spans="1:38" ht="12">
      <c r="B16" s="79"/>
      <c r="C16" s="372"/>
      <c r="D16" s="319">
        <v>45910</v>
      </c>
      <c r="E16" s="319" t="s">
        <v>164</v>
      </c>
      <c r="F16" s="227">
        <f t="shared" si="18"/>
        <v>7436383.0000000009</v>
      </c>
      <c r="G16" s="317"/>
      <c r="H16" s="387"/>
      <c r="I16" s="233">
        <v>922704.53890393488</v>
      </c>
      <c r="J16" s="96">
        <f t="shared" si="21"/>
        <v>0.12407974937599836</v>
      </c>
      <c r="K16" s="233">
        <v>846234.40090901754</v>
      </c>
      <c r="L16" s="96">
        <f t="shared" si="22"/>
        <v>0.11379650576214505</v>
      </c>
      <c r="M16" s="226">
        <f t="shared" si="23"/>
        <v>1768938.9398129524</v>
      </c>
      <c r="N16" s="96">
        <f t="shared" si="24"/>
        <v>0.23787625513814339</v>
      </c>
      <c r="O16" s="233">
        <v>137693.84931643619</v>
      </c>
      <c r="P16" s="96">
        <f t="shared" si="25"/>
        <v>1.8516239590730624E-2</v>
      </c>
      <c r="Q16" s="233">
        <v>106359.15592934881</v>
      </c>
      <c r="R16" s="96">
        <f t="shared" si="26"/>
        <v>1.4302538738167305E-2</v>
      </c>
      <c r="S16" s="226">
        <f t="shared" si="27"/>
        <v>244053.005245785</v>
      </c>
      <c r="T16" s="96">
        <f t="shared" si="28"/>
        <v>3.281877832889793E-2</v>
      </c>
      <c r="U16" s="233">
        <v>637306.63827161433</v>
      </c>
      <c r="V16" s="96">
        <f t="shared" si="29"/>
        <v>8.5701158516393552E-2</v>
      </c>
      <c r="W16" s="233">
        <v>10391.164944558581</v>
      </c>
      <c r="X16" s="96">
        <f t="shared" si="30"/>
        <v>1.3973412806412176E-3</v>
      </c>
      <c r="Y16" s="233">
        <v>672768.71253671206</v>
      </c>
      <c r="Z16" s="96">
        <f t="shared" si="31"/>
        <v>9.0469884692156388E-2</v>
      </c>
      <c r="AA16" s="233">
        <v>1063595.0134060008</v>
      </c>
      <c r="AB16" s="96">
        <f t="shared" si="32"/>
        <v>0.14302585186992126</v>
      </c>
      <c r="AC16" s="226">
        <f t="shared" si="33"/>
        <v>1736363.7259427127</v>
      </c>
      <c r="AD16" s="96">
        <f t="shared" si="34"/>
        <v>0.23349573656207762</v>
      </c>
      <c r="AE16" s="233">
        <v>803252.37174169777</v>
      </c>
      <c r="AF16" s="96">
        <f t="shared" si="35"/>
        <v>0.10801654134028568</v>
      </c>
      <c r="AG16" s="233">
        <v>1211034.6479229443</v>
      </c>
      <c r="AH16" s="96">
        <f t="shared" si="36"/>
        <v>0.16285264596013199</v>
      </c>
      <c r="AI16" s="233">
        <v>636227.28983227443</v>
      </c>
      <c r="AJ16" s="96">
        <f t="shared" si="37"/>
        <v>8.555601423867952E-2</v>
      </c>
      <c r="AK16" s="233">
        <v>388815.2162854608</v>
      </c>
      <c r="AL16" s="96">
        <f t="shared" si="38"/>
        <v>5.2285528634749008E-2</v>
      </c>
    </row>
    <row r="17" spans="2:38" ht="12">
      <c r="B17" s="79"/>
      <c r="C17" s="372"/>
      <c r="D17" s="319">
        <v>45911</v>
      </c>
      <c r="E17" s="319" t="s">
        <v>165</v>
      </c>
      <c r="F17" s="227">
        <f t="shared" si="18"/>
        <v>6919679.9999999991</v>
      </c>
      <c r="G17" s="317"/>
      <c r="H17" s="387"/>
      <c r="I17" s="233">
        <v>856747.58632717887</v>
      </c>
      <c r="J17" s="96">
        <f t="shared" si="21"/>
        <v>0.12381318013653507</v>
      </c>
      <c r="K17" s="233">
        <v>758956.02964242338</v>
      </c>
      <c r="L17" s="96">
        <f t="shared" si="22"/>
        <v>0.10968079877139167</v>
      </c>
      <c r="M17" s="226">
        <f t="shared" si="23"/>
        <v>1615703.6159696023</v>
      </c>
      <c r="N17" s="96">
        <f t="shared" si="24"/>
        <v>0.23349397890792672</v>
      </c>
      <c r="O17" s="233">
        <v>132525.73884927045</v>
      </c>
      <c r="P17" s="96">
        <f t="shared" si="25"/>
        <v>1.9152003972621633E-2</v>
      </c>
      <c r="Q17" s="233">
        <v>103770.66279340527</v>
      </c>
      <c r="R17" s="96">
        <f t="shared" si="26"/>
        <v>1.4996453996919696E-2</v>
      </c>
      <c r="S17" s="226">
        <f t="shared" si="27"/>
        <v>236296.40164267572</v>
      </c>
      <c r="T17" s="96">
        <f t="shared" si="28"/>
        <v>3.4148457969541329E-2</v>
      </c>
      <c r="U17" s="233">
        <v>594283.82096463442</v>
      </c>
      <c r="V17" s="96">
        <f t="shared" si="29"/>
        <v>8.5883136353795908E-2</v>
      </c>
      <c r="W17" s="233">
        <v>9754.9125826489544</v>
      </c>
      <c r="X17" s="96">
        <f t="shared" si="30"/>
        <v>1.4097346384007578E-3</v>
      </c>
      <c r="Y17" s="233">
        <v>621366.49225581123</v>
      </c>
      <c r="Z17" s="96">
        <f t="shared" si="31"/>
        <v>8.9796998164049679E-2</v>
      </c>
      <c r="AA17" s="233">
        <v>945266.21332664159</v>
      </c>
      <c r="AB17" s="96">
        <f t="shared" si="32"/>
        <v>0.13660548079197907</v>
      </c>
      <c r="AC17" s="226">
        <f t="shared" si="33"/>
        <v>1566632.7055824529</v>
      </c>
      <c r="AD17" s="96">
        <f t="shared" si="34"/>
        <v>0.22640247895602877</v>
      </c>
      <c r="AE17" s="233">
        <v>748334.75472764752</v>
      </c>
      <c r="AF17" s="96">
        <f t="shared" si="35"/>
        <v>0.10814586147446813</v>
      </c>
      <c r="AG17" s="233">
        <v>1159449.892646587</v>
      </c>
      <c r="AH17" s="96">
        <f t="shared" si="36"/>
        <v>0.16755831088237999</v>
      </c>
      <c r="AI17" s="233">
        <v>610362.09286765289</v>
      </c>
      <c r="AJ17" s="96">
        <f t="shared" si="37"/>
        <v>8.8206693498493138E-2</v>
      </c>
      <c r="AK17" s="233">
        <v>378861.80301609845</v>
      </c>
      <c r="AL17" s="96">
        <f t="shared" si="38"/>
        <v>5.4751347318965402E-2</v>
      </c>
    </row>
    <row r="18" spans="2:38" ht="12">
      <c r="B18" s="79"/>
      <c r="C18" s="372"/>
      <c r="D18" s="319">
        <v>45912</v>
      </c>
      <c r="E18" s="319" t="s">
        <v>166</v>
      </c>
      <c r="F18" s="227">
        <f t="shared" si="18"/>
        <v>6171957.9999999991</v>
      </c>
      <c r="G18" s="317"/>
      <c r="H18" s="387"/>
      <c r="I18" s="233">
        <v>693224.02690401161</v>
      </c>
      <c r="J18" s="96">
        <f t="shared" si="21"/>
        <v>0.11231833186551363</v>
      </c>
      <c r="K18" s="233">
        <v>724669.13705989765</v>
      </c>
      <c r="L18" s="96">
        <f t="shared" si="22"/>
        <v>0.11741316727364279</v>
      </c>
      <c r="M18" s="226">
        <f t="shared" si="23"/>
        <v>1417893.1639639093</v>
      </c>
      <c r="N18" s="96">
        <f t="shared" si="24"/>
        <v>0.22973149913915641</v>
      </c>
      <c r="O18" s="233">
        <v>110826.63788528276</v>
      </c>
      <c r="P18" s="96">
        <f t="shared" si="25"/>
        <v>1.7956479594527827E-2</v>
      </c>
      <c r="Q18" s="233">
        <v>94817.969870421206</v>
      </c>
      <c r="R18" s="96">
        <f t="shared" si="26"/>
        <v>1.536270497472945E-2</v>
      </c>
      <c r="S18" s="226">
        <f t="shared" si="27"/>
        <v>205644.60775570397</v>
      </c>
      <c r="T18" s="96">
        <f t="shared" si="28"/>
        <v>3.3319184569257275E-2</v>
      </c>
      <c r="U18" s="233">
        <v>514506.03814576153</v>
      </c>
      <c r="V18" s="96">
        <f t="shared" si="29"/>
        <v>8.3361882589894742E-2</v>
      </c>
      <c r="W18" s="233">
        <v>10097.029168368985</v>
      </c>
      <c r="X18" s="96">
        <f t="shared" si="30"/>
        <v>1.6359523458145675E-3</v>
      </c>
      <c r="Y18" s="233">
        <v>584650.5189800004</v>
      </c>
      <c r="Z18" s="96">
        <f t="shared" si="31"/>
        <v>9.4726911456623736E-2</v>
      </c>
      <c r="AA18" s="233">
        <v>979449.85479441332</v>
      </c>
      <c r="AB18" s="96">
        <f t="shared" si="32"/>
        <v>0.15869353854877391</v>
      </c>
      <c r="AC18" s="226">
        <f t="shared" si="33"/>
        <v>1564100.3737744137</v>
      </c>
      <c r="AD18" s="96">
        <f t="shared" si="34"/>
        <v>0.25342045000539765</v>
      </c>
      <c r="AE18" s="233">
        <v>617366.96125066211</v>
      </c>
      <c r="AF18" s="96">
        <f t="shared" si="35"/>
        <v>0.10002773208285963</v>
      </c>
      <c r="AG18" s="233">
        <v>932111.63948186859</v>
      </c>
      <c r="AH18" s="96">
        <f t="shared" si="36"/>
        <v>0.15102365237771689</v>
      </c>
      <c r="AI18" s="233">
        <v>573858.17713157553</v>
      </c>
      <c r="AJ18" s="96">
        <f t="shared" si="37"/>
        <v>9.297830236880672E-2</v>
      </c>
      <c r="AK18" s="233">
        <v>336380.00932773598</v>
      </c>
      <c r="AL18" s="96">
        <f t="shared" si="38"/>
        <v>5.4501344521096229E-2</v>
      </c>
    </row>
    <row r="19" spans="2:38" ht="12">
      <c r="B19" s="79"/>
      <c r="C19" s="372"/>
      <c r="D19" s="319">
        <v>45913</v>
      </c>
      <c r="E19" s="319" t="s">
        <v>167</v>
      </c>
      <c r="F19" s="227">
        <f t="shared" si="18"/>
        <v>6541355.0000000019</v>
      </c>
      <c r="G19" s="317"/>
      <c r="H19" s="387"/>
      <c r="I19" s="233">
        <v>683125.89623455133</v>
      </c>
      <c r="J19" s="96">
        <f t="shared" si="21"/>
        <v>0.10443186407625807</v>
      </c>
      <c r="K19" s="233">
        <v>808299.19839865156</v>
      </c>
      <c r="L19" s="96">
        <f t="shared" si="22"/>
        <v>0.12356754806896297</v>
      </c>
      <c r="M19" s="226">
        <f t="shared" si="23"/>
        <v>1491425.094633203</v>
      </c>
      <c r="N19" s="96">
        <f t="shared" si="24"/>
        <v>0.22799941214522107</v>
      </c>
      <c r="O19" s="233">
        <v>111249.54837235088</v>
      </c>
      <c r="P19" s="96">
        <f t="shared" si="25"/>
        <v>1.7007110663211346E-2</v>
      </c>
      <c r="Q19" s="233">
        <v>93680.304222179257</v>
      </c>
      <c r="R19" s="96">
        <f t="shared" si="26"/>
        <v>1.4321238370670791E-2</v>
      </c>
      <c r="S19" s="226">
        <f t="shared" si="27"/>
        <v>204929.85259453015</v>
      </c>
      <c r="T19" s="96">
        <f t="shared" si="28"/>
        <v>3.1328349033882139E-2</v>
      </c>
      <c r="U19" s="233">
        <v>543330.70176197891</v>
      </c>
      <c r="V19" s="96">
        <f t="shared" si="29"/>
        <v>8.3060879857763226E-2</v>
      </c>
      <c r="W19" s="233">
        <v>12455.071176682666</v>
      </c>
      <c r="X19" s="96">
        <f t="shared" si="30"/>
        <v>1.9040506403769039E-3</v>
      </c>
      <c r="Y19" s="233">
        <v>630925.73086401646</v>
      </c>
      <c r="Z19" s="96">
        <f t="shared" si="31"/>
        <v>9.6451840767549882E-2</v>
      </c>
      <c r="AA19" s="233">
        <v>1060648.8181163545</v>
      </c>
      <c r="AB19" s="96">
        <f t="shared" si="32"/>
        <v>0.1621451240784752</v>
      </c>
      <c r="AC19" s="226">
        <f t="shared" si="33"/>
        <v>1691574.5489803711</v>
      </c>
      <c r="AD19" s="96">
        <f t="shared" si="34"/>
        <v>0.25859696484602512</v>
      </c>
      <c r="AE19" s="233">
        <v>651474.24981296319</v>
      </c>
      <c r="AF19" s="96">
        <f t="shared" si="35"/>
        <v>9.9593165301831654E-2</v>
      </c>
      <c r="AG19" s="233">
        <v>1016529.3911254534</v>
      </c>
      <c r="AH19" s="96">
        <f t="shared" si="36"/>
        <v>0.1554004317340143</v>
      </c>
      <c r="AI19" s="233">
        <v>582194.15364716342</v>
      </c>
      <c r="AJ19" s="96">
        <f t="shared" si="37"/>
        <v>8.9002072758192038E-2</v>
      </c>
      <c r="AK19" s="233">
        <v>347441.93626765505</v>
      </c>
      <c r="AL19" s="96">
        <f t="shared" si="38"/>
        <v>5.311467368269341E-2</v>
      </c>
    </row>
    <row r="20" spans="2:38" ht="12">
      <c r="B20" s="79"/>
      <c r="C20" s="372"/>
      <c r="D20" s="319">
        <v>45914</v>
      </c>
      <c r="E20" s="319" t="s">
        <v>168</v>
      </c>
      <c r="F20" s="227">
        <f t="shared" si="18"/>
        <v>7771752.9999999991</v>
      </c>
      <c r="G20" s="317"/>
      <c r="H20" s="387"/>
      <c r="I20" s="233">
        <v>935689.60927992838</v>
      </c>
      <c r="J20" s="96">
        <f t="shared" si="21"/>
        <v>0.12039621038907547</v>
      </c>
      <c r="K20" s="233">
        <v>866163.80115347181</v>
      </c>
      <c r="L20" s="96">
        <f t="shared" si="22"/>
        <v>0.11145024824559811</v>
      </c>
      <c r="M20" s="226">
        <f t="shared" si="23"/>
        <v>1801853.4104334002</v>
      </c>
      <c r="N20" s="96">
        <f t="shared" si="24"/>
        <v>0.2318464586346736</v>
      </c>
      <c r="O20" s="233">
        <v>151097.50678585123</v>
      </c>
      <c r="P20" s="96">
        <f t="shared" si="25"/>
        <v>1.9441882260778393E-2</v>
      </c>
      <c r="Q20" s="233">
        <v>109222.70039508892</v>
      </c>
      <c r="R20" s="96">
        <f t="shared" si="26"/>
        <v>1.405380490027011E-2</v>
      </c>
      <c r="S20" s="226">
        <f t="shared" si="27"/>
        <v>260320.20718094014</v>
      </c>
      <c r="T20" s="96">
        <f t="shared" si="28"/>
        <v>3.3495687161048504E-2</v>
      </c>
      <c r="U20" s="233">
        <v>669570.64824968984</v>
      </c>
      <c r="V20" s="96">
        <f t="shared" si="29"/>
        <v>8.6154391197158467E-2</v>
      </c>
      <c r="W20" s="233">
        <v>13837.59320390987</v>
      </c>
      <c r="X20" s="96">
        <f t="shared" si="30"/>
        <v>1.7804983256557267E-3</v>
      </c>
      <c r="Y20" s="233">
        <v>724732.35952037596</v>
      </c>
      <c r="Z20" s="96">
        <f t="shared" si="31"/>
        <v>9.3252109211445097E-2</v>
      </c>
      <c r="AA20" s="233">
        <v>1141094.357747894</v>
      </c>
      <c r="AB20" s="96">
        <f t="shared" si="32"/>
        <v>0.14682586512308024</v>
      </c>
      <c r="AC20" s="226">
        <f t="shared" si="33"/>
        <v>1865826.71726827</v>
      </c>
      <c r="AD20" s="96">
        <f t="shared" si="34"/>
        <v>0.24007797433452532</v>
      </c>
      <c r="AE20" s="233">
        <v>855937.57177434396</v>
      </c>
      <c r="AF20" s="96">
        <f t="shared" si="35"/>
        <v>0.11013442807232089</v>
      </c>
      <c r="AG20" s="233">
        <v>1235869.7294346697</v>
      </c>
      <c r="AH20" s="96">
        <f t="shared" si="36"/>
        <v>0.15902071636021756</v>
      </c>
      <c r="AI20" s="233">
        <v>658283.10838447791</v>
      </c>
      <c r="AJ20" s="96">
        <f t="shared" si="37"/>
        <v>8.4702011037211034E-2</v>
      </c>
      <c r="AK20" s="233">
        <v>410254.01407029788</v>
      </c>
      <c r="AL20" s="96">
        <f t="shared" si="38"/>
        <v>5.2787834877188959E-2</v>
      </c>
    </row>
    <row r="21" spans="2:38" ht="12">
      <c r="B21" s="79"/>
      <c r="C21" s="372"/>
      <c r="D21" s="319">
        <v>45915</v>
      </c>
      <c r="E21" s="319" t="s">
        <v>162</v>
      </c>
      <c r="F21" s="227">
        <f t="shared" si="18"/>
        <v>7821657.0000000009</v>
      </c>
      <c r="G21" s="317"/>
      <c r="H21" s="387"/>
      <c r="I21" s="233">
        <v>884810.26817717461</v>
      </c>
      <c r="J21" s="96">
        <f t="shared" si="21"/>
        <v>0.11312312316650737</v>
      </c>
      <c r="K21" s="233">
        <v>849921.16369357368</v>
      </c>
      <c r="L21" s="96">
        <f t="shared" si="22"/>
        <v>0.10866254601724079</v>
      </c>
      <c r="M21" s="226">
        <f t="shared" si="23"/>
        <v>1734731.4318707483</v>
      </c>
      <c r="N21" s="96">
        <f t="shared" si="24"/>
        <v>0.22178566918374815</v>
      </c>
      <c r="O21" s="233">
        <v>142123.06447549869</v>
      </c>
      <c r="P21" s="96">
        <f t="shared" si="25"/>
        <v>1.8170454735550109E-2</v>
      </c>
      <c r="Q21" s="233">
        <v>113089.68139182049</v>
      </c>
      <c r="R21" s="96">
        <f t="shared" si="26"/>
        <v>1.4458532430125799E-2</v>
      </c>
      <c r="S21" s="226">
        <f t="shared" si="27"/>
        <v>255212.74586731917</v>
      </c>
      <c r="T21" s="96">
        <f t="shared" si="28"/>
        <v>3.2628987165675909E-2</v>
      </c>
      <c r="U21" s="233">
        <v>679271.93462901644</v>
      </c>
      <c r="V21" s="96">
        <f t="shared" si="29"/>
        <v>8.6845016935544014E-2</v>
      </c>
      <c r="W21" s="233">
        <v>14362.80130587388</v>
      </c>
      <c r="X21" s="96">
        <f t="shared" si="30"/>
        <v>1.8362862633677082E-3</v>
      </c>
      <c r="Y21" s="233">
        <v>743337.30823226052</v>
      </c>
      <c r="Z21" s="96">
        <f t="shared" si="31"/>
        <v>9.5035784390987796E-2</v>
      </c>
      <c r="AA21" s="233">
        <v>1200149.3649585037</v>
      </c>
      <c r="AB21" s="96">
        <f t="shared" si="32"/>
        <v>0.15343927315637895</v>
      </c>
      <c r="AC21" s="226">
        <f t="shared" si="33"/>
        <v>1943486.6731907642</v>
      </c>
      <c r="AD21" s="96">
        <f t="shared" si="34"/>
        <v>0.24847505754736673</v>
      </c>
      <c r="AE21" s="233">
        <v>866645.19562834792</v>
      </c>
      <c r="AF21" s="96">
        <f t="shared" si="35"/>
        <v>0.11080071596444946</v>
      </c>
      <c r="AG21" s="233">
        <v>1224710.3606075095</v>
      </c>
      <c r="AH21" s="96">
        <f t="shared" si="36"/>
        <v>0.15657940006925761</v>
      </c>
      <c r="AI21" s="233">
        <v>684941.59768359363</v>
      </c>
      <c r="AJ21" s="96">
        <f t="shared" si="37"/>
        <v>8.7569884192517461E-2</v>
      </c>
      <c r="AK21" s="233">
        <v>418294.2592168281</v>
      </c>
      <c r="AL21" s="96">
        <f t="shared" si="38"/>
        <v>5.3478982678072953E-2</v>
      </c>
    </row>
    <row r="22" spans="2:38" ht="12">
      <c r="B22" s="79"/>
      <c r="C22" s="372"/>
      <c r="D22" s="82">
        <v>45916</v>
      </c>
      <c r="E22" s="82" t="s">
        <v>163</v>
      </c>
      <c r="F22" s="227">
        <f t="shared" si="18"/>
        <v>0</v>
      </c>
      <c r="G22" s="317">
        <f>SUM(F22:F28)</f>
        <v>0</v>
      </c>
      <c r="H22" s="387"/>
      <c r="I22" s="233"/>
      <c r="J22" s="96" t="e">
        <f t="shared" si="21"/>
        <v>#DIV/0!</v>
      </c>
      <c r="K22" s="233"/>
      <c r="L22" s="96" t="e">
        <f t="shared" si="22"/>
        <v>#DIV/0!</v>
      </c>
      <c r="M22" s="226">
        <f t="shared" si="23"/>
        <v>0</v>
      </c>
      <c r="N22" s="96" t="e">
        <f t="shared" si="24"/>
        <v>#DIV/0!</v>
      </c>
      <c r="O22" s="233"/>
      <c r="P22" s="96" t="e">
        <f t="shared" si="25"/>
        <v>#DIV/0!</v>
      </c>
      <c r="Q22" s="233"/>
      <c r="R22" s="96" t="e">
        <f t="shared" si="26"/>
        <v>#DIV/0!</v>
      </c>
      <c r="S22" s="226">
        <f t="shared" si="27"/>
        <v>0</v>
      </c>
      <c r="T22" s="96" t="e">
        <f t="shared" si="28"/>
        <v>#DIV/0!</v>
      </c>
      <c r="U22" s="233"/>
      <c r="V22" s="96" t="e">
        <f t="shared" si="29"/>
        <v>#DIV/0!</v>
      </c>
      <c r="W22" s="233"/>
      <c r="X22" s="96" t="e">
        <f t="shared" si="30"/>
        <v>#DIV/0!</v>
      </c>
      <c r="Y22" s="233"/>
      <c r="Z22" s="96" t="e">
        <f t="shared" si="31"/>
        <v>#DIV/0!</v>
      </c>
      <c r="AA22" s="233"/>
      <c r="AB22" s="96" t="e">
        <f t="shared" si="32"/>
        <v>#DIV/0!</v>
      </c>
      <c r="AC22" s="226">
        <f t="shared" si="33"/>
        <v>0</v>
      </c>
      <c r="AD22" s="96" t="e">
        <f t="shared" si="34"/>
        <v>#DIV/0!</v>
      </c>
      <c r="AE22" s="233"/>
      <c r="AF22" s="96" t="e">
        <f t="shared" si="35"/>
        <v>#DIV/0!</v>
      </c>
      <c r="AG22" s="233"/>
      <c r="AH22" s="96" t="e">
        <f t="shared" si="36"/>
        <v>#DIV/0!</v>
      </c>
      <c r="AI22" s="233"/>
      <c r="AJ22" s="96" t="e">
        <f t="shared" si="37"/>
        <v>#DIV/0!</v>
      </c>
      <c r="AK22" s="233"/>
      <c r="AL22" s="96" t="e">
        <f t="shared" si="38"/>
        <v>#DIV/0!</v>
      </c>
    </row>
    <row r="23" spans="2:38" ht="12">
      <c r="B23" s="79"/>
      <c r="C23" s="372"/>
      <c r="D23" s="82">
        <v>45917</v>
      </c>
      <c r="E23" s="82" t="s">
        <v>164</v>
      </c>
      <c r="F23" s="227">
        <f t="shared" si="18"/>
        <v>0</v>
      </c>
      <c r="G23" s="317"/>
      <c r="H23" s="387"/>
      <c r="I23" s="233"/>
      <c r="J23" s="96" t="e">
        <f t="shared" si="21"/>
        <v>#DIV/0!</v>
      </c>
      <c r="K23" s="233"/>
      <c r="L23" s="96" t="e">
        <f t="shared" si="22"/>
        <v>#DIV/0!</v>
      </c>
      <c r="M23" s="226">
        <f t="shared" si="23"/>
        <v>0</v>
      </c>
      <c r="N23" s="96" t="e">
        <f t="shared" si="24"/>
        <v>#DIV/0!</v>
      </c>
      <c r="O23" s="233"/>
      <c r="P23" s="96" t="e">
        <f t="shared" si="25"/>
        <v>#DIV/0!</v>
      </c>
      <c r="Q23" s="233"/>
      <c r="R23" s="96" t="e">
        <f t="shared" si="26"/>
        <v>#DIV/0!</v>
      </c>
      <c r="S23" s="226">
        <f t="shared" si="27"/>
        <v>0</v>
      </c>
      <c r="T23" s="96" t="e">
        <f t="shared" si="28"/>
        <v>#DIV/0!</v>
      </c>
      <c r="U23" s="233"/>
      <c r="V23" s="96" t="e">
        <f t="shared" si="29"/>
        <v>#DIV/0!</v>
      </c>
      <c r="W23" s="233"/>
      <c r="X23" s="96" t="e">
        <f t="shared" si="30"/>
        <v>#DIV/0!</v>
      </c>
      <c r="Y23" s="233"/>
      <c r="Z23" s="96" t="e">
        <f t="shared" si="31"/>
        <v>#DIV/0!</v>
      </c>
      <c r="AA23" s="233"/>
      <c r="AB23" s="96" t="e">
        <f t="shared" si="32"/>
        <v>#DIV/0!</v>
      </c>
      <c r="AC23" s="226">
        <f t="shared" si="33"/>
        <v>0</v>
      </c>
      <c r="AD23" s="96" t="e">
        <f t="shared" si="34"/>
        <v>#DIV/0!</v>
      </c>
      <c r="AE23" s="233"/>
      <c r="AF23" s="96" t="e">
        <f t="shared" si="35"/>
        <v>#DIV/0!</v>
      </c>
      <c r="AG23" s="233"/>
      <c r="AH23" s="96" t="e">
        <f t="shared" si="36"/>
        <v>#DIV/0!</v>
      </c>
      <c r="AI23" s="233"/>
      <c r="AJ23" s="96" t="e">
        <f t="shared" si="37"/>
        <v>#DIV/0!</v>
      </c>
      <c r="AK23" s="233"/>
      <c r="AL23" s="96" t="e">
        <f t="shared" si="38"/>
        <v>#DIV/0!</v>
      </c>
    </row>
    <row r="24" spans="2:38" ht="12">
      <c r="B24" s="79"/>
      <c r="C24" s="372"/>
      <c r="D24" s="82">
        <v>45918</v>
      </c>
      <c r="E24" s="82" t="s">
        <v>165</v>
      </c>
      <c r="F24" s="227">
        <f t="shared" si="18"/>
        <v>0</v>
      </c>
      <c r="G24" s="317"/>
      <c r="H24" s="387"/>
      <c r="I24" s="233"/>
      <c r="J24" s="96" t="e">
        <f t="shared" si="21"/>
        <v>#DIV/0!</v>
      </c>
      <c r="K24" s="233"/>
      <c r="L24" s="96" t="e">
        <f t="shared" si="22"/>
        <v>#DIV/0!</v>
      </c>
      <c r="M24" s="226">
        <f t="shared" si="23"/>
        <v>0</v>
      </c>
      <c r="N24" s="96" t="e">
        <f t="shared" si="24"/>
        <v>#DIV/0!</v>
      </c>
      <c r="O24" s="233"/>
      <c r="P24" s="96" t="e">
        <f t="shared" si="25"/>
        <v>#DIV/0!</v>
      </c>
      <c r="Q24" s="233"/>
      <c r="R24" s="96" t="e">
        <f t="shared" si="26"/>
        <v>#DIV/0!</v>
      </c>
      <c r="S24" s="226">
        <f t="shared" si="27"/>
        <v>0</v>
      </c>
      <c r="T24" s="96" t="e">
        <f t="shared" si="28"/>
        <v>#DIV/0!</v>
      </c>
      <c r="U24" s="233"/>
      <c r="V24" s="96" t="e">
        <f t="shared" si="29"/>
        <v>#DIV/0!</v>
      </c>
      <c r="W24" s="233"/>
      <c r="X24" s="96" t="e">
        <f t="shared" si="30"/>
        <v>#DIV/0!</v>
      </c>
      <c r="Y24" s="233"/>
      <c r="Z24" s="96" t="e">
        <f t="shared" si="31"/>
        <v>#DIV/0!</v>
      </c>
      <c r="AA24" s="233"/>
      <c r="AB24" s="96" t="e">
        <f t="shared" si="32"/>
        <v>#DIV/0!</v>
      </c>
      <c r="AC24" s="226">
        <f t="shared" si="33"/>
        <v>0</v>
      </c>
      <c r="AD24" s="96" t="e">
        <f t="shared" si="34"/>
        <v>#DIV/0!</v>
      </c>
      <c r="AE24" s="233"/>
      <c r="AF24" s="96" t="e">
        <f t="shared" si="35"/>
        <v>#DIV/0!</v>
      </c>
      <c r="AG24" s="233"/>
      <c r="AH24" s="96" t="e">
        <f t="shared" si="36"/>
        <v>#DIV/0!</v>
      </c>
      <c r="AI24" s="233"/>
      <c r="AJ24" s="96" t="e">
        <f t="shared" si="37"/>
        <v>#DIV/0!</v>
      </c>
      <c r="AK24" s="233"/>
      <c r="AL24" s="96" t="e">
        <f t="shared" si="38"/>
        <v>#DIV/0!</v>
      </c>
    </row>
    <row r="25" spans="2:38" ht="12">
      <c r="B25" s="79"/>
      <c r="C25" s="372"/>
      <c r="D25" s="82">
        <v>45919</v>
      </c>
      <c r="E25" s="82" t="s">
        <v>166</v>
      </c>
      <c r="F25" s="227">
        <f t="shared" si="18"/>
        <v>0</v>
      </c>
      <c r="G25" s="317"/>
      <c r="H25" s="387"/>
      <c r="I25" s="233"/>
      <c r="J25" s="96" t="e">
        <f t="shared" si="21"/>
        <v>#DIV/0!</v>
      </c>
      <c r="K25" s="233"/>
      <c r="L25" s="96" t="e">
        <f t="shared" si="22"/>
        <v>#DIV/0!</v>
      </c>
      <c r="M25" s="226">
        <f t="shared" si="23"/>
        <v>0</v>
      </c>
      <c r="N25" s="96" t="e">
        <f t="shared" si="24"/>
        <v>#DIV/0!</v>
      </c>
      <c r="O25" s="233"/>
      <c r="P25" s="96" t="e">
        <f t="shared" si="25"/>
        <v>#DIV/0!</v>
      </c>
      <c r="Q25" s="233"/>
      <c r="R25" s="96" t="e">
        <f t="shared" si="26"/>
        <v>#DIV/0!</v>
      </c>
      <c r="S25" s="226">
        <f t="shared" si="27"/>
        <v>0</v>
      </c>
      <c r="T25" s="96" t="e">
        <f t="shared" si="28"/>
        <v>#DIV/0!</v>
      </c>
      <c r="U25" s="233"/>
      <c r="V25" s="96" t="e">
        <f t="shared" si="29"/>
        <v>#DIV/0!</v>
      </c>
      <c r="W25" s="233"/>
      <c r="X25" s="96" t="e">
        <f t="shared" si="30"/>
        <v>#DIV/0!</v>
      </c>
      <c r="Y25" s="233"/>
      <c r="Z25" s="96" t="e">
        <f t="shared" si="31"/>
        <v>#DIV/0!</v>
      </c>
      <c r="AA25" s="233"/>
      <c r="AB25" s="96" t="e">
        <f t="shared" si="32"/>
        <v>#DIV/0!</v>
      </c>
      <c r="AC25" s="226">
        <f t="shared" si="33"/>
        <v>0</v>
      </c>
      <c r="AD25" s="96" t="e">
        <f t="shared" si="34"/>
        <v>#DIV/0!</v>
      </c>
      <c r="AE25" s="233"/>
      <c r="AF25" s="96" t="e">
        <f t="shared" si="35"/>
        <v>#DIV/0!</v>
      </c>
      <c r="AG25" s="233"/>
      <c r="AH25" s="96" t="e">
        <f t="shared" si="36"/>
        <v>#DIV/0!</v>
      </c>
      <c r="AI25" s="233"/>
      <c r="AJ25" s="96" t="e">
        <f t="shared" si="37"/>
        <v>#DIV/0!</v>
      </c>
      <c r="AK25" s="233"/>
      <c r="AL25" s="96" t="e">
        <f t="shared" si="38"/>
        <v>#DIV/0!</v>
      </c>
    </row>
    <row r="26" spans="2:38" ht="12">
      <c r="B26" s="79"/>
      <c r="C26" s="372"/>
      <c r="D26" s="82">
        <v>45920</v>
      </c>
      <c r="E26" s="82" t="s">
        <v>167</v>
      </c>
      <c r="F26" s="227">
        <f t="shared" si="18"/>
        <v>0</v>
      </c>
      <c r="G26" s="317"/>
      <c r="H26" s="387"/>
      <c r="I26" s="233"/>
      <c r="J26" s="96" t="e">
        <f t="shared" si="21"/>
        <v>#DIV/0!</v>
      </c>
      <c r="K26" s="233"/>
      <c r="L26" s="96" t="e">
        <f t="shared" si="22"/>
        <v>#DIV/0!</v>
      </c>
      <c r="M26" s="226">
        <f t="shared" si="23"/>
        <v>0</v>
      </c>
      <c r="N26" s="96" t="e">
        <f t="shared" si="24"/>
        <v>#DIV/0!</v>
      </c>
      <c r="O26" s="233"/>
      <c r="P26" s="96" t="e">
        <f t="shared" si="25"/>
        <v>#DIV/0!</v>
      </c>
      <c r="Q26" s="233"/>
      <c r="R26" s="96" t="e">
        <f t="shared" si="26"/>
        <v>#DIV/0!</v>
      </c>
      <c r="S26" s="226">
        <f t="shared" si="27"/>
        <v>0</v>
      </c>
      <c r="T26" s="96" t="e">
        <f t="shared" si="28"/>
        <v>#DIV/0!</v>
      </c>
      <c r="U26" s="233"/>
      <c r="V26" s="96" t="e">
        <f t="shared" si="29"/>
        <v>#DIV/0!</v>
      </c>
      <c r="W26" s="233"/>
      <c r="X26" s="96" t="e">
        <f t="shared" si="30"/>
        <v>#DIV/0!</v>
      </c>
      <c r="Y26" s="233"/>
      <c r="Z26" s="96" t="e">
        <f t="shared" si="31"/>
        <v>#DIV/0!</v>
      </c>
      <c r="AA26" s="233"/>
      <c r="AB26" s="96" t="e">
        <f t="shared" si="32"/>
        <v>#DIV/0!</v>
      </c>
      <c r="AC26" s="226">
        <f t="shared" si="33"/>
        <v>0</v>
      </c>
      <c r="AD26" s="96" t="e">
        <f t="shared" si="34"/>
        <v>#DIV/0!</v>
      </c>
      <c r="AE26" s="233"/>
      <c r="AF26" s="96" t="e">
        <f t="shared" si="35"/>
        <v>#DIV/0!</v>
      </c>
      <c r="AG26" s="233"/>
      <c r="AH26" s="96" t="e">
        <f t="shared" si="36"/>
        <v>#DIV/0!</v>
      </c>
      <c r="AI26" s="233"/>
      <c r="AJ26" s="96" t="e">
        <f t="shared" si="37"/>
        <v>#DIV/0!</v>
      </c>
      <c r="AK26" s="233"/>
      <c r="AL26" s="96" t="e">
        <f t="shared" si="38"/>
        <v>#DIV/0!</v>
      </c>
    </row>
    <row r="27" spans="2:38" ht="12">
      <c r="B27" s="79"/>
      <c r="C27" s="372"/>
      <c r="D27" s="82">
        <v>45921</v>
      </c>
      <c r="E27" s="82" t="s">
        <v>168</v>
      </c>
      <c r="F27" s="227">
        <f t="shared" si="18"/>
        <v>0</v>
      </c>
      <c r="G27" s="317"/>
      <c r="H27" s="387"/>
      <c r="I27" s="233"/>
      <c r="J27" s="96" t="e">
        <f t="shared" si="21"/>
        <v>#DIV/0!</v>
      </c>
      <c r="K27" s="233"/>
      <c r="L27" s="96" t="e">
        <f t="shared" si="22"/>
        <v>#DIV/0!</v>
      </c>
      <c r="M27" s="226">
        <f t="shared" si="23"/>
        <v>0</v>
      </c>
      <c r="N27" s="96" t="e">
        <f t="shared" si="24"/>
        <v>#DIV/0!</v>
      </c>
      <c r="O27" s="233"/>
      <c r="P27" s="96" t="e">
        <f t="shared" si="25"/>
        <v>#DIV/0!</v>
      </c>
      <c r="Q27" s="233"/>
      <c r="R27" s="96" t="e">
        <f t="shared" si="26"/>
        <v>#DIV/0!</v>
      </c>
      <c r="S27" s="226">
        <f t="shared" si="27"/>
        <v>0</v>
      </c>
      <c r="T27" s="96" t="e">
        <f t="shared" si="28"/>
        <v>#DIV/0!</v>
      </c>
      <c r="U27" s="233"/>
      <c r="V27" s="96" t="e">
        <f t="shared" si="29"/>
        <v>#DIV/0!</v>
      </c>
      <c r="W27" s="233"/>
      <c r="X27" s="96" t="e">
        <f t="shared" si="30"/>
        <v>#DIV/0!</v>
      </c>
      <c r="Y27" s="233"/>
      <c r="Z27" s="96" t="e">
        <f t="shared" si="31"/>
        <v>#DIV/0!</v>
      </c>
      <c r="AA27" s="233"/>
      <c r="AB27" s="96" t="e">
        <f t="shared" si="32"/>
        <v>#DIV/0!</v>
      </c>
      <c r="AC27" s="226">
        <f t="shared" si="33"/>
        <v>0</v>
      </c>
      <c r="AD27" s="96" t="e">
        <f t="shared" si="34"/>
        <v>#DIV/0!</v>
      </c>
      <c r="AE27" s="233"/>
      <c r="AF27" s="96" t="e">
        <f t="shared" si="35"/>
        <v>#DIV/0!</v>
      </c>
      <c r="AG27" s="233"/>
      <c r="AH27" s="96" t="e">
        <f t="shared" si="36"/>
        <v>#DIV/0!</v>
      </c>
      <c r="AI27" s="233"/>
      <c r="AJ27" s="96" t="e">
        <f t="shared" si="37"/>
        <v>#DIV/0!</v>
      </c>
      <c r="AK27" s="233"/>
      <c r="AL27" s="96" t="e">
        <f t="shared" si="38"/>
        <v>#DIV/0!</v>
      </c>
    </row>
    <row r="28" spans="2:38" ht="12">
      <c r="B28" s="79"/>
      <c r="C28" s="372"/>
      <c r="D28" s="82">
        <v>45922</v>
      </c>
      <c r="E28" s="82" t="s">
        <v>162</v>
      </c>
      <c r="F28" s="227">
        <f t="shared" si="18"/>
        <v>0</v>
      </c>
      <c r="G28" s="317"/>
      <c r="H28" s="387"/>
      <c r="I28" s="233"/>
      <c r="J28" s="96" t="e">
        <f t="shared" si="21"/>
        <v>#DIV/0!</v>
      </c>
      <c r="K28" s="233"/>
      <c r="L28" s="96" t="e">
        <f t="shared" si="22"/>
        <v>#DIV/0!</v>
      </c>
      <c r="M28" s="226">
        <f t="shared" si="23"/>
        <v>0</v>
      </c>
      <c r="N28" s="96" t="e">
        <f t="shared" si="24"/>
        <v>#DIV/0!</v>
      </c>
      <c r="O28" s="233"/>
      <c r="P28" s="96" t="e">
        <f t="shared" si="25"/>
        <v>#DIV/0!</v>
      </c>
      <c r="Q28" s="233"/>
      <c r="R28" s="96" t="e">
        <f t="shared" si="26"/>
        <v>#DIV/0!</v>
      </c>
      <c r="S28" s="226">
        <f t="shared" si="27"/>
        <v>0</v>
      </c>
      <c r="T28" s="96" t="e">
        <f t="shared" si="28"/>
        <v>#DIV/0!</v>
      </c>
      <c r="U28" s="233"/>
      <c r="V28" s="96" t="e">
        <f t="shared" si="29"/>
        <v>#DIV/0!</v>
      </c>
      <c r="W28" s="233"/>
      <c r="X28" s="96" t="e">
        <f t="shared" si="30"/>
        <v>#DIV/0!</v>
      </c>
      <c r="Y28" s="233"/>
      <c r="Z28" s="96" t="e">
        <f t="shared" si="31"/>
        <v>#DIV/0!</v>
      </c>
      <c r="AA28" s="233"/>
      <c r="AB28" s="96" t="e">
        <f t="shared" si="32"/>
        <v>#DIV/0!</v>
      </c>
      <c r="AC28" s="226">
        <f t="shared" si="33"/>
        <v>0</v>
      </c>
      <c r="AD28" s="96" t="e">
        <f t="shared" si="34"/>
        <v>#DIV/0!</v>
      </c>
      <c r="AE28" s="233"/>
      <c r="AF28" s="96" t="e">
        <f t="shared" si="35"/>
        <v>#DIV/0!</v>
      </c>
      <c r="AG28" s="233"/>
      <c r="AH28" s="96" t="e">
        <f t="shared" si="36"/>
        <v>#DIV/0!</v>
      </c>
      <c r="AI28" s="233"/>
      <c r="AJ28" s="96" t="e">
        <f t="shared" si="37"/>
        <v>#DIV/0!</v>
      </c>
      <c r="AK28" s="233"/>
      <c r="AL28" s="96" t="e">
        <f t="shared" si="38"/>
        <v>#DIV/0!</v>
      </c>
    </row>
    <row r="29" spans="2:38" ht="12">
      <c r="B29" s="79"/>
      <c r="C29" s="372"/>
      <c r="D29" s="319">
        <v>45923</v>
      </c>
      <c r="E29" s="319" t="s">
        <v>163</v>
      </c>
      <c r="F29" s="227">
        <f t="shared" si="18"/>
        <v>0</v>
      </c>
      <c r="G29" s="317">
        <f>SUM(F29:F35)</f>
        <v>0</v>
      </c>
      <c r="H29" s="387"/>
      <c r="I29" s="233"/>
      <c r="J29" s="96" t="e">
        <f t="shared" si="21"/>
        <v>#DIV/0!</v>
      </c>
      <c r="K29" s="233"/>
      <c r="L29" s="96" t="e">
        <f t="shared" si="22"/>
        <v>#DIV/0!</v>
      </c>
      <c r="M29" s="226">
        <f t="shared" si="23"/>
        <v>0</v>
      </c>
      <c r="N29" s="96" t="e">
        <f t="shared" si="24"/>
        <v>#DIV/0!</v>
      </c>
      <c r="O29" s="233"/>
      <c r="P29" s="96" t="e">
        <f t="shared" si="25"/>
        <v>#DIV/0!</v>
      </c>
      <c r="Q29" s="233"/>
      <c r="R29" s="96" t="e">
        <f t="shared" si="26"/>
        <v>#DIV/0!</v>
      </c>
      <c r="S29" s="226">
        <f t="shared" si="27"/>
        <v>0</v>
      </c>
      <c r="T29" s="96" t="e">
        <f t="shared" si="28"/>
        <v>#DIV/0!</v>
      </c>
      <c r="U29" s="233"/>
      <c r="V29" s="96" t="e">
        <f t="shared" si="29"/>
        <v>#DIV/0!</v>
      </c>
      <c r="W29" s="233"/>
      <c r="X29" s="96" t="e">
        <f t="shared" si="30"/>
        <v>#DIV/0!</v>
      </c>
      <c r="Y29" s="233"/>
      <c r="Z29" s="96" t="e">
        <f t="shared" si="31"/>
        <v>#DIV/0!</v>
      </c>
      <c r="AA29" s="233"/>
      <c r="AB29" s="96" t="e">
        <f t="shared" si="32"/>
        <v>#DIV/0!</v>
      </c>
      <c r="AC29" s="226">
        <f t="shared" si="33"/>
        <v>0</v>
      </c>
      <c r="AD29" s="96" t="e">
        <f t="shared" si="34"/>
        <v>#DIV/0!</v>
      </c>
      <c r="AE29" s="233"/>
      <c r="AF29" s="96" t="e">
        <f t="shared" si="35"/>
        <v>#DIV/0!</v>
      </c>
      <c r="AG29" s="233"/>
      <c r="AH29" s="96" t="e">
        <f t="shared" si="36"/>
        <v>#DIV/0!</v>
      </c>
      <c r="AI29" s="233"/>
      <c r="AJ29" s="96" t="e">
        <f t="shared" si="37"/>
        <v>#DIV/0!</v>
      </c>
      <c r="AK29" s="233"/>
      <c r="AL29" s="96" t="e">
        <f t="shared" si="38"/>
        <v>#DIV/0!</v>
      </c>
    </row>
    <row r="30" spans="2:38" ht="12">
      <c r="B30" s="79"/>
      <c r="C30" s="372"/>
      <c r="D30" s="319">
        <v>45924</v>
      </c>
      <c r="E30" s="319" t="s">
        <v>164</v>
      </c>
      <c r="F30" s="227">
        <f t="shared" si="18"/>
        <v>0</v>
      </c>
      <c r="G30" s="317"/>
      <c r="H30" s="387"/>
      <c r="I30" s="233"/>
      <c r="J30" s="96" t="e">
        <f t="shared" si="21"/>
        <v>#DIV/0!</v>
      </c>
      <c r="K30" s="233"/>
      <c r="L30" s="96" t="e">
        <f t="shared" si="22"/>
        <v>#DIV/0!</v>
      </c>
      <c r="M30" s="226">
        <f t="shared" si="23"/>
        <v>0</v>
      </c>
      <c r="N30" s="96" t="e">
        <f t="shared" si="24"/>
        <v>#DIV/0!</v>
      </c>
      <c r="O30" s="233"/>
      <c r="P30" s="96" t="e">
        <f t="shared" si="25"/>
        <v>#DIV/0!</v>
      </c>
      <c r="Q30" s="233"/>
      <c r="R30" s="96" t="e">
        <f t="shared" si="26"/>
        <v>#DIV/0!</v>
      </c>
      <c r="S30" s="226">
        <f t="shared" si="27"/>
        <v>0</v>
      </c>
      <c r="T30" s="96" t="e">
        <f t="shared" si="28"/>
        <v>#DIV/0!</v>
      </c>
      <c r="U30" s="233"/>
      <c r="V30" s="96" t="e">
        <f t="shared" si="29"/>
        <v>#DIV/0!</v>
      </c>
      <c r="W30" s="233"/>
      <c r="X30" s="96" t="e">
        <f t="shared" si="30"/>
        <v>#DIV/0!</v>
      </c>
      <c r="Y30" s="233"/>
      <c r="Z30" s="96" t="e">
        <f t="shared" si="31"/>
        <v>#DIV/0!</v>
      </c>
      <c r="AA30" s="233"/>
      <c r="AB30" s="96" t="e">
        <f t="shared" si="32"/>
        <v>#DIV/0!</v>
      </c>
      <c r="AC30" s="226">
        <f t="shared" si="33"/>
        <v>0</v>
      </c>
      <c r="AD30" s="96" t="e">
        <f t="shared" si="34"/>
        <v>#DIV/0!</v>
      </c>
      <c r="AE30" s="233"/>
      <c r="AF30" s="96" t="e">
        <f t="shared" si="35"/>
        <v>#DIV/0!</v>
      </c>
      <c r="AG30" s="233"/>
      <c r="AH30" s="96" t="e">
        <f t="shared" si="36"/>
        <v>#DIV/0!</v>
      </c>
      <c r="AI30" s="233"/>
      <c r="AJ30" s="96" t="e">
        <f t="shared" si="37"/>
        <v>#DIV/0!</v>
      </c>
      <c r="AK30" s="233"/>
      <c r="AL30" s="96" t="e">
        <f t="shared" si="38"/>
        <v>#DIV/0!</v>
      </c>
    </row>
    <row r="31" spans="2:38" ht="12">
      <c r="B31" s="79"/>
      <c r="C31" s="372"/>
      <c r="D31" s="319">
        <v>45925</v>
      </c>
      <c r="E31" s="319" t="s">
        <v>165</v>
      </c>
      <c r="F31" s="227">
        <f t="shared" si="18"/>
        <v>0</v>
      </c>
      <c r="G31" s="317"/>
      <c r="H31" s="387"/>
      <c r="I31" s="233"/>
      <c r="J31" s="96" t="e">
        <f t="shared" si="21"/>
        <v>#DIV/0!</v>
      </c>
      <c r="K31" s="233"/>
      <c r="L31" s="96" t="e">
        <f t="shared" si="22"/>
        <v>#DIV/0!</v>
      </c>
      <c r="M31" s="226">
        <f t="shared" si="23"/>
        <v>0</v>
      </c>
      <c r="N31" s="96" t="e">
        <f t="shared" si="24"/>
        <v>#DIV/0!</v>
      </c>
      <c r="O31" s="233"/>
      <c r="P31" s="96" t="e">
        <f t="shared" si="25"/>
        <v>#DIV/0!</v>
      </c>
      <c r="Q31" s="233"/>
      <c r="R31" s="96" t="e">
        <f t="shared" si="26"/>
        <v>#DIV/0!</v>
      </c>
      <c r="S31" s="226">
        <f t="shared" si="27"/>
        <v>0</v>
      </c>
      <c r="T31" s="96" t="e">
        <f t="shared" si="28"/>
        <v>#DIV/0!</v>
      </c>
      <c r="U31" s="233"/>
      <c r="V31" s="96" t="e">
        <f t="shared" si="29"/>
        <v>#DIV/0!</v>
      </c>
      <c r="W31" s="233"/>
      <c r="X31" s="96" t="e">
        <f t="shared" si="30"/>
        <v>#DIV/0!</v>
      </c>
      <c r="Y31" s="233"/>
      <c r="Z31" s="96" t="e">
        <f t="shared" si="31"/>
        <v>#DIV/0!</v>
      </c>
      <c r="AA31" s="233"/>
      <c r="AB31" s="96" t="e">
        <f t="shared" si="32"/>
        <v>#DIV/0!</v>
      </c>
      <c r="AC31" s="226">
        <f t="shared" si="33"/>
        <v>0</v>
      </c>
      <c r="AD31" s="96" t="e">
        <f t="shared" si="34"/>
        <v>#DIV/0!</v>
      </c>
      <c r="AE31" s="233"/>
      <c r="AF31" s="96" t="e">
        <f t="shared" si="35"/>
        <v>#DIV/0!</v>
      </c>
      <c r="AG31" s="233"/>
      <c r="AH31" s="96" t="e">
        <f t="shared" si="36"/>
        <v>#DIV/0!</v>
      </c>
      <c r="AI31" s="233"/>
      <c r="AJ31" s="96" t="e">
        <f t="shared" si="37"/>
        <v>#DIV/0!</v>
      </c>
      <c r="AK31" s="233"/>
      <c r="AL31" s="96" t="e">
        <f t="shared" si="38"/>
        <v>#DIV/0!</v>
      </c>
    </row>
    <row r="32" spans="2:38" ht="12">
      <c r="B32" s="79"/>
      <c r="C32" s="372"/>
      <c r="D32" s="319">
        <v>45926</v>
      </c>
      <c r="E32" s="319" t="s">
        <v>166</v>
      </c>
      <c r="F32" s="227">
        <f t="shared" si="18"/>
        <v>0</v>
      </c>
      <c r="G32" s="317"/>
      <c r="H32" s="387"/>
      <c r="I32" s="233"/>
      <c r="J32" s="96" t="e">
        <f t="shared" si="21"/>
        <v>#DIV/0!</v>
      </c>
      <c r="K32" s="233"/>
      <c r="L32" s="96" t="e">
        <f t="shared" si="22"/>
        <v>#DIV/0!</v>
      </c>
      <c r="M32" s="226">
        <f t="shared" si="23"/>
        <v>0</v>
      </c>
      <c r="N32" s="96" t="e">
        <f t="shared" si="24"/>
        <v>#DIV/0!</v>
      </c>
      <c r="O32" s="233"/>
      <c r="P32" s="96" t="e">
        <f t="shared" si="25"/>
        <v>#DIV/0!</v>
      </c>
      <c r="Q32" s="233"/>
      <c r="R32" s="96" t="e">
        <f t="shared" si="26"/>
        <v>#DIV/0!</v>
      </c>
      <c r="S32" s="226">
        <f t="shared" si="27"/>
        <v>0</v>
      </c>
      <c r="T32" s="96" t="e">
        <f t="shared" si="28"/>
        <v>#DIV/0!</v>
      </c>
      <c r="U32" s="233"/>
      <c r="V32" s="96" t="e">
        <f t="shared" si="29"/>
        <v>#DIV/0!</v>
      </c>
      <c r="W32" s="233"/>
      <c r="X32" s="96" t="e">
        <f t="shared" si="30"/>
        <v>#DIV/0!</v>
      </c>
      <c r="Y32" s="233"/>
      <c r="Z32" s="96" t="e">
        <f t="shared" si="31"/>
        <v>#DIV/0!</v>
      </c>
      <c r="AA32" s="233"/>
      <c r="AB32" s="96" t="e">
        <f t="shared" si="32"/>
        <v>#DIV/0!</v>
      </c>
      <c r="AC32" s="226">
        <f t="shared" si="33"/>
        <v>0</v>
      </c>
      <c r="AD32" s="96" t="e">
        <f t="shared" si="34"/>
        <v>#DIV/0!</v>
      </c>
      <c r="AE32" s="233"/>
      <c r="AF32" s="96" t="e">
        <f t="shared" si="35"/>
        <v>#DIV/0!</v>
      </c>
      <c r="AG32" s="233"/>
      <c r="AH32" s="96" t="e">
        <f t="shared" si="36"/>
        <v>#DIV/0!</v>
      </c>
      <c r="AI32" s="233"/>
      <c r="AJ32" s="96" t="e">
        <f t="shared" si="37"/>
        <v>#DIV/0!</v>
      </c>
      <c r="AK32" s="233"/>
      <c r="AL32" s="96" t="e">
        <f t="shared" si="38"/>
        <v>#DIV/0!</v>
      </c>
    </row>
    <row r="33" spans="2:38" ht="12">
      <c r="B33" s="79"/>
      <c r="C33" s="372"/>
      <c r="D33" s="319">
        <v>45927</v>
      </c>
      <c r="E33" s="319" t="s">
        <v>167</v>
      </c>
      <c r="F33" s="227">
        <f t="shared" si="18"/>
        <v>0</v>
      </c>
      <c r="G33" s="317"/>
      <c r="H33" s="387"/>
      <c r="I33" s="233"/>
      <c r="J33" s="96" t="e">
        <f t="shared" si="21"/>
        <v>#DIV/0!</v>
      </c>
      <c r="K33" s="233"/>
      <c r="L33" s="96" t="e">
        <f t="shared" si="22"/>
        <v>#DIV/0!</v>
      </c>
      <c r="M33" s="226">
        <f t="shared" si="23"/>
        <v>0</v>
      </c>
      <c r="N33" s="96" t="e">
        <f t="shared" si="24"/>
        <v>#DIV/0!</v>
      </c>
      <c r="O33" s="233"/>
      <c r="P33" s="96" t="e">
        <f t="shared" si="25"/>
        <v>#DIV/0!</v>
      </c>
      <c r="Q33" s="233"/>
      <c r="R33" s="96" t="e">
        <f t="shared" si="26"/>
        <v>#DIV/0!</v>
      </c>
      <c r="S33" s="226">
        <f t="shared" si="27"/>
        <v>0</v>
      </c>
      <c r="T33" s="96" t="e">
        <f t="shared" si="28"/>
        <v>#DIV/0!</v>
      </c>
      <c r="U33" s="233"/>
      <c r="V33" s="96" t="e">
        <f t="shared" si="29"/>
        <v>#DIV/0!</v>
      </c>
      <c r="W33" s="233"/>
      <c r="X33" s="96" t="e">
        <f t="shared" si="30"/>
        <v>#DIV/0!</v>
      </c>
      <c r="Y33" s="233"/>
      <c r="Z33" s="96" t="e">
        <f t="shared" si="31"/>
        <v>#DIV/0!</v>
      </c>
      <c r="AA33" s="233"/>
      <c r="AB33" s="96" t="e">
        <f t="shared" si="32"/>
        <v>#DIV/0!</v>
      </c>
      <c r="AC33" s="226">
        <f t="shared" si="33"/>
        <v>0</v>
      </c>
      <c r="AD33" s="96" t="e">
        <f t="shared" si="34"/>
        <v>#DIV/0!</v>
      </c>
      <c r="AE33" s="233"/>
      <c r="AF33" s="96" t="e">
        <f t="shared" si="35"/>
        <v>#DIV/0!</v>
      </c>
      <c r="AG33" s="233"/>
      <c r="AH33" s="96" t="e">
        <f t="shared" si="36"/>
        <v>#DIV/0!</v>
      </c>
      <c r="AI33" s="233"/>
      <c r="AJ33" s="96" t="e">
        <f t="shared" si="37"/>
        <v>#DIV/0!</v>
      </c>
      <c r="AK33" s="233"/>
      <c r="AL33" s="96" t="e">
        <f t="shared" si="38"/>
        <v>#DIV/0!</v>
      </c>
    </row>
    <row r="34" spans="2:38" ht="12">
      <c r="B34" s="79"/>
      <c r="C34" s="372"/>
      <c r="D34" s="319">
        <v>45928</v>
      </c>
      <c r="E34" s="319" t="s">
        <v>168</v>
      </c>
      <c r="F34" s="227">
        <f t="shared" si="18"/>
        <v>0</v>
      </c>
      <c r="G34" s="317"/>
      <c r="H34" s="387"/>
      <c r="I34" s="233"/>
      <c r="J34" s="96" t="e">
        <f t="shared" si="21"/>
        <v>#DIV/0!</v>
      </c>
      <c r="K34" s="233"/>
      <c r="L34" s="96" t="e">
        <f t="shared" si="22"/>
        <v>#DIV/0!</v>
      </c>
      <c r="M34" s="226">
        <f t="shared" si="23"/>
        <v>0</v>
      </c>
      <c r="N34" s="96" t="e">
        <f t="shared" si="24"/>
        <v>#DIV/0!</v>
      </c>
      <c r="O34" s="233"/>
      <c r="P34" s="96" t="e">
        <f t="shared" si="25"/>
        <v>#DIV/0!</v>
      </c>
      <c r="Q34" s="233"/>
      <c r="R34" s="96" t="e">
        <f t="shared" si="26"/>
        <v>#DIV/0!</v>
      </c>
      <c r="S34" s="226">
        <f t="shared" si="27"/>
        <v>0</v>
      </c>
      <c r="T34" s="96" t="e">
        <f t="shared" si="28"/>
        <v>#DIV/0!</v>
      </c>
      <c r="U34" s="233"/>
      <c r="V34" s="96" t="e">
        <f t="shared" si="29"/>
        <v>#DIV/0!</v>
      </c>
      <c r="W34" s="233"/>
      <c r="X34" s="96" t="e">
        <f t="shared" si="30"/>
        <v>#DIV/0!</v>
      </c>
      <c r="Y34" s="233"/>
      <c r="Z34" s="96" t="e">
        <f t="shared" si="31"/>
        <v>#DIV/0!</v>
      </c>
      <c r="AA34" s="233"/>
      <c r="AB34" s="96" t="e">
        <f t="shared" si="32"/>
        <v>#DIV/0!</v>
      </c>
      <c r="AC34" s="226">
        <f t="shared" si="33"/>
        <v>0</v>
      </c>
      <c r="AD34" s="96" t="e">
        <f t="shared" si="34"/>
        <v>#DIV/0!</v>
      </c>
      <c r="AE34" s="233"/>
      <c r="AF34" s="96" t="e">
        <f t="shared" si="35"/>
        <v>#DIV/0!</v>
      </c>
      <c r="AG34" s="233"/>
      <c r="AH34" s="96" t="e">
        <f t="shared" si="36"/>
        <v>#DIV/0!</v>
      </c>
      <c r="AI34" s="233"/>
      <c r="AJ34" s="96" t="e">
        <f t="shared" si="37"/>
        <v>#DIV/0!</v>
      </c>
      <c r="AK34" s="233"/>
      <c r="AL34" s="96" t="e">
        <f t="shared" si="38"/>
        <v>#DIV/0!</v>
      </c>
    </row>
    <row r="35" spans="2:38" ht="12">
      <c r="B35" s="79"/>
      <c r="C35" s="372"/>
      <c r="D35" s="319">
        <v>45929</v>
      </c>
      <c r="E35" s="319" t="s">
        <v>162</v>
      </c>
      <c r="F35" s="227">
        <f t="shared" si="18"/>
        <v>0</v>
      </c>
      <c r="G35" s="317"/>
      <c r="H35" s="387"/>
      <c r="I35" s="233"/>
      <c r="J35" s="96" t="e">
        <f t="shared" si="21"/>
        <v>#DIV/0!</v>
      </c>
      <c r="K35" s="233"/>
      <c r="L35" s="96" t="e">
        <f t="shared" si="22"/>
        <v>#DIV/0!</v>
      </c>
      <c r="M35" s="226">
        <f t="shared" si="23"/>
        <v>0</v>
      </c>
      <c r="N35" s="96" t="e">
        <f t="shared" si="24"/>
        <v>#DIV/0!</v>
      </c>
      <c r="O35" s="233"/>
      <c r="P35" s="96" t="e">
        <f t="shared" si="25"/>
        <v>#DIV/0!</v>
      </c>
      <c r="Q35" s="233"/>
      <c r="R35" s="96" t="e">
        <f t="shared" si="26"/>
        <v>#DIV/0!</v>
      </c>
      <c r="S35" s="226">
        <f t="shared" si="27"/>
        <v>0</v>
      </c>
      <c r="T35" s="96" t="e">
        <f t="shared" si="28"/>
        <v>#DIV/0!</v>
      </c>
      <c r="U35" s="233"/>
      <c r="V35" s="96" t="e">
        <f t="shared" si="29"/>
        <v>#DIV/0!</v>
      </c>
      <c r="W35" s="233"/>
      <c r="X35" s="96" t="e">
        <f t="shared" si="30"/>
        <v>#DIV/0!</v>
      </c>
      <c r="Y35" s="233"/>
      <c r="Z35" s="96" t="e">
        <f t="shared" si="31"/>
        <v>#DIV/0!</v>
      </c>
      <c r="AA35" s="233"/>
      <c r="AB35" s="96" t="e">
        <f t="shared" si="32"/>
        <v>#DIV/0!</v>
      </c>
      <c r="AC35" s="226">
        <f t="shared" si="33"/>
        <v>0</v>
      </c>
      <c r="AD35" s="96" t="e">
        <f t="shared" si="34"/>
        <v>#DIV/0!</v>
      </c>
      <c r="AE35" s="233"/>
      <c r="AF35" s="96" t="e">
        <f t="shared" si="35"/>
        <v>#DIV/0!</v>
      </c>
      <c r="AG35" s="233"/>
      <c r="AH35" s="96" t="e">
        <f t="shared" si="36"/>
        <v>#DIV/0!</v>
      </c>
      <c r="AI35" s="233"/>
      <c r="AJ35" s="96" t="e">
        <f t="shared" si="37"/>
        <v>#DIV/0!</v>
      </c>
      <c r="AK35" s="233"/>
      <c r="AL35" s="96" t="e">
        <f t="shared" si="38"/>
        <v>#DIV/0!</v>
      </c>
    </row>
    <row r="36" spans="2:38" ht="12">
      <c r="B36" s="79"/>
      <c r="C36" s="372"/>
      <c r="D36" s="82">
        <v>45930</v>
      </c>
      <c r="E36" s="82" t="s">
        <v>163</v>
      </c>
      <c r="F36" s="227">
        <f t="shared" si="18"/>
        <v>0</v>
      </c>
      <c r="G36" s="317">
        <f>SUM(F36:F42)</f>
        <v>0</v>
      </c>
      <c r="H36" s="387"/>
      <c r="I36" s="233"/>
      <c r="J36" s="96" t="e">
        <f t="shared" si="21"/>
        <v>#DIV/0!</v>
      </c>
      <c r="K36" s="233"/>
      <c r="L36" s="96" t="e">
        <f t="shared" si="22"/>
        <v>#DIV/0!</v>
      </c>
      <c r="M36" s="226">
        <f t="shared" si="23"/>
        <v>0</v>
      </c>
      <c r="N36" s="96" t="e">
        <f t="shared" si="24"/>
        <v>#DIV/0!</v>
      </c>
      <c r="O36" s="233"/>
      <c r="P36" s="96" t="e">
        <f t="shared" si="25"/>
        <v>#DIV/0!</v>
      </c>
      <c r="Q36" s="233"/>
      <c r="R36" s="96" t="e">
        <f t="shared" si="26"/>
        <v>#DIV/0!</v>
      </c>
      <c r="S36" s="226">
        <f t="shared" si="27"/>
        <v>0</v>
      </c>
      <c r="T36" s="96" t="e">
        <f t="shared" si="28"/>
        <v>#DIV/0!</v>
      </c>
      <c r="U36" s="233"/>
      <c r="V36" s="96" t="e">
        <f t="shared" si="29"/>
        <v>#DIV/0!</v>
      </c>
      <c r="W36" s="233"/>
      <c r="X36" s="96" t="e">
        <f t="shared" si="30"/>
        <v>#DIV/0!</v>
      </c>
      <c r="Y36" s="233"/>
      <c r="Z36" s="96" t="e">
        <f t="shared" si="31"/>
        <v>#DIV/0!</v>
      </c>
      <c r="AA36" s="233"/>
      <c r="AB36" s="96" t="e">
        <f t="shared" si="32"/>
        <v>#DIV/0!</v>
      </c>
      <c r="AC36" s="226">
        <f t="shared" si="33"/>
        <v>0</v>
      </c>
      <c r="AD36" s="96" t="e">
        <f t="shared" si="34"/>
        <v>#DIV/0!</v>
      </c>
      <c r="AE36" s="233"/>
      <c r="AF36" s="96" t="e">
        <f t="shared" si="35"/>
        <v>#DIV/0!</v>
      </c>
      <c r="AG36" s="233"/>
      <c r="AH36" s="96" t="e">
        <f t="shared" si="36"/>
        <v>#DIV/0!</v>
      </c>
      <c r="AI36" s="233"/>
      <c r="AJ36" s="96" t="e">
        <f t="shared" si="37"/>
        <v>#DIV/0!</v>
      </c>
      <c r="AK36" s="233"/>
      <c r="AL36" s="96" t="e">
        <f t="shared" si="38"/>
        <v>#DIV/0!</v>
      </c>
    </row>
    <row r="37" spans="2:38" ht="12">
      <c r="B37" s="79"/>
      <c r="C37" s="372"/>
      <c r="D37" s="82">
        <v>45931</v>
      </c>
      <c r="E37" s="82" t="s">
        <v>164</v>
      </c>
      <c r="F37" s="227">
        <f t="shared" si="18"/>
        <v>0</v>
      </c>
      <c r="G37" s="317"/>
      <c r="H37" s="387"/>
      <c r="I37" s="233"/>
      <c r="J37" s="96" t="e">
        <f t="shared" si="21"/>
        <v>#DIV/0!</v>
      </c>
      <c r="K37" s="233"/>
      <c r="L37" s="96" t="e">
        <f t="shared" si="22"/>
        <v>#DIV/0!</v>
      </c>
      <c r="M37" s="226">
        <f t="shared" si="23"/>
        <v>0</v>
      </c>
      <c r="N37" s="96" t="e">
        <f t="shared" si="24"/>
        <v>#DIV/0!</v>
      </c>
      <c r="O37" s="233"/>
      <c r="P37" s="96" t="e">
        <f t="shared" si="25"/>
        <v>#DIV/0!</v>
      </c>
      <c r="Q37" s="233"/>
      <c r="R37" s="96" t="e">
        <f t="shared" si="26"/>
        <v>#DIV/0!</v>
      </c>
      <c r="S37" s="226">
        <f t="shared" si="27"/>
        <v>0</v>
      </c>
      <c r="T37" s="96" t="e">
        <f t="shared" si="28"/>
        <v>#DIV/0!</v>
      </c>
      <c r="U37" s="233"/>
      <c r="V37" s="96" t="e">
        <f t="shared" si="29"/>
        <v>#DIV/0!</v>
      </c>
      <c r="W37" s="233"/>
      <c r="X37" s="96" t="e">
        <f t="shared" si="30"/>
        <v>#DIV/0!</v>
      </c>
      <c r="Y37" s="233"/>
      <c r="Z37" s="96" t="e">
        <f t="shared" si="31"/>
        <v>#DIV/0!</v>
      </c>
      <c r="AA37" s="233"/>
      <c r="AB37" s="96" t="e">
        <f t="shared" si="32"/>
        <v>#DIV/0!</v>
      </c>
      <c r="AC37" s="226">
        <f t="shared" si="33"/>
        <v>0</v>
      </c>
      <c r="AD37" s="96" t="e">
        <f t="shared" si="34"/>
        <v>#DIV/0!</v>
      </c>
      <c r="AE37" s="233"/>
      <c r="AF37" s="96" t="e">
        <f t="shared" si="35"/>
        <v>#DIV/0!</v>
      </c>
      <c r="AG37" s="233"/>
      <c r="AH37" s="96" t="e">
        <f t="shared" si="36"/>
        <v>#DIV/0!</v>
      </c>
      <c r="AI37" s="233"/>
      <c r="AJ37" s="96" t="e">
        <f t="shared" si="37"/>
        <v>#DIV/0!</v>
      </c>
      <c r="AK37" s="233"/>
      <c r="AL37" s="96" t="e">
        <f t="shared" si="38"/>
        <v>#DIV/0!</v>
      </c>
    </row>
    <row r="38" spans="2:38" ht="12">
      <c r="B38" s="79"/>
      <c r="C38" s="75"/>
      <c r="D38" s="82">
        <v>45932</v>
      </c>
      <c r="E38" s="82" t="s">
        <v>165</v>
      </c>
      <c r="F38" s="227">
        <f t="shared" si="18"/>
        <v>0</v>
      </c>
      <c r="G38" s="317"/>
      <c r="H38" s="93"/>
      <c r="I38" s="233"/>
      <c r="J38" s="96" t="e">
        <f t="shared" si="21"/>
        <v>#DIV/0!</v>
      </c>
      <c r="K38" s="233"/>
      <c r="L38" s="96" t="e">
        <f t="shared" si="22"/>
        <v>#DIV/0!</v>
      </c>
      <c r="M38" s="226">
        <f t="shared" si="23"/>
        <v>0</v>
      </c>
      <c r="N38" s="96" t="e">
        <f t="shared" si="24"/>
        <v>#DIV/0!</v>
      </c>
      <c r="O38" s="233"/>
      <c r="P38" s="96" t="e">
        <f t="shared" si="25"/>
        <v>#DIV/0!</v>
      </c>
      <c r="Q38" s="233"/>
      <c r="R38" s="96" t="e">
        <f t="shared" si="26"/>
        <v>#DIV/0!</v>
      </c>
      <c r="S38" s="226">
        <f t="shared" si="27"/>
        <v>0</v>
      </c>
      <c r="T38" s="96" t="e">
        <f t="shared" si="28"/>
        <v>#DIV/0!</v>
      </c>
      <c r="U38" s="233"/>
      <c r="V38" s="96" t="e">
        <f t="shared" si="29"/>
        <v>#DIV/0!</v>
      </c>
      <c r="W38" s="233"/>
      <c r="X38" s="96" t="e">
        <f t="shared" si="30"/>
        <v>#DIV/0!</v>
      </c>
      <c r="Y38" s="233"/>
      <c r="Z38" s="96" t="e">
        <f t="shared" si="31"/>
        <v>#DIV/0!</v>
      </c>
      <c r="AA38" s="233"/>
      <c r="AB38" s="96" t="e">
        <f t="shared" si="32"/>
        <v>#DIV/0!</v>
      </c>
      <c r="AC38" s="226">
        <f t="shared" si="33"/>
        <v>0</v>
      </c>
      <c r="AD38" s="96" t="e">
        <f t="shared" si="34"/>
        <v>#DIV/0!</v>
      </c>
      <c r="AE38" s="233"/>
      <c r="AF38" s="96" t="e">
        <f t="shared" si="35"/>
        <v>#DIV/0!</v>
      </c>
      <c r="AG38" s="233"/>
      <c r="AH38" s="96" t="e">
        <f t="shared" si="36"/>
        <v>#DIV/0!</v>
      </c>
      <c r="AI38" s="233"/>
      <c r="AJ38" s="96" t="e">
        <f t="shared" si="37"/>
        <v>#DIV/0!</v>
      </c>
      <c r="AK38" s="233"/>
      <c r="AL38" s="96" t="e">
        <f t="shared" si="38"/>
        <v>#DIV/0!</v>
      </c>
    </row>
    <row r="39" spans="2:38" ht="12">
      <c r="B39" s="79"/>
      <c r="C39" s="75"/>
      <c r="D39" s="82">
        <v>45933</v>
      </c>
      <c r="E39" s="82" t="s">
        <v>166</v>
      </c>
      <c r="F39" s="227">
        <f t="shared" si="18"/>
        <v>0</v>
      </c>
      <c r="G39" s="317"/>
      <c r="H39" s="93"/>
      <c r="I39" s="233"/>
      <c r="J39" s="96" t="e">
        <f t="shared" si="21"/>
        <v>#DIV/0!</v>
      </c>
      <c r="K39" s="233"/>
      <c r="L39" s="96" t="e">
        <f t="shared" si="22"/>
        <v>#DIV/0!</v>
      </c>
      <c r="M39" s="226">
        <f t="shared" si="23"/>
        <v>0</v>
      </c>
      <c r="N39" s="96" t="e">
        <f t="shared" si="24"/>
        <v>#DIV/0!</v>
      </c>
      <c r="O39" s="233"/>
      <c r="P39" s="96" t="e">
        <f t="shared" si="25"/>
        <v>#DIV/0!</v>
      </c>
      <c r="Q39" s="233"/>
      <c r="R39" s="96" t="e">
        <f t="shared" si="26"/>
        <v>#DIV/0!</v>
      </c>
      <c r="S39" s="226">
        <f t="shared" si="27"/>
        <v>0</v>
      </c>
      <c r="T39" s="96" t="e">
        <f t="shared" si="28"/>
        <v>#DIV/0!</v>
      </c>
      <c r="U39" s="233"/>
      <c r="V39" s="96" t="e">
        <f t="shared" si="29"/>
        <v>#DIV/0!</v>
      </c>
      <c r="W39" s="233"/>
      <c r="X39" s="96" t="e">
        <f t="shared" si="30"/>
        <v>#DIV/0!</v>
      </c>
      <c r="Y39" s="233"/>
      <c r="Z39" s="96" t="e">
        <f t="shared" si="31"/>
        <v>#DIV/0!</v>
      </c>
      <c r="AA39" s="233"/>
      <c r="AB39" s="96" t="e">
        <f t="shared" si="32"/>
        <v>#DIV/0!</v>
      </c>
      <c r="AC39" s="226">
        <f t="shared" si="33"/>
        <v>0</v>
      </c>
      <c r="AD39" s="96" t="e">
        <f t="shared" si="34"/>
        <v>#DIV/0!</v>
      </c>
      <c r="AE39" s="233"/>
      <c r="AF39" s="96" t="e">
        <f t="shared" si="35"/>
        <v>#DIV/0!</v>
      </c>
      <c r="AG39" s="233"/>
      <c r="AH39" s="96" t="e">
        <f t="shared" si="36"/>
        <v>#DIV/0!</v>
      </c>
      <c r="AI39" s="233"/>
      <c r="AJ39" s="96" t="e">
        <f t="shared" si="37"/>
        <v>#DIV/0!</v>
      </c>
      <c r="AK39" s="233"/>
      <c r="AL39" s="96" t="e">
        <f t="shared" si="38"/>
        <v>#DIV/0!</v>
      </c>
    </row>
    <row r="40" spans="2:38" ht="12">
      <c r="B40" s="79"/>
      <c r="C40" s="75"/>
      <c r="D40" s="82">
        <v>45934</v>
      </c>
      <c r="E40" s="82" t="s">
        <v>167</v>
      </c>
      <c r="F40" s="227">
        <f t="shared" si="18"/>
        <v>0</v>
      </c>
      <c r="G40" s="317"/>
      <c r="H40" s="93"/>
      <c r="I40" s="233"/>
      <c r="J40" s="96" t="e">
        <f t="shared" si="21"/>
        <v>#DIV/0!</v>
      </c>
      <c r="K40" s="233"/>
      <c r="L40" s="96" t="e">
        <f t="shared" si="22"/>
        <v>#DIV/0!</v>
      </c>
      <c r="M40" s="226">
        <f t="shared" si="23"/>
        <v>0</v>
      </c>
      <c r="N40" s="96" t="e">
        <f t="shared" si="24"/>
        <v>#DIV/0!</v>
      </c>
      <c r="O40" s="233"/>
      <c r="P40" s="96" t="e">
        <f t="shared" si="25"/>
        <v>#DIV/0!</v>
      </c>
      <c r="Q40" s="233"/>
      <c r="R40" s="96" t="e">
        <f t="shared" si="26"/>
        <v>#DIV/0!</v>
      </c>
      <c r="S40" s="226">
        <f t="shared" si="27"/>
        <v>0</v>
      </c>
      <c r="T40" s="96" t="e">
        <f t="shared" si="28"/>
        <v>#DIV/0!</v>
      </c>
      <c r="U40" s="233"/>
      <c r="V40" s="96" t="e">
        <f t="shared" si="29"/>
        <v>#DIV/0!</v>
      </c>
      <c r="W40" s="233"/>
      <c r="X40" s="96" t="e">
        <f t="shared" si="30"/>
        <v>#DIV/0!</v>
      </c>
      <c r="Y40" s="233"/>
      <c r="Z40" s="96" t="e">
        <f t="shared" si="31"/>
        <v>#DIV/0!</v>
      </c>
      <c r="AA40" s="233"/>
      <c r="AB40" s="96" t="e">
        <f t="shared" si="32"/>
        <v>#DIV/0!</v>
      </c>
      <c r="AC40" s="226">
        <f t="shared" si="33"/>
        <v>0</v>
      </c>
      <c r="AD40" s="96" t="e">
        <f t="shared" si="34"/>
        <v>#DIV/0!</v>
      </c>
      <c r="AE40" s="233"/>
      <c r="AF40" s="96" t="e">
        <f t="shared" si="35"/>
        <v>#DIV/0!</v>
      </c>
      <c r="AG40" s="233"/>
      <c r="AH40" s="96" t="e">
        <f t="shared" si="36"/>
        <v>#DIV/0!</v>
      </c>
      <c r="AI40" s="233"/>
      <c r="AJ40" s="96" t="e">
        <f t="shared" si="37"/>
        <v>#DIV/0!</v>
      </c>
      <c r="AK40" s="233"/>
      <c r="AL40" s="96" t="e">
        <f t="shared" si="38"/>
        <v>#DIV/0!</v>
      </c>
    </row>
    <row r="41" spans="2:38" ht="12">
      <c r="B41" s="79"/>
      <c r="C41" s="75"/>
      <c r="D41" s="82">
        <v>45935</v>
      </c>
      <c r="E41" s="82" t="s">
        <v>168</v>
      </c>
      <c r="F41" s="227">
        <f t="shared" si="18"/>
        <v>0</v>
      </c>
      <c r="G41" s="317"/>
      <c r="H41" s="93"/>
      <c r="I41" s="233"/>
      <c r="J41" s="96" t="e">
        <f t="shared" ref="J41:J45" si="39">I41/F41</f>
        <v>#DIV/0!</v>
      </c>
      <c r="K41" s="233"/>
      <c r="L41" s="96" t="e">
        <f t="shared" ref="L41:L45" si="40">K41/F41</f>
        <v>#DIV/0!</v>
      </c>
      <c r="M41" s="226">
        <f t="shared" ref="M41:M45" si="41">SUM(I41+K41)</f>
        <v>0</v>
      </c>
      <c r="N41" s="96" t="e">
        <f t="shared" ref="N41:N45" si="42">M41/F41</f>
        <v>#DIV/0!</v>
      </c>
      <c r="O41" s="233"/>
      <c r="P41" s="96" t="e">
        <f t="shared" ref="P41:P45" si="43">O41/F41</f>
        <v>#DIV/0!</v>
      </c>
      <c r="Q41" s="233"/>
      <c r="R41" s="96" t="e">
        <f t="shared" si="26"/>
        <v>#DIV/0!</v>
      </c>
      <c r="S41" s="226">
        <f t="shared" si="27"/>
        <v>0</v>
      </c>
      <c r="T41" s="96" t="e">
        <f t="shared" ref="T41:T45" si="44">S41/F41</f>
        <v>#DIV/0!</v>
      </c>
      <c r="U41" s="233"/>
      <c r="V41" s="96" t="e">
        <f t="shared" ref="V41:V45" si="45">U41/F41</f>
        <v>#DIV/0!</v>
      </c>
      <c r="W41" s="233"/>
      <c r="X41" s="96" t="e">
        <f t="shared" ref="X41:X45" si="46">W41/F41</f>
        <v>#DIV/0!</v>
      </c>
      <c r="Y41" s="233"/>
      <c r="Z41" s="96" t="e">
        <f t="shared" ref="Z41:Z45" si="47">Y41/F41</f>
        <v>#DIV/0!</v>
      </c>
      <c r="AA41" s="233"/>
      <c r="AB41" s="96" t="e">
        <f t="shared" si="32"/>
        <v>#DIV/0!</v>
      </c>
      <c r="AC41" s="226">
        <f t="shared" ref="AC41:AC45" si="48">SUM(Y41+AA41)</f>
        <v>0</v>
      </c>
      <c r="AD41" s="96" t="e">
        <f t="shared" ref="AD41:AD45" si="49">AC41/F41</f>
        <v>#DIV/0!</v>
      </c>
      <c r="AE41" s="233"/>
      <c r="AF41" s="96" t="e">
        <f t="shared" ref="AF41:AF45" si="50">AE41/F41</f>
        <v>#DIV/0!</v>
      </c>
      <c r="AG41" s="233"/>
      <c r="AH41" s="96" t="e">
        <f t="shared" ref="AH41:AH45" si="51">AG41/F41</f>
        <v>#DIV/0!</v>
      </c>
      <c r="AI41" s="233"/>
      <c r="AJ41" s="96" t="e">
        <f t="shared" ref="AJ41:AJ45" si="52">AI41/F41</f>
        <v>#DIV/0!</v>
      </c>
      <c r="AK41" s="233"/>
      <c r="AL41" s="96" t="e">
        <f t="shared" ref="AL41:AL45" si="53">AK41/F41</f>
        <v>#DIV/0!</v>
      </c>
    </row>
    <row r="42" spans="2:38" ht="12">
      <c r="B42" s="79"/>
      <c r="C42" s="75"/>
      <c r="D42" s="82">
        <v>45936</v>
      </c>
      <c r="E42" s="82" t="s">
        <v>162</v>
      </c>
      <c r="F42" s="227">
        <f t="shared" si="18"/>
        <v>0</v>
      </c>
      <c r="G42" s="317"/>
      <c r="H42" s="93"/>
      <c r="I42" s="233"/>
      <c r="J42" s="96" t="e">
        <f t="shared" si="39"/>
        <v>#DIV/0!</v>
      </c>
      <c r="K42" s="233"/>
      <c r="L42" s="96" t="e">
        <f t="shared" si="40"/>
        <v>#DIV/0!</v>
      </c>
      <c r="M42" s="226">
        <f t="shared" si="41"/>
        <v>0</v>
      </c>
      <c r="N42" s="96" t="e">
        <f t="shared" si="42"/>
        <v>#DIV/0!</v>
      </c>
      <c r="O42" s="233"/>
      <c r="P42" s="96" t="e">
        <f t="shared" si="43"/>
        <v>#DIV/0!</v>
      </c>
      <c r="Q42" s="233"/>
      <c r="R42" s="96" t="e">
        <f t="shared" si="26"/>
        <v>#DIV/0!</v>
      </c>
      <c r="S42" s="226">
        <f t="shared" si="27"/>
        <v>0</v>
      </c>
      <c r="T42" s="96" t="e">
        <f t="shared" si="44"/>
        <v>#DIV/0!</v>
      </c>
      <c r="U42" s="233"/>
      <c r="V42" s="96" t="e">
        <f t="shared" si="45"/>
        <v>#DIV/0!</v>
      </c>
      <c r="W42" s="233"/>
      <c r="X42" s="96" t="e">
        <f t="shared" si="46"/>
        <v>#DIV/0!</v>
      </c>
      <c r="Y42" s="233"/>
      <c r="Z42" s="96" t="e">
        <f t="shared" si="47"/>
        <v>#DIV/0!</v>
      </c>
      <c r="AA42" s="233"/>
      <c r="AB42" s="96" t="e">
        <f t="shared" si="32"/>
        <v>#DIV/0!</v>
      </c>
      <c r="AC42" s="226">
        <f t="shared" si="48"/>
        <v>0</v>
      </c>
      <c r="AD42" s="96" t="e">
        <f t="shared" si="49"/>
        <v>#DIV/0!</v>
      </c>
      <c r="AE42" s="233"/>
      <c r="AF42" s="96" t="e">
        <f t="shared" si="50"/>
        <v>#DIV/0!</v>
      </c>
      <c r="AG42" s="233"/>
      <c r="AH42" s="96" t="e">
        <f t="shared" si="51"/>
        <v>#DIV/0!</v>
      </c>
      <c r="AI42" s="233"/>
      <c r="AJ42" s="96" t="e">
        <f t="shared" si="52"/>
        <v>#DIV/0!</v>
      </c>
      <c r="AK42" s="233"/>
      <c r="AL42" s="96" t="e">
        <f t="shared" si="53"/>
        <v>#DIV/0!</v>
      </c>
    </row>
    <row r="43" spans="2:38" ht="12">
      <c r="B43" s="79"/>
      <c r="C43" s="75"/>
      <c r="D43" s="82"/>
      <c r="E43" s="82"/>
      <c r="F43" s="227">
        <f t="shared" si="18"/>
        <v>0</v>
      </c>
      <c r="G43" s="227"/>
      <c r="H43" s="93"/>
      <c r="I43" s="233"/>
      <c r="J43" s="96" t="e">
        <f t="shared" si="39"/>
        <v>#DIV/0!</v>
      </c>
      <c r="K43" s="233"/>
      <c r="L43" s="96" t="e">
        <f t="shared" si="40"/>
        <v>#DIV/0!</v>
      </c>
      <c r="M43" s="226">
        <f t="shared" si="41"/>
        <v>0</v>
      </c>
      <c r="N43" s="96" t="e">
        <f t="shared" si="42"/>
        <v>#DIV/0!</v>
      </c>
      <c r="O43" s="233"/>
      <c r="P43" s="96" t="e">
        <f t="shared" si="43"/>
        <v>#DIV/0!</v>
      </c>
      <c r="Q43" s="233"/>
      <c r="R43" s="96" t="e">
        <f t="shared" si="26"/>
        <v>#DIV/0!</v>
      </c>
      <c r="S43" s="226">
        <f t="shared" si="27"/>
        <v>0</v>
      </c>
      <c r="T43" s="96" t="e">
        <f t="shared" si="44"/>
        <v>#DIV/0!</v>
      </c>
      <c r="U43" s="233"/>
      <c r="V43" s="96" t="e">
        <f t="shared" si="45"/>
        <v>#DIV/0!</v>
      </c>
      <c r="W43" s="233"/>
      <c r="X43" s="96" t="e">
        <f t="shared" si="46"/>
        <v>#DIV/0!</v>
      </c>
      <c r="Y43" s="233"/>
      <c r="Z43" s="96" t="e">
        <f t="shared" si="47"/>
        <v>#DIV/0!</v>
      </c>
      <c r="AA43" s="233"/>
      <c r="AB43" s="96" t="e">
        <f t="shared" si="32"/>
        <v>#DIV/0!</v>
      </c>
      <c r="AC43" s="226">
        <f t="shared" si="48"/>
        <v>0</v>
      </c>
      <c r="AD43" s="96" t="e">
        <f t="shared" si="49"/>
        <v>#DIV/0!</v>
      </c>
      <c r="AE43" s="233"/>
      <c r="AF43" s="96" t="e">
        <f t="shared" si="50"/>
        <v>#DIV/0!</v>
      </c>
      <c r="AG43" s="233"/>
      <c r="AH43" s="96" t="e">
        <f t="shared" si="51"/>
        <v>#DIV/0!</v>
      </c>
      <c r="AI43" s="233"/>
      <c r="AJ43" s="96" t="e">
        <f t="shared" si="52"/>
        <v>#DIV/0!</v>
      </c>
      <c r="AK43" s="233"/>
      <c r="AL43" s="96" t="e">
        <f t="shared" si="53"/>
        <v>#DIV/0!</v>
      </c>
    </row>
    <row r="44" spans="2:38" ht="12">
      <c r="B44" s="79"/>
      <c r="C44" s="75"/>
      <c r="D44" s="82"/>
      <c r="E44" s="82"/>
      <c r="F44" s="227">
        <f t="shared" si="18"/>
        <v>0</v>
      </c>
      <c r="G44" s="227"/>
      <c r="H44" s="93"/>
      <c r="I44" s="233"/>
      <c r="J44" s="96" t="e">
        <f t="shared" si="39"/>
        <v>#DIV/0!</v>
      </c>
      <c r="K44" s="233"/>
      <c r="L44" s="96" t="e">
        <f t="shared" si="40"/>
        <v>#DIV/0!</v>
      </c>
      <c r="M44" s="226">
        <f t="shared" si="41"/>
        <v>0</v>
      </c>
      <c r="N44" s="96" t="e">
        <f t="shared" si="42"/>
        <v>#DIV/0!</v>
      </c>
      <c r="O44" s="233"/>
      <c r="P44" s="96" t="e">
        <f t="shared" si="43"/>
        <v>#DIV/0!</v>
      </c>
      <c r="Q44" s="233"/>
      <c r="R44" s="96" t="e">
        <f t="shared" si="26"/>
        <v>#DIV/0!</v>
      </c>
      <c r="S44" s="226">
        <f t="shared" si="27"/>
        <v>0</v>
      </c>
      <c r="T44" s="96" t="e">
        <f t="shared" si="44"/>
        <v>#DIV/0!</v>
      </c>
      <c r="U44" s="233"/>
      <c r="V44" s="96" t="e">
        <f t="shared" si="45"/>
        <v>#DIV/0!</v>
      </c>
      <c r="W44" s="233"/>
      <c r="X44" s="96" t="e">
        <f t="shared" si="46"/>
        <v>#DIV/0!</v>
      </c>
      <c r="Y44" s="233"/>
      <c r="Z44" s="96" t="e">
        <f t="shared" si="47"/>
        <v>#DIV/0!</v>
      </c>
      <c r="AA44" s="233"/>
      <c r="AB44" s="96" t="e">
        <f t="shared" si="32"/>
        <v>#DIV/0!</v>
      </c>
      <c r="AC44" s="226">
        <f t="shared" si="48"/>
        <v>0</v>
      </c>
      <c r="AD44" s="96" t="e">
        <f t="shared" si="49"/>
        <v>#DIV/0!</v>
      </c>
      <c r="AE44" s="233"/>
      <c r="AF44" s="96" t="e">
        <f t="shared" si="50"/>
        <v>#DIV/0!</v>
      </c>
      <c r="AG44" s="233"/>
      <c r="AH44" s="96" t="e">
        <f t="shared" si="51"/>
        <v>#DIV/0!</v>
      </c>
      <c r="AI44" s="233"/>
      <c r="AJ44" s="96" t="e">
        <f t="shared" si="52"/>
        <v>#DIV/0!</v>
      </c>
      <c r="AK44" s="233"/>
      <c r="AL44" s="96" t="e">
        <f t="shared" si="53"/>
        <v>#DIV/0!</v>
      </c>
    </row>
    <row r="45" spans="2:38" ht="12">
      <c r="B45" s="79"/>
      <c r="C45" s="75"/>
      <c r="D45" s="82"/>
      <c r="E45" s="82"/>
      <c r="F45" s="227">
        <f t="shared" si="18"/>
        <v>0</v>
      </c>
      <c r="G45" s="227"/>
      <c r="H45" s="93"/>
      <c r="I45" s="233"/>
      <c r="J45" s="96" t="e">
        <f t="shared" si="39"/>
        <v>#DIV/0!</v>
      </c>
      <c r="K45" s="233"/>
      <c r="L45" s="96" t="e">
        <f t="shared" si="40"/>
        <v>#DIV/0!</v>
      </c>
      <c r="M45" s="226">
        <f t="shared" si="41"/>
        <v>0</v>
      </c>
      <c r="N45" s="96" t="e">
        <f t="shared" si="42"/>
        <v>#DIV/0!</v>
      </c>
      <c r="O45" s="233"/>
      <c r="P45" s="96" t="e">
        <f t="shared" si="43"/>
        <v>#DIV/0!</v>
      </c>
      <c r="Q45" s="233"/>
      <c r="R45" s="96" t="e">
        <f t="shared" si="26"/>
        <v>#DIV/0!</v>
      </c>
      <c r="S45" s="226">
        <f t="shared" si="27"/>
        <v>0</v>
      </c>
      <c r="T45" s="96" t="e">
        <f t="shared" si="44"/>
        <v>#DIV/0!</v>
      </c>
      <c r="U45" s="233"/>
      <c r="V45" s="96" t="e">
        <f t="shared" si="45"/>
        <v>#DIV/0!</v>
      </c>
      <c r="W45" s="233"/>
      <c r="X45" s="96" t="e">
        <f t="shared" si="46"/>
        <v>#DIV/0!</v>
      </c>
      <c r="Y45" s="233"/>
      <c r="Z45" s="96" t="e">
        <f t="shared" si="47"/>
        <v>#DIV/0!</v>
      </c>
      <c r="AA45" s="233"/>
      <c r="AB45" s="96" t="e">
        <f t="shared" si="32"/>
        <v>#DIV/0!</v>
      </c>
      <c r="AC45" s="226">
        <f t="shared" si="48"/>
        <v>0</v>
      </c>
      <c r="AD45" s="96" t="e">
        <f t="shared" si="49"/>
        <v>#DIV/0!</v>
      </c>
      <c r="AE45" s="233"/>
      <c r="AF45" s="96" t="e">
        <f t="shared" si="50"/>
        <v>#DIV/0!</v>
      </c>
      <c r="AG45" s="233"/>
      <c r="AH45" s="96" t="e">
        <f t="shared" si="51"/>
        <v>#DIV/0!</v>
      </c>
      <c r="AI45" s="233"/>
      <c r="AJ45" s="96" t="e">
        <f t="shared" si="52"/>
        <v>#DIV/0!</v>
      </c>
      <c r="AK45" s="233"/>
      <c r="AL45" s="96" t="e">
        <f t="shared" si="53"/>
        <v>#DIV/0!</v>
      </c>
    </row>
    <row r="46" spans="2:38" ht="12">
      <c r="B46" s="79"/>
      <c r="C46" s="75"/>
      <c r="D46" s="78"/>
      <c r="F46" s="93"/>
      <c r="G46" s="93"/>
      <c r="H46" s="93"/>
      <c r="I46" s="292">
        <f>SUM(I7:I45)</f>
        <v>12064539.327591209</v>
      </c>
      <c r="J46" s="288">
        <f>I46/$H$7</f>
        <v>0.11388166294372722</v>
      </c>
      <c r="K46" s="292">
        <f>SUM(K7:K45)</f>
        <v>12317415.753188429</v>
      </c>
      <c r="L46" s="288">
        <f t="shared" ref="L46" si="54">K46/$H$7</f>
        <v>0.11626865734809848</v>
      </c>
      <c r="M46" s="292">
        <f>SUM(M7:M45)</f>
        <v>24381955.080779642</v>
      </c>
      <c r="N46" s="288">
        <f t="shared" ref="N46" si="55">M46/$H$7</f>
        <v>0.23015032029182572</v>
      </c>
      <c r="O46" s="292">
        <f>SUM(O7:O45)</f>
        <v>2154037.0296137258</v>
      </c>
      <c r="P46" s="288">
        <f t="shared" ref="P46" si="56">O46/$H$7</f>
        <v>2.0332754721415047E-2</v>
      </c>
      <c r="Q46" s="292">
        <f>SUM(Q7:Q45)</f>
        <v>1619141.5558733356</v>
      </c>
      <c r="R46" s="288">
        <f t="shared" ref="R46" si="57">Q46/$H$7</f>
        <v>1.528367788585629E-2</v>
      </c>
      <c r="S46" s="292">
        <f>SUM(S7:S45)</f>
        <v>3773178.5854870612</v>
      </c>
      <c r="T46" s="288">
        <f t="shared" ref="T46" si="58">S46/$H$7</f>
        <v>3.5616432607271334E-2</v>
      </c>
      <c r="U46" s="292">
        <f>SUM(U7:U45)</f>
        <v>9157817.7412545197</v>
      </c>
      <c r="V46" s="288">
        <f t="shared" ref="V46" si="59">U46/$H$7</f>
        <v>8.6444039427559155E-2</v>
      </c>
      <c r="W46" s="292">
        <f>SUM(W7:W45)</f>
        <v>178548.5552069291</v>
      </c>
      <c r="X46" s="288">
        <f t="shared" ref="X46" si="60">W46/$H$7</f>
        <v>1.6853860583522764E-3</v>
      </c>
      <c r="Y46" s="292">
        <f>SUM(Y7:Y45)</f>
        <v>9994576.951014448</v>
      </c>
      <c r="Z46" s="288">
        <f t="shared" ref="Z46" si="61">Y46/$H$7</f>
        <v>9.4342520066020924E-2</v>
      </c>
      <c r="AA46" s="292">
        <f>SUM(AA7:AA45)</f>
        <v>16284664.271768088</v>
      </c>
      <c r="AB46" s="288">
        <f t="shared" ref="AB46" si="62">AA46/$H$7</f>
        <v>0.15371698805838468</v>
      </c>
      <c r="AC46" s="292">
        <f>SUM(AC7:AC45)</f>
        <v>26279241.222782537</v>
      </c>
      <c r="AD46" s="288">
        <f t="shared" ref="AD46" si="63">AC46/$H$7</f>
        <v>0.24805950812440564</v>
      </c>
      <c r="AE46" s="292">
        <f>SUM(AE7:AE45)</f>
        <v>11097284.104192283</v>
      </c>
      <c r="AF46" s="288">
        <f t="shared" ref="AF46" si="64">AE46/$H$7</f>
        <v>0.10475138201540693</v>
      </c>
      <c r="AG46" s="292">
        <f>SUM(AG7:AG45)</f>
        <v>16124897.257529251</v>
      </c>
      <c r="AH46" s="288">
        <f t="shared" ref="AH46" si="65">AG46/$H$7</f>
        <v>0.15220888793362797</v>
      </c>
      <c r="AI46" s="292">
        <f>SUM(AI7:AI45)</f>
        <v>8914326.8633114174</v>
      </c>
      <c r="AJ46" s="288">
        <f t="shared" ref="AJ46" si="66">AI46/$H$7</f>
        <v>8.4145638689756191E-2</v>
      </c>
      <c r="AK46" s="292">
        <f>SUM(AK7:AK45)</f>
        <v>6032012.5894563664</v>
      </c>
      <c r="AL46" s="288">
        <f t="shared" ref="AL46" si="67">AK46/$H$7</f>
        <v>5.6938404851794855E-2</v>
      </c>
    </row>
    <row r="47" spans="2:38" ht="12">
      <c r="B47" s="79"/>
      <c r="C47" s="75"/>
      <c r="D47" s="78"/>
      <c r="F47" s="93"/>
      <c r="G47" s="93"/>
      <c r="H47" s="93"/>
      <c r="I47" s="289"/>
      <c r="J47" s="290"/>
      <c r="K47" s="289"/>
      <c r="L47" s="290"/>
      <c r="M47" s="291">
        <f>M46</f>
        <v>24381955.080779642</v>
      </c>
      <c r="N47" s="290"/>
      <c r="O47" s="289"/>
      <c r="P47" s="290"/>
      <c r="Q47" s="289"/>
      <c r="R47" s="290"/>
      <c r="S47" s="291">
        <f>S46</f>
        <v>3773178.5854870612</v>
      </c>
      <c r="T47" s="290"/>
      <c r="U47" s="291">
        <f>U46</f>
        <v>9157817.7412545197</v>
      </c>
      <c r="V47" s="290"/>
      <c r="W47" s="291">
        <f>W46</f>
        <v>178548.5552069291</v>
      </c>
      <c r="X47" s="290"/>
      <c r="Y47" s="289"/>
      <c r="Z47" s="290"/>
      <c r="AA47" s="289"/>
      <c r="AB47" s="290"/>
      <c r="AC47" s="291">
        <f>AC46</f>
        <v>26279241.222782537</v>
      </c>
      <c r="AD47" s="290"/>
      <c r="AE47" s="291">
        <f>AE46</f>
        <v>11097284.104192283</v>
      </c>
      <c r="AF47" s="290"/>
      <c r="AG47" s="291">
        <f>AG46</f>
        <v>16124897.257529251</v>
      </c>
      <c r="AH47" s="290"/>
      <c r="AI47" s="291">
        <f>AI46</f>
        <v>8914326.8633114174</v>
      </c>
      <c r="AJ47" s="290"/>
      <c r="AK47" s="291">
        <f>AK46</f>
        <v>6032012.5894563664</v>
      </c>
      <c r="AL47" s="290"/>
    </row>
    <row r="48" spans="2:38" ht="12">
      <c r="B48" s="79"/>
      <c r="C48" s="75"/>
      <c r="D48" s="78"/>
      <c r="F48" s="93"/>
      <c r="G48" s="93"/>
      <c r="H48" s="93"/>
    </row>
    <row r="49" spans="1:46" ht="12">
      <c r="B49" s="79"/>
      <c r="C49" s="75"/>
      <c r="D49" s="78"/>
      <c r="F49" s="93"/>
      <c r="G49" s="93"/>
      <c r="H49" s="93"/>
    </row>
    <row r="50" spans="1:46" s="78" customFormat="1" ht="12">
      <c r="A50" s="75"/>
      <c r="B50" s="79"/>
      <c r="C50" s="75"/>
      <c r="F50" s="97"/>
      <c r="G50" s="97"/>
      <c r="H50" s="97"/>
      <c r="I50" s="93"/>
      <c r="J50" s="86"/>
      <c r="K50" s="93"/>
      <c r="L50" s="86"/>
      <c r="M50" s="86"/>
      <c r="N50" s="86"/>
      <c r="O50" s="93"/>
      <c r="P50" s="86"/>
      <c r="Q50" s="93"/>
      <c r="R50" s="86"/>
      <c r="S50" s="93"/>
      <c r="T50" s="86"/>
      <c r="U50" s="93"/>
      <c r="V50" s="86"/>
      <c r="W50" s="93"/>
      <c r="X50" s="86"/>
      <c r="Y50" s="93"/>
      <c r="Z50" s="86"/>
      <c r="AA50" s="93"/>
      <c r="AB50" s="86"/>
      <c r="AC50" s="93"/>
      <c r="AD50" s="86"/>
      <c r="AE50" s="93"/>
      <c r="AF50" s="86"/>
      <c r="AG50" s="93"/>
      <c r="AH50" s="86"/>
      <c r="AI50" s="93"/>
      <c r="AJ50" s="86"/>
      <c r="AK50" s="93"/>
      <c r="AL50" s="86"/>
      <c r="AM50" s="75"/>
      <c r="AN50" s="75"/>
      <c r="AO50" s="75"/>
      <c r="AP50" s="75"/>
      <c r="AQ50" s="75"/>
      <c r="AR50" s="75"/>
      <c r="AS50" s="75"/>
      <c r="AT50" s="75"/>
    </row>
    <row r="51" spans="1:46" s="78" customFormat="1" ht="12">
      <c r="A51" s="75"/>
      <c r="B51" s="79"/>
      <c r="C51" s="75"/>
      <c r="F51" s="97"/>
      <c r="G51" s="97"/>
      <c r="H51" s="97"/>
      <c r="I51" s="93"/>
      <c r="J51" s="86"/>
      <c r="K51" s="93"/>
      <c r="L51" s="86"/>
      <c r="M51" s="86"/>
      <c r="N51" s="86"/>
      <c r="O51" s="93"/>
      <c r="P51" s="86"/>
      <c r="Q51" s="93"/>
      <c r="R51" s="86"/>
      <c r="S51" s="93"/>
      <c r="T51" s="86"/>
      <c r="U51" s="93"/>
      <c r="V51" s="86"/>
      <c r="W51" s="93"/>
      <c r="X51" s="86"/>
      <c r="Y51" s="93"/>
      <c r="Z51" s="86"/>
      <c r="AA51" s="93"/>
      <c r="AB51" s="86"/>
      <c r="AC51" s="93"/>
      <c r="AD51" s="86"/>
      <c r="AE51" s="93"/>
      <c r="AF51" s="86"/>
      <c r="AG51" s="93"/>
      <c r="AH51" s="86"/>
      <c r="AI51" s="93"/>
      <c r="AJ51" s="86"/>
      <c r="AK51" s="93"/>
      <c r="AL51" s="86"/>
      <c r="AM51" s="75"/>
      <c r="AN51" s="75"/>
      <c r="AO51" s="75"/>
      <c r="AP51" s="75"/>
      <c r="AQ51" s="75"/>
      <c r="AR51" s="75"/>
      <c r="AS51" s="75"/>
      <c r="AT51" s="75"/>
    </row>
    <row r="52" spans="1:46" s="78" customFormat="1" ht="12">
      <c r="A52" s="75"/>
      <c r="B52" s="79"/>
      <c r="C52" s="75"/>
      <c r="F52" s="97"/>
      <c r="G52" s="97"/>
      <c r="H52" s="97"/>
      <c r="I52" s="93"/>
      <c r="J52" s="86"/>
      <c r="K52" s="93"/>
      <c r="L52" s="86"/>
      <c r="M52" s="86"/>
      <c r="N52" s="86"/>
      <c r="O52" s="93"/>
      <c r="P52" s="86"/>
      <c r="Q52" s="93"/>
      <c r="R52" s="86"/>
      <c r="S52" s="93"/>
      <c r="T52" s="86"/>
      <c r="U52" s="93"/>
      <c r="V52" s="86"/>
      <c r="W52" s="93"/>
      <c r="X52" s="86"/>
      <c r="Y52" s="93"/>
      <c r="Z52" s="86"/>
      <c r="AA52" s="93"/>
      <c r="AB52" s="86"/>
      <c r="AC52" s="93"/>
      <c r="AD52" s="86"/>
      <c r="AE52" s="93"/>
      <c r="AF52" s="86"/>
      <c r="AG52" s="93"/>
      <c r="AH52" s="86"/>
      <c r="AI52" s="93"/>
      <c r="AJ52" s="86"/>
      <c r="AK52" s="93"/>
      <c r="AL52" s="86"/>
      <c r="AM52" s="75"/>
      <c r="AN52" s="75"/>
      <c r="AO52" s="75"/>
      <c r="AP52" s="75"/>
      <c r="AQ52" s="75"/>
      <c r="AR52" s="75"/>
      <c r="AS52" s="75"/>
      <c r="AT52" s="75"/>
    </row>
    <row r="53" spans="1:46" s="78" customFormat="1" ht="12">
      <c r="A53" s="75"/>
      <c r="B53" s="79"/>
      <c r="C53" s="75"/>
      <c r="F53" s="97"/>
      <c r="G53" s="97"/>
      <c r="H53" s="97"/>
      <c r="I53" s="93"/>
      <c r="J53" s="86"/>
      <c r="K53" s="93"/>
      <c r="L53" s="86"/>
      <c r="M53" s="86"/>
      <c r="N53" s="86"/>
      <c r="O53" s="93"/>
      <c r="P53" s="86"/>
      <c r="Q53" s="93"/>
      <c r="R53" s="86"/>
      <c r="S53" s="93"/>
      <c r="T53" s="86"/>
      <c r="U53" s="93"/>
      <c r="V53" s="86"/>
      <c r="W53" s="93"/>
      <c r="X53" s="86"/>
      <c r="Y53" s="93"/>
      <c r="Z53" s="86"/>
      <c r="AA53" s="93"/>
      <c r="AB53" s="86"/>
      <c r="AC53" s="93"/>
      <c r="AD53" s="86"/>
      <c r="AE53" s="93"/>
      <c r="AF53" s="86"/>
      <c r="AG53" s="93"/>
      <c r="AH53" s="86"/>
      <c r="AI53" s="93"/>
      <c r="AJ53" s="86"/>
      <c r="AK53" s="93"/>
      <c r="AL53" s="86"/>
      <c r="AM53" s="75"/>
      <c r="AN53" s="75"/>
      <c r="AO53" s="75"/>
      <c r="AP53" s="75"/>
      <c r="AQ53" s="75"/>
      <c r="AR53" s="75"/>
      <c r="AS53" s="75"/>
      <c r="AT53" s="75"/>
    </row>
    <row r="54" spans="1:46" s="78" customFormat="1" ht="12">
      <c r="A54" s="75"/>
      <c r="B54" s="79"/>
      <c r="C54" s="75"/>
      <c r="F54" s="97"/>
      <c r="G54" s="97"/>
      <c r="H54" s="97"/>
      <c r="I54" s="93"/>
      <c r="J54" s="86"/>
      <c r="K54" s="93"/>
      <c r="L54" s="86"/>
      <c r="M54" s="86"/>
      <c r="N54" s="86"/>
      <c r="O54" s="93"/>
      <c r="P54" s="86"/>
      <c r="Q54" s="93"/>
      <c r="R54" s="86"/>
      <c r="S54" s="93"/>
      <c r="T54" s="86"/>
      <c r="U54" s="93"/>
      <c r="V54" s="86"/>
      <c r="W54" s="93"/>
      <c r="X54" s="86"/>
      <c r="Y54" s="93"/>
      <c r="Z54" s="86"/>
      <c r="AA54" s="93"/>
      <c r="AB54" s="86"/>
      <c r="AC54" s="93"/>
      <c r="AD54" s="86"/>
      <c r="AE54" s="93"/>
      <c r="AF54" s="86"/>
      <c r="AG54" s="93"/>
      <c r="AH54" s="86"/>
      <c r="AI54" s="93"/>
      <c r="AJ54" s="86"/>
      <c r="AK54" s="93"/>
      <c r="AL54" s="86"/>
      <c r="AM54" s="75"/>
      <c r="AN54" s="75"/>
      <c r="AO54" s="75"/>
      <c r="AP54" s="75"/>
      <c r="AQ54" s="75"/>
      <c r="AR54" s="75"/>
      <c r="AS54" s="75"/>
      <c r="AT54" s="75"/>
    </row>
    <row r="55" spans="1:46" s="78" customFormat="1" ht="12">
      <c r="A55" s="75"/>
      <c r="B55" s="79"/>
      <c r="C55" s="75"/>
      <c r="F55" s="97"/>
      <c r="G55" s="97"/>
      <c r="H55" s="97"/>
      <c r="I55" s="93"/>
      <c r="J55" s="86"/>
      <c r="K55" s="93"/>
      <c r="L55" s="86"/>
      <c r="M55" s="86"/>
      <c r="N55" s="86"/>
      <c r="O55" s="93"/>
      <c r="P55" s="86"/>
      <c r="Q55" s="93"/>
      <c r="R55" s="86"/>
      <c r="S55" s="93"/>
      <c r="T55" s="86"/>
      <c r="U55" s="93"/>
      <c r="V55" s="86"/>
      <c r="W55" s="93"/>
      <c r="X55" s="86"/>
      <c r="Y55" s="93"/>
      <c r="Z55" s="86"/>
      <c r="AA55" s="93"/>
      <c r="AB55" s="86"/>
      <c r="AC55" s="93"/>
      <c r="AD55" s="86"/>
      <c r="AE55" s="93"/>
      <c r="AF55" s="86"/>
      <c r="AG55" s="93"/>
      <c r="AH55" s="86"/>
      <c r="AI55" s="93"/>
      <c r="AJ55" s="86"/>
      <c r="AK55" s="93"/>
      <c r="AL55" s="86"/>
      <c r="AM55" s="75"/>
      <c r="AN55" s="75"/>
      <c r="AO55" s="75"/>
      <c r="AP55" s="75"/>
      <c r="AQ55" s="75"/>
      <c r="AR55" s="75"/>
      <c r="AS55" s="75"/>
      <c r="AT55" s="75"/>
    </row>
    <row r="56" spans="1:46" s="78" customFormat="1" ht="12">
      <c r="A56" s="75"/>
      <c r="B56" s="79"/>
      <c r="C56" s="75"/>
      <c r="F56" s="97"/>
      <c r="G56" s="97"/>
      <c r="H56" s="97"/>
      <c r="I56" s="93"/>
      <c r="J56" s="86"/>
      <c r="K56" s="93"/>
      <c r="L56" s="86"/>
      <c r="M56" s="86"/>
      <c r="N56" s="86"/>
      <c r="O56" s="93"/>
      <c r="P56" s="86"/>
      <c r="Q56" s="93"/>
      <c r="R56" s="86"/>
      <c r="S56" s="93"/>
      <c r="T56" s="86"/>
      <c r="U56" s="93"/>
      <c r="V56" s="86"/>
      <c r="W56" s="93"/>
      <c r="X56" s="86"/>
      <c r="Y56" s="93"/>
      <c r="Z56" s="86"/>
      <c r="AA56" s="93"/>
      <c r="AB56" s="86"/>
      <c r="AC56" s="93"/>
      <c r="AD56" s="86"/>
      <c r="AE56" s="93"/>
      <c r="AF56" s="86"/>
      <c r="AG56" s="93"/>
      <c r="AH56" s="86"/>
      <c r="AI56" s="93"/>
      <c r="AJ56" s="86"/>
      <c r="AK56" s="93"/>
      <c r="AL56" s="86"/>
      <c r="AM56" s="75"/>
      <c r="AN56" s="75"/>
      <c r="AO56" s="75"/>
      <c r="AP56" s="75"/>
      <c r="AQ56" s="75"/>
      <c r="AR56" s="75"/>
      <c r="AS56" s="75"/>
      <c r="AT56" s="75"/>
    </row>
    <row r="57" spans="1:46" s="78" customFormat="1" ht="12">
      <c r="A57" s="75"/>
      <c r="B57" s="79"/>
      <c r="C57" s="75"/>
      <c r="F57" s="97"/>
      <c r="G57" s="97"/>
      <c r="H57" s="97"/>
      <c r="I57" s="93"/>
      <c r="J57" s="86"/>
      <c r="K57" s="93"/>
      <c r="L57" s="86"/>
      <c r="M57" s="86"/>
      <c r="N57" s="86"/>
      <c r="O57" s="93"/>
      <c r="P57" s="86"/>
      <c r="Q57" s="93"/>
      <c r="R57" s="86"/>
      <c r="S57" s="93"/>
      <c r="T57" s="86"/>
      <c r="U57" s="93"/>
      <c r="V57" s="86"/>
      <c r="W57" s="93"/>
      <c r="X57" s="86"/>
      <c r="Y57" s="93"/>
      <c r="Z57" s="86"/>
      <c r="AA57" s="93"/>
      <c r="AB57" s="86"/>
      <c r="AC57" s="93"/>
      <c r="AD57" s="86"/>
      <c r="AE57" s="93"/>
      <c r="AF57" s="86"/>
      <c r="AG57" s="93"/>
      <c r="AH57" s="86"/>
      <c r="AI57" s="93"/>
      <c r="AJ57" s="86"/>
      <c r="AK57" s="93"/>
      <c r="AL57" s="86"/>
      <c r="AM57" s="75"/>
      <c r="AN57" s="75"/>
      <c r="AO57" s="75"/>
      <c r="AP57" s="75"/>
      <c r="AQ57" s="75"/>
      <c r="AR57" s="75"/>
      <c r="AS57" s="75"/>
      <c r="AT57" s="75"/>
    </row>
    <row r="58" spans="1:46" s="78" customFormat="1" ht="12">
      <c r="A58" s="75"/>
      <c r="B58" s="79"/>
      <c r="C58" s="75"/>
      <c r="F58" s="97"/>
      <c r="G58" s="97"/>
      <c r="H58" s="97"/>
      <c r="I58" s="93"/>
      <c r="J58" s="86"/>
      <c r="K58" s="93"/>
      <c r="L58" s="86"/>
      <c r="M58" s="86"/>
      <c r="N58" s="86"/>
      <c r="O58" s="93"/>
      <c r="P58" s="86"/>
      <c r="Q58" s="93"/>
      <c r="R58" s="86"/>
      <c r="S58" s="93"/>
      <c r="T58" s="86"/>
      <c r="U58" s="93"/>
      <c r="V58" s="86"/>
      <c r="W58" s="93"/>
      <c r="X58" s="86"/>
      <c r="Y58" s="93"/>
      <c r="Z58" s="86"/>
      <c r="AA58" s="93"/>
      <c r="AB58" s="86"/>
      <c r="AC58" s="93"/>
      <c r="AD58" s="86"/>
      <c r="AE58" s="93"/>
      <c r="AF58" s="86"/>
      <c r="AG58" s="93"/>
      <c r="AH58" s="86"/>
      <c r="AI58" s="93"/>
      <c r="AJ58" s="86"/>
      <c r="AK58" s="93"/>
      <c r="AL58" s="86"/>
      <c r="AM58" s="75"/>
      <c r="AN58" s="75"/>
      <c r="AO58" s="75"/>
      <c r="AP58" s="75"/>
      <c r="AQ58" s="75"/>
      <c r="AR58" s="75"/>
      <c r="AS58" s="75"/>
      <c r="AT58" s="75"/>
    </row>
    <row r="59" spans="1:46" s="78" customFormat="1" ht="12">
      <c r="A59" s="75"/>
      <c r="B59" s="79"/>
      <c r="C59" s="75"/>
      <c r="F59" s="97"/>
      <c r="G59" s="97"/>
      <c r="H59" s="97"/>
      <c r="I59" s="93"/>
      <c r="J59" s="86"/>
      <c r="K59" s="93"/>
      <c r="L59" s="86"/>
      <c r="M59" s="86"/>
      <c r="N59" s="86"/>
      <c r="O59" s="93"/>
      <c r="P59" s="86"/>
      <c r="Q59" s="93"/>
      <c r="R59" s="86"/>
      <c r="S59" s="93"/>
      <c r="T59" s="86"/>
      <c r="U59" s="93"/>
      <c r="V59" s="86"/>
      <c r="W59" s="93"/>
      <c r="X59" s="86"/>
      <c r="Y59" s="93"/>
      <c r="Z59" s="86"/>
      <c r="AA59" s="93"/>
      <c r="AB59" s="86"/>
      <c r="AC59" s="93"/>
      <c r="AD59" s="86"/>
      <c r="AE59" s="93"/>
      <c r="AF59" s="86"/>
      <c r="AG59" s="93"/>
      <c r="AH59" s="86"/>
      <c r="AI59" s="93"/>
      <c r="AJ59" s="86"/>
      <c r="AK59" s="93"/>
      <c r="AL59" s="86"/>
      <c r="AM59" s="75"/>
      <c r="AN59" s="75"/>
      <c r="AO59" s="75"/>
      <c r="AP59" s="75"/>
      <c r="AQ59" s="75"/>
      <c r="AR59" s="75"/>
      <c r="AS59" s="75"/>
      <c r="AT59" s="75"/>
    </row>
    <row r="60" spans="1:46" s="78" customFormat="1" ht="12">
      <c r="A60" s="75"/>
      <c r="B60" s="79"/>
      <c r="C60" s="75"/>
      <c r="F60" s="97"/>
      <c r="G60" s="97"/>
      <c r="H60" s="97"/>
      <c r="I60" s="93"/>
      <c r="J60" s="86"/>
      <c r="K60" s="93"/>
      <c r="L60" s="86"/>
      <c r="M60" s="86"/>
      <c r="N60" s="86"/>
      <c r="O60" s="93"/>
      <c r="P60" s="86"/>
      <c r="Q60" s="93"/>
      <c r="R60" s="86"/>
      <c r="S60" s="93"/>
      <c r="T60" s="86"/>
      <c r="U60" s="93"/>
      <c r="V60" s="86"/>
      <c r="W60" s="93"/>
      <c r="X60" s="86"/>
      <c r="Y60" s="93"/>
      <c r="Z60" s="86"/>
      <c r="AA60" s="93"/>
      <c r="AB60" s="86"/>
      <c r="AC60" s="93"/>
      <c r="AD60" s="86"/>
      <c r="AE60" s="93"/>
      <c r="AF60" s="86"/>
      <c r="AG60" s="93"/>
      <c r="AH60" s="86"/>
      <c r="AI60" s="93"/>
      <c r="AJ60" s="86"/>
      <c r="AK60" s="93"/>
      <c r="AL60" s="86"/>
      <c r="AM60" s="75"/>
      <c r="AN60" s="75"/>
      <c r="AO60" s="75"/>
      <c r="AP60" s="75"/>
      <c r="AQ60" s="75"/>
      <c r="AR60" s="75"/>
      <c r="AS60" s="75"/>
      <c r="AT60" s="75"/>
    </row>
    <row r="61" spans="1:46" s="78" customFormat="1" ht="12">
      <c r="A61" s="75"/>
      <c r="B61" s="79"/>
      <c r="C61" s="75"/>
      <c r="F61" s="97"/>
      <c r="G61" s="97"/>
      <c r="H61" s="97"/>
      <c r="I61" s="93"/>
      <c r="J61" s="86"/>
      <c r="K61" s="93"/>
      <c r="L61" s="86"/>
      <c r="M61" s="86"/>
      <c r="N61" s="86"/>
      <c r="O61" s="93"/>
      <c r="P61" s="86"/>
      <c r="Q61" s="93"/>
      <c r="R61" s="86"/>
      <c r="S61" s="93"/>
      <c r="T61" s="86"/>
      <c r="U61" s="93"/>
      <c r="V61" s="86"/>
      <c r="W61" s="93"/>
      <c r="X61" s="86"/>
      <c r="Y61" s="93"/>
      <c r="Z61" s="86"/>
      <c r="AA61" s="93"/>
      <c r="AB61" s="86"/>
      <c r="AC61" s="93"/>
      <c r="AD61" s="86"/>
      <c r="AE61" s="93"/>
      <c r="AF61" s="86"/>
      <c r="AG61" s="93"/>
      <c r="AH61" s="86"/>
      <c r="AI61" s="93"/>
      <c r="AJ61" s="86"/>
      <c r="AK61" s="93"/>
      <c r="AL61" s="86"/>
      <c r="AM61" s="75"/>
      <c r="AN61" s="75"/>
      <c r="AO61" s="75"/>
      <c r="AP61" s="75"/>
      <c r="AQ61" s="75"/>
      <c r="AR61" s="75"/>
      <c r="AS61" s="75"/>
      <c r="AT61" s="75"/>
    </row>
    <row r="62" spans="1:46" s="78" customFormat="1" ht="12">
      <c r="A62" s="75"/>
      <c r="B62" s="79"/>
      <c r="C62" s="75"/>
      <c r="F62" s="97"/>
      <c r="G62" s="97"/>
      <c r="H62" s="97"/>
      <c r="I62" s="93"/>
      <c r="J62" s="86"/>
      <c r="K62" s="93"/>
      <c r="L62" s="86"/>
      <c r="M62" s="86"/>
      <c r="N62" s="86"/>
      <c r="O62" s="93"/>
      <c r="P62" s="86"/>
      <c r="Q62" s="93"/>
      <c r="R62" s="86"/>
      <c r="S62" s="93"/>
      <c r="T62" s="86"/>
      <c r="U62" s="93"/>
      <c r="V62" s="86"/>
      <c r="W62" s="93"/>
      <c r="X62" s="86"/>
      <c r="Y62" s="93"/>
      <c r="Z62" s="86"/>
      <c r="AA62" s="93"/>
      <c r="AB62" s="86"/>
      <c r="AC62" s="93"/>
      <c r="AD62" s="86"/>
      <c r="AE62" s="93"/>
      <c r="AF62" s="86"/>
      <c r="AG62" s="93"/>
      <c r="AH62" s="86"/>
      <c r="AI62" s="93"/>
      <c r="AJ62" s="86"/>
      <c r="AK62" s="93"/>
      <c r="AL62" s="86"/>
      <c r="AM62" s="75"/>
      <c r="AN62" s="75"/>
      <c r="AO62" s="75"/>
      <c r="AP62" s="75"/>
      <c r="AQ62" s="75"/>
      <c r="AR62" s="75"/>
      <c r="AS62" s="75"/>
      <c r="AT62" s="75"/>
    </row>
    <row r="63" spans="1:46" s="78" customFormat="1" ht="12">
      <c r="A63" s="75"/>
      <c r="B63" s="79"/>
      <c r="C63" s="75"/>
      <c r="F63" s="97"/>
      <c r="G63" s="97"/>
      <c r="H63" s="97"/>
      <c r="I63" s="93"/>
      <c r="J63" s="86"/>
      <c r="K63" s="93"/>
      <c r="L63" s="86"/>
      <c r="M63" s="86"/>
      <c r="N63" s="86"/>
      <c r="O63" s="93"/>
      <c r="P63" s="86"/>
      <c r="Q63" s="93"/>
      <c r="R63" s="86"/>
      <c r="S63" s="93"/>
      <c r="T63" s="86"/>
      <c r="U63" s="93"/>
      <c r="V63" s="86"/>
      <c r="W63" s="93"/>
      <c r="X63" s="86"/>
      <c r="Y63" s="93"/>
      <c r="Z63" s="86"/>
      <c r="AA63" s="93"/>
      <c r="AB63" s="86"/>
      <c r="AC63" s="93"/>
      <c r="AD63" s="86"/>
      <c r="AE63" s="93"/>
      <c r="AF63" s="86"/>
      <c r="AG63" s="93"/>
      <c r="AH63" s="86"/>
      <c r="AI63" s="93"/>
      <c r="AJ63" s="86"/>
      <c r="AK63" s="93"/>
      <c r="AL63" s="86"/>
      <c r="AM63" s="75"/>
      <c r="AN63" s="75"/>
      <c r="AO63" s="75"/>
      <c r="AP63" s="75"/>
      <c r="AQ63" s="75"/>
      <c r="AR63" s="75"/>
      <c r="AS63" s="75"/>
      <c r="AT63" s="75"/>
    </row>
    <row r="64" spans="1:46" s="78" customFormat="1" ht="12">
      <c r="A64" s="75"/>
      <c r="B64" s="79"/>
      <c r="C64" s="75"/>
      <c r="F64" s="97"/>
      <c r="G64" s="97"/>
      <c r="H64" s="97"/>
      <c r="I64" s="93"/>
      <c r="J64" s="86"/>
      <c r="K64" s="93"/>
      <c r="L64" s="86"/>
      <c r="M64" s="86"/>
      <c r="N64" s="86"/>
      <c r="O64" s="93"/>
      <c r="P64" s="86"/>
      <c r="Q64" s="93"/>
      <c r="R64" s="86"/>
      <c r="S64" s="93"/>
      <c r="T64" s="86"/>
      <c r="U64" s="93"/>
      <c r="V64" s="86"/>
      <c r="W64" s="93"/>
      <c r="X64" s="86"/>
      <c r="Y64" s="93"/>
      <c r="Z64" s="86"/>
      <c r="AA64" s="93"/>
      <c r="AB64" s="86"/>
      <c r="AC64" s="93"/>
      <c r="AD64" s="86"/>
      <c r="AE64" s="93"/>
      <c r="AF64" s="86"/>
      <c r="AG64" s="93"/>
      <c r="AH64" s="86"/>
      <c r="AI64" s="93"/>
      <c r="AJ64" s="86"/>
      <c r="AK64" s="93"/>
      <c r="AL64" s="86"/>
      <c r="AM64" s="75"/>
      <c r="AN64" s="75"/>
      <c r="AO64" s="75"/>
      <c r="AP64" s="75"/>
      <c r="AQ64" s="75"/>
      <c r="AR64" s="75"/>
      <c r="AS64" s="75"/>
      <c r="AT64" s="75"/>
    </row>
    <row r="65" spans="1:46" s="78" customFormat="1" ht="12">
      <c r="A65" s="75"/>
      <c r="B65" s="79"/>
      <c r="C65" s="75"/>
      <c r="F65" s="97"/>
      <c r="G65" s="97"/>
      <c r="H65" s="97"/>
      <c r="I65" s="93"/>
      <c r="J65" s="86"/>
      <c r="K65" s="93"/>
      <c r="L65" s="86"/>
      <c r="M65" s="86"/>
      <c r="N65" s="86"/>
      <c r="O65" s="93"/>
      <c r="P65" s="86"/>
      <c r="Q65" s="93"/>
      <c r="R65" s="86"/>
      <c r="S65" s="93"/>
      <c r="T65" s="86"/>
      <c r="U65" s="93"/>
      <c r="V65" s="86"/>
      <c r="W65" s="93"/>
      <c r="X65" s="86"/>
      <c r="Y65" s="93"/>
      <c r="Z65" s="86"/>
      <c r="AA65" s="93"/>
      <c r="AB65" s="86"/>
      <c r="AC65" s="93"/>
      <c r="AD65" s="86"/>
      <c r="AE65" s="93"/>
      <c r="AF65" s="86"/>
      <c r="AG65" s="93"/>
      <c r="AH65" s="86"/>
      <c r="AI65" s="93"/>
      <c r="AJ65" s="86"/>
      <c r="AK65" s="93"/>
      <c r="AL65" s="86"/>
      <c r="AM65" s="75"/>
      <c r="AN65" s="75"/>
      <c r="AO65" s="75"/>
      <c r="AP65" s="75"/>
      <c r="AQ65" s="75"/>
      <c r="AR65" s="75"/>
      <c r="AS65" s="75"/>
      <c r="AT65" s="75"/>
    </row>
    <row r="66" spans="1:46" s="78" customFormat="1" ht="12">
      <c r="A66" s="75"/>
      <c r="B66" s="79"/>
      <c r="C66" s="75"/>
      <c r="F66" s="97"/>
      <c r="G66" s="97"/>
      <c r="H66" s="97"/>
      <c r="I66" s="93"/>
      <c r="J66" s="86"/>
      <c r="K66" s="93"/>
      <c r="L66" s="86"/>
      <c r="M66" s="86"/>
      <c r="N66" s="86"/>
      <c r="O66" s="93"/>
      <c r="P66" s="86"/>
      <c r="Q66" s="93"/>
      <c r="R66" s="86"/>
      <c r="S66" s="93"/>
      <c r="T66" s="86"/>
      <c r="U66" s="93"/>
      <c r="V66" s="86"/>
      <c r="W66" s="93"/>
      <c r="X66" s="86"/>
      <c r="Y66" s="93"/>
      <c r="Z66" s="86"/>
      <c r="AA66" s="93"/>
      <c r="AB66" s="86"/>
      <c r="AC66" s="93"/>
      <c r="AD66" s="86"/>
      <c r="AE66" s="93"/>
      <c r="AF66" s="86"/>
      <c r="AG66" s="93"/>
      <c r="AH66" s="86"/>
      <c r="AI66" s="93"/>
      <c r="AJ66" s="86"/>
      <c r="AK66" s="93"/>
      <c r="AL66" s="86"/>
      <c r="AM66" s="75"/>
      <c r="AN66" s="75"/>
      <c r="AO66" s="75"/>
      <c r="AP66" s="75"/>
      <c r="AQ66" s="75"/>
      <c r="AR66" s="75"/>
      <c r="AS66" s="75"/>
      <c r="AT66" s="75"/>
    </row>
    <row r="67" spans="1:46" s="78" customFormat="1" ht="12">
      <c r="A67" s="75"/>
      <c r="B67" s="79"/>
      <c r="C67" s="75"/>
      <c r="F67" s="97"/>
      <c r="G67" s="97"/>
      <c r="H67" s="97"/>
      <c r="I67" s="93"/>
      <c r="J67" s="86"/>
      <c r="K67" s="93"/>
      <c r="L67" s="86"/>
      <c r="M67" s="86"/>
      <c r="N67" s="86"/>
      <c r="O67" s="93"/>
      <c r="P67" s="86"/>
      <c r="Q67" s="93"/>
      <c r="R67" s="86"/>
      <c r="S67" s="93"/>
      <c r="T67" s="86"/>
      <c r="U67" s="93"/>
      <c r="V67" s="86"/>
      <c r="W67" s="93"/>
      <c r="X67" s="86"/>
      <c r="Y67" s="93"/>
      <c r="Z67" s="86"/>
      <c r="AA67" s="93"/>
      <c r="AB67" s="86"/>
      <c r="AC67" s="93"/>
      <c r="AD67" s="86"/>
      <c r="AE67" s="93"/>
      <c r="AF67" s="86"/>
      <c r="AG67" s="93"/>
      <c r="AH67" s="86"/>
      <c r="AI67" s="93"/>
      <c r="AJ67" s="86"/>
      <c r="AK67" s="93"/>
      <c r="AL67" s="86"/>
      <c r="AM67" s="75"/>
      <c r="AN67" s="75"/>
      <c r="AO67" s="75"/>
      <c r="AP67" s="75"/>
      <c r="AQ67" s="75"/>
      <c r="AR67" s="75"/>
      <c r="AS67" s="75"/>
      <c r="AT67" s="75"/>
    </row>
    <row r="68" spans="1:46" s="78" customFormat="1" ht="12">
      <c r="A68" s="75"/>
      <c r="B68" s="79"/>
      <c r="C68" s="75"/>
      <c r="F68" s="97"/>
      <c r="G68" s="97"/>
      <c r="H68" s="97"/>
      <c r="I68" s="93"/>
      <c r="J68" s="86"/>
      <c r="K68" s="93"/>
      <c r="L68" s="86"/>
      <c r="M68" s="86"/>
      <c r="N68" s="86"/>
      <c r="O68" s="93"/>
      <c r="P68" s="86"/>
      <c r="Q68" s="93"/>
      <c r="R68" s="86"/>
      <c r="S68" s="93"/>
      <c r="T68" s="86"/>
      <c r="U68" s="93"/>
      <c r="V68" s="86"/>
      <c r="W68" s="93"/>
      <c r="X68" s="86"/>
      <c r="Y68" s="93"/>
      <c r="Z68" s="86"/>
      <c r="AA68" s="93"/>
      <c r="AB68" s="86"/>
      <c r="AC68" s="93"/>
      <c r="AD68" s="86"/>
      <c r="AE68" s="93"/>
      <c r="AF68" s="86"/>
      <c r="AG68" s="93"/>
      <c r="AH68" s="86"/>
      <c r="AI68" s="93"/>
      <c r="AJ68" s="86"/>
      <c r="AK68" s="93"/>
      <c r="AL68" s="86"/>
      <c r="AM68" s="75"/>
      <c r="AN68" s="75"/>
      <c r="AO68" s="75"/>
      <c r="AP68" s="75"/>
      <c r="AQ68" s="75"/>
      <c r="AR68" s="75"/>
      <c r="AS68" s="75"/>
      <c r="AT68" s="75"/>
    </row>
    <row r="69" spans="1:46" s="78" customFormat="1" ht="12">
      <c r="A69" s="75"/>
      <c r="B69" s="79"/>
      <c r="C69" s="75"/>
      <c r="F69" s="97"/>
      <c r="G69" s="97"/>
      <c r="H69" s="97"/>
      <c r="I69" s="93"/>
      <c r="J69" s="86"/>
      <c r="K69" s="93"/>
      <c r="L69" s="86"/>
      <c r="M69" s="86"/>
      <c r="N69" s="86"/>
      <c r="O69" s="93"/>
      <c r="P69" s="86"/>
      <c r="Q69" s="93"/>
      <c r="R69" s="86"/>
      <c r="S69" s="93"/>
      <c r="T69" s="86"/>
      <c r="U69" s="93"/>
      <c r="V69" s="86"/>
      <c r="W69" s="93"/>
      <c r="X69" s="86"/>
      <c r="Y69" s="93"/>
      <c r="Z69" s="86"/>
      <c r="AA69" s="93"/>
      <c r="AB69" s="86"/>
      <c r="AC69" s="93"/>
      <c r="AD69" s="86"/>
      <c r="AE69" s="93"/>
      <c r="AF69" s="86"/>
      <c r="AG69" s="93"/>
      <c r="AH69" s="86"/>
      <c r="AI69" s="93"/>
      <c r="AJ69" s="86"/>
      <c r="AK69" s="93"/>
      <c r="AL69" s="86"/>
      <c r="AM69" s="75"/>
      <c r="AN69" s="75"/>
      <c r="AO69" s="75"/>
      <c r="AP69" s="75"/>
      <c r="AQ69" s="75"/>
      <c r="AR69" s="75"/>
      <c r="AS69" s="75"/>
      <c r="AT69" s="75"/>
    </row>
    <row r="70" spans="1:46" s="78" customFormat="1" ht="12">
      <c r="A70" s="75"/>
      <c r="B70" s="79"/>
      <c r="C70" s="75"/>
      <c r="F70" s="97"/>
      <c r="G70" s="97"/>
      <c r="H70" s="97"/>
      <c r="I70" s="93"/>
      <c r="J70" s="86"/>
      <c r="K70" s="93"/>
      <c r="L70" s="86"/>
      <c r="M70" s="86"/>
      <c r="N70" s="86"/>
      <c r="O70" s="93"/>
      <c r="P70" s="86"/>
      <c r="Q70" s="93"/>
      <c r="R70" s="86"/>
      <c r="S70" s="93"/>
      <c r="T70" s="86"/>
      <c r="U70" s="93"/>
      <c r="V70" s="86"/>
      <c r="W70" s="93"/>
      <c r="X70" s="86"/>
      <c r="Y70" s="93"/>
      <c r="Z70" s="86"/>
      <c r="AA70" s="93"/>
      <c r="AB70" s="86"/>
      <c r="AC70" s="93"/>
      <c r="AD70" s="86"/>
      <c r="AE70" s="93"/>
      <c r="AF70" s="86"/>
      <c r="AG70" s="93"/>
      <c r="AH70" s="86"/>
      <c r="AI70" s="93"/>
      <c r="AJ70" s="86"/>
      <c r="AK70" s="93"/>
      <c r="AL70" s="86"/>
      <c r="AM70" s="75"/>
      <c r="AN70" s="75"/>
      <c r="AO70" s="75"/>
      <c r="AP70" s="75"/>
      <c r="AQ70" s="75"/>
      <c r="AR70" s="75"/>
      <c r="AS70" s="75"/>
      <c r="AT70" s="75"/>
    </row>
    <row r="71" spans="1:46" s="78" customFormat="1" ht="12">
      <c r="A71" s="75"/>
      <c r="B71" s="79"/>
      <c r="C71" s="75"/>
      <c r="F71" s="97"/>
      <c r="G71" s="97"/>
      <c r="H71" s="97"/>
      <c r="I71" s="93"/>
      <c r="J71" s="86"/>
      <c r="K71" s="93"/>
      <c r="L71" s="86"/>
      <c r="M71" s="86"/>
      <c r="N71" s="86"/>
      <c r="O71" s="93"/>
      <c r="P71" s="86"/>
      <c r="Q71" s="93"/>
      <c r="R71" s="86"/>
      <c r="S71" s="93"/>
      <c r="T71" s="86"/>
      <c r="U71" s="93"/>
      <c r="V71" s="86"/>
      <c r="W71" s="93"/>
      <c r="X71" s="86"/>
      <c r="Y71" s="93"/>
      <c r="Z71" s="86"/>
      <c r="AA71" s="93"/>
      <c r="AB71" s="86"/>
      <c r="AC71" s="93"/>
      <c r="AD71" s="86"/>
      <c r="AE71" s="93"/>
      <c r="AF71" s="86"/>
      <c r="AG71" s="93"/>
      <c r="AH71" s="86"/>
      <c r="AI71" s="93"/>
      <c r="AJ71" s="86"/>
      <c r="AK71" s="93"/>
      <c r="AL71" s="86"/>
      <c r="AM71" s="75"/>
      <c r="AN71" s="75"/>
      <c r="AO71" s="75"/>
      <c r="AP71" s="75"/>
      <c r="AQ71" s="75"/>
      <c r="AR71" s="75"/>
      <c r="AS71" s="75"/>
      <c r="AT71" s="75"/>
    </row>
    <row r="72" spans="1:46" s="78" customFormat="1" ht="12">
      <c r="A72" s="75"/>
      <c r="B72" s="79"/>
      <c r="C72" s="75"/>
      <c r="F72" s="97"/>
      <c r="G72" s="97"/>
      <c r="H72" s="97"/>
      <c r="I72" s="93"/>
      <c r="J72" s="86"/>
      <c r="K72" s="93"/>
      <c r="L72" s="86"/>
      <c r="M72" s="86"/>
      <c r="N72" s="86"/>
      <c r="O72" s="93"/>
      <c r="P72" s="86"/>
      <c r="Q72" s="93"/>
      <c r="R72" s="86"/>
      <c r="S72" s="93"/>
      <c r="T72" s="86"/>
      <c r="U72" s="93"/>
      <c r="V72" s="86"/>
      <c r="W72" s="93"/>
      <c r="X72" s="86"/>
      <c r="Y72" s="93"/>
      <c r="Z72" s="86"/>
      <c r="AA72" s="93"/>
      <c r="AB72" s="86"/>
      <c r="AC72" s="93"/>
      <c r="AD72" s="86"/>
      <c r="AE72" s="93"/>
      <c r="AF72" s="86"/>
      <c r="AG72" s="93"/>
      <c r="AH72" s="86"/>
      <c r="AI72" s="93"/>
      <c r="AJ72" s="86"/>
      <c r="AK72" s="93"/>
      <c r="AL72" s="86"/>
      <c r="AM72" s="75"/>
      <c r="AN72" s="75"/>
      <c r="AO72" s="75"/>
      <c r="AP72" s="75"/>
      <c r="AQ72" s="75"/>
      <c r="AR72" s="75"/>
      <c r="AS72" s="75"/>
      <c r="AT72" s="75"/>
    </row>
    <row r="73" spans="1:46" s="78" customFormat="1" ht="12">
      <c r="A73" s="75"/>
      <c r="B73" s="79"/>
      <c r="C73" s="75"/>
      <c r="F73" s="97"/>
      <c r="G73" s="97"/>
      <c r="H73" s="97"/>
      <c r="I73" s="93"/>
      <c r="J73" s="86"/>
      <c r="K73" s="93"/>
      <c r="L73" s="86"/>
      <c r="M73" s="86"/>
      <c r="N73" s="86"/>
      <c r="O73" s="93"/>
      <c r="P73" s="86"/>
      <c r="Q73" s="93"/>
      <c r="R73" s="86"/>
      <c r="S73" s="93"/>
      <c r="T73" s="86"/>
      <c r="U73" s="93"/>
      <c r="V73" s="86"/>
      <c r="W73" s="93"/>
      <c r="X73" s="86"/>
      <c r="Y73" s="93"/>
      <c r="Z73" s="86"/>
      <c r="AA73" s="93"/>
      <c r="AB73" s="86"/>
      <c r="AC73" s="93"/>
      <c r="AD73" s="86"/>
      <c r="AE73" s="93"/>
      <c r="AF73" s="86"/>
      <c r="AG73" s="93"/>
      <c r="AH73" s="86"/>
      <c r="AI73" s="93"/>
      <c r="AJ73" s="86"/>
      <c r="AK73" s="93"/>
      <c r="AL73" s="86"/>
      <c r="AM73" s="75"/>
      <c r="AN73" s="75"/>
      <c r="AO73" s="75"/>
      <c r="AP73" s="75"/>
      <c r="AQ73" s="75"/>
      <c r="AR73" s="75"/>
      <c r="AS73" s="75"/>
      <c r="AT73" s="75"/>
    </row>
    <row r="74" spans="1:46" s="78" customFormat="1" ht="12">
      <c r="A74" s="75"/>
      <c r="B74" s="79"/>
      <c r="C74" s="75"/>
      <c r="F74" s="97"/>
      <c r="G74" s="97"/>
      <c r="H74" s="97"/>
      <c r="I74" s="93"/>
      <c r="J74" s="86"/>
      <c r="K74" s="93"/>
      <c r="L74" s="86"/>
      <c r="M74" s="86"/>
      <c r="N74" s="86"/>
      <c r="O74" s="93"/>
      <c r="P74" s="86"/>
      <c r="Q74" s="93"/>
      <c r="R74" s="86"/>
      <c r="S74" s="93"/>
      <c r="T74" s="86"/>
      <c r="U74" s="93"/>
      <c r="V74" s="86"/>
      <c r="W74" s="93"/>
      <c r="X74" s="86"/>
      <c r="Y74" s="93"/>
      <c r="Z74" s="86"/>
      <c r="AA74" s="93"/>
      <c r="AB74" s="86"/>
      <c r="AC74" s="93"/>
      <c r="AD74" s="86"/>
      <c r="AE74" s="93"/>
      <c r="AF74" s="86"/>
      <c r="AG74" s="93"/>
      <c r="AH74" s="86"/>
      <c r="AI74" s="93"/>
      <c r="AJ74" s="86"/>
      <c r="AK74" s="93"/>
      <c r="AL74" s="86"/>
      <c r="AM74" s="75"/>
      <c r="AN74" s="75"/>
      <c r="AO74" s="75"/>
      <c r="AP74" s="75"/>
      <c r="AQ74" s="75"/>
      <c r="AR74" s="75"/>
      <c r="AS74" s="75"/>
      <c r="AT74" s="75"/>
    </row>
    <row r="75" spans="1:46" s="78" customFormat="1" ht="12">
      <c r="A75" s="75"/>
      <c r="B75" s="79"/>
      <c r="C75" s="75"/>
      <c r="F75" s="97"/>
      <c r="G75" s="97"/>
      <c r="H75" s="97"/>
      <c r="I75" s="93"/>
      <c r="J75" s="86"/>
      <c r="K75" s="93"/>
      <c r="L75" s="86"/>
      <c r="M75" s="86"/>
      <c r="N75" s="86"/>
      <c r="O75" s="93"/>
      <c r="P75" s="86"/>
      <c r="Q75" s="93"/>
      <c r="R75" s="86"/>
      <c r="S75" s="93"/>
      <c r="T75" s="86"/>
      <c r="U75" s="93"/>
      <c r="V75" s="86"/>
      <c r="W75" s="93"/>
      <c r="X75" s="86"/>
      <c r="Y75" s="93"/>
      <c r="Z75" s="86"/>
      <c r="AA75" s="93"/>
      <c r="AB75" s="86"/>
      <c r="AC75" s="93"/>
      <c r="AD75" s="86"/>
      <c r="AE75" s="93"/>
      <c r="AF75" s="86"/>
      <c r="AG75" s="93"/>
      <c r="AH75" s="86"/>
      <c r="AI75" s="93"/>
      <c r="AJ75" s="86"/>
      <c r="AK75" s="93"/>
      <c r="AL75" s="86"/>
      <c r="AM75" s="75"/>
      <c r="AN75" s="75"/>
      <c r="AO75" s="75"/>
      <c r="AP75" s="75"/>
      <c r="AQ75" s="75"/>
      <c r="AR75" s="75"/>
      <c r="AS75" s="75"/>
      <c r="AT75" s="75"/>
    </row>
    <row r="76" spans="1:46" s="78" customFormat="1" ht="12">
      <c r="A76" s="75"/>
      <c r="B76" s="79"/>
      <c r="C76" s="75"/>
      <c r="F76" s="97"/>
      <c r="G76" s="97"/>
      <c r="H76" s="97"/>
      <c r="I76" s="93"/>
      <c r="J76" s="86"/>
      <c r="K76" s="93"/>
      <c r="L76" s="86"/>
      <c r="M76" s="86"/>
      <c r="N76" s="86"/>
      <c r="O76" s="93"/>
      <c r="P76" s="86"/>
      <c r="Q76" s="93"/>
      <c r="R76" s="86"/>
      <c r="S76" s="93"/>
      <c r="T76" s="86"/>
      <c r="U76" s="93"/>
      <c r="V76" s="86"/>
      <c r="W76" s="93"/>
      <c r="X76" s="86"/>
      <c r="Y76" s="93"/>
      <c r="Z76" s="86"/>
      <c r="AA76" s="93"/>
      <c r="AB76" s="86"/>
      <c r="AC76" s="93"/>
      <c r="AD76" s="86"/>
      <c r="AE76" s="93"/>
      <c r="AF76" s="86"/>
      <c r="AG76" s="93"/>
      <c r="AH76" s="86"/>
      <c r="AI76" s="93"/>
      <c r="AJ76" s="86"/>
      <c r="AK76" s="93"/>
      <c r="AL76" s="86"/>
      <c r="AM76" s="75"/>
      <c r="AN76" s="75"/>
      <c r="AO76" s="75"/>
      <c r="AP76" s="75"/>
      <c r="AQ76" s="75"/>
      <c r="AR76" s="75"/>
      <c r="AS76" s="75"/>
      <c r="AT76" s="75"/>
    </row>
    <row r="77" spans="1:46" s="78" customFormat="1" ht="12">
      <c r="A77" s="75"/>
      <c r="B77" s="79"/>
      <c r="C77" s="75"/>
      <c r="F77" s="97"/>
      <c r="G77" s="97"/>
      <c r="H77" s="97"/>
      <c r="I77" s="93"/>
      <c r="J77" s="86"/>
      <c r="K77" s="93"/>
      <c r="L77" s="86"/>
      <c r="M77" s="86"/>
      <c r="N77" s="86"/>
      <c r="O77" s="93"/>
      <c r="P77" s="86"/>
      <c r="Q77" s="93"/>
      <c r="R77" s="86"/>
      <c r="S77" s="93"/>
      <c r="T77" s="86"/>
      <c r="U77" s="93"/>
      <c r="V77" s="86"/>
      <c r="W77" s="93"/>
      <c r="X77" s="86"/>
      <c r="Y77" s="93"/>
      <c r="Z77" s="86"/>
      <c r="AA77" s="93"/>
      <c r="AB77" s="86"/>
      <c r="AC77" s="93"/>
      <c r="AD77" s="86"/>
      <c r="AE77" s="93"/>
      <c r="AF77" s="86"/>
      <c r="AG77" s="93"/>
      <c r="AH77" s="86"/>
      <c r="AI77" s="93"/>
      <c r="AJ77" s="86"/>
      <c r="AK77" s="93"/>
      <c r="AL77" s="86"/>
      <c r="AM77" s="75"/>
      <c r="AN77" s="75"/>
      <c r="AO77" s="75"/>
      <c r="AP77" s="75"/>
      <c r="AQ77" s="75"/>
      <c r="AR77" s="75"/>
      <c r="AS77" s="75"/>
      <c r="AT77" s="75"/>
    </row>
    <row r="78" spans="1:46" s="78" customFormat="1" ht="12">
      <c r="A78" s="75"/>
      <c r="B78" s="79"/>
      <c r="C78" s="75"/>
      <c r="F78" s="97"/>
      <c r="G78" s="97"/>
      <c r="H78" s="97"/>
      <c r="I78" s="93"/>
      <c r="J78" s="86"/>
      <c r="K78" s="93"/>
      <c r="L78" s="86"/>
      <c r="M78" s="86"/>
      <c r="N78" s="86"/>
      <c r="O78" s="93"/>
      <c r="P78" s="86"/>
      <c r="Q78" s="93"/>
      <c r="R78" s="86"/>
      <c r="S78" s="93"/>
      <c r="T78" s="86"/>
      <c r="U78" s="93"/>
      <c r="V78" s="86"/>
      <c r="W78" s="93"/>
      <c r="X78" s="86"/>
      <c r="Y78" s="93"/>
      <c r="Z78" s="86"/>
      <c r="AA78" s="93"/>
      <c r="AB78" s="86"/>
      <c r="AC78" s="93"/>
      <c r="AD78" s="86"/>
      <c r="AE78" s="93"/>
      <c r="AF78" s="86"/>
      <c r="AG78" s="93"/>
      <c r="AH78" s="86"/>
      <c r="AI78" s="93"/>
      <c r="AJ78" s="86"/>
      <c r="AK78" s="93"/>
      <c r="AL78" s="86"/>
      <c r="AM78" s="75"/>
      <c r="AN78" s="75"/>
      <c r="AO78" s="75"/>
      <c r="AP78" s="75"/>
      <c r="AQ78" s="75"/>
      <c r="AR78" s="75"/>
      <c r="AS78" s="75"/>
      <c r="AT78" s="75"/>
    </row>
    <row r="79" spans="1:46" s="78" customFormat="1" ht="12">
      <c r="A79" s="75"/>
      <c r="B79" s="79"/>
      <c r="C79" s="75"/>
      <c r="F79" s="97"/>
      <c r="G79" s="97"/>
      <c r="H79" s="97"/>
      <c r="I79" s="93"/>
      <c r="J79" s="86"/>
      <c r="K79" s="93"/>
      <c r="L79" s="86"/>
      <c r="M79" s="86"/>
      <c r="N79" s="86"/>
      <c r="O79" s="93"/>
      <c r="P79" s="86"/>
      <c r="Q79" s="93"/>
      <c r="R79" s="86"/>
      <c r="S79" s="93"/>
      <c r="T79" s="86"/>
      <c r="U79" s="93"/>
      <c r="V79" s="86"/>
      <c r="W79" s="93"/>
      <c r="X79" s="86"/>
      <c r="Y79" s="93"/>
      <c r="Z79" s="86"/>
      <c r="AA79" s="93"/>
      <c r="AB79" s="86"/>
      <c r="AC79" s="93"/>
      <c r="AD79" s="86"/>
      <c r="AE79" s="93"/>
      <c r="AF79" s="86"/>
      <c r="AG79" s="93"/>
      <c r="AH79" s="86"/>
      <c r="AI79" s="93"/>
      <c r="AJ79" s="86"/>
      <c r="AK79" s="93"/>
      <c r="AL79" s="86"/>
      <c r="AM79" s="75"/>
      <c r="AN79" s="75"/>
      <c r="AO79" s="75"/>
      <c r="AP79" s="75"/>
      <c r="AQ79" s="75"/>
      <c r="AR79" s="75"/>
      <c r="AS79" s="75"/>
      <c r="AT79" s="75"/>
    </row>
    <row r="80" spans="1:46" s="78" customFormat="1" ht="12">
      <c r="A80" s="75"/>
      <c r="B80" s="79"/>
      <c r="C80" s="75"/>
      <c r="F80" s="97"/>
      <c r="G80" s="97"/>
      <c r="H80" s="97"/>
      <c r="I80" s="93"/>
      <c r="J80" s="86"/>
      <c r="K80" s="93"/>
      <c r="L80" s="86"/>
      <c r="M80" s="86"/>
      <c r="N80" s="86"/>
      <c r="O80" s="93"/>
      <c r="P80" s="86"/>
      <c r="Q80" s="93"/>
      <c r="R80" s="86"/>
      <c r="S80" s="93"/>
      <c r="T80" s="86"/>
      <c r="U80" s="93"/>
      <c r="V80" s="86"/>
      <c r="W80" s="93"/>
      <c r="X80" s="86"/>
      <c r="Y80" s="93"/>
      <c r="Z80" s="86"/>
      <c r="AA80" s="93"/>
      <c r="AB80" s="86"/>
      <c r="AC80" s="93"/>
      <c r="AD80" s="86"/>
      <c r="AE80" s="93"/>
      <c r="AF80" s="86"/>
      <c r="AG80" s="93"/>
      <c r="AH80" s="86"/>
      <c r="AI80" s="93"/>
      <c r="AJ80" s="86"/>
      <c r="AK80" s="93"/>
      <c r="AL80" s="86"/>
      <c r="AM80" s="75"/>
      <c r="AN80" s="75"/>
      <c r="AO80" s="75"/>
      <c r="AP80" s="75"/>
      <c r="AQ80" s="75"/>
      <c r="AR80" s="75"/>
      <c r="AS80" s="75"/>
      <c r="AT80" s="75"/>
    </row>
    <row r="81" spans="1:46" s="78" customFormat="1" ht="12">
      <c r="A81" s="75"/>
      <c r="B81" s="79"/>
      <c r="C81" s="75"/>
      <c r="F81" s="97"/>
      <c r="G81" s="97"/>
      <c r="H81" s="97"/>
      <c r="I81" s="93"/>
      <c r="J81" s="86"/>
      <c r="K81" s="93"/>
      <c r="L81" s="86"/>
      <c r="M81" s="86"/>
      <c r="N81" s="86"/>
      <c r="O81" s="93"/>
      <c r="P81" s="86"/>
      <c r="Q81" s="93"/>
      <c r="R81" s="86"/>
      <c r="S81" s="93"/>
      <c r="T81" s="86"/>
      <c r="U81" s="93"/>
      <c r="V81" s="86"/>
      <c r="W81" s="93"/>
      <c r="X81" s="86"/>
      <c r="Y81" s="93"/>
      <c r="Z81" s="86"/>
      <c r="AA81" s="93"/>
      <c r="AB81" s="86"/>
      <c r="AC81" s="93"/>
      <c r="AD81" s="86"/>
      <c r="AE81" s="93"/>
      <c r="AF81" s="86"/>
      <c r="AG81" s="93"/>
      <c r="AH81" s="86"/>
      <c r="AI81" s="93"/>
      <c r="AJ81" s="86"/>
      <c r="AK81" s="93"/>
      <c r="AL81" s="86"/>
      <c r="AM81" s="75"/>
      <c r="AN81" s="75"/>
      <c r="AO81" s="75"/>
      <c r="AP81" s="75"/>
      <c r="AQ81" s="75"/>
      <c r="AR81" s="75"/>
      <c r="AS81" s="75"/>
      <c r="AT81" s="75"/>
    </row>
    <row r="82" spans="1:46" s="78" customFormat="1" ht="12">
      <c r="A82" s="75"/>
      <c r="B82" s="79"/>
      <c r="C82" s="75"/>
      <c r="F82" s="97"/>
      <c r="G82" s="97"/>
      <c r="H82" s="97"/>
      <c r="I82" s="93"/>
      <c r="J82" s="86"/>
      <c r="K82" s="93"/>
      <c r="L82" s="86"/>
      <c r="M82" s="86"/>
      <c r="N82" s="86"/>
      <c r="O82" s="93"/>
      <c r="P82" s="86"/>
      <c r="Q82" s="93"/>
      <c r="R82" s="86"/>
      <c r="S82" s="93"/>
      <c r="T82" s="86"/>
      <c r="U82" s="93"/>
      <c r="V82" s="86"/>
      <c r="W82" s="93"/>
      <c r="X82" s="86"/>
      <c r="Y82" s="93"/>
      <c r="Z82" s="86"/>
      <c r="AA82" s="93"/>
      <c r="AB82" s="86"/>
      <c r="AC82" s="93"/>
      <c r="AD82" s="86"/>
      <c r="AE82" s="93"/>
      <c r="AF82" s="86"/>
      <c r="AG82" s="93"/>
      <c r="AH82" s="86"/>
      <c r="AI82" s="93"/>
      <c r="AJ82" s="86"/>
      <c r="AK82" s="93"/>
      <c r="AL82" s="86"/>
      <c r="AM82" s="75"/>
      <c r="AN82" s="75"/>
      <c r="AO82" s="75"/>
      <c r="AP82" s="75"/>
      <c r="AQ82" s="75"/>
      <c r="AR82" s="75"/>
      <c r="AS82" s="75"/>
      <c r="AT82" s="75"/>
    </row>
    <row r="83" spans="1:46" s="78" customFormat="1" ht="12">
      <c r="A83" s="75"/>
      <c r="B83" s="79"/>
      <c r="C83" s="75"/>
      <c r="F83" s="97"/>
      <c r="G83" s="97"/>
      <c r="H83" s="97"/>
      <c r="I83" s="93"/>
      <c r="J83" s="86"/>
      <c r="K83" s="93"/>
      <c r="L83" s="86"/>
      <c r="M83" s="86"/>
      <c r="N83" s="86"/>
      <c r="O83" s="93"/>
      <c r="P83" s="86"/>
      <c r="Q83" s="93"/>
      <c r="R83" s="86"/>
      <c r="S83" s="93"/>
      <c r="T83" s="86"/>
      <c r="U83" s="93"/>
      <c r="V83" s="86"/>
      <c r="W83" s="93"/>
      <c r="X83" s="86"/>
      <c r="Y83" s="93"/>
      <c r="Z83" s="86"/>
      <c r="AA83" s="93"/>
      <c r="AB83" s="86"/>
      <c r="AC83" s="93"/>
      <c r="AD83" s="86"/>
      <c r="AE83" s="93"/>
      <c r="AF83" s="86"/>
      <c r="AG83" s="93"/>
      <c r="AH83" s="86"/>
      <c r="AI83" s="93"/>
      <c r="AJ83" s="86"/>
      <c r="AK83" s="93"/>
      <c r="AL83" s="86"/>
      <c r="AM83" s="75"/>
      <c r="AN83" s="75"/>
      <c r="AO83" s="75"/>
      <c r="AP83" s="75"/>
      <c r="AQ83" s="75"/>
      <c r="AR83" s="75"/>
      <c r="AS83" s="75"/>
      <c r="AT83" s="75"/>
    </row>
    <row r="84" spans="1:46" s="78" customFormat="1" ht="12">
      <c r="A84" s="75"/>
      <c r="B84" s="79"/>
      <c r="C84" s="75"/>
      <c r="F84" s="97"/>
      <c r="G84" s="97"/>
      <c r="H84" s="97"/>
      <c r="I84" s="93"/>
      <c r="J84" s="86"/>
      <c r="K84" s="93"/>
      <c r="L84" s="86"/>
      <c r="M84" s="86"/>
      <c r="N84" s="86"/>
      <c r="O84" s="93"/>
      <c r="P84" s="86"/>
      <c r="Q84" s="93"/>
      <c r="R84" s="86"/>
      <c r="S84" s="93"/>
      <c r="T84" s="86"/>
      <c r="U84" s="93"/>
      <c r="V84" s="86"/>
      <c r="W84" s="93"/>
      <c r="X84" s="86"/>
      <c r="Y84" s="93"/>
      <c r="Z84" s="86"/>
      <c r="AA84" s="93"/>
      <c r="AB84" s="86"/>
      <c r="AC84" s="93"/>
      <c r="AD84" s="86"/>
      <c r="AE84" s="93"/>
      <c r="AF84" s="86"/>
      <c r="AG84" s="93"/>
      <c r="AH84" s="86"/>
      <c r="AI84" s="93"/>
      <c r="AJ84" s="86"/>
      <c r="AK84" s="93"/>
      <c r="AL84" s="86"/>
      <c r="AM84" s="75"/>
      <c r="AN84" s="75"/>
      <c r="AO84" s="75"/>
      <c r="AP84" s="75"/>
      <c r="AQ84" s="75"/>
      <c r="AR84" s="75"/>
      <c r="AS84" s="75"/>
      <c r="AT84" s="75"/>
    </row>
    <row r="85" spans="1:46" s="78" customFormat="1" ht="12">
      <c r="A85" s="75"/>
      <c r="B85" s="79"/>
      <c r="C85" s="75"/>
      <c r="F85" s="97"/>
      <c r="G85" s="97"/>
      <c r="H85" s="97"/>
      <c r="I85" s="93"/>
      <c r="J85" s="86"/>
      <c r="K85" s="93"/>
      <c r="L85" s="86"/>
      <c r="M85" s="86"/>
      <c r="N85" s="86"/>
      <c r="O85" s="93"/>
      <c r="P85" s="86"/>
      <c r="Q85" s="93"/>
      <c r="R85" s="86"/>
      <c r="S85" s="93"/>
      <c r="T85" s="86"/>
      <c r="U85" s="93"/>
      <c r="V85" s="86"/>
      <c r="W85" s="93"/>
      <c r="X85" s="86"/>
      <c r="Y85" s="93"/>
      <c r="Z85" s="86"/>
      <c r="AA85" s="93"/>
      <c r="AB85" s="86"/>
      <c r="AC85" s="93"/>
      <c r="AD85" s="86"/>
      <c r="AE85" s="93"/>
      <c r="AF85" s="86"/>
      <c r="AG85" s="93"/>
      <c r="AH85" s="86"/>
      <c r="AI85" s="93"/>
      <c r="AJ85" s="86"/>
      <c r="AK85" s="93"/>
      <c r="AL85" s="86"/>
      <c r="AM85" s="75"/>
      <c r="AN85" s="75"/>
      <c r="AO85" s="75"/>
      <c r="AP85" s="75"/>
      <c r="AQ85" s="75"/>
      <c r="AR85" s="75"/>
      <c r="AS85" s="75"/>
      <c r="AT85" s="75"/>
    </row>
    <row r="86" spans="1:46" s="78" customFormat="1" ht="12">
      <c r="A86" s="75"/>
      <c r="B86" s="79"/>
      <c r="C86" s="75"/>
      <c r="F86" s="97"/>
      <c r="G86" s="97"/>
      <c r="H86" s="97"/>
      <c r="I86" s="93"/>
      <c r="J86" s="86"/>
      <c r="K86" s="93"/>
      <c r="L86" s="86"/>
      <c r="M86" s="86"/>
      <c r="N86" s="86"/>
      <c r="O86" s="93"/>
      <c r="P86" s="86"/>
      <c r="Q86" s="93"/>
      <c r="R86" s="86"/>
      <c r="S86" s="93"/>
      <c r="T86" s="86"/>
      <c r="U86" s="93"/>
      <c r="V86" s="86"/>
      <c r="W86" s="93"/>
      <c r="X86" s="86"/>
      <c r="Y86" s="93"/>
      <c r="Z86" s="86"/>
      <c r="AA86" s="93"/>
      <c r="AB86" s="86"/>
      <c r="AC86" s="93"/>
      <c r="AD86" s="86"/>
      <c r="AE86" s="93"/>
      <c r="AF86" s="86"/>
      <c r="AG86" s="93"/>
      <c r="AH86" s="86"/>
      <c r="AI86" s="93"/>
      <c r="AJ86" s="86"/>
      <c r="AK86" s="93"/>
      <c r="AL86" s="86"/>
      <c r="AM86" s="75"/>
      <c r="AN86" s="75"/>
      <c r="AO86" s="75"/>
      <c r="AP86" s="75"/>
      <c r="AQ86" s="75"/>
      <c r="AR86" s="75"/>
      <c r="AS86" s="75"/>
      <c r="AT86" s="75"/>
    </row>
    <row r="87" spans="1:46" s="78" customFormat="1" ht="12">
      <c r="A87" s="75"/>
      <c r="B87" s="79"/>
      <c r="C87" s="75"/>
      <c r="F87" s="97"/>
      <c r="G87" s="97"/>
      <c r="H87" s="97"/>
      <c r="I87" s="93"/>
      <c r="J87" s="86"/>
      <c r="K87" s="93"/>
      <c r="L87" s="86"/>
      <c r="M87" s="86"/>
      <c r="N87" s="86"/>
      <c r="O87" s="93"/>
      <c r="P87" s="86"/>
      <c r="Q87" s="93"/>
      <c r="R87" s="86"/>
      <c r="S87" s="93"/>
      <c r="T87" s="86"/>
      <c r="U87" s="93"/>
      <c r="V87" s="86"/>
      <c r="W87" s="93"/>
      <c r="X87" s="86"/>
      <c r="Y87" s="93"/>
      <c r="Z87" s="86"/>
      <c r="AA87" s="93"/>
      <c r="AB87" s="86"/>
      <c r="AC87" s="93"/>
      <c r="AD87" s="86"/>
      <c r="AE87" s="93"/>
      <c r="AF87" s="86"/>
      <c r="AG87" s="93"/>
      <c r="AH87" s="86"/>
      <c r="AI87" s="93"/>
      <c r="AJ87" s="86"/>
      <c r="AK87" s="93"/>
      <c r="AL87" s="86"/>
      <c r="AM87" s="75"/>
      <c r="AN87" s="75"/>
      <c r="AO87" s="75"/>
      <c r="AP87" s="75"/>
      <c r="AQ87" s="75"/>
      <c r="AR87" s="75"/>
      <c r="AS87" s="75"/>
      <c r="AT87" s="75"/>
    </row>
    <row r="88" spans="1:46" s="78" customFormat="1" ht="12">
      <c r="A88" s="75"/>
      <c r="B88" s="79"/>
      <c r="C88" s="75"/>
      <c r="F88" s="97"/>
      <c r="G88" s="97"/>
      <c r="H88" s="97"/>
      <c r="I88" s="93"/>
      <c r="J88" s="86"/>
      <c r="K88" s="93"/>
      <c r="L88" s="86"/>
      <c r="M88" s="86"/>
      <c r="N88" s="86"/>
      <c r="O88" s="93"/>
      <c r="P88" s="86"/>
      <c r="Q88" s="93"/>
      <c r="R88" s="86"/>
      <c r="S88" s="93"/>
      <c r="T88" s="86"/>
      <c r="U88" s="93"/>
      <c r="V88" s="86"/>
      <c r="W88" s="93"/>
      <c r="X88" s="86"/>
      <c r="Y88" s="93"/>
      <c r="Z88" s="86"/>
      <c r="AA88" s="93"/>
      <c r="AB88" s="86"/>
      <c r="AC88" s="93"/>
      <c r="AD88" s="86"/>
      <c r="AE88" s="93"/>
      <c r="AF88" s="86"/>
      <c r="AG88" s="93"/>
      <c r="AH88" s="86"/>
      <c r="AI88" s="93"/>
      <c r="AJ88" s="86"/>
      <c r="AK88" s="93"/>
      <c r="AL88" s="86"/>
      <c r="AM88" s="75"/>
      <c r="AN88" s="75"/>
      <c r="AO88" s="75"/>
      <c r="AP88" s="75"/>
      <c r="AQ88" s="75"/>
      <c r="AR88" s="75"/>
      <c r="AS88" s="75"/>
      <c r="AT88" s="75"/>
    </row>
    <row r="89" spans="1:46" s="78" customFormat="1" ht="12">
      <c r="A89" s="75"/>
      <c r="B89" s="79"/>
      <c r="C89" s="75"/>
      <c r="F89" s="97"/>
      <c r="G89" s="97"/>
      <c r="H89" s="97"/>
      <c r="I89" s="93"/>
      <c r="J89" s="86"/>
      <c r="K89" s="93"/>
      <c r="L89" s="86"/>
      <c r="M89" s="86"/>
      <c r="N89" s="86"/>
      <c r="O89" s="93"/>
      <c r="P89" s="86"/>
      <c r="Q89" s="93"/>
      <c r="R89" s="86"/>
      <c r="S89" s="93"/>
      <c r="T89" s="86"/>
      <c r="U89" s="93"/>
      <c r="V89" s="86"/>
      <c r="W89" s="93"/>
      <c r="X89" s="86"/>
      <c r="Y89" s="93"/>
      <c r="Z89" s="86"/>
      <c r="AA89" s="93"/>
      <c r="AB89" s="86"/>
      <c r="AC89" s="93"/>
      <c r="AD89" s="86"/>
      <c r="AE89" s="93"/>
      <c r="AF89" s="86"/>
      <c r="AG89" s="93"/>
      <c r="AH89" s="86"/>
      <c r="AI89" s="93"/>
      <c r="AJ89" s="86"/>
      <c r="AK89" s="93"/>
      <c r="AL89" s="86"/>
      <c r="AM89" s="75"/>
      <c r="AN89" s="75"/>
      <c r="AO89" s="75"/>
      <c r="AP89" s="75"/>
      <c r="AQ89" s="75"/>
      <c r="AR89" s="75"/>
      <c r="AS89" s="75"/>
      <c r="AT89" s="75"/>
    </row>
    <row r="90" spans="1:46" s="78" customFormat="1" ht="12">
      <c r="A90" s="75"/>
      <c r="B90" s="79"/>
      <c r="C90" s="75"/>
      <c r="F90" s="97"/>
      <c r="G90" s="97"/>
      <c r="H90" s="97"/>
      <c r="I90" s="93"/>
      <c r="J90" s="86"/>
      <c r="K90" s="93"/>
      <c r="L90" s="86"/>
      <c r="M90" s="86"/>
      <c r="N90" s="86"/>
      <c r="O90" s="93"/>
      <c r="P90" s="86"/>
      <c r="Q90" s="93"/>
      <c r="R90" s="86"/>
      <c r="S90" s="93"/>
      <c r="T90" s="86"/>
      <c r="U90" s="93"/>
      <c r="V90" s="86"/>
      <c r="W90" s="93"/>
      <c r="X90" s="86"/>
      <c r="Y90" s="93"/>
      <c r="Z90" s="86"/>
      <c r="AA90" s="93"/>
      <c r="AB90" s="86"/>
      <c r="AC90" s="93"/>
      <c r="AD90" s="86"/>
      <c r="AE90" s="93"/>
      <c r="AF90" s="86"/>
      <c r="AG90" s="93"/>
      <c r="AH90" s="86"/>
      <c r="AI90" s="93"/>
      <c r="AJ90" s="86"/>
      <c r="AK90" s="93"/>
      <c r="AL90" s="86"/>
      <c r="AM90" s="75"/>
      <c r="AN90" s="75"/>
      <c r="AO90" s="75"/>
      <c r="AP90" s="75"/>
      <c r="AQ90" s="75"/>
      <c r="AR90" s="75"/>
      <c r="AS90" s="75"/>
      <c r="AT90" s="75"/>
    </row>
    <row r="91" spans="1:46" s="78" customFormat="1" ht="12">
      <c r="A91" s="75"/>
      <c r="B91" s="79"/>
      <c r="C91" s="75"/>
      <c r="F91" s="97"/>
      <c r="G91" s="97"/>
      <c r="H91" s="97"/>
      <c r="I91" s="93"/>
      <c r="J91" s="86"/>
      <c r="K91" s="93"/>
      <c r="L91" s="86"/>
      <c r="M91" s="86"/>
      <c r="N91" s="86"/>
      <c r="O91" s="93"/>
      <c r="P91" s="86"/>
      <c r="Q91" s="93"/>
      <c r="R91" s="86"/>
      <c r="S91" s="93"/>
      <c r="T91" s="86"/>
      <c r="U91" s="93"/>
      <c r="V91" s="86"/>
      <c r="W91" s="93"/>
      <c r="X91" s="86"/>
      <c r="Y91" s="93"/>
      <c r="Z91" s="86"/>
      <c r="AA91" s="93"/>
      <c r="AB91" s="86"/>
      <c r="AC91" s="93"/>
      <c r="AD91" s="86"/>
      <c r="AE91" s="93"/>
      <c r="AF91" s="86"/>
      <c r="AG91" s="93"/>
      <c r="AH91" s="86"/>
      <c r="AI91" s="93"/>
      <c r="AJ91" s="86"/>
      <c r="AK91" s="93"/>
      <c r="AL91" s="86"/>
      <c r="AM91" s="75"/>
      <c r="AN91" s="75"/>
      <c r="AO91" s="75"/>
      <c r="AP91" s="75"/>
      <c r="AQ91" s="75"/>
      <c r="AR91" s="75"/>
      <c r="AS91" s="75"/>
      <c r="AT91" s="75"/>
    </row>
    <row r="92" spans="1:46" s="78" customFormat="1" ht="12">
      <c r="A92" s="75"/>
      <c r="B92" s="79"/>
      <c r="C92" s="75"/>
      <c r="F92" s="97"/>
      <c r="G92" s="97"/>
      <c r="H92" s="97"/>
      <c r="I92" s="93"/>
      <c r="J92" s="86"/>
      <c r="K92" s="93"/>
      <c r="L92" s="86"/>
      <c r="M92" s="86"/>
      <c r="N92" s="86"/>
      <c r="O92" s="93"/>
      <c r="P92" s="86"/>
      <c r="Q92" s="93"/>
      <c r="R92" s="86"/>
      <c r="S92" s="93"/>
      <c r="T92" s="86"/>
      <c r="U92" s="93"/>
      <c r="V92" s="86"/>
      <c r="W92" s="93"/>
      <c r="X92" s="86"/>
      <c r="Y92" s="93"/>
      <c r="Z92" s="86"/>
      <c r="AA92" s="93"/>
      <c r="AB92" s="86"/>
      <c r="AC92" s="93"/>
      <c r="AD92" s="86"/>
      <c r="AE92" s="93"/>
      <c r="AF92" s="86"/>
      <c r="AG92" s="93"/>
      <c r="AH92" s="86"/>
      <c r="AI92" s="93"/>
      <c r="AJ92" s="86"/>
      <c r="AK92" s="93"/>
      <c r="AL92" s="86"/>
      <c r="AM92" s="75"/>
      <c r="AN92" s="75"/>
      <c r="AO92" s="75"/>
      <c r="AP92" s="75"/>
      <c r="AQ92" s="75"/>
      <c r="AR92" s="75"/>
      <c r="AS92" s="75"/>
      <c r="AT92" s="75"/>
    </row>
    <row r="93" spans="1:46" s="78" customFormat="1" ht="12">
      <c r="A93" s="75"/>
      <c r="B93" s="79"/>
      <c r="C93" s="75"/>
      <c r="F93" s="97"/>
      <c r="G93" s="97"/>
      <c r="H93" s="97"/>
      <c r="I93" s="93"/>
      <c r="J93" s="86"/>
      <c r="K93" s="93"/>
      <c r="L93" s="86"/>
      <c r="M93" s="86"/>
      <c r="N93" s="86"/>
      <c r="O93" s="93"/>
      <c r="P93" s="86"/>
      <c r="Q93" s="93"/>
      <c r="R93" s="86"/>
      <c r="S93" s="93"/>
      <c r="T93" s="86"/>
      <c r="U93" s="93"/>
      <c r="V93" s="86"/>
      <c r="W93" s="93"/>
      <c r="X93" s="86"/>
      <c r="Y93" s="93"/>
      <c r="Z93" s="86"/>
      <c r="AA93" s="93"/>
      <c r="AB93" s="86"/>
      <c r="AC93" s="93"/>
      <c r="AD93" s="86"/>
      <c r="AE93" s="93"/>
      <c r="AF93" s="86"/>
      <c r="AG93" s="93"/>
      <c r="AH93" s="86"/>
      <c r="AI93" s="93"/>
      <c r="AJ93" s="86"/>
      <c r="AK93" s="93"/>
      <c r="AL93" s="86"/>
      <c r="AM93" s="75"/>
      <c r="AN93" s="75"/>
      <c r="AO93" s="75"/>
      <c r="AP93" s="75"/>
      <c r="AQ93" s="75"/>
      <c r="AR93" s="75"/>
      <c r="AS93" s="75"/>
      <c r="AT93" s="75"/>
    </row>
    <row r="94" spans="1:46" s="78" customFormat="1" ht="12">
      <c r="A94" s="75"/>
      <c r="B94" s="79"/>
      <c r="C94" s="75"/>
      <c r="F94" s="97"/>
      <c r="G94" s="97"/>
      <c r="H94" s="97"/>
      <c r="I94" s="93"/>
      <c r="J94" s="86"/>
      <c r="K94" s="93"/>
      <c r="L94" s="86"/>
      <c r="M94" s="86"/>
      <c r="N94" s="86"/>
      <c r="O94" s="93"/>
      <c r="P94" s="86"/>
      <c r="Q94" s="93"/>
      <c r="R94" s="86"/>
      <c r="S94" s="93"/>
      <c r="T94" s="86"/>
      <c r="U94" s="93"/>
      <c r="V94" s="86"/>
      <c r="W94" s="93"/>
      <c r="X94" s="86"/>
      <c r="Y94" s="93"/>
      <c r="Z94" s="86"/>
      <c r="AA94" s="93"/>
      <c r="AB94" s="86"/>
      <c r="AC94" s="93"/>
      <c r="AD94" s="86"/>
      <c r="AE94" s="93"/>
      <c r="AF94" s="86"/>
      <c r="AG94" s="93"/>
      <c r="AH94" s="86"/>
      <c r="AI94" s="93"/>
      <c r="AJ94" s="86"/>
      <c r="AK94" s="93"/>
      <c r="AL94" s="86"/>
      <c r="AM94" s="75"/>
      <c r="AN94" s="75"/>
      <c r="AO94" s="75"/>
      <c r="AP94" s="75"/>
      <c r="AQ94" s="75"/>
      <c r="AR94" s="75"/>
      <c r="AS94" s="75"/>
      <c r="AT94" s="75"/>
    </row>
    <row r="95" spans="1:46" s="78" customFormat="1" ht="12">
      <c r="A95" s="75"/>
      <c r="B95" s="79"/>
      <c r="C95" s="75"/>
      <c r="F95" s="97"/>
      <c r="G95" s="97"/>
      <c r="H95" s="97"/>
      <c r="I95" s="93"/>
      <c r="J95" s="86"/>
      <c r="K95" s="93"/>
      <c r="L95" s="86"/>
      <c r="M95" s="86"/>
      <c r="N95" s="86"/>
      <c r="O95" s="93"/>
      <c r="P95" s="86"/>
      <c r="Q95" s="93"/>
      <c r="R95" s="86"/>
      <c r="S95" s="93"/>
      <c r="T95" s="86"/>
      <c r="U95" s="93"/>
      <c r="V95" s="86"/>
      <c r="W95" s="93"/>
      <c r="X95" s="86"/>
      <c r="Y95" s="93"/>
      <c r="Z95" s="86"/>
      <c r="AA95" s="93"/>
      <c r="AB95" s="86"/>
      <c r="AC95" s="93"/>
      <c r="AD95" s="86"/>
      <c r="AE95" s="93"/>
      <c r="AF95" s="86"/>
      <c r="AG95" s="93"/>
      <c r="AH95" s="86"/>
      <c r="AI95" s="93"/>
      <c r="AJ95" s="86"/>
      <c r="AK95" s="93"/>
      <c r="AL95" s="86"/>
      <c r="AM95" s="75"/>
      <c r="AN95" s="75"/>
      <c r="AO95" s="75"/>
      <c r="AP95" s="75"/>
      <c r="AQ95" s="75"/>
      <c r="AR95" s="75"/>
      <c r="AS95" s="75"/>
      <c r="AT95" s="75"/>
    </row>
    <row r="96" spans="1:46" s="78" customFormat="1" ht="12">
      <c r="A96" s="75"/>
      <c r="B96" s="79"/>
      <c r="C96" s="75"/>
      <c r="F96" s="97"/>
      <c r="G96" s="97"/>
      <c r="H96" s="97"/>
      <c r="I96" s="93"/>
      <c r="J96" s="86"/>
      <c r="K96" s="93"/>
      <c r="L96" s="86"/>
      <c r="M96" s="86"/>
      <c r="N96" s="86"/>
      <c r="O96" s="93"/>
      <c r="P96" s="86"/>
      <c r="Q96" s="93"/>
      <c r="R96" s="86"/>
      <c r="S96" s="93"/>
      <c r="T96" s="86"/>
      <c r="U96" s="93"/>
      <c r="V96" s="86"/>
      <c r="W96" s="93"/>
      <c r="X96" s="86"/>
      <c r="Y96" s="93"/>
      <c r="Z96" s="86"/>
      <c r="AA96" s="93"/>
      <c r="AB96" s="86"/>
      <c r="AC96" s="93"/>
      <c r="AD96" s="86"/>
      <c r="AE96" s="93"/>
      <c r="AF96" s="86"/>
      <c r="AG96" s="93"/>
      <c r="AH96" s="86"/>
      <c r="AI96" s="93"/>
      <c r="AJ96" s="86"/>
      <c r="AK96" s="93"/>
      <c r="AL96" s="86"/>
      <c r="AM96" s="75"/>
      <c r="AN96" s="75"/>
      <c r="AO96" s="75"/>
      <c r="AP96" s="75"/>
      <c r="AQ96" s="75"/>
      <c r="AR96" s="75"/>
      <c r="AS96" s="75"/>
      <c r="AT96" s="75"/>
    </row>
    <row r="97" spans="1:46" s="78" customFormat="1" ht="12">
      <c r="A97" s="75"/>
      <c r="B97" s="79"/>
      <c r="C97" s="75"/>
      <c r="F97" s="97"/>
      <c r="G97" s="97"/>
      <c r="H97" s="97"/>
      <c r="I97" s="93"/>
      <c r="J97" s="86"/>
      <c r="K97" s="93"/>
      <c r="L97" s="86"/>
      <c r="M97" s="86"/>
      <c r="N97" s="86"/>
      <c r="O97" s="93"/>
      <c r="P97" s="86"/>
      <c r="Q97" s="93"/>
      <c r="R97" s="86"/>
      <c r="S97" s="93"/>
      <c r="T97" s="86"/>
      <c r="U97" s="93"/>
      <c r="V97" s="86"/>
      <c r="W97" s="93"/>
      <c r="X97" s="86"/>
      <c r="Y97" s="93"/>
      <c r="Z97" s="86"/>
      <c r="AA97" s="93"/>
      <c r="AB97" s="86"/>
      <c r="AC97" s="93"/>
      <c r="AD97" s="86"/>
      <c r="AE97" s="93"/>
      <c r="AF97" s="86"/>
      <c r="AG97" s="93"/>
      <c r="AH97" s="86"/>
      <c r="AI97" s="93"/>
      <c r="AJ97" s="86"/>
      <c r="AK97" s="93"/>
      <c r="AL97" s="86"/>
      <c r="AM97" s="75"/>
      <c r="AN97" s="75"/>
      <c r="AO97" s="75"/>
      <c r="AP97" s="75"/>
      <c r="AQ97" s="75"/>
      <c r="AR97" s="75"/>
      <c r="AS97" s="75"/>
      <c r="AT97" s="75"/>
    </row>
    <row r="98" spans="1:46" s="78" customFormat="1" ht="12">
      <c r="A98" s="75"/>
      <c r="B98" s="79"/>
      <c r="C98" s="75"/>
      <c r="F98" s="97"/>
      <c r="G98" s="97"/>
      <c r="H98" s="97"/>
      <c r="I98" s="93"/>
      <c r="J98" s="86"/>
      <c r="K98" s="93"/>
      <c r="L98" s="86"/>
      <c r="M98" s="86"/>
      <c r="N98" s="86"/>
      <c r="O98" s="93"/>
      <c r="P98" s="86"/>
      <c r="Q98" s="93"/>
      <c r="R98" s="86"/>
      <c r="S98" s="93"/>
      <c r="T98" s="86"/>
      <c r="U98" s="93"/>
      <c r="V98" s="86"/>
      <c r="W98" s="93"/>
      <c r="X98" s="86"/>
      <c r="Y98" s="93"/>
      <c r="Z98" s="86"/>
      <c r="AA98" s="93"/>
      <c r="AB98" s="86"/>
      <c r="AC98" s="93"/>
      <c r="AD98" s="86"/>
      <c r="AE98" s="93"/>
      <c r="AF98" s="86"/>
      <c r="AG98" s="93"/>
      <c r="AH98" s="86"/>
      <c r="AI98" s="93"/>
      <c r="AJ98" s="86"/>
      <c r="AK98" s="93"/>
      <c r="AL98" s="86"/>
      <c r="AM98" s="75"/>
      <c r="AN98" s="75"/>
      <c r="AO98" s="75"/>
      <c r="AP98" s="75"/>
      <c r="AQ98" s="75"/>
      <c r="AR98" s="75"/>
      <c r="AS98" s="75"/>
      <c r="AT98" s="75"/>
    </row>
    <row r="99" spans="1:46" s="78" customFormat="1" ht="12">
      <c r="A99" s="75"/>
      <c r="B99" s="79"/>
      <c r="C99" s="75"/>
      <c r="F99" s="97"/>
      <c r="G99" s="97"/>
      <c r="H99" s="97"/>
      <c r="I99" s="93"/>
      <c r="J99" s="86"/>
      <c r="K99" s="93"/>
      <c r="L99" s="86"/>
      <c r="M99" s="86"/>
      <c r="N99" s="86"/>
      <c r="O99" s="93"/>
      <c r="P99" s="86"/>
      <c r="Q99" s="93"/>
      <c r="R99" s="86"/>
      <c r="S99" s="93"/>
      <c r="T99" s="86"/>
      <c r="U99" s="93"/>
      <c r="V99" s="86"/>
      <c r="W99" s="93"/>
      <c r="X99" s="86"/>
      <c r="Y99" s="93"/>
      <c r="Z99" s="86"/>
      <c r="AA99" s="93"/>
      <c r="AB99" s="86"/>
      <c r="AC99" s="93"/>
      <c r="AD99" s="86"/>
      <c r="AE99" s="93"/>
      <c r="AF99" s="86"/>
      <c r="AG99" s="93"/>
      <c r="AH99" s="86"/>
      <c r="AI99" s="93"/>
      <c r="AJ99" s="86"/>
      <c r="AK99" s="93"/>
      <c r="AL99" s="86"/>
      <c r="AM99" s="75"/>
      <c r="AN99" s="75"/>
      <c r="AO99" s="75"/>
      <c r="AP99" s="75"/>
      <c r="AQ99" s="75"/>
      <c r="AR99" s="75"/>
      <c r="AS99" s="75"/>
      <c r="AT99" s="75"/>
    </row>
    <row r="100" spans="1:46" s="78" customFormat="1" ht="12">
      <c r="A100" s="75"/>
      <c r="B100" s="79"/>
      <c r="C100" s="75"/>
      <c r="F100" s="97"/>
      <c r="G100" s="97"/>
      <c r="H100" s="97"/>
      <c r="I100" s="93"/>
      <c r="J100" s="86"/>
      <c r="K100" s="93"/>
      <c r="L100" s="86"/>
      <c r="M100" s="86"/>
      <c r="N100" s="86"/>
      <c r="O100" s="93"/>
      <c r="P100" s="86"/>
      <c r="Q100" s="93"/>
      <c r="R100" s="86"/>
      <c r="S100" s="93"/>
      <c r="T100" s="86"/>
      <c r="U100" s="93"/>
      <c r="V100" s="86"/>
      <c r="W100" s="93"/>
      <c r="X100" s="86"/>
      <c r="Y100" s="93"/>
      <c r="Z100" s="86"/>
      <c r="AA100" s="93"/>
      <c r="AB100" s="86"/>
      <c r="AC100" s="93"/>
      <c r="AD100" s="86"/>
      <c r="AE100" s="93"/>
      <c r="AF100" s="86"/>
      <c r="AG100" s="93"/>
      <c r="AH100" s="86"/>
      <c r="AI100" s="93"/>
      <c r="AJ100" s="86"/>
      <c r="AK100" s="93"/>
      <c r="AL100" s="86"/>
      <c r="AM100" s="75"/>
      <c r="AN100" s="75"/>
      <c r="AO100" s="75"/>
      <c r="AP100" s="75"/>
      <c r="AQ100" s="75"/>
      <c r="AR100" s="75"/>
      <c r="AS100" s="75"/>
      <c r="AT100" s="75"/>
    </row>
    <row r="101" spans="1:46" s="78" customFormat="1" ht="12">
      <c r="A101" s="75"/>
      <c r="B101" s="79"/>
      <c r="C101" s="75"/>
      <c r="F101" s="97"/>
      <c r="G101" s="97"/>
      <c r="H101" s="97"/>
      <c r="I101" s="93"/>
      <c r="J101" s="86"/>
      <c r="K101" s="93"/>
      <c r="L101" s="86"/>
      <c r="M101" s="86"/>
      <c r="N101" s="86"/>
      <c r="O101" s="93"/>
      <c r="P101" s="86"/>
      <c r="Q101" s="93"/>
      <c r="R101" s="86"/>
      <c r="S101" s="93"/>
      <c r="T101" s="86"/>
      <c r="U101" s="93"/>
      <c r="V101" s="86"/>
      <c r="W101" s="93"/>
      <c r="X101" s="86"/>
      <c r="Y101" s="93"/>
      <c r="Z101" s="86"/>
      <c r="AA101" s="93"/>
      <c r="AB101" s="86"/>
      <c r="AC101" s="93"/>
      <c r="AD101" s="86"/>
      <c r="AE101" s="93"/>
      <c r="AF101" s="86"/>
      <c r="AG101" s="93"/>
      <c r="AH101" s="86"/>
      <c r="AI101" s="93"/>
      <c r="AJ101" s="86"/>
      <c r="AK101" s="93"/>
      <c r="AL101" s="86"/>
      <c r="AM101" s="75"/>
      <c r="AN101" s="75"/>
      <c r="AO101" s="75"/>
      <c r="AP101" s="75"/>
      <c r="AQ101" s="75"/>
      <c r="AR101" s="75"/>
      <c r="AS101" s="75"/>
      <c r="AT101" s="75"/>
    </row>
    <row r="102" spans="1:46" s="78" customFormat="1" ht="12">
      <c r="A102" s="75"/>
      <c r="B102" s="79"/>
      <c r="C102" s="75"/>
      <c r="F102" s="97"/>
      <c r="G102" s="97"/>
      <c r="H102" s="97"/>
      <c r="I102" s="93"/>
      <c r="J102" s="86"/>
      <c r="K102" s="93"/>
      <c r="L102" s="86"/>
      <c r="M102" s="86"/>
      <c r="N102" s="86"/>
      <c r="O102" s="93"/>
      <c r="P102" s="86"/>
      <c r="Q102" s="93"/>
      <c r="R102" s="86"/>
      <c r="S102" s="93"/>
      <c r="T102" s="86"/>
      <c r="U102" s="93"/>
      <c r="V102" s="86"/>
      <c r="W102" s="93"/>
      <c r="X102" s="86"/>
      <c r="Y102" s="93"/>
      <c r="Z102" s="86"/>
      <c r="AA102" s="93"/>
      <c r="AB102" s="86"/>
      <c r="AC102" s="93"/>
      <c r="AD102" s="86"/>
      <c r="AE102" s="93"/>
      <c r="AF102" s="86"/>
      <c r="AG102" s="93"/>
      <c r="AH102" s="86"/>
      <c r="AI102" s="93"/>
      <c r="AJ102" s="86"/>
      <c r="AK102" s="93"/>
      <c r="AL102" s="86"/>
      <c r="AM102" s="75"/>
      <c r="AN102" s="75"/>
      <c r="AO102" s="75"/>
      <c r="AP102" s="75"/>
      <c r="AQ102" s="75"/>
      <c r="AR102" s="75"/>
      <c r="AS102" s="75"/>
      <c r="AT102" s="75"/>
    </row>
  </sheetData>
  <mergeCells count="34">
    <mergeCell ref="H7:H37"/>
    <mergeCell ref="C7:C37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02"/>
  <sheetViews>
    <sheetView zoomScale="85" zoomScaleNormal="85" workbookViewId="0">
      <pane xSplit="5" ySplit="6" topLeftCell="F7" activePane="bottomRight" state="frozen"/>
      <selection pane="bottomRight" activeCell="AE43" sqref="AE43"/>
      <selection pane="bottomLeft" activeCell="A7" sqref="A7"/>
      <selection pane="topRight" activeCell="F1" sqref="F1"/>
    </sheetView>
  </sheetViews>
  <sheetFormatPr defaultColWidth="8.85546875" defaultRowHeight="14.25"/>
  <cols>
    <col min="1" max="1" width="8.85546875" style="75"/>
    <col min="2" max="2" width="13.140625" style="75" customWidth="1"/>
    <col min="3" max="3" width="8.85546875" style="98"/>
    <col min="4" max="4" width="17" style="98" customWidth="1"/>
    <col min="5" max="5" width="8.5703125" style="78" customWidth="1"/>
    <col min="6" max="8" width="17.42578125" style="99" customWidth="1"/>
    <col min="9" max="9" width="10.5703125" style="84" customWidth="1"/>
    <col min="10" max="10" width="10.5703125" style="86" customWidth="1"/>
    <col min="11" max="11" width="10.5703125" style="84" customWidth="1"/>
    <col min="12" max="12" width="10.5703125" style="86" customWidth="1"/>
    <col min="13" max="13" width="10.5703125" style="84" customWidth="1"/>
    <col min="14" max="14" width="10.5703125" style="86" customWidth="1"/>
    <col min="15" max="15" width="10.5703125" style="84" customWidth="1"/>
    <col min="16" max="16" width="10.5703125" style="86" customWidth="1"/>
    <col min="17" max="17" width="10.5703125" style="84" customWidth="1"/>
    <col min="18" max="18" width="10.5703125" style="86" customWidth="1"/>
    <col min="19" max="19" width="10.5703125" style="84" customWidth="1"/>
    <col min="20" max="20" width="10.5703125" style="86" customWidth="1"/>
    <col min="21" max="21" width="10.5703125" style="84" customWidth="1"/>
    <col min="22" max="22" width="10.5703125" style="86" customWidth="1"/>
    <col min="23" max="23" width="10.5703125" style="84" customWidth="1"/>
    <col min="24" max="24" width="10.5703125" style="86" customWidth="1"/>
    <col min="25" max="25" width="10.5703125" style="84" customWidth="1"/>
    <col min="26" max="26" width="10.5703125" style="86" customWidth="1"/>
    <col min="27" max="27" width="10.5703125" style="84" customWidth="1"/>
    <col min="28" max="28" width="10.5703125" style="86" customWidth="1"/>
    <col min="29" max="29" width="10.5703125" style="84" customWidth="1"/>
    <col min="30" max="30" width="10.5703125" style="86" customWidth="1"/>
    <col min="31" max="31" width="10.5703125" style="84" customWidth="1"/>
    <col min="32" max="32" width="10.5703125" style="86" customWidth="1"/>
    <col min="33" max="33" width="10.42578125" style="84" customWidth="1"/>
    <col min="34" max="34" width="10.42578125" style="86" customWidth="1"/>
    <col min="35" max="35" width="10.42578125" style="84" customWidth="1"/>
    <col min="36" max="36" width="10.42578125" style="86" customWidth="1"/>
    <col min="37" max="37" width="10.42578125" style="84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364" t="s">
        <v>197</v>
      </c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4"/>
      <c r="W2" s="364"/>
      <c r="X2" s="364"/>
      <c r="Y2" s="364"/>
      <c r="Z2" s="364"/>
      <c r="AA2" s="364"/>
      <c r="AB2" s="364"/>
      <c r="AC2" s="364"/>
      <c r="AD2" s="364"/>
      <c r="AE2" s="364"/>
      <c r="AF2" s="364"/>
      <c r="AG2" s="364"/>
      <c r="AH2" s="364"/>
      <c r="AI2" s="364"/>
      <c r="AJ2" s="364"/>
      <c r="AK2" s="364"/>
      <c r="AL2" s="364"/>
    </row>
    <row r="3" spans="1:38" ht="25.35" customHeight="1">
      <c r="B3" s="79"/>
      <c r="C3" s="381" t="s">
        <v>180</v>
      </c>
      <c r="D3" s="382" t="s">
        <v>150</v>
      </c>
      <c r="E3" s="382"/>
      <c r="F3" s="394" t="s">
        <v>198</v>
      </c>
      <c r="G3" s="395"/>
      <c r="H3" s="395"/>
      <c r="I3" s="391" t="s">
        <v>199</v>
      </c>
      <c r="J3" s="391"/>
      <c r="K3" s="391"/>
      <c r="L3" s="391"/>
      <c r="M3" s="391"/>
      <c r="N3" s="391"/>
      <c r="O3" s="391"/>
      <c r="P3" s="391"/>
      <c r="Q3" s="391"/>
      <c r="R3" s="391"/>
      <c r="S3" s="391"/>
      <c r="T3" s="391"/>
      <c r="U3" s="391"/>
      <c r="V3" s="391"/>
      <c r="W3" s="391"/>
      <c r="X3" s="391"/>
      <c r="Y3" s="391"/>
      <c r="Z3" s="391"/>
      <c r="AA3" s="391"/>
      <c r="AB3" s="391"/>
      <c r="AC3" s="391"/>
      <c r="AD3" s="391"/>
      <c r="AE3" s="391"/>
      <c r="AF3" s="391"/>
      <c r="AG3" s="391"/>
      <c r="AH3" s="391"/>
      <c r="AI3" s="391"/>
      <c r="AJ3" s="391"/>
      <c r="AK3" s="391"/>
      <c r="AL3" s="391"/>
    </row>
    <row r="4" spans="1:38" ht="25.35" customHeight="1">
      <c r="B4" s="79"/>
      <c r="C4" s="381"/>
      <c r="D4" s="382"/>
      <c r="E4" s="382"/>
      <c r="F4" s="395"/>
      <c r="G4" s="395"/>
      <c r="H4" s="395"/>
      <c r="I4" s="388" t="s">
        <v>183</v>
      </c>
      <c r="J4" s="388"/>
      <c r="K4" s="388"/>
      <c r="L4" s="388"/>
      <c r="M4" s="388"/>
      <c r="N4" s="388"/>
      <c r="O4" s="388" t="s">
        <v>184</v>
      </c>
      <c r="P4" s="388"/>
      <c r="Q4" s="388"/>
      <c r="R4" s="388"/>
      <c r="S4" s="388"/>
      <c r="T4" s="388"/>
      <c r="U4" s="388" t="s">
        <v>185</v>
      </c>
      <c r="V4" s="388"/>
      <c r="W4" s="388" t="s">
        <v>186</v>
      </c>
      <c r="X4" s="388"/>
      <c r="Y4" s="388" t="s">
        <v>187</v>
      </c>
      <c r="Z4" s="388"/>
      <c r="AA4" s="388"/>
      <c r="AB4" s="388"/>
      <c r="AC4" s="388"/>
      <c r="AD4" s="388"/>
      <c r="AE4" s="388" t="s">
        <v>188</v>
      </c>
      <c r="AF4" s="388"/>
      <c r="AG4" s="388" t="s">
        <v>189</v>
      </c>
      <c r="AH4" s="388"/>
      <c r="AI4" s="388" t="s">
        <v>190</v>
      </c>
      <c r="AJ4" s="388"/>
      <c r="AK4" s="388" t="s">
        <v>191</v>
      </c>
      <c r="AL4" s="388"/>
    </row>
    <row r="5" spans="1:38" ht="25.35" customHeight="1">
      <c r="B5" s="79"/>
      <c r="C5" s="381"/>
      <c r="D5" s="382"/>
      <c r="E5" s="382"/>
      <c r="F5" s="390" t="s">
        <v>157</v>
      </c>
      <c r="G5" s="390" t="s">
        <v>158</v>
      </c>
      <c r="H5" s="390" t="s">
        <v>159</v>
      </c>
      <c r="I5" s="388" t="s">
        <v>192</v>
      </c>
      <c r="J5" s="388"/>
      <c r="K5" s="388" t="s">
        <v>193</v>
      </c>
      <c r="L5" s="388"/>
      <c r="M5" s="389" t="s">
        <v>194</v>
      </c>
      <c r="N5" s="388"/>
      <c r="O5" s="388" t="s">
        <v>192</v>
      </c>
      <c r="P5" s="388"/>
      <c r="Q5" s="388" t="s">
        <v>193</v>
      </c>
      <c r="R5" s="388"/>
      <c r="S5" s="389" t="s">
        <v>194</v>
      </c>
      <c r="T5" s="388"/>
      <c r="U5" s="388" t="s">
        <v>192</v>
      </c>
      <c r="V5" s="388"/>
      <c r="W5" s="388" t="s">
        <v>192</v>
      </c>
      <c r="X5" s="388"/>
      <c r="Y5" s="388" t="s">
        <v>192</v>
      </c>
      <c r="Z5" s="388"/>
      <c r="AA5" s="388" t="s">
        <v>193</v>
      </c>
      <c r="AB5" s="388"/>
      <c r="AC5" s="389" t="s">
        <v>194</v>
      </c>
      <c r="AD5" s="388"/>
      <c r="AE5" s="388" t="s">
        <v>192</v>
      </c>
      <c r="AF5" s="388"/>
      <c r="AG5" s="388" t="s">
        <v>192</v>
      </c>
      <c r="AH5" s="388"/>
      <c r="AI5" s="388" t="s">
        <v>192</v>
      </c>
      <c r="AJ5" s="388"/>
      <c r="AK5" s="388" t="s">
        <v>192</v>
      </c>
      <c r="AL5" s="388"/>
    </row>
    <row r="6" spans="1:38" s="78" customFormat="1" ht="23.45" customHeight="1">
      <c r="B6" s="79"/>
      <c r="C6" s="381"/>
      <c r="D6" s="382"/>
      <c r="E6" s="382"/>
      <c r="F6" s="390"/>
      <c r="G6" s="390"/>
      <c r="H6" s="390"/>
      <c r="I6" s="100" t="s">
        <v>200</v>
      </c>
      <c r="J6" s="95" t="s">
        <v>196</v>
      </c>
      <c r="K6" s="100" t="s">
        <v>200</v>
      </c>
      <c r="L6" s="95" t="s">
        <v>196</v>
      </c>
      <c r="M6" s="100" t="s">
        <v>200</v>
      </c>
      <c r="N6" s="95" t="s">
        <v>196</v>
      </c>
      <c r="O6" s="100" t="s">
        <v>200</v>
      </c>
      <c r="P6" s="95" t="s">
        <v>196</v>
      </c>
      <c r="Q6" s="100" t="s">
        <v>200</v>
      </c>
      <c r="R6" s="95" t="s">
        <v>196</v>
      </c>
      <c r="S6" s="100" t="s">
        <v>200</v>
      </c>
      <c r="T6" s="95" t="s">
        <v>196</v>
      </c>
      <c r="U6" s="100" t="s">
        <v>200</v>
      </c>
      <c r="V6" s="95" t="s">
        <v>196</v>
      </c>
      <c r="W6" s="100" t="s">
        <v>200</v>
      </c>
      <c r="X6" s="95" t="s">
        <v>196</v>
      </c>
      <c r="Y6" s="100" t="s">
        <v>200</v>
      </c>
      <c r="Z6" s="95" t="s">
        <v>196</v>
      </c>
      <c r="AA6" s="100" t="s">
        <v>200</v>
      </c>
      <c r="AB6" s="95" t="s">
        <v>196</v>
      </c>
      <c r="AC6" s="100" t="s">
        <v>200</v>
      </c>
      <c r="AD6" s="95" t="s">
        <v>196</v>
      </c>
      <c r="AE6" s="100" t="s">
        <v>200</v>
      </c>
      <c r="AF6" s="95" t="s">
        <v>196</v>
      </c>
      <c r="AG6" s="100" t="s">
        <v>200</v>
      </c>
      <c r="AH6" s="95" t="s">
        <v>196</v>
      </c>
      <c r="AI6" s="100" t="s">
        <v>200</v>
      </c>
      <c r="AJ6" s="95" t="s">
        <v>196</v>
      </c>
      <c r="AK6" s="100" t="s">
        <v>200</v>
      </c>
      <c r="AL6" s="95" t="s">
        <v>196</v>
      </c>
    </row>
    <row r="7" spans="1:38" ht="12">
      <c r="B7" s="79"/>
      <c r="C7" s="372" t="s">
        <v>161</v>
      </c>
      <c r="D7" s="319">
        <v>45901</v>
      </c>
      <c r="E7" s="319" t="s">
        <v>162</v>
      </c>
      <c r="F7" s="328">
        <f>SUM(M7,S7,U7,W7,AC7,AE7,AG7,AI7,AK7)</f>
        <v>222309</v>
      </c>
      <c r="G7" s="392">
        <f>SUM(F7:F10)</f>
        <v>901743</v>
      </c>
      <c r="H7" s="392">
        <f>SUM(F7:F37)</f>
        <v>3326414</v>
      </c>
      <c r="I7" s="329">
        <v>31188</v>
      </c>
      <c r="J7" s="96">
        <f t="shared" ref="J7:J14" si="0">I7/F7</f>
        <v>0.14029121628004265</v>
      </c>
      <c r="K7" s="329">
        <v>45716</v>
      </c>
      <c r="L7" s="96">
        <f t="shared" ref="L7:L14" si="1">K7/F7</f>
        <v>0.20564169691735376</v>
      </c>
      <c r="M7" s="330">
        <f t="shared" ref="M7:M9" si="2">SUM(I7+K7)</f>
        <v>76904</v>
      </c>
      <c r="N7" s="96">
        <f t="shared" ref="N7:N14" si="3">M7/F7</f>
        <v>0.34593291319739644</v>
      </c>
      <c r="O7" s="329">
        <v>7283</v>
      </c>
      <c r="P7" s="96">
        <f t="shared" ref="P7:P14" si="4">O7/F7</f>
        <v>3.2760706943938393E-2</v>
      </c>
      <c r="Q7" s="329">
        <v>4112</v>
      </c>
      <c r="R7" s="96">
        <f t="shared" ref="R7:R14" si="5">Q7/D7</f>
        <v>8.9584104921461405E-2</v>
      </c>
      <c r="S7" s="330">
        <f t="shared" ref="S7:S14" si="6">SUM(O7+Q7)</f>
        <v>11395</v>
      </c>
      <c r="T7" s="96">
        <f t="shared" ref="T7:T14" si="7">S7/F7</f>
        <v>5.1257483952516544E-2</v>
      </c>
      <c r="U7" s="329">
        <v>20019</v>
      </c>
      <c r="V7" s="96">
        <f t="shared" ref="V7:V14" si="8">U7/F7</f>
        <v>9.0050335344048146E-2</v>
      </c>
      <c r="W7" s="329">
        <v>420</v>
      </c>
      <c r="X7" s="96">
        <f t="shared" ref="X7:X14" si="9">W7/F7</f>
        <v>1.8892622430940718E-3</v>
      </c>
      <c r="Y7" s="329">
        <v>23192</v>
      </c>
      <c r="Z7" s="96">
        <f t="shared" ref="Z7:Z14" si="10">Y7/F7</f>
        <v>0.10432326176628026</v>
      </c>
      <c r="AA7" s="329">
        <v>24411</v>
      </c>
      <c r="AB7" s="96">
        <f t="shared" ref="AB7:AB14" si="11">AA7/D7</f>
        <v>0.53181847890024181</v>
      </c>
      <c r="AC7" s="330">
        <f t="shared" ref="AC7:AC14" si="12">SUM(Y7+AA7)</f>
        <v>47603</v>
      </c>
      <c r="AD7" s="96">
        <f t="shared" ref="AD7:AD14" si="13">AC7/F7</f>
        <v>0.21412988228096927</v>
      </c>
      <c r="AE7" s="329">
        <v>13998</v>
      </c>
      <c r="AF7" s="96">
        <f t="shared" ref="AF7:AF14" si="14">AE7/F7</f>
        <v>6.2966411616263845E-2</v>
      </c>
      <c r="AG7" s="329">
        <v>17886</v>
      </c>
      <c r="AH7" s="96">
        <f t="shared" ref="AH7:AH14" si="15">AG7/F7</f>
        <v>8.0455582095191824E-2</v>
      </c>
      <c r="AI7" s="329">
        <v>16627</v>
      </c>
      <c r="AJ7" s="96">
        <f t="shared" ref="AJ7:AJ14" si="16">AI7/F7</f>
        <v>7.4792293609345556E-2</v>
      </c>
      <c r="AK7" s="329">
        <v>17457</v>
      </c>
      <c r="AL7" s="96">
        <f t="shared" ref="AL7:AL10" si="17">AK7/F7</f>
        <v>7.8525835661174312E-2</v>
      </c>
    </row>
    <row r="8" spans="1:38" ht="12">
      <c r="B8" s="79"/>
      <c r="C8" s="372"/>
      <c r="D8" s="82">
        <v>45902</v>
      </c>
      <c r="E8" s="82" t="s">
        <v>163</v>
      </c>
      <c r="F8" s="328">
        <f t="shared" ref="F8:F45" si="18">SUM(M8,S8,U8,W8,AC8,AE8,AG8,AI8,AK8)</f>
        <v>240560</v>
      </c>
      <c r="G8" s="392"/>
      <c r="H8" s="392"/>
      <c r="I8" s="329">
        <v>43708</v>
      </c>
      <c r="J8" s="96">
        <f t="shared" si="0"/>
        <v>0.18169271699368142</v>
      </c>
      <c r="K8" s="329">
        <v>46366</v>
      </c>
      <c r="L8" s="96">
        <f t="shared" si="1"/>
        <v>0.19274193548387097</v>
      </c>
      <c r="M8" s="330">
        <f t="shared" si="2"/>
        <v>90074</v>
      </c>
      <c r="N8" s="96">
        <f t="shared" si="3"/>
        <v>0.37443465247755237</v>
      </c>
      <c r="O8" s="329">
        <v>7078</v>
      </c>
      <c r="P8" s="96">
        <f t="shared" si="4"/>
        <v>2.9423012969737278E-2</v>
      </c>
      <c r="Q8" s="329">
        <v>4101</v>
      </c>
      <c r="R8" s="96">
        <f t="shared" si="5"/>
        <v>8.9342512308831862E-2</v>
      </c>
      <c r="S8" s="330">
        <f t="shared" si="6"/>
        <v>11179</v>
      </c>
      <c r="T8" s="96">
        <f t="shared" si="7"/>
        <v>4.6470734951779183E-2</v>
      </c>
      <c r="U8" s="329">
        <v>19657</v>
      </c>
      <c r="V8" s="96">
        <f t="shared" si="8"/>
        <v>8.1713501829065519E-2</v>
      </c>
      <c r="W8" s="329">
        <v>458</v>
      </c>
      <c r="X8" s="96">
        <f t="shared" si="9"/>
        <v>1.9038909211839042E-3</v>
      </c>
      <c r="Y8" s="329">
        <v>22718</v>
      </c>
      <c r="Z8" s="96">
        <f t="shared" si="10"/>
        <v>9.4437978051213831E-2</v>
      </c>
      <c r="AA8" s="329">
        <v>23992</v>
      </c>
      <c r="AB8" s="96">
        <f t="shared" si="11"/>
        <v>0.522678750381247</v>
      </c>
      <c r="AC8" s="330">
        <f t="shared" si="12"/>
        <v>46710</v>
      </c>
      <c r="AD8" s="96">
        <f t="shared" si="13"/>
        <v>0.19417193215829731</v>
      </c>
      <c r="AE8" s="329">
        <v>14199</v>
      </c>
      <c r="AF8" s="96">
        <f t="shared" si="14"/>
        <v>5.9024775523777849E-2</v>
      </c>
      <c r="AG8" s="329">
        <v>25447</v>
      </c>
      <c r="AH8" s="96">
        <f t="shared" si="15"/>
        <v>0.10578234120385767</v>
      </c>
      <c r="AI8" s="329">
        <v>16117</v>
      </c>
      <c r="AJ8" s="96">
        <f t="shared" si="16"/>
        <v>6.6997838377120048E-2</v>
      </c>
      <c r="AK8" s="329">
        <v>16719</v>
      </c>
      <c r="AL8" s="96">
        <f t="shared" si="17"/>
        <v>6.9500332557366151E-2</v>
      </c>
    </row>
    <row r="9" spans="1:38" ht="12">
      <c r="B9" s="79"/>
      <c r="C9" s="372"/>
      <c r="D9" s="82">
        <v>45903</v>
      </c>
      <c r="E9" s="82" t="s">
        <v>164</v>
      </c>
      <c r="F9" s="328">
        <f t="shared" si="18"/>
        <v>228856</v>
      </c>
      <c r="G9" s="392"/>
      <c r="H9" s="392"/>
      <c r="I9" s="329">
        <v>41906</v>
      </c>
      <c r="J9" s="96">
        <f t="shared" si="0"/>
        <v>0.18311077708253226</v>
      </c>
      <c r="K9" s="329">
        <v>45666</v>
      </c>
      <c r="L9" s="96">
        <f t="shared" si="1"/>
        <v>0.19954032229873808</v>
      </c>
      <c r="M9" s="330">
        <f t="shared" si="2"/>
        <v>87572</v>
      </c>
      <c r="N9" s="96">
        <f t="shared" si="3"/>
        <v>0.38265109938127034</v>
      </c>
      <c r="O9" s="329">
        <v>6487</v>
      </c>
      <c r="P9" s="96">
        <f t="shared" si="4"/>
        <v>2.8345335057852972E-2</v>
      </c>
      <c r="Q9" s="329">
        <v>4013</v>
      </c>
      <c r="R9" s="96">
        <f t="shared" si="5"/>
        <v>8.7423479946844435E-2</v>
      </c>
      <c r="S9" s="330">
        <f t="shared" si="6"/>
        <v>10500</v>
      </c>
      <c r="T9" s="96">
        <f t="shared" si="7"/>
        <v>4.588037892823435E-2</v>
      </c>
      <c r="U9" s="329">
        <v>18908</v>
      </c>
      <c r="V9" s="96">
        <f t="shared" si="8"/>
        <v>8.2619638550005245E-2</v>
      </c>
      <c r="W9" s="329">
        <v>431</v>
      </c>
      <c r="X9" s="96">
        <f t="shared" si="9"/>
        <v>1.8832803160065718E-3</v>
      </c>
      <c r="Y9" s="329">
        <v>22068</v>
      </c>
      <c r="Z9" s="96">
        <f t="shared" si="10"/>
        <v>9.6427447827454812E-2</v>
      </c>
      <c r="AA9" s="329">
        <v>21947</v>
      </c>
      <c r="AB9" s="96">
        <f t="shared" si="11"/>
        <v>0.47811689867764634</v>
      </c>
      <c r="AC9" s="330">
        <f t="shared" si="12"/>
        <v>44015</v>
      </c>
      <c r="AD9" s="96">
        <f t="shared" si="13"/>
        <v>0.19232617890726045</v>
      </c>
      <c r="AE9" s="329">
        <v>13526</v>
      </c>
      <c r="AF9" s="96">
        <f t="shared" si="14"/>
        <v>5.9102667179361697E-2</v>
      </c>
      <c r="AG9" s="329">
        <v>21626</v>
      </c>
      <c r="AH9" s="96">
        <f t="shared" si="15"/>
        <v>9.4496102352571054E-2</v>
      </c>
      <c r="AI9" s="329">
        <v>15647</v>
      </c>
      <c r="AJ9" s="96">
        <f t="shared" si="16"/>
        <v>6.8370503722865031E-2</v>
      </c>
      <c r="AK9" s="329">
        <v>16631</v>
      </c>
      <c r="AL9" s="96">
        <f t="shared" si="17"/>
        <v>7.2670150662425284E-2</v>
      </c>
    </row>
    <row r="10" spans="1:38" ht="12">
      <c r="B10" s="79"/>
      <c r="C10" s="372"/>
      <c r="D10" s="82">
        <v>45904</v>
      </c>
      <c r="E10" s="82" t="s">
        <v>165</v>
      </c>
      <c r="F10" s="328">
        <f t="shared" si="18"/>
        <v>210018</v>
      </c>
      <c r="G10" s="392"/>
      <c r="H10" s="392"/>
      <c r="I10" s="329">
        <v>38090</v>
      </c>
      <c r="J10" s="96">
        <f t="shared" si="0"/>
        <v>0.1813654067746574</v>
      </c>
      <c r="K10" s="329">
        <v>42384</v>
      </c>
      <c r="L10" s="96">
        <f t="shared" si="1"/>
        <v>0.20181127331942977</v>
      </c>
      <c r="M10" s="330">
        <f t="shared" ref="M10:M14" si="19">SUM(I10+K10)</f>
        <v>80474</v>
      </c>
      <c r="N10" s="96">
        <f t="shared" si="3"/>
        <v>0.38317668009408717</v>
      </c>
      <c r="O10" s="329">
        <v>6155</v>
      </c>
      <c r="P10" s="96">
        <f t="shared" si="4"/>
        <v>2.930701177994267E-2</v>
      </c>
      <c r="Q10" s="329">
        <v>4074</v>
      </c>
      <c r="R10" s="96">
        <f t="shared" si="5"/>
        <v>8.875043569187871E-2</v>
      </c>
      <c r="S10" s="330">
        <f t="shared" si="6"/>
        <v>10229</v>
      </c>
      <c r="T10" s="96">
        <f t="shared" si="7"/>
        <v>4.8705349065318211E-2</v>
      </c>
      <c r="U10" s="329">
        <v>17869</v>
      </c>
      <c r="V10" s="96">
        <f t="shared" si="8"/>
        <v>8.5083183346189376E-2</v>
      </c>
      <c r="W10" s="329">
        <v>421</v>
      </c>
      <c r="X10" s="96">
        <f t="shared" si="9"/>
        <v>2.0045900827548114E-3</v>
      </c>
      <c r="Y10" s="329">
        <v>20720</v>
      </c>
      <c r="Z10" s="96">
        <f t="shared" si="10"/>
        <v>9.865821024864535E-2</v>
      </c>
      <c r="AA10" s="329">
        <v>17620</v>
      </c>
      <c r="AB10" s="96">
        <f t="shared" si="11"/>
        <v>0.38384454513767863</v>
      </c>
      <c r="AC10" s="330">
        <f t="shared" si="12"/>
        <v>38340</v>
      </c>
      <c r="AD10" s="96">
        <f t="shared" si="13"/>
        <v>0.18255578093306288</v>
      </c>
      <c r="AE10" s="329">
        <v>12515</v>
      </c>
      <c r="AF10" s="96">
        <f t="shared" si="14"/>
        <v>5.9590130369777831E-2</v>
      </c>
      <c r="AG10" s="329">
        <v>19930</v>
      </c>
      <c r="AH10" s="96">
        <f t="shared" si="15"/>
        <v>9.4896627908084064E-2</v>
      </c>
      <c r="AI10" s="329">
        <v>14795</v>
      </c>
      <c r="AJ10" s="96">
        <f t="shared" si="16"/>
        <v>7.0446342694435712E-2</v>
      </c>
      <c r="AK10" s="329">
        <v>15445</v>
      </c>
      <c r="AL10" s="96">
        <f t="shared" si="17"/>
        <v>7.3541315506289937E-2</v>
      </c>
    </row>
    <row r="11" spans="1:38" ht="12">
      <c r="B11" s="79"/>
      <c r="C11" s="372"/>
      <c r="D11" s="82">
        <v>45905</v>
      </c>
      <c r="E11" s="82" t="s">
        <v>166</v>
      </c>
      <c r="F11" s="328">
        <f t="shared" si="18"/>
        <v>186157</v>
      </c>
      <c r="G11" s="392">
        <f t="shared" ref="G11" si="20">SUM(F11:F17)</f>
        <v>1537659</v>
      </c>
      <c r="H11" s="392"/>
      <c r="I11" s="329">
        <v>33916</v>
      </c>
      <c r="J11" s="96">
        <f t="shared" si="0"/>
        <v>0.18219030173455739</v>
      </c>
      <c r="K11" s="329">
        <v>39665</v>
      </c>
      <c r="L11" s="96">
        <f t="shared" si="1"/>
        <v>0.21307283636930119</v>
      </c>
      <c r="M11" s="330">
        <f t="shared" si="19"/>
        <v>73581</v>
      </c>
      <c r="N11" s="96">
        <f t="shared" si="3"/>
        <v>0.39526313810385855</v>
      </c>
      <c r="O11" s="329">
        <v>4809</v>
      </c>
      <c r="P11" s="96">
        <f t="shared" si="4"/>
        <v>2.5833033407285249E-2</v>
      </c>
      <c r="Q11" s="329">
        <v>3410</v>
      </c>
      <c r="R11" s="96">
        <f t="shared" si="5"/>
        <v>7.4283847075481968E-2</v>
      </c>
      <c r="S11" s="330">
        <f t="shared" si="6"/>
        <v>8219</v>
      </c>
      <c r="T11" s="96">
        <f t="shared" si="7"/>
        <v>4.4150904881363577E-2</v>
      </c>
      <c r="U11" s="329">
        <v>15369</v>
      </c>
      <c r="V11" s="96">
        <f t="shared" si="8"/>
        <v>8.2559345068947174E-2</v>
      </c>
      <c r="W11" s="329">
        <v>370</v>
      </c>
      <c r="X11" s="96">
        <f t="shared" si="9"/>
        <v>1.9875696320847459E-3</v>
      </c>
      <c r="Y11" s="329">
        <v>18830</v>
      </c>
      <c r="Z11" s="96">
        <f t="shared" si="10"/>
        <v>0.10115117884366422</v>
      </c>
      <c r="AA11" s="329">
        <v>16836</v>
      </c>
      <c r="AB11" s="96">
        <f t="shared" si="11"/>
        <v>0.36675743383073739</v>
      </c>
      <c r="AC11" s="330">
        <f t="shared" si="12"/>
        <v>35666</v>
      </c>
      <c r="AD11" s="96">
        <f t="shared" si="13"/>
        <v>0.1915909689133366</v>
      </c>
      <c r="AE11" s="329">
        <v>10286</v>
      </c>
      <c r="AF11" s="96">
        <f t="shared" si="14"/>
        <v>5.5254435771955927E-2</v>
      </c>
      <c r="AG11" s="329">
        <v>15953</v>
      </c>
      <c r="AH11" s="96">
        <f t="shared" si="15"/>
        <v>8.5696482001751215E-2</v>
      </c>
      <c r="AI11" s="329">
        <v>14584</v>
      </c>
      <c r="AJ11" s="96">
        <f t="shared" si="16"/>
        <v>7.8342474363037651E-2</v>
      </c>
      <c r="AK11" s="329">
        <v>12129</v>
      </c>
      <c r="AL11" s="96">
        <f>AK11/F11</f>
        <v>6.5154681263664541E-2</v>
      </c>
    </row>
    <row r="12" spans="1:38" ht="12">
      <c r="B12" s="79"/>
      <c r="C12" s="372"/>
      <c r="D12" s="82">
        <v>45906</v>
      </c>
      <c r="E12" s="82" t="s">
        <v>167</v>
      </c>
      <c r="F12" s="328">
        <f t="shared" si="18"/>
        <v>195008</v>
      </c>
      <c r="G12" s="392"/>
      <c r="H12" s="392"/>
      <c r="I12" s="329">
        <v>33111</v>
      </c>
      <c r="J12" s="96">
        <f t="shared" si="0"/>
        <v>0.16979303413193306</v>
      </c>
      <c r="K12" s="329">
        <v>42836</v>
      </c>
      <c r="L12" s="96">
        <f t="shared" si="1"/>
        <v>0.21966278306531015</v>
      </c>
      <c r="M12" s="330">
        <f t="shared" si="19"/>
        <v>75947</v>
      </c>
      <c r="N12" s="96">
        <f t="shared" si="3"/>
        <v>0.3894558171972432</v>
      </c>
      <c r="O12" s="329">
        <v>4715</v>
      </c>
      <c r="P12" s="96">
        <f t="shared" si="4"/>
        <v>2.4178495241220874E-2</v>
      </c>
      <c r="Q12" s="329">
        <v>3410</v>
      </c>
      <c r="R12" s="96">
        <f t="shared" si="5"/>
        <v>7.4282228902539979E-2</v>
      </c>
      <c r="S12" s="330">
        <f t="shared" si="6"/>
        <v>8125</v>
      </c>
      <c r="T12" s="96">
        <f t="shared" si="7"/>
        <v>4.1664957335083685E-2</v>
      </c>
      <c r="U12" s="329">
        <v>15452</v>
      </c>
      <c r="V12" s="96">
        <f t="shared" si="8"/>
        <v>7.9237774860518542E-2</v>
      </c>
      <c r="W12" s="329">
        <v>407</v>
      </c>
      <c r="X12" s="96">
        <f t="shared" si="9"/>
        <v>2.0870938628158846E-3</v>
      </c>
      <c r="Y12" s="329">
        <v>19650</v>
      </c>
      <c r="Z12" s="96">
        <f t="shared" si="10"/>
        <v>0.10076509681654086</v>
      </c>
      <c r="AA12" s="329">
        <v>19314</v>
      </c>
      <c r="AB12" s="96">
        <f t="shared" si="11"/>
        <v>0.42072931642922495</v>
      </c>
      <c r="AC12" s="330">
        <f t="shared" si="12"/>
        <v>38964</v>
      </c>
      <c r="AD12" s="96">
        <f t="shared" si="13"/>
        <v>0.19980718739744011</v>
      </c>
      <c r="AE12" s="329">
        <v>11158</v>
      </c>
      <c r="AF12" s="96">
        <f t="shared" si="14"/>
        <v>5.7218165408598622E-2</v>
      </c>
      <c r="AG12" s="329">
        <v>17712</v>
      </c>
      <c r="AH12" s="96">
        <f t="shared" si="15"/>
        <v>9.0827042993107981E-2</v>
      </c>
      <c r="AI12" s="329">
        <v>14371</v>
      </c>
      <c r="AJ12" s="96">
        <f t="shared" si="16"/>
        <v>7.3694412536921564E-2</v>
      </c>
      <c r="AK12" s="329">
        <v>12872</v>
      </c>
      <c r="AL12" s="96">
        <f t="shared" ref="AL12:AL14" si="21">AK12/F12</f>
        <v>6.6007548408270431E-2</v>
      </c>
    </row>
    <row r="13" spans="1:38" ht="12">
      <c r="B13" s="79"/>
      <c r="C13" s="372"/>
      <c r="D13" s="82">
        <v>45907</v>
      </c>
      <c r="E13" s="82" t="s">
        <v>168</v>
      </c>
      <c r="F13" s="328">
        <f t="shared" si="18"/>
        <v>233163</v>
      </c>
      <c r="G13" s="392"/>
      <c r="H13" s="392"/>
      <c r="I13" s="329">
        <v>42322</v>
      </c>
      <c r="J13" s="96">
        <f t="shared" si="0"/>
        <v>0.18151250412801345</v>
      </c>
      <c r="K13" s="329">
        <v>46765</v>
      </c>
      <c r="L13" s="96">
        <f t="shared" si="1"/>
        <v>0.2005678430968893</v>
      </c>
      <c r="M13" s="330">
        <f t="shared" si="19"/>
        <v>89087</v>
      </c>
      <c r="N13" s="96">
        <f t="shared" si="3"/>
        <v>0.38208034722490275</v>
      </c>
      <c r="O13" s="329">
        <v>6782</v>
      </c>
      <c r="P13" s="96">
        <f t="shared" si="4"/>
        <v>2.9086947757577319E-2</v>
      </c>
      <c r="Q13" s="329">
        <v>4003</v>
      </c>
      <c r="R13" s="96">
        <f t="shared" si="5"/>
        <v>8.7198030801402843E-2</v>
      </c>
      <c r="S13" s="330">
        <f t="shared" si="6"/>
        <v>10785</v>
      </c>
      <c r="T13" s="96">
        <f t="shared" si="7"/>
        <v>4.6255194863679058E-2</v>
      </c>
      <c r="U13" s="329">
        <v>19964</v>
      </c>
      <c r="V13" s="96">
        <f t="shared" si="8"/>
        <v>8.5622504428232604E-2</v>
      </c>
      <c r="W13" s="329">
        <v>560</v>
      </c>
      <c r="X13" s="96">
        <f t="shared" si="9"/>
        <v>2.401753279894323E-3</v>
      </c>
      <c r="Y13" s="329">
        <v>23112</v>
      </c>
      <c r="Z13" s="96">
        <f t="shared" si="10"/>
        <v>9.9123788937352839E-2</v>
      </c>
      <c r="AA13" s="329">
        <v>21832</v>
      </c>
      <c r="AB13" s="96">
        <f t="shared" si="11"/>
        <v>0.47557017448319427</v>
      </c>
      <c r="AC13" s="330">
        <f t="shared" si="12"/>
        <v>44944</v>
      </c>
      <c r="AD13" s="96">
        <f t="shared" si="13"/>
        <v>0.19275785609209009</v>
      </c>
      <c r="AE13" s="329">
        <v>14167</v>
      </c>
      <c r="AF13" s="96">
        <f t="shared" si="14"/>
        <v>6.0760069136183703E-2</v>
      </c>
      <c r="AG13" s="329">
        <v>21532</v>
      </c>
      <c r="AH13" s="96">
        <f t="shared" si="15"/>
        <v>9.2347413611936713E-2</v>
      </c>
      <c r="AI13" s="329">
        <v>16669</v>
      </c>
      <c r="AJ13" s="96">
        <f t="shared" si="16"/>
        <v>7.1490759683140115E-2</v>
      </c>
      <c r="AK13" s="329">
        <v>15455</v>
      </c>
      <c r="AL13" s="96">
        <f t="shared" si="21"/>
        <v>6.6284101679940644E-2</v>
      </c>
    </row>
    <row r="14" spans="1:38" ht="12">
      <c r="B14" s="79"/>
      <c r="C14" s="372"/>
      <c r="D14" s="82">
        <v>45908</v>
      </c>
      <c r="E14" s="82" t="s">
        <v>162</v>
      </c>
      <c r="F14" s="328">
        <f t="shared" si="18"/>
        <v>231480</v>
      </c>
      <c r="G14" s="392"/>
      <c r="H14" s="392"/>
      <c r="I14" s="329">
        <v>39836</v>
      </c>
      <c r="J14" s="96">
        <f t="shared" si="0"/>
        <v>0.17209262139277692</v>
      </c>
      <c r="K14" s="329">
        <v>46946</v>
      </c>
      <c r="L14" s="96">
        <f t="shared" si="1"/>
        <v>0.20280801797131501</v>
      </c>
      <c r="M14" s="330">
        <f t="shared" si="19"/>
        <v>86782</v>
      </c>
      <c r="N14" s="96">
        <f t="shared" si="3"/>
        <v>0.3749006393640919</v>
      </c>
      <c r="O14" s="329">
        <v>6204</v>
      </c>
      <c r="P14" s="96">
        <f t="shared" si="4"/>
        <v>2.6801451529289786E-2</v>
      </c>
      <c r="Q14" s="329">
        <v>3949</v>
      </c>
      <c r="R14" s="96">
        <f t="shared" si="5"/>
        <v>8.6019865818593708E-2</v>
      </c>
      <c r="S14" s="330">
        <f t="shared" si="6"/>
        <v>10153</v>
      </c>
      <c r="T14" s="96">
        <f t="shared" si="7"/>
        <v>4.3861240711940558E-2</v>
      </c>
      <c r="U14" s="329">
        <v>19709</v>
      </c>
      <c r="V14" s="96">
        <f t="shared" si="8"/>
        <v>8.5143424917919472E-2</v>
      </c>
      <c r="W14" s="329">
        <v>524</v>
      </c>
      <c r="X14" s="96">
        <f t="shared" si="9"/>
        <v>2.2636944876447207E-3</v>
      </c>
      <c r="Y14" s="329">
        <v>23529</v>
      </c>
      <c r="Z14" s="96">
        <f t="shared" si="10"/>
        <v>0.10164593053395542</v>
      </c>
      <c r="AA14" s="329">
        <v>23172</v>
      </c>
      <c r="AB14" s="96">
        <f t="shared" si="11"/>
        <v>0.50474862769016293</v>
      </c>
      <c r="AC14" s="330">
        <f t="shared" si="12"/>
        <v>46701</v>
      </c>
      <c r="AD14" s="96">
        <f t="shared" si="13"/>
        <v>0.20174961119751167</v>
      </c>
      <c r="AE14" s="329">
        <v>14895</v>
      </c>
      <c r="AF14" s="96">
        <f t="shared" si="14"/>
        <v>6.4346811819595645E-2</v>
      </c>
      <c r="AG14" s="329">
        <v>21144</v>
      </c>
      <c r="AH14" s="96">
        <f t="shared" si="15"/>
        <v>9.1342664593053402E-2</v>
      </c>
      <c r="AI14" s="329">
        <v>16049</v>
      </c>
      <c r="AJ14" s="96">
        <f t="shared" si="16"/>
        <v>6.9332123725591846E-2</v>
      </c>
      <c r="AK14" s="329">
        <v>15523</v>
      </c>
      <c r="AL14" s="96">
        <f t="shared" si="21"/>
        <v>6.7059789182650764E-2</v>
      </c>
    </row>
    <row r="15" spans="1:38" ht="12">
      <c r="B15" s="79"/>
      <c r="C15" s="372"/>
      <c r="D15" s="319">
        <v>45909</v>
      </c>
      <c r="E15" s="319" t="s">
        <v>163</v>
      </c>
      <c r="F15" s="328">
        <f t="shared" si="18"/>
        <v>241607</v>
      </c>
      <c r="G15" s="392"/>
      <c r="H15" s="392"/>
      <c r="I15" s="329">
        <v>44860</v>
      </c>
      <c r="J15" s="96">
        <f t="shared" ref="J15:J40" si="22">I15/F15</f>
        <v>0.18567342833609954</v>
      </c>
      <c r="K15" s="329">
        <v>46216</v>
      </c>
      <c r="L15" s="96">
        <f t="shared" ref="L15:L40" si="23">K15/F15</f>
        <v>0.19128584850604494</v>
      </c>
      <c r="M15" s="330">
        <f t="shared" ref="M15:M40" si="24">SUM(I15+K15)</f>
        <v>91076</v>
      </c>
      <c r="N15" s="96">
        <f t="shared" ref="N15:N40" si="25">M15/F15</f>
        <v>0.37695927684214448</v>
      </c>
      <c r="O15" s="329">
        <v>5909</v>
      </c>
      <c r="P15" s="96">
        <f t="shared" ref="P15:P40" si="26">O15/F15</f>
        <v>2.4457072849710479E-2</v>
      </c>
      <c r="Q15" s="329">
        <v>3817</v>
      </c>
      <c r="R15" s="96">
        <f t="shared" ref="R15:R40" si="27">Q15/D15</f>
        <v>8.3142738896512663E-2</v>
      </c>
      <c r="S15" s="330">
        <f t="shared" ref="S15:S45" si="28">SUM(O15+Q15)</f>
        <v>9726</v>
      </c>
      <c r="T15" s="96">
        <f t="shared" ref="T15:T40" si="29">S15/F15</f>
        <v>4.0255456174696926E-2</v>
      </c>
      <c r="U15" s="329">
        <v>19244</v>
      </c>
      <c r="V15" s="96">
        <f t="shared" ref="V15:V40" si="30">U15/F15</f>
        <v>7.9650010140434671E-2</v>
      </c>
      <c r="W15" s="329">
        <v>470</v>
      </c>
      <c r="X15" s="96">
        <f t="shared" ref="X15:X40" si="31">W15/F15</f>
        <v>1.9453078760135261E-3</v>
      </c>
      <c r="Y15" s="329">
        <v>23593</v>
      </c>
      <c r="Z15" s="96">
        <f t="shared" ref="Z15:Z40" si="32">Y15/F15</f>
        <v>9.7650316422951328E-2</v>
      </c>
      <c r="AA15" s="329">
        <v>22597</v>
      </c>
      <c r="AB15" s="96">
        <f t="shared" ref="AB15:AB40" si="33">AA15/D15</f>
        <v>0.49221285586704133</v>
      </c>
      <c r="AC15" s="330">
        <f t="shared" ref="AC15:AC40" si="34">SUM(Y15+AA15)</f>
        <v>46190</v>
      </c>
      <c r="AD15" s="96">
        <f t="shared" ref="AD15:AD40" si="35">AC15/F15</f>
        <v>0.19117823572992504</v>
      </c>
      <c r="AE15" s="329">
        <v>14931</v>
      </c>
      <c r="AF15" s="96">
        <f t="shared" ref="AF15:AF40" si="36">AE15/F15</f>
        <v>6.1798706163314808E-2</v>
      </c>
      <c r="AG15" s="329">
        <v>28876</v>
      </c>
      <c r="AH15" s="96">
        <f t="shared" ref="AH15:AH40" si="37">AG15/F15</f>
        <v>0.11951640473992889</v>
      </c>
      <c r="AI15" s="329">
        <v>16070</v>
      </c>
      <c r="AJ15" s="96">
        <f t="shared" ref="AJ15:AJ40" si="38">AI15/F15</f>
        <v>6.651297354795184E-2</v>
      </c>
      <c r="AK15" s="329">
        <v>15024</v>
      </c>
      <c r="AL15" s="96">
        <f t="shared" ref="AL15:AL40" si="39">AK15/F15</f>
        <v>6.218362878558982E-2</v>
      </c>
    </row>
    <row r="16" spans="1:38" ht="12">
      <c r="B16" s="79"/>
      <c r="C16" s="372"/>
      <c r="D16" s="319">
        <v>45910</v>
      </c>
      <c r="E16" s="319" t="s">
        <v>164</v>
      </c>
      <c r="F16" s="328">
        <f t="shared" si="18"/>
        <v>233099</v>
      </c>
      <c r="G16" s="392"/>
      <c r="H16" s="392"/>
      <c r="I16" s="329">
        <v>44345</v>
      </c>
      <c r="J16" s="96">
        <f t="shared" si="22"/>
        <v>0.19024105637518823</v>
      </c>
      <c r="K16" s="329">
        <v>45616</v>
      </c>
      <c r="L16" s="96">
        <f t="shared" si="23"/>
        <v>0.19569367521954192</v>
      </c>
      <c r="M16" s="330">
        <f t="shared" si="24"/>
        <v>89961</v>
      </c>
      <c r="N16" s="96">
        <f t="shared" si="25"/>
        <v>0.38593473159473013</v>
      </c>
      <c r="O16" s="329">
        <v>5587</v>
      </c>
      <c r="P16" s="96">
        <f t="shared" si="26"/>
        <v>2.3968356792607434E-2</v>
      </c>
      <c r="Q16" s="329">
        <v>3710</v>
      </c>
      <c r="R16" s="96">
        <f t="shared" si="27"/>
        <v>8.0810280984534966E-2</v>
      </c>
      <c r="S16" s="330">
        <f t="shared" si="28"/>
        <v>9297</v>
      </c>
      <c r="T16" s="96">
        <f t="shared" si="29"/>
        <v>3.9884340988163826E-2</v>
      </c>
      <c r="U16" s="329">
        <v>19200</v>
      </c>
      <c r="V16" s="96">
        <f t="shared" si="30"/>
        <v>8.2368435729025011E-2</v>
      </c>
      <c r="W16" s="329">
        <v>392</v>
      </c>
      <c r="X16" s="96">
        <f t="shared" si="31"/>
        <v>1.6816888961342605E-3</v>
      </c>
      <c r="Y16" s="329">
        <v>22330</v>
      </c>
      <c r="Z16" s="96">
        <f t="shared" si="32"/>
        <v>9.5796206761933775E-2</v>
      </c>
      <c r="AA16" s="329">
        <v>20539</v>
      </c>
      <c r="AB16" s="96">
        <f t="shared" si="33"/>
        <v>0.44737529949901983</v>
      </c>
      <c r="AC16" s="330">
        <f t="shared" si="34"/>
        <v>42869</v>
      </c>
      <c r="AD16" s="96">
        <f t="shared" si="35"/>
        <v>0.18390898287851942</v>
      </c>
      <c r="AE16" s="329">
        <v>14527</v>
      </c>
      <c r="AF16" s="96">
        <f t="shared" si="36"/>
        <v>6.2321159678934701E-2</v>
      </c>
      <c r="AG16" s="329">
        <v>24826</v>
      </c>
      <c r="AH16" s="96">
        <f t="shared" si="37"/>
        <v>0.10650410340670702</v>
      </c>
      <c r="AI16" s="329">
        <v>17338</v>
      </c>
      <c r="AJ16" s="96">
        <f t="shared" si="38"/>
        <v>7.4380413472387275E-2</v>
      </c>
      <c r="AK16" s="329">
        <v>14689</v>
      </c>
      <c r="AL16" s="96">
        <f t="shared" si="39"/>
        <v>6.3016143355398346E-2</v>
      </c>
    </row>
    <row r="17" spans="2:38" ht="12">
      <c r="B17" s="79"/>
      <c r="C17" s="372"/>
      <c r="D17" s="319">
        <v>45911</v>
      </c>
      <c r="E17" s="319" t="s">
        <v>165</v>
      </c>
      <c r="F17" s="328">
        <f t="shared" si="18"/>
        <v>217145</v>
      </c>
      <c r="G17" s="392"/>
      <c r="H17" s="392"/>
      <c r="I17" s="329">
        <v>41418</v>
      </c>
      <c r="J17" s="96">
        <f t="shared" si="22"/>
        <v>0.19073890718183703</v>
      </c>
      <c r="K17" s="329">
        <v>41093</v>
      </c>
      <c r="L17" s="96">
        <f t="shared" si="23"/>
        <v>0.18924221142554515</v>
      </c>
      <c r="M17" s="330">
        <f t="shared" si="24"/>
        <v>82511</v>
      </c>
      <c r="N17" s="96">
        <f t="shared" si="25"/>
        <v>0.37998111860738215</v>
      </c>
      <c r="O17" s="329">
        <v>5381</v>
      </c>
      <c r="P17" s="96">
        <f t="shared" si="26"/>
        <v>2.4780676506481844E-2</v>
      </c>
      <c r="Q17" s="329">
        <v>3622</v>
      </c>
      <c r="R17" s="96">
        <f t="shared" si="27"/>
        <v>7.889176885713664E-2</v>
      </c>
      <c r="S17" s="330">
        <f t="shared" si="28"/>
        <v>9003</v>
      </c>
      <c r="T17" s="96">
        <f t="shared" si="29"/>
        <v>4.1460775058140872E-2</v>
      </c>
      <c r="U17" s="329">
        <v>17927</v>
      </c>
      <c r="V17" s="96">
        <f t="shared" si="30"/>
        <v>8.2557737917060031E-2</v>
      </c>
      <c r="W17" s="329">
        <v>368</v>
      </c>
      <c r="X17" s="96">
        <f t="shared" si="31"/>
        <v>1.6947201178935734E-3</v>
      </c>
      <c r="Y17" s="329">
        <v>20757</v>
      </c>
      <c r="Z17" s="96">
        <f t="shared" si="32"/>
        <v>9.5590504041078536E-2</v>
      </c>
      <c r="AA17" s="329">
        <v>18254</v>
      </c>
      <c r="AB17" s="96">
        <f t="shared" si="33"/>
        <v>0.39759534752020215</v>
      </c>
      <c r="AC17" s="330">
        <f t="shared" si="34"/>
        <v>39011</v>
      </c>
      <c r="AD17" s="96">
        <f t="shared" si="35"/>
        <v>0.17965414814985378</v>
      </c>
      <c r="AE17" s="329">
        <v>13533</v>
      </c>
      <c r="AF17" s="96">
        <f t="shared" si="36"/>
        <v>6.2322411291993826E-2</v>
      </c>
      <c r="AG17" s="329">
        <v>23848</v>
      </c>
      <c r="AH17" s="96">
        <f t="shared" si="37"/>
        <v>0.10982523198784222</v>
      </c>
      <c r="AI17" s="329">
        <v>16638</v>
      </c>
      <c r="AJ17" s="96">
        <f t="shared" si="38"/>
        <v>7.6621612286720861E-2</v>
      </c>
      <c r="AK17" s="329">
        <v>14306</v>
      </c>
      <c r="AL17" s="96">
        <f t="shared" si="39"/>
        <v>6.5882244583112662E-2</v>
      </c>
    </row>
    <row r="18" spans="2:38" ht="12">
      <c r="B18" s="79"/>
      <c r="C18" s="372"/>
      <c r="D18" s="319">
        <v>45912</v>
      </c>
      <c r="E18" s="319" t="s">
        <v>166</v>
      </c>
      <c r="F18" s="328">
        <f t="shared" si="18"/>
        <v>194357</v>
      </c>
      <c r="G18" s="392">
        <f t="shared" ref="G18" si="40">SUM(F18:F24)</f>
        <v>887012</v>
      </c>
      <c r="H18" s="392"/>
      <c r="I18" s="329">
        <v>33225</v>
      </c>
      <c r="J18" s="96">
        <f t="shared" si="22"/>
        <v>0.17094830646696543</v>
      </c>
      <c r="K18" s="329">
        <v>39165</v>
      </c>
      <c r="L18" s="96">
        <f t="shared" si="23"/>
        <v>0.20151062220552901</v>
      </c>
      <c r="M18" s="330">
        <f t="shared" si="24"/>
        <v>72390</v>
      </c>
      <c r="N18" s="96">
        <f t="shared" si="25"/>
        <v>0.37245892867249442</v>
      </c>
      <c r="O18" s="329">
        <v>4479</v>
      </c>
      <c r="P18" s="96">
        <f t="shared" si="26"/>
        <v>2.3045220907916875E-2</v>
      </c>
      <c r="Q18" s="329">
        <v>3313</v>
      </c>
      <c r="R18" s="96">
        <f t="shared" si="27"/>
        <v>7.2159783934483357E-2</v>
      </c>
      <c r="S18" s="330">
        <f t="shared" si="28"/>
        <v>7792</v>
      </c>
      <c r="T18" s="96">
        <f t="shared" si="29"/>
        <v>4.0091172430115715E-2</v>
      </c>
      <c r="U18" s="329">
        <v>15515</v>
      </c>
      <c r="V18" s="96">
        <f t="shared" si="30"/>
        <v>7.9827328061248121E-2</v>
      </c>
      <c r="W18" s="329">
        <v>381</v>
      </c>
      <c r="X18" s="96">
        <f t="shared" si="31"/>
        <v>1.9603101509078655E-3</v>
      </c>
      <c r="Y18" s="329">
        <v>20738</v>
      </c>
      <c r="Z18" s="96">
        <f t="shared" si="32"/>
        <v>0.10670055619298507</v>
      </c>
      <c r="AA18" s="329">
        <v>18923</v>
      </c>
      <c r="AB18" s="96">
        <f t="shared" si="33"/>
        <v>0.4121580414706395</v>
      </c>
      <c r="AC18" s="330">
        <f t="shared" si="34"/>
        <v>39661</v>
      </c>
      <c r="AD18" s="96">
        <f t="shared" si="35"/>
        <v>0.20406262702140907</v>
      </c>
      <c r="AE18" s="329">
        <v>11283</v>
      </c>
      <c r="AF18" s="96">
        <f t="shared" si="36"/>
        <v>5.8052964390271508E-2</v>
      </c>
      <c r="AG18" s="329">
        <v>18890</v>
      </c>
      <c r="AH18" s="96">
        <f t="shared" si="37"/>
        <v>9.7192280185431967E-2</v>
      </c>
      <c r="AI18" s="329">
        <v>15647</v>
      </c>
      <c r="AJ18" s="96">
        <f t="shared" si="38"/>
        <v>8.0506490633216202E-2</v>
      </c>
      <c r="AK18" s="329">
        <v>12798</v>
      </c>
      <c r="AL18" s="96">
        <f t="shared" si="39"/>
        <v>6.5847898454905143E-2</v>
      </c>
    </row>
    <row r="19" spans="2:38" ht="12">
      <c r="B19" s="79"/>
      <c r="C19" s="372"/>
      <c r="D19" s="319">
        <v>45913</v>
      </c>
      <c r="E19" s="319" t="s">
        <v>167</v>
      </c>
      <c r="F19" s="328">
        <f t="shared" si="18"/>
        <v>204761</v>
      </c>
      <c r="G19" s="392"/>
      <c r="H19" s="392"/>
      <c r="I19" s="329">
        <v>32725</v>
      </c>
      <c r="J19" s="96">
        <f t="shared" si="22"/>
        <v>0.15982047362534857</v>
      </c>
      <c r="K19" s="329">
        <v>43473</v>
      </c>
      <c r="L19" s="96">
        <f t="shared" si="23"/>
        <v>0.21231093811809867</v>
      </c>
      <c r="M19" s="330">
        <f t="shared" si="24"/>
        <v>76198</v>
      </c>
      <c r="N19" s="96">
        <f t="shared" si="25"/>
        <v>0.37213141174344722</v>
      </c>
      <c r="O19" s="329">
        <v>4489</v>
      </c>
      <c r="P19" s="96">
        <f t="shared" si="26"/>
        <v>2.1923120125414506E-2</v>
      </c>
      <c r="Q19" s="329">
        <v>3276</v>
      </c>
      <c r="R19" s="96">
        <f t="shared" si="27"/>
        <v>7.1352340295776792E-2</v>
      </c>
      <c r="S19" s="330">
        <f t="shared" si="28"/>
        <v>7765</v>
      </c>
      <c r="T19" s="96">
        <f t="shared" si="29"/>
        <v>3.7922260586732828E-2</v>
      </c>
      <c r="U19" s="329">
        <v>16397</v>
      </c>
      <c r="V19" s="96">
        <f t="shared" si="30"/>
        <v>8.0078725929254108E-2</v>
      </c>
      <c r="W19" s="329">
        <v>470</v>
      </c>
      <c r="X19" s="96">
        <f t="shared" si="31"/>
        <v>2.2953589794931653E-3</v>
      </c>
      <c r="Y19" s="329">
        <v>21810</v>
      </c>
      <c r="Z19" s="96">
        <f t="shared" si="32"/>
        <v>0.10651442413350198</v>
      </c>
      <c r="AA19" s="329">
        <v>20496</v>
      </c>
      <c r="AB19" s="96">
        <f t="shared" si="33"/>
        <v>0.44640951364537279</v>
      </c>
      <c r="AC19" s="330">
        <f t="shared" si="34"/>
        <v>42306</v>
      </c>
      <c r="AD19" s="96">
        <f t="shared" si="35"/>
        <v>0.20661161060944222</v>
      </c>
      <c r="AE19" s="329">
        <v>11964</v>
      </c>
      <c r="AF19" s="96">
        <f t="shared" si="36"/>
        <v>5.8429095384374956E-2</v>
      </c>
      <c r="AG19" s="329">
        <v>20568</v>
      </c>
      <c r="AH19" s="96">
        <f t="shared" si="37"/>
        <v>0.10044881593662856</v>
      </c>
      <c r="AI19" s="329">
        <v>15877</v>
      </c>
      <c r="AJ19" s="96">
        <f t="shared" si="38"/>
        <v>7.7539179824282947E-2</v>
      </c>
      <c r="AK19" s="329">
        <v>13216</v>
      </c>
      <c r="AL19" s="96">
        <f t="shared" si="39"/>
        <v>6.4543541006343977E-2</v>
      </c>
    </row>
    <row r="20" spans="2:38" ht="12">
      <c r="B20" s="79"/>
      <c r="C20" s="372"/>
      <c r="D20" s="319">
        <v>45914</v>
      </c>
      <c r="E20" s="319" t="s">
        <v>168</v>
      </c>
      <c r="F20" s="328">
        <f t="shared" si="18"/>
        <v>242926</v>
      </c>
      <c r="G20" s="392"/>
      <c r="H20" s="392"/>
      <c r="I20" s="329">
        <v>44713</v>
      </c>
      <c r="J20" s="96">
        <f t="shared" si="22"/>
        <v>0.18406016647044779</v>
      </c>
      <c r="K20" s="329">
        <v>46720</v>
      </c>
      <c r="L20" s="96">
        <f t="shared" si="23"/>
        <v>0.19232194166124664</v>
      </c>
      <c r="M20" s="330">
        <f t="shared" si="24"/>
        <v>91433</v>
      </c>
      <c r="N20" s="96">
        <f t="shared" si="25"/>
        <v>0.37638210813169443</v>
      </c>
      <c r="O20" s="329">
        <v>6153</v>
      </c>
      <c r="P20" s="96">
        <f t="shared" si="26"/>
        <v>2.5328700921268207E-2</v>
      </c>
      <c r="Q20" s="329">
        <v>3815</v>
      </c>
      <c r="R20" s="96">
        <f t="shared" si="27"/>
        <v>8.3090125016334893E-2</v>
      </c>
      <c r="S20" s="330">
        <f t="shared" si="28"/>
        <v>9968</v>
      </c>
      <c r="T20" s="96">
        <f t="shared" si="29"/>
        <v>4.103307179964269E-2</v>
      </c>
      <c r="U20" s="329">
        <v>20168</v>
      </c>
      <c r="V20" s="96">
        <f t="shared" si="30"/>
        <v>8.3021166939726498E-2</v>
      </c>
      <c r="W20" s="329">
        <v>522</v>
      </c>
      <c r="X20" s="96">
        <f t="shared" si="31"/>
        <v>2.1488025159925243E-3</v>
      </c>
      <c r="Y20" s="329">
        <v>24606</v>
      </c>
      <c r="Z20" s="96">
        <f t="shared" si="32"/>
        <v>0.10129010480557865</v>
      </c>
      <c r="AA20" s="329">
        <v>22032</v>
      </c>
      <c r="AB20" s="96">
        <f t="shared" si="33"/>
        <v>0.47985363941281528</v>
      </c>
      <c r="AC20" s="330">
        <f t="shared" si="34"/>
        <v>46638</v>
      </c>
      <c r="AD20" s="96">
        <f t="shared" si="35"/>
        <v>0.1919843903081597</v>
      </c>
      <c r="AE20" s="329">
        <v>15584</v>
      </c>
      <c r="AF20" s="96">
        <f t="shared" si="36"/>
        <v>6.415122300618295E-2</v>
      </c>
      <c r="AG20" s="329">
        <v>25079</v>
      </c>
      <c r="AH20" s="96">
        <f t="shared" si="37"/>
        <v>0.10323719980570215</v>
      </c>
      <c r="AI20" s="329">
        <v>17943</v>
      </c>
      <c r="AJ20" s="96">
        <f t="shared" si="38"/>
        <v>7.386199912730626E-2</v>
      </c>
      <c r="AK20" s="329">
        <v>15591</v>
      </c>
      <c r="AL20" s="96">
        <f t="shared" si="39"/>
        <v>6.4180038365592815E-2</v>
      </c>
    </row>
    <row r="21" spans="2:38" ht="12">
      <c r="B21" s="79"/>
      <c r="C21" s="372"/>
      <c r="D21" s="319">
        <v>45915</v>
      </c>
      <c r="E21" s="319" t="s">
        <v>162</v>
      </c>
      <c r="F21" s="328">
        <f t="shared" si="18"/>
        <v>244968</v>
      </c>
      <c r="G21" s="392"/>
      <c r="H21" s="392"/>
      <c r="I21" s="329">
        <v>42223</v>
      </c>
      <c r="J21" s="96">
        <f t="shared" si="22"/>
        <v>0.17236128800496392</v>
      </c>
      <c r="K21" s="329">
        <v>49788</v>
      </c>
      <c r="L21" s="96">
        <f t="shared" si="23"/>
        <v>0.20324287253845399</v>
      </c>
      <c r="M21" s="330">
        <f t="shared" si="24"/>
        <v>92011</v>
      </c>
      <c r="N21" s="96">
        <f t="shared" si="25"/>
        <v>0.37560416054341794</v>
      </c>
      <c r="O21" s="329">
        <v>5716</v>
      </c>
      <c r="P21" s="96">
        <f t="shared" si="26"/>
        <v>2.3333659906600045E-2</v>
      </c>
      <c r="Q21" s="329">
        <v>3914</v>
      </c>
      <c r="R21" s="96">
        <f t="shared" si="27"/>
        <v>8.5244473483611014E-2</v>
      </c>
      <c r="S21" s="330">
        <f t="shared" si="28"/>
        <v>9630</v>
      </c>
      <c r="T21" s="96">
        <f t="shared" si="29"/>
        <v>3.9311256980503577E-2</v>
      </c>
      <c r="U21" s="329">
        <v>20304</v>
      </c>
      <c r="V21" s="96">
        <f t="shared" si="30"/>
        <v>8.2884295091603805E-2</v>
      </c>
      <c r="W21" s="329">
        <v>538</v>
      </c>
      <c r="X21" s="96">
        <f t="shared" si="31"/>
        <v>2.1962052186408022E-3</v>
      </c>
      <c r="Y21" s="329">
        <v>24854</v>
      </c>
      <c r="Z21" s="96">
        <f t="shared" si="32"/>
        <v>0.10145814963587081</v>
      </c>
      <c r="AA21" s="329">
        <v>22989</v>
      </c>
      <c r="AB21" s="96">
        <f t="shared" si="33"/>
        <v>0.50068605031035607</v>
      </c>
      <c r="AC21" s="330">
        <f t="shared" si="34"/>
        <v>47843</v>
      </c>
      <c r="AD21" s="96">
        <f t="shared" si="35"/>
        <v>0.1953030599915091</v>
      </c>
      <c r="AE21" s="329">
        <v>15693</v>
      </c>
      <c r="AF21" s="96">
        <f t="shared" si="36"/>
        <v>6.4061428431468601E-2</v>
      </c>
      <c r="AG21" s="329">
        <v>24715</v>
      </c>
      <c r="AH21" s="96">
        <f t="shared" si="37"/>
        <v>0.10089072858495804</v>
      </c>
      <c r="AI21" s="329">
        <v>18522</v>
      </c>
      <c r="AJ21" s="96">
        <f t="shared" si="38"/>
        <v>7.5609875575585378E-2</v>
      </c>
      <c r="AK21" s="329">
        <v>15712</v>
      </c>
      <c r="AL21" s="96">
        <f t="shared" si="39"/>
        <v>6.4138989582312789E-2</v>
      </c>
    </row>
    <row r="22" spans="2:38" ht="12">
      <c r="B22" s="79"/>
      <c r="C22" s="372"/>
      <c r="D22" s="82">
        <v>45916</v>
      </c>
      <c r="E22" s="82" t="s">
        <v>163</v>
      </c>
      <c r="F22" s="328">
        <f t="shared" si="18"/>
        <v>0</v>
      </c>
      <c r="G22" s="392"/>
      <c r="H22" s="392"/>
      <c r="I22" s="329"/>
      <c r="J22" s="96" t="e">
        <f t="shared" si="22"/>
        <v>#DIV/0!</v>
      </c>
      <c r="K22" s="329"/>
      <c r="L22" s="96" t="e">
        <f t="shared" si="23"/>
        <v>#DIV/0!</v>
      </c>
      <c r="M22" s="330">
        <f t="shared" si="24"/>
        <v>0</v>
      </c>
      <c r="N22" s="96" t="e">
        <f t="shared" si="25"/>
        <v>#DIV/0!</v>
      </c>
      <c r="O22" s="329"/>
      <c r="P22" s="96" t="e">
        <f t="shared" si="26"/>
        <v>#DIV/0!</v>
      </c>
      <c r="Q22" s="329"/>
      <c r="R22" s="96">
        <f t="shared" si="27"/>
        <v>0</v>
      </c>
      <c r="S22" s="330">
        <f t="shared" si="28"/>
        <v>0</v>
      </c>
      <c r="T22" s="96" t="e">
        <f t="shared" si="29"/>
        <v>#DIV/0!</v>
      </c>
      <c r="U22" s="329"/>
      <c r="V22" s="96" t="e">
        <f t="shared" si="30"/>
        <v>#DIV/0!</v>
      </c>
      <c r="W22" s="329"/>
      <c r="X22" s="96" t="e">
        <f t="shared" si="31"/>
        <v>#DIV/0!</v>
      </c>
      <c r="Y22" s="329"/>
      <c r="Z22" s="96" t="e">
        <f t="shared" si="32"/>
        <v>#DIV/0!</v>
      </c>
      <c r="AA22" s="329"/>
      <c r="AB22" s="96">
        <f t="shared" si="33"/>
        <v>0</v>
      </c>
      <c r="AC22" s="330">
        <f t="shared" si="34"/>
        <v>0</v>
      </c>
      <c r="AD22" s="96" t="e">
        <f t="shared" si="35"/>
        <v>#DIV/0!</v>
      </c>
      <c r="AE22" s="329"/>
      <c r="AF22" s="96" t="e">
        <f t="shared" si="36"/>
        <v>#DIV/0!</v>
      </c>
      <c r="AG22" s="329"/>
      <c r="AH22" s="96" t="e">
        <f t="shared" si="37"/>
        <v>#DIV/0!</v>
      </c>
      <c r="AI22" s="329"/>
      <c r="AJ22" s="96" t="e">
        <f t="shared" si="38"/>
        <v>#DIV/0!</v>
      </c>
      <c r="AK22" s="329"/>
      <c r="AL22" s="96" t="e">
        <f t="shared" si="39"/>
        <v>#DIV/0!</v>
      </c>
    </row>
    <row r="23" spans="2:38" ht="12">
      <c r="B23" s="79"/>
      <c r="C23" s="372"/>
      <c r="D23" s="82">
        <v>45917</v>
      </c>
      <c r="E23" s="82" t="s">
        <v>164</v>
      </c>
      <c r="F23" s="328">
        <f t="shared" si="18"/>
        <v>0</v>
      </c>
      <c r="G23" s="392"/>
      <c r="H23" s="392"/>
      <c r="I23" s="329"/>
      <c r="J23" s="96" t="e">
        <f t="shared" si="22"/>
        <v>#DIV/0!</v>
      </c>
      <c r="K23" s="329"/>
      <c r="L23" s="96" t="e">
        <f t="shared" si="23"/>
        <v>#DIV/0!</v>
      </c>
      <c r="M23" s="330">
        <f t="shared" si="24"/>
        <v>0</v>
      </c>
      <c r="N23" s="96" t="e">
        <f t="shared" si="25"/>
        <v>#DIV/0!</v>
      </c>
      <c r="O23" s="329"/>
      <c r="P23" s="96" t="e">
        <f t="shared" si="26"/>
        <v>#DIV/0!</v>
      </c>
      <c r="Q23" s="329"/>
      <c r="R23" s="96">
        <f t="shared" si="27"/>
        <v>0</v>
      </c>
      <c r="S23" s="330">
        <f t="shared" si="28"/>
        <v>0</v>
      </c>
      <c r="T23" s="96" t="e">
        <f t="shared" si="29"/>
        <v>#DIV/0!</v>
      </c>
      <c r="U23" s="329"/>
      <c r="V23" s="96" t="e">
        <f t="shared" si="30"/>
        <v>#DIV/0!</v>
      </c>
      <c r="W23" s="329"/>
      <c r="X23" s="96" t="e">
        <f t="shared" si="31"/>
        <v>#DIV/0!</v>
      </c>
      <c r="Y23" s="329"/>
      <c r="Z23" s="96" t="e">
        <f t="shared" si="32"/>
        <v>#DIV/0!</v>
      </c>
      <c r="AA23" s="329"/>
      <c r="AB23" s="96">
        <f t="shared" si="33"/>
        <v>0</v>
      </c>
      <c r="AC23" s="330">
        <f t="shared" si="34"/>
        <v>0</v>
      </c>
      <c r="AD23" s="96" t="e">
        <f t="shared" si="35"/>
        <v>#DIV/0!</v>
      </c>
      <c r="AE23" s="329"/>
      <c r="AF23" s="96" t="e">
        <f t="shared" si="36"/>
        <v>#DIV/0!</v>
      </c>
      <c r="AG23" s="329"/>
      <c r="AH23" s="96" t="e">
        <f t="shared" si="37"/>
        <v>#DIV/0!</v>
      </c>
      <c r="AI23" s="329"/>
      <c r="AJ23" s="96" t="e">
        <f t="shared" si="38"/>
        <v>#DIV/0!</v>
      </c>
      <c r="AK23" s="329"/>
      <c r="AL23" s="96" t="e">
        <f t="shared" si="39"/>
        <v>#DIV/0!</v>
      </c>
    </row>
    <row r="24" spans="2:38" ht="12">
      <c r="B24" s="79"/>
      <c r="C24" s="372"/>
      <c r="D24" s="82">
        <v>45918</v>
      </c>
      <c r="E24" s="82" t="s">
        <v>165</v>
      </c>
      <c r="F24" s="328">
        <f t="shared" si="18"/>
        <v>0</v>
      </c>
      <c r="G24" s="392"/>
      <c r="H24" s="392"/>
      <c r="I24" s="329"/>
      <c r="J24" s="96" t="e">
        <f t="shared" si="22"/>
        <v>#DIV/0!</v>
      </c>
      <c r="K24" s="329"/>
      <c r="L24" s="96" t="e">
        <f t="shared" si="23"/>
        <v>#DIV/0!</v>
      </c>
      <c r="M24" s="330">
        <f t="shared" si="24"/>
        <v>0</v>
      </c>
      <c r="N24" s="96" t="e">
        <f t="shared" si="25"/>
        <v>#DIV/0!</v>
      </c>
      <c r="O24" s="329"/>
      <c r="P24" s="96" t="e">
        <f t="shared" si="26"/>
        <v>#DIV/0!</v>
      </c>
      <c r="Q24" s="329"/>
      <c r="R24" s="96">
        <f t="shared" si="27"/>
        <v>0</v>
      </c>
      <c r="S24" s="330">
        <f t="shared" si="28"/>
        <v>0</v>
      </c>
      <c r="T24" s="96" t="e">
        <f t="shared" si="29"/>
        <v>#DIV/0!</v>
      </c>
      <c r="U24" s="329"/>
      <c r="V24" s="96" t="e">
        <f t="shared" si="30"/>
        <v>#DIV/0!</v>
      </c>
      <c r="W24" s="329"/>
      <c r="X24" s="96" t="e">
        <f t="shared" si="31"/>
        <v>#DIV/0!</v>
      </c>
      <c r="Y24" s="329"/>
      <c r="Z24" s="96" t="e">
        <f t="shared" si="32"/>
        <v>#DIV/0!</v>
      </c>
      <c r="AA24" s="329"/>
      <c r="AB24" s="96">
        <f t="shared" si="33"/>
        <v>0</v>
      </c>
      <c r="AC24" s="330">
        <f t="shared" si="34"/>
        <v>0</v>
      </c>
      <c r="AD24" s="96" t="e">
        <f t="shared" si="35"/>
        <v>#DIV/0!</v>
      </c>
      <c r="AE24" s="329"/>
      <c r="AF24" s="96" t="e">
        <f t="shared" si="36"/>
        <v>#DIV/0!</v>
      </c>
      <c r="AG24" s="329"/>
      <c r="AH24" s="96" t="e">
        <f t="shared" si="37"/>
        <v>#DIV/0!</v>
      </c>
      <c r="AI24" s="329"/>
      <c r="AJ24" s="96" t="e">
        <f t="shared" si="38"/>
        <v>#DIV/0!</v>
      </c>
      <c r="AK24" s="329"/>
      <c r="AL24" s="96" t="e">
        <f t="shared" si="39"/>
        <v>#DIV/0!</v>
      </c>
    </row>
    <row r="25" spans="2:38" ht="12">
      <c r="B25" s="79"/>
      <c r="C25" s="372"/>
      <c r="D25" s="82">
        <v>45919</v>
      </c>
      <c r="E25" s="82" t="s">
        <v>166</v>
      </c>
      <c r="F25" s="328">
        <f t="shared" si="18"/>
        <v>0</v>
      </c>
      <c r="G25" s="392">
        <f t="shared" ref="G25" si="41">SUM(F25:F31)</f>
        <v>0</v>
      </c>
      <c r="H25" s="392"/>
      <c r="I25" s="329"/>
      <c r="J25" s="96" t="e">
        <f t="shared" si="22"/>
        <v>#DIV/0!</v>
      </c>
      <c r="K25" s="329"/>
      <c r="L25" s="96" t="e">
        <f t="shared" si="23"/>
        <v>#DIV/0!</v>
      </c>
      <c r="M25" s="330">
        <f t="shared" si="24"/>
        <v>0</v>
      </c>
      <c r="N25" s="96" t="e">
        <f t="shared" si="25"/>
        <v>#DIV/0!</v>
      </c>
      <c r="O25" s="329"/>
      <c r="P25" s="96" t="e">
        <f t="shared" si="26"/>
        <v>#DIV/0!</v>
      </c>
      <c r="Q25" s="329"/>
      <c r="R25" s="96">
        <f t="shared" si="27"/>
        <v>0</v>
      </c>
      <c r="S25" s="330">
        <f t="shared" si="28"/>
        <v>0</v>
      </c>
      <c r="T25" s="96" t="e">
        <f t="shared" si="29"/>
        <v>#DIV/0!</v>
      </c>
      <c r="U25" s="329"/>
      <c r="V25" s="96" t="e">
        <f t="shared" si="30"/>
        <v>#DIV/0!</v>
      </c>
      <c r="W25" s="329"/>
      <c r="X25" s="96" t="e">
        <f t="shared" si="31"/>
        <v>#DIV/0!</v>
      </c>
      <c r="Y25" s="329"/>
      <c r="Z25" s="96" t="e">
        <f t="shared" si="32"/>
        <v>#DIV/0!</v>
      </c>
      <c r="AA25" s="329"/>
      <c r="AB25" s="96">
        <f t="shared" si="33"/>
        <v>0</v>
      </c>
      <c r="AC25" s="330">
        <f t="shared" si="34"/>
        <v>0</v>
      </c>
      <c r="AD25" s="96" t="e">
        <f t="shared" si="35"/>
        <v>#DIV/0!</v>
      </c>
      <c r="AE25" s="329"/>
      <c r="AF25" s="96" t="e">
        <f t="shared" si="36"/>
        <v>#DIV/0!</v>
      </c>
      <c r="AG25" s="329"/>
      <c r="AH25" s="96" t="e">
        <f t="shared" si="37"/>
        <v>#DIV/0!</v>
      </c>
      <c r="AI25" s="329"/>
      <c r="AJ25" s="96" t="e">
        <f t="shared" si="38"/>
        <v>#DIV/0!</v>
      </c>
      <c r="AK25" s="329"/>
      <c r="AL25" s="96" t="e">
        <f t="shared" si="39"/>
        <v>#DIV/0!</v>
      </c>
    </row>
    <row r="26" spans="2:38" ht="12">
      <c r="B26" s="79"/>
      <c r="C26" s="372"/>
      <c r="D26" s="82">
        <v>45920</v>
      </c>
      <c r="E26" s="82" t="s">
        <v>167</v>
      </c>
      <c r="F26" s="328">
        <f t="shared" si="18"/>
        <v>0</v>
      </c>
      <c r="G26" s="392"/>
      <c r="H26" s="392"/>
      <c r="I26" s="329"/>
      <c r="J26" s="96" t="e">
        <f t="shared" si="22"/>
        <v>#DIV/0!</v>
      </c>
      <c r="K26" s="329"/>
      <c r="L26" s="96" t="e">
        <f t="shared" si="23"/>
        <v>#DIV/0!</v>
      </c>
      <c r="M26" s="330">
        <f t="shared" si="24"/>
        <v>0</v>
      </c>
      <c r="N26" s="96" t="e">
        <f t="shared" si="25"/>
        <v>#DIV/0!</v>
      </c>
      <c r="O26" s="329"/>
      <c r="P26" s="96" t="e">
        <f t="shared" si="26"/>
        <v>#DIV/0!</v>
      </c>
      <c r="Q26" s="329"/>
      <c r="R26" s="96">
        <f t="shared" si="27"/>
        <v>0</v>
      </c>
      <c r="S26" s="330">
        <f t="shared" si="28"/>
        <v>0</v>
      </c>
      <c r="T26" s="96" t="e">
        <f t="shared" si="29"/>
        <v>#DIV/0!</v>
      </c>
      <c r="U26" s="329"/>
      <c r="V26" s="96" t="e">
        <f t="shared" si="30"/>
        <v>#DIV/0!</v>
      </c>
      <c r="W26" s="329"/>
      <c r="X26" s="96" t="e">
        <f t="shared" si="31"/>
        <v>#DIV/0!</v>
      </c>
      <c r="Y26" s="329"/>
      <c r="Z26" s="96" t="e">
        <f t="shared" si="32"/>
        <v>#DIV/0!</v>
      </c>
      <c r="AA26" s="329"/>
      <c r="AB26" s="96">
        <f t="shared" si="33"/>
        <v>0</v>
      </c>
      <c r="AC26" s="330">
        <f t="shared" si="34"/>
        <v>0</v>
      </c>
      <c r="AD26" s="96" t="e">
        <f t="shared" si="35"/>
        <v>#DIV/0!</v>
      </c>
      <c r="AE26" s="329"/>
      <c r="AF26" s="96" t="e">
        <f t="shared" si="36"/>
        <v>#DIV/0!</v>
      </c>
      <c r="AG26" s="329"/>
      <c r="AH26" s="96" t="e">
        <f t="shared" si="37"/>
        <v>#DIV/0!</v>
      </c>
      <c r="AI26" s="329"/>
      <c r="AJ26" s="96" t="e">
        <f t="shared" si="38"/>
        <v>#DIV/0!</v>
      </c>
      <c r="AK26" s="329"/>
      <c r="AL26" s="96" t="e">
        <f t="shared" si="39"/>
        <v>#DIV/0!</v>
      </c>
    </row>
    <row r="27" spans="2:38" ht="12">
      <c r="B27" s="79"/>
      <c r="C27" s="372"/>
      <c r="D27" s="82">
        <v>45921</v>
      </c>
      <c r="E27" s="82" t="s">
        <v>168</v>
      </c>
      <c r="F27" s="328">
        <f t="shared" si="18"/>
        <v>0</v>
      </c>
      <c r="G27" s="392"/>
      <c r="H27" s="392"/>
      <c r="I27" s="329"/>
      <c r="J27" s="96" t="e">
        <f t="shared" si="22"/>
        <v>#DIV/0!</v>
      </c>
      <c r="K27" s="329"/>
      <c r="L27" s="96" t="e">
        <f t="shared" si="23"/>
        <v>#DIV/0!</v>
      </c>
      <c r="M27" s="330">
        <f t="shared" si="24"/>
        <v>0</v>
      </c>
      <c r="N27" s="96" t="e">
        <f t="shared" si="25"/>
        <v>#DIV/0!</v>
      </c>
      <c r="O27" s="329"/>
      <c r="P27" s="96" t="e">
        <f t="shared" si="26"/>
        <v>#DIV/0!</v>
      </c>
      <c r="Q27" s="329"/>
      <c r="R27" s="96">
        <f t="shared" si="27"/>
        <v>0</v>
      </c>
      <c r="S27" s="330">
        <f t="shared" si="28"/>
        <v>0</v>
      </c>
      <c r="T27" s="96" t="e">
        <f t="shared" si="29"/>
        <v>#DIV/0!</v>
      </c>
      <c r="U27" s="329"/>
      <c r="V27" s="96" t="e">
        <f t="shared" si="30"/>
        <v>#DIV/0!</v>
      </c>
      <c r="W27" s="329"/>
      <c r="X27" s="96" t="e">
        <f t="shared" si="31"/>
        <v>#DIV/0!</v>
      </c>
      <c r="Y27" s="329"/>
      <c r="Z27" s="96" t="e">
        <f t="shared" si="32"/>
        <v>#DIV/0!</v>
      </c>
      <c r="AA27" s="329"/>
      <c r="AB27" s="96">
        <f t="shared" si="33"/>
        <v>0</v>
      </c>
      <c r="AC27" s="330">
        <f t="shared" si="34"/>
        <v>0</v>
      </c>
      <c r="AD27" s="96" t="e">
        <f t="shared" si="35"/>
        <v>#DIV/0!</v>
      </c>
      <c r="AE27" s="329"/>
      <c r="AF27" s="96" t="e">
        <f t="shared" si="36"/>
        <v>#DIV/0!</v>
      </c>
      <c r="AG27" s="329"/>
      <c r="AH27" s="96" t="e">
        <f t="shared" si="37"/>
        <v>#DIV/0!</v>
      </c>
      <c r="AI27" s="329"/>
      <c r="AJ27" s="96" t="e">
        <f t="shared" si="38"/>
        <v>#DIV/0!</v>
      </c>
      <c r="AK27" s="329"/>
      <c r="AL27" s="96" t="e">
        <f t="shared" si="39"/>
        <v>#DIV/0!</v>
      </c>
    </row>
    <row r="28" spans="2:38" ht="12">
      <c r="B28" s="79"/>
      <c r="C28" s="372"/>
      <c r="D28" s="82">
        <v>45922</v>
      </c>
      <c r="E28" s="82" t="s">
        <v>162</v>
      </c>
      <c r="F28" s="328">
        <f t="shared" si="18"/>
        <v>0</v>
      </c>
      <c r="G28" s="392"/>
      <c r="H28" s="392"/>
      <c r="I28" s="329"/>
      <c r="J28" s="96" t="e">
        <f t="shared" si="22"/>
        <v>#DIV/0!</v>
      </c>
      <c r="K28" s="329"/>
      <c r="L28" s="96" t="e">
        <f t="shared" si="23"/>
        <v>#DIV/0!</v>
      </c>
      <c r="M28" s="330">
        <f t="shared" si="24"/>
        <v>0</v>
      </c>
      <c r="N28" s="96" t="e">
        <f t="shared" si="25"/>
        <v>#DIV/0!</v>
      </c>
      <c r="O28" s="329"/>
      <c r="P28" s="96" t="e">
        <f t="shared" si="26"/>
        <v>#DIV/0!</v>
      </c>
      <c r="Q28" s="329"/>
      <c r="R28" s="96">
        <f t="shared" si="27"/>
        <v>0</v>
      </c>
      <c r="S28" s="330">
        <f t="shared" si="28"/>
        <v>0</v>
      </c>
      <c r="T28" s="96" t="e">
        <f t="shared" si="29"/>
        <v>#DIV/0!</v>
      </c>
      <c r="U28" s="329"/>
      <c r="V28" s="96" t="e">
        <f t="shared" si="30"/>
        <v>#DIV/0!</v>
      </c>
      <c r="W28" s="329"/>
      <c r="X28" s="96" t="e">
        <f t="shared" si="31"/>
        <v>#DIV/0!</v>
      </c>
      <c r="Y28" s="329"/>
      <c r="Z28" s="96" t="e">
        <f t="shared" si="32"/>
        <v>#DIV/0!</v>
      </c>
      <c r="AA28" s="329"/>
      <c r="AB28" s="96">
        <f t="shared" si="33"/>
        <v>0</v>
      </c>
      <c r="AC28" s="330">
        <f t="shared" si="34"/>
        <v>0</v>
      </c>
      <c r="AD28" s="96" t="e">
        <f t="shared" si="35"/>
        <v>#DIV/0!</v>
      </c>
      <c r="AE28" s="329"/>
      <c r="AF28" s="96" t="e">
        <f t="shared" si="36"/>
        <v>#DIV/0!</v>
      </c>
      <c r="AG28" s="329"/>
      <c r="AH28" s="96" t="e">
        <f t="shared" si="37"/>
        <v>#DIV/0!</v>
      </c>
      <c r="AI28" s="329"/>
      <c r="AJ28" s="96" t="e">
        <f t="shared" si="38"/>
        <v>#DIV/0!</v>
      </c>
      <c r="AK28" s="329"/>
      <c r="AL28" s="96" t="e">
        <f t="shared" si="39"/>
        <v>#DIV/0!</v>
      </c>
    </row>
    <row r="29" spans="2:38" ht="12">
      <c r="B29" s="79"/>
      <c r="C29" s="372"/>
      <c r="D29" s="319">
        <v>45923</v>
      </c>
      <c r="E29" s="319" t="s">
        <v>163</v>
      </c>
      <c r="F29" s="328">
        <f t="shared" si="18"/>
        <v>0</v>
      </c>
      <c r="G29" s="392"/>
      <c r="H29" s="392"/>
      <c r="I29" s="329"/>
      <c r="J29" s="96" t="e">
        <f t="shared" si="22"/>
        <v>#DIV/0!</v>
      </c>
      <c r="K29" s="329"/>
      <c r="L29" s="96" t="e">
        <f t="shared" si="23"/>
        <v>#DIV/0!</v>
      </c>
      <c r="M29" s="330">
        <f t="shared" si="24"/>
        <v>0</v>
      </c>
      <c r="N29" s="96" t="e">
        <f t="shared" si="25"/>
        <v>#DIV/0!</v>
      </c>
      <c r="O29" s="329"/>
      <c r="P29" s="96" t="e">
        <f t="shared" si="26"/>
        <v>#DIV/0!</v>
      </c>
      <c r="Q29" s="329"/>
      <c r="R29" s="96">
        <f t="shared" si="27"/>
        <v>0</v>
      </c>
      <c r="S29" s="330">
        <f t="shared" si="28"/>
        <v>0</v>
      </c>
      <c r="T29" s="96" t="e">
        <f t="shared" si="29"/>
        <v>#DIV/0!</v>
      </c>
      <c r="U29" s="329"/>
      <c r="V29" s="96" t="e">
        <f t="shared" si="30"/>
        <v>#DIV/0!</v>
      </c>
      <c r="W29" s="329"/>
      <c r="X29" s="96" t="e">
        <f t="shared" si="31"/>
        <v>#DIV/0!</v>
      </c>
      <c r="Y29" s="329"/>
      <c r="Z29" s="96" t="e">
        <f t="shared" si="32"/>
        <v>#DIV/0!</v>
      </c>
      <c r="AA29" s="329"/>
      <c r="AB29" s="96">
        <f t="shared" si="33"/>
        <v>0</v>
      </c>
      <c r="AC29" s="330">
        <f t="shared" si="34"/>
        <v>0</v>
      </c>
      <c r="AD29" s="96" t="e">
        <f t="shared" si="35"/>
        <v>#DIV/0!</v>
      </c>
      <c r="AE29" s="329"/>
      <c r="AF29" s="96" t="e">
        <f t="shared" si="36"/>
        <v>#DIV/0!</v>
      </c>
      <c r="AG29" s="329"/>
      <c r="AH29" s="96" t="e">
        <f t="shared" si="37"/>
        <v>#DIV/0!</v>
      </c>
      <c r="AI29" s="329"/>
      <c r="AJ29" s="96" t="e">
        <f t="shared" si="38"/>
        <v>#DIV/0!</v>
      </c>
      <c r="AK29" s="329"/>
      <c r="AL29" s="96" t="e">
        <f t="shared" si="39"/>
        <v>#DIV/0!</v>
      </c>
    </row>
    <row r="30" spans="2:38" ht="12">
      <c r="B30" s="79"/>
      <c r="C30" s="372"/>
      <c r="D30" s="319">
        <v>45924</v>
      </c>
      <c r="E30" s="319" t="s">
        <v>164</v>
      </c>
      <c r="F30" s="328">
        <f t="shared" si="18"/>
        <v>0</v>
      </c>
      <c r="G30" s="392"/>
      <c r="H30" s="392"/>
      <c r="I30" s="329"/>
      <c r="J30" s="96" t="e">
        <f t="shared" si="22"/>
        <v>#DIV/0!</v>
      </c>
      <c r="K30" s="329"/>
      <c r="L30" s="96" t="e">
        <f t="shared" si="23"/>
        <v>#DIV/0!</v>
      </c>
      <c r="M30" s="330">
        <f t="shared" si="24"/>
        <v>0</v>
      </c>
      <c r="N30" s="96" t="e">
        <f t="shared" si="25"/>
        <v>#DIV/0!</v>
      </c>
      <c r="O30" s="329"/>
      <c r="P30" s="96" t="e">
        <f t="shared" si="26"/>
        <v>#DIV/0!</v>
      </c>
      <c r="Q30" s="329"/>
      <c r="R30" s="96">
        <f t="shared" si="27"/>
        <v>0</v>
      </c>
      <c r="S30" s="330">
        <f t="shared" si="28"/>
        <v>0</v>
      </c>
      <c r="T30" s="96" t="e">
        <f t="shared" si="29"/>
        <v>#DIV/0!</v>
      </c>
      <c r="U30" s="329"/>
      <c r="V30" s="96" t="e">
        <f t="shared" si="30"/>
        <v>#DIV/0!</v>
      </c>
      <c r="W30" s="329"/>
      <c r="X30" s="96" t="e">
        <f t="shared" si="31"/>
        <v>#DIV/0!</v>
      </c>
      <c r="Y30" s="329"/>
      <c r="Z30" s="96" t="e">
        <f t="shared" si="32"/>
        <v>#DIV/0!</v>
      </c>
      <c r="AA30" s="329"/>
      <c r="AB30" s="96">
        <f t="shared" si="33"/>
        <v>0</v>
      </c>
      <c r="AC30" s="330">
        <f t="shared" si="34"/>
        <v>0</v>
      </c>
      <c r="AD30" s="96" t="e">
        <f t="shared" si="35"/>
        <v>#DIV/0!</v>
      </c>
      <c r="AE30" s="329"/>
      <c r="AF30" s="96" t="e">
        <f t="shared" si="36"/>
        <v>#DIV/0!</v>
      </c>
      <c r="AG30" s="329"/>
      <c r="AH30" s="96" t="e">
        <f t="shared" si="37"/>
        <v>#DIV/0!</v>
      </c>
      <c r="AI30" s="329"/>
      <c r="AJ30" s="96" t="e">
        <f t="shared" si="38"/>
        <v>#DIV/0!</v>
      </c>
      <c r="AK30" s="329"/>
      <c r="AL30" s="96" t="e">
        <f t="shared" si="39"/>
        <v>#DIV/0!</v>
      </c>
    </row>
    <row r="31" spans="2:38" ht="12">
      <c r="B31" s="79"/>
      <c r="C31" s="372"/>
      <c r="D31" s="319">
        <v>45925</v>
      </c>
      <c r="E31" s="319" t="s">
        <v>165</v>
      </c>
      <c r="F31" s="328">
        <f t="shared" si="18"/>
        <v>0</v>
      </c>
      <c r="G31" s="392"/>
      <c r="H31" s="392"/>
      <c r="I31" s="329"/>
      <c r="J31" s="96" t="e">
        <f t="shared" si="22"/>
        <v>#DIV/0!</v>
      </c>
      <c r="K31" s="329"/>
      <c r="L31" s="96" t="e">
        <f t="shared" si="23"/>
        <v>#DIV/0!</v>
      </c>
      <c r="M31" s="330">
        <f t="shared" si="24"/>
        <v>0</v>
      </c>
      <c r="N31" s="96" t="e">
        <f t="shared" si="25"/>
        <v>#DIV/0!</v>
      </c>
      <c r="O31" s="329"/>
      <c r="P31" s="96" t="e">
        <f t="shared" si="26"/>
        <v>#DIV/0!</v>
      </c>
      <c r="Q31" s="329"/>
      <c r="R31" s="96">
        <f t="shared" si="27"/>
        <v>0</v>
      </c>
      <c r="S31" s="330">
        <f t="shared" si="28"/>
        <v>0</v>
      </c>
      <c r="T31" s="96" t="e">
        <f t="shared" si="29"/>
        <v>#DIV/0!</v>
      </c>
      <c r="U31" s="329"/>
      <c r="V31" s="96" t="e">
        <f t="shared" si="30"/>
        <v>#DIV/0!</v>
      </c>
      <c r="W31" s="329"/>
      <c r="X31" s="96" t="e">
        <f t="shared" si="31"/>
        <v>#DIV/0!</v>
      </c>
      <c r="Y31" s="329"/>
      <c r="Z31" s="96" t="e">
        <f t="shared" si="32"/>
        <v>#DIV/0!</v>
      </c>
      <c r="AA31" s="329"/>
      <c r="AB31" s="96">
        <f t="shared" si="33"/>
        <v>0</v>
      </c>
      <c r="AC31" s="330">
        <f t="shared" si="34"/>
        <v>0</v>
      </c>
      <c r="AD31" s="96" t="e">
        <f t="shared" si="35"/>
        <v>#DIV/0!</v>
      </c>
      <c r="AE31" s="329"/>
      <c r="AF31" s="96" t="e">
        <f t="shared" si="36"/>
        <v>#DIV/0!</v>
      </c>
      <c r="AG31" s="329"/>
      <c r="AH31" s="96" t="e">
        <f t="shared" si="37"/>
        <v>#DIV/0!</v>
      </c>
      <c r="AI31" s="329"/>
      <c r="AJ31" s="96" t="e">
        <f t="shared" si="38"/>
        <v>#DIV/0!</v>
      </c>
      <c r="AK31" s="329"/>
      <c r="AL31" s="96" t="e">
        <f t="shared" si="39"/>
        <v>#DIV/0!</v>
      </c>
    </row>
    <row r="32" spans="2:38" ht="12">
      <c r="B32" s="79"/>
      <c r="C32" s="372"/>
      <c r="D32" s="319">
        <v>45926</v>
      </c>
      <c r="E32" s="319" t="s">
        <v>166</v>
      </c>
      <c r="F32" s="328">
        <f t="shared" si="18"/>
        <v>0</v>
      </c>
      <c r="G32" s="392">
        <f t="shared" ref="G32" si="42">SUM(F32:F38)</f>
        <v>0</v>
      </c>
      <c r="H32" s="392"/>
      <c r="I32" s="329"/>
      <c r="J32" s="96" t="e">
        <f t="shared" si="22"/>
        <v>#DIV/0!</v>
      </c>
      <c r="K32" s="329"/>
      <c r="L32" s="96" t="e">
        <f t="shared" si="23"/>
        <v>#DIV/0!</v>
      </c>
      <c r="M32" s="330">
        <f t="shared" si="24"/>
        <v>0</v>
      </c>
      <c r="N32" s="96" t="e">
        <f t="shared" si="25"/>
        <v>#DIV/0!</v>
      </c>
      <c r="O32" s="329"/>
      <c r="P32" s="96" t="e">
        <f t="shared" si="26"/>
        <v>#DIV/0!</v>
      </c>
      <c r="Q32" s="329"/>
      <c r="R32" s="96">
        <f t="shared" si="27"/>
        <v>0</v>
      </c>
      <c r="S32" s="330">
        <f t="shared" si="28"/>
        <v>0</v>
      </c>
      <c r="T32" s="96" t="e">
        <f t="shared" si="29"/>
        <v>#DIV/0!</v>
      </c>
      <c r="U32" s="329"/>
      <c r="V32" s="96" t="e">
        <f t="shared" si="30"/>
        <v>#DIV/0!</v>
      </c>
      <c r="W32" s="329"/>
      <c r="X32" s="96" t="e">
        <f t="shared" si="31"/>
        <v>#DIV/0!</v>
      </c>
      <c r="Y32" s="329"/>
      <c r="Z32" s="96" t="e">
        <f t="shared" si="32"/>
        <v>#DIV/0!</v>
      </c>
      <c r="AA32" s="329"/>
      <c r="AB32" s="96">
        <f t="shared" si="33"/>
        <v>0</v>
      </c>
      <c r="AC32" s="330">
        <f t="shared" si="34"/>
        <v>0</v>
      </c>
      <c r="AD32" s="96" t="e">
        <f t="shared" si="35"/>
        <v>#DIV/0!</v>
      </c>
      <c r="AE32" s="329"/>
      <c r="AF32" s="96" t="e">
        <f t="shared" si="36"/>
        <v>#DIV/0!</v>
      </c>
      <c r="AG32" s="329"/>
      <c r="AH32" s="96" t="e">
        <f t="shared" si="37"/>
        <v>#DIV/0!</v>
      </c>
      <c r="AI32" s="329"/>
      <c r="AJ32" s="96" t="e">
        <f t="shared" si="38"/>
        <v>#DIV/0!</v>
      </c>
      <c r="AK32" s="329"/>
      <c r="AL32" s="96" t="e">
        <f t="shared" si="39"/>
        <v>#DIV/0!</v>
      </c>
    </row>
    <row r="33" spans="2:38" ht="12">
      <c r="B33" s="79"/>
      <c r="C33" s="372"/>
      <c r="D33" s="319">
        <v>45927</v>
      </c>
      <c r="E33" s="319" t="s">
        <v>167</v>
      </c>
      <c r="F33" s="328">
        <f t="shared" si="18"/>
        <v>0</v>
      </c>
      <c r="G33" s="392"/>
      <c r="H33" s="392"/>
      <c r="I33" s="329"/>
      <c r="J33" s="96" t="e">
        <f t="shared" si="22"/>
        <v>#DIV/0!</v>
      </c>
      <c r="K33" s="329"/>
      <c r="L33" s="96" t="e">
        <f t="shared" si="23"/>
        <v>#DIV/0!</v>
      </c>
      <c r="M33" s="330">
        <f t="shared" si="24"/>
        <v>0</v>
      </c>
      <c r="N33" s="96" t="e">
        <f t="shared" si="25"/>
        <v>#DIV/0!</v>
      </c>
      <c r="O33" s="329"/>
      <c r="P33" s="96" t="e">
        <f t="shared" si="26"/>
        <v>#DIV/0!</v>
      </c>
      <c r="Q33" s="329"/>
      <c r="R33" s="96">
        <f t="shared" si="27"/>
        <v>0</v>
      </c>
      <c r="S33" s="330">
        <f t="shared" si="28"/>
        <v>0</v>
      </c>
      <c r="T33" s="96" t="e">
        <f t="shared" si="29"/>
        <v>#DIV/0!</v>
      </c>
      <c r="U33" s="329"/>
      <c r="V33" s="96" t="e">
        <f t="shared" si="30"/>
        <v>#DIV/0!</v>
      </c>
      <c r="W33" s="329"/>
      <c r="X33" s="96" t="e">
        <f t="shared" si="31"/>
        <v>#DIV/0!</v>
      </c>
      <c r="Y33" s="329"/>
      <c r="Z33" s="96" t="e">
        <f t="shared" si="32"/>
        <v>#DIV/0!</v>
      </c>
      <c r="AA33" s="329"/>
      <c r="AB33" s="96">
        <f t="shared" si="33"/>
        <v>0</v>
      </c>
      <c r="AC33" s="330">
        <f t="shared" si="34"/>
        <v>0</v>
      </c>
      <c r="AD33" s="96" t="e">
        <f t="shared" si="35"/>
        <v>#DIV/0!</v>
      </c>
      <c r="AE33" s="329"/>
      <c r="AF33" s="96" t="e">
        <f t="shared" si="36"/>
        <v>#DIV/0!</v>
      </c>
      <c r="AG33" s="329"/>
      <c r="AH33" s="96" t="e">
        <f t="shared" si="37"/>
        <v>#DIV/0!</v>
      </c>
      <c r="AI33" s="329"/>
      <c r="AJ33" s="96" t="e">
        <f t="shared" si="38"/>
        <v>#DIV/0!</v>
      </c>
      <c r="AK33" s="329"/>
      <c r="AL33" s="96" t="e">
        <f t="shared" si="39"/>
        <v>#DIV/0!</v>
      </c>
    </row>
    <row r="34" spans="2:38" ht="12">
      <c r="B34" s="79"/>
      <c r="C34" s="372"/>
      <c r="D34" s="319">
        <v>45928</v>
      </c>
      <c r="E34" s="319" t="s">
        <v>168</v>
      </c>
      <c r="F34" s="328">
        <f t="shared" si="18"/>
        <v>0</v>
      </c>
      <c r="G34" s="392"/>
      <c r="H34" s="392"/>
      <c r="I34" s="329"/>
      <c r="J34" s="96" t="e">
        <f t="shared" si="22"/>
        <v>#DIV/0!</v>
      </c>
      <c r="K34" s="329"/>
      <c r="L34" s="96" t="e">
        <f t="shared" si="23"/>
        <v>#DIV/0!</v>
      </c>
      <c r="M34" s="330">
        <f t="shared" si="24"/>
        <v>0</v>
      </c>
      <c r="N34" s="96" t="e">
        <f t="shared" si="25"/>
        <v>#DIV/0!</v>
      </c>
      <c r="O34" s="329"/>
      <c r="P34" s="96" t="e">
        <f t="shared" si="26"/>
        <v>#DIV/0!</v>
      </c>
      <c r="Q34" s="329"/>
      <c r="R34" s="96">
        <f t="shared" si="27"/>
        <v>0</v>
      </c>
      <c r="S34" s="330">
        <f t="shared" si="28"/>
        <v>0</v>
      </c>
      <c r="T34" s="96" t="e">
        <f t="shared" si="29"/>
        <v>#DIV/0!</v>
      </c>
      <c r="U34" s="329"/>
      <c r="V34" s="96" t="e">
        <f t="shared" si="30"/>
        <v>#DIV/0!</v>
      </c>
      <c r="W34" s="329"/>
      <c r="X34" s="96" t="e">
        <f t="shared" si="31"/>
        <v>#DIV/0!</v>
      </c>
      <c r="Y34" s="329"/>
      <c r="Z34" s="96" t="e">
        <f t="shared" si="32"/>
        <v>#DIV/0!</v>
      </c>
      <c r="AA34" s="329"/>
      <c r="AB34" s="96">
        <f t="shared" si="33"/>
        <v>0</v>
      </c>
      <c r="AC34" s="330">
        <f t="shared" si="34"/>
        <v>0</v>
      </c>
      <c r="AD34" s="96" t="e">
        <f t="shared" si="35"/>
        <v>#DIV/0!</v>
      </c>
      <c r="AE34" s="329"/>
      <c r="AF34" s="96" t="e">
        <f t="shared" si="36"/>
        <v>#DIV/0!</v>
      </c>
      <c r="AG34" s="329"/>
      <c r="AH34" s="96" t="e">
        <f t="shared" si="37"/>
        <v>#DIV/0!</v>
      </c>
      <c r="AI34" s="329"/>
      <c r="AJ34" s="96" t="e">
        <f t="shared" si="38"/>
        <v>#DIV/0!</v>
      </c>
      <c r="AK34" s="329"/>
      <c r="AL34" s="96" t="e">
        <f t="shared" si="39"/>
        <v>#DIV/0!</v>
      </c>
    </row>
    <row r="35" spans="2:38" ht="12">
      <c r="B35" s="79"/>
      <c r="C35" s="372"/>
      <c r="D35" s="319">
        <v>45929</v>
      </c>
      <c r="E35" s="319" t="s">
        <v>162</v>
      </c>
      <c r="F35" s="328">
        <f t="shared" si="18"/>
        <v>0</v>
      </c>
      <c r="G35" s="392"/>
      <c r="H35" s="392"/>
      <c r="I35" s="329"/>
      <c r="J35" s="96" t="e">
        <f t="shared" si="22"/>
        <v>#DIV/0!</v>
      </c>
      <c r="K35" s="329"/>
      <c r="L35" s="96" t="e">
        <f t="shared" si="23"/>
        <v>#DIV/0!</v>
      </c>
      <c r="M35" s="330">
        <f t="shared" si="24"/>
        <v>0</v>
      </c>
      <c r="N35" s="96" t="e">
        <f t="shared" si="25"/>
        <v>#DIV/0!</v>
      </c>
      <c r="O35" s="329"/>
      <c r="P35" s="96" t="e">
        <f t="shared" si="26"/>
        <v>#DIV/0!</v>
      </c>
      <c r="Q35" s="329"/>
      <c r="R35" s="96">
        <f t="shared" si="27"/>
        <v>0</v>
      </c>
      <c r="S35" s="330">
        <f t="shared" si="28"/>
        <v>0</v>
      </c>
      <c r="T35" s="96" t="e">
        <f t="shared" si="29"/>
        <v>#DIV/0!</v>
      </c>
      <c r="U35" s="329"/>
      <c r="V35" s="96" t="e">
        <f t="shared" si="30"/>
        <v>#DIV/0!</v>
      </c>
      <c r="W35" s="329"/>
      <c r="X35" s="96" t="e">
        <f t="shared" si="31"/>
        <v>#DIV/0!</v>
      </c>
      <c r="Y35" s="329"/>
      <c r="Z35" s="96" t="e">
        <f t="shared" si="32"/>
        <v>#DIV/0!</v>
      </c>
      <c r="AA35" s="329"/>
      <c r="AB35" s="96">
        <f t="shared" si="33"/>
        <v>0</v>
      </c>
      <c r="AC35" s="330">
        <f t="shared" si="34"/>
        <v>0</v>
      </c>
      <c r="AD35" s="96" t="e">
        <f t="shared" si="35"/>
        <v>#DIV/0!</v>
      </c>
      <c r="AE35" s="329"/>
      <c r="AF35" s="96" t="e">
        <f t="shared" si="36"/>
        <v>#DIV/0!</v>
      </c>
      <c r="AG35" s="329"/>
      <c r="AH35" s="96" t="e">
        <f t="shared" si="37"/>
        <v>#DIV/0!</v>
      </c>
      <c r="AI35" s="329"/>
      <c r="AJ35" s="96" t="e">
        <f t="shared" si="38"/>
        <v>#DIV/0!</v>
      </c>
      <c r="AK35" s="329"/>
      <c r="AL35" s="96" t="e">
        <f t="shared" si="39"/>
        <v>#DIV/0!</v>
      </c>
    </row>
    <row r="36" spans="2:38" ht="12">
      <c r="B36" s="79"/>
      <c r="C36" s="372"/>
      <c r="D36" s="82">
        <v>45930</v>
      </c>
      <c r="E36" s="82" t="s">
        <v>163</v>
      </c>
      <c r="F36" s="328">
        <f t="shared" si="18"/>
        <v>0</v>
      </c>
      <c r="G36" s="392"/>
      <c r="H36" s="392"/>
      <c r="I36" s="329"/>
      <c r="J36" s="96" t="e">
        <f t="shared" si="22"/>
        <v>#DIV/0!</v>
      </c>
      <c r="K36" s="329"/>
      <c r="L36" s="96" t="e">
        <f t="shared" si="23"/>
        <v>#DIV/0!</v>
      </c>
      <c r="M36" s="330">
        <f t="shared" si="24"/>
        <v>0</v>
      </c>
      <c r="N36" s="96" t="e">
        <f t="shared" si="25"/>
        <v>#DIV/0!</v>
      </c>
      <c r="O36" s="329"/>
      <c r="P36" s="96" t="e">
        <f t="shared" si="26"/>
        <v>#DIV/0!</v>
      </c>
      <c r="Q36" s="329"/>
      <c r="R36" s="96">
        <f t="shared" si="27"/>
        <v>0</v>
      </c>
      <c r="S36" s="330">
        <f t="shared" si="28"/>
        <v>0</v>
      </c>
      <c r="T36" s="96" t="e">
        <f t="shared" si="29"/>
        <v>#DIV/0!</v>
      </c>
      <c r="U36" s="329"/>
      <c r="V36" s="96" t="e">
        <f t="shared" si="30"/>
        <v>#DIV/0!</v>
      </c>
      <c r="W36" s="329"/>
      <c r="X36" s="96" t="e">
        <f t="shared" si="31"/>
        <v>#DIV/0!</v>
      </c>
      <c r="Y36" s="329"/>
      <c r="Z36" s="96" t="e">
        <f t="shared" si="32"/>
        <v>#DIV/0!</v>
      </c>
      <c r="AA36" s="329"/>
      <c r="AB36" s="96">
        <f t="shared" si="33"/>
        <v>0</v>
      </c>
      <c r="AC36" s="330">
        <f t="shared" si="34"/>
        <v>0</v>
      </c>
      <c r="AD36" s="96" t="e">
        <f t="shared" si="35"/>
        <v>#DIV/0!</v>
      </c>
      <c r="AE36" s="329"/>
      <c r="AF36" s="96" t="e">
        <f t="shared" si="36"/>
        <v>#DIV/0!</v>
      </c>
      <c r="AG36" s="329"/>
      <c r="AH36" s="96" t="e">
        <f t="shared" si="37"/>
        <v>#DIV/0!</v>
      </c>
      <c r="AI36" s="329"/>
      <c r="AJ36" s="96" t="e">
        <f t="shared" si="38"/>
        <v>#DIV/0!</v>
      </c>
      <c r="AK36" s="329"/>
      <c r="AL36" s="96" t="e">
        <f t="shared" si="39"/>
        <v>#DIV/0!</v>
      </c>
    </row>
    <row r="37" spans="2:38" ht="12">
      <c r="B37" s="79"/>
      <c r="C37" s="372"/>
      <c r="D37" s="82">
        <v>45931</v>
      </c>
      <c r="E37" s="82" t="s">
        <v>164</v>
      </c>
      <c r="F37" s="328">
        <f t="shared" si="18"/>
        <v>0</v>
      </c>
      <c r="G37" s="392"/>
      <c r="H37" s="392"/>
      <c r="I37" s="329"/>
      <c r="J37" s="96" t="e">
        <f t="shared" si="22"/>
        <v>#DIV/0!</v>
      </c>
      <c r="K37" s="329"/>
      <c r="L37" s="96" t="e">
        <f t="shared" si="23"/>
        <v>#DIV/0!</v>
      </c>
      <c r="M37" s="330">
        <f t="shared" si="24"/>
        <v>0</v>
      </c>
      <c r="N37" s="96" t="e">
        <f t="shared" si="25"/>
        <v>#DIV/0!</v>
      </c>
      <c r="O37" s="329"/>
      <c r="P37" s="96" t="e">
        <f t="shared" si="26"/>
        <v>#DIV/0!</v>
      </c>
      <c r="Q37" s="329"/>
      <c r="R37" s="96">
        <f t="shared" si="27"/>
        <v>0</v>
      </c>
      <c r="S37" s="330">
        <f t="shared" si="28"/>
        <v>0</v>
      </c>
      <c r="T37" s="96" t="e">
        <f t="shared" si="29"/>
        <v>#DIV/0!</v>
      </c>
      <c r="U37" s="329"/>
      <c r="V37" s="96" t="e">
        <f t="shared" si="30"/>
        <v>#DIV/0!</v>
      </c>
      <c r="W37" s="329"/>
      <c r="X37" s="96" t="e">
        <f t="shared" si="31"/>
        <v>#DIV/0!</v>
      </c>
      <c r="Y37" s="329"/>
      <c r="Z37" s="96" t="e">
        <f t="shared" si="32"/>
        <v>#DIV/0!</v>
      </c>
      <c r="AA37" s="329"/>
      <c r="AB37" s="96">
        <f t="shared" si="33"/>
        <v>0</v>
      </c>
      <c r="AC37" s="330">
        <f t="shared" si="34"/>
        <v>0</v>
      </c>
      <c r="AD37" s="96" t="e">
        <f t="shared" si="35"/>
        <v>#DIV/0!</v>
      </c>
      <c r="AE37" s="329"/>
      <c r="AF37" s="96" t="e">
        <f t="shared" si="36"/>
        <v>#DIV/0!</v>
      </c>
      <c r="AG37" s="329"/>
      <c r="AH37" s="96" t="e">
        <f t="shared" si="37"/>
        <v>#DIV/0!</v>
      </c>
      <c r="AI37" s="329"/>
      <c r="AJ37" s="96" t="e">
        <f t="shared" si="38"/>
        <v>#DIV/0!</v>
      </c>
      <c r="AK37" s="329"/>
      <c r="AL37" s="96" t="e">
        <f t="shared" si="39"/>
        <v>#DIV/0!</v>
      </c>
    </row>
    <row r="38" spans="2:38" ht="12">
      <c r="B38" s="79"/>
      <c r="C38" s="75"/>
      <c r="D38" s="82">
        <v>45932</v>
      </c>
      <c r="E38" s="82" t="s">
        <v>165</v>
      </c>
      <c r="F38" s="328">
        <f t="shared" si="18"/>
        <v>0</v>
      </c>
      <c r="G38" s="392"/>
      <c r="H38" s="328"/>
      <c r="I38" s="329"/>
      <c r="J38" s="96" t="e">
        <f t="shared" si="22"/>
        <v>#DIV/0!</v>
      </c>
      <c r="K38" s="329"/>
      <c r="L38" s="96" t="e">
        <f t="shared" si="23"/>
        <v>#DIV/0!</v>
      </c>
      <c r="M38" s="330">
        <f t="shared" si="24"/>
        <v>0</v>
      </c>
      <c r="N38" s="96" t="e">
        <f t="shared" si="25"/>
        <v>#DIV/0!</v>
      </c>
      <c r="O38" s="329"/>
      <c r="P38" s="96" t="e">
        <f t="shared" si="26"/>
        <v>#DIV/0!</v>
      </c>
      <c r="Q38" s="329"/>
      <c r="R38" s="96">
        <f t="shared" si="27"/>
        <v>0</v>
      </c>
      <c r="S38" s="330">
        <f t="shared" si="28"/>
        <v>0</v>
      </c>
      <c r="T38" s="96" t="e">
        <f t="shared" si="29"/>
        <v>#DIV/0!</v>
      </c>
      <c r="U38" s="329"/>
      <c r="V38" s="96" t="e">
        <f t="shared" si="30"/>
        <v>#DIV/0!</v>
      </c>
      <c r="W38" s="329"/>
      <c r="X38" s="96" t="e">
        <f t="shared" si="31"/>
        <v>#DIV/0!</v>
      </c>
      <c r="Y38" s="329"/>
      <c r="Z38" s="96" t="e">
        <f t="shared" si="32"/>
        <v>#DIV/0!</v>
      </c>
      <c r="AA38" s="329"/>
      <c r="AB38" s="96">
        <f t="shared" si="33"/>
        <v>0</v>
      </c>
      <c r="AC38" s="330">
        <f t="shared" si="34"/>
        <v>0</v>
      </c>
      <c r="AD38" s="96" t="e">
        <f t="shared" si="35"/>
        <v>#DIV/0!</v>
      </c>
      <c r="AE38" s="329"/>
      <c r="AF38" s="96" t="e">
        <f t="shared" si="36"/>
        <v>#DIV/0!</v>
      </c>
      <c r="AG38" s="329"/>
      <c r="AH38" s="96" t="e">
        <f t="shared" si="37"/>
        <v>#DIV/0!</v>
      </c>
      <c r="AI38" s="329"/>
      <c r="AJ38" s="96" t="e">
        <f t="shared" si="38"/>
        <v>#DIV/0!</v>
      </c>
      <c r="AK38" s="329"/>
      <c r="AL38" s="96" t="e">
        <f t="shared" si="39"/>
        <v>#DIV/0!</v>
      </c>
    </row>
    <row r="39" spans="2:38" ht="12">
      <c r="B39" s="79"/>
      <c r="C39" s="75"/>
      <c r="D39" s="82">
        <v>45933</v>
      </c>
      <c r="E39" s="82" t="s">
        <v>166</v>
      </c>
      <c r="F39" s="84">
        <f t="shared" si="18"/>
        <v>0</v>
      </c>
      <c r="G39" s="393">
        <f t="shared" ref="G39" si="43">SUM(F39:F45)</f>
        <v>0</v>
      </c>
      <c r="H39" s="84"/>
      <c r="I39" s="329"/>
      <c r="J39" s="96" t="e">
        <f t="shared" si="22"/>
        <v>#DIV/0!</v>
      </c>
      <c r="K39" s="329"/>
      <c r="L39" s="96" t="e">
        <f t="shared" si="23"/>
        <v>#DIV/0!</v>
      </c>
      <c r="M39" s="330">
        <f t="shared" si="24"/>
        <v>0</v>
      </c>
      <c r="N39" s="96" t="e">
        <f t="shared" si="25"/>
        <v>#DIV/0!</v>
      </c>
      <c r="O39" s="329"/>
      <c r="P39" s="96" t="e">
        <f t="shared" si="26"/>
        <v>#DIV/0!</v>
      </c>
      <c r="Q39" s="329"/>
      <c r="R39" s="96">
        <f t="shared" si="27"/>
        <v>0</v>
      </c>
      <c r="S39" s="330">
        <f t="shared" si="28"/>
        <v>0</v>
      </c>
      <c r="T39" s="96" t="e">
        <f t="shared" si="29"/>
        <v>#DIV/0!</v>
      </c>
      <c r="U39" s="329"/>
      <c r="V39" s="96" t="e">
        <f t="shared" si="30"/>
        <v>#DIV/0!</v>
      </c>
      <c r="W39" s="329"/>
      <c r="X39" s="96" t="e">
        <f t="shared" si="31"/>
        <v>#DIV/0!</v>
      </c>
      <c r="Y39" s="329"/>
      <c r="Z39" s="96" t="e">
        <f t="shared" si="32"/>
        <v>#DIV/0!</v>
      </c>
      <c r="AA39" s="329"/>
      <c r="AB39" s="96">
        <f t="shared" si="33"/>
        <v>0</v>
      </c>
      <c r="AC39" s="330">
        <f t="shared" si="34"/>
        <v>0</v>
      </c>
      <c r="AD39" s="96" t="e">
        <f t="shared" si="35"/>
        <v>#DIV/0!</v>
      </c>
      <c r="AE39" s="329"/>
      <c r="AF39" s="96" t="e">
        <f t="shared" si="36"/>
        <v>#DIV/0!</v>
      </c>
      <c r="AG39" s="329"/>
      <c r="AH39" s="96" t="e">
        <f t="shared" si="37"/>
        <v>#DIV/0!</v>
      </c>
      <c r="AI39" s="329"/>
      <c r="AJ39" s="96" t="e">
        <f t="shared" si="38"/>
        <v>#DIV/0!</v>
      </c>
      <c r="AK39" s="329"/>
      <c r="AL39" s="96" t="e">
        <f t="shared" si="39"/>
        <v>#DIV/0!</v>
      </c>
    </row>
    <row r="40" spans="2:38" ht="12">
      <c r="B40" s="79"/>
      <c r="C40" s="75"/>
      <c r="D40" s="82">
        <v>45934</v>
      </c>
      <c r="E40" s="82" t="s">
        <v>167</v>
      </c>
      <c r="F40" s="84">
        <f t="shared" si="18"/>
        <v>0</v>
      </c>
      <c r="G40" s="393"/>
      <c r="H40" s="84"/>
      <c r="I40" s="329"/>
      <c r="J40" s="96" t="e">
        <f t="shared" si="22"/>
        <v>#DIV/0!</v>
      </c>
      <c r="K40" s="329"/>
      <c r="L40" s="96" t="e">
        <f t="shared" si="23"/>
        <v>#DIV/0!</v>
      </c>
      <c r="M40" s="330">
        <f t="shared" si="24"/>
        <v>0</v>
      </c>
      <c r="N40" s="96" t="e">
        <f t="shared" si="25"/>
        <v>#DIV/0!</v>
      </c>
      <c r="O40" s="329"/>
      <c r="P40" s="96" t="e">
        <f t="shared" si="26"/>
        <v>#DIV/0!</v>
      </c>
      <c r="Q40" s="329"/>
      <c r="R40" s="96">
        <f t="shared" si="27"/>
        <v>0</v>
      </c>
      <c r="S40" s="330">
        <f t="shared" si="28"/>
        <v>0</v>
      </c>
      <c r="T40" s="96" t="e">
        <f t="shared" si="29"/>
        <v>#DIV/0!</v>
      </c>
      <c r="U40" s="329"/>
      <c r="V40" s="96" t="e">
        <f t="shared" si="30"/>
        <v>#DIV/0!</v>
      </c>
      <c r="W40" s="329"/>
      <c r="X40" s="96" t="e">
        <f t="shared" si="31"/>
        <v>#DIV/0!</v>
      </c>
      <c r="Y40" s="329"/>
      <c r="Z40" s="96" t="e">
        <f t="shared" si="32"/>
        <v>#DIV/0!</v>
      </c>
      <c r="AA40" s="329"/>
      <c r="AB40" s="96">
        <f t="shared" si="33"/>
        <v>0</v>
      </c>
      <c r="AC40" s="330">
        <f t="shared" si="34"/>
        <v>0</v>
      </c>
      <c r="AD40" s="96" t="e">
        <f t="shared" si="35"/>
        <v>#DIV/0!</v>
      </c>
      <c r="AE40" s="329"/>
      <c r="AF40" s="96" t="e">
        <f t="shared" si="36"/>
        <v>#DIV/0!</v>
      </c>
      <c r="AG40" s="329"/>
      <c r="AH40" s="96" t="e">
        <f t="shared" si="37"/>
        <v>#DIV/0!</v>
      </c>
      <c r="AI40" s="329"/>
      <c r="AJ40" s="96" t="e">
        <f t="shared" si="38"/>
        <v>#DIV/0!</v>
      </c>
      <c r="AK40" s="329"/>
      <c r="AL40" s="96" t="e">
        <f t="shared" si="39"/>
        <v>#DIV/0!</v>
      </c>
    </row>
    <row r="41" spans="2:38" ht="12">
      <c r="B41" s="79"/>
      <c r="C41" s="75"/>
      <c r="D41" s="82">
        <v>45935</v>
      </c>
      <c r="E41" s="82" t="s">
        <v>168</v>
      </c>
      <c r="F41" s="84">
        <f t="shared" si="18"/>
        <v>0</v>
      </c>
      <c r="G41" s="393"/>
      <c r="H41" s="84"/>
      <c r="I41" s="329"/>
      <c r="J41" s="96" t="e">
        <f t="shared" ref="J41:J45" si="44">I41/F41</f>
        <v>#DIV/0!</v>
      </c>
      <c r="K41" s="329"/>
      <c r="L41" s="96" t="e">
        <f t="shared" ref="L41:L45" si="45">K41/F41</f>
        <v>#DIV/0!</v>
      </c>
      <c r="M41" s="330">
        <f t="shared" ref="M41:M45" si="46">SUM(I41+K41)</f>
        <v>0</v>
      </c>
      <c r="N41" s="96" t="e">
        <f t="shared" ref="N41:N45" si="47">M41/F41</f>
        <v>#DIV/0!</v>
      </c>
      <c r="O41" s="329"/>
      <c r="P41" s="96" t="e">
        <f t="shared" ref="P41:P45" si="48">O41/F41</f>
        <v>#DIV/0!</v>
      </c>
      <c r="Q41" s="329"/>
      <c r="R41" s="96">
        <f t="shared" ref="R41:R45" si="49">Q41/D41</f>
        <v>0</v>
      </c>
      <c r="S41" s="330">
        <f t="shared" si="28"/>
        <v>0</v>
      </c>
      <c r="T41" s="96" t="e">
        <f t="shared" ref="T41:T45" si="50">S41/F41</f>
        <v>#DIV/0!</v>
      </c>
      <c r="U41" s="329"/>
      <c r="V41" s="96" t="e">
        <f t="shared" ref="V41:V45" si="51">U41/F41</f>
        <v>#DIV/0!</v>
      </c>
      <c r="W41" s="329"/>
      <c r="X41" s="96" t="e">
        <f t="shared" ref="X41:X45" si="52">W41/F41</f>
        <v>#DIV/0!</v>
      </c>
      <c r="Y41" s="329"/>
      <c r="Z41" s="96" t="e">
        <f t="shared" ref="Z41:Z45" si="53">Y41/F41</f>
        <v>#DIV/0!</v>
      </c>
      <c r="AA41" s="329"/>
      <c r="AB41" s="96">
        <f t="shared" ref="AB41:AB45" si="54">AA41/D41</f>
        <v>0</v>
      </c>
      <c r="AC41" s="330">
        <f t="shared" ref="AC41:AC45" si="55">SUM(Y41+AA41)</f>
        <v>0</v>
      </c>
      <c r="AD41" s="96" t="e">
        <f t="shared" ref="AD41:AD45" si="56">AC41/F41</f>
        <v>#DIV/0!</v>
      </c>
      <c r="AE41" s="329"/>
      <c r="AF41" s="96" t="e">
        <f t="shared" ref="AF41:AF45" si="57">AE41/F41</f>
        <v>#DIV/0!</v>
      </c>
      <c r="AG41" s="329"/>
      <c r="AH41" s="96" t="e">
        <f t="shared" ref="AH41:AH45" si="58">AG41/F41</f>
        <v>#DIV/0!</v>
      </c>
      <c r="AI41" s="329"/>
      <c r="AJ41" s="96" t="e">
        <f t="shared" ref="AJ41:AJ45" si="59">AI41/F41</f>
        <v>#DIV/0!</v>
      </c>
      <c r="AK41" s="329"/>
      <c r="AL41" s="96" t="e">
        <f t="shared" ref="AL41:AL45" si="60">AK41/F41</f>
        <v>#DIV/0!</v>
      </c>
    </row>
    <row r="42" spans="2:38" ht="12">
      <c r="B42" s="79"/>
      <c r="C42" s="75"/>
      <c r="D42" s="82">
        <v>45936</v>
      </c>
      <c r="E42" s="82" t="s">
        <v>162</v>
      </c>
      <c r="F42" s="84">
        <f t="shared" si="18"/>
        <v>0</v>
      </c>
      <c r="G42" s="393"/>
      <c r="H42" s="84"/>
      <c r="I42" s="329"/>
      <c r="J42" s="96" t="e">
        <f t="shared" si="44"/>
        <v>#DIV/0!</v>
      </c>
      <c r="K42" s="329"/>
      <c r="L42" s="96" t="e">
        <f t="shared" si="45"/>
        <v>#DIV/0!</v>
      </c>
      <c r="M42" s="330">
        <f t="shared" si="46"/>
        <v>0</v>
      </c>
      <c r="N42" s="96" t="e">
        <f t="shared" si="47"/>
        <v>#DIV/0!</v>
      </c>
      <c r="O42" s="329"/>
      <c r="P42" s="96" t="e">
        <f t="shared" si="48"/>
        <v>#DIV/0!</v>
      </c>
      <c r="Q42" s="329"/>
      <c r="R42" s="96">
        <f t="shared" si="49"/>
        <v>0</v>
      </c>
      <c r="S42" s="330">
        <f t="shared" si="28"/>
        <v>0</v>
      </c>
      <c r="T42" s="96" t="e">
        <f t="shared" si="50"/>
        <v>#DIV/0!</v>
      </c>
      <c r="U42" s="329"/>
      <c r="V42" s="96" t="e">
        <f t="shared" si="51"/>
        <v>#DIV/0!</v>
      </c>
      <c r="W42" s="329"/>
      <c r="X42" s="96" t="e">
        <f t="shared" si="52"/>
        <v>#DIV/0!</v>
      </c>
      <c r="Y42" s="329"/>
      <c r="Z42" s="96" t="e">
        <f t="shared" si="53"/>
        <v>#DIV/0!</v>
      </c>
      <c r="AA42" s="329"/>
      <c r="AB42" s="96">
        <f t="shared" si="54"/>
        <v>0</v>
      </c>
      <c r="AC42" s="330">
        <f t="shared" si="55"/>
        <v>0</v>
      </c>
      <c r="AD42" s="96" t="e">
        <f t="shared" si="56"/>
        <v>#DIV/0!</v>
      </c>
      <c r="AE42" s="329"/>
      <c r="AF42" s="96" t="e">
        <f t="shared" si="57"/>
        <v>#DIV/0!</v>
      </c>
      <c r="AG42" s="329"/>
      <c r="AH42" s="96" t="e">
        <f t="shared" si="58"/>
        <v>#DIV/0!</v>
      </c>
      <c r="AI42" s="329"/>
      <c r="AJ42" s="96" t="e">
        <f t="shared" si="59"/>
        <v>#DIV/0!</v>
      </c>
      <c r="AK42" s="329"/>
      <c r="AL42" s="96" t="e">
        <f>AK42/F42</f>
        <v>#DIV/0!</v>
      </c>
    </row>
    <row r="43" spans="2:38" ht="12">
      <c r="B43" s="79"/>
      <c r="C43" s="75"/>
      <c r="D43" s="82"/>
      <c r="E43" s="82"/>
      <c r="F43" s="84">
        <f t="shared" si="18"/>
        <v>0</v>
      </c>
      <c r="G43" s="393"/>
      <c r="H43" s="84"/>
      <c r="I43" s="234"/>
      <c r="J43" s="96" t="e">
        <f t="shared" si="44"/>
        <v>#DIV/0!</v>
      </c>
      <c r="K43" s="234"/>
      <c r="L43" s="96" t="e">
        <f t="shared" si="45"/>
        <v>#DIV/0!</v>
      </c>
      <c r="M43" s="101">
        <f t="shared" si="46"/>
        <v>0</v>
      </c>
      <c r="N43" s="96" t="e">
        <f t="shared" si="47"/>
        <v>#DIV/0!</v>
      </c>
      <c r="O43" s="234"/>
      <c r="P43" s="96" t="e">
        <f t="shared" si="48"/>
        <v>#DIV/0!</v>
      </c>
      <c r="Q43" s="234"/>
      <c r="R43" s="96" t="e">
        <f t="shared" si="49"/>
        <v>#DIV/0!</v>
      </c>
      <c r="S43" s="101">
        <f t="shared" si="28"/>
        <v>0</v>
      </c>
      <c r="T43" s="96" t="e">
        <f t="shared" si="50"/>
        <v>#DIV/0!</v>
      </c>
      <c r="U43" s="234"/>
      <c r="V43" s="96" t="e">
        <f t="shared" si="51"/>
        <v>#DIV/0!</v>
      </c>
      <c r="W43" s="234"/>
      <c r="X43" s="96" t="e">
        <f t="shared" si="52"/>
        <v>#DIV/0!</v>
      </c>
      <c r="Y43" s="234"/>
      <c r="Z43" s="96" t="e">
        <f t="shared" si="53"/>
        <v>#DIV/0!</v>
      </c>
      <c r="AA43" s="234"/>
      <c r="AB43" s="96" t="e">
        <f t="shared" si="54"/>
        <v>#DIV/0!</v>
      </c>
      <c r="AC43" s="101">
        <f t="shared" si="55"/>
        <v>0</v>
      </c>
      <c r="AD43" s="96" t="e">
        <f t="shared" si="56"/>
        <v>#DIV/0!</v>
      </c>
      <c r="AE43" s="234"/>
      <c r="AF43" s="96" t="e">
        <f t="shared" si="57"/>
        <v>#DIV/0!</v>
      </c>
      <c r="AG43" s="234"/>
      <c r="AH43" s="96" t="e">
        <f t="shared" si="58"/>
        <v>#DIV/0!</v>
      </c>
      <c r="AI43" s="234"/>
      <c r="AJ43" s="96" t="e">
        <f t="shared" si="59"/>
        <v>#DIV/0!</v>
      </c>
      <c r="AK43" s="234"/>
      <c r="AL43" s="96" t="e">
        <f t="shared" si="60"/>
        <v>#DIV/0!</v>
      </c>
    </row>
    <row r="44" spans="2:38" ht="12">
      <c r="B44" s="79"/>
      <c r="C44" s="75"/>
      <c r="D44" s="82"/>
      <c r="E44" s="82"/>
      <c r="F44" s="84">
        <f t="shared" si="18"/>
        <v>0</v>
      </c>
      <c r="G44" s="393"/>
      <c r="H44" s="84"/>
      <c r="I44" s="234"/>
      <c r="J44" s="96" t="e">
        <f t="shared" si="44"/>
        <v>#DIV/0!</v>
      </c>
      <c r="K44" s="234"/>
      <c r="L44" s="96" t="e">
        <f t="shared" si="45"/>
        <v>#DIV/0!</v>
      </c>
      <c r="M44" s="101">
        <f t="shared" si="46"/>
        <v>0</v>
      </c>
      <c r="N44" s="96" t="e">
        <f t="shared" si="47"/>
        <v>#DIV/0!</v>
      </c>
      <c r="O44" s="234"/>
      <c r="P44" s="96" t="e">
        <f t="shared" si="48"/>
        <v>#DIV/0!</v>
      </c>
      <c r="Q44" s="234"/>
      <c r="R44" s="96" t="e">
        <f t="shared" si="49"/>
        <v>#DIV/0!</v>
      </c>
      <c r="S44" s="101">
        <f t="shared" si="28"/>
        <v>0</v>
      </c>
      <c r="T44" s="96" t="e">
        <f t="shared" si="50"/>
        <v>#DIV/0!</v>
      </c>
      <c r="U44" s="234"/>
      <c r="V44" s="96" t="e">
        <f t="shared" si="51"/>
        <v>#DIV/0!</v>
      </c>
      <c r="W44" s="234"/>
      <c r="X44" s="96" t="e">
        <f t="shared" si="52"/>
        <v>#DIV/0!</v>
      </c>
      <c r="Y44" s="234"/>
      <c r="Z44" s="96" t="e">
        <f t="shared" si="53"/>
        <v>#DIV/0!</v>
      </c>
      <c r="AA44" s="234"/>
      <c r="AB44" s="96" t="e">
        <f t="shared" si="54"/>
        <v>#DIV/0!</v>
      </c>
      <c r="AC44" s="101">
        <f t="shared" si="55"/>
        <v>0</v>
      </c>
      <c r="AD44" s="96" t="e">
        <f t="shared" si="56"/>
        <v>#DIV/0!</v>
      </c>
      <c r="AE44" s="234"/>
      <c r="AF44" s="96" t="e">
        <f t="shared" si="57"/>
        <v>#DIV/0!</v>
      </c>
      <c r="AG44" s="234"/>
      <c r="AH44" s="96" t="e">
        <f t="shared" si="58"/>
        <v>#DIV/0!</v>
      </c>
      <c r="AI44" s="234"/>
      <c r="AJ44" s="96" t="e">
        <f t="shared" si="59"/>
        <v>#DIV/0!</v>
      </c>
      <c r="AK44" s="234"/>
      <c r="AL44" s="96" t="e">
        <f t="shared" si="60"/>
        <v>#DIV/0!</v>
      </c>
    </row>
    <row r="45" spans="2:38" ht="12">
      <c r="B45" s="79"/>
      <c r="C45" s="75"/>
      <c r="D45" s="82"/>
      <c r="E45" s="82"/>
      <c r="F45" s="84">
        <f t="shared" si="18"/>
        <v>0</v>
      </c>
      <c r="G45" s="393"/>
      <c r="H45" s="84"/>
      <c r="I45" s="234"/>
      <c r="J45" s="96" t="e">
        <f t="shared" si="44"/>
        <v>#DIV/0!</v>
      </c>
      <c r="K45" s="234"/>
      <c r="L45" s="96" t="e">
        <f t="shared" si="45"/>
        <v>#DIV/0!</v>
      </c>
      <c r="M45" s="101">
        <f t="shared" si="46"/>
        <v>0</v>
      </c>
      <c r="N45" s="96" t="e">
        <f t="shared" si="47"/>
        <v>#DIV/0!</v>
      </c>
      <c r="O45" s="234"/>
      <c r="P45" s="96" t="e">
        <f t="shared" si="48"/>
        <v>#DIV/0!</v>
      </c>
      <c r="Q45" s="234"/>
      <c r="R45" s="96" t="e">
        <f t="shared" si="49"/>
        <v>#DIV/0!</v>
      </c>
      <c r="S45" s="101">
        <f t="shared" si="28"/>
        <v>0</v>
      </c>
      <c r="T45" s="96" t="e">
        <f t="shared" si="50"/>
        <v>#DIV/0!</v>
      </c>
      <c r="U45" s="234"/>
      <c r="V45" s="96" t="e">
        <f t="shared" si="51"/>
        <v>#DIV/0!</v>
      </c>
      <c r="W45" s="234"/>
      <c r="X45" s="96" t="e">
        <f t="shared" si="52"/>
        <v>#DIV/0!</v>
      </c>
      <c r="Y45" s="234"/>
      <c r="Z45" s="96" t="e">
        <f t="shared" si="53"/>
        <v>#DIV/0!</v>
      </c>
      <c r="AA45" s="234"/>
      <c r="AB45" s="96" t="e">
        <f t="shared" si="54"/>
        <v>#DIV/0!</v>
      </c>
      <c r="AC45" s="101">
        <f t="shared" si="55"/>
        <v>0</v>
      </c>
      <c r="AD45" s="96" t="e">
        <f t="shared" si="56"/>
        <v>#DIV/0!</v>
      </c>
      <c r="AE45" s="234"/>
      <c r="AF45" s="96" t="e">
        <f t="shared" si="57"/>
        <v>#DIV/0!</v>
      </c>
      <c r="AG45" s="234"/>
      <c r="AH45" s="96" t="e">
        <f t="shared" si="58"/>
        <v>#DIV/0!</v>
      </c>
      <c r="AI45" s="234"/>
      <c r="AJ45" s="96" t="e">
        <f t="shared" si="59"/>
        <v>#DIV/0!</v>
      </c>
      <c r="AK45" s="234"/>
      <c r="AL45" s="96" t="e">
        <f t="shared" si="60"/>
        <v>#DIV/0!</v>
      </c>
    </row>
    <row r="46" spans="2:38" ht="12">
      <c r="B46" s="79"/>
      <c r="C46" s="75"/>
      <c r="D46" s="78"/>
      <c r="F46" s="84"/>
      <c r="G46" s="84"/>
      <c r="H46" s="84"/>
      <c r="I46" s="286">
        <f>SUM(I7:I45)</f>
        <v>587586</v>
      </c>
      <c r="J46" s="285">
        <f>I46/$H$7</f>
        <v>0.17664247444846012</v>
      </c>
      <c r="K46" s="286">
        <f t="shared" ref="K46" si="61">SUM(K7:K45)</f>
        <v>668415</v>
      </c>
      <c r="L46" s="285">
        <f t="shared" ref="L46" si="62">K46/$H$7</f>
        <v>0.20094161460359414</v>
      </c>
      <c r="M46" s="286">
        <f t="shared" ref="M46" si="63">SUM(M7:M45)</f>
        <v>1256001</v>
      </c>
      <c r="N46" s="285">
        <f t="shared" ref="N46" si="64">M46/$H$7</f>
        <v>0.37758408905205426</v>
      </c>
      <c r="O46" s="286">
        <f t="shared" ref="O46" si="65">SUM(O7:O45)</f>
        <v>87227</v>
      </c>
      <c r="P46" s="285">
        <f t="shared" ref="P46" si="66">O46/$H$7</f>
        <v>2.622253273344809E-2</v>
      </c>
      <c r="Q46" s="286">
        <f t="shared" ref="Q46" si="67">SUM(Q7:Q45)</f>
        <v>56539</v>
      </c>
      <c r="R46" s="285">
        <f t="shared" ref="R46" si="68">Q46/$H$7</f>
        <v>1.6996982335932928E-2</v>
      </c>
      <c r="S46" s="286">
        <f t="shared" ref="S46" si="69">SUM(S7:S45)</f>
        <v>143766</v>
      </c>
      <c r="T46" s="285">
        <f t="shared" ref="T46" si="70">S46/$H$7</f>
        <v>4.3219515069381022E-2</v>
      </c>
      <c r="U46" s="286">
        <f t="shared" ref="U46" si="71">SUM(U7:U45)</f>
        <v>275702</v>
      </c>
      <c r="V46" s="285">
        <f t="shared" ref="V46" si="72">U46/$H$7</f>
        <v>8.2882647800303869E-2</v>
      </c>
      <c r="W46" s="286">
        <f t="shared" ref="W46" si="73">SUM(W7:W45)</f>
        <v>6732</v>
      </c>
      <c r="X46" s="285">
        <f t="shared" ref="X46" si="74">W46/$H$7</f>
        <v>2.0238010061285217E-3</v>
      </c>
      <c r="Y46" s="286">
        <f t="shared" ref="Y46" si="75">SUM(Y7:Y45)</f>
        <v>332507</v>
      </c>
      <c r="Z46" s="285">
        <f t="shared" ref="Z46" si="76">Y46/$H$7</f>
        <v>9.9959596129645917E-2</v>
      </c>
      <c r="AA46" s="286">
        <f t="shared" ref="AA46" si="77">SUM(AA7:AA45)</f>
        <v>314954</v>
      </c>
      <c r="AB46" s="285">
        <f t="shared" ref="AB46" si="78">AA46/$H$7</f>
        <v>9.4682742436750206E-2</v>
      </c>
      <c r="AC46" s="286">
        <f t="shared" ref="AC46" si="79">SUM(AC7:AC45)</f>
        <v>647461</v>
      </c>
      <c r="AD46" s="285">
        <f t="shared" ref="AD46" si="80">AC46/$H$7</f>
        <v>0.19464233856639612</v>
      </c>
      <c r="AE46" s="286">
        <f t="shared" ref="AE46" si="81">SUM(AE7:AE45)</f>
        <v>202259</v>
      </c>
      <c r="AF46" s="285">
        <f t="shared" ref="AF46" si="82">AE46/$H$7</f>
        <v>6.0803916770432065E-2</v>
      </c>
      <c r="AG46" s="286">
        <f t="shared" ref="AG46" si="83">SUM(AG7:AG45)</f>
        <v>328032</v>
      </c>
      <c r="AH46" s="285">
        <f t="shared" ref="AH46" si="84">AG46/$H$7</f>
        <v>9.8614303571353409E-2</v>
      </c>
      <c r="AI46" s="286">
        <f t="shared" ref="AI46" si="85">SUM(AI7:AI45)</f>
        <v>242894</v>
      </c>
      <c r="AJ46" s="285">
        <f t="shared" ref="AJ46" si="86">AI46/$H$7</f>
        <v>7.3019774447798738E-2</v>
      </c>
      <c r="AK46" s="286">
        <f t="shared" ref="AK46" si="87">SUM(AK7:AK45)</f>
        <v>223567</v>
      </c>
      <c r="AL46" s="285">
        <f t="shared" ref="AL46" si="88">AK46/$H$7</f>
        <v>6.7209613716151986E-2</v>
      </c>
    </row>
    <row r="47" spans="2:38" ht="12">
      <c r="B47" s="79"/>
      <c r="C47" s="75"/>
      <c r="D47" s="78"/>
      <c r="F47" s="84"/>
      <c r="G47" s="84"/>
      <c r="H47" s="84"/>
      <c r="M47" s="287">
        <f>M46</f>
        <v>1256001</v>
      </c>
      <c r="S47" s="287">
        <f>S46</f>
        <v>143766</v>
      </c>
      <c r="U47" s="287">
        <f>U46</f>
        <v>275702</v>
      </c>
      <c r="W47" s="287">
        <f>W46</f>
        <v>6732</v>
      </c>
      <c r="Y47" s="287"/>
      <c r="AA47" s="287"/>
      <c r="AC47" s="287">
        <f>AC46</f>
        <v>647461</v>
      </c>
      <c r="AE47" s="287">
        <f>AE46</f>
        <v>202259</v>
      </c>
      <c r="AG47" s="287">
        <f>AG46</f>
        <v>328032</v>
      </c>
      <c r="AI47" s="287">
        <f>AI46</f>
        <v>242894</v>
      </c>
      <c r="AK47" s="287">
        <f>AK46</f>
        <v>223567</v>
      </c>
    </row>
    <row r="48" spans="2:38" ht="12">
      <c r="B48" s="79"/>
      <c r="C48" s="75"/>
      <c r="D48" s="78"/>
      <c r="F48" s="84"/>
      <c r="G48" s="84"/>
      <c r="H48" s="84"/>
    </row>
    <row r="49" spans="2:8" ht="12">
      <c r="B49" s="79"/>
      <c r="C49" s="75"/>
      <c r="D49" s="78"/>
      <c r="F49" s="84"/>
      <c r="G49" s="84"/>
      <c r="H49" s="84"/>
    </row>
    <row r="50" spans="2:8" ht="12">
      <c r="B50" s="79"/>
      <c r="C50" s="75"/>
      <c r="D50" s="78"/>
    </row>
    <row r="51" spans="2:8" ht="12">
      <c r="B51" s="79"/>
      <c r="C51" s="75"/>
      <c r="D51" s="78"/>
    </row>
    <row r="52" spans="2:8" ht="12">
      <c r="B52" s="79"/>
      <c r="C52" s="75"/>
      <c r="D52" s="78"/>
    </row>
    <row r="53" spans="2:8" ht="12">
      <c r="B53" s="79"/>
      <c r="C53" s="75"/>
      <c r="D53" s="78"/>
    </row>
    <row r="54" spans="2:8" ht="12">
      <c r="B54" s="79"/>
      <c r="C54" s="75"/>
      <c r="D54" s="78"/>
    </row>
    <row r="55" spans="2:8" ht="12">
      <c r="B55" s="79"/>
      <c r="C55" s="75"/>
      <c r="D55" s="78"/>
    </row>
    <row r="56" spans="2:8" ht="12">
      <c r="B56" s="79"/>
      <c r="C56" s="75"/>
      <c r="D56" s="78"/>
    </row>
    <row r="57" spans="2:8" ht="12">
      <c r="B57" s="79"/>
      <c r="C57" s="75"/>
      <c r="D57" s="78"/>
    </row>
    <row r="58" spans="2:8" ht="12">
      <c r="B58" s="79"/>
      <c r="C58" s="75"/>
      <c r="D58" s="78"/>
    </row>
    <row r="59" spans="2:8" ht="12">
      <c r="B59" s="79"/>
      <c r="C59" s="75"/>
      <c r="D59" s="78"/>
    </row>
    <row r="60" spans="2:8" ht="12">
      <c r="B60" s="79"/>
      <c r="C60" s="75"/>
      <c r="D60" s="78"/>
    </row>
    <row r="61" spans="2:8" ht="12">
      <c r="B61" s="79"/>
      <c r="C61" s="75"/>
      <c r="D61" s="78"/>
    </row>
    <row r="62" spans="2:8" ht="12">
      <c r="B62" s="79"/>
      <c r="C62" s="75"/>
      <c r="D62" s="78"/>
    </row>
    <row r="63" spans="2:8" ht="12">
      <c r="B63" s="79"/>
      <c r="C63" s="75"/>
      <c r="D63" s="78"/>
    </row>
    <row r="64" spans="2:8" ht="12">
      <c r="B64" s="79"/>
      <c r="C64" s="75"/>
      <c r="D64" s="78"/>
    </row>
    <row r="65" spans="2:4" ht="12">
      <c r="B65" s="79"/>
      <c r="C65" s="75"/>
      <c r="D65" s="78"/>
    </row>
    <row r="66" spans="2:4" ht="12">
      <c r="B66" s="79"/>
      <c r="C66" s="75"/>
      <c r="D66" s="78"/>
    </row>
    <row r="67" spans="2:4" ht="12">
      <c r="B67" s="79"/>
      <c r="C67" s="75"/>
      <c r="D67" s="78"/>
    </row>
    <row r="68" spans="2:4" ht="12">
      <c r="B68" s="79"/>
      <c r="C68" s="75"/>
      <c r="D68" s="78"/>
    </row>
    <row r="69" spans="2:4" ht="12">
      <c r="B69" s="79"/>
      <c r="C69" s="75"/>
      <c r="D69" s="78"/>
    </row>
    <row r="70" spans="2:4" ht="12">
      <c r="B70" s="79"/>
      <c r="C70" s="75"/>
      <c r="D70" s="78"/>
    </row>
    <row r="71" spans="2:4" ht="12">
      <c r="B71" s="79"/>
      <c r="C71" s="75"/>
      <c r="D71" s="78"/>
    </row>
    <row r="72" spans="2:4" ht="12">
      <c r="B72" s="79"/>
      <c r="C72" s="75"/>
      <c r="D72" s="78"/>
    </row>
    <row r="73" spans="2:4" ht="12">
      <c r="B73" s="79"/>
      <c r="C73" s="75"/>
      <c r="D73" s="78"/>
    </row>
    <row r="74" spans="2:4" ht="12">
      <c r="B74" s="79"/>
      <c r="C74" s="75"/>
      <c r="D74" s="78"/>
    </row>
    <row r="75" spans="2:4" ht="12">
      <c r="B75" s="79"/>
      <c r="C75" s="75"/>
      <c r="D75" s="78"/>
    </row>
    <row r="76" spans="2:4" ht="12">
      <c r="B76" s="79"/>
      <c r="C76" s="75"/>
      <c r="D76" s="78"/>
    </row>
    <row r="77" spans="2:4" ht="12">
      <c r="B77" s="79"/>
      <c r="C77" s="75"/>
      <c r="D77" s="78"/>
    </row>
    <row r="78" spans="2:4" ht="12">
      <c r="B78" s="79"/>
      <c r="C78" s="75"/>
      <c r="D78" s="78"/>
    </row>
    <row r="79" spans="2:4" ht="12">
      <c r="B79" s="79"/>
      <c r="C79" s="75"/>
      <c r="D79" s="78"/>
    </row>
    <row r="80" spans="2:4" ht="12">
      <c r="B80" s="79"/>
      <c r="C80" s="75"/>
      <c r="D80" s="78"/>
    </row>
    <row r="81" spans="2:4" ht="12">
      <c r="B81" s="79"/>
      <c r="C81" s="75"/>
      <c r="D81" s="78"/>
    </row>
    <row r="82" spans="2:4" ht="12">
      <c r="B82" s="79"/>
      <c r="C82" s="75"/>
      <c r="D82" s="78"/>
    </row>
    <row r="83" spans="2:4" ht="12">
      <c r="B83" s="79"/>
      <c r="C83" s="75"/>
      <c r="D83" s="78"/>
    </row>
    <row r="84" spans="2:4" ht="12">
      <c r="B84" s="79"/>
      <c r="C84" s="75"/>
      <c r="D84" s="78"/>
    </row>
    <row r="85" spans="2:4" ht="12">
      <c r="B85" s="79"/>
      <c r="C85" s="75"/>
      <c r="D85" s="78"/>
    </row>
    <row r="86" spans="2:4" ht="12">
      <c r="B86" s="79"/>
      <c r="C86" s="75"/>
      <c r="D86" s="78"/>
    </row>
    <row r="87" spans="2:4" ht="12">
      <c r="B87" s="79"/>
      <c r="C87" s="75"/>
      <c r="D87" s="78"/>
    </row>
    <row r="88" spans="2:4" ht="12">
      <c r="B88" s="79"/>
      <c r="C88" s="75"/>
      <c r="D88" s="78"/>
    </row>
    <row r="89" spans="2:4" ht="12">
      <c r="B89" s="79"/>
      <c r="C89" s="75"/>
      <c r="D89" s="78"/>
    </row>
    <row r="90" spans="2:4" ht="12">
      <c r="B90" s="79"/>
      <c r="C90" s="75"/>
      <c r="D90" s="78"/>
    </row>
    <row r="91" spans="2:4" ht="12">
      <c r="B91" s="79"/>
      <c r="C91" s="75"/>
      <c r="D91" s="78"/>
    </row>
    <row r="92" spans="2:4" ht="12">
      <c r="B92" s="79"/>
      <c r="C92" s="75"/>
      <c r="D92" s="78"/>
    </row>
    <row r="93" spans="2:4" ht="12">
      <c r="B93" s="79"/>
      <c r="C93" s="75"/>
      <c r="D93" s="78"/>
    </row>
    <row r="94" spans="2:4" ht="12">
      <c r="B94" s="79"/>
      <c r="C94" s="75"/>
      <c r="D94" s="78"/>
    </row>
    <row r="95" spans="2:4" ht="12">
      <c r="B95" s="79"/>
      <c r="C95" s="75"/>
      <c r="D95" s="78"/>
    </row>
    <row r="96" spans="2:4" ht="12">
      <c r="B96" s="79"/>
      <c r="C96" s="75"/>
      <c r="D96" s="78"/>
    </row>
    <row r="97" spans="2:4" ht="12">
      <c r="B97" s="79"/>
      <c r="C97" s="75"/>
      <c r="D97" s="78"/>
    </row>
    <row r="98" spans="2:4" ht="12">
      <c r="B98" s="79"/>
      <c r="C98" s="75"/>
      <c r="D98" s="78"/>
    </row>
    <row r="99" spans="2:4" ht="12">
      <c r="B99" s="79"/>
      <c r="C99" s="75"/>
      <c r="D99" s="78"/>
    </row>
    <row r="100" spans="2:4" ht="12">
      <c r="B100" s="79"/>
      <c r="C100" s="75"/>
      <c r="D100" s="78"/>
    </row>
    <row r="101" spans="2:4" ht="12">
      <c r="B101" s="79"/>
      <c r="C101" s="75"/>
      <c r="D101" s="78"/>
    </row>
    <row r="102" spans="2:4" ht="12">
      <c r="B102" s="79"/>
      <c r="C102" s="75"/>
      <c r="D102" s="78"/>
    </row>
  </sheetData>
  <mergeCells count="40">
    <mergeCell ref="G39:G45"/>
    <mergeCell ref="F5:F6"/>
    <mergeCell ref="F3:H4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C7:C37"/>
    <mergeCell ref="C3:C6"/>
    <mergeCell ref="G5:G6"/>
    <mergeCell ref="H5:H6"/>
    <mergeCell ref="I3:AL3"/>
    <mergeCell ref="D3:E6"/>
    <mergeCell ref="G7:G10"/>
    <mergeCell ref="H7:H37"/>
    <mergeCell ref="G11:G17"/>
    <mergeCell ref="G18:G24"/>
    <mergeCell ref="G25:G31"/>
    <mergeCell ref="G32:G38"/>
    <mergeCell ref="O4:T4"/>
    <mergeCell ref="O5:P5"/>
    <mergeCell ref="I5:J5"/>
    <mergeCell ref="AI4:AJ4"/>
    <mergeCell ref="AI5:AJ5"/>
    <mergeCell ref="K5:L5"/>
    <mergeCell ref="S5:T5"/>
    <mergeCell ref="Y4:AD4"/>
    <mergeCell ref="I4:N4"/>
    <mergeCell ref="M5:N5"/>
    <mergeCell ref="Q5:R5"/>
    <mergeCell ref="AA5:AB5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76"/>
  <sheetViews>
    <sheetView topLeftCell="A13" zoomScale="85" zoomScaleNormal="85" workbookViewId="0">
      <pane xSplit="15" topLeftCell="P1" activePane="topRight" state="frozen"/>
      <selection pane="topRight" activeCell="K98" sqref="K98"/>
      <selection sqref="A1:L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15" t="s">
        <v>201</v>
      </c>
      <c r="C1" s="214">
        <f>AVERAGE(L7,L42,L77,L112,L147)</f>
        <v>715.75052281215449</v>
      </c>
    </row>
    <row r="2" spans="1:50" ht="15.75">
      <c r="A2" s="79"/>
      <c r="B2" s="396" t="s">
        <v>202</v>
      </c>
      <c r="C2" s="396"/>
      <c r="D2" s="396"/>
      <c r="E2" s="396"/>
      <c r="F2" s="396"/>
      <c r="G2" s="396"/>
      <c r="H2" s="396"/>
      <c r="I2" s="198"/>
      <c r="J2" s="198"/>
      <c r="K2" s="198"/>
      <c r="L2" s="198"/>
      <c r="M2" s="193"/>
      <c r="N2" s="401" t="s">
        <v>203</v>
      </c>
      <c r="O2" s="401" t="s">
        <v>150</v>
      </c>
      <c r="P2" s="416">
        <v>45895</v>
      </c>
      <c r="Q2" s="417"/>
      <c r="R2" s="417"/>
      <c r="S2" s="417"/>
      <c r="T2" s="418"/>
      <c r="U2" s="421">
        <f>P2+1</f>
        <v>45896</v>
      </c>
      <c r="V2" s="422"/>
      <c r="W2" s="422"/>
      <c r="X2" s="422"/>
      <c r="Y2" s="422"/>
      <c r="Z2" s="421">
        <f>U2+1</f>
        <v>45897</v>
      </c>
      <c r="AA2" s="422"/>
      <c r="AB2" s="422"/>
      <c r="AC2" s="422"/>
      <c r="AD2" s="422"/>
      <c r="AE2" s="421">
        <f>Z2+1</f>
        <v>45898</v>
      </c>
      <c r="AF2" s="422"/>
      <c r="AG2" s="422"/>
      <c r="AH2" s="422"/>
      <c r="AI2" s="422"/>
      <c r="AJ2" s="421">
        <f>AE2+1</f>
        <v>45899</v>
      </c>
      <c r="AK2" s="422"/>
      <c r="AL2" s="422"/>
      <c r="AM2" s="422"/>
      <c r="AN2" s="422"/>
      <c r="AO2" s="421">
        <f>AJ2+1</f>
        <v>45900</v>
      </c>
      <c r="AP2" s="422"/>
      <c r="AQ2" s="422"/>
      <c r="AR2" s="422"/>
      <c r="AS2" s="422"/>
      <c r="AT2" s="421">
        <f>AO2+1</f>
        <v>45901</v>
      </c>
      <c r="AU2" s="422"/>
      <c r="AV2" s="422"/>
      <c r="AW2" s="422"/>
      <c r="AX2" s="422"/>
    </row>
    <row r="3" spans="1:50" ht="15.75">
      <c r="A3" s="79"/>
      <c r="B3" s="397"/>
      <c r="C3" s="397"/>
      <c r="D3" s="397"/>
      <c r="E3" s="397"/>
      <c r="F3" s="397"/>
      <c r="G3" s="397"/>
      <c r="H3" s="397"/>
      <c r="I3" s="199"/>
      <c r="J3" s="199"/>
      <c r="K3" s="199"/>
      <c r="L3" s="199"/>
      <c r="M3" s="194"/>
      <c r="N3" s="403"/>
      <c r="O3" s="403"/>
      <c r="P3" s="416" t="s">
        <v>204</v>
      </c>
      <c r="Q3" s="417"/>
      <c r="R3" s="417"/>
      <c r="S3" s="417"/>
      <c r="T3" s="418"/>
      <c r="U3" s="416" t="s">
        <v>205</v>
      </c>
      <c r="V3" s="417"/>
      <c r="W3" s="417"/>
      <c r="X3" s="417"/>
      <c r="Y3" s="418"/>
      <c r="Z3" s="416" t="s">
        <v>206</v>
      </c>
      <c r="AA3" s="417"/>
      <c r="AB3" s="417"/>
      <c r="AC3" s="417"/>
      <c r="AD3" s="418"/>
      <c r="AE3" s="416" t="s">
        <v>207</v>
      </c>
      <c r="AF3" s="417"/>
      <c r="AG3" s="417"/>
      <c r="AH3" s="417"/>
      <c r="AI3" s="418"/>
      <c r="AJ3" s="416" t="s">
        <v>208</v>
      </c>
      <c r="AK3" s="417"/>
      <c r="AL3" s="417"/>
      <c r="AM3" s="417"/>
      <c r="AN3" s="418"/>
      <c r="AO3" s="416" t="s">
        <v>157</v>
      </c>
      <c r="AP3" s="417"/>
      <c r="AQ3" s="417"/>
      <c r="AR3" s="417"/>
      <c r="AS3" s="418"/>
      <c r="AT3" s="416" t="s">
        <v>209</v>
      </c>
      <c r="AU3" s="417"/>
      <c r="AV3" s="417"/>
      <c r="AW3" s="417"/>
      <c r="AX3" s="418"/>
    </row>
    <row r="4" spans="1:50">
      <c r="A4" s="79"/>
      <c r="B4" s="401" t="s">
        <v>210</v>
      </c>
      <c r="C4" s="404" t="s">
        <v>211</v>
      </c>
      <c r="D4" s="405"/>
      <c r="E4" s="413" t="s">
        <v>212</v>
      </c>
      <c r="F4" s="414"/>
      <c r="G4" s="415"/>
      <c r="H4" s="401" t="s">
        <v>213</v>
      </c>
      <c r="I4" s="413" t="s">
        <v>214</v>
      </c>
      <c r="J4" s="414"/>
      <c r="K4" s="415"/>
      <c r="L4" s="401" t="s">
        <v>213</v>
      </c>
      <c r="M4" s="401" t="s">
        <v>215</v>
      </c>
      <c r="N4" s="401"/>
      <c r="O4" s="401" t="s">
        <v>216</v>
      </c>
      <c r="P4" s="413" t="s">
        <v>217</v>
      </c>
      <c r="Q4" s="414"/>
      <c r="R4" s="414"/>
      <c r="S4" s="415"/>
      <c r="T4" s="401" t="s">
        <v>213</v>
      </c>
      <c r="U4" s="413" t="s">
        <v>217</v>
      </c>
      <c r="V4" s="414"/>
      <c r="W4" s="414"/>
      <c r="X4" s="415"/>
      <c r="Y4" s="401" t="s">
        <v>213</v>
      </c>
      <c r="Z4" s="413" t="s">
        <v>217</v>
      </c>
      <c r="AA4" s="414"/>
      <c r="AB4" s="414"/>
      <c r="AC4" s="415"/>
      <c r="AD4" s="401" t="s">
        <v>213</v>
      </c>
      <c r="AE4" s="413" t="s">
        <v>217</v>
      </c>
      <c r="AF4" s="414"/>
      <c r="AG4" s="414"/>
      <c r="AH4" s="415"/>
      <c r="AI4" s="401" t="s">
        <v>213</v>
      </c>
      <c r="AJ4" s="413" t="s">
        <v>217</v>
      </c>
      <c r="AK4" s="414"/>
      <c r="AL4" s="414"/>
      <c r="AM4" s="415"/>
      <c r="AN4" s="401" t="s">
        <v>213</v>
      </c>
      <c r="AO4" s="413" t="s">
        <v>217</v>
      </c>
      <c r="AP4" s="414"/>
      <c r="AQ4" s="414"/>
      <c r="AR4" s="415"/>
      <c r="AS4" s="401" t="s">
        <v>213</v>
      </c>
      <c r="AT4" s="413" t="s">
        <v>217</v>
      </c>
      <c r="AU4" s="414"/>
      <c r="AV4" s="414"/>
      <c r="AW4" s="415"/>
      <c r="AX4" s="401" t="s">
        <v>213</v>
      </c>
    </row>
    <row r="5" spans="1:50">
      <c r="A5" s="79"/>
      <c r="B5" s="402"/>
      <c r="C5" s="406"/>
      <c r="D5" s="407"/>
      <c r="E5" s="413" t="s">
        <v>218</v>
      </c>
      <c r="F5" s="414"/>
      <c r="G5" s="415"/>
      <c r="H5" s="402"/>
      <c r="I5" s="413" t="s">
        <v>218</v>
      </c>
      <c r="J5" s="414"/>
      <c r="K5" s="415"/>
      <c r="L5" s="402"/>
      <c r="M5" s="402"/>
      <c r="N5" s="402"/>
      <c r="O5" s="402"/>
      <c r="P5" s="413" t="s">
        <v>219</v>
      </c>
      <c r="Q5" s="414"/>
      <c r="R5" s="414"/>
      <c r="S5" s="415"/>
      <c r="T5" s="402"/>
      <c r="U5" s="413" t="s">
        <v>219</v>
      </c>
      <c r="V5" s="414"/>
      <c r="W5" s="414"/>
      <c r="X5" s="415"/>
      <c r="Y5" s="402"/>
      <c r="Z5" s="413" t="s">
        <v>219</v>
      </c>
      <c r="AA5" s="414"/>
      <c r="AB5" s="414"/>
      <c r="AC5" s="415"/>
      <c r="AD5" s="402"/>
      <c r="AE5" s="413" t="s">
        <v>219</v>
      </c>
      <c r="AF5" s="414"/>
      <c r="AG5" s="414"/>
      <c r="AH5" s="415"/>
      <c r="AI5" s="402"/>
      <c r="AJ5" s="413" t="s">
        <v>219</v>
      </c>
      <c r="AK5" s="414"/>
      <c r="AL5" s="414"/>
      <c r="AM5" s="415"/>
      <c r="AN5" s="402"/>
      <c r="AO5" s="413" t="s">
        <v>219</v>
      </c>
      <c r="AP5" s="414"/>
      <c r="AQ5" s="414"/>
      <c r="AR5" s="415"/>
      <c r="AS5" s="402"/>
      <c r="AT5" s="413" t="s">
        <v>219</v>
      </c>
      <c r="AU5" s="414"/>
      <c r="AV5" s="414"/>
      <c r="AW5" s="415"/>
      <c r="AX5" s="402"/>
    </row>
    <row r="6" spans="1:50">
      <c r="A6" s="77"/>
      <c r="B6" s="403"/>
      <c r="C6" s="408"/>
      <c r="D6" s="409"/>
      <c r="E6" s="297" t="s">
        <v>220</v>
      </c>
      <c r="F6" s="297" t="s">
        <v>221</v>
      </c>
      <c r="G6" s="297" t="s">
        <v>222</v>
      </c>
      <c r="H6" s="403"/>
      <c r="I6" s="297" t="s">
        <v>220</v>
      </c>
      <c r="J6" s="297" t="s">
        <v>221</v>
      </c>
      <c r="K6" s="297" t="s">
        <v>222</v>
      </c>
      <c r="L6" s="403"/>
      <c r="M6" s="403"/>
      <c r="N6" s="402"/>
      <c r="O6" s="402"/>
      <c r="P6" s="297" t="s">
        <v>220</v>
      </c>
      <c r="Q6" s="297" t="s">
        <v>221</v>
      </c>
      <c r="R6" s="297" t="s">
        <v>222</v>
      </c>
      <c r="S6" s="297" t="s">
        <v>215</v>
      </c>
      <c r="T6" s="403"/>
      <c r="U6" s="297" t="s">
        <v>220</v>
      </c>
      <c r="V6" s="297" t="s">
        <v>221</v>
      </c>
      <c r="W6" s="297" t="s">
        <v>222</v>
      </c>
      <c r="X6" s="297" t="s">
        <v>215</v>
      </c>
      <c r="Y6" s="403"/>
      <c r="Z6" s="297" t="s">
        <v>220</v>
      </c>
      <c r="AA6" s="297" t="s">
        <v>221</v>
      </c>
      <c r="AB6" s="297" t="s">
        <v>222</v>
      </c>
      <c r="AC6" s="297" t="s">
        <v>215</v>
      </c>
      <c r="AD6" s="403"/>
      <c r="AE6" s="297" t="s">
        <v>220</v>
      </c>
      <c r="AF6" s="297" t="s">
        <v>221</v>
      </c>
      <c r="AG6" s="297" t="s">
        <v>222</v>
      </c>
      <c r="AH6" s="297" t="s">
        <v>215</v>
      </c>
      <c r="AI6" s="403"/>
      <c r="AJ6" s="297" t="s">
        <v>220</v>
      </c>
      <c r="AK6" s="297" t="s">
        <v>221</v>
      </c>
      <c r="AL6" s="297" t="s">
        <v>222</v>
      </c>
      <c r="AM6" s="297" t="s">
        <v>215</v>
      </c>
      <c r="AN6" s="403"/>
      <c r="AO6" s="297" t="s">
        <v>220</v>
      </c>
      <c r="AP6" s="297" t="s">
        <v>221</v>
      </c>
      <c r="AQ6" s="297" t="s">
        <v>222</v>
      </c>
      <c r="AR6" s="297" t="s">
        <v>215</v>
      </c>
      <c r="AS6" s="403"/>
      <c r="AT6" s="297" t="s">
        <v>220</v>
      </c>
      <c r="AU6" s="297" t="s">
        <v>221</v>
      </c>
      <c r="AV6" s="297" t="s">
        <v>222</v>
      </c>
      <c r="AW6" s="297" t="s">
        <v>215</v>
      </c>
      <c r="AX6" s="403"/>
    </row>
    <row r="7" spans="1:50">
      <c r="A7" s="79"/>
      <c r="B7" s="398" t="s">
        <v>223</v>
      </c>
      <c r="C7" s="197">
        <v>1</v>
      </c>
      <c r="D7" s="197" t="s">
        <v>224</v>
      </c>
      <c r="E7" s="197">
        <v>4</v>
      </c>
      <c r="F7" s="197">
        <v>2035.3333333333335</v>
      </c>
      <c r="G7" s="197">
        <v>508.83333333333337</v>
      </c>
      <c r="H7" s="410">
        <f>AVERAGE(G7:G36)</f>
        <v>718.32622372107824</v>
      </c>
      <c r="I7" s="169">
        <f>AVERAGE(P7,U7,Z7,AE7,AJ7,AO7,AT7)</f>
        <v>4</v>
      </c>
      <c r="J7" s="169">
        <f>AVERAGE(Q7,V7,AA7,AF7,AK7,AP7,AU7)</f>
        <v>2003.5660639376529</v>
      </c>
      <c r="K7" s="195">
        <f>AVERAGE(R7,W7,AB7,AG7,AL7,AQ7,AV7)</f>
        <v>500.89151598441322</v>
      </c>
      <c r="L7" s="410">
        <f>IFERROR(AVERAGE(K7:K36),"-")</f>
        <v>713.14131087488931</v>
      </c>
      <c r="M7" s="169">
        <f>RANK(K7, K$7:$K$36)</f>
        <v>19</v>
      </c>
      <c r="N7" s="402"/>
      <c r="O7" s="402"/>
      <c r="P7" s="169">
        <v>4</v>
      </c>
      <c r="Q7" s="169">
        <v>1987.3333333333333</v>
      </c>
      <c r="R7" s="169">
        <v>496.83333333333331</v>
      </c>
      <c r="S7" s="197">
        <f t="shared" ref="S7:S36" si="0">RANK(R7, R$7:R$36)</f>
        <v>19</v>
      </c>
      <c r="T7" s="410">
        <f>AVERAGE(R7:R36)</f>
        <v>711.70735348794733</v>
      </c>
      <c r="U7" s="169">
        <v>4</v>
      </c>
      <c r="V7" s="169">
        <v>1996.1797752808989</v>
      </c>
      <c r="W7" s="169">
        <v>499.04494382022472</v>
      </c>
      <c r="X7" s="197">
        <f t="shared" ref="X7:X36" si="1">RANK(W7, W$7:W$36)</f>
        <v>18</v>
      </c>
      <c r="Y7" s="410">
        <f>AVERAGE(W7:W36)</f>
        <v>714.97882745024219</v>
      </c>
      <c r="Z7" s="169">
        <v>4</v>
      </c>
      <c r="AA7" s="169">
        <v>2013.4090909090908</v>
      </c>
      <c r="AB7" s="169">
        <v>503.35227272727269</v>
      </c>
      <c r="AC7" s="197">
        <f t="shared" ref="AC7:AC36" si="2">RANK(AB7, AB$7:AB$36)</f>
        <v>18</v>
      </c>
      <c r="AD7" s="410">
        <f>AVERAGE(AB7:AB36)</f>
        <v>708.47487085626597</v>
      </c>
      <c r="AE7" s="169">
        <v>4</v>
      </c>
      <c r="AF7" s="169">
        <v>1983.8961038961038</v>
      </c>
      <c r="AG7" s="169">
        <v>495.97402597402595</v>
      </c>
      <c r="AH7" s="197">
        <f t="shared" ref="AH7:AH36" si="3">RANK(AG7, AG$7:AG$36)</f>
        <v>19</v>
      </c>
      <c r="AI7" s="410">
        <f>AVERAGE(AG7:AG36)</f>
        <v>724.57015657691238</v>
      </c>
      <c r="AJ7" s="169">
        <v>4</v>
      </c>
      <c r="AK7" s="169">
        <v>1980.8108108108106</v>
      </c>
      <c r="AL7" s="169">
        <v>495.20270270270265</v>
      </c>
      <c r="AM7" s="197">
        <f t="shared" ref="AM7:AM36" si="4">RANK(AL7, AL$7:AL$36)</f>
        <v>19</v>
      </c>
      <c r="AN7" s="410">
        <f>AVERAGE(AL7:AL36)</f>
        <v>706.74602447821087</v>
      </c>
      <c r="AO7" s="169">
        <v>4</v>
      </c>
      <c r="AP7" s="169">
        <v>2046</v>
      </c>
      <c r="AQ7" s="169">
        <v>511.5</v>
      </c>
      <c r="AR7" s="197">
        <f t="shared" ref="AR7:AR36" si="5">RANK(AQ7, AQ$7:AQ$36)</f>
        <v>19</v>
      </c>
      <c r="AS7" s="410">
        <f>AVERAGE(AQ7:AQ36)</f>
        <v>715.30519255327783</v>
      </c>
      <c r="AT7" s="169">
        <v>4</v>
      </c>
      <c r="AU7" s="169">
        <v>2017.3333333333333</v>
      </c>
      <c r="AV7" s="169">
        <v>504.33333333333331</v>
      </c>
      <c r="AW7" s="197">
        <f t="shared" ref="AW7:AW36" si="6">RANK(AV7, AV$7:AV$36)</f>
        <v>19</v>
      </c>
      <c r="AX7" s="410">
        <f>AVERAGE(AV7:AV36)</f>
        <v>710.20675072136964</v>
      </c>
    </row>
    <row r="8" spans="1:50" ht="15" customHeight="1">
      <c r="A8" s="79"/>
      <c r="B8" s="399"/>
      <c r="C8" s="197">
        <v>2</v>
      </c>
      <c r="D8" s="197" t="s">
        <v>225</v>
      </c>
      <c r="E8" s="197">
        <v>3</v>
      </c>
      <c r="F8" s="197">
        <v>2665.945945945944</v>
      </c>
      <c r="G8" s="197">
        <v>888.64864864864796</v>
      </c>
      <c r="H8" s="411"/>
      <c r="I8" s="169">
        <f t="shared" ref="I8:I25" si="7">AVERAGE(P8,U8,Z8,AE8,AJ8,AO8,AT8)</f>
        <v>3</v>
      </c>
      <c r="J8" s="169">
        <f t="shared" ref="J8:J25" si="8">AVERAGE(Q8,V8,AA8,AF8,AK8,AP8,AU8)</f>
        <v>2684.5934065934061</v>
      </c>
      <c r="K8" s="195">
        <f t="shared" ref="K8:K25" si="9">AVERAGE(R8,W8,AB8,AG8,AL8,AQ8,AV8)</f>
        <v>894.8644688644689</v>
      </c>
      <c r="L8" s="411"/>
      <c r="M8" s="169">
        <f>RANK(K8, K$7:$K$36)</f>
        <v>2</v>
      </c>
      <c r="N8" s="402"/>
      <c r="O8" s="402"/>
      <c r="P8" s="169">
        <v>3</v>
      </c>
      <c r="Q8" s="169">
        <v>2730.0000000000009</v>
      </c>
      <c r="R8" s="169">
        <v>910.00000000000034</v>
      </c>
      <c r="S8" s="197">
        <f t="shared" si="0"/>
        <v>2</v>
      </c>
      <c r="T8" s="411"/>
      <c r="U8" s="169">
        <v>3</v>
      </c>
      <c r="V8" s="169">
        <v>2670.0000000000009</v>
      </c>
      <c r="W8" s="169">
        <v>890.00000000000034</v>
      </c>
      <c r="X8" s="197">
        <f t="shared" si="1"/>
        <v>3</v>
      </c>
      <c r="Y8" s="411"/>
      <c r="Z8" s="169">
        <v>3</v>
      </c>
      <c r="AA8" s="169">
        <v>2805.0000000000005</v>
      </c>
      <c r="AB8" s="169">
        <v>935.00000000000011</v>
      </c>
      <c r="AC8" s="197">
        <f t="shared" si="2"/>
        <v>1</v>
      </c>
      <c r="AD8" s="411"/>
      <c r="AE8" s="169">
        <v>3</v>
      </c>
      <c r="AF8" s="169">
        <v>2669.9999999999995</v>
      </c>
      <c r="AG8" s="169">
        <v>889.99999999999989</v>
      </c>
      <c r="AH8" s="197">
        <f t="shared" si="3"/>
        <v>4</v>
      </c>
      <c r="AI8" s="411"/>
      <c r="AJ8" s="169">
        <v>3</v>
      </c>
      <c r="AK8" s="169">
        <v>2632.4999999999995</v>
      </c>
      <c r="AL8" s="169">
        <v>877.49999999999989</v>
      </c>
      <c r="AM8" s="197">
        <f t="shared" si="4"/>
        <v>3</v>
      </c>
      <c r="AN8" s="411"/>
      <c r="AO8" s="169">
        <v>3</v>
      </c>
      <c r="AP8" s="169">
        <v>2638.4999999999991</v>
      </c>
      <c r="AQ8" s="169">
        <v>879.49999999999966</v>
      </c>
      <c r="AR8" s="197">
        <f t="shared" si="5"/>
        <v>3</v>
      </c>
      <c r="AS8" s="411"/>
      <c r="AT8" s="169">
        <v>3</v>
      </c>
      <c r="AU8" s="169">
        <v>2646.1538461538448</v>
      </c>
      <c r="AV8" s="169">
        <v>882.05128205128165</v>
      </c>
      <c r="AW8" s="197">
        <f t="shared" si="6"/>
        <v>3</v>
      </c>
      <c r="AX8" s="411"/>
    </row>
    <row r="9" spans="1:50">
      <c r="A9" s="79"/>
      <c r="B9" s="399"/>
      <c r="C9" s="197">
        <v>3</v>
      </c>
      <c r="D9" s="197" t="s">
        <v>226</v>
      </c>
      <c r="E9" s="197">
        <v>4</v>
      </c>
      <c r="F9" s="197">
        <v>2945.6250000000036</v>
      </c>
      <c r="G9" s="197">
        <v>736.40625000000091</v>
      </c>
      <c r="H9" s="411"/>
      <c r="I9" s="169">
        <f t="shared" si="7"/>
        <v>4</v>
      </c>
      <c r="J9" s="169">
        <f t="shared" si="8"/>
        <v>2940.4959183673514</v>
      </c>
      <c r="K9" s="195">
        <f t="shared" si="9"/>
        <v>735.12397959183784</v>
      </c>
      <c r="L9" s="411"/>
      <c r="M9" s="169">
        <f>RANK(K9, K$7:$K$36)</f>
        <v>8</v>
      </c>
      <c r="N9" s="402"/>
      <c r="O9" s="402"/>
      <c r="P9" s="169">
        <v>4</v>
      </c>
      <c r="Q9" s="169">
        <v>2945.0000000000055</v>
      </c>
      <c r="R9" s="169">
        <v>736.25000000000136</v>
      </c>
      <c r="S9" s="197">
        <f t="shared" si="0"/>
        <v>8</v>
      </c>
      <c r="T9" s="411"/>
      <c r="U9" s="169">
        <v>4</v>
      </c>
      <c r="V9" s="169">
        <v>2920.0000000000059</v>
      </c>
      <c r="W9" s="169">
        <v>730.00000000000148</v>
      </c>
      <c r="X9" s="197">
        <f t="shared" si="1"/>
        <v>9</v>
      </c>
      <c r="Y9" s="411"/>
      <c r="Z9" s="169">
        <v>4</v>
      </c>
      <c r="AA9" s="169">
        <v>2887.5000000000055</v>
      </c>
      <c r="AB9" s="169">
        <v>721.87500000000136</v>
      </c>
      <c r="AC9" s="197">
        <f t="shared" si="2"/>
        <v>9</v>
      </c>
      <c r="AD9" s="411"/>
      <c r="AE9" s="169">
        <v>4</v>
      </c>
      <c r="AF9" s="169">
        <v>3000.000000000005</v>
      </c>
      <c r="AG9" s="169">
        <v>750.00000000000125</v>
      </c>
      <c r="AH9" s="197">
        <f t="shared" si="3"/>
        <v>7</v>
      </c>
      <c r="AI9" s="411"/>
      <c r="AJ9" s="169">
        <v>4</v>
      </c>
      <c r="AK9" s="169">
        <v>2888.5714285714334</v>
      </c>
      <c r="AL9" s="169">
        <v>722.14285714285836</v>
      </c>
      <c r="AM9" s="197">
        <f t="shared" si="4"/>
        <v>8</v>
      </c>
      <c r="AN9" s="411"/>
      <c r="AO9" s="169">
        <v>4</v>
      </c>
      <c r="AP9" s="169">
        <v>3012.0000000000009</v>
      </c>
      <c r="AQ9" s="169">
        <v>753.00000000000023</v>
      </c>
      <c r="AR9" s="197">
        <f t="shared" si="5"/>
        <v>8</v>
      </c>
      <c r="AS9" s="411"/>
      <c r="AT9" s="169">
        <v>4</v>
      </c>
      <c r="AU9" s="169">
        <v>2930.4000000000005</v>
      </c>
      <c r="AV9" s="169">
        <v>732.60000000000014</v>
      </c>
      <c r="AW9" s="197">
        <f t="shared" si="6"/>
        <v>9</v>
      </c>
      <c r="AX9" s="411"/>
    </row>
    <row r="10" spans="1:50">
      <c r="A10" s="79"/>
      <c r="B10" s="399"/>
      <c r="C10" s="197">
        <v>4</v>
      </c>
      <c r="D10" s="197" t="s">
        <v>227</v>
      </c>
      <c r="E10" s="197">
        <v>4</v>
      </c>
      <c r="F10" s="197">
        <v>3002.9999999999986</v>
      </c>
      <c r="G10" s="197">
        <v>750.74999999999966</v>
      </c>
      <c r="H10" s="411"/>
      <c r="I10" s="169">
        <f t="shared" si="7"/>
        <v>4</v>
      </c>
      <c r="J10" s="169">
        <f t="shared" si="8"/>
        <v>2925.3719171879288</v>
      </c>
      <c r="K10" s="195">
        <f t="shared" si="9"/>
        <v>731.34297929698221</v>
      </c>
      <c r="L10" s="411"/>
      <c r="M10" s="169">
        <f>RANK(K10, K$7:$K$36)</f>
        <v>9</v>
      </c>
      <c r="N10" s="402"/>
      <c r="O10" s="402"/>
      <c r="P10" s="169">
        <v>4</v>
      </c>
      <c r="Q10" s="169">
        <v>2978.8235294117685</v>
      </c>
      <c r="R10" s="169">
        <v>744.70588235294213</v>
      </c>
      <c r="S10" s="197">
        <f t="shared" si="0"/>
        <v>7</v>
      </c>
      <c r="T10" s="411"/>
      <c r="U10" s="169">
        <v>4</v>
      </c>
      <c r="V10" s="169">
        <v>2971.7647058823568</v>
      </c>
      <c r="W10" s="169">
        <v>742.9411764705892</v>
      </c>
      <c r="X10" s="197">
        <f t="shared" si="1"/>
        <v>8</v>
      </c>
      <c r="Y10" s="411"/>
      <c r="Z10" s="169">
        <v>4</v>
      </c>
      <c r="AA10" s="169">
        <v>2925.8823529411798</v>
      </c>
      <c r="AB10" s="169">
        <v>731.47058823529494</v>
      </c>
      <c r="AC10" s="197">
        <f t="shared" si="2"/>
        <v>8</v>
      </c>
      <c r="AD10" s="411"/>
      <c r="AE10" s="169">
        <v>4</v>
      </c>
      <c r="AF10" s="169">
        <v>2847.999999999995</v>
      </c>
      <c r="AG10" s="169">
        <v>711.99999999999875</v>
      </c>
      <c r="AH10" s="197">
        <f t="shared" si="3"/>
        <v>9</v>
      </c>
      <c r="AI10" s="411"/>
      <c r="AJ10" s="169">
        <v>4</v>
      </c>
      <c r="AK10" s="169">
        <v>2978.5714285714225</v>
      </c>
      <c r="AL10" s="169">
        <v>744.64285714285563</v>
      </c>
      <c r="AM10" s="197">
        <f t="shared" si="4"/>
        <v>7</v>
      </c>
      <c r="AN10" s="411"/>
      <c r="AO10" s="169">
        <v>4</v>
      </c>
      <c r="AP10" s="169">
        <v>2857.8947368421095</v>
      </c>
      <c r="AQ10" s="169">
        <v>714.47368421052738</v>
      </c>
      <c r="AR10" s="197">
        <f t="shared" si="5"/>
        <v>9</v>
      </c>
      <c r="AS10" s="411"/>
      <c r="AT10" s="169">
        <v>4</v>
      </c>
      <c r="AU10" s="169">
        <v>2916.6666666666706</v>
      </c>
      <c r="AV10" s="169">
        <v>729.16666666666765</v>
      </c>
      <c r="AW10" s="197">
        <f t="shared" si="6"/>
        <v>10</v>
      </c>
      <c r="AX10" s="411"/>
    </row>
    <row r="11" spans="1:50">
      <c r="A11" s="79"/>
      <c r="B11" s="399"/>
      <c r="C11" s="197">
        <v>5</v>
      </c>
      <c r="D11" s="197" t="s">
        <v>228</v>
      </c>
      <c r="E11" s="197">
        <v>4</v>
      </c>
      <c r="F11" s="197">
        <v>3001.0000000000027</v>
      </c>
      <c r="G11" s="197">
        <v>750.25000000000068</v>
      </c>
      <c r="H11" s="411"/>
      <c r="I11" s="169">
        <f t="shared" si="7"/>
        <v>4</v>
      </c>
      <c r="J11" s="169">
        <f t="shared" si="8"/>
        <v>2642.9999999999827</v>
      </c>
      <c r="K11" s="195">
        <f t="shared" si="9"/>
        <v>660.74999999999568</v>
      </c>
      <c r="L11" s="411"/>
      <c r="M11" s="169">
        <f>RANK(K11, K$7:$K$36)</f>
        <v>11</v>
      </c>
      <c r="N11" s="402"/>
      <c r="O11" s="402"/>
      <c r="P11" s="169">
        <v>4</v>
      </c>
      <c r="Q11" s="169">
        <v>2591.9999999999677</v>
      </c>
      <c r="R11" s="169">
        <v>647.99999999999193</v>
      </c>
      <c r="S11" s="197">
        <f t="shared" si="0"/>
        <v>11</v>
      </c>
      <c r="T11" s="411"/>
      <c r="U11" s="169">
        <v>4</v>
      </c>
      <c r="V11" s="169">
        <v>2675.9999999999668</v>
      </c>
      <c r="W11" s="169">
        <v>668.9999999999917</v>
      </c>
      <c r="X11" s="197">
        <f t="shared" si="1"/>
        <v>11</v>
      </c>
      <c r="Y11" s="411"/>
      <c r="Z11" s="169">
        <v>4</v>
      </c>
      <c r="AA11" s="169">
        <v>2616.0000000000095</v>
      </c>
      <c r="AB11" s="169">
        <v>654.00000000000239</v>
      </c>
      <c r="AC11" s="197">
        <f t="shared" si="2"/>
        <v>11</v>
      </c>
      <c r="AD11" s="411"/>
      <c r="AE11" s="169">
        <v>4</v>
      </c>
      <c r="AF11" s="169">
        <v>2579.9999999999577</v>
      </c>
      <c r="AG11" s="169">
        <v>644.99999999998943</v>
      </c>
      <c r="AH11" s="197">
        <f t="shared" si="3"/>
        <v>11</v>
      </c>
      <c r="AI11" s="411"/>
      <c r="AJ11" s="169">
        <v>4</v>
      </c>
      <c r="AK11" s="169">
        <v>2624.9999999999568</v>
      </c>
      <c r="AL11" s="169">
        <v>656.2499999999892</v>
      </c>
      <c r="AM11" s="197">
        <f t="shared" si="4"/>
        <v>11</v>
      </c>
      <c r="AN11" s="411"/>
      <c r="AO11" s="169">
        <v>4</v>
      </c>
      <c r="AP11" s="169">
        <v>2736.00000000001</v>
      </c>
      <c r="AQ11" s="169">
        <v>684.0000000000025</v>
      </c>
      <c r="AR11" s="197">
        <f t="shared" si="5"/>
        <v>10</v>
      </c>
      <c r="AS11" s="411"/>
      <c r="AT11" s="169">
        <v>4</v>
      </c>
      <c r="AU11" s="169">
        <v>2676.0000000000095</v>
      </c>
      <c r="AV11" s="169">
        <v>669.00000000000239</v>
      </c>
      <c r="AW11" s="197">
        <f t="shared" si="6"/>
        <v>11</v>
      </c>
      <c r="AX11" s="411"/>
    </row>
    <row r="12" spans="1:50">
      <c r="A12" s="79"/>
      <c r="B12" s="399"/>
      <c r="C12" s="197">
        <v>6</v>
      </c>
      <c r="D12" s="197" t="s">
        <v>229</v>
      </c>
      <c r="E12" s="197">
        <v>3</v>
      </c>
      <c r="F12" s="197">
        <v>2989.7727272727279</v>
      </c>
      <c r="G12" s="197">
        <v>996.59090909090935</v>
      </c>
      <c r="H12" s="411"/>
      <c r="I12" s="169">
        <f t="shared" si="7"/>
        <v>3</v>
      </c>
      <c r="J12" s="169">
        <f t="shared" si="8"/>
        <v>2859.4557823129207</v>
      </c>
      <c r="K12" s="195">
        <f t="shared" si="9"/>
        <v>953.15192743763998</v>
      </c>
      <c r="L12" s="411"/>
      <c r="M12" s="169">
        <f>RANK(K12, K$7:$K$36)</f>
        <v>1</v>
      </c>
      <c r="N12" s="402"/>
      <c r="O12" s="402"/>
      <c r="P12" s="169">
        <v>3</v>
      </c>
      <c r="Q12" s="169">
        <v>2833.3333333333185</v>
      </c>
      <c r="R12" s="169">
        <v>944.44444444443945</v>
      </c>
      <c r="S12" s="197">
        <f t="shared" si="0"/>
        <v>1</v>
      </c>
      <c r="T12" s="411"/>
      <c r="U12" s="169">
        <v>3</v>
      </c>
      <c r="V12" s="169">
        <v>2813.333333333318</v>
      </c>
      <c r="W12" s="169">
        <v>937.77777777777271</v>
      </c>
      <c r="X12" s="197">
        <f t="shared" si="1"/>
        <v>1</v>
      </c>
      <c r="Y12" s="411"/>
      <c r="Z12" s="169">
        <v>3</v>
      </c>
      <c r="AA12" s="169">
        <v>2720.0000000000095</v>
      </c>
      <c r="AB12" s="169">
        <v>906.66666666666981</v>
      </c>
      <c r="AC12" s="197">
        <f t="shared" si="2"/>
        <v>2</v>
      </c>
      <c r="AD12" s="411"/>
      <c r="AE12" s="169">
        <v>3</v>
      </c>
      <c r="AF12" s="169">
        <v>2948.5714285714389</v>
      </c>
      <c r="AG12" s="169">
        <v>982.8571428571463</v>
      </c>
      <c r="AH12" s="197">
        <f t="shared" si="3"/>
        <v>2</v>
      </c>
      <c r="AI12" s="411"/>
      <c r="AJ12" s="169">
        <v>3</v>
      </c>
      <c r="AK12" s="169">
        <v>2854.2857142857242</v>
      </c>
      <c r="AL12" s="169">
        <v>951.42857142857474</v>
      </c>
      <c r="AM12" s="197">
        <f t="shared" si="4"/>
        <v>1</v>
      </c>
      <c r="AN12" s="411"/>
      <c r="AO12" s="169">
        <v>3</v>
      </c>
      <c r="AP12" s="169">
        <v>2953.3333333333176</v>
      </c>
      <c r="AQ12" s="169">
        <v>984.44444444443923</v>
      </c>
      <c r="AR12" s="197">
        <f t="shared" si="5"/>
        <v>1</v>
      </c>
      <c r="AS12" s="411"/>
      <c r="AT12" s="169">
        <v>3</v>
      </c>
      <c r="AU12" s="169">
        <v>2893.333333333318</v>
      </c>
      <c r="AV12" s="169">
        <v>964.44444444443934</v>
      </c>
      <c r="AW12" s="197">
        <f t="shared" si="6"/>
        <v>1</v>
      </c>
      <c r="AX12" s="411"/>
    </row>
    <row r="13" spans="1:50">
      <c r="A13" s="79"/>
      <c r="B13" s="399"/>
      <c r="C13" s="197">
        <v>7</v>
      </c>
      <c r="D13" s="197" t="s">
        <v>230</v>
      </c>
      <c r="E13" s="197">
        <v>4</v>
      </c>
      <c r="F13" s="197">
        <v>2441.0526315789457</v>
      </c>
      <c r="G13" s="197">
        <v>610.26315789473642</v>
      </c>
      <c r="H13" s="411"/>
      <c r="I13" s="169">
        <f t="shared" si="7"/>
        <v>4</v>
      </c>
      <c r="J13" s="169">
        <f t="shared" si="8"/>
        <v>2430.9603841536582</v>
      </c>
      <c r="K13" s="195">
        <f t="shared" si="9"/>
        <v>607.74009603841455</v>
      </c>
      <c r="L13" s="411"/>
      <c r="M13" s="169">
        <f>RANK(K13, K$7:$K$36)</f>
        <v>17</v>
      </c>
      <c r="N13" s="402"/>
      <c r="O13" s="402"/>
      <c r="P13" s="169">
        <v>4</v>
      </c>
      <c r="Q13" s="169">
        <v>2407.058823529409</v>
      </c>
      <c r="R13" s="169">
        <v>601.76470588235225</v>
      </c>
      <c r="S13" s="197">
        <f t="shared" si="0"/>
        <v>17</v>
      </c>
      <c r="T13" s="411"/>
      <c r="U13" s="169">
        <v>4</v>
      </c>
      <c r="V13" s="169">
        <v>2396.470588235291</v>
      </c>
      <c r="W13" s="169">
        <v>599.11764705882274</v>
      </c>
      <c r="X13" s="197">
        <f t="shared" si="1"/>
        <v>17</v>
      </c>
      <c r="Y13" s="411"/>
      <c r="Z13" s="169">
        <v>4</v>
      </c>
      <c r="AA13" s="169">
        <v>2489.9999999999964</v>
      </c>
      <c r="AB13" s="169">
        <v>622.49999999999909</v>
      </c>
      <c r="AC13" s="197">
        <f t="shared" si="2"/>
        <v>12</v>
      </c>
      <c r="AD13" s="411"/>
      <c r="AE13" s="169">
        <v>4</v>
      </c>
      <c r="AF13" s="169">
        <v>2404.2857142857092</v>
      </c>
      <c r="AG13" s="169">
        <v>601.0714285714273</v>
      </c>
      <c r="AH13" s="197">
        <f t="shared" si="3"/>
        <v>17</v>
      </c>
      <c r="AI13" s="411"/>
      <c r="AJ13" s="169">
        <v>4</v>
      </c>
      <c r="AK13" s="169">
        <v>2387.1428571428519</v>
      </c>
      <c r="AL13" s="169">
        <v>596.78571428571297</v>
      </c>
      <c r="AM13" s="197">
        <f t="shared" si="4"/>
        <v>17</v>
      </c>
      <c r="AN13" s="411"/>
      <c r="AO13" s="169">
        <v>4</v>
      </c>
      <c r="AP13" s="169">
        <v>2499.9999999999982</v>
      </c>
      <c r="AQ13" s="169">
        <v>624.99999999999955</v>
      </c>
      <c r="AR13" s="197">
        <f t="shared" si="5"/>
        <v>14</v>
      </c>
      <c r="AS13" s="411"/>
      <c r="AT13" s="169">
        <v>4</v>
      </c>
      <c r="AU13" s="169">
        <v>2431.76470588235</v>
      </c>
      <c r="AV13" s="169">
        <v>607.94117647058749</v>
      </c>
      <c r="AW13" s="197">
        <f t="shared" si="6"/>
        <v>15</v>
      </c>
      <c r="AX13" s="411"/>
    </row>
    <row r="14" spans="1:50">
      <c r="A14" s="79"/>
      <c r="B14" s="399"/>
      <c r="C14" s="197">
        <v>8</v>
      </c>
      <c r="D14" s="197" t="s">
        <v>231</v>
      </c>
      <c r="E14" s="197">
        <v>3</v>
      </c>
      <c r="F14" s="197">
        <v>2497.0212765957449</v>
      </c>
      <c r="G14" s="197">
        <v>832.340425531915</v>
      </c>
      <c r="H14" s="411"/>
      <c r="I14" s="169">
        <f t="shared" si="7"/>
        <v>3</v>
      </c>
      <c r="J14" s="169">
        <f t="shared" si="8"/>
        <v>2488.1793444650589</v>
      </c>
      <c r="K14" s="195">
        <f t="shared" si="9"/>
        <v>829.39311482168625</v>
      </c>
      <c r="L14" s="411"/>
      <c r="M14" s="169">
        <f>RANK(K14, K$7:$K$36)</f>
        <v>5</v>
      </c>
      <c r="N14" s="402"/>
      <c r="O14" s="402"/>
      <c r="P14" s="169">
        <v>3</v>
      </c>
      <c r="Q14" s="169">
        <v>2505.7142857142871</v>
      </c>
      <c r="R14" s="169">
        <v>835.23809523809575</v>
      </c>
      <c r="S14" s="197">
        <f t="shared" si="0"/>
        <v>5</v>
      </c>
      <c r="T14" s="411"/>
      <c r="U14" s="169">
        <v>3</v>
      </c>
      <c r="V14" s="169">
        <v>2465.7142857142876</v>
      </c>
      <c r="W14" s="169">
        <v>821.90476190476249</v>
      </c>
      <c r="X14" s="197">
        <f t="shared" si="1"/>
        <v>5</v>
      </c>
      <c r="Y14" s="411"/>
      <c r="Z14" s="169">
        <v>3</v>
      </c>
      <c r="AA14" s="169">
        <v>2510.9999999999991</v>
      </c>
      <c r="AB14" s="169">
        <v>836.99999999999966</v>
      </c>
      <c r="AC14" s="197">
        <f t="shared" si="2"/>
        <v>5</v>
      </c>
      <c r="AD14" s="411"/>
      <c r="AE14" s="169">
        <v>3</v>
      </c>
      <c r="AF14" s="169">
        <v>2479.9999999999982</v>
      </c>
      <c r="AG14" s="169">
        <v>826.66666666666606</v>
      </c>
      <c r="AH14" s="197">
        <f t="shared" si="3"/>
        <v>5</v>
      </c>
      <c r="AI14" s="411"/>
      <c r="AJ14" s="169">
        <v>3</v>
      </c>
      <c r="AK14" s="169">
        <v>2498.3333333333312</v>
      </c>
      <c r="AL14" s="169">
        <v>832.77777777777703</v>
      </c>
      <c r="AM14" s="197">
        <f t="shared" si="4"/>
        <v>4</v>
      </c>
      <c r="AN14" s="411"/>
      <c r="AO14" s="169">
        <v>3</v>
      </c>
      <c r="AP14" s="169">
        <v>2473.6363636363635</v>
      </c>
      <c r="AQ14" s="169">
        <v>824.5454545454545</v>
      </c>
      <c r="AR14" s="197">
        <f t="shared" si="5"/>
        <v>5</v>
      </c>
      <c r="AS14" s="411"/>
      <c r="AT14" s="169">
        <v>3</v>
      </c>
      <c r="AU14" s="169">
        <v>2482.8571428571445</v>
      </c>
      <c r="AV14" s="169">
        <v>827.61904761904816</v>
      </c>
      <c r="AW14" s="197">
        <f t="shared" si="6"/>
        <v>4</v>
      </c>
      <c r="AX14" s="411"/>
    </row>
    <row r="15" spans="1:50">
      <c r="A15" s="79"/>
      <c r="B15" s="399"/>
      <c r="C15" s="197">
        <v>9</v>
      </c>
      <c r="D15" s="197" t="s">
        <v>232</v>
      </c>
      <c r="E15" s="197">
        <v>3</v>
      </c>
      <c r="F15" s="197">
        <v>2503.6363636363658</v>
      </c>
      <c r="G15" s="197">
        <v>834.5454545454553</v>
      </c>
      <c r="H15" s="411"/>
      <c r="I15" s="169">
        <f t="shared" si="7"/>
        <v>3</v>
      </c>
      <c r="J15" s="169">
        <f t="shared" si="8"/>
        <v>2473.9748415939148</v>
      </c>
      <c r="K15" s="195">
        <f t="shared" si="9"/>
        <v>824.65828053130485</v>
      </c>
      <c r="L15" s="411"/>
      <c r="M15" s="169">
        <f>RANK(K15, K$7:$K$36)</f>
        <v>6</v>
      </c>
      <c r="N15" s="402"/>
      <c r="O15" s="402"/>
      <c r="P15" s="169">
        <v>3</v>
      </c>
      <c r="Q15" s="169">
        <v>2471.1627906976764</v>
      </c>
      <c r="R15" s="169">
        <v>823.72093023255877</v>
      </c>
      <c r="S15" s="197">
        <f t="shared" si="0"/>
        <v>6</v>
      </c>
      <c r="T15" s="411"/>
      <c r="U15" s="169">
        <v>3</v>
      </c>
      <c r="V15" s="169">
        <v>2450.0000000000018</v>
      </c>
      <c r="W15" s="169">
        <v>816.66666666666731</v>
      </c>
      <c r="X15" s="197">
        <f t="shared" si="1"/>
        <v>7</v>
      </c>
      <c r="Y15" s="411"/>
      <c r="Z15" s="169">
        <v>3</v>
      </c>
      <c r="AA15" s="169">
        <v>2555.9999999999964</v>
      </c>
      <c r="AB15" s="169">
        <v>851.99999999999875</v>
      </c>
      <c r="AC15" s="197">
        <f t="shared" si="2"/>
        <v>4</v>
      </c>
      <c r="AD15" s="411"/>
      <c r="AE15" s="169">
        <v>3</v>
      </c>
      <c r="AF15" s="169">
        <v>2453.6842105263117</v>
      </c>
      <c r="AG15" s="169">
        <v>817.89473684210395</v>
      </c>
      <c r="AH15" s="197">
        <f t="shared" si="3"/>
        <v>6</v>
      </c>
      <c r="AI15" s="411"/>
      <c r="AJ15" s="169">
        <v>3</v>
      </c>
      <c r="AK15" s="169">
        <v>2438.9189189189201</v>
      </c>
      <c r="AL15" s="169">
        <v>812.97297297297337</v>
      </c>
      <c r="AM15" s="197">
        <f t="shared" si="4"/>
        <v>5</v>
      </c>
      <c r="AN15" s="411"/>
      <c r="AO15" s="169">
        <v>3</v>
      </c>
      <c r="AP15" s="169">
        <v>2490.6666666666688</v>
      </c>
      <c r="AQ15" s="169">
        <v>830.22222222222297</v>
      </c>
      <c r="AR15" s="197">
        <f t="shared" si="5"/>
        <v>4</v>
      </c>
      <c r="AS15" s="411"/>
      <c r="AT15" s="169">
        <v>3</v>
      </c>
      <c r="AU15" s="169">
        <v>2457.3913043478283</v>
      </c>
      <c r="AV15" s="169">
        <v>819.13043478260943</v>
      </c>
      <c r="AW15" s="197">
        <f t="shared" si="6"/>
        <v>5</v>
      </c>
      <c r="AX15" s="411"/>
    </row>
    <row r="16" spans="1:50">
      <c r="A16" s="79"/>
      <c r="B16" s="399"/>
      <c r="C16" s="197">
        <v>10</v>
      </c>
      <c r="D16" s="197" t="s">
        <v>233</v>
      </c>
      <c r="E16" s="197">
        <v>4</v>
      </c>
      <c r="F16" s="197">
        <v>2491.0344827586227</v>
      </c>
      <c r="G16" s="197">
        <v>622.75862068965569</v>
      </c>
      <c r="H16" s="411"/>
      <c r="I16" s="169">
        <f t="shared" si="7"/>
        <v>4</v>
      </c>
      <c r="J16" s="169">
        <f t="shared" si="8"/>
        <v>2470.6633720006362</v>
      </c>
      <c r="K16" s="195">
        <f t="shared" si="9"/>
        <v>617.66584300015904</v>
      </c>
      <c r="L16" s="411"/>
      <c r="M16" s="169">
        <f>RANK(K16, K$7:$K$36)</f>
        <v>15</v>
      </c>
      <c r="N16" s="402"/>
      <c r="O16" s="402"/>
      <c r="P16" s="169">
        <v>4</v>
      </c>
      <c r="Q16" s="169">
        <v>2470.0000000000023</v>
      </c>
      <c r="R16" s="169">
        <v>617.50000000000057</v>
      </c>
      <c r="S16" s="197">
        <f t="shared" si="0"/>
        <v>15</v>
      </c>
      <c r="T16" s="411"/>
      <c r="U16" s="169">
        <v>4</v>
      </c>
      <c r="V16" s="169">
        <v>2472.4137931034502</v>
      </c>
      <c r="W16" s="169">
        <v>618.10344827586255</v>
      </c>
      <c r="X16" s="197">
        <f t="shared" si="1"/>
        <v>14</v>
      </c>
      <c r="Y16" s="411"/>
      <c r="Z16" s="169">
        <v>4</v>
      </c>
      <c r="AA16" s="169">
        <v>2455.8620689655127</v>
      </c>
      <c r="AB16" s="169">
        <v>613.96551724137817</v>
      </c>
      <c r="AC16" s="197">
        <f t="shared" si="2"/>
        <v>16</v>
      </c>
      <c r="AD16" s="411"/>
      <c r="AE16" s="169">
        <v>4</v>
      </c>
      <c r="AF16" s="169">
        <v>2414.4000000000005</v>
      </c>
      <c r="AG16" s="169">
        <v>603.60000000000014</v>
      </c>
      <c r="AH16" s="197">
        <f t="shared" si="3"/>
        <v>16</v>
      </c>
      <c r="AI16" s="411"/>
      <c r="AJ16" s="169">
        <v>4</v>
      </c>
      <c r="AK16" s="169">
        <v>2495.0000000000005</v>
      </c>
      <c r="AL16" s="169">
        <v>623.75000000000011</v>
      </c>
      <c r="AM16" s="197">
        <f t="shared" si="4"/>
        <v>12</v>
      </c>
      <c r="AN16" s="411"/>
      <c r="AO16" s="169">
        <v>4</v>
      </c>
      <c r="AP16" s="169">
        <v>2556.0000000000023</v>
      </c>
      <c r="AQ16" s="169">
        <v>639.00000000000057</v>
      </c>
      <c r="AR16" s="197">
        <f t="shared" si="5"/>
        <v>13</v>
      </c>
      <c r="AS16" s="411"/>
      <c r="AT16" s="169">
        <v>4</v>
      </c>
      <c r="AU16" s="169">
        <v>2430.9677419354862</v>
      </c>
      <c r="AV16" s="169">
        <v>607.74193548387154</v>
      </c>
      <c r="AW16" s="197">
        <f t="shared" si="6"/>
        <v>16</v>
      </c>
      <c r="AX16" s="411"/>
    </row>
    <row r="17" spans="2:50">
      <c r="B17" s="399"/>
      <c r="C17" s="197">
        <v>11</v>
      </c>
      <c r="D17" s="197" t="s">
        <v>234</v>
      </c>
      <c r="E17" s="197">
        <v>4</v>
      </c>
      <c r="F17" s="197">
        <v>2472.2448979591845</v>
      </c>
      <c r="G17" s="197">
        <v>618.06122448979613</v>
      </c>
      <c r="H17" s="411"/>
      <c r="I17" s="169">
        <f t="shared" si="7"/>
        <v>4</v>
      </c>
      <c r="J17" s="169">
        <f t="shared" si="8"/>
        <v>2476.9122316736871</v>
      </c>
      <c r="K17" s="195">
        <f t="shared" si="9"/>
        <v>619.22805791842177</v>
      </c>
      <c r="L17" s="411"/>
      <c r="M17" s="169">
        <f>RANK(K17, K$7:$K$36)</f>
        <v>14</v>
      </c>
      <c r="N17" s="402"/>
      <c r="O17" s="402"/>
      <c r="P17" s="169">
        <v>4</v>
      </c>
      <c r="Q17" s="169">
        <v>2469.8181818181833</v>
      </c>
      <c r="R17" s="169">
        <v>617.45454545454584</v>
      </c>
      <c r="S17" s="197">
        <f t="shared" si="0"/>
        <v>16</v>
      </c>
      <c r="T17" s="411"/>
      <c r="U17" s="169">
        <v>4</v>
      </c>
      <c r="V17" s="169">
        <v>2464.3636363636379</v>
      </c>
      <c r="W17" s="169">
        <v>616.09090909090946</v>
      </c>
      <c r="X17" s="197">
        <f t="shared" si="1"/>
        <v>16</v>
      </c>
      <c r="Y17" s="411"/>
      <c r="Z17" s="169">
        <v>4</v>
      </c>
      <c r="AA17" s="169">
        <v>2489.4339622641487</v>
      </c>
      <c r="AB17" s="169">
        <v>622.35849056603718</v>
      </c>
      <c r="AC17" s="197">
        <f t="shared" si="2"/>
        <v>13</v>
      </c>
      <c r="AD17" s="411"/>
      <c r="AE17" s="169">
        <v>4</v>
      </c>
      <c r="AF17" s="169">
        <v>2486.6666666666665</v>
      </c>
      <c r="AG17" s="169">
        <v>621.66666666666663</v>
      </c>
      <c r="AH17" s="197">
        <f t="shared" si="3"/>
        <v>13</v>
      </c>
      <c r="AI17" s="411"/>
      <c r="AJ17" s="169">
        <v>4</v>
      </c>
      <c r="AK17" s="169">
        <v>2456</v>
      </c>
      <c r="AL17" s="169">
        <v>614</v>
      </c>
      <c r="AM17" s="197">
        <f t="shared" si="4"/>
        <v>15</v>
      </c>
      <c r="AN17" s="411"/>
      <c r="AO17" s="169">
        <v>4</v>
      </c>
      <c r="AP17" s="169">
        <v>2493.2142857142876</v>
      </c>
      <c r="AQ17" s="169">
        <v>623.3035714285719</v>
      </c>
      <c r="AR17" s="197">
        <f t="shared" si="5"/>
        <v>15</v>
      </c>
      <c r="AS17" s="411"/>
      <c r="AT17" s="169">
        <v>4</v>
      </c>
      <c r="AU17" s="169">
        <v>2478.8888888888864</v>
      </c>
      <c r="AV17" s="169">
        <v>619.7222222222216</v>
      </c>
      <c r="AW17" s="197">
        <f t="shared" si="6"/>
        <v>13</v>
      </c>
      <c r="AX17" s="411"/>
    </row>
    <row r="18" spans="2:50">
      <c r="B18" s="399"/>
      <c r="C18" s="197">
        <v>12</v>
      </c>
      <c r="D18" s="197" t="s">
        <v>235</v>
      </c>
      <c r="E18" s="197">
        <v>3</v>
      </c>
      <c r="F18" s="197">
        <v>2365.714285714294</v>
      </c>
      <c r="G18" s="197">
        <v>788.57142857143128</v>
      </c>
      <c r="H18" s="411"/>
      <c r="I18" s="169">
        <f t="shared" si="7"/>
        <v>3</v>
      </c>
      <c r="J18" s="169">
        <f t="shared" si="8"/>
        <v>2566.6655844155875</v>
      </c>
      <c r="K18" s="195">
        <f t="shared" si="9"/>
        <v>855.55519480519615</v>
      </c>
      <c r="L18" s="411"/>
      <c r="M18" s="169">
        <f>RANK(K18, K$7:$K$36)</f>
        <v>4</v>
      </c>
      <c r="N18" s="402"/>
      <c r="O18" s="402"/>
      <c r="P18" s="169">
        <v>3</v>
      </c>
      <c r="Q18" s="169">
        <v>2555.9999999999955</v>
      </c>
      <c r="R18" s="169">
        <v>851.99999999999852</v>
      </c>
      <c r="S18" s="197">
        <f t="shared" si="0"/>
        <v>4</v>
      </c>
      <c r="T18" s="411"/>
      <c r="U18" s="169">
        <v>3</v>
      </c>
      <c r="V18" s="169">
        <v>2460.0000000000086</v>
      </c>
      <c r="W18" s="169">
        <v>820.00000000000284</v>
      </c>
      <c r="X18" s="197">
        <f t="shared" si="1"/>
        <v>6</v>
      </c>
      <c r="Y18" s="411"/>
      <c r="Z18" s="169">
        <v>3</v>
      </c>
      <c r="AA18" s="169">
        <v>2359.9999999999959</v>
      </c>
      <c r="AB18" s="169">
        <v>786.66666666666526</v>
      </c>
      <c r="AC18" s="197">
        <f t="shared" si="2"/>
        <v>7</v>
      </c>
      <c r="AD18" s="411"/>
      <c r="AE18" s="169">
        <v>3</v>
      </c>
      <c r="AF18" s="169">
        <v>3390.0000000000118</v>
      </c>
      <c r="AG18" s="169">
        <v>1130.0000000000039</v>
      </c>
      <c r="AH18" s="197">
        <f t="shared" si="3"/>
        <v>1</v>
      </c>
      <c r="AI18" s="411"/>
      <c r="AJ18" s="169">
        <v>3</v>
      </c>
      <c r="AK18" s="169">
        <v>2410.9090909090992</v>
      </c>
      <c r="AL18" s="169">
        <v>803.63636363636635</v>
      </c>
      <c r="AM18" s="197">
        <f t="shared" si="4"/>
        <v>6</v>
      </c>
      <c r="AN18" s="411"/>
      <c r="AO18" s="169">
        <v>3</v>
      </c>
      <c r="AP18" s="169">
        <v>2373.7499999999968</v>
      </c>
      <c r="AQ18" s="169">
        <v>791.24999999999898</v>
      </c>
      <c r="AR18" s="197">
        <f t="shared" si="5"/>
        <v>6</v>
      </c>
      <c r="AS18" s="411"/>
      <c r="AT18" s="169">
        <v>3</v>
      </c>
      <c r="AU18" s="169">
        <v>2416.0000000000086</v>
      </c>
      <c r="AV18" s="169">
        <v>805.33333333333621</v>
      </c>
      <c r="AW18" s="197">
        <f t="shared" si="6"/>
        <v>6</v>
      </c>
      <c r="AX18" s="411"/>
    </row>
    <row r="19" spans="2:50">
      <c r="B19" s="399"/>
      <c r="C19" s="197">
        <v>13</v>
      </c>
      <c r="D19" s="197" t="s">
        <v>236</v>
      </c>
      <c r="E19" s="197">
        <v>4</v>
      </c>
      <c r="F19" s="197">
        <v>2554.1538461538453</v>
      </c>
      <c r="G19" s="197">
        <v>638.53846153846132</v>
      </c>
      <c r="H19" s="411"/>
      <c r="I19" s="169">
        <f t="shared" si="7"/>
        <v>4</v>
      </c>
      <c r="J19" s="169">
        <f t="shared" si="8"/>
        <v>2480.6218488059199</v>
      </c>
      <c r="K19" s="195">
        <f t="shared" si="9"/>
        <v>620.15546220147996</v>
      </c>
      <c r="L19" s="411"/>
      <c r="M19" s="169">
        <f>RANK(K19, K$7:$K$36)</f>
        <v>13</v>
      </c>
      <c r="N19" s="402"/>
      <c r="O19" s="402"/>
      <c r="P19" s="169">
        <v>4</v>
      </c>
      <c r="Q19" s="169">
        <v>2487.6190476190468</v>
      </c>
      <c r="R19" s="169">
        <v>621.9047619047617</v>
      </c>
      <c r="S19" s="197">
        <f t="shared" si="0"/>
        <v>13</v>
      </c>
      <c r="T19" s="411"/>
      <c r="U19" s="169">
        <v>4</v>
      </c>
      <c r="V19" s="169">
        <v>2493.8709677419347</v>
      </c>
      <c r="W19" s="169">
        <v>623.46774193548367</v>
      </c>
      <c r="X19" s="197">
        <f t="shared" si="1"/>
        <v>13</v>
      </c>
      <c r="Y19" s="411"/>
      <c r="Z19" s="169">
        <v>4</v>
      </c>
      <c r="AA19" s="169">
        <v>2487.0967741935492</v>
      </c>
      <c r="AB19" s="169">
        <v>621.7741935483873</v>
      </c>
      <c r="AC19" s="197">
        <f t="shared" si="2"/>
        <v>14</v>
      </c>
      <c r="AD19" s="411"/>
      <c r="AE19" s="169">
        <v>4</v>
      </c>
      <c r="AF19" s="169">
        <v>2496.6666666666665</v>
      </c>
      <c r="AG19" s="169">
        <v>624.16666666666663</v>
      </c>
      <c r="AH19" s="197">
        <f t="shared" si="3"/>
        <v>12</v>
      </c>
      <c r="AI19" s="411"/>
      <c r="AJ19" s="169">
        <v>4</v>
      </c>
      <c r="AK19" s="169">
        <v>2457.7358490566053</v>
      </c>
      <c r="AL19" s="169">
        <v>614.43396226415132</v>
      </c>
      <c r="AM19" s="197">
        <f t="shared" si="4"/>
        <v>14</v>
      </c>
      <c r="AN19" s="411"/>
      <c r="AO19" s="169">
        <v>4</v>
      </c>
      <c r="AP19" s="169">
        <v>2475</v>
      </c>
      <c r="AQ19" s="169">
        <v>618.75</v>
      </c>
      <c r="AR19" s="197">
        <f t="shared" si="5"/>
        <v>17</v>
      </c>
      <c r="AS19" s="411"/>
      <c r="AT19" s="169">
        <v>4</v>
      </c>
      <c r="AU19" s="169">
        <v>2466.3636363636365</v>
      </c>
      <c r="AV19" s="169">
        <v>616.59090909090912</v>
      </c>
      <c r="AW19" s="197">
        <f t="shared" si="6"/>
        <v>14</v>
      </c>
      <c r="AX19" s="411"/>
    </row>
    <row r="20" spans="2:50">
      <c r="B20" s="399"/>
      <c r="C20" s="197">
        <v>14</v>
      </c>
      <c r="D20" s="197" t="s">
        <v>237</v>
      </c>
      <c r="E20" s="197">
        <v>4</v>
      </c>
      <c r="F20" s="197">
        <v>2467.9999999999995</v>
      </c>
      <c r="G20" s="197">
        <v>616.99999999999989</v>
      </c>
      <c r="H20" s="411"/>
      <c r="I20" s="169">
        <f t="shared" si="7"/>
        <v>4</v>
      </c>
      <c r="J20" s="169">
        <f t="shared" si="8"/>
        <v>2484.3564009314287</v>
      </c>
      <c r="K20" s="195">
        <f t="shared" si="9"/>
        <v>621.08910023285716</v>
      </c>
      <c r="L20" s="411"/>
      <c r="M20" s="169">
        <f>RANK(K20, K$7:$K$36)</f>
        <v>12</v>
      </c>
      <c r="N20" s="402"/>
      <c r="O20" s="402"/>
      <c r="P20" s="169">
        <v>4</v>
      </c>
      <c r="Q20" s="169">
        <v>2487.9999999999995</v>
      </c>
      <c r="R20" s="169">
        <v>621.99999999999989</v>
      </c>
      <c r="S20" s="197">
        <f t="shared" si="0"/>
        <v>12</v>
      </c>
      <c r="T20" s="411"/>
      <c r="U20" s="169">
        <v>4</v>
      </c>
      <c r="V20" s="169">
        <v>2467.3972602739732</v>
      </c>
      <c r="W20" s="169">
        <v>616.8493150684933</v>
      </c>
      <c r="X20" s="197">
        <f t="shared" si="1"/>
        <v>15</v>
      </c>
      <c r="Y20" s="411"/>
      <c r="Z20" s="169">
        <v>4</v>
      </c>
      <c r="AA20" s="169">
        <v>2473.9726027397255</v>
      </c>
      <c r="AB20" s="169">
        <v>618.49315068493138</v>
      </c>
      <c r="AC20" s="197">
        <f t="shared" si="2"/>
        <v>15</v>
      </c>
      <c r="AD20" s="411"/>
      <c r="AE20" s="169">
        <v>4</v>
      </c>
      <c r="AF20" s="169">
        <v>2480.9523809523789</v>
      </c>
      <c r="AG20" s="169">
        <v>620.23809523809473</v>
      </c>
      <c r="AH20" s="197">
        <f t="shared" si="3"/>
        <v>14</v>
      </c>
      <c r="AI20" s="411"/>
      <c r="AJ20" s="169">
        <v>4</v>
      </c>
      <c r="AK20" s="169">
        <v>2487.5409836065564</v>
      </c>
      <c r="AL20" s="169">
        <v>621.88524590163911</v>
      </c>
      <c r="AM20" s="197">
        <f t="shared" si="4"/>
        <v>13</v>
      </c>
      <c r="AN20" s="411"/>
      <c r="AO20" s="169">
        <v>4</v>
      </c>
      <c r="AP20" s="169">
        <v>2492.3684210526312</v>
      </c>
      <c r="AQ20" s="169">
        <v>623.0921052631578</v>
      </c>
      <c r="AR20" s="197">
        <f t="shared" si="5"/>
        <v>16</v>
      </c>
      <c r="AS20" s="411"/>
      <c r="AT20" s="169">
        <v>4</v>
      </c>
      <c r="AU20" s="169">
        <v>2500.2631578947362</v>
      </c>
      <c r="AV20" s="169">
        <v>625.06578947368405</v>
      </c>
      <c r="AW20" s="197">
        <f t="shared" si="6"/>
        <v>12</v>
      </c>
      <c r="AX20" s="411"/>
    </row>
    <row r="21" spans="2:50">
      <c r="B21" s="399"/>
      <c r="C21" s="197">
        <v>15</v>
      </c>
      <c r="D21" s="197" t="s">
        <v>238</v>
      </c>
      <c r="E21" s="197">
        <v>4</v>
      </c>
      <c r="F21" s="197">
        <v>2746.0000000000095</v>
      </c>
      <c r="G21" s="197">
        <v>686.50000000000239</v>
      </c>
      <c r="H21" s="411"/>
      <c r="I21" s="169">
        <f t="shared" si="7"/>
        <v>4</v>
      </c>
      <c r="J21" s="169">
        <f t="shared" si="8"/>
        <v>2770.3511599511621</v>
      </c>
      <c r="K21" s="195">
        <f t="shared" si="9"/>
        <v>692.58778998779053</v>
      </c>
      <c r="L21" s="411"/>
      <c r="M21" s="169">
        <f>RANK(K21, K$7:$K$36)</f>
        <v>10</v>
      </c>
      <c r="N21" s="402"/>
      <c r="O21" s="402"/>
      <c r="P21" s="169">
        <v>4</v>
      </c>
      <c r="Q21" s="169">
        <v>2706.6666666666761</v>
      </c>
      <c r="R21" s="169">
        <v>676.66666666666902</v>
      </c>
      <c r="S21" s="197">
        <f t="shared" si="0"/>
        <v>10</v>
      </c>
      <c r="T21" s="411"/>
      <c r="U21" s="169">
        <v>4</v>
      </c>
      <c r="V21" s="169">
        <v>2875.1999999999921</v>
      </c>
      <c r="W21" s="169">
        <v>718.79999999999802</v>
      </c>
      <c r="X21" s="197">
        <f t="shared" si="1"/>
        <v>10</v>
      </c>
      <c r="Y21" s="411"/>
      <c r="Z21" s="169">
        <v>4</v>
      </c>
      <c r="AA21" s="169">
        <v>2769.5999999999922</v>
      </c>
      <c r="AB21" s="169">
        <v>692.39999999999804</v>
      </c>
      <c r="AC21" s="197">
        <f t="shared" si="2"/>
        <v>10</v>
      </c>
      <c r="AD21" s="411"/>
      <c r="AE21" s="169">
        <v>4</v>
      </c>
      <c r="AF21" s="169">
        <v>2720.7692307692405</v>
      </c>
      <c r="AG21" s="169">
        <v>680.19230769231012</v>
      </c>
      <c r="AH21" s="197">
        <f t="shared" si="3"/>
        <v>10</v>
      </c>
      <c r="AI21" s="411"/>
      <c r="AJ21" s="169">
        <v>4</v>
      </c>
      <c r="AK21" s="169">
        <v>2762.2222222222322</v>
      </c>
      <c r="AL21" s="169">
        <v>690.55555555555804</v>
      </c>
      <c r="AM21" s="197">
        <f t="shared" si="4"/>
        <v>10</v>
      </c>
      <c r="AN21" s="411"/>
      <c r="AO21" s="169">
        <v>4</v>
      </c>
      <c r="AP21" s="169">
        <v>2582.0000000000091</v>
      </c>
      <c r="AQ21" s="169">
        <v>645.50000000000227</v>
      </c>
      <c r="AR21" s="197">
        <f t="shared" si="5"/>
        <v>12</v>
      </c>
      <c r="AS21" s="411"/>
      <c r="AT21" s="169">
        <v>4</v>
      </c>
      <c r="AU21" s="169">
        <v>2975.9999999999914</v>
      </c>
      <c r="AV21" s="169">
        <v>743.99999999999784</v>
      </c>
      <c r="AW21" s="197">
        <f t="shared" si="6"/>
        <v>7</v>
      </c>
      <c r="AX21" s="411"/>
    </row>
    <row r="22" spans="2:50">
      <c r="B22" s="399"/>
      <c r="C22" s="197">
        <v>16</v>
      </c>
      <c r="D22" s="197" t="s">
        <v>239</v>
      </c>
      <c r="E22" s="197">
        <v>3</v>
      </c>
      <c r="F22" s="197">
        <v>2190.0000000000077</v>
      </c>
      <c r="G22" s="197">
        <v>730.00000000000261</v>
      </c>
      <c r="H22" s="411"/>
      <c r="I22" s="169">
        <f t="shared" si="7"/>
        <v>3</v>
      </c>
      <c r="J22" s="169">
        <f t="shared" si="8"/>
        <v>2262.5140042223802</v>
      </c>
      <c r="K22" s="195">
        <f t="shared" si="9"/>
        <v>754.17133474079344</v>
      </c>
      <c r="L22" s="411"/>
      <c r="M22" s="169">
        <f>RANK(K22, K$7:$K$36)</f>
        <v>7</v>
      </c>
      <c r="N22" s="402"/>
      <c r="O22" s="402"/>
      <c r="P22" s="169">
        <v>3</v>
      </c>
      <c r="Q22" s="169">
        <v>2149.6551724137889</v>
      </c>
      <c r="R22" s="169">
        <v>716.55172413792968</v>
      </c>
      <c r="S22" s="197">
        <f t="shared" si="0"/>
        <v>9</v>
      </c>
      <c r="T22" s="411"/>
      <c r="U22" s="169">
        <v>3</v>
      </c>
      <c r="V22" s="169">
        <v>2471.9999999999927</v>
      </c>
      <c r="W22" s="169">
        <v>823.99999999999761</v>
      </c>
      <c r="X22" s="197">
        <f t="shared" si="1"/>
        <v>4</v>
      </c>
      <c r="Y22" s="411"/>
      <c r="Z22" s="169">
        <v>3</v>
      </c>
      <c r="AA22" s="169">
        <v>2392.7999999999934</v>
      </c>
      <c r="AB22" s="169">
        <v>797.59999999999775</v>
      </c>
      <c r="AC22" s="197">
        <f t="shared" si="2"/>
        <v>6</v>
      </c>
      <c r="AD22" s="411"/>
      <c r="AE22" s="169">
        <v>3</v>
      </c>
      <c r="AF22" s="169">
        <v>2177.1428571428646</v>
      </c>
      <c r="AG22" s="169">
        <v>725.71428571428817</v>
      </c>
      <c r="AH22" s="197">
        <f t="shared" si="3"/>
        <v>8</v>
      </c>
      <c r="AI22" s="411"/>
      <c r="AJ22" s="169">
        <v>3</v>
      </c>
      <c r="AK22" s="169">
        <v>2158.0000000000077</v>
      </c>
      <c r="AL22" s="169">
        <v>719.33333333333587</v>
      </c>
      <c r="AM22" s="197">
        <f t="shared" si="4"/>
        <v>9</v>
      </c>
      <c r="AN22" s="411"/>
      <c r="AO22" s="169">
        <v>3</v>
      </c>
      <c r="AP22" s="169">
        <v>2270.0000000000082</v>
      </c>
      <c r="AQ22" s="169">
        <v>756.66666666666936</v>
      </c>
      <c r="AR22" s="197">
        <f t="shared" si="5"/>
        <v>7</v>
      </c>
      <c r="AS22" s="411"/>
      <c r="AT22" s="169">
        <v>3</v>
      </c>
      <c r="AU22" s="169">
        <v>2218.0000000000077</v>
      </c>
      <c r="AV22" s="169">
        <v>739.33333333333587</v>
      </c>
      <c r="AW22" s="197">
        <f t="shared" si="6"/>
        <v>8</v>
      </c>
      <c r="AX22" s="411"/>
    </row>
    <row r="23" spans="2:50">
      <c r="B23" s="399"/>
      <c r="C23" s="197">
        <v>17</v>
      </c>
      <c r="D23" s="197" t="s">
        <v>240</v>
      </c>
      <c r="E23" s="197">
        <v>4</v>
      </c>
      <c r="F23" s="197">
        <v>2150.769230769225</v>
      </c>
      <c r="G23" s="197">
        <v>537.69230769230626</v>
      </c>
      <c r="H23" s="411"/>
      <c r="I23" s="169">
        <f t="shared" si="7"/>
        <v>4</v>
      </c>
      <c r="J23" s="169">
        <f t="shared" si="8"/>
        <v>2089.1033444816012</v>
      </c>
      <c r="K23" s="195">
        <f t="shared" si="9"/>
        <v>522.2758361204003</v>
      </c>
      <c r="L23" s="411"/>
      <c r="M23" s="169">
        <f>RANK(K23, K$7:$K$36)</f>
        <v>18</v>
      </c>
      <c r="N23" s="402"/>
      <c r="O23" s="402"/>
      <c r="P23" s="169">
        <v>4</v>
      </c>
      <c r="Q23" s="169">
        <v>2162.5000000000077</v>
      </c>
      <c r="R23" s="169">
        <v>540.62500000000193</v>
      </c>
      <c r="S23" s="197">
        <f t="shared" si="0"/>
        <v>18</v>
      </c>
      <c r="T23" s="411"/>
      <c r="U23" s="169">
        <v>4</v>
      </c>
      <c r="V23" s="169">
        <v>1987.1999999999944</v>
      </c>
      <c r="W23" s="169">
        <v>496.79999999999859</v>
      </c>
      <c r="X23" s="197">
        <f t="shared" si="1"/>
        <v>19</v>
      </c>
      <c r="Y23" s="411"/>
      <c r="Z23" s="169">
        <v>4</v>
      </c>
      <c r="AA23" s="169">
        <v>1893.5999999999947</v>
      </c>
      <c r="AB23" s="169">
        <v>473.39999999999867</v>
      </c>
      <c r="AC23" s="197">
        <f t="shared" si="2"/>
        <v>19</v>
      </c>
      <c r="AD23" s="411"/>
      <c r="AE23" s="169">
        <v>4</v>
      </c>
      <c r="AF23" s="169">
        <v>2120.8695652173988</v>
      </c>
      <c r="AG23" s="169">
        <v>530.21739130434969</v>
      </c>
      <c r="AH23" s="197">
        <f t="shared" si="3"/>
        <v>18</v>
      </c>
      <c r="AI23" s="411"/>
      <c r="AJ23" s="169">
        <v>4</v>
      </c>
      <c r="AK23" s="169">
        <v>2174.9999999999786</v>
      </c>
      <c r="AL23" s="169">
        <v>543.74999999999466</v>
      </c>
      <c r="AM23" s="197">
        <f t="shared" si="4"/>
        <v>18</v>
      </c>
      <c r="AN23" s="411"/>
      <c r="AO23" s="169">
        <v>4</v>
      </c>
      <c r="AP23" s="169">
        <v>2086.1538461538407</v>
      </c>
      <c r="AQ23" s="169">
        <v>521.53846153846018</v>
      </c>
      <c r="AR23" s="197">
        <f t="shared" si="5"/>
        <v>18</v>
      </c>
      <c r="AS23" s="411"/>
      <c r="AT23" s="169">
        <v>4</v>
      </c>
      <c r="AU23" s="169">
        <v>2198.3999999999937</v>
      </c>
      <c r="AV23" s="169">
        <v>549.59999999999843</v>
      </c>
      <c r="AW23" s="197">
        <f t="shared" si="6"/>
        <v>18</v>
      </c>
      <c r="AX23" s="411"/>
    </row>
    <row r="24" spans="2:50">
      <c r="B24" s="399"/>
      <c r="C24" s="197">
        <v>18</v>
      </c>
      <c r="D24" s="197" t="s">
        <v>241</v>
      </c>
      <c r="E24" s="197">
        <v>4</v>
      </c>
      <c r="F24" s="197">
        <v>2432.9032258064522</v>
      </c>
      <c r="G24" s="197">
        <v>608.22580645161304</v>
      </c>
      <c r="H24" s="411"/>
      <c r="I24" s="169">
        <f t="shared" si="7"/>
        <v>4</v>
      </c>
      <c r="J24" s="169">
        <f t="shared" si="8"/>
        <v>2458.4724326111927</v>
      </c>
      <c r="K24" s="195">
        <f t="shared" si="9"/>
        <v>614.61810815279819</v>
      </c>
      <c r="L24" s="411"/>
      <c r="M24" s="169">
        <f>RANK(K24, K$7:$K$36)</f>
        <v>16</v>
      </c>
      <c r="N24" s="402"/>
      <c r="O24" s="402"/>
      <c r="P24" s="169">
        <v>4</v>
      </c>
      <c r="Q24" s="169">
        <v>2480.625</v>
      </c>
      <c r="R24" s="169">
        <v>620.15625</v>
      </c>
      <c r="S24" s="197">
        <f t="shared" si="0"/>
        <v>14</v>
      </c>
      <c r="T24" s="411"/>
      <c r="U24" s="169">
        <v>4</v>
      </c>
      <c r="V24" s="169">
        <v>2606.0000006067567</v>
      </c>
      <c r="W24" s="169">
        <v>651.50000015168916</v>
      </c>
      <c r="X24" s="197">
        <f t="shared" si="1"/>
        <v>12</v>
      </c>
      <c r="Y24" s="411"/>
      <c r="Z24" s="169">
        <v>4</v>
      </c>
      <c r="AA24" s="169">
        <v>2321.9999997296836</v>
      </c>
      <c r="AB24" s="169">
        <v>580.49999993242091</v>
      </c>
      <c r="AC24" s="197">
        <f t="shared" si="2"/>
        <v>17</v>
      </c>
      <c r="AD24" s="411"/>
      <c r="AE24" s="169">
        <v>4</v>
      </c>
      <c r="AF24" s="169">
        <v>2451.4285714285802</v>
      </c>
      <c r="AG24" s="169">
        <v>612.85714285714505</v>
      </c>
      <c r="AH24" s="197">
        <f t="shared" si="3"/>
        <v>15</v>
      </c>
      <c r="AI24" s="411"/>
      <c r="AJ24" s="169">
        <v>4</v>
      </c>
      <c r="AK24" s="169">
        <v>2430.967742227615</v>
      </c>
      <c r="AL24" s="169">
        <v>607.74193555690374</v>
      </c>
      <c r="AM24" s="197">
        <f t="shared" si="4"/>
        <v>16</v>
      </c>
      <c r="AN24" s="411"/>
      <c r="AO24" s="169">
        <v>4</v>
      </c>
      <c r="AP24" s="169">
        <v>2688</v>
      </c>
      <c r="AQ24" s="169">
        <v>672</v>
      </c>
      <c r="AR24" s="197">
        <f t="shared" si="5"/>
        <v>11</v>
      </c>
      <c r="AS24" s="411"/>
      <c r="AT24" s="169">
        <v>4</v>
      </c>
      <c r="AU24" s="169">
        <v>2230.2857142857142</v>
      </c>
      <c r="AV24" s="169">
        <v>557.57142857142856</v>
      </c>
      <c r="AW24" s="197">
        <f t="shared" si="6"/>
        <v>17</v>
      </c>
      <c r="AX24" s="411"/>
    </row>
    <row r="25" spans="2:50">
      <c r="B25" s="399"/>
      <c r="C25" s="197">
        <v>19</v>
      </c>
      <c r="D25" s="197" t="s">
        <v>242</v>
      </c>
      <c r="E25" s="197">
        <v>3</v>
      </c>
      <c r="F25" s="197">
        <v>2676.6666666666647</v>
      </c>
      <c r="G25" s="197">
        <v>892.2222222222216</v>
      </c>
      <c r="H25" s="411"/>
      <c r="I25" s="169">
        <f t="shared" si="7"/>
        <v>3</v>
      </c>
      <c r="J25" s="169">
        <f t="shared" si="8"/>
        <v>2683.265450688777</v>
      </c>
      <c r="K25" s="195">
        <f t="shared" si="9"/>
        <v>894.42181689625897</v>
      </c>
      <c r="L25" s="411"/>
      <c r="M25" s="169">
        <f>RANK(K25, K$7:$K$36)</f>
        <v>3</v>
      </c>
      <c r="N25" s="402"/>
      <c r="O25" s="402"/>
      <c r="P25" s="169">
        <v>3</v>
      </c>
      <c r="Q25" s="169">
        <v>2689.870129870128</v>
      </c>
      <c r="R25" s="169">
        <v>896.62337662337598</v>
      </c>
      <c r="S25" s="197">
        <f t="shared" si="0"/>
        <v>3</v>
      </c>
      <c r="T25" s="411"/>
      <c r="U25" s="169">
        <v>3</v>
      </c>
      <c r="V25" s="169">
        <v>2677.600000000004</v>
      </c>
      <c r="W25" s="169">
        <v>892.53333333333467</v>
      </c>
      <c r="X25" s="197">
        <f t="shared" si="1"/>
        <v>2</v>
      </c>
      <c r="Y25" s="411"/>
      <c r="Z25" s="169">
        <v>3</v>
      </c>
      <c r="AA25" s="169">
        <v>2670.0000000000009</v>
      </c>
      <c r="AB25" s="169">
        <v>890.00000000000034</v>
      </c>
      <c r="AC25" s="197">
        <f t="shared" si="2"/>
        <v>3</v>
      </c>
      <c r="AD25" s="411"/>
      <c r="AE25" s="169">
        <v>3</v>
      </c>
      <c r="AF25" s="169">
        <v>2690.1492537313466</v>
      </c>
      <c r="AG25" s="169">
        <v>896.71641791044885</v>
      </c>
      <c r="AH25" s="197">
        <f t="shared" si="3"/>
        <v>3</v>
      </c>
      <c r="AI25" s="411"/>
      <c r="AJ25" s="169">
        <v>3</v>
      </c>
      <c r="AK25" s="169">
        <v>2698.1538461538426</v>
      </c>
      <c r="AL25" s="169">
        <v>899.38461538461422</v>
      </c>
      <c r="AM25" s="197">
        <f t="shared" si="4"/>
        <v>2</v>
      </c>
      <c r="AN25" s="411"/>
      <c r="AO25" s="169">
        <v>3</v>
      </c>
      <c r="AP25" s="169">
        <v>2679.0361445783151</v>
      </c>
      <c r="AQ25" s="169">
        <v>893.01204819277166</v>
      </c>
      <c r="AR25" s="197">
        <f t="shared" si="5"/>
        <v>2</v>
      </c>
      <c r="AS25" s="411"/>
      <c r="AT25" s="169">
        <v>3</v>
      </c>
      <c r="AU25" s="169">
        <v>2678.0487804878039</v>
      </c>
      <c r="AV25" s="169">
        <v>892.68292682926801</v>
      </c>
      <c r="AW25" s="197">
        <f t="shared" si="6"/>
        <v>2</v>
      </c>
      <c r="AX25" s="411"/>
    </row>
    <row r="26" spans="2:50">
      <c r="B26" s="399"/>
      <c r="C26" s="197">
        <v>20</v>
      </c>
      <c r="D26" s="197"/>
      <c r="E26" s="197"/>
      <c r="F26" s="197"/>
      <c r="G26" s="197"/>
      <c r="H26" s="411"/>
      <c r="I26" s="169"/>
      <c r="J26" s="169"/>
      <c r="K26" s="195"/>
      <c r="L26" s="411"/>
      <c r="M26" s="169" t="e">
        <f>RANK(K26, K$7:$K$36)</f>
        <v>#N/A</v>
      </c>
      <c r="N26" s="402"/>
      <c r="O26" s="402"/>
      <c r="P26" s="169"/>
      <c r="Q26" s="169"/>
      <c r="R26" s="169"/>
      <c r="S26" s="197" t="e">
        <f t="shared" si="0"/>
        <v>#N/A</v>
      </c>
      <c r="T26" s="411"/>
      <c r="U26" s="169"/>
      <c r="V26" s="169"/>
      <c r="W26" s="169"/>
      <c r="X26" s="197" t="e">
        <f t="shared" si="1"/>
        <v>#N/A</v>
      </c>
      <c r="Y26" s="411"/>
      <c r="Z26" s="169"/>
      <c r="AA26" s="169"/>
      <c r="AB26" s="169"/>
      <c r="AC26" s="197" t="e">
        <f t="shared" si="2"/>
        <v>#N/A</v>
      </c>
      <c r="AD26" s="411"/>
      <c r="AE26" s="169"/>
      <c r="AF26" s="169"/>
      <c r="AG26" s="169"/>
      <c r="AH26" s="197" t="e">
        <f t="shared" si="3"/>
        <v>#N/A</v>
      </c>
      <c r="AI26" s="411"/>
      <c r="AJ26" s="169"/>
      <c r="AK26" s="169"/>
      <c r="AL26" s="169"/>
      <c r="AM26" s="197" t="e">
        <f t="shared" si="4"/>
        <v>#N/A</v>
      </c>
      <c r="AN26" s="411"/>
      <c r="AO26" s="169"/>
      <c r="AP26" s="169"/>
      <c r="AQ26" s="169"/>
      <c r="AR26" s="197" t="e">
        <f t="shared" si="5"/>
        <v>#N/A</v>
      </c>
      <c r="AS26" s="411"/>
      <c r="AT26" s="169"/>
      <c r="AU26" s="169"/>
      <c r="AV26" s="169"/>
      <c r="AW26" s="197" t="e">
        <f t="shared" si="6"/>
        <v>#N/A</v>
      </c>
      <c r="AX26" s="411"/>
    </row>
    <row r="27" spans="2:50">
      <c r="B27" s="399"/>
      <c r="C27" s="197">
        <v>21</v>
      </c>
      <c r="D27" s="197"/>
      <c r="E27" s="197"/>
      <c r="F27" s="197"/>
      <c r="G27" s="197"/>
      <c r="H27" s="411"/>
      <c r="I27" s="197"/>
      <c r="J27" s="197"/>
      <c r="K27" s="197"/>
      <c r="L27" s="411"/>
      <c r="M27" s="169" t="e">
        <f>RANK(K27, K$7:$K$36)</f>
        <v>#N/A</v>
      </c>
      <c r="N27" s="402"/>
      <c r="O27" s="402"/>
      <c r="P27" s="197"/>
      <c r="Q27" s="169"/>
      <c r="R27" s="195"/>
      <c r="S27" s="197" t="e">
        <f t="shared" si="0"/>
        <v>#N/A</v>
      </c>
      <c r="T27" s="411"/>
      <c r="U27" s="197"/>
      <c r="V27" s="169"/>
      <c r="W27" s="195"/>
      <c r="X27" s="197" t="e">
        <f t="shared" si="1"/>
        <v>#N/A</v>
      </c>
      <c r="Y27" s="411"/>
      <c r="Z27" s="197"/>
      <c r="AA27" s="169"/>
      <c r="AB27" s="195"/>
      <c r="AC27" s="197" t="e">
        <f t="shared" si="2"/>
        <v>#N/A</v>
      </c>
      <c r="AD27" s="411"/>
      <c r="AE27" s="197"/>
      <c r="AF27" s="169"/>
      <c r="AG27" s="195"/>
      <c r="AH27" s="197" t="e">
        <f t="shared" si="3"/>
        <v>#N/A</v>
      </c>
      <c r="AI27" s="411"/>
      <c r="AJ27" s="197"/>
      <c r="AK27" s="169"/>
      <c r="AL27" s="195"/>
      <c r="AM27" s="197" t="e">
        <f t="shared" si="4"/>
        <v>#N/A</v>
      </c>
      <c r="AN27" s="411"/>
      <c r="AO27" s="197"/>
      <c r="AP27" s="169"/>
      <c r="AQ27" s="169"/>
      <c r="AR27" s="197" t="e">
        <f t="shared" si="5"/>
        <v>#N/A</v>
      </c>
      <c r="AS27" s="411"/>
      <c r="AT27" s="197"/>
      <c r="AU27" s="169"/>
      <c r="AV27" s="169"/>
      <c r="AW27" s="197" t="e">
        <f t="shared" si="6"/>
        <v>#N/A</v>
      </c>
      <c r="AX27" s="411"/>
    </row>
    <row r="28" spans="2:50">
      <c r="B28" s="399"/>
      <c r="C28" s="197">
        <v>22</v>
      </c>
      <c r="D28" s="197"/>
      <c r="E28" s="197"/>
      <c r="F28" s="197"/>
      <c r="G28" s="197"/>
      <c r="H28" s="411"/>
      <c r="I28" s="197"/>
      <c r="J28" s="197"/>
      <c r="K28" s="197"/>
      <c r="L28" s="411"/>
      <c r="M28" s="169" t="e">
        <f>RANK(K28, K$7:$K$36)</f>
        <v>#N/A</v>
      </c>
      <c r="N28" s="402"/>
      <c r="O28" s="402"/>
      <c r="P28" s="197"/>
      <c r="Q28" s="169"/>
      <c r="R28" s="195"/>
      <c r="S28" s="197" t="e">
        <f t="shared" si="0"/>
        <v>#N/A</v>
      </c>
      <c r="T28" s="411"/>
      <c r="U28" s="197"/>
      <c r="V28" s="169"/>
      <c r="W28" s="195"/>
      <c r="X28" s="197" t="e">
        <f t="shared" si="1"/>
        <v>#N/A</v>
      </c>
      <c r="Y28" s="411"/>
      <c r="Z28" s="197"/>
      <c r="AA28" s="169"/>
      <c r="AB28" s="195"/>
      <c r="AC28" s="197" t="e">
        <f t="shared" si="2"/>
        <v>#N/A</v>
      </c>
      <c r="AD28" s="411"/>
      <c r="AE28" s="197"/>
      <c r="AF28" s="169"/>
      <c r="AG28" s="195"/>
      <c r="AH28" s="197" t="e">
        <f t="shared" si="3"/>
        <v>#N/A</v>
      </c>
      <c r="AI28" s="411"/>
      <c r="AJ28" s="197"/>
      <c r="AK28" s="169"/>
      <c r="AL28" s="195"/>
      <c r="AM28" s="197" t="e">
        <f t="shared" si="4"/>
        <v>#N/A</v>
      </c>
      <c r="AN28" s="411"/>
      <c r="AO28" s="197"/>
      <c r="AP28" s="169"/>
      <c r="AQ28" s="169"/>
      <c r="AR28" s="197" t="e">
        <f t="shared" si="5"/>
        <v>#N/A</v>
      </c>
      <c r="AS28" s="411"/>
      <c r="AT28" s="197"/>
      <c r="AU28" s="169"/>
      <c r="AV28" s="169"/>
      <c r="AW28" s="197" t="e">
        <f t="shared" si="6"/>
        <v>#N/A</v>
      </c>
      <c r="AX28" s="411"/>
    </row>
    <row r="29" spans="2:50">
      <c r="B29" s="399"/>
      <c r="C29" s="197">
        <v>23</v>
      </c>
      <c r="D29" s="197"/>
      <c r="E29" s="197"/>
      <c r="F29" s="197"/>
      <c r="G29" s="197"/>
      <c r="H29" s="411"/>
      <c r="I29" s="197"/>
      <c r="J29" s="197"/>
      <c r="K29" s="197"/>
      <c r="L29" s="411"/>
      <c r="M29" s="169" t="e">
        <f>RANK(K29, K$7:$K$36)</f>
        <v>#N/A</v>
      </c>
      <c r="N29" s="402"/>
      <c r="O29" s="402"/>
      <c r="P29" s="197"/>
      <c r="Q29" s="197"/>
      <c r="R29" s="195"/>
      <c r="S29" s="197" t="e">
        <f t="shared" si="0"/>
        <v>#N/A</v>
      </c>
      <c r="T29" s="411"/>
      <c r="U29" s="197"/>
      <c r="V29" s="169"/>
      <c r="W29" s="195"/>
      <c r="X29" s="197" t="e">
        <f t="shared" si="1"/>
        <v>#N/A</v>
      </c>
      <c r="Y29" s="411"/>
      <c r="Z29" s="197"/>
      <c r="AA29" s="169"/>
      <c r="AB29" s="195"/>
      <c r="AC29" s="197" t="e">
        <f t="shared" si="2"/>
        <v>#N/A</v>
      </c>
      <c r="AD29" s="411"/>
      <c r="AE29" s="197"/>
      <c r="AF29" s="169"/>
      <c r="AG29" s="195"/>
      <c r="AH29" s="197" t="e">
        <f t="shared" si="3"/>
        <v>#N/A</v>
      </c>
      <c r="AI29" s="411"/>
      <c r="AJ29" s="197"/>
      <c r="AK29" s="169"/>
      <c r="AL29" s="195"/>
      <c r="AM29" s="197" t="e">
        <f t="shared" si="4"/>
        <v>#N/A</v>
      </c>
      <c r="AN29" s="411"/>
      <c r="AO29" s="197"/>
      <c r="AP29" s="169"/>
      <c r="AQ29" s="169"/>
      <c r="AR29" s="197" t="e">
        <f t="shared" si="5"/>
        <v>#N/A</v>
      </c>
      <c r="AS29" s="411"/>
      <c r="AT29" s="197"/>
      <c r="AU29" s="169"/>
      <c r="AV29" s="169"/>
      <c r="AW29" s="197" t="e">
        <f t="shared" si="6"/>
        <v>#N/A</v>
      </c>
      <c r="AX29" s="411"/>
    </row>
    <row r="30" spans="2:50">
      <c r="B30" s="399"/>
      <c r="C30" s="197">
        <v>24</v>
      </c>
      <c r="D30" s="197"/>
      <c r="E30" s="197"/>
      <c r="F30" s="197"/>
      <c r="G30" s="197"/>
      <c r="H30" s="411"/>
      <c r="I30" s="197"/>
      <c r="J30" s="197"/>
      <c r="K30" s="197"/>
      <c r="L30" s="411"/>
      <c r="M30" s="169" t="e">
        <f>RANK(K30, K$7:$K$36)</f>
        <v>#N/A</v>
      </c>
      <c r="N30" s="402"/>
      <c r="O30" s="402"/>
      <c r="P30" s="197"/>
      <c r="Q30" s="197"/>
      <c r="R30" s="197"/>
      <c r="S30" s="197" t="e">
        <f t="shared" si="0"/>
        <v>#N/A</v>
      </c>
      <c r="T30" s="411"/>
      <c r="U30" s="197"/>
      <c r="V30" s="197"/>
      <c r="W30" s="197"/>
      <c r="X30" s="197" t="e">
        <f t="shared" si="1"/>
        <v>#N/A</v>
      </c>
      <c r="Y30" s="411"/>
      <c r="Z30" s="197"/>
      <c r="AA30" s="197"/>
      <c r="AB30" s="197"/>
      <c r="AC30" s="197" t="e">
        <f t="shared" si="2"/>
        <v>#N/A</v>
      </c>
      <c r="AD30" s="411"/>
      <c r="AE30" s="197"/>
      <c r="AF30" s="197"/>
      <c r="AG30" s="197"/>
      <c r="AH30" s="197" t="e">
        <f t="shared" si="3"/>
        <v>#N/A</v>
      </c>
      <c r="AI30" s="411"/>
      <c r="AJ30" s="197"/>
      <c r="AK30" s="197"/>
      <c r="AL30" s="197"/>
      <c r="AM30" s="197" t="e">
        <f t="shared" si="4"/>
        <v>#N/A</v>
      </c>
      <c r="AN30" s="411"/>
      <c r="AO30" s="197"/>
      <c r="AP30" s="197"/>
      <c r="AQ30" s="197"/>
      <c r="AR30" s="197" t="e">
        <f t="shared" si="5"/>
        <v>#N/A</v>
      </c>
      <c r="AS30" s="411"/>
      <c r="AT30" s="197"/>
      <c r="AU30" s="197"/>
      <c r="AV30" s="197"/>
      <c r="AW30" s="197" t="e">
        <f t="shared" si="6"/>
        <v>#N/A</v>
      </c>
      <c r="AX30" s="411"/>
    </row>
    <row r="31" spans="2:50">
      <c r="B31" s="399"/>
      <c r="C31" s="197">
        <v>25</v>
      </c>
      <c r="D31" s="197"/>
      <c r="E31" s="197"/>
      <c r="F31" s="197"/>
      <c r="G31" s="197"/>
      <c r="H31" s="411"/>
      <c r="I31" s="197"/>
      <c r="J31" s="197"/>
      <c r="K31" s="197"/>
      <c r="L31" s="411"/>
      <c r="M31" s="169" t="e">
        <f>RANK(K31, K$7:$K$36)</f>
        <v>#N/A</v>
      </c>
      <c r="N31" s="402"/>
      <c r="O31" s="402"/>
      <c r="P31" s="197"/>
      <c r="Q31" s="197"/>
      <c r="R31" s="197"/>
      <c r="S31" s="197" t="e">
        <f t="shared" si="0"/>
        <v>#N/A</v>
      </c>
      <c r="T31" s="411"/>
      <c r="U31" s="197"/>
      <c r="V31" s="197"/>
      <c r="W31" s="197"/>
      <c r="X31" s="197" t="e">
        <f t="shared" si="1"/>
        <v>#N/A</v>
      </c>
      <c r="Y31" s="411"/>
      <c r="Z31" s="197"/>
      <c r="AA31" s="197"/>
      <c r="AB31" s="197"/>
      <c r="AC31" s="197" t="e">
        <f t="shared" si="2"/>
        <v>#N/A</v>
      </c>
      <c r="AD31" s="411"/>
      <c r="AE31" s="197"/>
      <c r="AF31" s="197"/>
      <c r="AG31" s="197"/>
      <c r="AH31" s="197" t="e">
        <f t="shared" si="3"/>
        <v>#N/A</v>
      </c>
      <c r="AI31" s="411"/>
      <c r="AJ31" s="197"/>
      <c r="AK31" s="197"/>
      <c r="AL31" s="197"/>
      <c r="AM31" s="197" t="e">
        <f t="shared" si="4"/>
        <v>#N/A</v>
      </c>
      <c r="AN31" s="411"/>
      <c r="AO31" s="197"/>
      <c r="AP31" s="197"/>
      <c r="AQ31" s="197"/>
      <c r="AR31" s="197" t="e">
        <f t="shared" si="5"/>
        <v>#N/A</v>
      </c>
      <c r="AS31" s="411"/>
      <c r="AT31" s="197"/>
      <c r="AU31" s="197"/>
      <c r="AV31" s="197"/>
      <c r="AW31" s="197" t="e">
        <f t="shared" si="6"/>
        <v>#N/A</v>
      </c>
      <c r="AX31" s="411"/>
    </row>
    <row r="32" spans="2:50">
      <c r="B32" s="399"/>
      <c r="C32" s="197">
        <v>26</v>
      </c>
      <c r="D32" s="197"/>
      <c r="E32" s="197"/>
      <c r="F32" s="197"/>
      <c r="G32" s="197"/>
      <c r="H32" s="411"/>
      <c r="I32" s="197"/>
      <c r="J32" s="197"/>
      <c r="K32" s="197"/>
      <c r="L32" s="411"/>
      <c r="M32" s="169" t="e">
        <f>RANK(K32, K$7:$K$36)</f>
        <v>#N/A</v>
      </c>
      <c r="N32" s="402"/>
      <c r="O32" s="402"/>
      <c r="P32" s="197"/>
      <c r="Q32" s="197"/>
      <c r="R32" s="197"/>
      <c r="S32" s="197" t="e">
        <f t="shared" si="0"/>
        <v>#N/A</v>
      </c>
      <c r="T32" s="411"/>
      <c r="U32" s="197"/>
      <c r="V32" s="197"/>
      <c r="W32" s="197"/>
      <c r="X32" s="197" t="e">
        <f t="shared" si="1"/>
        <v>#N/A</v>
      </c>
      <c r="Y32" s="411"/>
      <c r="Z32" s="197"/>
      <c r="AA32" s="197"/>
      <c r="AB32" s="197"/>
      <c r="AC32" s="197" t="e">
        <f t="shared" si="2"/>
        <v>#N/A</v>
      </c>
      <c r="AD32" s="411"/>
      <c r="AE32" s="197"/>
      <c r="AF32" s="197"/>
      <c r="AG32" s="197"/>
      <c r="AH32" s="197" t="e">
        <f t="shared" si="3"/>
        <v>#N/A</v>
      </c>
      <c r="AI32" s="411"/>
      <c r="AJ32" s="197"/>
      <c r="AK32" s="197"/>
      <c r="AL32" s="197"/>
      <c r="AM32" s="197" t="e">
        <f t="shared" si="4"/>
        <v>#N/A</v>
      </c>
      <c r="AN32" s="411"/>
      <c r="AO32" s="197"/>
      <c r="AP32" s="197"/>
      <c r="AQ32" s="197"/>
      <c r="AR32" s="197" t="e">
        <f t="shared" si="5"/>
        <v>#N/A</v>
      </c>
      <c r="AS32" s="411"/>
      <c r="AT32" s="197"/>
      <c r="AU32" s="197"/>
      <c r="AV32" s="197"/>
      <c r="AW32" s="197" t="e">
        <f t="shared" si="6"/>
        <v>#N/A</v>
      </c>
      <c r="AX32" s="411"/>
    </row>
    <row r="33" spans="2:50">
      <c r="B33" s="399"/>
      <c r="C33" s="197">
        <v>27</v>
      </c>
      <c r="D33" s="197"/>
      <c r="E33" s="197"/>
      <c r="F33" s="197"/>
      <c r="G33" s="197"/>
      <c r="H33" s="411"/>
      <c r="I33" s="197"/>
      <c r="J33" s="197"/>
      <c r="K33" s="197"/>
      <c r="L33" s="411"/>
      <c r="M33" s="169" t="e">
        <f>RANK(K33, K$7:$K$36)</f>
        <v>#N/A</v>
      </c>
      <c r="N33" s="402"/>
      <c r="O33" s="402"/>
      <c r="P33" s="197"/>
      <c r="Q33" s="197"/>
      <c r="R33" s="197"/>
      <c r="S33" s="197" t="e">
        <f t="shared" si="0"/>
        <v>#N/A</v>
      </c>
      <c r="T33" s="411"/>
      <c r="U33" s="197"/>
      <c r="V33" s="197"/>
      <c r="W33" s="197"/>
      <c r="X33" s="197" t="e">
        <f t="shared" si="1"/>
        <v>#N/A</v>
      </c>
      <c r="Y33" s="411"/>
      <c r="Z33" s="197"/>
      <c r="AA33" s="197"/>
      <c r="AB33" s="197"/>
      <c r="AC33" s="197" t="e">
        <f t="shared" si="2"/>
        <v>#N/A</v>
      </c>
      <c r="AD33" s="411"/>
      <c r="AE33" s="197"/>
      <c r="AF33" s="197"/>
      <c r="AG33" s="197"/>
      <c r="AH33" s="197" t="e">
        <f t="shared" si="3"/>
        <v>#N/A</v>
      </c>
      <c r="AI33" s="411"/>
      <c r="AJ33" s="197"/>
      <c r="AK33" s="197"/>
      <c r="AL33" s="197"/>
      <c r="AM33" s="197" t="e">
        <f t="shared" si="4"/>
        <v>#N/A</v>
      </c>
      <c r="AN33" s="411"/>
      <c r="AO33" s="197"/>
      <c r="AP33" s="197"/>
      <c r="AQ33" s="197"/>
      <c r="AR33" s="197" t="e">
        <f t="shared" si="5"/>
        <v>#N/A</v>
      </c>
      <c r="AS33" s="411"/>
      <c r="AT33" s="197"/>
      <c r="AU33" s="197"/>
      <c r="AV33" s="197"/>
      <c r="AW33" s="197" t="e">
        <f t="shared" si="6"/>
        <v>#N/A</v>
      </c>
      <c r="AX33" s="411"/>
    </row>
    <row r="34" spans="2:50">
      <c r="B34" s="399"/>
      <c r="C34" s="197">
        <v>28</v>
      </c>
      <c r="D34" s="197"/>
      <c r="E34" s="197"/>
      <c r="F34" s="197"/>
      <c r="G34" s="197"/>
      <c r="H34" s="411"/>
      <c r="I34" s="197"/>
      <c r="J34" s="197"/>
      <c r="K34" s="197"/>
      <c r="L34" s="411"/>
      <c r="M34" s="169" t="e">
        <f>RANK(K34, K$7:$K$36)</f>
        <v>#N/A</v>
      </c>
      <c r="N34" s="402"/>
      <c r="O34" s="402"/>
      <c r="P34" s="197"/>
      <c r="Q34" s="197"/>
      <c r="R34" s="197"/>
      <c r="S34" s="197" t="e">
        <f t="shared" si="0"/>
        <v>#N/A</v>
      </c>
      <c r="T34" s="411"/>
      <c r="U34" s="197"/>
      <c r="V34" s="197"/>
      <c r="W34" s="197"/>
      <c r="X34" s="197" t="e">
        <f t="shared" si="1"/>
        <v>#N/A</v>
      </c>
      <c r="Y34" s="411"/>
      <c r="Z34" s="197"/>
      <c r="AA34" s="197"/>
      <c r="AB34" s="197"/>
      <c r="AC34" s="197" t="e">
        <f t="shared" si="2"/>
        <v>#N/A</v>
      </c>
      <c r="AD34" s="411"/>
      <c r="AE34" s="197"/>
      <c r="AF34" s="197"/>
      <c r="AG34" s="197"/>
      <c r="AH34" s="197" t="e">
        <f t="shared" si="3"/>
        <v>#N/A</v>
      </c>
      <c r="AI34" s="411"/>
      <c r="AJ34" s="197"/>
      <c r="AK34" s="197"/>
      <c r="AL34" s="197"/>
      <c r="AM34" s="197" t="e">
        <f t="shared" si="4"/>
        <v>#N/A</v>
      </c>
      <c r="AN34" s="411"/>
      <c r="AO34" s="197"/>
      <c r="AP34" s="197"/>
      <c r="AQ34" s="197"/>
      <c r="AR34" s="197" t="e">
        <f t="shared" si="5"/>
        <v>#N/A</v>
      </c>
      <c r="AS34" s="411"/>
      <c r="AT34" s="197"/>
      <c r="AU34" s="197"/>
      <c r="AV34" s="197"/>
      <c r="AW34" s="197" t="e">
        <f t="shared" si="6"/>
        <v>#N/A</v>
      </c>
      <c r="AX34" s="411"/>
    </row>
    <row r="35" spans="2:50">
      <c r="B35" s="399"/>
      <c r="C35" s="197">
        <v>29</v>
      </c>
      <c r="D35" s="197"/>
      <c r="E35" s="197"/>
      <c r="F35" s="197"/>
      <c r="G35" s="197"/>
      <c r="H35" s="411"/>
      <c r="I35" s="197"/>
      <c r="J35" s="197"/>
      <c r="K35" s="197"/>
      <c r="L35" s="411"/>
      <c r="M35" s="169" t="e">
        <f>RANK(K35, K$7:$K$36)</f>
        <v>#N/A</v>
      </c>
      <c r="N35" s="402"/>
      <c r="O35" s="402"/>
      <c r="P35" s="197"/>
      <c r="Q35" s="197"/>
      <c r="R35" s="197"/>
      <c r="S35" s="197" t="e">
        <f t="shared" si="0"/>
        <v>#N/A</v>
      </c>
      <c r="T35" s="411"/>
      <c r="U35" s="197"/>
      <c r="V35" s="197"/>
      <c r="W35" s="197"/>
      <c r="X35" s="197" t="e">
        <f t="shared" si="1"/>
        <v>#N/A</v>
      </c>
      <c r="Y35" s="411"/>
      <c r="Z35" s="197"/>
      <c r="AA35" s="197"/>
      <c r="AB35" s="197"/>
      <c r="AC35" s="197" t="e">
        <f t="shared" si="2"/>
        <v>#N/A</v>
      </c>
      <c r="AD35" s="411"/>
      <c r="AE35" s="197"/>
      <c r="AF35" s="197"/>
      <c r="AG35" s="197"/>
      <c r="AH35" s="197" t="e">
        <f t="shared" si="3"/>
        <v>#N/A</v>
      </c>
      <c r="AI35" s="411"/>
      <c r="AJ35" s="197"/>
      <c r="AK35" s="197"/>
      <c r="AL35" s="197"/>
      <c r="AM35" s="197" t="e">
        <f t="shared" si="4"/>
        <v>#N/A</v>
      </c>
      <c r="AN35" s="411"/>
      <c r="AO35" s="197"/>
      <c r="AP35" s="197"/>
      <c r="AQ35" s="197"/>
      <c r="AR35" s="197" t="e">
        <f t="shared" si="5"/>
        <v>#N/A</v>
      </c>
      <c r="AS35" s="411"/>
      <c r="AT35" s="197"/>
      <c r="AU35" s="197"/>
      <c r="AV35" s="197"/>
      <c r="AW35" s="197" t="e">
        <f t="shared" si="6"/>
        <v>#N/A</v>
      </c>
      <c r="AX35" s="411"/>
    </row>
    <row r="36" spans="2:50">
      <c r="B36" s="400"/>
      <c r="C36" s="197">
        <v>30</v>
      </c>
      <c r="D36" s="197"/>
      <c r="E36" s="197"/>
      <c r="F36" s="197"/>
      <c r="G36" s="197"/>
      <c r="H36" s="412"/>
      <c r="I36" s="197"/>
      <c r="J36" s="197"/>
      <c r="K36" s="197"/>
      <c r="L36" s="412"/>
      <c r="M36" s="169" t="e">
        <f>RANK(K36, K$7:$K$36)</f>
        <v>#N/A</v>
      </c>
      <c r="N36" s="403"/>
      <c r="O36" s="403"/>
      <c r="P36" s="197"/>
      <c r="Q36" s="197"/>
      <c r="R36" s="197"/>
      <c r="S36" s="197" t="e">
        <f t="shared" si="0"/>
        <v>#N/A</v>
      </c>
      <c r="T36" s="412"/>
      <c r="U36" s="197"/>
      <c r="V36" s="197"/>
      <c r="W36" s="197"/>
      <c r="X36" s="197" t="e">
        <f t="shared" si="1"/>
        <v>#N/A</v>
      </c>
      <c r="Y36" s="412"/>
      <c r="Z36" s="197"/>
      <c r="AA36" s="197"/>
      <c r="AB36" s="197"/>
      <c r="AC36" s="197" t="e">
        <f t="shared" si="2"/>
        <v>#N/A</v>
      </c>
      <c r="AD36" s="412"/>
      <c r="AE36" s="197"/>
      <c r="AF36" s="197"/>
      <c r="AG36" s="197"/>
      <c r="AH36" s="197" t="e">
        <f t="shared" si="3"/>
        <v>#N/A</v>
      </c>
      <c r="AI36" s="412"/>
      <c r="AJ36" s="197"/>
      <c r="AK36" s="197"/>
      <c r="AL36" s="197"/>
      <c r="AM36" s="197" t="e">
        <f t="shared" si="4"/>
        <v>#N/A</v>
      </c>
      <c r="AN36" s="412"/>
      <c r="AO36" s="197"/>
      <c r="AP36" s="197"/>
      <c r="AQ36" s="197"/>
      <c r="AR36" s="197" t="e">
        <f t="shared" si="5"/>
        <v>#N/A</v>
      </c>
      <c r="AS36" s="412"/>
      <c r="AT36" s="197"/>
      <c r="AU36" s="197"/>
      <c r="AV36" s="197"/>
      <c r="AW36" s="197" t="e">
        <f t="shared" si="6"/>
        <v>#N/A</v>
      </c>
      <c r="AX36" s="412"/>
    </row>
    <row r="37" spans="2:50" ht="15.75">
      <c r="B37" s="424" t="s">
        <v>202</v>
      </c>
      <c r="C37" s="425"/>
      <c r="D37" s="425"/>
      <c r="E37" s="425"/>
      <c r="F37" s="425"/>
      <c r="G37" s="425"/>
      <c r="H37" s="425"/>
      <c r="I37" s="198"/>
      <c r="J37" s="198"/>
      <c r="K37" s="198"/>
      <c r="L37" s="198"/>
      <c r="M37" s="193"/>
      <c r="N37" s="401" t="s">
        <v>203</v>
      </c>
      <c r="O37" s="401" t="s">
        <v>150</v>
      </c>
      <c r="P37" s="419">
        <f>AT2+1</f>
        <v>45902</v>
      </c>
      <c r="Q37" s="420"/>
      <c r="R37" s="420"/>
      <c r="S37" s="420"/>
      <c r="T37" s="420"/>
      <c r="U37" s="421">
        <f>P37+1</f>
        <v>45903</v>
      </c>
      <c r="V37" s="422"/>
      <c r="W37" s="422"/>
      <c r="X37" s="422"/>
      <c r="Y37" s="422"/>
      <c r="Z37" s="421">
        <f>U37+1</f>
        <v>45904</v>
      </c>
      <c r="AA37" s="422"/>
      <c r="AB37" s="422"/>
      <c r="AC37" s="422"/>
      <c r="AD37" s="422"/>
      <c r="AE37" s="421">
        <f>Z37+1</f>
        <v>45905</v>
      </c>
      <c r="AF37" s="422"/>
      <c r="AG37" s="422"/>
      <c r="AH37" s="422"/>
      <c r="AI37" s="422"/>
      <c r="AJ37" s="421">
        <f>AE37+1</f>
        <v>45906</v>
      </c>
      <c r="AK37" s="422"/>
      <c r="AL37" s="422"/>
      <c r="AM37" s="422"/>
      <c r="AN37" s="422"/>
      <c r="AO37" s="421">
        <f>AJ37+1</f>
        <v>45907</v>
      </c>
      <c r="AP37" s="422"/>
      <c r="AQ37" s="422"/>
      <c r="AR37" s="422"/>
      <c r="AS37" s="422"/>
      <c r="AT37" s="421">
        <f>AO37+1</f>
        <v>45908</v>
      </c>
      <c r="AU37" s="422"/>
      <c r="AV37" s="422"/>
      <c r="AW37" s="422"/>
      <c r="AX37" s="422"/>
    </row>
    <row r="38" spans="2:50" ht="15.75">
      <c r="B38" s="426"/>
      <c r="C38" s="426"/>
      <c r="D38" s="426"/>
      <c r="E38" s="426"/>
      <c r="F38" s="426"/>
      <c r="G38" s="426"/>
      <c r="H38" s="426"/>
      <c r="I38" s="199"/>
      <c r="J38" s="199"/>
      <c r="K38" s="199"/>
      <c r="L38" s="199"/>
      <c r="M38" s="194"/>
      <c r="N38" s="403"/>
      <c r="O38" s="403"/>
      <c r="P38" s="421" t="s">
        <v>204</v>
      </c>
      <c r="Q38" s="422"/>
      <c r="R38" s="422"/>
      <c r="S38" s="422"/>
      <c r="T38" s="422"/>
      <c r="U38" s="421" t="s">
        <v>205</v>
      </c>
      <c r="V38" s="422"/>
      <c r="W38" s="422"/>
      <c r="X38" s="422"/>
      <c r="Y38" s="422"/>
      <c r="Z38" s="421" t="s">
        <v>206</v>
      </c>
      <c r="AA38" s="422"/>
      <c r="AB38" s="422"/>
      <c r="AC38" s="422"/>
      <c r="AD38" s="422"/>
      <c r="AE38" s="421" t="s">
        <v>207</v>
      </c>
      <c r="AF38" s="422"/>
      <c r="AG38" s="422"/>
      <c r="AH38" s="422"/>
      <c r="AI38" s="422"/>
      <c r="AJ38" s="421" t="s">
        <v>208</v>
      </c>
      <c r="AK38" s="422"/>
      <c r="AL38" s="422"/>
      <c r="AM38" s="422"/>
      <c r="AN38" s="422"/>
      <c r="AO38" s="421" t="s">
        <v>157</v>
      </c>
      <c r="AP38" s="422"/>
      <c r="AQ38" s="422"/>
      <c r="AR38" s="422"/>
      <c r="AS38" s="422"/>
      <c r="AT38" s="421" t="s">
        <v>209</v>
      </c>
      <c r="AU38" s="422"/>
      <c r="AV38" s="422"/>
      <c r="AW38" s="422"/>
      <c r="AX38" s="422"/>
    </row>
    <row r="39" spans="2:50">
      <c r="B39" s="401" t="s">
        <v>210</v>
      </c>
      <c r="C39" s="404" t="s">
        <v>211</v>
      </c>
      <c r="D39" s="405"/>
      <c r="E39" s="413" t="s">
        <v>212</v>
      </c>
      <c r="F39" s="414"/>
      <c r="G39" s="415"/>
      <c r="H39" s="401" t="s">
        <v>213</v>
      </c>
      <c r="I39" s="413" t="s">
        <v>214</v>
      </c>
      <c r="J39" s="414"/>
      <c r="K39" s="415"/>
      <c r="L39" s="401" t="s">
        <v>213</v>
      </c>
      <c r="M39" s="401" t="s">
        <v>215</v>
      </c>
      <c r="N39" s="401"/>
      <c r="O39" s="401" t="s">
        <v>216</v>
      </c>
      <c r="P39" s="413" t="s">
        <v>217</v>
      </c>
      <c r="Q39" s="414"/>
      <c r="R39" s="414"/>
      <c r="S39" s="415"/>
      <c r="T39" s="401" t="s">
        <v>213</v>
      </c>
      <c r="U39" s="413" t="s">
        <v>217</v>
      </c>
      <c r="V39" s="414"/>
      <c r="W39" s="414"/>
      <c r="X39" s="415"/>
      <c r="Y39" s="401" t="s">
        <v>213</v>
      </c>
      <c r="Z39" s="413" t="s">
        <v>217</v>
      </c>
      <c r="AA39" s="414"/>
      <c r="AB39" s="414"/>
      <c r="AC39" s="415"/>
      <c r="AD39" s="401" t="s">
        <v>213</v>
      </c>
      <c r="AE39" s="413" t="s">
        <v>217</v>
      </c>
      <c r="AF39" s="414"/>
      <c r="AG39" s="414"/>
      <c r="AH39" s="415"/>
      <c r="AI39" s="401" t="s">
        <v>213</v>
      </c>
      <c r="AJ39" s="413" t="s">
        <v>217</v>
      </c>
      <c r="AK39" s="414"/>
      <c r="AL39" s="414"/>
      <c r="AM39" s="415"/>
      <c r="AN39" s="401" t="s">
        <v>213</v>
      </c>
      <c r="AO39" s="413" t="s">
        <v>217</v>
      </c>
      <c r="AP39" s="414"/>
      <c r="AQ39" s="414"/>
      <c r="AR39" s="415"/>
      <c r="AS39" s="401" t="s">
        <v>213</v>
      </c>
      <c r="AT39" s="413" t="s">
        <v>217</v>
      </c>
      <c r="AU39" s="414"/>
      <c r="AV39" s="414"/>
      <c r="AW39" s="415"/>
      <c r="AX39" s="401" t="s">
        <v>213</v>
      </c>
    </row>
    <row r="40" spans="2:50">
      <c r="B40" s="402"/>
      <c r="C40" s="406"/>
      <c r="D40" s="407"/>
      <c r="E40" s="413" t="s">
        <v>218</v>
      </c>
      <c r="F40" s="414"/>
      <c r="G40" s="415"/>
      <c r="H40" s="402"/>
      <c r="I40" s="413" t="s">
        <v>218</v>
      </c>
      <c r="J40" s="414"/>
      <c r="K40" s="415"/>
      <c r="L40" s="402"/>
      <c r="M40" s="402"/>
      <c r="N40" s="402"/>
      <c r="O40" s="402"/>
      <c r="P40" s="413" t="s">
        <v>219</v>
      </c>
      <c r="Q40" s="414"/>
      <c r="R40" s="414"/>
      <c r="S40" s="415"/>
      <c r="T40" s="402"/>
      <c r="U40" s="413" t="s">
        <v>219</v>
      </c>
      <c r="V40" s="414"/>
      <c r="W40" s="414"/>
      <c r="X40" s="415"/>
      <c r="Y40" s="402"/>
      <c r="Z40" s="413" t="s">
        <v>219</v>
      </c>
      <c r="AA40" s="414"/>
      <c r="AB40" s="414"/>
      <c r="AC40" s="415"/>
      <c r="AD40" s="402"/>
      <c r="AE40" s="413" t="s">
        <v>219</v>
      </c>
      <c r="AF40" s="414"/>
      <c r="AG40" s="414"/>
      <c r="AH40" s="415"/>
      <c r="AI40" s="402"/>
      <c r="AJ40" s="413" t="s">
        <v>219</v>
      </c>
      <c r="AK40" s="414"/>
      <c r="AL40" s="414"/>
      <c r="AM40" s="415"/>
      <c r="AN40" s="402"/>
      <c r="AO40" s="413" t="s">
        <v>219</v>
      </c>
      <c r="AP40" s="414"/>
      <c r="AQ40" s="414"/>
      <c r="AR40" s="415"/>
      <c r="AS40" s="402"/>
      <c r="AT40" s="413" t="s">
        <v>219</v>
      </c>
      <c r="AU40" s="414"/>
      <c r="AV40" s="414"/>
      <c r="AW40" s="415"/>
      <c r="AX40" s="402"/>
    </row>
    <row r="41" spans="2:50">
      <c r="B41" s="403"/>
      <c r="C41" s="408"/>
      <c r="D41" s="409"/>
      <c r="E41" s="297" t="s">
        <v>220</v>
      </c>
      <c r="F41" s="297" t="s">
        <v>221</v>
      </c>
      <c r="G41" s="297" t="s">
        <v>222</v>
      </c>
      <c r="H41" s="403"/>
      <c r="I41" s="297" t="s">
        <v>220</v>
      </c>
      <c r="J41" s="297" t="s">
        <v>221</v>
      </c>
      <c r="K41" s="297" t="s">
        <v>222</v>
      </c>
      <c r="L41" s="403"/>
      <c r="M41" s="403"/>
      <c r="N41" s="402"/>
      <c r="O41" s="402"/>
      <c r="P41" s="297" t="s">
        <v>220</v>
      </c>
      <c r="Q41" s="297" t="s">
        <v>221</v>
      </c>
      <c r="R41" s="297" t="s">
        <v>222</v>
      </c>
      <c r="S41" s="297" t="s">
        <v>215</v>
      </c>
      <c r="T41" s="403"/>
      <c r="U41" s="297" t="s">
        <v>220</v>
      </c>
      <c r="V41" s="297" t="s">
        <v>221</v>
      </c>
      <c r="W41" s="297" t="s">
        <v>222</v>
      </c>
      <c r="X41" s="297" t="s">
        <v>215</v>
      </c>
      <c r="Y41" s="403"/>
      <c r="Z41" s="297" t="s">
        <v>220</v>
      </c>
      <c r="AA41" s="297" t="s">
        <v>221</v>
      </c>
      <c r="AB41" s="297" t="s">
        <v>222</v>
      </c>
      <c r="AC41" s="297" t="s">
        <v>215</v>
      </c>
      <c r="AD41" s="403"/>
      <c r="AE41" s="297" t="s">
        <v>220</v>
      </c>
      <c r="AF41" s="297" t="s">
        <v>221</v>
      </c>
      <c r="AG41" s="297" t="s">
        <v>222</v>
      </c>
      <c r="AH41" s="297" t="s">
        <v>215</v>
      </c>
      <c r="AI41" s="403"/>
      <c r="AJ41" s="297" t="s">
        <v>220</v>
      </c>
      <c r="AK41" s="297" t="s">
        <v>221</v>
      </c>
      <c r="AL41" s="297" t="s">
        <v>222</v>
      </c>
      <c r="AM41" s="297" t="s">
        <v>215</v>
      </c>
      <c r="AN41" s="403"/>
      <c r="AO41" s="297" t="s">
        <v>220</v>
      </c>
      <c r="AP41" s="297" t="s">
        <v>221</v>
      </c>
      <c r="AQ41" s="297" t="s">
        <v>222</v>
      </c>
      <c r="AR41" s="297" t="s">
        <v>215</v>
      </c>
      <c r="AS41" s="403"/>
      <c r="AT41" s="297" t="s">
        <v>220</v>
      </c>
      <c r="AU41" s="297" t="s">
        <v>221</v>
      </c>
      <c r="AV41" s="297" t="s">
        <v>222</v>
      </c>
      <c r="AW41" s="297" t="s">
        <v>215</v>
      </c>
      <c r="AX41" s="403"/>
    </row>
    <row r="42" spans="2:50">
      <c r="B42" s="398" t="s">
        <v>223</v>
      </c>
      <c r="C42" s="197">
        <v>1</v>
      </c>
      <c r="D42" s="197" t="s">
        <v>224</v>
      </c>
      <c r="E42" s="197">
        <v>4</v>
      </c>
      <c r="F42" s="197">
        <v>2035.3333333333335</v>
      </c>
      <c r="G42" s="197">
        <v>508.83333333333337</v>
      </c>
      <c r="H42" s="410">
        <f>AVERAGE(G42:G71)</f>
        <v>718.32622372107824</v>
      </c>
      <c r="I42" s="169">
        <f>AVERAGE(P42,U42,Z42,AE42,AJ42,AO42,AT42)</f>
        <v>4</v>
      </c>
      <c r="J42" s="169">
        <f>AVERAGE(Q42,V42,AA42,AF42,AK42,AP42,AU42)</f>
        <v>2001.3916830117901</v>
      </c>
      <c r="K42" s="195">
        <f>AVERAGE(R42,W42,AB42,AG42,AL42,AQ42,AV42)</f>
        <v>500.34792075294752</v>
      </c>
      <c r="L42" s="410">
        <f>IFERROR(AVERAGE(K42:K71),"-")</f>
        <v>714.86008071568097</v>
      </c>
      <c r="M42" s="169">
        <f>RANK(K42, K$42:$K$71)</f>
        <v>19</v>
      </c>
      <c r="N42" s="402"/>
      <c r="O42" s="402"/>
      <c r="P42" s="169">
        <v>4</v>
      </c>
      <c r="Q42" s="169">
        <v>2035.3333333333335</v>
      </c>
      <c r="R42" s="169">
        <v>508.83333333333337</v>
      </c>
      <c r="S42" s="197">
        <f t="shared" ref="S42:S71" si="10">RANK(R42, R$42:R$71)</f>
        <v>19</v>
      </c>
      <c r="T42" s="410">
        <f>AVERAGE(R42:R71)</f>
        <v>718.32622372107824</v>
      </c>
      <c r="U42" s="169">
        <v>4</v>
      </c>
      <c r="V42" s="169">
        <v>1987.9120879120878</v>
      </c>
      <c r="W42" s="169">
        <v>496.97802197802196</v>
      </c>
      <c r="X42" s="197">
        <f t="shared" ref="X42:X71" si="11">RANK(W42, W$42:W$71)</f>
        <v>19</v>
      </c>
      <c r="Y42" s="410">
        <f>AVERAGE(W42:W71)</f>
        <v>716.20475160040178</v>
      </c>
      <c r="Z42" s="169">
        <v>4</v>
      </c>
      <c r="AA42" s="169">
        <v>1990.2272727272727</v>
      </c>
      <c r="AB42" s="169">
        <v>497.55681818181819</v>
      </c>
      <c r="AC42" s="197">
        <f t="shared" ref="AC42:AC71" si="12">RANK(AB42, AB$42:AB$71)</f>
        <v>19</v>
      </c>
      <c r="AD42" s="410">
        <f>AVERAGE(AB42:AB71)</f>
        <v>711.78102334606865</v>
      </c>
      <c r="AE42" s="169">
        <v>4</v>
      </c>
      <c r="AF42" s="169">
        <v>2006.9230769230783</v>
      </c>
      <c r="AG42" s="169">
        <v>501.73076923076957</v>
      </c>
      <c r="AH42" s="197">
        <f t="shared" ref="AH42:AH71" si="13">RANK(AG42, AG$42:AG$71)</f>
        <v>19</v>
      </c>
      <c r="AI42" s="410">
        <f>AVERAGE(AG42:AG71)</f>
        <v>717.64349311816341</v>
      </c>
      <c r="AJ42" s="169">
        <v>4</v>
      </c>
      <c r="AK42" s="169">
        <v>1987.2000000000007</v>
      </c>
      <c r="AL42" s="169">
        <v>496.80000000000018</v>
      </c>
      <c r="AM42" s="197">
        <f t="shared" ref="AM42:AM71" si="14">RANK(AL42, AL$42:AL$71)</f>
        <v>19</v>
      </c>
      <c r="AN42" s="410">
        <f>AVERAGE(AL42:AL71)</f>
        <v>708.82648768213858</v>
      </c>
      <c r="AO42" s="169">
        <v>4</v>
      </c>
      <c r="AP42" s="169">
        <v>2000.21052631579</v>
      </c>
      <c r="AQ42" s="169">
        <v>500.05263157894751</v>
      </c>
      <c r="AR42" s="197">
        <f t="shared" ref="AR42:AR71" si="15">RANK(AQ42, AQ$42:AQ$71)</f>
        <v>19</v>
      </c>
      <c r="AS42" s="410">
        <f>AVERAGE(AQ42:AQ71)</f>
        <v>716.67450378159378</v>
      </c>
      <c r="AT42" s="169">
        <v>4</v>
      </c>
      <c r="AU42" s="169">
        <v>2001.9354838709683</v>
      </c>
      <c r="AV42" s="169">
        <v>500.48387096774206</v>
      </c>
      <c r="AW42" s="197">
        <f t="shared" ref="AW42:AW71" si="16">RANK(AV42, AV$42:AV$71)</f>
        <v>19</v>
      </c>
      <c r="AX42" s="410">
        <f>AVERAGE(AV42:AV71)</f>
        <v>714.56408176032346</v>
      </c>
    </row>
    <row r="43" spans="2:50">
      <c r="B43" s="399"/>
      <c r="C43" s="197">
        <v>2</v>
      </c>
      <c r="D43" s="197" t="s">
        <v>225</v>
      </c>
      <c r="E43" s="197">
        <v>3</v>
      </c>
      <c r="F43" s="197">
        <v>2665.945945945944</v>
      </c>
      <c r="G43" s="197">
        <v>888.64864864864796</v>
      </c>
      <c r="H43" s="411"/>
      <c r="I43" s="169">
        <f t="shared" ref="I43:I60" si="17">AVERAGE(P43,U43,Z43,AE43,AJ43,AO43,AT43)</f>
        <v>3</v>
      </c>
      <c r="J43" s="169">
        <f t="shared" ref="J43:J60" si="18">AVERAGE(Q43,V43,AA43,AF43,AK43,AP43,AU43)</f>
        <v>2701.1139334823538</v>
      </c>
      <c r="K43" s="195">
        <f t="shared" ref="K43:K60" si="19">AVERAGE(R43,W43,AB43,AG43,AL43,AQ43,AV43)</f>
        <v>900.37131116078456</v>
      </c>
      <c r="L43" s="411"/>
      <c r="M43" s="169">
        <f>RANK(K43, K$42:$K$71)</f>
        <v>2</v>
      </c>
      <c r="N43" s="402"/>
      <c r="O43" s="402"/>
      <c r="P43" s="169">
        <v>3</v>
      </c>
      <c r="Q43" s="169">
        <v>2665.945945945944</v>
      </c>
      <c r="R43" s="169">
        <v>888.64864864864796</v>
      </c>
      <c r="S43" s="197">
        <f t="shared" si="10"/>
        <v>3</v>
      </c>
      <c r="T43" s="411"/>
      <c r="U43" s="169">
        <v>3</v>
      </c>
      <c r="V43" s="169">
        <v>2695.0000000000009</v>
      </c>
      <c r="W43" s="169">
        <v>898.3333333333336</v>
      </c>
      <c r="X43" s="197">
        <f t="shared" si="11"/>
        <v>2</v>
      </c>
      <c r="Y43" s="411"/>
      <c r="Z43" s="169">
        <v>3</v>
      </c>
      <c r="AA43" s="169">
        <v>2656.666666666667</v>
      </c>
      <c r="AB43" s="169">
        <v>885.55555555555566</v>
      </c>
      <c r="AC43" s="197">
        <f t="shared" si="12"/>
        <v>3</v>
      </c>
      <c r="AD43" s="411"/>
      <c r="AE43" s="169">
        <v>3</v>
      </c>
      <c r="AF43" s="169">
        <v>2759.9999999999986</v>
      </c>
      <c r="AG43" s="169">
        <v>919.99999999999955</v>
      </c>
      <c r="AH43" s="197">
        <f t="shared" si="13"/>
        <v>2</v>
      </c>
      <c r="AI43" s="411"/>
      <c r="AJ43" s="169">
        <v>3</v>
      </c>
      <c r="AK43" s="169">
        <v>2769.9999999999986</v>
      </c>
      <c r="AL43" s="169">
        <v>923.33333333333292</v>
      </c>
      <c r="AM43" s="197">
        <f t="shared" si="14"/>
        <v>2</v>
      </c>
      <c r="AN43" s="411"/>
      <c r="AO43" s="169">
        <v>3</v>
      </c>
      <c r="AP43" s="169">
        <v>2673.157894736843</v>
      </c>
      <c r="AQ43" s="169">
        <v>891.05263157894763</v>
      </c>
      <c r="AR43" s="197">
        <f t="shared" si="15"/>
        <v>3</v>
      </c>
      <c r="AS43" s="411"/>
      <c r="AT43" s="169">
        <v>3</v>
      </c>
      <c r="AU43" s="169">
        <v>2687.0270270270248</v>
      </c>
      <c r="AV43" s="169">
        <v>895.67567567567494</v>
      </c>
      <c r="AW43" s="197">
        <f t="shared" si="16"/>
        <v>2</v>
      </c>
      <c r="AX43" s="411"/>
    </row>
    <row r="44" spans="2:50">
      <c r="B44" s="399"/>
      <c r="C44" s="197">
        <v>3</v>
      </c>
      <c r="D44" s="197" t="s">
        <v>226</v>
      </c>
      <c r="E44" s="197">
        <v>4</v>
      </c>
      <c r="F44" s="197">
        <v>2945.6250000000036</v>
      </c>
      <c r="G44" s="197">
        <v>736.40625000000091</v>
      </c>
      <c r="H44" s="411"/>
      <c r="I44" s="169">
        <f t="shared" si="17"/>
        <v>4</v>
      </c>
      <c r="J44" s="169">
        <f t="shared" si="18"/>
        <v>2940.6100202449802</v>
      </c>
      <c r="K44" s="195">
        <f t="shared" si="19"/>
        <v>735.15250506124505</v>
      </c>
      <c r="L44" s="411"/>
      <c r="M44" s="169">
        <f>RANK(K44, K$42:$K$71)</f>
        <v>9</v>
      </c>
      <c r="N44" s="402"/>
      <c r="O44" s="402"/>
      <c r="P44" s="169">
        <v>4</v>
      </c>
      <c r="Q44" s="169">
        <v>2945.6250000000036</v>
      </c>
      <c r="R44" s="169">
        <v>736.40625000000091</v>
      </c>
      <c r="S44" s="197">
        <f t="shared" si="10"/>
        <v>9</v>
      </c>
      <c r="T44" s="411"/>
      <c r="U44" s="169">
        <v>4</v>
      </c>
      <c r="V44" s="169">
        <v>2960.6896551724158</v>
      </c>
      <c r="W44" s="169">
        <v>740.17241379310394</v>
      </c>
      <c r="X44" s="197">
        <f t="shared" si="11"/>
        <v>9</v>
      </c>
      <c r="Y44" s="411"/>
      <c r="Z44" s="169">
        <v>4</v>
      </c>
      <c r="AA44" s="169">
        <v>2926.6666666666683</v>
      </c>
      <c r="AB44" s="169">
        <v>731.66666666666708</v>
      </c>
      <c r="AC44" s="197">
        <f t="shared" si="12"/>
        <v>9</v>
      </c>
      <c r="AD44" s="411"/>
      <c r="AE44" s="169">
        <v>4</v>
      </c>
      <c r="AF44" s="169">
        <v>3002.4999999999955</v>
      </c>
      <c r="AG44" s="169">
        <v>750.62499999999886</v>
      </c>
      <c r="AH44" s="197">
        <f t="shared" si="13"/>
        <v>7</v>
      </c>
      <c r="AI44" s="411"/>
      <c r="AJ44" s="169">
        <v>4</v>
      </c>
      <c r="AK44" s="169">
        <v>2885.217391304343</v>
      </c>
      <c r="AL44" s="169">
        <v>721.30434782608575</v>
      </c>
      <c r="AM44" s="197">
        <f t="shared" si="14"/>
        <v>9</v>
      </c>
      <c r="AN44" s="411"/>
      <c r="AO44" s="169">
        <v>4</v>
      </c>
      <c r="AP44" s="169">
        <v>2930.0000000000027</v>
      </c>
      <c r="AQ44" s="169">
        <v>732.50000000000068</v>
      </c>
      <c r="AR44" s="197">
        <f t="shared" si="15"/>
        <v>9</v>
      </c>
      <c r="AS44" s="411"/>
      <c r="AT44" s="169">
        <v>4</v>
      </c>
      <c r="AU44" s="169">
        <v>2933.5714285714307</v>
      </c>
      <c r="AV44" s="169">
        <v>733.39285714285768</v>
      </c>
      <c r="AW44" s="197">
        <f t="shared" si="16"/>
        <v>9</v>
      </c>
      <c r="AX44" s="411"/>
    </row>
    <row r="45" spans="2:50">
      <c r="B45" s="399"/>
      <c r="C45" s="197">
        <v>4</v>
      </c>
      <c r="D45" s="197" t="s">
        <v>227</v>
      </c>
      <c r="E45" s="197">
        <v>4</v>
      </c>
      <c r="F45" s="197">
        <v>3002.9999999999986</v>
      </c>
      <c r="G45" s="197">
        <v>750.74999999999966</v>
      </c>
      <c r="H45" s="411"/>
      <c r="I45" s="169">
        <f t="shared" si="17"/>
        <v>4</v>
      </c>
      <c r="J45" s="169">
        <f t="shared" si="18"/>
        <v>2960.6684906985274</v>
      </c>
      <c r="K45" s="195">
        <f t="shared" si="19"/>
        <v>740.16712267463186</v>
      </c>
      <c r="L45" s="411"/>
      <c r="M45" s="169">
        <f>RANK(K45, K$42:$K$71)</f>
        <v>8</v>
      </c>
      <c r="N45" s="402"/>
      <c r="O45" s="402"/>
      <c r="P45" s="169">
        <v>4</v>
      </c>
      <c r="Q45" s="169">
        <v>3002.9999999999986</v>
      </c>
      <c r="R45" s="169">
        <v>750.74999999999966</v>
      </c>
      <c r="S45" s="197">
        <f t="shared" si="10"/>
        <v>7</v>
      </c>
      <c r="T45" s="411"/>
      <c r="U45" s="169">
        <v>4</v>
      </c>
      <c r="V45" s="169">
        <v>3000.0000000000023</v>
      </c>
      <c r="W45" s="169">
        <v>750.00000000000057</v>
      </c>
      <c r="X45" s="197">
        <f t="shared" si="11"/>
        <v>8</v>
      </c>
      <c r="Y45" s="411"/>
      <c r="Z45" s="169">
        <v>4</v>
      </c>
      <c r="AA45" s="169">
        <v>2964.4444444444462</v>
      </c>
      <c r="AB45" s="169">
        <v>741.11111111111154</v>
      </c>
      <c r="AC45" s="197">
        <f t="shared" si="12"/>
        <v>8</v>
      </c>
      <c r="AD45" s="411"/>
      <c r="AE45" s="169">
        <v>4</v>
      </c>
      <c r="AF45" s="169">
        <v>2929.6551724138035</v>
      </c>
      <c r="AG45" s="169">
        <v>732.41379310345087</v>
      </c>
      <c r="AH45" s="197">
        <f t="shared" si="13"/>
        <v>9</v>
      </c>
      <c r="AI45" s="411"/>
      <c r="AJ45" s="169">
        <v>4</v>
      </c>
      <c r="AK45" s="169">
        <v>2898.4615384615486</v>
      </c>
      <c r="AL45" s="169">
        <v>724.61538461538714</v>
      </c>
      <c r="AM45" s="197">
        <f t="shared" si="14"/>
        <v>8</v>
      </c>
      <c r="AN45" s="411"/>
      <c r="AO45" s="169">
        <v>4</v>
      </c>
      <c r="AP45" s="169">
        <v>3002.6666666666665</v>
      </c>
      <c r="AQ45" s="169">
        <v>750.66666666666663</v>
      </c>
      <c r="AR45" s="197">
        <f t="shared" si="15"/>
        <v>7</v>
      </c>
      <c r="AS45" s="411"/>
      <c r="AT45" s="169">
        <v>4</v>
      </c>
      <c r="AU45" s="169">
        <v>2926.4516129032281</v>
      </c>
      <c r="AV45" s="169">
        <v>731.61290322580703</v>
      </c>
      <c r="AW45" s="197">
        <f t="shared" si="16"/>
        <v>10</v>
      </c>
      <c r="AX45" s="411"/>
    </row>
    <row r="46" spans="2:50">
      <c r="B46" s="399"/>
      <c r="C46" s="197">
        <v>5</v>
      </c>
      <c r="D46" s="197" t="s">
        <v>228</v>
      </c>
      <c r="E46" s="197">
        <v>4</v>
      </c>
      <c r="F46" s="197">
        <v>3001.0000000000027</v>
      </c>
      <c r="G46" s="197">
        <v>750.25000000000068</v>
      </c>
      <c r="H46" s="411"/>
      <c r="I46" s="169">
        <f t="shared" si="17"/>
        <v>4</v>
      </c>
      <c r="J46" s="169">
        <f t="shared" si="18"/>
        <v>2974.1787172011668</v>
      </c>
      <c r="K46" s="195">
        <f t="shared" si="19"/>
        <v>743.5446793002917</v>
      </c>
      <c r="L46" s="411"/>
      <c r="M46" s="169">
        <f>RANK(K46, K$42:$K$71)</f>
        <v>7</v>
      </c>
      <c r="N46" s="402"/>
      <c r="O46" s="402"/>
      <c r="P46" s="169">
        <v>4</v>
      </c>
      <c r="Q46" s="169">
        <v>3001.0000000000027</v>
      </c>
      <c r="R46" s="169">
        <v>750.25000000000068</v>
      </c>
      <c r="S46" s="197">
        <f t="shared" si="10"/>
        <v>8</v>
      </c>
      <c r="T46" s="411"/>
      <c r="U46" s="169">
        <v>4</v>
      </c>
      <c r="V46" s="169">
        <v>3007.4999999999977</v>
      </c>
      <c r="W46" s="169">
        <v>751.87499999999943</v>
      </c>
      <c r="X46" s="197">
        <f t="shared" si="11"/>
        <v>7</v>
      </c>
      <c r="Y46" s="411"/>
      <c r="Z46" s="169">
        <v>4</v>
      </c>
      <c r="AA46" s="169">
        <v>2979.6000000000031</v>
      </c>
      <c r="AB46" s="169">
        <v>744.90000000000077</v>
      </c>
      <c r="AC46" s="197">
        <f t="shared" si="12"/>
        <v>7</v>
      </c>
      <c r="AD46" s="411"/>
      <c r="AE46" s="169">
        <v>4</v>
      </c>
      <c r="AF46" s="169">
        <v>2944.2857142857133</v>
      </c>
      <c r="AG46" s="169">
        <v>736.07142857142833</v>
      </c>
      <c r="AH46" s="197">
        <f t="shared" si="13"/>
        <v>8</v>
      </c>
      <c r="AI46" s="411"/>
      <c r="AJ46" s="169">
        <v>4</v>
      </c>
      <c r="AK46" s="169">
        <v>2932.8571428571418</v>
      </c>
      <c r="AL46" s="169">
        <v>733.21428571428544</v>
      </c>
      <c r="AM46" s="197">
        <f t="shared" si="14"/>
        <v>7</v>
      </c>
      <c r="AN46" s="411"/>
      <c r="AO46" s="169">
        <v>4</v>
      </c>
      <c r="AP46" s="169">
        <v>2973.6000000000008</v>
      </c>
      <c r="AQ46" s="169">
        <v>743.4000000000002</v>
      </c>
      <c r="AR46" s="197">
        <f t="shared" si="15"/>
        <v>8</v>
      </c>
      <c r="AS46" s="411"/>
      <c r="AT46" s="169">
        <v>4</v>
      </c>
      <c r="AU46" s="169">
        <v>2980.4081632653069</v>
      </c>
      <c r="AV46" s="169">
        <v>745.10204081632673</v>
      </c>
      <c r="AW46" s="197">
        <f t="shared" si="16"/>
        <v>8</v>
      </c>
      <c r="AX46" s="411"/>
    </row>
    <row r="47" spans="2:50">
      <c r="B47" s="399"/>
      <c r="C47" s="197">
        <v>6</v>
      </c>
      <c r="D47" s="197" t="s">
        <v>229</v>
      </c>
      <c r="E47" s="197">
        <v>3</v>
      </c>
      <c r="F47" s="197">
        <v>2989.7727272727279</v>
      </c>
      <c r="G47" s="197">
        <v>996.59090909090935</v>
      </c>
      <c r="H47" s="411"/>
      <c r="I47" s="169">
        <f t="shared" si="17"/>
        <v>3</v>
      </c>
      <c r="J47" s="169">
        <f t="shared" si="18"/>
        <v>2985.0304611892675</v>
      </c>
      <c r="K47" s="195">
        <f t="shared" si="19"/>
        <v>995.01015372975587</v>
      </c>
      <c r="L47" s="411"/>
      <c r="M47" s="169">
        <f>RANK(K47, K$42:$K$71)</f>
        <v>1</v>
      </c>
      <c r="N47" s="402"/>
      <c r="O47" s="402"/>
      <c r="P47" s="169">
        <v>3</v>
      </c>
      <c r="Q47" s="169">
        <v>2989.7727272727279</v>
      </c>
      <c r="R47" s="169">
        <v>996.59090909090935</v>
      </c>
      <c r="S47" s="197">
        <f t="shared" si="10"/>
        <v>1</v>
      </c>
      <c r="T47" s="411"/>
      <c r="U47" s="169">
        <v>3</v>
      </c>
      <c r="V47" s="169">
        <v>2976.7058823529424</v>
      </c>
      <c r="W47" s="169">
        <v>992.23529411764741</v>
      </c>
      <c r="X47" s="197">
        <f t="shared" si="11"/>
        <v>1</v>
      </c>
      <c r="Y47" s="411"/>
      <c r="Z47" s="169">
        <v>3</v>
      </c>
      <c r="AA47" s="169">
        <v>2992.7710843373516</v>
      </c>
      <c r="AB47" s="169">
        <v>997.59036144578386</v>
      </c>
      <c r="AC47" s="197">
        <f t="shared" si="12"/>
        <v>1</v>
      </c>
      <c r="AD47" s="411"/>
      <c r="AE47" s="169">
        <v>3</v>
      </c>
      <c r="AF47" s="169">
        <v>3011.1428571428555</v>
      </c>
      <c r="AG47" s="169">
        <v>1003.7142857142852</v>
      </c>
      <c r="AH47" s="197">
        <f t="shared" si="13"/>
        <v>1</v>
      </c>
      <c r="AI47" s="411"/>
      <c r="AJ47" s="169">
        <v>3</v>
      </c>
      <c r="AK47" s="169">
        <v>2962.6086956521726</v>
      </c>
      <c r="AL47" s="169">
        <v>987.53623188405754</v>
      </c>
      <c r="AM47" s="197">
        <f t="shared" si="14"/>
        <v>1</v>
      </c>
      <c r="AN47" s="411"/>
      <c r="AO47" s="169">
        <v>3</v>
      </c>
      <c r="AP47" s="169">
        <v>2979.3548387096789</v>
      </c>
      <c r="AQ47" s="169">
        <v>993.11827956989293</v>
      </c>
      <c r="AR47" s="197">
        <f t="shared" si="15"/>
        <v>1</v>
      </c>
      <c r="AS47" s="411"/>
      <c r="AT47" s="169">
        <v>3</v>
      </c>
      <c r="AU47" s="169">
        <v>2982.857142857144</v>
      </c>
      <c r="AV47" s="169">
        <v>994.28571428571468</v>
      </c>
      <c r="AW47" s="197">
        <f t="shared" si="16"/>
        <v>1</v>
      </c>
      <c r="AX47" s="411"/>
    </row>
    <row r="48" spans="2:50">
      <c r="B48" s="399"/>
      <c r="C48" s="197">
        <v>7</v>
      </c>
      <c r="D48" s="197" t="s">
        <v>230</v>
      </c>
      <c r="E48" s="197">
        <v>4</v>
      </c>
      <c r="F48" s="197">
        <v>2441.0526315789457</v>
      </c>
      <c r="G48" s="197">
        <v>610.26315789473642</v>
      </c>
      <c r="H48" s="411"/>
      <c r="I48" s="169">
        <f t="shared" si="17"/>
        <v>4</v>
      </c>
      <c r="J48" s="169">
        <f t="shared" si="18"/>
        <v>2438.3967060508389</v>
      </c>
      <c r="K48" s="195">
        <f t="shared" si="19"/>
        <v>609.59917651270973</v>
      </c>
      <c r="L48" s="411"/>
      <c r="M48" s="169">
        <f>RANK(K48, K$42:$K$71)</f>
        <v>16</v>
      </c>
      <c r="N48" s="402"/>
      <c r="O48" s="402"/>
      <c r="P48" s="169">
        <v>4</v>
      </c>
      <c r="Q48" s="169">
        <v>2441.0526315789457</v>
      </c>
      <c r="R48" s="169">
        <v>610.26315789473642</v>
      </c>
      <c r="S48" s="197">
        <f t="shared" si="10"/>
        <v>16</v>
      </c>
      <c r="T48" s="411"/>
      <c r="U48" s="169">
        <v>4</v>
      </c>
      <c r="V48" s="169">
        <v>2403.1578947368407</v>
      </c>
      <c r="W48" s="169">
        <v>600.78947368421018</v>
      </c>
      <c r="X48" s="197">
        <f t="shared" si="11"/>
        <v>17</v>
      </c>
      <c r="Y48" s="411"/>
      <c r="Z48" s="169">
        <v>4</v>
      </c>
      <c r="AA48" s="169">
        <v>2433.3333333333312</v>
      </c>
      <c r="AB48" s="169">
        <v>608.3333333333328</v>
      </c>
      <c r="AC48" s="197">
        <f t="shared" si="12"/>
        <v>16</v>
      </c>
      <c r="AD48" s="411"/>
      <c r="AE48" s="169">
        <v>4</v>
      </c>
      <c r="AF48" s="169">
        <v>2494.2857142857092</v>
      </c>
      <c r="AG48" s="169">
        <v>623.5714285714273</v>
      </c>
      <c r="AH48" s="197">
        <f t="shared" si="13"/>
        <v>14</v>
      </c>
      <c r="AI48" s="411"/>
      <c r="AJ48" s="169">
        <v>4</v>
      </c>
      <c r="AK48" s="169">
        <v>2429.999999999995</v>
      </c>
      <c r="AL48" s="169">
        <v>607.49999999999875</v>
      </c>
      <c r="AM48" s="197">
        <f t="shared" si="14"/>
        <v>16</v>
      </c>
      <c r="AN48" s="411"/>
      <c r="AO48" s="169">
        <v>4</v>
      </c>
      <c r="AP48" s="169">
        <v>2447.9999999999991</v>
      </c>
      <c r="AQ48" s="169">
        <v>611.99999999999977</v>
      </c>
      <c r="AR48" s="197">
        <f t="shared" si="15"/>
        <v>17</v>
      </c>
      <c r="AS48" s="411"/>
      <c r="AT48" s="169">
        <v>4</v>
      </c>
      <c r="AU48" s="169">
        <v>2418.9473684210507</v>
      </c>
      <c r="AV48" s="169">
        <v>604.73684210526267</v>
      </c>
      <c r="AW48" s="197">
        <f t="shared" si="16"/>
        <v>17</v>
      </c>
      <c r="AX48" s="411"/>
    </row>
    <row r="49" spans="2:50">
      <c r="B49" s="399"/>
      <c r="C49" s="197">
        <v>8</v>
      </c>
      <c r="D49" s="197" t="s">
        <v>231</v>
      </c>
      <c r="E49" s="197">
        <v>3</v>
      </c>
      <c r="F49" s="197">
        <v>2497.0212765957449</v>
      </c>
      <c r="G49" s="197">
        <v>832.340425531915</v>
      </c>
      <c r="H49" s="411"/>
      <c r="I49" s="169">
        <f t="shared" si="17"/>
        <v>3</v>
      </c>
      <c r="J49" s="169">
        <f t="shared" si="18"/>
        <v>2472.1002162139807</v>
      </c>
      <c r="K49" s="195">
        <f t="shared" si="19"/>
        <v>824.03340540466013</v>
      </c>
      <c r="L49" s="411"/>
      <c r="M49" s="169">
        <f>RANK(K49, K$42:$K$71)</f>
        <v>5</v>
      </c>
      <c r="N49" s="402"/>
      <c r="O49" s="402"/>
      <c r="P49" s="169">
        <v>3</v>
      </c>
      <c r="Q49" s="169">
        <v>2497.0212765957449</v>
      </c>
      <c r="R49" s="169">
        <v>832.340425531915</v>
      </c>
      <c r="S49" s="197">
        <f t="shared" si="10"/>
        <v>5</v>
      </c>
      <c r="T49" s="411"/>
      <c r="U49" s="169">
        <v>3</v>
      </c>
      <c r="V49" s="169">
        <v>2456.1702127659578</v>
      </c>
      <c r="W49" s="169">
        <v>818.72340425531922</v>
      </c>
      <c r="X49" s="197">
        <f t="shared" si="11"/>
        <v>5</v>
      </c>
      <c r="Y49" s="411"/>
      <c r="Z49" s="169">
        <v>3</v>
      </c>
      <c r="AA49" s="169">
        <v>2473.3333333333312</v>
      </c>
      <c r="AB49" s="169">
        <v>824.44444444444377</v>
      </c>
      <c r="AC49" s="197">
        <f t="shared" si="12"/>
        <v>4</v>
      </c>
      <c r="AD49" s="411"/>
      <c r="AE49" s="169">
        <v>3</v>
      </c>
      <c r="AF49" s="169">
        <v>2453.9999999999991</v>
      </c>
      <c r="AG49" s="169">
        <v>817.99999999999966</v>
      </c>
      <c r="AH49" s="197">
        <f t="shared" si="13"/>
        <v>5</v>
      </c>
      <c r="AI49" s="411"/>
      <c r="AJ49" s="169">
        <v>3</v>
      </c>
      <c r="AK49" s="169">
        <v>2484.3243243243223</v>
      </c>
      <c r="AL49" s="169">
        <v>828.10810810810744</v>
      </c>
      <c r="AM49" s="197">
        <f t="shared" si="14"/>
        <v>4</v>
      </c>
      <c r="AN49" s="411"/>
      <c r="AO49" s="169">
        <v>3</v>
      </c>
      <c r="AP49" s="169">
        <v>2473.4693877551026</v>
      </c>
      <c r="AQ49" s="169">
        <v>824.48979591836758</v>
      </c>
      <c r="AR49" s="197">
        <f t="shared" si="15"/>
        <v>4</v>
      </c>
      <c r="AS49" s="411"/>
      <c r="AT49" s="169">
        <v>3</v>
      </c>
      <c r="AU49" s="169">
        <v>2466.3829787234044</v>
      </c>
      <c r="AV49" s="169">
        <v>822.12765957446811</v>
      </c>
      <c r="AW49" s="197">
        <f t="shared" si="16"/>
        <v>5</v>
      </c>
      <c r="AX49" s="411"/>
    </row>
    <row r="50" spans="2:50">
      <c r="B50" s="399"/>
      <c r="C50" s="197">
        <v>9</v>
      </c>
      <c r="D50" s="197" t="s">
        <v>232</v>
      </c>
      <c r="E50" s="197">
        <v>3</v>
      </c>
      <c r="F50" s="197">
        <v>2503.6363636363658</v>
      </c>
      <c r="G50" s="197">
        <v>834.5454545454553</v>
      </c>
      <c r="H50" s="411"/>
      <c r="I50" s="169">
        <f t="shared" si="17"/>
        <v>3</v>
      </c>
      <c r="J50" s="169">
        <f t="shared" si="18"/>
        <v>2489.3412635786431</v>
      </c>
      <c r="K50" s="195">
        <f t="shared" si="19"/>
        <v>829.78042119288091</v>
      </c>
      <c r="L50" s="411"/>
      <c r="M50" s="169">
        <f>RANK(K50, K$42:$K$71)</f>
        <v>4</v>
      </c>
      <c r="N50" s="402"/>
      <c r="O50" s="402"/>
      <c r="P50" s="169">
        <v>3</v>
      </c>
      <c r="Q50" s="169">
        <v>2503.6363636363658</v>
      </c>
      <c r="R50" s="169">
        <v>834.5454545454553</v>
      </c>
      <c r="S50" s="197">
        <f t="shared" si="10"/>
        <v>4</v>
      </c>
      <c r="T50" s="411"/>
      <c r="U50" s="169">
        <v>3</v>
      </c>
      <c r="V50" s="169">
        <v>2487.2727272727293</v>
      </c>
      <c r="W50" s="169">
        <v>829.0909090909098</v>
      </c>
      <c r="X50" s="197">
        <f t="shared" si="11"/>
        <v>4</v>
      </c>
      <c r="Y50" s="411"/>
      <c r="Z50" s="169">
        <v>3</v>
      </c>
      <c r="AA50" s="169">
        <v>2458.6363636363658</v>
      </c>
      <c r="AB50" s="169">
        <v>819.5454545454553</v>
      </c>
      <c r="AC50" s="197">
        <f t="shared" si="12"/>
        <v>5</v>
      </c>
      <c r="AD50" s="411"/>
      <c r="AE50" s="169">
        <v>3</v>
      </c>
      <c r="AF50" s="169">
        <v>2467.8947368421013</v>
      </c>
      <c r="AG50" s="169">
        <v>822.63157894736707</v>
      </c>
      <c r="AH50" s="197">
        <f t="shared" si="13"/>
        <v>4</v>
      </c>
      <c r="AI50" s="411"/>
      <c r="AJ50" s="169">
        <v>3</v>
      </c>
      <c r="AK50" s="169">
        <v>2469.729729729725</v>
      </c>
      <c r="AL50" s="169">
        <v>823.24324324324164</v>
      </c>
      <c r="AM50" s="197">
        <f t="shared" si="14"/>
        <v>5</v>
      </c>
      <c r="AN50" s="411"/>
      <c r="AO50" s="169">
        <v>3</v>
      </c>
      <c r="AP50" s="169">
        <v>2463.6734693877579</v>
      </c>
      <c r="AQ50" s="169">
        <v>821.22448979591934</v>
      </c>
      <c r="AR50" s="197">
        <f t="shared" si="15"/>
        <v>5</v>
      </c>
      <c r="AS50" s="411"/>
      <c r="AT50" s="169">
        <v>3</v>
      </c>
      <c r="AU50" s="169">
        <v>2574.5454545454563</v>
      </c>
      <c r="AV50" s="169">
        <v>858.18181818181881</v>
      </c>
      <c r="AW50" s="197">
        <f t="shared" si="16"/>
        <v>4</v>
      </c>
      <c r="AX50" s="411"/>
    </row>
    <row r="51" spans="2:50">
      <c r="B51" s="399"/>
      <c r="C51" s="197">
        <v>10</v>
      </c>
      <c r="D51" s="197" t="s">
        <v>233</v>
      </c>
      <c r="E51" s="197">
        <v>4</v>
      </c>
      <c r="F51" s="197">
        <v>2491.0344827586227</v>
      </c>
      <c r="G51" s="197">
        <v>622.75862068965569</v>
      </c>
      <c r="H51" s="411"/>
      <c r="I51" s="169">
        <f t="shared" si="17"/>
        <v>4</v>
      </c>
      <c r="J51" s="169">
        <f t="shared" si="18"/>
        <v>2462.655331320515</v>
      </c>
      <c r="K51" s="195">
        <f t="shared" si="19"/>
        <v>615.66383283012874</v>
      </c>
      <c r="L51" s="411"/>
      <c r="M51" s="169">
        <f>RANK(K51, K$42:$K$71)</f>
        <v>15</v>
      </c>
      <c r="N51" s="402"/>
      <c r="O51" s="402"/>
      <c r="P51" s="169">
        <v>4</v>
      </c>
      <c r="Q51" s="169">
        <v>2491.0344827586227</v>
      </c>
      <c r="R51" s="169">
        <v>622.75862068965569</v>
      </c>
      <c r="S51" s="197">
        <f t="shared" si="10"/>
        <v>13</v>
      </c>
      <c r="T51" s="411"/>
      <c r="U51" s="169">
        <v>4</v>
      </c>
      <c r="V51" s="169">
        <v>2436.0000000000023</v>
      </c>
      <c r="W51" s="169">
        <v>609.00000000000057</v>
      </c>
      <c r="X51" s="197">
        <f t="shared" si="11"/>
        <v>16</v>
      </c>
      <c r="Y51" s="411"/>
      <c r="Z51" s="169">
        <v>4</v>
      </c>
      <c r="AA51" s="169">
        <v>2462.0689655172432</v>
      </c>
      <c r="AB51" s="169">
        <v>615.5172413793108</v>
      </c>
      <c r="AC51" s="197">
        <f t="shared" si="12"/>
        <v>15</v>
      </c>
      <c r="AD51" s="411"/>
      <c r="AE51" s="169">
        <v>4</v>
      </c>
      <c r="AF51" s="169">
        <v>2447.4999999999923</v>
      </c>
      <c r="AG51" s="169">
        <v>611.87499999999807</v>
      </c>
      <c r="AH51" s="197">
        <f t="shared" si="13"/>
        <v>17</v>
      </c>
      <c r="AI51" s="411"/>
      <c r="AJ51" s="169">
        <v>4</v>
      </c>
      <c r="AK51" s="169">
        <v>2432.4999999999927</v>
      </c>
      <c r="AL51" s="169">
        <v>608.12499999999818</v>
      </c>
      <c r="AM51" s="197">
        <f t="shared" si="14"/>
        <v>15</v>
      </c>
      <c r="AN51" s="411"/>
      <c r="AO51" s="169">
        <v>4</v>
      </c>
      <c r="AP51" s="169">
        <v>2475.4838709677442</v>
      </c>
      <c r="AQ51" s="169">
        <v>618.87096774193606</v>
      </c>
      <c r="AR51" s="197">
        <f t="shared" si="15"/>
        <v>14</v>
      </c>
      <c r="AS51" s="411"/>
      <c r="AT51" s="169">
        <v>4</v>
      </c>
      <c r="AU51" s="169">
        <v>2494.0000000000086</v>
      </c>
      <c r="AV51" s="169">
        <v>623.50000000000216</v>
      </c>
      <c r="AW51" s="197">
        <f t="shared" si="16"/>
        <v>13</v>
      </c>
      <c r="AX51" s="411"/>
    </row>
    <row r="52" spans="2:50">
      <c r="B52" s="399"/>
      <c r="C52" s="197">
        <v>11</v>
      </c>
      <c r="D52" s="197" t="s">
        <v>234</v>
      </c>
      <c r="E52" s="197">
        <v>4</v>
      </c>
      <c r="F52" s="197">
        <v>2472.2448979591845</v>
      </c>
      <c r="G52" s="197">
        <v>618.06122448979613</v>
      </c>
      <c r="H52" s="411"/>
      <c r="I52" s="169">
        <f t="shared" si="17"/>
        <v>4</v>
      </c>
      <c r="J52" s="169">
        <f t="shared" si="18"/>
        <v>2478.087379051</v>
      </c>
      <c r="K52" s="195">
        <f t="shared" si="19"/>
        <v>619.52184476274999</v>
      </c>
      <c r="L52" s="411"/>
      <c r="M52" s="169">
        <f>RANK(K52, K$42:$K$71)</f>
        <v>14</v>
      </c>
      <c r="N52" s="402"/>
      <c r="O52" s="402"/>
      <c r="P52" s="169">
        <v>4</v>
      </c>
      <c r="Q52" s="169">
        <v>2472.2448979591845</v>
      </c>
      <c r="R52" s="169">
        <v>618.06122448979613</v>
      </c>
      <c r="S52" s="197">
        <f t="shared" si="10"/>
        <v>14</v>
      </c>
      <c r="T52" s="411"/>
      <c r="U52" s="169">
        <v>4</v>
      </c>
      <c r="V52" s="169">
        <v>2456.3265306122494</v>
      </c>
      <c r="W52" s="169">
        <v>614.08163265306234</v>
      </c>
      <c r="X52" s="197">
        <f t="shared" si="11"/>
        <v>15</v>
      </c>
      <c r="Y52" s="411"/>
      <c r="Z52" s="169">
        <v>4</v>
      </c>
      <c r="AA52" s="169">
        <v>2542.666666666667</v>
      </c>
      <c r="AB52" s="169">
        <v>635.66666666666674</v>
      </c>
      <c r="AC52" s="197">
        <f t="shared" si="12"/>
        <v>12</v>
      </c>
      <c r="AD52" s="411"/>
      <c r="AE52" s="169">
        <v>4</v>
      </c>
      <c r="AF52" s="169">
        <v>2447.9999999999991</v>
      </c>
      <c r="AG52" s="169">
        <v>611.99999999999977</v>
      </c>
      <c r="AH52" s="197">
        <f t="shared" si="13"/>
        <v>16</v>
      </c>
      <c r="AI52" s="411"/>
      <c r="AJ52" s="169">
        <v>4</v>
      </c>
      <c r="AK52" s="169">
        <v>2439.9999999999986</v>
      </c>
      <c r="AL52" s="169">
        <v>609.99999999999966</v>
      </c>
      <c r="AM52" s="197">
        <f t="shared" si="14"/>
        <v>14</v>
      </c>
      <c r="AN52" s="411"/>
      <c r="AO52" s="169">
        <v>4</v>
      </c>
      <c r="AP52" s="169">
        <v>2486.9387755102048</v>
      </c>
      <c r="AQ52" s="169">
        <v>621.73469387755119</v>
      </c>
      <c r="AR52" s="197">
        <f t="shared" si="15"/>
        <v>13</v>
      </c>
      <c r="AS52" s="411"/>
      <c r="AT52" s="169">
        <v>4</v>
      </c>
      <c r="AU52" s="169">
        <v>2500.4347826086955</v>
      </c>
      <c r="AV52" s="169">
        <v>625.10869565217388</v>
      </c>
      <c r="AW52" s="197">
        <f t="shared" si="16"/>
        <v>12</v>
      </c>
      <c r="AX52" s="411"/>
    </row>
    <row r="53" spans="2:50">
      <c r="B53" s="399"/>
      <c r="C53" s="197">
        <v>12</v>
      </c>
      <c r="D53" s="197" t="s">
        <v>235</v>
      </c>
      <c r="E53" s="197">
        <v>3</v>
      </c>
      <c r="F53" s="197">
        <v>2365.714285714294</v>
      </c>
      <c r="G53" s="197">
        <v>788.57142857143128</v>
      </c>
      <c r="H53" s="411"/>
      <c r="I53" s="169">
        <f t="shared" si="17"/>
        <v>3</v>
      </c>
      <c r="J53" s="169">
        <f t="shared" si="18"/>
        <v>2359.9968602825757</v>
      </c>
      <c r="K53" s="195">
        <f t="shared" si="19"/>
        <v>786.66562009419192</v>
      </c>
      <c r="L53" s="411"/>
      <c r="M53" s="169">
        <f>RANK(K53, K$42:$K$71)</f>
        <v>6</v>
      </c>
      <c r="N53" s="402"/>
      <c r="O53" s="402"/>
      <c r="P53" s="169">
        <v>3</v>
      </c>
      <c r="Q53" s="169">
        <v>2365.714285714294</v>
      </c>
      <c r="R53" s="169">
        <v>788.57142857143128</v>
      </c>
      <c r="S53" s="197">
        <f t="shared" si="10"/>
        <v>6</v>
      </c>
      <c r="T53" s="411"/>
      <c r="U53" s="169">
        <v>3</v>
      </c>
      <c r="V53" s="169">
        <v>2352.8571428571508</v>
      </c>
      <c r="W53" s="169">
        <v>784.28571428571695</v>
      </c>
      <c r="X53" s="197">
        <f t="shared" si="11"/>
        <v>6</v>
      </c>
      <c r="Y53" s="411"/>
      <c r="Z53" s="169">
        <v>3</v>
      </c>
      <c r="AA53" s="169">
        <v>2326.1538461538398</v>
      </c>
      <c r="AB53" s="169">
        <v>775.38461538461331</v>
      </c>
      <c r="AC53" s="197">
        <f t="shared" si="12"/>
        <v>6</v>
      </c>
      <c r="AD53" s="411"/>
      <c r="AE53" s="169">
        <v>3</v>
      </c>
      <c r="AF53" s="169">
        <v>2321.9999999999895</v>
      </c>
      <c r="AG53" s="169">
        <v>773.99999999999648</v>
      </c>
      <c r="AH53" s="197">
        <f t="shared" si="13"/>
        <v>6</v>
      </c>
      <c r="AI53" s="411"/>
      <c r="AJ53" s="169">
        <v>3</v>
      </c>
      <c r="AK53" s="169">
        <v>2406.0000000000086</v>
      </c>
      <c r="AL53" s="169">
        <v>802.00000000000284</v>
      </c>
      <c r="AM53" s="197">
        <f t="shared" si="14"/>
        <v>6</v>
      </c>
      <c r="AN53" s="411"/>
      <c r="AO53" s="169">
        <v>3</v>
      </c>
      <c r="AP53" s="169">
        <v>2425.7142857142944</v>
      </c>
      <c r="AQ53" s="169">
        <v>808.57142857143151</v>
      </c>
      <c r="AR53" s="197">
        <f t="shared" si="15"/>
        <v>6</v>
      </c>
      <c r="AS53" s="411"/>
      <c r="AT53" s="169">
        <v>3</v>
      </c>
      <c r="AU53" s="169">
        <v>2321.5384615384555</v>
      </c>
      <c r="AV53" s="169">
        <v>773.84615384615188</v>
      </c>
      <c r="AW53" s="197">
        <f t="shared" si="16"/>
        <v>6</v>
      </c>
      <c r="AX53" s="411"/>
    </row>
    <row r="54" spans="2:50">
      <c r="B54" s="399"/>
      <c r="C54" s="197">
        <v>13</v>
      </c>
      <c r="D54" s="197" t="s">
        <v>236</v>
      </c>
      <c r="E54" s="197">
        <v>4</v>
      </c>
      <c r="F54" s="197">
        <v>2554.1538461538453</v>
      </c>
      <c r="G54" s="197">
        <v>638.53846153846132</v>
      </c>
      <c r="H54" s="411"/>
      <c r="I54" s="169">
        <f t="shared" si="17"/>
        <v>4</v>
      </c>
      <c r="J54" s="169">
        <f t="shared" si="18"/>
        <v>2490.9256363899012</v>
      </c>
      <c r="K54" s="195">
        <f t="shared" si="19"/>
        <v>622.73140909747531</v>
      </c>
      <c r="L54" s="411"/>
      <c r="M54" s="169">
        <f>RANK(K54, K$42:$K$71)</f>
        <v>12</v>
      </c>
      <c r="N54" s="402"/>
      <c r="O54" s="402"/>
      <c r="P54" s="169">
        <v>4</v>
      </c>
      <c r="Q54" s="169">
        <v>2554.1538461538453</v>
      </c>
      <c r="R54" s="169">
        <v>638.53846153846132</v>
      </c>
      <c r="S54" s="197">
        <f t="shared" si="10"/>
        <v>12</v>
      </c>
      <c r="T54" s="411"/>
      <c r="U54" s="169">
        <v>4</v>
      </c>
      <c r="V54" s="169">
        <v>2498.76923076923</v>
      </c>
      <c r="W54" s="169">
        <v>624.69230769230751</v>
      </c>
      <c r="X54" s="197">
        <f t="shared" si="11"/>
        <v>12</v>
      </c>
      <c r="Y54" s="411"/>
      <c r="Z54" s="169">
        <v>4</v>
      </c>
      <c r="AA54" s="169">
        <v>2481.5624999999995</v>
      </c>
      <c r="AB54" s="169">
        <v>620.39062499999989</v>
      </c>
      <c r="AC54" s="197">
        <f t="shared" si="12"/>
        <v>13</v>
      </c>
      <c r="AD54" s="411"/>
      <c r="AE54" s="169">
        <v>4</v>
      </c>
      <c r="AF54" s="169">
        <v>2461.0714285714289</v>
      </c>
      <c r="AG54" s="169">
        <v>615.26785714285722</v>
      </c>
      <c r="AH54" s="197">
        <f t="shared" si="13"/>
        <v>15</v>
      </c>
      <c r="AI54" s="411"/>
      <c r="AJ54" s="169">
        <v>4</v>
      </c>
      <c r="AK54" s="169">
        <v>2474.716981132075</v>
      </c>
      <c r="AL54" s="169">
        <v>618.67924528301876</v>
      </c>
      <c r="AM54" s="197">
        <f t="shared" si="14"/>
        <v>13</v>
      </c>
      <c r="AN54" s="411"/>
      <c r="AO54" s="169">
        <v>4</v>
      </c>
      <c r="AP54" s="169">
        <v>2472.6760563380271</v>
      </c>
      <c r="AQ54" s="169">
        <v>618.16901408450678</v>
      </c>
      <c r="AR54" s="197">
        <f t="shared" si="15"/>
        <v>15</v>
      </c>
      <c r="AS54" s="411"/>
      <c r="AT54" s="169">
        <v>4</v>
      </c>
      <c r="AU54" s="169">
        <v>2493.5294117647045</v>
      </c>
      <c r="AV54" s="169">
        <v>623.38235294117612</v>
      </c>
      <c r="AW54" s="197">
        <f t="shared" si="16"/>
        <v>14</v>
      </c>
      <c r="AX54" s="411"/>
    </row>
    <row r="55" spans="2:50">
      <c r="B55" s="399"/>
      <c r="C55" s="197">
        <v>14</v>
      </c>
      <c r="D55" s="197" t="s">
        <v>237</v>
      </c>
      <c r="E55" s="197">
        <v>4</v>
      </c>
      <c r="F55" s="197">
        <v>2467.9999999999995</v>
      </c>
      <c r="G55" s="197">
        <v>616.99999999999989</v>
      </c>
      <c r="H55" s="411"/>
      <c r="I55" s="169">
        <f t="shared" si="17"/>
        <v>4</v>
      </c>
      <c r="J55" s="169">
        <f t="shared" si="18"/>
        <v>2483.4931730231269</v>
      </c>
      <c r="K55" s="195">
        <f t="shared" si="19"/>
        <v>620.87329325578173</v>
      </c>
      <c r="L55" s="411"/>
      <c r="M55" s="169">
        <f>RANK(K55, K$42:$K$71)</f>
        <v>13</v>
      </c>
      <c r="N55" s="402"/>
      <c r="O55" s="402"/>
      <c r="P55" s="169">
        <v>4</v>
      </c>
      <c r="Q55" s="169">
        <v>2467.9999999999995</v>
      </c>
      <c r="R55" s="169">
        <v>616.99999999999989</v>
      </c>
      <c r="S55" s="197">
        <f t="shared" si="10"/>
        <v>15</v>
      </c>
      <c r="T55" s="411"/>
      <c r="U55" s="169">
        <v>4</v>
      </c>
      <c r="V55" s="169">
        <v>2483.9999999999995</v>
      </c>
      <c r="W55" s="169">
        <v>620.99999999999989</v>
      </c>
      <c r="X55" s="197">
        <f t="shared" si="11"/>
        <v>14</v>
      </c>
      <c r="Y55" s="411"/>
      <c r="Z55" s="169">
        <v>4</v>
      </c>
      <c r="AA55" s="169">
        <v>2477.0270270270303</v>
      </c>
      <c r="AB55" s="169">
        <v>619.25675675675757</v>
      </c>
      <c r="AC55" s="197">
        <f t="shared" si="12"/>
        <v>14</v>
      </c>
      <c r="AD55" s="411"/>
      <c r="AE55" s="169">
        <v>4</v>
      </c>
      <c r="AF55" s="169">
        <v>2497.1428571428551</v>
      </c>
      <c r="AG55" s="169">
        <v>624.28571428571377</v>
      </c>
      <c r="AH55" s="197">
        <f t="shared" si="13"/>
        <v>13</v>
      </c>
      <c r="AI55" s="411"/>
      <c r="AJ55" s="169">
        <v>4</v>
      </c>
      <c r="AK55" s="169">
        <v>2498.709677419356</v>
      </c>
      <c r="AL55" s="169">
        <v>624.677419354839</v>
      </c>
      <c r="AM55" s="197">
        <f t="shared" si="14"/>
        <v>12</v>
      </c>
      <c r="AN55" s="411"/>
      <c r="AO55" s="169">
        <v>4</v>
      </c>
      <c r="AP55" s="169">
        <v>2471.111111111109</v>
      </c>
      <c r="AQ55" s="169">
        <v>617.77777777777726</v>
      </c>
      <c r="AR55" s="197">
        <f t="shared" si="15"/>
        <v>16</v>
      </c>
      <c r="AS55" s="411"/>
      <c r="AT55" s="169">
        <v>4</v>
      </c>
      <c r="AU55" s="169">
        <v>2488.4615384615381</v>
      </c>
      <c r="AV55" s="169">
        <v>622.11538461538453</v>
      </c>
      <c r="AW55" s="197">
        <f t="shared" si="16"/>
        <v>15</v>
      </c>
      <c r="AX55" s="411"/>
    </row>
    <row r="56" spans="2:50">
      <c r="B56" s="399"/>
      <c r="C56" s="197">
        <v>15</v>
      </c>
      <c r="D56" s="197" t="s">
        <v>238</v>
      </c>
      <c r="E56" s="197">
        <v>4</v>
      </c>
      <c r="F56" s="197">
        <v>2746.0000000000095</v>
      </c>
      <c r="G56" s="197">
        <v>686.50000000000239</v>
      </c>
      <c r="H56" s="411"/>
      <c r="I56" s="169">
        <f t="shared" si="17"/>
        <v>4</v>
      </c>
      <c r="J56" s="169">
        <f t="shared" si="18"/>
        <v>2705.5115071167561</v>
      </c>
      <c r="K56" s="195">
        <f t="shared" si="19"/>
        <v>676.37787677918902</v>
      </c>
      <c r="L56" s="411"/>
      <c r="M56" s="169">
        <f>RANK(K56, K$42:$K$71)</f>
        <v>11</v>
      </c>
      <c r="N56" s="402"/>
      <c r="O56" s="402"/>
      <c r="P56" s="169">
        <v>4</v>
      </c>
      <c r="Q56" s="169">
        <v>2746.0000000000095</v>
      </c>
      <c r="R56" s="169">
        <v>686.50000000000239</v>
      </c>
      <c r="S56" s="197">
        <f t="shared" si="10"/>
        <v>11</v>
      </c>
      <c r="T56" s="411"/>
      <c r="U56" s="169">
        <v>4</v>
      </c>
      <c r="V56" s="169">
        <v>2797.2413793103392</v>
      </c>
      <c r="W56" s="169">
        <v>699.3103448275848</v>
      </c>
      <c r="X56" s="197">
        <f t="shared" si="11"/>
        <v>11</v>
      </c>
      <c r="Y56" s="411"/>
      <c r="Z56" s="169">
        <v>4</v>
      </c>
      <c r="AA56" s="169">
        <v>2753.5714285714384</v>
      </c>
      <c r="AB56" s="169">
        <v>688.39285714285961</v>
      </c>
      <c r="AC56" s="197">
        <f t="shared" si="12"/>
        <v>11</v>
      </c>
      <c r="AD56" s="411"/>
      <c r="AE56" s="169">
        <v>4</v>
      </c>
      <c r="AF56" s="169">
        <v>2740.7999999999925</v>
      </c>
      <c r="AG56" s="169">
        <v>685.19999999999811</v>
      </c>
      <c r="AH56" s="197">
        <f t="shared" si="13"/>
        <v>11</v>
      </c>
      <c r="AI56" s="411"/>
      <c r="AJ56" s="169">
        <v>4</v>
      </c>
      <c r="AK56" s="169">
        <v>2544.0000000000091</v>
      </c>
      <c r="AL56" s="169">
        <v>636.00000000000227</v>
      </c>
      <c r="AM56" s="197">
        <f t="shared" si="14"/>
        <v>11</v>
      </c>
      <c r="AN56" s="411"/>
      <c r="AO56" s="169">
        <v>4</v>
      </c>
      <c r="AP56" s="169">
        <v>2730.9677419354935</v>
      </c>
      <c r="AQ56" s="169">
        <v>682.74193548387336</v>
      </c>
      <c r="AR56" s="197">
        <f t="shared" si="15"/>
        <v>11</v>
      </c>
      <c r="AS56" s="411"/>
      <c r="AT56" s="169">
        <v>4</v>
      </c>
      <c r="AU56" s="169">
        <v>2626.0000000000091</v>
      </c>
      <c r="AV56" s="169">
        <v>656.50000000000227</v>
      </c>
      <c r="AW56" s="197">
        <f t="shared" si="16"/>
        <v>11</v>
      </c>
      <c r="AX56" s="411"/>
    </row>
    <row r="57" spans="2:50">
      <c r="B57" s="399"/>
      <c r="C57" s="197">
        <v>16</v>
      </c>
      <c r="D57" s="197" t="s">
        <v>239</v>
      </c>
      <c r="E57" s="197">
        <v>3</v>
      </c>
      <c r="F57" s="197">
        <v>2190.0000000000077</v>
      </c>
      <c r="G57" s="197">
        <v>730.00000000000261</v>
      </c>
      <c r="H57" s="411"/>
      <c r="I57" s="169">
        <f t="shared" si="17"/>
        <v>3</v>
      </c>
      <c r="J57" s="169">
        <f t="shared" si="18"/>
        <v>2151.7659063625529</v>
      </c>
      <c r="K57" s="195">
        <f t="shared" si="19"/>
        <v>717.25530212085084</v>
      </c>
      <c r="L57" s="411"/>
      <c r="M57" s="169">
        <f>RANK(K57, K$42:$K$71)</f>
        <v>10</v>
      </c>
      <c r="N57" s="402"/>
      <c r="O57" s="402"/>
      <c r="P57" s="169">
        <v>3</v>
      </c>
      <c r="Q57" s="169">
        <v>2190.0000000000077</v>
      </c>
      <c r="R57" s="169">
        <v>730.00000000000261</v>
      </c>
      <c r="S57" s="197">
        <f t="shared" si="10"/>
        <v>10</v>
      </c>
      <c r="T57" s="411"/>
      <c r="U57" s="169">
        <v>3</v>
      </c>
      <c r="V57" s="169">
        <v>2146.0000000000077</v>
      </c>
      <c r="W57" s="169">
        <v>715.33333333333587</v>
      </c>
      <c r="X57" s="197">
        <f t="shared" si="11"/>
        <v>10</v>
      </c>
      <c r="Y57" s="411"/>
      <c r="Z57" s="169">
        <v>3</v>
      </c>
      <c r="AA57" s="169">
        <v>2074.0000000000073</v>
      </c>
      <c r="AB57" s="169">
        <v>691.33333333333576</v>
      </c>
      <c r="AC57" s="197">
        <f t="shared" si="12"/>
        <v>10</v>
      </c>
      <c r="AD57" s="411"/>
      <c r="AE57" s="169">
        <v>3</v>
      </c>
      <c r="AF57" s="169">
        <v>2140.7142857142935</v>
      </c>
      <c r="AG57" s="169">
        <v>713.57142857143117</v>
      </c>
      <c r="AH57" s="197">
        <f t="shared" si="13"/>
        <v>10</v>
      </c>
      <c r="AI57" s="411"/>
      <c r="AJ57" s="169">
        <v>3</v>
      </c>
      <c r="AK57" s="169">
        <v>2114.0000000000073</v>
      </c>
      <c r="AL57" s="169">
        <v>704.66666666666913</v>
      </c>
      <c r="AM57" s="197">
        <f t="shared" si="14"/>
        <v>10</v>
      </c>
      <c r="AN57" s="411"/>
      <c r="AO57" s="169">
        <v>3</v>
      </c>
      <c r="AP57" s="169">
        <v>2147.647058823537</v>
      </c>
      <c r="AQ57" s="169">
        <v>715.88235294117897</v>
      </c>
      <c r="AR57" s="197">
        <f t="shared" si="15"/>
        <v>10</v>
      </c>
      <c r="AS57" s="411"/>
      <c r="AT57" s="169">
        <v>3</v>
      </c>
      <c r="AU57" s="169">
        <v>2250.0000000000082</v>
      </c>
      <c r="AV57" s="169">
        <v>750.00000000000273</v>
      </c>
      <c r="AW57" s="197">
        <f t="shared" si="16"/>
        <v>7</v>
      </c>
      <c r="AX57" s="411"/>
    </row>
    <row r="58" spans="2:50">
      <c r="B58" s="399"/>
      <c r="C58" s="197">
        <v>17</v>
      </c>
      <c r="D58" s="197" t="s">
        <v>240</v>
      </c>
      <c r="E58" s="197">
        <v>4</v>
      </c>
      <c r="F58" s="197">
        <v>2150.769230769225</v>
      </c>
      <c r="G58" s="197">
        <v>537.69230769230626</v>
      </c>
      <c r="H58" s="411"/>
      <c r="I58" s="169">
        <f t="shared" si="17"/>
        <v>4</v>
      </c>
      <c r="J58" s="169">
        <f t="shared" si="18"/>
        <v>2173.6762269476458</v>
      </c>
      <c r="K58" s="195">
        <f t="shared" si="19"/>
        <v>543.41905673691144</v>
      </c>
      <c r="L58" s="411"/>
      <c r="M58" s="169">
        <f>RANK(K58, K$42:$K$71)</f>
        <v>18</v>
      </c>
      <c r="N58" s="402"/>
      <c r="O58" s="402"/>
      <c r="P58" s="169">
        <v>4</v>
      </c>
      <c r="Q58" s="169">
        <v>2150.769230769225</v>
      </c>
      <c r="R58" s="169">
        <v>537.69230769230626</v>
      </c>
      <c r="S58" s="197">
        <f t="shared" si="10"/>
        <v>18</v>
      </c>
      <c r="T58" s="411"/>
      <c r="U58" s="169">
        <v>4</v>
      </c>
      <c r="V58" s="169">
        <v>2192.4999999999786</v>
      </c>
      <c r="W58" s="169">
        <v>548.12499999999466</v>
      </c>
      <c r="X58" s="197">
        <f t="shared" si="11"/>
        <v>18</v>
      </c>
      <c r="Y58" s="411"/>
      <c r="Z58" s="169">
        <v>4</v>
      </c>
      <c r="AA58" s="169">
        <v>2288.1818181818098</v>
      </c>
      <c r="AB58" s="169">
        <v>572.04545454545246</v>
      </c>
      <c r="AC58" s="197">
        <f t="shared" si="12"/>
        <v>17</v>
      </c>
      <c r="AD58" s="411"/>
      <c r="AE58" s="169">
        <v>4</v>
      </c>
      <c r="AF58" s="169">
        <v>2208.0000000000077</v>
      </c>
      <c r="AG58" s="169">
        <v>552.00000000000193</v>
      </c>
      <c r="AH58" s="197">
        <f t="shared" si="13"/>
        <v>18</v>
      </c>
      <c r="AI58" s="411"/>
      <c r="AJ58" s="169">
        <v>4</v>
      </c>
      <c r="AK58" s="169">
        <v>2121.599999999994</v>
      </c>
      <c r="AL58" s="169">
        <v>530.3999999999985</v>
      </c>
      <c r="AM58" s="197">
        <f t="shared" si="14"/>
        <v>18</v>
      </c>
      <c r="AN58" s="411"/>
      <c r="AO58" s="169">
        <v>4</v>
      </c>
      <c r="AP58" s="169">
        <v>2191.1111111110927</v>
      </c>
      <c r="AQ58" s="169">
        <v>547.77777777777317</v>
      </c>
      <c r="AR58" s="197">
        <f t="shared" si="15"/>
        <v>18</v>
      </c>
      <c r="AS58" s="411"/>
      <c r="AT58" s="169">
        <v>4</v>
      </c>
      <c r="AU58" s="169">
        <v>2063.5714285714121</v>
      </c>
      <c r="AV58" s="169">
        <v>515.89285714285302</v>
      </c>
      <c r="AW58" s="197">
        <f t="shared" si="16"/>
        <v>18</v>
      </c>
      <c r="AX58" s="411"/>
    </row>
    <row r="59" spans="2:50">
      <c r="B59" s="399"/>
      <c r="C59" s="197">
        <v>18</v>
      </c>
      <c r="D59" s="197" t="s">
        <v>241</v>
      </c>
      <c r="E59" s="197">
        <v>4</v>
      </c>
      <c r="F59" s="197">
        <v>2432.9032258064522</v>
      </c>
      <c r="G59" s="197">
        <v>608.22580645161304</v>
      </c>
      <c r="H59" s="411"/>
      <c r="I59" s="169">
        <f t="shared" si="17"/>
        <v>4</v>
      </c>
      <c r="J59" s="169">
        <f t="shared" si="18"/>
        <v>2435.7299856215936</v>
      </c>
      <c r="K59" s="195">
        <f t="shared" si="19"/>
        <v>608.93249640539841</v>
      </c>
      <c r="L59" s="411"/>
      <c r="M59" s="169">
        <f>RANK(K59, K$42:$K$71)</f>
        <v>17</v>
      </c>
      <c r="N59" s="402"/>
      <c r="O59" s="402"/>
      <c r="P59" s="169">
        <v>4</v>
      </c>
      <c r="Q59" s="169">
        <v>2432.9032258064522</v>
      </c>
      <c r="R59" s="169">
        <v>608.22580645161304</v>
      </c>
      <c r="S59" s="197">
        <f t="shared" si="10"/>
        <v>17</v>
      </c>
      <c r="T59" s="411"/>
      <c r="U59" s="169">
        <v>4</v>
      </c>
      <c r="V59" s="169">
        <v>2493.1034482758619</v>
      </c>
      <c r="W59" s="169">
        <v>623.27586206896547</v>
      </c>
      <c r="X59" s="197">
        <f t="shared" si="11"/>
        <v>13</v>
      </c>
      <c r="Y59" s="411"/>
      <c r="Z59" s="169">
        <v>4</v>
      </c>
      <c r="AA59" s="169">
        <v>2267.9999997359701</v>
      </c>
      <c r="AB59" s="169">
        <v>566.99999993399251</v>
      </c>
      <c r="AC59" s="197">
        <f t="shared" si="12"/>
        <v>18</v>
      </c>
      <c r="AD59" s="411"/>
      <c r="AE59" s="169">
        <v>4</v>
      </c>
      <c r="AF59" s="169">
        <v>2575.199999999993</v>
      </c>
      <c r="AG59" s="169">
        <v>643.79999999999825</v>
      </c>
      <c r="AH59" s="197">
        <f t="shared" si="13"/>
        <v>12</v>
      </c>
      <c r="AI59" s="411"/>
      <c r="AJ59" s="169">
        <v>4</v>
      </c>
      <c r="AK59" s="169">
        <v>2349.999999726424</v>
      </c>
      <c r="AL59" s="169">
        <v>587.499999931606</v>
      </c>
      <c r="AM59" s="197">
        <f t="shared" si="14"/>
        <v>17</v>
      </c>
      <c r="AN59" s="411"/>
      <c r="AO59" s="169">
        <v>4</v>
      </c>
      <c r="AP59" s="169">
        <v>2492.9032258064522</v>
      </c>
      <c r="AQ59" s="169">
        <v>623.22580645161304</v>
      </c>
      <c r="AR59" s="197">
        <f t="shared" si="15"/>
        <v>12</v>
      </c>
      <c r="AS59" s="411"/>
      <c r="AT59" s="169">
        <v>4</v>
      </c>
      <c r="AU59" s="169">
        <v>2438</v>
      </c>
      <c r="AV59" s="169">
        <v>609.5</v>
      </c>
      <c r="AW59" s="197">
        <f t="shared" si="16"/>
        <v>16</v>
      </c>
      <c r="AX59" s="411"/>
    </row>
    <row r="60" spans="2:50">
      <c r="B60" s="399"/>
      <c r="C60" s="197">
        <v>19</v>
      </c>
      <c r="D60" s="197" t="s">
        <v>242</v>
      </c>
      <c r="E60" s="197">
        <v>3</v>
      </c>
      <c r="F60" s="197">
        <v>2676.6666666666647</v>
      </c>
      <c r="G60" s="197">
        <v>892.2222222222216</v>
      </c>
      <c r="H60" s="411"/>
      <c r="I60" s="169">
        <f t="shared" si="17"/>
        <v>3</v>
      </c>
      <c r="J60" s="169">
        <f t="shared" si="18"/>
        <v>2678.6823171760693</v>
      </c>
      <c r="K60" s="195">
        <f t="shared" si="19"/>
        <v>892.89410572535655</v>
      </c>
      <c r="L60" s="411"/>
      <c r="M60" s="169">
        <f>RANK(K60, K$42:$K$71)</f>
        <v>3</v>
      </c>
      <c r="N60" s="402"/>
      <c r="O60" s="402"/>
      <c r="P60" s="169">
        <v>3</v>
      </c>
      <c r="Q60" s="169">
        <v>2676.6666666666647</v>
      </c>
      <c r="R60" s="169">
        <v>892.2222222222216</v>
      </c>
      <c r="S60" s="197">
        <f t="shared" si="10"/>
        <v>2</v>
      </c>
      <c r="T60" s="411"/>
      <c r="U60" s="169">
        <v>3</v>
      </c>
      <c r="V60" s="169">
        <v>2671.7647058823563</v>
      </c>
      <c r="W60" s="169">
        <v>890.58823529411882</v>
      </c>
      <c r="X60" s="197">
        <f t="shared" si="11"/>
        <v>3</v>
      </c>
      <c r="Y60" s="411"/>
      <c r="Z60" s="169">
        <v>3</v>
      </c>
      <c r="AA60" s="169">
        <v>2664.4444444444421</v>
      </c>
      <c r="AB60" s="169">
        <v>888.14814814814736</v>
      </c>
      <c r="AC60" s="197">
        <f t="shared" si="12"/>
        <v>2</v>
      </c>
      <c r="AD60" s="411"/>
      <c r="AE60" s="169">
        <v>3</v>
      </c>
      <c r="AF60" s="169">
        <v>2683.4042553191493</v>
      </c>
      <c r="AG60" s="169">
        <v>894.46808510638311</v>
      </c>
      <c r="AH60" s="197">
        <f t="shared" si="13"/>
        <v>3</v>
      </c>
      <c r="AI60" s="411"/>
      <c r="AJ60" s="169">
        <v>3</v>
      </c>
      <c r="AK60" s="169">
        <v>2700</v>
      </c>
      <c r="AL60" s="169">
        <v>900</v>
      </c>
      <c r="AM60" s="197">
        <f t="shared" si="14"/>
        <v>3</v>
      </c>
      <c r="AN60" s="411"/>
      <c r="AO60" s="169">
        <v>3</v>
      </c>
      <c r="AP60" s="169">
        <v>2680.6779661016935</v>
      </c>
      <c r="AQ60" s="169">
        <v>893.55932203389784</v>
      </c>
      <c r="AR60" s="197">
        <f t="shared" si="15"/>
        <v>2</v>
      </c>
      <c r="AS60" s="411"/>
      <c r="AT60" s="169">
        <v>3</v>
      </c>
      <c r="AU60" s="169">
        <v>2673.8181818181797</v>
      </c>
      <c r="AV60" s="169">
        <v>891.27272727272657</v>
      </c>
      <c r="AW60" s="197">
        <f t="shared" si="16"/>
        <v>3</v>
      </c>
      <c r="AX60" s="411"/>
    </row>
    <row r="61" spans="2:50">
      <c r="B61" s="399"/>
      <c r="C61" s="197">
        <v>20</v>
      </c>
      <c r="D61" s="197"/>
      <c r="E61" s="197"/>
      <c r="F61" s="197"/>
      <c r="G61" s="197"/>
      <c r="H61" s="411"/>
      <c r="I61" s="169"/>
      <c r="J61" s="169"/>
      <c r="K61" s="195"/>
      <c r="L61" s="411"/>
      <c r="M61" s="169" t="e">
        <f>RANK(K61, K$42:$K$71)</f>
        <v>#N/A</v>
      </c>
      <c r="N61" s="402"/>
      <c r="O61" s="402"/>
      <c r="P61" s="169"/>
      <c r="Q61" s="169"/>
      <c r="R61" s="169"/>
      <c r="S61" s="197" t="e">
        <f t="shared" si="10"/>
        <v>#N/A</v>
      </c>
      <c r="T61" s="411"/>
      <c r="U61" s="169"/>
      <c r="V61" s="169"/>
      <c r="W61" s="169"/>
      <c r="X61" s="197" t="e">
        <f t="shared" si="11"/>
        <v>#N/A</v>
      </c>
      <c r="Y61" s="411"/>
      <c r="Z61" s="169"/>
      <c r="AA61" s="169"/>
      <c r="AB61" s="169"/>
      <c r="AC61" s="197" t="e">
        <f t="shared" si="12"/>
        <v>#N/A</v>
      </c>
      <c r="AD61" s="411"/>
      <c r="AE61" s="169"/>
      <c r="AF61" s="169"/>
      <c r="AG61" s="169"/>
      <c r="AH61" s="197" t="e">
        <f t="shared" si="13"/>
        <v>#N/A</v>
      </c>
      <c r="AI61" s="411"/>
      <c r="AJ61" s="169"/>
      <c r="AK61" s="169"/>
      <c r="AL61" s="169"/>
      <c r="AM61" s="197" t="e">
        <f t="shared" si="14"/>
        <v>#N/A</v>
      </c>
      <c r="AN61" s="411"/>
      <c r="AO61" s="169"/>
      <c r="AP61" s="169"/>
      <c r="AQ61" s="169"/>
      <c r="AR61" s="197" t="e">
        <f t="shared" si="15"/>
        <v>#N/A</v>
      </c>
      <c r="AS61" s="411"/>
      <c r="AT61" s="169"/>
      <c r="AU61" s="169"/>
      <c r="AV61" s="169"/>
      <c r="AW61" s="197" t="e">
        <f t="shared" si="16"/>
        <v>#N/A</v>
      </c>
      <c r="AX61" s="411"/>
    </row>
    <row r="62" spans="2:50">
      <c r="B62" s="399"/>
      <c r="C62" s="197">
        <v>21</v>
      </c>
      <c r="D62" s="197"/>
      <c r="E62" s="197"/>
      <c r="F62" s="197"/>
      <c r="G62" s="197"/>
      <c r="H62" s="411"/>
      <c r="I62" s="197"/>
      <c r="J62" s="197"/>
      <c r="K62" s="197"/>
      <c r="L62" s="411"/>
      <c r="M62" s="169" t="e">
        <f>RANK(K62, K$42:$K$71)</f>
        <v>#N/A</v>
      </c>
      <c r="N62" s="402"/>
      <c r="O62" s="402"/>
      <c r="P62" s="197"/>
      <c r="Q62" s="169"/>
      <c r="R62" s="195"/>
      <c r="S62" s="197" t="e">
        <f t="shared" si="10"/>
        <v>#N/A</v>
      </c>
      <c r="T62" s="411"/>
      <c r="U62" s="197"/>
      <c r="V62" s="169"/>
      <c r="W62" s="195"/>
      <c r="X62" s="197" t="e">
        <f t="shared" si="11"/>
        <v>#N/A</v>
      </c>
      <c r="Y62" s="411"/>
      <c r="Z62" s="197"/>
      <c r="AA62" s="169"/>
      <c r="AB62" s="195"/>
      <c r="AC62" s="197" t="e">
        <f t="shared" si="12"/>
        <v>#N/A</v>
      </c>
      <c r="AD62" s="411"/>
      <c r="AE62" s="197"/>
      <c r="AF62" s="169"/>
      <c r="AG62" s="195"/>
      <c r="AH62" s="197" t="e">
        <f t="shared" si="13"/>
        <v>#N/A</v>
      </c>
      <c r="AI62" s="411"/>
      <c r="AJ62" s="197"/>
      <c r="AK62" s="169"/>
      <c r="AL62" s="195"/>
      <c r="AM62" s="197" t="e">
        <f t="shared" si="14"/>
        <v>#N/A</v>
      </c>
      <c r="AN62" s="411"/>
      <c r="AO62" s="197"/>
      <c r="AP62" s="169"/>
      <c r="AQ62" s="169"/>
      <c r="AR62" s="197" t="e">
        <f t="shared" si="15"/>
        <v>#N/A</v>
      </c>
      <c r="AS62" s="411"/>
      <c r="AT62" s="197"/>
      <c r="AU62" s="169"/>
      <c r="AV62" s="169"/>
      <c r="AW62" s="197" t="e">
        <f t="shared" si="16"/>
        <v>#N/A</v>
      </c>
      <c r="AX62" s="411"/>
    </row>
    <row r="63" spans="2:50">
      <c r="B63" s="399"/>
      <c r="C63" s="197">
        <v>22</v>
      </c>
      <c r="D63" s="197"/>
      <c r="E63" s="197"/>
      <c r="F63" s="197"/>
      <c r="G63" s="197"/>
      <c r="H63" s="411"/>
      <c r="I63" s="197"/>
      <c r="J63" s="197"/>
      <c r="K63" s="197"/>
      <c r="L63" s="411"/>
      <c r="M63" s="169" t="e">
        <f>RANK(K63, K$42:$K$71)</f>
        <v>#N/A</v>
      </c>
      <c r="N63" s="402"/>
      <c r="O63" s="402"/>
      <c r="P63" s="197"/>
      <c r="Q63" s="169"/>
      <c r="R63" s="195"/>
      <c r="S63" s="197" t="e">
        <f t="shared" si="10"/>
        <v>#N/A</v>
      </c>
      <c r="T63" s="411"/>
      <c r="U63" s="197"/>
      <c r="V63" s="169"/>
      <c r="W63" s="195"/>
      <c r="X63" s="197" t="e">
        <f t="shared" si="11"/>
        <v>#N/A</v>
      </c>
      <c r="Y63" s="411"/>
      <c r="Z63" s="197"/>
      <c r="AA63" s="169"/>
      <c r="AB63" s="195"/>
      <c r="AC63" s="197" t="e">
        <f t="shared" si="12"/>
        <v>#N/A</v>
      </c>
      <c r="AD63" s="411"/>
      <c r="AE63" s="197"/>
      <c r="AF63" s="169"/>
      <c r="AG63" s="195"/>
      <c r="AH63" s="197" t="e">
        <f t="shared" si="13"/>
        <v>#N/A</v>
      </c>
      <c r="AI63" s="411"/>
      <c r="AJ63" s="197"/>
      <c r="AK63" s="169"/>
      <c r="AL63" s="195"/>
      <c r="AM63" s="197" t="e">
        <f t="shared" si="14"/>
        <v>#N/A</v>
      </c>
      <c r="AN63" s="411"/>
      <c r="AO63" s="197"/>
      <c r="AP63" s="169"/>
      <c r="AQ63" s="169"/>
      <c r="AR63" s="197" t="e">
        <f t="shared" si="15"/>
        <v>#N/A</v>
      </c>
      <c r="AS63" s="411"/>
      <c r="AT63" s="197"/>
      <c r="AU63" s="169"/>
      <c r="AV63" s="169"/>
      <c r="AW63" s="197" t="e">
        <f t="shared" si="16"/>
        <v>#N/A</v>
      </c>
      <c r="AX63" s="411"/>
    </row>
    <row r="64" spans="2:50">
      <c r="B64" s="399"/>
      <c r="C64" s="197">
        <v>23</v>
      </c>
      <c r="D64" s="197"/>
      <c r="E64" s="197"/>
      <c r="F64" s="197"/>
      <c r="G64" s="197"/>
      <c r="H64" s="411"/>
      <c r="I64" s="197"/>
      <c r="J64" s="197"/>
      <c r="K64" s="197"/>
      <c r="L64" s="411"/>
      <c r="M64" s="169" t="e">
        <f>RANK(K64, K$42:$K$71)</f>
        <v>#N/A</v>
      </c>
      <c r="N64" s="402"/>
      <c r="O64" s="402"/>
      <c r="P64" s="197"/>
      <c r="Q64" s="197"/>
      <c r="R64" s="195"/>
      <c r="S64" s="197" t="e">
        <f t="shared" si="10"/>
        <v>#N/A</v>
      </c>
      <c r="T64" s="411"/>
      <c r="U64" s="197"/>
      <c r="V64" s="169"/>
      <c r="W64" s="195"/>
      <c r="X64" s="197" t="e">
        <f t="shared" si="11"/>
        <v>#N/A</v>
      </c>
      <c r="Y64" s="411"/>
      <c r="Z64" s="197"/>
      <c r="AA64" s="169"/>
      <c r="AB64" s="195"/>
      <c r="AC64" s="197" t="e">
        <f t="shared" si="12"/>
        <v>#N/A</v>
      </c>
      <c r="AD64" s="411"/>
      <c r="AE64" s="197"/>
      <c r="AF64" s="169"/>
      <c r="AG64" s="195"/>
      <c r="AH64" s="197" t="e">
        <f t="shared" si="13"/>
        <v>#N/A</v>
      </c>
      <c r="AI64" s="411"/>
      <c r="AJ64" s="197"/>
      <c r="AK64" s="169"/>
      <c r="AL64" s="195"/>
      <c r="AM64" s="197" t="e">
        <f t="shared" si="14"/>
        <v>#N/A</v>
      </c>
      <c r="AN64" s="411"/>
      <c r="AO64" s="197"/>
      <c r="AP64" s="169"/>
      <c r="AQ64" s="169"/>
      <c r="AR64" s="197" t="e">
        <f t="shared" si="15"/>
        <v>#N/A</v>
      </c>
      <c r="AS64" s="411"/>
      <c r="AT64" s="197"/>
      <c r="AU64" s="169"/>
      <c r="AV64" s="169"/>
      <c r="AW64" s="197" t="e">
        <f t="shared" si="16"/>
        <v>#N/A</v>
      </c>
      <c r="AX64" s="411"/>
    </row>
    <row r="65" spans="2:50">
      <c r="B65" s="399"/>
      <c r="C65" s="197">
        <v>24</v>
      </c>
      <c r="D65" s="197"/>
      <c r="E65" s="197"/>
      <c r="F65" s="197"/>
      <c r="G65" s="197"/>
      <c r="H65" s="411"/>
      <c r="I65" s="197"/>
      <c r="J65" s="197"/>
      <c r="K65" s="197"/>
      <c r="L65" s="411"/>
      <c r="M65" s="169" t="e">
        <f>RANK(K65, K$42:$K$71)</f>
        <v>#N/A</v>
      </c>
      <c r="N65" s="402"/>
      <c r="O65" s="402"/>
      <c r="P65" s="197"/>
      <c r="Q65" s="197"/>
      <c r="R65" s="197"/>
      <c r="S65" s="197" t="e">
        <f t="shared" si="10"/>
        <v>#N/A</v>
      </c>
      <c r="T65" s="411"/>
      <c r="U65" s="197"/>
      <c r="V65" s="197"/>
      <c r="W65" s="197"/>
      <c r="X65" s="197" t="e">
        <f t="shared" si="11"/>
        <v>#N/A</v>
      </c>
      <c r="Y65" s="411"/>
      <c r="Z65" s="197"/>
      <c r="AA65" s="197"/>
      <c r="AB65" s="197"/>
      <c r="AC65" s="197" t="e">
        <f t="shared" si="12"/>
        <v>#N/A</v>
      </c>
      <c r="AD65" s="411"/>
      <c r="AE65" s="197"/>
      <c r="AF65" s="197"/>
      <c r="AG65" s="197"/>
      <c r="AH65" s="197" t="e">
        <f t="shared" si="13"/>
        <v>#N/A</v>
      </c>
      <c r="AI65" s="411"/>
      <c r="AJ65" s="197"/>
      <c r="AK65" s="197"/>
      <c r="AL65" s="197"/>
      <c r="AM65" s="197" t="e">
        <f t="shared" si="14"/>
        <v>#N/A</v>
      </c>
      <c r="AN65" s="411"/>
      <c r="AO65" s="197"/>
      <c r="AP65" s="197"/>
      <c r="AQ65" s="197"/>
      <c r="AR65" s="197" t="e">
        <f t="shared" si="15"/>
        <v>#N/A</v>
      </c>
      <c r="AS65" s="411"/>
      <c r="AT65" s="197"/>
      <c r="AU65" s="197"/>
      <c r="AV65" s="197"/>
      <c r="AW65" s="197" t="e">
        <f t="shared" si="16"/>
        <v>#N/A</v>
      </c>
      <c r="AX65" s="411"/>
    </row>
    <row r="66" spans="2:50">
      <c r="B66" s="399"/>
      <c r="C66" s="197">
        <v>25</v>
      </c>
      <c r="D66" s="197"/>
      <c r="E66" s="197"/>
      <c r="F66" s="197"/>
      <c r="G66" s="197"/>
      <c r="H66" s="411"/>
      <c r="I66" s="197"/>
      <c r="J66" s="197"/>
      <c r="K66" s="197"/>
      <c r="L66" s="411"/>
      <c r="M66" s="169" t="e">
        <f>RANK(K66, K$42:$K$71)</f>
        <v>#N/A</v>
      </c>
      <c r="N66" s="402"/>
      <c r="O66" s="402"/>
      <c r="P66" s="197"/>
      <c r="Q66" s="197"/>
      <c r="R66" s="197"/>
      <c r="S66" s="197" t="e">
        <f t="shared" si="10"/>
        <v>#N/A</v>
      </c>
      <c r="T66" s="411"/>
      <c r="U66" s="197"/>
      <c r="V66" s="197"/>
      <c r="W66" s="197"/>
      <c r="X66" s="197" t="e">
        <f t="shared" si="11"/>
        <v>#N/A</v>
      </c>
      <c r="Y66" s="411"/>
      <c r="Z66" s="197"/>
      <c r="AA66" s="197"/>
      <c r="AB66" s="197"/>
      <c r="AC66" s="197" t="e">
        <f t="shared" si="12"/>
        <v>#N/A</v>
      </c>
      <c r="AD66" s="411"/>
      <c r="AE66" s="197"/>
      <c r="AF66" s="197"/>
      <c r="AG66" s="197"/>
      <c r="AH66" s="197" t="e">
        <f t="shared" si="13"/>
        <v>#N/A</v>
      </c>
      <c r="AI66" s="411"/>
      <c r="AJ66" s="197"/>
      <c r="AK66" s="197"/>
      <c r="AL66" s="197"/>
      <c r="AM66" s="197" t="e">
        <f t="shared" si="14"/>
        <v>#N/A</v>
      </c>
      <c r="AN66" s="411"/>
      <c r="AO66" s="197"/>
      <c r="AP66" s="197"/>
      <c r="AQ66" s="197"/>
      <c r="AR66" s="197" t="e">
        <f t="shared" si="15"/>
        <v>#N/A</v>
      </c>
      <c r="AS66" s="411"/>
      <c r="AT66" s="197"/>
      <c r="AU66" s="197"/>
      <c r="AV66" s="197"/>
      <c r="AW66" s="197" t="e">
        <f t="shared" si="16"/>
        <v>#N/A</v>
      </c>
      <c r="AX66" s="411"/>
    </row>
    <row r="67" spans="2:50">
      <c r="B67" s="399"/>
      <c r="C67" s="197">
        <v>26</v>
      </c>
      <c r="D67" s="197"/>
      <c r="E67" s="197"/>
      <c r="F67" s="197"/>
      <c r="G67" s="197"/>
      <c r="H67" s="411"/>
      <c r="I67" s="197"/>
      <c r="J67" s="197"/>
      <c r="K67" s="197"/>
      <c r="L67" s="411"/>
      <c r="M67" s="169" t="e">
        <f>RANK(K67, K$42:$K$71)</f>
        <v>#N/A</v>
      </c>
      <c r="N67" s="402"/>
      <c r="O67" s="402"/>
      <c r="P67" s="197"/>
      <c r="Q67" s="197"/>
      <c r="R67" s="197"/>
      <c r="S67" s="197" t="e">
        <f t="shared" si="10"/>
        <v>#N/A</v>
      </c>
      <c r="T67" s="411"/>
      <c r="U67" s="197"/>
      <c r="V67" s="197"/>
      <c r="W67" s="197"/>
      <c r="X67" s="197" t="e">
        <f t="shared" si="11"/>
        <v>#N/A</v>
      </c>
      <c r="Y67" s="411"/>
      <c r="Z67" s="197"/>
      <c r="AA67" s="197"/>
      <c r="AB67" s="197"/>
      <c r="AC67" s="197" t="e">
        <f t="shared" si="12"/>
        <v>#N/A</v>
      </c>
      <c r="AD67" s="411"/>
      <c r="AE67" s="197"/>
      <c r="AF67" s="197"/>
      <c r="AG67" s="197"/>
      <c r="AH67" s="197" t="e">
        <f t="shared" si="13"/>
        <v>#N/A</v>
      </c>
      <c r="AI67" s="411"/>
      <c r="AJ67" s="197"/>
      <c r="AK67" s="197"/>
      <c r="AL67" s="197"/>
      <c r="AM67" s="197" t="e">
        <f t="shared" si="14"/>
        <v>#N/A</v>
      </c>
      <c r="AN67" s="411"/>
      <c r="AO67" s="197"/>
      <c r="AP67" s="197"/>
      <c r="AQ67" s="197"/>
      <c r="AR67" s="197" t="e">
        <f t="shared" si="15"/>
        <v>#N/A</v>
      </c>
      <c r="AS67" s="411"/>
      <c r="AT67" s="197"/>
      <c r="AU67" s="197"/>
      <c r="AV67" s="197"/>
      <c r="AW67" s="197" t="e">
        <f t="shared" si="16"/>
        <v>#N/A</v>
      </c>
      <c r="AX67" s="411"/>
    </row>
    <row r="68" spans="2:50">
      <c r="B68" s="399"/>
      <c r="C68" s="197">
        <v>27</v>
      </c>
      <c r="D68" s="197"/>
      <c r="E68" s="197"/>
      <c r="F68" s="197"/>
      <c r="G68" s="197"/>
      <c r="H68" s="411"/>
      <c r="I68" s="197"/>
      <c r="J68" s="197"/>
      <c r="K68" s="197"/>
      <c r="L68" s="411"/>
      <c r="M68" s="169" t="e">
        <f>RANK(K68, K$42:$K$71)</f>
        <v>#N/A</v>
      </c>
      <c r="N68" s="402"/>
      <c r="O68" s="402"/>
      <c r="P68" s="197"/>
      <c r="Q68" s="197"/>
      <c r="R68" s="197"/>
      <c r="S68" s="197" t="e">
        <f t="shared" si="10"/>
        <v>#N/A</v>
      </c>
      <c r="T68" s="411"/>
      <c r="U68" s="197"/>
      <c r="V68" s="197"/>
      <c r="W68" s="197"/>
      <c r="X68" s="197" t="e">
        <f t="shared" si="11"/>
        <v>#N/A</v>
      </c>
      <c r="Y68" s="411"/>
      <c r="Z68" s="197"/>
      <c r="AA68" s="197"/>
      <c r="AB68" s="197"/>
      <c r="AC68" s="197" t="e">
        <f t="shared" si="12"/>
        <v>#N/A</v>
      </c>
      <c r="AD68" s="411"/>
      <c r="AE68" s="197"/>
      <c r="AF68" s="197"/>
      <c r="AG68" s="197"/>
      <c r="AH68" s="197" t="e">
        <f t="shared" si="13"/>
        <v>#N/A</v>
      </c>
      <c r="AI68" s="411"/>
      <c r="AJ68" s="197"/>
      <c r="AK68" s="197"/>
      <c r="AL68" s="197"/>
      <c r="AM68" s="197" t="e">
        <f t="shared" si="14"/>
        <v>#N/A</v>
      </c>
      <c r="AN68" s="411"/>
      <c r="AO68" s="197"/>
      <c r="AP68" s="197"/>
      <c r="AQ68" s="197"/>
      <c r="AR68" s="197" t="e">
        <f t="shared" si="15"/>
        <v>#N/A</v>
      </c>
      <c r="AS68" s="411"/>
      <c r="AT68" s="197"/>
      <c r="AU68" s="197"/>
      <c r="AV68" s="197"/>
      <c r="AW68" s="197" t="e">
        <f t="shared" si="16"/>
        <v>#N/A</v>
      </c>
      <c r="AX68" s="411"/>
    </row>
    <row r="69" spans="2:50">
      <c r="B69" s="399"/>
      <c r="C69" s="197">
        <v>28</v>
      </c>
      <c r="D69" s="197"/>
      <c r="E69" s="197"/>
      <c r="F69" s="197"/>
      <c r="G69" s="197"/>
      <c r="H69" s="411"/>
      <c r="I69" s="197"/>
      <c r="J69" s="197"/>
      <c r="K69" s="197"/>
      <c r="L69" s="411"/>
      <c r="M69" s="169" t="e">
        <f>RANK(K69, K$42:$K$71)</f>
        <v>#N/A</v>
      </c>
      <c r="N69" s="402"/>
      <c r="O69" s="402"/>
      <c r="P69" s="197"/>
      <c r="Q69" s="197"/>
      <c r="R69" s="197"/>
      <c r="S69" s="197" t="e">
        <f t="shared" si="10"/>
        <v>#N/A</v>
      </c>
      <c r="T69" s="411"/>
      <c r="U69" s="197"/>
      <c r="V69" s="197"/>
      <c r="W69" s="197"/>
      <c r="X69" s="197" t="e">
        <f t="shared" si="11"/>
        <v>#N/A</v>
      </c>
      <c r="Y69" s="411"/>
      <c r="Z69" s="197"/>
      <c r="AA69" s="197"/>
      <c r="AB69" s="197"/>
      <c r="AC69" s="197" t="e">
        <f t="shared" si="12"/>
        <v>#N/A</v>
      </c>
      <c r="AD69" s="411"/>
      <c r="AE69" s="197"/>
      <c r="AF69" s="197"/>
      <c r="AG69" s="197"/>
      <c r="AH69" s="197" t="e">
        <f t="shared" si="13"/>
        <v>#N/A</v>
      </c>
      <c r="AI69" s="411"/>
      <c r="AJ69" s="197"/>
      <c r="AK69" s="197"/>
      <c r="AL69" s="197"/>
      <c r="AM69" s="197" t="e">
        <f t="shared" si="14"/>
        <v>#N/A</v>
      </c>
      <c r="AN69" s="411"/>
      <c r="AO69" s="197"/>
      <c r="AP69" s="197"/>
      <c r="AQ69" s="197"/>
      <c r="AR69" s="197" t="e">
        <f t="shared" si="15"/>
        <v>#N/A</v>
      </c>
      <c r="AS69" s="411"/>
      <c r="AT69" s="197"/>
      <c r="AU69" s="197"/>
      <c r="AV69" s="197"/>
      <c r="AW69" s="197" t="e">
        <f t="shared" si="16"/>
        <v>#N/A</v>
      </c>
      <c r="AX69" s="411"/>
    </row>
    <row r="70" spans="2:50">
      <c r="B70" s="399"/>
      <c r="C70" s="197">
        <v>29</v>
      </c>
      <c r="D70" s="197"/>
      <c r="E70" s="197"/>
      <c r="F70" s="197"/>
      <c r="G70" s="197"/>
      <c r="H70" s="411"/>
      <c r="I70" s="197"/>
      <c r="J70" s="197"/>
      <c r="K70" s="197"/>
      <c r="L70" s="411"/>
      <c r="M70" s="169" t="e">
        <f>RANK(K70, K$42:$K$71)</f>
        <v>#N/A</v>
      </c>
      <c r="N70" s="402"/>
      <c r="O70" s="402"/>
      <c r="P70" s="197"/>
      <c r="Q70" s="197"/>
      <c r="R70" s="197"/>
      <c r="S70" s="197" t="e">
        <f t="shared" si="10"/>
        <v>#N/A</v>
      </c>
      <c r="T70" s="411"/>
      <c r="U70" s="197"/>
      <c r="V70" s="197"/>
      <c r="W70" s="197"/>
      <c r="X70" s="197" t="e">
        <f t="shared" si="11"/>
        <v>#N/A</v>
      </c>
      <c r="Y70" s="411"/>
      <c r="Z70" s="197"/>
      <c r="AA70" s="197"/>
      <c r="AB70" s="197"/>
      <c r="AC70" s="197" t="e">
        <f t="shared" si="12"/>
        <v>#N/A</v>
      </c>
      <c r="AD70" s="411"/>
      <c r="AE70" s="197"/>
      <c r="AF70" s="197"/>
      <c r="AG70" s="197"/>
      <c r="AH70" s="197" t="e">
        <f t="shared" si="13"/>
        <v>#N/A</v>
      </c>
      <c r="AI70" s="411"/>
      <c r="AJ70" s="197"/>
      <c r="AK70" s="197"/>
      <c r="AL70" s="197"/>
      <c r="AM70" s="197" t="e">
        <f t="shared" si="14"/>
        <v>#N/A</v>
      </c>
      <c r="AN70" s="411"/>
      <c r="AO70" s="197"/>
      <c r="AP70" s="197"/>
      <c r="AQ70" s="197"/>
      <c r="AR70" s="197" t="e">
        <f t="shared" si="15"/>
        <v>#N/A</v>
      </c>
      <c r="AS70" s="411"/>
      <c r="AT70" s="197"/>
      <c r="AU70" s="197"/>
      <c r="AV70" s="197"/>
      <c r="AW70" s="197" t="e">
        <f t="shared" si="16"/>
        <v>#N/A</v>
      </c>
      <c r="AX70" s="411"/>
    </row>
    <row r="71" spans="2:50">
      <c r="B71" s="400"/>
      <c r="C71" s="197">
        <v>30</v>
      </c>
      <c r="D71" s="197"/>
      <c r="E71" s="197"/>
      <c r="F71" s="197"/>
      <c r="G71" s="197"/>
      <c r="H71" s="412"/>
      <c r="I71" s="197"/>
      <c r="J71" s="197"/>
      <c r="K71" s="197"/>
      <c r="L71" s="412"/>
      <c r="M71" s="169" t="e">
        <f>RANK(K71, K$42:$K$71)</f>
        <v>#N/A</v>
      </c>
      <c r="N71" s="403"/>
      <c r="O71" s="403"/>
      <c r="P71" s="197"/>
      <c r="Q71" s="197"/>
      <c r="R71" s="197"/>
      <c r="S71" s="197" t="e">
        <f t="shared" si="10"/>
        <v>#N/A</v>
      </c>
      <c r="T71" s="412"/>
      <c r="U71" s="197"/>
      <c r="V71" s="197"/>
      <c r="W71" s="197"/>
      <c r="X71" s="197" t="e">
        <f t="shared" si="11"/>
        <v>#N/A</v>
      </c>
      <c r="Y71" s="412"/>
      <c r="Z71" s="197"/>
      <c r="AA71" s="197"/>
      <c r="AB71" s="197"/>
      <c r="AC71" s="197" t="e">
        <f t="shared" si="12"/>
        <v>#N/A</v>
      </c>
      <c r="AD71" s="412"/>
      <c r="AE71" s="197"/>
      <c r="AF71" s="197"/>
      <c r="AG71" s="197"/>
      <c r="AH71" s="197" t="e">
        <f t="shared" si="13"/>
        <v>#N/A</v>
      </c>
      <c r="AI71" s="412"/>
      <c r="AJ71" s="197"/>
      <c r="AK71" s="197"/>
      <c r="AL71" s="197"/>
      <c r="AM71" s="197" t="e">
        <f t="shared" si="14"/>
        <v>#N/A</v>
      </c>
      <c r="AN71" s="412"/>
      <c r="AO71" s="197"/>
      <c r="AP71" s="197"/>
      <c r="AQ71" s="197"/>
      <c r="AR71" s="197" t="e">
        <f t="shared" si="15"/>
        <v>#N/A</v>
      </c>
      <c r="AS71" s="412"/>
      <c r="AT71" s="197"/>
      <c r="AU71" s="197"/>
      <c r="AV71" s="197"/>
      <c r="AW71" s="197" t="e">
        <f t="shared" si="16"/>
        <v>#N/A</v>
      </c>
      <c r="AX71" s="412"/>
    </row>
    <row r="72" spans="2:50" ht="15.75">
      <c r="B72" s="424" t="s">
        <v>202</v>
      </c>
      <c r="C72" s="425"/>
      <c r="D72" s="425"/>
      <c r="E72" s="425"/>
      <c r="F72" s="425"/>
      <c r="G72" s="425"/>
      <c r="H72" s="425"/>
      <c r="I72" s="201"/>
      <c r="J72" s="198"/>
      <c r="K72" s="201"/>
      <c r="L72" s="201"/>
      <c r="M72" s="193"/>
      <c r="N72" s="401" t="s">
        <v>203</v>
      </c>
      <c r="O72" s="401" t="s">
        <v>150</v>
      </c>
      <c r="P72" s="421">
        <f>P37+7</f>
        <v>45909</v>
      </c>
      <c r="Q72" s="422"/>
      <c r="R72" s="422"/>
      <c r="S72" s="422"/>
      <c r="T72" s="422"/>
      <c r="U72" s="416">
        <f>P72+1</f>
        <v>45910</v>
      </c>
      <c r="V72" s="417"/>
      <c r="W72" s="417"/>
      <c r="X72" s="417"/>
      <c r="Y72" s="418"/>
      <c r="Z72" s="416">
        <f>U72+1</f>
        <v>45911</v>
      </c>
      <c r="AA72" s="417"/>
      <c r="AB72" s="417"/>
      <c r="AC72" s="417"/>
      <c r="AD72" s="418"/>
      <c r="AE72" s="416">
        <f t="shared" ref="AE72" si="20">Z72+1</f>
        <v>45912</v>
      </c>
      <c r="AF72" s="417"/>
      <c r="AG72" s="417"/>
      <c r="AH72" s="417"/>
      <c r="AI72" s="418"/>
      <c r="AJ72" s="416">
        <f t="shared" ref="AJ72" si="21">AE72+1</f>
        <v>45913</v>
      </c>
      <c r="AK72" s="417"/>
      <c r="AL72" s="417"/>
      <c r="AM72" s="417"/>
      <c r="AN72" s="418"/>
      <c r="AO72" s="416">
        <f t="shared" ref="AO72" si="22">AJ72+1</f>
        <v>45914</v>
      </c>
      <c r="AP72" s="417"/>
      <c r="AQ72" s="417"/>
      <c r="AR72" s="417"/>
      <c r="AS72" s="418"/>
      <c r="AT72" s="416">
        <f t="shared" ref="AT72" si="23">AO72+1</f>
        <v>45915</v>
      </c>
      <c r="AU72" s="417"/>
      <c r="AV72" s="417"/>
      <c r="AW72" s="417"/>
      <c r="AX72" s="418"/>
    </row>
    <row r="73" spans="2:50" ht="15.75">
      <c r="B73" s="426"/>
      <c r="C73" s="426"/>
      <c r="D73" s="426"/>
      <c r="E73" s="426"/>
      <c r="F73" s="426"/>
      <c r="G73" s="426"/>
      <c r="H73" s="426"/>
      <c r="I73" s="199"/>
      <c r="J73" s="199"/>
      <c r="K73" s="199"/>
      <c r="L73" s="199"/>
      <c r="M73" s="194"/>
      <c r="N73" s="403"/>
      <c r="O73" s="403"/>
      <c r="P73" s="421" t="s">
        <v>204</v>
      </c>
      <c r="Q73" s="422"/>
      <c r="R73" s="422"/>
      <c r="S73" s="422"/>
      <c r="T73" s="422"/>
      <c r="U73" s="421" t="s">
        <v>205</v>
      </c>
      <c r="V73" s="422"/>
      <c r="W73" s="422"/>
      <c r="X73" s="422"/>
      <c r="Y73" s="422"/>
      <c r="Z73" s="421" t="s">
        <v>206</v>
      </c>
      <c r="AA73" s="422"/>
      <c r="AB73" s="422"/>
      <c r="AC73" s="422"/>
      <c r="AD73" s="422"/>
      <c r="AE73" s="421" t="s">
        <v>207</v>
      </c>
      <c r="AF73" s="422"/>
      <c r="AG73" s="422"/>
      <c r="AH73" s="422"/>
      <c r="AI73" s="422"/>
      <c r="AJ73" s="421" t="s">
        <v>208</v>
      </c>
      <c r="AK73" s="422"/>
      <c r="AL73" s="422"/>
      <c r="AM73" s="422"/>
      <c r="AN73" s="422"/>
      <c r="AO73" s="421" t="s">
        <v>157</v>
      </c>
      <c r="AP73" s="422"/>
      <c r="AQ73" s="422"/>
      <c r="AR73" s="422"/>
      <c r="AS73" s="422"/>
      <c r="AT73" s="421" t="s">
        <v>209</v>
      </c>
      <c r="AU73" s="422"/>
      <c r="AV73" s="422"/>
      <c r="AW73" s="422"/>
      <c r="AX73" s="422"/>
    </row>
    <row r="74" spans="2:50">
      <c r="B74" s="401" t="s">
        <v>210</v>
      </c>
      <c r="C74" s="404" t="s">
        <v>211</v>
      </c>
      <c r="D74" s="405"/>
      <c r="E74" s="413" t="s">
        <v>212</v>
      </c>
      <c r="F74" s="414"/>
      <c r="G74" s="415"/>
      <c r="H74" s="401" t="s">
        <v>213</v>
      </c>
      <c r="I74" s="413" t="s">
        <v>214</v>
      </c>
      <c r="J74" s="414"/>
      <c r="K74" s="415"/>
      <c r="L74" s="401" t="s">
        <v>213</v>
      </c>
      <c r="M74" s="401" t="s">
        <v>215</v>
      </c>
      <c r="N74" s="401"/>
      <c r="O74" s="401" t="s">
        <v>216</v>
      </c>
      <c r="P74" s="413" t="s">
        <v>217</v>
      </c>
      <c r="Q74" s="414"/>
      <c r="R74" s="414"/>
      <c r="S74" s="415"/>
      <c r="T74" s="401" t="s">
        <v>213</v>
      </c>
      <c r="U74" s="413" t="s">
        <v>217</v>
      </c>
      <c r="V74" s="414"/>
      <c r="W74" s="414"/>
      <c r="X74" s="415"/>
      <c r="Y74" s="401" t="s">
        <v>213</v>
      </c>
      <c r="Z74" s="413" t="s">
        <v>217</v>
      </c>
      <c r="AA74" s="414"/>
      <c r="AB74" s="414"/>
      <c r="AC74" s="415"/>
      <c r="AD74" s="401" t="s">
        <v>213</v>
      </c>
      <c r="AE74" s="413" t="s">
        <v>217</v>
      </c>
      <c r="AF74" s="414"/>
      <c r="AG74" s="414"/>
      <c r="AH74" s="415"/>
      <c r="AI74" s="401" t="s">
        <v>213</v>
      </c>
      <c r="AJ74" s="413" t="s">
        <v>217</v>
      </c>
      <c r="AK74" s="414"/>
      <c r="AL74" s="414"/>
      <c r="AM74" s="415"/>
      <c r="AN74" s="401" t="s">
        <v>213</v>
      </c>
      <c r="AO74" s="413" t="s">
        <v>217</v>
      </c>
      <c r="AP74" s="414"/>
      <c r="AQ74" s="414"/>
      <c r="AR74" s="415"/>
      <c r="AS74" s="401" t="s">
        <v>213</v>
      </c>
      <c r="AT74" s="413" t="s">
        <v>217</v>
      </c>
      <c r="AU74" s="414"/>
      <c r="AV74" s="414"/>
      <c r="AW74" s="415"/>
      <c r="AX74" s="401" t="s">
        <v>213</v>
      </c>
    </row>
    <row r="75" spans="2:50">
      <c r="B75" s="402"/>
      <c r="C75" s="406"/>
      <c r="D75" s="407"/>
      <c r="E75" s="413" t="s">
        <v>218</v>
      </c>
      <c r="F75" s="414"/>
      <c r="G75" s="415"/>
      <c r="H75" s="402"/>
      <c r="I75" s="413" t="s">
        <v>218</v>
      </c>
      <c r="J75" s="414"/>
      <c r="K75" s="415"/>
      <c r="L75" s="402"/>
      <c r="M75" s="402"/>
      <c r="N75" s="402"/>
      <c r="O75" s="402"/>
      <c r="P75" s="413" t="s">
        <v>219</v>
      </c>
      <c r="Q75" s="414"/>
      <c r="R75" s="414"/>
      <c r="S75" s="415"/>
      <c r="T75" s="402"/>
      <c r="U75" s="413" t="s">
        <v>219</v>
      </c>
      <c r="V75" s="414"/>
      <c r="W75" s="414"/>
      <c r="X75" s="415"/>
      <c r="Y75" s="402"/>
      <c r="Z75" s="413" t="s">
        <v>219</v>
      </c>
      <c r="AA75" s="414"/>
      <c r="AB75" s="414"/>
      <c r="AC75" s="415"/>
      <c r="AD75" s="402"/>
      <c r="AE75" s="413" t="s">
        <v>219</v>
      </c>
      <c r="AF75" s="414"/>
      <c r="AG75" s="414"/>
      <c r="AH75" s="415"/>
      <c r="AI75" s="402"/>
      <c r="AJ75" s="413" t="s">
        <v>219</v>
      </c>
      <c r="AK75" s="414"/>
      <c r="AL75" s="414"/>
      <c r="AM75" s="415"/>
      <c r="AN75" s="402"/>
      <c r="AO75" s="413" t="s">
        <v>219</v>
      </c>
      <c r="AP75" s="414"/>
      <c r="AQ75" s="414"/>
      <c r="AR75" s="415"/>
      <c r="AS75" s="402"/>
      <c r="AT75" s="413" t="s">
        <v>219</v>
      </c>
      <c r="AU75" s="414"/>
      <c r="AV75" s="414"/>
      <c r="AW75" s="415"/>
      <c r="AX75" s="402"/>
    </row>
    <row r="76" spans="2:50">
      <c r="B76" s="403"/>
      <c r="C76" s="408"/>
      <c r="D76" s="409"/>
      <c r="E76" s="297" t="s">
        <v>220</v>
      </c>
      <c r="F76" s="297" t="s">
        <v>221</v>
      </c>
      <c r="G76" s="297" t="s">
        <v>222</v>
      </c>
      <c r="H76" s="403"/>
      <c r="I76" s="297" t="s">
        <v>220</v>
      </c>
      <c r="J76" s="297" t="s">
        <v>221</v>
      </c>
      <c r="K76" s="297" t="s">
        <v>222</v>
      </c>
      <c r="L76" s="403"/>
      <c r="M76" s="403"/>
      <c r="N76" s="402"/>
      <c r="O76" s="402"/>
      <c r="P76" s="297" t="s">
        <v>220</v>
      </c>
      <c r="Q76" s="297" t="s">
        <v>221</v>
      </c>
      <c r="R76" s="297" t="s">
        <v>222</v>
      </c>
      <c r="S76" s="297" t="s">
        <v>215</v>
      </c>
      <c r="T76" s="403"/>
      <c r="U76" s="297" t="s">
        <v>220</v>
      </c>
      <c r="V76" s="297" t="s">
        <v>221</v>
      </c>
      <c r="W76" s="297" t="s">
        <v>222</v>
      </c>
      <c r="X76" s="297" t="s">
        <v>215</v>
      </c>
      <c r="Y76" s="403"/>
      <c r="Z76" s="297" t="s">
        <v>220</v>
      </c>
      <c r="AA76" s="297" t="s">
        <v>221</v>
      </c>
      <c r="AB76" s="297" t="s">
        <v>222</v>
      </c>
      <c r="AC76" s="297" t="s">
        <v>215</v>
      </c>
      <c r="AD76" s="403"/>
      <c r="AE76" s="297" t="s">
        <v>220</v>
      </c>
      <c r="AF76" s="297" t="s">
        <v>221</v>
      </c>
      <c r="AG76" s="297" t="s">
        <v>222</v>
      </c>
      <c r="AH76" s="297" t="s">
        <v>215</v>
      </c>
      <c r="AI76" s="403"/>
      <c r="AJ76" s="297" t="s">
        <v>220</v>
      </c>
      <c r="AK76" s="297" t="s">
        <v>221</v>
      </c>
      <c r="AL76" s="297" t="s">
        <v>222</v>
      </c>
      <c r="AM76" s="297" t="s">
        <v>215</v>
      </c>
      <c r="AN76" s="403"/>
      <c r="AO76" s="297" t="s">
        <v>220</v>
      </c>
      <c r="AP76" s="297" t="s">
        <v>221</v>
      </c>
      <c r="AQ76" s="297" t="s">
        <v>222</v>
      </c>
      <c r="AR76" s="297" t="s">
        <v>215</v>
      </c>
      <c r="AS76" s="403"/>
      <c r="AT76" s="297" t="s">
        <v>220</v>
      </c>
      <c r="AU76" s="297" t="s">
        <v>221</v>
      </c>
      <c r="AV76" s="297" t="s">
        <v>222</v>
      </c>
      <c r="AW76" s="297" t="s">
        <v>215</v>
      </c>
      <c r="AX76" s="403"/>
    </row>
    <row r="77" spans="2:50">
      <c r="B77" s="398" t="s">
        <v>223</v>
      </c>
      <c r="C77" s="197">
        <v>1</v>
      </c>
      <c r="D77" s="197" t="s">
        <v>224</v>
      </c>
      <c r="E77" s="197">
        <v>4</v>
      </c>
      <c r="F77" s="197">
        <v>2200</v>
      </c>
      <c r="G77" s="197">
        <v>550</v>
      </c>
      <c r="H77" s="410">
        <f>AVERAGE(G77:G106)</f>
        <v>892.0454545454545</v>
      </c>
      <c r="I77" s="169">
        <f>AVERAGE(P77,U77,Z77,AE77,AJ77,AO77,AT77)</f>
        <v>4</v>
      </c>
      <c r="J77" s="169">
        <f>AVERAGE(Q77,V77,AA77,AF77,AK77,AP77,AU77)</f>
        <v>1995.7327476299445</v>
      </c>
      <c r="K77" s="195">
        <f>AVERAGE(R77,W77,AB77,AG77,AL77,AQ77,AV77)</f>
        <v>498.93318690748612</v>
      </c>
      <c r="L77" s="410">
        <f>IFERROR(AVERAGE(K77:K106),"-")</f>
        <v>719.25017684589341</v>
      </c>
      <c r="M77" s="169" t="e">
        <f>RANK(K77, K$147:$K$176)</f>
        <v>#DIV/0!</v>
      </c>
      <c r="N77" s="402"/>
      <c r="O77" s="402"/>
      <c r="P77" s="169">
        <v>4</v>
      </c>
      <c r="Q77" s="169">
        <v>2000.21052631579</v>
      </c>
      <c r="R77" s="169">
        <v>500.05263157894751</v>
      </c>
      <c r="S77" s="197">
        <f>RANK(R77, R$77:R$106)</f>
        <v>22</v>
      </c>
      <c r="T77" s="410">
        <f>AVERAGE(R77:R106)</f>
        <v>716.94184872425546</v>
      </c>
      <c r="U77" s="169">
        <v>4</v>
      </c>
      <c r="V77" s="169">
        <v>1998.9473684210527</v>
      </c>
      <c r="W77" s="169">
        <v>499.73684210526318</v>
      </c>
      <c r="X77" s="197">
        <f>RANK(W77, W$77:W$106)</f>
        <v>22</v>
      </c>
      <c r="Y77" s="410">
        <f>AVERAGE(W77:W106)</f>
        <v>715.3280974026236</v>
      </c>
      <c r="Z77" s="169">
        <v>4</v>
      </c>
      <c r="AA77" s="169">
        <v>2000.2173913043471</v>
      </c>
      <c r="AB77" s="169">
        <v>500.05434782608677</v>
      </c>
      <c r="AC77" s="197">
        <f>RANK(AB77, AB$77:AB$106)</f>
        <v>22</v>
      </c>
      <c r="AD77" s="410">
        <f>AVERAGE(AB77:AB106)</f>
        <v>728.15098961848048</v>
      </c>
      <c r="AE77" s="169">
        <v>4</v>
      </c>
      <c r="AF77" s="169">
        <v>1976.8000000000009</v>
      </c>
      <c r="AG77" s="169">
        <v>494.20000000000022</v>
      </c>
      <c r="AH77" s="197">
        <f>RANK(AG77, AG$77:AG$106)</f>
        <v>22</v>
      </c>
      <c r="AI77" s="410">
        <f>AVERAGE(AG77:AG106)</f>
        <v>724.96186149576943</v>
      </c>
      <c r="AJ77" s="169">
        <v>4</v>
      </c>
      <c r="AK77" s="169">
        <v>1989.9999999999991</v>
      </c>
      <c r="AL77" s="169">
        <v>497.49999999999977</v>
      </c>
      <c r="AM77" s="197">
        <f>RANK(AL77, AL$77:AL$106)</f>
        <v>22</v>
      </c>
      <c r="AN77" s="410">
        <f>AVERAGE(AL77:AL106)</f>
        <v>711.55242913345728</v>
      </c>
      <c r="AO77" s="169">
        <v>4</v>
      </c>
      <c r="AP77" s="169">
        <v>2004.3749999999995</v>
      </c>
      <c r="AQ77" s="169">
        <v>501.09374999999989</v>
      </c>
      <c r="AR77" s="197">
        <f>RANK(AQ77, AQ$77:AQ$106)</f>
        <v>22</v>
      </c>
      <c r="AS77" s="410">
        <f>AVERAGE(AQ77:AQ106)</f>
        <v>719.99883032464948</v>
      </c>
      <c r="AT77" s="169">
        <v>4</v>
      </c>
      <c r="AU77" s="169">
        <v>1999.5789473684206</v>
      </c>
      <c r="AV77" s="169">
        <v>499.89473684210515</v>
      </c>
      <c r="AW77" s="197">
        <f>RANK(AV77, AV$77:AV$106)</f>
        <v>22</v>
      </c>
      <c r="AX77" s="410">
        <f>AVERAGE(AV77:AV106)</f>
        <v>717.81718122201676</v>
      </c>
    </row>
    <row r="78" spans="2:50">
      <c r="B78" s="399"/>
      <c r="C78" s="197">
        <v>2</v>
      </c>
      <c r="D78" s="197" t="s">
        <v>225</v>
      </c>
      <c r="E78" s="197">
        <v>3</v>
      </c>
      <c r="F78" s="197">
        <v>2700</v>
      </c>
      <c r="G78" s="197">
        <v>900</v>
      </c>
      <c r="H78" s="411"/>
      <c r="I78" s="169">
        <f t="shared" ref="I78:I95" si="24">AVERAGE(P78,U78,Z78,AE78,AJ78,AO78,AT78)</f>
        <v>3</v>
      </c>
      <c r="J78" s="169">
        <f t="shared" ref="J78:J95" si="25">AVERAGE(Q78,V78,AA78,AF78,AK78,AP78,AU78)</f>
        <v>2667.3800140745948</v>
      </c>
      <c r="K78" s="195">
        <f t="shared" ref="K78:K95" si="26">AVERAGE(R78,W78,AB78,AG78,AL78,AQ78,AV78)</f>
        <v>889.12667135819822</v>
      </c>
      <c r="L78" s="411"/>
      <c r="M78" s="169" t="e">
        <f>RANK(K78, K$147:$K$176)</f>
        <v>#DIV/0!</v>
      </c>
      <c r="N78" s="402"/>
      <c r="O78" s="402"/>
      <c r="P78" s="169">
        <v>3</v>
      </c>
      <c r="Q78" s="169">
        <v>2669.1428571428542</v>
      </c>
      <c r="R78" s="169">
        <v>889.71428571428476</v>
      </c>
      <c r="S78" s="197">
        <f t="shared" ref="S78:S106" si="27">RANK(R78, R$77:R$106)</f>
        <v>3</v>
      </c>
      <c r="T78" s="411"/>
      <c r="U78" s="169">
        <v>3</v>
      </c>
      <c r="V78" s="169">
        <v>2685.0000000000005</v>
      </c>
      <c r="W78" s="169">
        <v>895.00000000000011</v>
      </c>
      <c r="X78" s="197">
        <f t="shared" ref="X78:X106" si="28">RANK(W78, W$77:W$106)</f>
        <v>2</v>
      </c>
      <c r="Y78" s="411"/>
      <c r="Z78" s="169">
        <v>3</v>
      </c>
      <c r="AA78" s="169">
        <v>2641.7142857142862</v>
      </c>
      <c r="AB78" s="169">
        <v>880.57142857142878</v>
      </c>
      <c r="AC78" s="197">
        <f t="shared" ref="AC78:AC106" si="29">RANK(AB78, AB$77:AB$106)</f>
        <v>3</v>
      </c>
      <c r="AD78" s="411"/>
      <c r="AE78" s="169">
        <v>3</v>
      </c>
      <c r="AF78" s="169">
        <v>2633.7931034482745</v>
      </c>
      <c r="AG78" s="169">
        <v>877.93103448275815</v>
      </c>
      <c r="AH78" s="197">
        <f t="shared" ref="AH78:AH106" si="30">RANK(AG78, AG$77:AG$106)</f>
        <v>4</v>
      </c>
      <c r="AI78" s="411"/>
      <c r="AJ78" s="169">
        <v>3</v>
      </c>
      <c r="AK78" s="169">
        <v>2631.7241379310331</v>
      </c>
      <c r="AL78" s="169">
        <v>877.24137931034431</v>
      </c>
      <c r="AM78" s="197">
        <f t="shared" ref="AM78:AM106" si="31">RANK(AL78, AL$77:AL$106)</f>
        <v>3</v>
      </c>
      <c r="AN78" s="411"/>
      <c r="AO78" s="169">
        <v>3</v>
      </c>
      <c r="AP78" s="169">
        <v>2737.7142857142862</v>
      </c>
      <c r="AQ78" s="169">
        <v>912.57142857142878</v>
      </c>
      <c r="AR78" s="197">
        <f t="shared" ref="AR78:AR106" si="32">RANK(AQ78, AQ$77:AQ$106)</f>
        <v>2</v>
      </c>
      <c r="AS78" s="411"/>
      <c r="AT78" s="169">
        <v>3</v>
      </c>
      <c r="AU78" s="169">
        <v>2672.5714285714289</v>
      </c>
      <c r="AV78" s="169">
        <v>890.857142857143</v>
      </c>
      <c r="AW78" s="197">
        <f t="shared" ref="AW78:AW106" si="33">RANK(AV78, AV$77:AV$106)</f>
        <v>3</v>
      </c>
      <c r="AX78" s="411"/>
    </row>
    <row r="79" spans="2:50">
      <c r="B79" s="399"/>
      <c r="C79" s="197">
        <v>3</v>
      </c>
      <c r="D79" s="325" t="s">
        <v>226</v>
      </c>
      <c r="E79" s="197">
        <v>4</v>
      </c>
      <c r="F79" s="197">
        <v>3600</v>
      </c>
      <c r="G79" s="197">
        <v>900</v>
      </c>
      <c r="H79" s="411"/>
      <c r="I79" s="169">
        <f t="shared" si="24"/>
        <v>4</v>
      </c>
      <c r="J79" s="169">
        <f t="shared" si="25"/>
        <v>2985.4772403718744</v>
      </c>
      <c r="K79" s="327">
        <f t="shared" si="26"/>
        <v>746.36931009296859</v>
      </c>
      <c r="L79" s="411"/>
      <c r="M79" s="169" t="e">
        <f>RANK(K79, K$147:$K$176)</f>
        <v>#DIV/0!</v>
      </c>
      <c r="N79" s="402"/>
      <c r="O79" s="402"/>
      <c r="P79" s="169">
        <v>4</v>
      </c>
      <c r="Q79" s="169">
        <v>2978.9473684210507</v>
      </c>
      <c r="R79" s="169">
        <v>744.73684210526267</v>
      </c>
      <c r="S79" s="197">
        <f t="shared" si="27"/>
        <v>8</v>
      </c>
      <c r="T79" s="411"/>
      <c r="U79" s="169">
        <v>4</v>
      </c>
      <c r="V79" s="169">
        <v>3010.9090909090928</v>
      </c>
      <c r="W79" s="169">
        <v>752.7272727272732</v>
      </c>
      <c r="X79" s="197">
        <f t="shared" si="28"/>
        <v>7</v>
      </c>
      <c r="Y79" s="411"/>
      <c r="Z79" s="169">
        <v>4</v>
      </c>
      <c r="AA79" s="169">
        <v>3008.2758620689679</v>
      </c>
      <c r="AB79" s="169">
        <v>752.06896551724196</v>
      </c>
      <c r="AC79" s="197">
        <f t="shared" si="29"/>
        <v>9</v>
      </c>
      <c r="AD79" s="411"/>
      <c r="AE79" s="169">
        <v>4</v>
      </c>
      <c r="AF79" s="169">
        <v>2995.1999999999962</v>
      </c>
      <c r="AG79" s="169">
        <v>748.79999999999905</v>
      </c>
      <c r="AH79" s="197">
        <f t="shared" si="30"/>
        <v>10</v>
      </c>
      <c r="AI79" s="411"/>
      <c r="AJ79" s="169">
        <v>4</v>
      </c>
      <c r="AK79" s="169">
        <v>2930.7692307692273</v>
      </c>
      <c r="AL79" s="169">
        <v>732.69230769230683</v>
      </c>
      <c r="AM79" s="197">
        <f t="shared" si="31"/>
        <v>10</v>
      </c>
      <c r="AN79" s="411"/>
      <c r="AO79" s="169">
        <v>4</v>
      </c>
      <c r="AP79" s="169">
        <v>2981.739130434783</v>
      </c>
      <c r="AQ79" s="169">
        <v>745.43478260869574</v>
      </c>
      <c r="AR79" s="197">
        <f t="shared" si="32"/>
        <v>10</v>
      </c>
      <c r="AS79" s="411"/>
      <c r="AT79" s="169">
        <v>4</v>
      </c>
      <c r="AU79" s="169">
        <v>2992.5000000000036</v>
      </c>
      <c r="AV79" s="169">
        <v>748.12500000000091</v>
      </c>
      <c r="AW79" s="197">
        <f t="shared" si="33"/>
        <v>7</v>
      </c>
      <c r="AX79" s="411"/>
    </row>
    <row r="80" spans="2:50">
      <c r="B80" s="399"/>
      <c r="C80" s="197">
        <v>4</v>
      </c>
      <c r="D80" s="197" t="s">
        <v>229</v>
      </c>
      <c r="E80" s="197">
        <v>3</v>
      </c>
      <c r="F80" s="197">
        <v>3600</v>
      </c>
      <c r="G80" s="197">
        <v>1200</v>
      </c>
      <c r="H80" s="411"/>
      <c r="I80" s="169">
        <f t="shared" si="24"/>
        <v>3</v>
      </c>
      <c r="J80" s="169">
        <f t="shared" si="25"/>
        <v>2995.366833406265</v>
      </c>
      <c r="K80" s="195">
        <f t="shared" si="26"/>
        <v>998.45561113542169</v>
      </c>
      <c r="L80" s="411"/>
      <c r="M80" s="169" t="e">
        <f>RANK(K80, K$147:$K$176)</f>
        <v>#DIV/0!</v>
      </c>
      <c r="N80" s="402"/>
      <c r="O80" s="402"/>
      <c r="P80" s="169">
        <v>3</v>
      </c>
      <c r="Q80" s="169">
        <v>3004.615384615382</v>
      </c>
      <c r="R80" s="169">
        <v>1001.5384615384606</v>
      </c>
      <c r="S80" s="197">
        <f t="shared" si="27"/>
        <v>1</v>
      </c>
      <c r="T80" s="411"/>
      <c r="U80" s="169">
        <v>3</v>
      </c>
      <c r="V80" s="169">
        <v>2975.8695652173915</v>
      </c>
      <c r="W80" s="169">
        <v>991.95652173913049</v>
      </c>
      <c r="X80" s="197">
        <f t="shared" si="28"/>
        <v>1</v>
      </c>
      <c r="Y80" s="411"/>
      <c r="Z80" s="169">
        <v>3</v>
      </c>
      <c r="AA80" s="169">
        <v>2985.168539325844</v>
      </c>
      <c r="AB80" s="169">
        <v>995.05617977528129</v>
      </c>
      <c r="AC80" s="197">
        <f t="shared" si="29"/>
        <v>1</v>
      </c>
      <c r="AD80" s="411"/>
      <c r="AE80" s="169">
        <v>3</v>
      </c>
      <c r="AF80" s="169">
        <v>2979.9999999999986</v>
      </c>
      <c r="AG80" s="169">
        <v>993.33333333333292</v>
      </c>
      <c r="AH80" s="197">
        <f t="shared" si="30"/>
        <v>1</v>
      </c>
      <c r="AI80" s="411"/>
      <c r="AJ80" s="169">
        <v>3</v>
      </c>
      <c r="AK80" s="169">
        <v>2967.3529411764689</v>
      </c>
      <c r="AL80" s="169">
        <v>989.11764705882297</v>
      </c>
      <c r="AM80" s="197">
        <f t="shared" si="31"/>
        <v>1</v>
      </c>
      <c r="AN80" s="411"/>
      <c r="AO80" s="169">
        <v>3</v>
      </c>
      <c r="AP80" s="169">
        <v>3001.8947368421059</v>
      </c>
      <c r="AQ80" s="169">
        <v>1000.6315789473687</v>
      </c>
      <c r="AR80" s="197">
        <f t="shared" si="32"/>
        <v>1</v>
      </c>
      <c r="AS80" s="411"/>
      <c r="AT80" s="169">
        <v>3</v>
      </c>
      <c r="AU80" s="169">
        <v>3052.6666666666679</v>
      </c>
      <c r="AV80" s="169">
        <v>1017.555555555556</v>
      </c>
      <c r="AW80" s="197">
        <f t="shared" si="33"/>
        <v>1</v>
      </c>
      <c r="AX80" s="411"/>
    </row>
    <row r="81" spans="2:50">
      <c r="B81" s="399"/>
      <c r="C81" s="197">
        <v>5</v>
      </c>
      <c r="D81" s="197" t="s">
        <v>228</v>
      </c>
      <c r="E81" s="197">
        <v>3</v>
      </c>
      <c r="F81" s="197">
        <v>3600</v>
      </c>
      <c r="G81" s="197">
        <v>1200</v>
      </c>
      <c r="H81" s="411"/>
      <c r="I81" s="169">
        <f t="shared" si="24"/>
        <v>4</v>
      </c>
      <c r="J81" s="169">
        <f t="shared" si="25"/>
        <v>2965.6925924672164</v>
      </c>
      <c r="K81" s="195">
        <f t="shared" si="26"/>
        <v>741.4231481168041</v>
      </c>
      <c r="L81" s="411"/>
      <c r="M81" s="169" t="e">
        <f>RANK(K81, K$147:$K$176)</f>
        <v>#DIV/0!</v>
      </c>
      <c r="N81" s="402"/>
      <c r="O81" s="402"/>
      <c r="P81" s="169">
        <v>4</v>
      </c>
      <c r="Q81" s="169">
        <v>2965.3846153846121</v>
      </c>
      <c r="R81" s="169">
        <v>741.34615384615302</v>
      </c>
      <c r="S81" s="197">
        <f t="shared" si="27"/>
        <v>9</v>
      </c>
      <c r="T81" s="411"/>
      <c r="U81" s="169">
        <v>4</v>
      </c>
      <c r="V81" s="169">
        <v>2967.1698113207563</v>
      </c>
      <c r="W81" s="169">
        <v>741.79245283018906</v>
      </c>
      <c r="X81" s="197">
        <f t="shared" si="28"/>
        <v>10</v>
      </c>
      <c r="Y81" s="411"/>
      <c r="Z81" s="169">
        <v>4</v>
      </c>
      <c r="AA81" s="169">
        <v>3001.2244897959145</v>
      </c>
      <c r="AB81" s="169">
        <v>750.30612244897861</v>
      </c>
      <c r="AC81" s="197">
        <f t="shared" si="29"/>
        <v>10</v>
      </c>
      <c r="AD81" s="411"/>
      <c r="AE81" s="169">
        <v>4</v>
      </c>
      <c r="AF81" s="169">
        <v>2930.7692307692291</v>
      </c>
      <c r="AG81" s="169">
        <v>732.69230769230728</v>
      </c>
      <c r="AH81" s="197">
        <f t="shared" si="30"/>
        <v>11</v>
      </c>
      <c r="AI81" s="411"/>
      <c r="AJ81" s="169">
        <v>4</v>
      </c>
      <c r="AK81" s="169">
        <v>2944.4999999999991</v>
      </c>
      <c r="AL81" s="169">
        <v>736.12499999999977</v>
      </c>
      <c r="AM81" s="197">
        <f t="shared" si="31"/>
        <v>9</v>
      </c>
      <c r="AN81" s="411"/>
      <c r="AO81" s="169">
        <v>4</v>
      </c>
      <c r="AP81" s="169">
        <v>2989.1999999999962</v>
      </c>
      <c r="AQ81" s="169">
        <v>747.29999999999905</v>
      </c>
      <c r="AR81" s="197">
        <f t="shared" si="32"/>
        <v>9</v>
      </c>
      <c r="AS81" s="411"/>
      <c r="AT81" s="169">
        <v>4</v>
      </c>
      <c r="AU81" s="169">
        <v>2961.6000000000058</v>
      </c>
      <c r="AV81" s="169">
        <v>740.40000000000146</v>
      </c>
      <c r="AW81" s="197">
        <f t="shared" si="33"/>
        <v>9</v>
      </c>
      <c r="AX81" s="411"/>
    </row>
    <row r="82" spans="2:50">
      <c r="B82" s="399"/>
      <c r="C82" s="197">
        <v>6</v>
      </c>
      <c r="D82" s="197" t="s">
        <v>227</v>
      </c>
      <c r="E82" s="197">
        <v>4</v>
      </c>
      <c r="F82" s="197">
        <v>3600</v>
      </c>
      <c r="G82" s="197">
        <v>900</v>
      </c>
      <c r="H82" s="411"/>
      <c r="I82" s="169">
        <f t="shared" si="24"/>
        <v>4</v>
      </c>
      <c r="J82" s="169">
        <f t="shared" si="25"/>
        <v>2967.1277340703245</v>
      </c>
      <c r="K82" s="195">
        <f t="shared" si="26"/>
        <v>741.78193351758114</v>
      </c>
      <c r="L82" s="411"/>
      <c r="M82" s="169" t="e">
        <f>RANK(K82, K$147:$K$176)</f>
        <v>#DIV/0!</v>
      </c>
      <c r="N82" s="402"/>
      <c r="O82" s="402"/>
      <c r="P82" s="169">
        <v>4</v>
      </c>
      <c r="Q82" s="169">
        <v>2936.1290322580671</v>
      </c>
      <c r="R82" s="169">
        <v>734.03225806451678</v>
      </c>
      <c r="S82" s="197">
        <f t="shared" si="27"/>
        <v>10</v>
      </c>
      <c r="T82" s="411"/>
      <c r="U82" s="169">
        <v>4</v>
      </c>
      <c r="V82" s="169">
        <v>3003.5294117647095</v>
      </c>
      <c r="W82" s="169">
        <v>750.88235294117737</v>
      </c>
      <c r="X82" s="197">
        <f t="shared" si="28"/>
        <v>8</v>
      </c>
      <c r="Y82" s="411"/>
      <c r="Z82" s="169">
        <v>4</v>
      </c>
      <c r="AA82" s="169">
        <v>2968.9655172413818</v>
      </c>
      <c r="AB82" s="169">
        <v>742.24137931034545</v>
      </c>
      <c r="AC82" s="197">
        <f t="shared" si="29"/>
        <v>12</v>
      </c>
      <c r="AD82" s="411"/>
      <c r="AE82" s="169">
        <v>4</v>
      </c>
      <c r="AF82" s="169">
        <v>3008.181818181818</v>
      </c>
      <c r="AG82" s="169">
        <v>752.0454545454545</v>
      </c>
      <c r="AH82" s="197">
        <f t="shared" si="30"/>
        <v>9</v>
      </c>
      <c r="AI82" s="411"/>
      <c r="AJ82" s="169">
        <v>4</v>
      </c>
      <c r="AK82" s="169">
        <v>2945.217391304348</v>
      </c>
      <c r="AL82" s="169">
        <v>736.304347826087</v>
      </c>
      <c r="AM82" s="197">
        <f t="shared" si="31"/>
        <v>8</v>
      </c>
      <c r="AN82" s="411"/>
      <c r="AO82" s="169">
        <v>4</v>
      </c>
      <c r="AP82" s="169">
        <v>2943.8709677419461</v>
      </c>
      <c r="AQ82" s="169">
        <v>735.96774193548652</v>
      </c>
      <c r="AR82" s="197">
        <f t="shared" si="32"/>
        <v>12</v>
      </c>
      <c r="AS82" s="411"/>
      <c r="AT82" s="169">
        <v>4</v>
      </c>
      <c r="AU82" s="169">
        <v>2964.0000000000027</v>
      </c>
      <c r="AV82" s="169">
        <v>741.00000000000068</v>
      </c>
      <c r="AW82" s="197">
        <f t="shared" si="33"/>
        <v>8</v>
      </c>
      <c r="AX82" s="411"/>
    </row>
    <row r="83" spans="2:50">
      <c r="B83" s="399"/>
      <c r="C83" s="197">
        <v>7</v>
      </c>
      <c r="D83" s="197" t="s">
        <v>243</v>
      </c>
      <c r="E83" s="197">
        <v>4</v>
      </c>
      <c r="F83" s="197">
        <v>3600</v>
      </c>
      <c r="G83" s="197">
        <v>900</v>
      </c>
      <c r="H83" s="411"/>
      <c r="I83" s="169">
        <f t="shared" si="24"/>
        <v>4</v>
      </c>
      <c r="J83" s="169">
        <f t="shared" si="25"/>
        <v>2949.3367346938876</v>
      </c>
      <c r="K83" s="195">
        <f t="shared" si="26"/>
        <v>737.3341836734719</v>
      </c>
      <c r="L83" s="411"/>
      <c r="M83" s="169" t="e">
        <f>RANK(K83, K$147:$K$176)</f>
        <v>#DIV/0!</v>
      </c>
      <c r="N83" s="402"/>
      <c r="O83" s="402"/>
      <c r="P83" s="169">
        <v>4</v>
      </c>
      <c r="Q83" s="169">
        <v>3022.5000000000105</v>
      </c>
      <c r="R83" s="169">
        <v>755.62500000000261</v>
      </c>
      <c r="S83" s="197">
        <f t="shared" si="27"/>
        <v>7</v>
      </c>
      <c r="T83" s="411"/>
      <c r="U83" s="169">
        <v>4</v>
      </c>
      <c r="V83" s="169">
        <v>2977.5000000000105</v>
      </c>
      <c r="W83" s="169">
        <v>744.37500000000261</v>
      </c>
      <c r="X83" s="197">
        <f t="shared" si="28"/>
        <v>9</v>
      </c>
      <c r="Y83" s="411"/>
      <c r="Z83" s="169">
        <v>4</v>
      </c>
      <c r="AA83" s="169">
        <v>3308.5714285714403</v>
      </c>
      <c r="AB83" s="169">
        <v>827.14285714286007</v>
      </c>
      <c r="AC83" s="197">
        <f t="shared" si="29"/>
        <v>7</v>
      </c>
      <c r="AD83" s="411"/>
      <c r="AE83" s="169">
        <v>4</v>
      </c>
      <c r="AF83" s="169">
        <v>2785.7142857142635</v>
      </c>
      <c r="AG83" s="169">
        <v>696.42857142856587</v>
      </c>
      <c r="AH83" s="197">
        <f t="shared" si="30"/>
        <v>13</v>
      </c>
      <c r="AI83" s="411"/>
      <c r="AJ83" s="169">
        <v>4</v>
      </c>
      <c r="AK83" s="169">
        <v>2648.5714285714685</v>
      </c>
      <c r="AL83" s="169">
        <v>662.14285714286711</v>
      </c>
      <c r="AM83" s="197">
        <f t="shared" si="31"/>
        <v>14</v>
      </c>
      <c r="AN83" s="411"/>
      <c r="AO83" s="169">
        <v>4</v>
      </c>
      <c r="AP83" s="169">
        <v>3000.0000000000105</v>
      </c>
      <c r="AQ83" s="169">
        <v>750.00000000000261</v>
      </c>
      <c r="AR83" s="197">
        <f t="shared" si="32"/>
        <v>8</v>
      </c>
      <c r="AS83" s="411"/>
      <c r="AT83" s="169">
        <v>4</v>
      </c>
      <c r="AU83" s="169">
        <v>2902.50000000001</v>
      </c>
      <c r="AV83" s="169">
        <v>725.6250000000025</v>
      </c>
      <c r="AW83" s="197">
        <f t="shared" si="33"/>
        <v>12</v>
      </c>
      <c r="AX83" s="411"/>
    </row>
    <row r="84" spans="2:50">
      <c r="B84" s="399"/>
      <c r="C84" s="197">
        <v>8</v>
      </c>
      <c r="D84" s="197" t="s">
        <v>244</v>
      </c>
      <c r="E84" s="197">
        <v>4</v>
      </c>
      <c r="F84" s="197">
        <v>3600</v>
      </c>
      <c r="G84" s="197">
        <v>900</v>
      </c>
      <c r="H84" s="411"/>
      <c r="I84" s="169">
        <f t="shared" si="24"/>
        <v>4</v>
      </c>
      <c r="J84" s="169">
        <f t="shared" si="25"/>
        <v>2856.0714285714212</v>
      </c>
      <c r="K84" s="195">
        <f t="shared" si="26"/>
        <v>714.01785714285529</v>
      </c>
      <c r="L84" s="411"/>
      <c r="M84" s="169" t="e">
        <f>RANK(K84, K$147:$K$176)</f>
        <v>#DIV/0!</v>
      </c>
      <c r="N84" s="402"/>
      <c r="O84" s="402"/>
      <c r="P84" s="169">
        <v>4</v>
      </c>
      <c r="Q84" s="169">
        <v>2677.5000000000095</v>
      </c>
      <c r="R84" s="169">
        <v>669.37500000000239</v>
      </c>
      <c r="S84" s="197">
        <f t="shared" si="27"/>
        <v>14</v>
      </c>
      <c r="T84" s="411"/>
      <c r="U84" s="169">
        <v>4</v>
      </c>
      <c r="V84" s="169">
        <v>2654.9999999999563</v>
      </c>
      <c r="W84" s="169">
        <v>663.74999999998909</v>
      </c>
      <c r="X84" s="197">
        <f t="shared" si="28"/>
        <v>14</v>
      </c>
      <c r="Y84" s="411"/>
      <c r="Z84" s="169">
        <v>4</v>
      </c>
      <c r="AA84" s="169">
        <v>3350.0000000000123</v>
      </c>
      <c r="AB84" s="169">
        <v>837.50000000000307</v>
      </c>
      <c r="AC84" s="197">
        <f t="shared" si="29"/>
        <v>5</v>
      </c>
      <c r="AD84" s="411"/>
      <c r="AE84" s="169">
        <v>4</v>
      </c>
      <c r="AF84" s="169">
        <v>2809.9999999999723</v>
      </c>
      <c r="AG84" s="169">
        <v>702.49999999999307</v>
      </c>
      <c r="AH84" s="197">
        <f t="shared" si="30"/>
        <v>12</v>
      </c>
      <c r="AI84" s="411"/>
      <c r="AJ84" s="169">
        <v>4</v>
      </c>
      <c r="AK84" s="169">
        <v>2680.0000000000095</v>
      </c>
      <c r="AL84" s="169">
        <v>670.00000000000239</v>
      </c>
      <c r="AM84" s="197">
        <f t="shared" si="31"/>
        <v>13</v>
      </c>
      <c r="AN84" s="411"/>
      <c r="AO84" s="169">
        <v>4</v>
      </c>
      <c r="AP84" s="169">
        <v>2974.2857142856906</v>
      </c>
      <c r="AQ84" s="169">
        <v>743.57142857142264</v>
      </c>
      <c r="AR84" s="197">
        <f t="shared" si="32"/>
        <v>11</v>
      </c>
      <c r="AS84" s="411"/>
      <c r="AT84" s="169">
        <v>4</v>
      </c>
      <c r="AU84" s="169">
        <v>2845.7142857142958</v>
      </c>
      <c r="AV84" s="169">
        <v>711.42857142857395</v>
      </c>
      <c r="AW84" s="197">
        <f t="shared" si="33"/>
        <v>13</v>
      </c>
      <c r="AX84" s="411"/>
    </row>
    <row r="85" spans="2:50">
      <c r="B85" s="399"/>
      <c r="C85" s="197">
        <v>9</v>
      </c>
      <c r="D85" s="197" t="s">
        <v>230</v>
      </c>
      <c r="E85" s="197">
        <v>4</v>
      </c>
      <c r="F85" s="197">
        <v>3300</v>
      </c>
      <c r="G85" s="197">
        <v>825</v>
      </c>
      <c r="H85" s="411"/>
      <c r="I85" s="169">
        <f t="shared" si="24"/>
        <v>4</v>
      </c>
      <c r="J85" s="169">
        <f t="shared" si="25"/>
        <v>2417.9611763733806</v>
      </c>
      <c r="K85" s="195">
        <f t="shared" si="26"/>
        <v>604.49029409334514</v>
      </c>
      <c r="L85" s="411"/>
      <c r="M85" s="169" t="e">
        <f>RANK(K85, K$147:$K$176)</f>
        <v>#DIV/0!</v>
      </c>
      <c r="N85" s="402"/>
      <c r="O85" s="402"/>
      <c r="P85" s="169">
        <v>4</v>
      </c>
      <c r="Q85" s="169">
        <v>2466.6666666666647</v>
      </c>
      <c r="R85" s="169">
        <v>616.66666666666617</v>
      </c>
      <c r="S85" s="197">
        <f t="shared" si="27"/>
        <v>18</v>
      </c>
      <c r="T85" s="411"/>
      <c r="U85" s="169">
        <v>4</v>
      </c>
      <c r="V85" s="169">
        <v>2403.3333333333312</v>
      </c>
      <c r="W85" s="169">
        <v>600.8333333333328</v>
      </c>
      <c r="X85" s="197">
        <f t="shared" si="28"/>
        <v>20</v>
      </c>
      <c r="Y85" s="411"/>
      <c r="Z85" s="169">
        <v>4</v>
      </c>
      <c r="AA85" s="169">
        <v>2481.1764705882324</v>
      </c>
      <c r="AB85" s="169">
        <v>620.2941176470581</v>
      </c>
      <c r="AC85" s="197">
        <f t="shared" si="29"/>
        <v>16</v>
      </c>
      <c r="AD85" s="411"/>
      <c r="AE85" s="169">
        <v>4</v>
      </c>
      <c r="AF85" s="169">
        <v>2357.1428571428519</v>
      </c>
      <c r="AG85" s="169">
        <v>589.28571428571297</v>
      </c>
      <c r="AH85" s="197">
        <f t="shared" si="30"/>
        <v>20</v>
      </c>
      <c r="AI85" s="411"/>
      <c r="AJ85" s="169">
        <v>4</v>
      </c>
      <c r="AK85" s="169">
        <v>2418.4615384615322</v>
      </c>
      <c r="AL85" s="169">
        <v>604.61538461538305</v>
      </c>
      <c r="AM85" s="197">
        <f t="shared" si="31"/>
        <v>20</v>
      </c>
      <c r="AN85" s="411"/>
      <c r="AO85" s="169">
        <v>4</v>
      </c>
      <c r="AP85" s="169">
        <v>2418.9473684210507</v>
      </c>
      <c r="AQ85" s="169">
        <v>604.73684210526267</v>
      </c>
      <c r="AR85" s="197">
        <f t="shared" si="32"/>
        <v>19</v>
      </c>
      <c r="AS85" s="411"/>
      <c r="AT85" s="169">
        <v>4</v>
      </c>
      <c r="AU85" s="169">
        <v>2379.9999999999982</v>
      </c>
      <c r="AV85" s="169">
        <v>594.99999999999955</v>
      </c>
      <c r="AW85" s="197">
        <f t="shared" si="33"/>
        <v>20</v>
      </c>
      <c r="AX85" s="411"/>
    </row>
    <row r="86" spans="2:50">
      <c r="B86" s="399"/>
      <c r="C86" s="197">
        <v>10</v>
      </c>
      <c r="D86" s="197" t="s">
        <v>231</v>
      </c>
      <c r="E86" s="197">
        <v>3</v>
      </c>
      <c r="F86" s="197">
        <v>3300</v>
      </c>
      <c r="G86" s="197">
        <v>1100</v>
      </c>
      <c r="H86" s="411"/>
      <c r="I86" s="169">
        <f t="shared" si="24"/>
        <v>3</v>
      </c>
      <c r="J86" s="169">
        <f t="shared" si="25"/>
        <v>2484.0467420337895</v>
      </c>
      <c r="K86" s="195">
        <f t="shared" si="26"/>
        <v>828.01558067792996</v>
      </c>
      <c r="L86" s="411"/>
      <c r="M86" s="169" t="e">
        <f>RANK(K86, K$147:$K$176)</f>
        <v>#DIV/0!</v>
      </c>
      <c r="N86" s="402"/>
      <c r="O86" s="402"/>
      <c r="P86" s="169">
        <v>3</v>
      </c>
      <c r="Q86" s="169">
        <v>2474.3478260869542</v>
      </c>
      <c r="R86" s="169">
        <v>824.78260869565145</v>
      </c>
      <c r="S86" s="197">
        <f t="shared" si="27"/>
        <v>5</v>
      </c>
      <c r="T86" s="411"/>
      <c r="U86" s="169">
        <v>3</v>
      </c>
      <c r="V86" s="169">
        <v>2497.3333333333312</v>
      </c>
      <c r="W86" s="169">
        <v>832.44444444444377</v>
      </c>
      <c r="X86" s="197">
        <f t="shared" si="28"/>
        <v>4</v>
      </c>
      <c r="Y86" s="411"/>
      <c r="Z86" s="169">
        <v>3</v>
      </c>
      <c r="AA86" s="169">
        <v>2465.4545454545473</v>
      </c>
      <c r="AB86" s="169">
        <v>821.81818181818244</v>
      </c>
      <c r="AC86" s="197">
        <f t="shared" si="29"/>
        <v>8</v>
      </c>
      <c r="AD86" s="411"/>
      <c r="AE86" s="169">
        <v>3</v>
      </c>
      <c r="AF86" s="169">
        <v>2499.9999999999982</v>
      </c>
      <c r="AG86" s="169">
        <v>833.33333333333269</v>
      </c>
      <c r="AH86" s="197">
        <f t="shared" si="30"/>
        <v>6</v>
      </c>
      <c r="AI86" s="411"/>
      <c r="AJ86" s="169">
        <v>3</v>
      </c>
      <c r="AK86" s="169">
        <v>2463.3333333333312</v>
      </c>
      <c r="AL86" s="169">
        <v>821.1111111111104</v>
      </c>
      <c r="AM86" s="197">
        <f t="shared" si="31"/>
        <v>5</v>
      </c>
      <c r="AN86" s="411"/>
      <c r="AO86" s="169">
        <v>3</v>
      </c>
      <c r="AP86" s="169">
        <v>2493.1914893617027</v>
      </c>
      <c r="AQ86" s="169">
        <v>831.06382978723423</v>
      </c>
      <c r="AR86" s="197">
        <f t="shared" si="32"/>
        <v>4</v>
      </c>
      <c r="AS86" s="411"/>
      <c r="AT86" s="169">
        <v>3</v>
      </c>
      <c r="AU86" s="169">
        <v>2494.6666666666642</v>
      </c>
      <c r="AV86" s="169">
        <v>831.55555555555475</v>
      </c>
      <c r="AW86" s="197">
        <f t="shared" si="33"/>
        <v>4</v>
      </c>
      <c r="AX86" s="411"/>
    </row>
    <row r="87" spans="2:50">
      <c r="B87" s="399"/>
      <c r="C87" s="197">
        <v>11</v>
      </c>
      <c r="D87" s="197" t="s">
        <v>232</v>
      </c>
      <c r="E87" s="197">
        <v>3</v>
      </c>
      <c r="F87" s="197">
        <v>3300</v>
      </c>
      <c r="G87" s="197">
        <v>1100</v>
      </c>
      <c r="H87" s="411"/>
      <c r="I87" s="169">
        <f t="shared" si="24"/>
        <v>3</v>
      </c>
      <c r="J87" s="169">
        <f t="shared" si="25"/>
        <v>2477.6056939389523</v>
      </c>
      <c r="K87" s="195">
        <f t="shared" si="26"/>
        <v>825.8685646463174</v>
      </c>
      <c r="L87" s="411"/>
      <c r="M87" s="169" t="e">
        <f>RANK(K87, K$147:$K$176)</f>
        <v>#DIV/0!</v>
      </c>
      <c r="N87" s="402"/>
      <c r="O87" s="402"/>
      <c r="P87" s="169">
        <v>3</v>
      </c>
      <c r="Q87" s="169">
        <v>2460.0000000000023</v>
      </c>
      <c r="R87" s="169">
        <v>820.0000000000008</v>
      </c>
      <c r="S87" s="197">
        <f t="shared" si="27"/>
        <v>6</v>
      </c>
      <c r="T87" s="411"/>
      <c r="U87" s="169">
        <v>3</v>
      </c>
      <c r="V87" s="169">
        <v>2483.4782608695677</v>
      </c>
      <c r="W87" s="169">
        <v>827.82608695652254</v>
      </c>
      <c r="X87" s="197">
        <f t="shared" si="28"/>
        <v>5</v>
      </c>
      <c r="Y87" s="411"/>
      <c r="Z87" s="169">
        <v>3</v>
      </c>
      <c r="AA87" s="169">
        <v>2493.3333333333358</v>
      </c>
      <c r="AB87" s="169">
        <v>831.11111111111188</v>
      </c>
      <c r="AC87" s="197">
        <f t="shared" si="29"/>
        <v>6</v>
      </c>
      <c r="AD87" s="411"/>
      <c r="AE87" s="169">
        <v>3</v>
      </c>
      <c r="AF87" s="169">
        <v>2507.027027027028</v>
      </c>
      <c r="AG87" s="169">
        <v>835.67567567567596</v>
      </c>
      <c r="AH87" s="197">
        <f t="shared" si="30"/>
        <v>5</v>
      </c>
      <c r="AI87" s="411"/>
      <c r="AJ87" s="169">
        <v>3</v>
      </c>
      <c r="AK87" s="169">
        <v>2490.8108108108117</v>
      </c>
      <c r="AL87" s="169">
        <v>830.27027027027054</v>
      </c>
      <c r="AM87" s="197">
        <f t="shared" si="31"/>
        <v>4</v>
      </c>
      <c r="AN87" s="411"/>
      <c r="AO87" s="169">
        <v>3</v>
      </c>
      <c r="AP87" s="169">
        <v>2456.2500000000027</v>
      </c>
      <c r="AQ87" s="169">
        <v>818.75000000000091</v>
      </c>
      <c r="AR87" s="197">
        <f t="shared" si="32"/>
        <v>5</v>
      </c>
      <c r="AS87" s="411"/>
      <c r="AT87" s="169">
        <v>3</v>
      </c>
      <c r="AU87" s="169">
        <v>2452.3404255319174</v>
      </c>
      <c r="AV87" s="169">
        <v>817.44680851063913</v>
      </c>
      <c r="AW87" s="197">
        <f t="shared" si="33"/>
        <v>5</v>
      </c>
      <c r="AX87" s="411"/>
    </row>
    <row r="88" spans="2:50">
      <c r="B88" s="399"/>
      <c r="C88" s="197">
        <v>12</v>
      </c>
      <c r="D88" s="197" t="s">
        <v>233</v>
      </c>
      <c r="E88" s="197">
        <v>4</v>
      </c>
      <c r="F88" s="197">
        <v>3300</v>
      </c>
      <c r="G88" s="197">
        <v>825</v>
      </c>
      <c r="H88" s="411"/>
      <c r="I88" s="169">
        <f t="shared" si="24"/>
        <v>4</v>
      </c>
      <c r="J88" s="169">
        <f t="shared" si="25"/>
        <v>2487.7455947351013</v>
      </c>
      <c r="K88" s="195">
        <f t="shared" si="26"/>
        <v>621.93639868377534</v>
      </c>
      <c r="L88" s="411"/>
      <c r="M88" s="169" t="e">
        <f>RANK(K88, K$147:$K$176)</f>
        <v>#DIV/0!</v>
      </c>
      <c r="N88" s="402"/>
      <c r="O88" s="402"/>
      <c r="P88" s="169">
        <v>4</v>
      </c>
      <c r="Q88" s="169">
        <v>2430.0000000000023</v>
      </c>
      <c r="R88" s="169">
        <v>607.50000000000057</v>
      </c>
      <c r="S88" s="197">
        <f t="shared" si="27"/>
        <v>19</v>
      </c>
      <c r="T88" s="411"/>
      <c r="U88" s="169">
        <v>4</v>
      </c>
      <c r="V88" s="169">
        <v>2497.2413793103465</v>
      </c>
      <c r="W88" s="169">
        <v>624.31034482758662</v>
      </c>
      <c r="X88" s="197">
        <f t="shared" si="28"/>
        <v>15</v>
      </c>
      <c r="Y88" s="411"/>
      <c r="Z88" s="169">
        <v>4</v>
      </c>
      <c r="AA88" s="169">
        <v>2448.0000000000023</v>
      </c>
      <c r="AB88" s="169">
        <v>612.00000000000057</v>
      </c>
      <c r="AC88" s="197">
        <f t="shared" si="29"/>
        <v>20</v>
      </c>
      <c r="AD88" s="411"/>
      <c r="AE88" s="169">
        <v>4</v>
      </c>
      <c r="AF88" s="169">
        <v>2585.4545454545455</v>
      </c>
      <c r="AG88" s="169">
        <v>646.36363636363637</v>
      </c>
      <c r="AH88" s="197">
        <f t="shared" si="30"/>
        <v>15</v>
      </c>
      <c r="AI88" s="411"/>
      <c r="AJ88" s="169">
        <v>4</v>
      </c>
      <c r="AK88" s="169">
        <v>2428.695652173913</v>
      </c>
      <c r="AL88" s="169">
        <v>607.17391304347825</v>
      </c>
      <c r="AM88" s="197">
        <f t="shared" si="31"/>
        <v>19</v>
      </c>
      <c r="AN88" s="411"/>
      <c r="AO88" s="169">
        <v>4</v>
      </c>
      <c r="AP88" s="169">
        <v>2540.0000000000023</v>
      </c>
      <c r="AQ88" s="169">
        <v>635.00000000000057</v>
      </c>
      <c r="AR88" s="197">
        <f t="shared" si="32"/>
        <v>15</v>
      </c>
      <c r="AS88" s="411"/>
      <c r="AT88" s="169">
        <v>4</v>
      </c>
      <c r="AU88" s="169">
        <v>2484.8275862068986</v>
      </c>
      <c r="AV88" s="169">
        <v>621.20689655172464</v>
      </c>
      <c r="AW88" s="197">
        <f t="shared" si="33"/>
        <v>16</v>
      </c>
      <c r="AX88" s="411"/>
    </row>
    <row r="89" spans="2:50">
      <c r="B89" s="399"/>
      <c r="C89" s="197">
        <v>13</v>
      </c>
      <c r="D89" s="197" t="s">
        <v>234</v>
      </c>
      <c r="E89" s="197">
        <v>4</v>
      </c>
      <c r="F89" s="197">
        <v>2500</v>
      </c>
      <c r="G89" s="197">
        <v>625</v>
      </c>
      <c r="H89" s="411"/>
      <c r="I89" s="169">
        <f t="shared" si="24"/>
        <v>4</v>
      </c>
      <c r="J89" s="169">
        <f t="shared" si="25"/>
        <v>2465.9315447109079</v>
      </c>
      <c r="K89" s="195">
        <f t="shared" si="26"/>
        <v>616.48288617772698</v>
      </c>
      <c r="L89" s="411"/>
      <c r="M89" s="169" t="e">
        <f>RANK(K89, K$147:$K$176)</f>
        <v>#DIV/0!</v>
      </c>
      <c r="N89" s="402"/>
      <c r="O89" s="402"/>
      <c r="P89" s="169">
        <v>4</v>
      </c>
      <c r="Q89" s="169">
        <v>2468.0000000000041</v>
      </c>
      <c r="R89" s="169">
        <v>617.00000000000102</v>
      </c>
      <c r="S89" s="197">
        <f t="shared" si="27"/>
        <v>17</v>
      </c>
      <c r="T89" s="411"/>
      <c r="U89" s="169">
        <v>4</v>
      </c>
      <c r="V89" s="169">
        <v>2476</v>
      </c>
      <c r="W89" s="169">
        <v>619</v>
      </c>
      <c r="X89" s="197">
        <f t="shared" si="28"/>
        <v>17</v>
      </c>
      <c r="Y89" s="411"/>
      <c r="Z89" s="169">
        <v>4</v>
      </c>
      <c r="AA89" s="169">
        <v>2476.7441860465115</v>
      </c>
      <c r="AB89" s="169">
        <v>619.18604651162786</v>
      </c>
      <c r="AC89" s="197">
        <f t="shared" si="29"/>
        <v>17</v>
      </c>
      <c r="AD89" s="411"/>
      <c r="AE89" s="169">
        <v>4</v>
      </c>
      <c r="AF89" s="169">
        <v>2447.6470588235261</v>
      </c>
      <c r="AG89" s="169">
        <v>611.91176470588152</v>
      </c>
      <c r="AH89" s="197">
        <f t="shared" si="30"/>
        <v>18</v>
      </c>
      <c r="AI89" s="411"/>
      <c r="AJ89" s="169">
        <v>4</v>
      </c>
      <c r="AK89" s="169">
        <v>2432.5714285714262</v>
      </c>
      <c r="AL89" s="169">
        <v>608.14285714285654</v>
      </c>
      <c r="AM89" s="197">
        <f t="shared" si="31"/>
        <v>18</v>
      </c>
      <c r="AN89" s="411"/>
      <c r="AO89" s="169">
        <v>4</v>
      </c>
      <c r="AP89" s="169">
        <v>2488.0000000000045</v>
      </c>
      <c r="AQ89" s="169">
        <v>622.00000000000114</v>
      </c>
      <c r="AR89" s="197">
        <f t="shared" si="32"/>
        <v>17</v>
      </c>
      <c r="AS89" s="411"/>
      <c r="AT89" s="169">
        <v>4</v>
      </c>
      <c r="AU89" s="169">
        <v>2472.5581395348836</v>
      </c>
      <c r="AV89" s="169">
        <v>618.1395348837209</v>
      </c>
      <c r="AW89" s="197">
        <f t="shared" si="33"/>
        <v>18</v>
      </c>
      <c r="AX89" s="411"/>
    </row>
    <row r="90" spans="2:50">
      <c r="B90" s="399"/>
      <c r="C90" s="197">
        <v>14</v>
      </c>
      <c r="D90" s="197" t="s">
        <v>235</v>
      </c>
      <c r="E90" s="197">
        <v>3</v>
      </c>
      <c r="F90" s="197">
        <v>3300</v>
      </c>
      <c r="G90" s="197">
        <v>1100</v>
      </c>
      <c r="H90" s="411"/>
      <c r="I90" s="169">
        <f t="shared" si="24"/>
        <v>3</v>
      </c>
      <c r="J90" s="169">
        <f t="shared" si="25"/>
        <v>2428.5064935064925</v>
      </c>
      <c r="K90" s="195">
        <f t="shared" si="26"/>
        <v>809.50216450216419</v>
      </c>
      <c r="L90" s="411"/>
      <c r="M90" s="169" t="e">
        <f>RANK(K90, K$147:$K$176)</f>
        <v>#DIV/0!</v>
      </c>
      <c r="N90" s="402"/>
      <c r="O90" s="402"/>
      <c r="P90" s="169">
        <v>3</v>
      </c>
      <c r="Q90" s="169">
        <v>2480.0000000000086</v>
      </c>
      <c r="R90" s="169">
        <v>826.66666666666958</v>
      </c>
      <c r="S90" s="197">
        <f t="shared" si="27"/>
        <v>4</v>
      </c>
      <c r="T90" s="411"/>
      <c r="U90" s="169">
        <v>3</v>
      </c>
      <c r="V90" s="169">
        <v>2385.0000000000086</v>
      </c>
      <c r="W90" s="169">
        <v>795.00000000000284</v>
      </c>
      <c r="X90" s="197">
        <f t="shared" si="28"/>
        <v>6</v>
      </c>
      <c r="Y90" s="411"/>
      <c r="Z90" s="169">
        <v>3</v>
      </c>
      <c r="AA90" s="169">
        <v>2514.545454545445</v>
      </c>
      <c r="AB90" s="169">
        <v>838.18181818181495</v>
      </c>
      <c r="AC90" s="197">
        <f t="shared" si="29"/>
        <v>4</v>
      </c>
      <c r="AD90" s="411"/>
      <c r="AE90" s="169">
        <v>3</v>
      </c>
      <c r="AF90" s="169">
        <v>2460.0000000000086</v>
      </c>
      <c r="AG90" s="169">
        <v>820.00000000000284</v>
      </c>
      <c r="AH90" s="197">
        <f t="shared" si="30"/>
        <v>7</v>
      </c>
      <c r="AI90" s="411"/>
      <c r="AJ90" s="169">
        <v>3</v>
      </c>
      <c r="AK90" s="169">
        <v>2415.0000000000086</v>
      </c>
      <c r="AL90" s="169">
        <v>805.00000000000284</v>
      </c>
      <c r="AM90" s="197">
        <f t="shared" si="31"/>
        <v>6</v>
      </c>
      <c r="AN90" s="411"/>
      <c r="AO90" s="169">
        <v>3</v>
      </c>
      <c r="AP90" s="169">
        <v>2439.9999999999927</v>
      </c>
      <c r="AQ90" s="169">
        <v>813.33333333333087</v>
      </c>
      <c r="AR90" s="197">
        <f t="shared" si="32"/>
        <v>6</v>
      </c>
      <c r="AS90" s="411"/>
      <c r="AT90" s="169">
        <v>3</v>
      </c>
      <c r="AU90" s="169">
        <v>2304.9999999999777</v>
      </c>
      <c r="AV90" s="169">
        <v>768.33333333332587</v>
      </c>
      <c r="AW90" s="197">
        <f t="shared" si="33"/>
        <v>6</v>
      </c>
      <c r="AX90" s="411"/>
    </row>
    <row r="91" spans="2:50">
      <c r="B91" s="399"/>
      <c r="C91" s="197">
        <v>15</v>
      </c>
      <c r="D91" s="197" t="s">
        <v>236</v>
      </c>
      <c r="E91" s="197">
        <v>4</v>
      </c>
      <c r="F91" s="197">
        <v>3300</v>
      </c>
      <c r="G91" s="197">
        <v>825</v>
      </c>
      <c r="H91" s="411"/>
      <c r="I91" s="169">
        <f t="shared" si="24"/>
        <v>4</v>
      </c>
      <c r="J91" s="169">
        <f t="shared" si="25"/>
        <v>2477.4292858146232</v>
      </c>
      <c r="K91" s="195">
        <f t="shared" si="26"/>
        <v>619.3573214536558</v>
      </c>
      <c r="L91" s="411"/>
      <c r="M91" s="169" t="e">
        <f>RANK(K91, K$147:$K$176)</f>
        <v>#DIV/0!</v>
      </c>
      <c r="N91" s="402"/>
      <c r="O91" s="402"/>
      <c r="P91" s="169">
        <v>4</v>
      </c>
      <c r="Q91" s="169">
        <v>2495.6521739130435</v>
      </c>
      <c r="R91" s="169">
        <v>623.91304347826087</v>
      </c>
      <c r="S91" s="197">
        <f t="shared" si="27"/>
        <v>15</v>
      </c>
      <c r="T91" s="411"/>
      <c r="U91" s="169">
        <v>4</v>
      </c>
      <c r="V91" s="169">
        <v>2467.7142857142849</v>
      </c>
      <c r="W91" s="169">
        <v>616.92857142857122</v>
      </c>
      <c r="X91" s="197">
        <f t="shared" si="28"/>
        <v>18</v>
      </c>
      <c r="Y91" s="411"/>
      <c r="Z91" s="169">
        <v>4</v>
      </c>
      <c r="AA91" s="169">
        <v>2468.8235294117649</v>
      </c>
      <c r="AB91" s="169">
        <v>617.20588235294122</v>
      </c>
      <c r="AC91" s="197">
        <f t="shared" si="29"/>
        <v>19</v>
      </c>
      <c r="AD91" s="411"/>
      <c r="AE91" s="169">
        <v>4</v>
      </c>
      <c r="AF91" s="169">
        <v>2488.8888888888882</v>
      </c>
      <c r="AG91" s="169">
        <v>622.22222222222206</v>
      </c>
      <c r="AH91" s="197">
        <f t="shared" si="30"/>
        <v>17</v>
      </c>
      <c r="AI91" s="411"/>
      <c r="AJ91" s="169">
        <v>4</v>
      </c>
      <c r="AK91" s="169">
        <v>2462.2641509433975</v>
      </c>
      <c r="AL91" s="169">
        <v>615.56603773584936</v>
      </c>
      <c r="AM91" s="197">
        <f t="shared" si="31"/>
        <v>17</v>
      </c>
      <c r="AN91" s="411"/>
      <c r="AO91" s="169">
        <v>4</v>
      </c>
      <c r="AP91" s="169">
        <v>2475.0000000000005</v>
      </c>
      <c r="AQ91" s="169">
        <v>618.75000000000011</v>
      </c>
      <c r="AR91" s="197">
        <f t="shared" si="32"/>
        <v>18</v>
      </c>
      <c r="AS91" s="411"/>
      <c r="AT91" s="169">
        <v>4</v>
      </c>
      <c r="AU91" s="169">
        <v>2483.6619718309848</v>
      </c>
      <c r="AV91" s="169">
        <v>620.91549295774621</v>
      </c>
      <c r="AW91" s="197">
        <f t="shared" si="33"/>
        <v>17</v>
      </c>
      <c r="AX91" s="411"/>
    </row>
    <row r="92" spans="2:50">
      <c r="B92" s="399"/>
      <c r="C92" s="197">
        <v>16</v>
      </c>
      <c r="D92" s="197" t="s">
        <v>237</v>
      </c>
      <c r="E92" s="197">
        <v>4</v>
      </c>
      <c r="F92" s="197">
        <v>3300</v>
      </c>
      <c r="G92" s="197">
        <v>825</v>
      </c>
      <c r="H92" s="411"/>
      <c r="I92" s="169">
        <f t="shared" si="24"/>
        <v>4</v>
      </c>
      <c r="J92" s="169">
        <f t="shared" si="25"/>
        <v>2488.6127262963228</v>
      </c>
      <c r="K92" s="195">
        <f t="shared" si="26"/>
        <v>622.15318157408069</v>
      </c>
      <c r="L92" s="411"/>
      <c r="M92" s="169" t="e">
        <f>RANK(K92, K$147:$K$176)</f>
        <v>#DIV/0!</v>
      </c>
      <c r="N92" s="402"/>
      <c r="O92" s="402"/>
      <c r="P92" s="169">
        <v>4</v>
      </c>
      <c r="Q92" s="169">
        <v>2491.5384615384619</v>
      </c>
      <c r="R92" s="169">
        <v>622.88461538461547</v>
      </c>
      <c r="S92" s="197">
        <f t="shared" si="27"/>
        <v>16</v>
      </c>
      <c r="T92" s="411"/>
      <c r="U92" s="169">
        <v>4</v>
      </c>
      <c r="V92" s="169">
        <v>2476.7088607594937</v>
      </c>
      <c r="W92" s="169">
        <v>619.17721518987344</v>
      </c>
      <c r="X92" s="197">
        <f t="shared" si="28"/>
        <v>16</v>
      </c>
      <c r="Y92" s="411"/>
      <c r="Z92" s="169">
        <v>4</v>
      </c>
      <c r="AA92" s="169">
        <v>2474.9999999999995</v>
      </c>
      <c r="AB92" s="169">
        <v>618.74999999999989</v>
      </c>
      <c r="AC92" s="197">
        <f t="shared" si="29"/>
        <v>18</v>
      </c>
      <c r="AD92" s="411"/>
      <c r="AE92" s="169">
        <v>4</v>
      </c>
      <c r="AF92" s="169">
        <v>2517.0491803278696</v>
      </c>
      <c r="AG92" s="169">
        <v>629.26229508196741</v>
      </c>
      <c r="AH92" s="197">
        <f t="shared" si="30"/>
        <v>16</v>
      </c>
      <c r="AI92" s="411"/>
      <c r="AJ92" s="169">
        <v>4</v>
      </c>
      <c r="AK92" s="169">
        <v>2472.786885245901</v>
      </c>
      <c r="AL92" s="169">
        <v>618.19672131147524</v>
      </c>
      <c r="AM92" s="197">
        <f t="shared" si="31"/>
        <v>16</v>
      </c>
      <c r="AN92" s="411"/>
      <c r="AO92" s="169">
        <v>4</v>
      </c>
      <c r="AP92" s="169">
        <v>2490.7500000000014</v>
      </c>
      <c r="AQ92" s="169">
        <v>622.68750000000034</v>
      </c>
      <c r="AR92" s="197">
        <f t="shared" si="32"/>
        <v>16</v>
      </c>
      <c r="AS92" s="411"/>
      <c r="AT92" s="169">
        <v>4</v>
      </c>
      <c r="AU92" s="169">
        <v>2496.4556962025317</v>
      </c>
      <c r="AV92" s="169">
        <v>624.11392405063293</v>
      </c>
      <c r="AW92" s="197">
        <f t="shared" si="33"/>
        <v>15</v>
      </c>
      <c r="AX92" s="411"/>
    </row>
    <row r="93" spans="2:50">
      <c r="B93" s="399"/>
      <c r="C93" s="197">
        <v>17</v>
      </c>
      <c r="D93" s="197" t="s">
        <v>242</v>
      </c>
      <c r="E93" s="197">
        <v>3</v>
      </c>
      <c r="F93" s="197">
        <v>2700</v>
      </c>
      <c r="G93" s="197">
        <v>900</v>
      </c>
      <c r="H93" s="411"/>
      <c r="I93" s="169">
        <f t="shared" si="24"/>
        <v>3</v>
      </c>
      <c r="J93" s="169">
        <f t="shared" si="25"/>
        <v>2676.3256388376853</v>
      </c>
      <c r="K93" s="195">
        <f t="shared" si="26"/>
        <v>892.10854627922834</v>
      </c>
      <c r="L93" s="411"/>
      <c r="M93" s="169" t="e">
        <f>RANK(K93, K$147:$K$176)</f>
        <v>#DIV/0!</v>
      </c>
      <c r="N93" s="402"/>
      <c r="O93" s="402"/>
      <c r="P93" s="169">
        <v>3</v>
      </c>
      <c r="Q93" s="169">
        <v>2693.3333333333348</v>
      </c>
      <c r="R93" s="169">
        <v>897.77777777777828</v>
      </c>
      <c r="S93" s="197">
        <f t="shared" si="27"/>
        <v>2</v>
      </c>
      <c r="T93" s="411"/>
      <c r="U93" s="169">
        <v>3</v>
      </c>
      <c r="V93" s="169">
        <v>2666.5384615384587</v>
      </c>
      <c r="W93" s="169">
        <v>888.8461538461529</v>
      </c>
      <c r="X93" s="197">
        <f t="shared" si="28"/>
        <v>3</v>
      </c>
      <c r="Y93" s="411"/>
      <c r="Z93" s="169">
        <v>3</v>
      </c>
      <c r="AA93" s="169">
        <v>2690.4000000000051</v>
      </c>
      <c r="AB93" s="169">
        <v>896.80000000000166</v>
      </c>
      <c r="AC93" s="197">
        <f t="shared" si="29"/>
        <v>2</v>
      </c>
      <c r="AD93" s="411"/>
      <c r="AE93" s="169">
        <v>3</v>
      </c>
      <c r="AF93" s="169">
        <v>2642.9268292682968</v>
      </c>
      <c r="AG93" s="169">
        <v>880.97560975609895</v>
      </c>
      <c r="AH93" s="197">
        <f t="shared" si="30"/>
        <v>3</v>
      </c>
      <c r="AI93" s="411"/>
      <c r="AJ93" s="169">
        <v>3</v>
      </c>
      <c r="AK93" s="169">
        <v>2680.4999999999991</v>
      </c>
      <c r="AL93" s="169">
        <v>893.49999999999966</v>
      </c>
      <c r="AM93" s="197">
        <f t="shared" si="31"/>
        <v>2</v>
      </c>
      <c r="AN93" s="411"/>
      <c r="AO93" s="169">
        <v>3</v>
      </c>
      <c r="AP93" s="169">
        <v>2683.8461538461511</v>
      </c>
      <c r="AQ93" s="169">
        <v>894.61538461538373</v>
      </c>
      <c r="AR93" s="197">
        <f t="shared" si="32"/>
        <v>3</v>
      </c>
      <c r="AS93" s="411"/>
      <c r="AT93" s="169">
        <v>3</v>
      </c>
      <c r="AU93" s="169">
        <v>2676.7346938775518</v>
      </c>
      <c r="AV93" s="169">
        <v>892.24489795918396</v>
      </c>
      <c r="AW93" s="197">
        <f t="shared" si="33"/>
        <v>2</v>
      </c>
      <c r="AX93" s="411"/>
    </row>
    <row r="94" spans="2:50">
      <c r="B94" s="399"/>
      <c r="C94" s="197">
        <v>18</v>
      </c>
      <c r="D94" s="197" t="s">
        <v>238</v>
      </c>
      <c r="E94" s="197">
        <v>4</v>
      </c>
      <c r="F94" s="197">
        <v>3600</v>
      </c>
      <c r="G94" s="197">
        <v>900</v>
      </c>
      <c r="H94" s="411"/>
      <c r="I94" s="169">
        <f t="shared" si="24"/>
        <v>4</v>
      </c>
      <c r="J94" s="169">
        <f t="shared" si="25"/>
        <v>2738.5750566893471</v>
      </c>
      <c r="K94" s="195">
        <f t="shared" si="26"/>
        <v>684.64376417233677</v>
      </c>
      <c r="L94" s="411"/>
      <c r="M94" s="169" t="e">
        <f>RANK(K94, K$147:$K$176)</f>
        <v>#DIV/0!</v>
      </c>
      <c r="N94" s="402"/>
      <c r="O94" s="402"/>
      <c r="P94" s="169">
        <v>4</v>
      </c>
      <c r="Q94" s="169">
        <v>2785.7142857142958</v>
      </c>
      <c r="R94" s="169">
        <v>696.42857142857395</v>
      </c>
      <c r="S94" s="197">
        <f t="shared" si="27"/>
        <v>13</v>
      </c>
      <c r="T94" s="411"/>
      <c r="U94" s="169">
        <v>4</v>
      </c>
      <c r="V94" s="169">
        <v>2791.1111111111209</v>
      </c>
      <c r="W94" s="169">
        <v>697.77777777778022</v>
      </c>
      <c r="X94" s="197">
        <f t="shared" si="28"/>
        <v>13</v>
      </c>
      <c r="Y94" s="411"/>
      <c r="Z94" s="169">
        <v>4</v>
      </c>
      <c r="AA94" s="169">
        <v>2721.5999999999922</v>
      </c>
      <c r="AB94" s="169">
        <v>680.39999999999804</v>
      </c>
      <c r="AC94" s="197">
        <f t="shared" si="29"/>
        <v>13</v>
      </c>
      <c r="AD94" s="411"/>
      <c r="AE94" s="169">
        <v>4</v>
      </c>
      <c r="AF94" s="169">
        <v>2697.5999999999922</v>
      </c>
      <c r="AG94" s="169">
        <v>674.39999999999804</v>
      </c>
      <c r="AH94" s="197">
        <f t="shared" si="30"/>
        <v>14</v>
      </c>
      <c r="AI94" s="411"/>
      <c r="AJ94" s="169">
        <v>4</v>
      </c>
      <c r="AK94" s="169">
        <v>2788.8888888888987</v>
      </c>
      <c r="AL94" s="169">
        <v>697.22222222222467</v>
      </c>
      <c r="AM94" s="197">
        <f t="shared" si="31"/>
        <v>12</v>
      </c>
      <c r="AN94" s="411"/>
      <c r="AO94" s="169">
        <v>4</v>
      </c>
      <c r="AP94" s="169">
        <v>2594.0000000000091</v>
      </c>
      <c r="AQ94" s="169">
        <v>648.50000000000227</v>
      </c>
      <c r="AR94" s="197">
        <f t="shared" si="32"/>
        <v>14</v>
      </c>
      <c r="AS94" s="411"/>
      <c r="AT94" s="169">
        <v>4</v>
      </c>
      <c r="AU94" s="169">
        <v>2791.1111111111209</v>
      </c>
      <c r="AV94" s="169">
        <v>697.77777777778022</v>
      </c>
      <c r="AW94" s="197">
        <f t="shared" si="33"/>
        <v>14</v>
      </c>
      <c r="AX94" s="411"/>
    </row>
    <row r="95" spans="2:50">
      <c r="B95" s="399"/>
      <c r="C95" s="197">
        <v>19</v>
      </c>
      <c r="D95" s="197" t="s">
        <v>239</v>
      </c>
      <c r="E95" s="197">
        <v>4</v>
      </c>
      <c r="F95" s="197">
        <v>3000</v>
      </c>
      <c r="G95" s="197">
        <v>750</v>
      </c>
      <c r="H95" s="411"/>
      <c r="I95" s="169">
        <f t="shared" si="24"/>
        <v>3</v>
      </c>
      <c r="J95" s="169">
        <f t="shared" si="25"/>
        <v>2184.6338471317381</v>
      </c>
      <c r="K95" s="195">
        <f t="shared" si="26"/>
        <v>728.21128237724588</v>
      </c>
      <c r="L95" s="411"/>
      <c r="M95" s="169" t="e">
        <f>RANK(K95, K$147:$K$176)</f>
        <v>#DIV/0!</v>
      </c>
      <c r="N95" s="402"/>
      <c r="O95" s="402"/>
      <c r="P95" s="169">
        <v>3</v>
      </c>
      <c r="Q95" s="169">
        <v>2144.5161290322658</v>
      </c>
      <c r="R95" s="169">
        <v>714.83870967742189</v>
      </c>
      <c r="S95" s="197">
        <f t="shared" si="27"/>
        <v>11</v>
      </c>
      <c r="T95" s="411"/>
      <c r="U95" s="169">
        <v>3</v>
      </c>
      <c r="V95" s="169">
        <v>2173.5483870967819</v>
      </c>
      <c r="W95" s="169">
        <v>724.51612903226066</v>
      </c>
      <c r="X95" s="197">
        <f t="shared" si="28"/>
        <v>11</v>
      </c>
      <c r="Y95" s="411"/>
      <c r="Z95" s="169">
        <v>3</v>
      </c>
      <c r="AA95" s="169">
        <v>1984.000000000007</v>
      </c>
      <c r="AB95" s="169">
        <v>661.33333333333564</v>
      </c>
      <c r="AC95" s="197">
        <f t="shared" si="29"/>
        <v>14</v>
      </c>
      <c r="AD95" s="411"/>
      <c r="AE95" s="169">
        <v>3</v>
      </c>
      <c r="AF95" s="169">
        <v>2287.1999999999935</v>
      </c>
      <c r="AG95" s="169">
        <v>762.39999999999782</v>
      </c>
      <c r="AH95" s="197">
        <f t="shared" si="30"/>
        <v>8</v>
      </c>
      <c r="AI95" s="411"/>
      <c r="AJ95" s="169">
        <v>3</v>
      </c>
      <c r="AK95" s="169">
        <v>2195.1724137930992</v>
      </c>
      <c r="AL95" s="169">
        <v>731.72413793103306</v>
      </c>
      <c r="AM95" s="197">
        <f t="shared" si="31"/>
        <v>11</v>
      </c>
      <c r="AN95" s="411"/>
      <c r="AO95" s="169">
        <v>3</v>
      </c>
      <c r="AP95" s="169">
        <v>2306.0000000000082</v>
      </c>
      <c r="AQ95" s="169">
        <v>768.66666666666936</v>
      </c>
      <c r="AR95" s="197">
        <f t="shared" si="32"/>
        <v>7</v>
      </c>
      <c r="AS95" s="411"/>
      <c r="AT95" s="169">
        <v>3</v>
      </c>
      <c r="AU95" s="169">
        <v>2202.0000000000077</v>
      </c>
      <c r="AV95" s="169">
        <v>734.00000000000261</v>
      </c>
      <c r="AW95" s="197">
        <f t="shared" si="33"/>
        <v>11</v>
      </c>
      <c r="AX95" s="411"/>
    </row>
    <row r="96" spans="2:50">
      <c r="B96" s="399"/>
      <c r="C96" s="197">
        <v>20</v>
      </c>
      <c r="D96" s="197" t="s">
        <v>240</v>
      </c>
      <c r="E96" s="197">
        <v>4</v>
      </c>
      <c r="F96" s="197">
        <v>3000</v>
      </c>
      <c r="G96" s="197">
        <v>750</v>
      </c>
      <c r="H96" s="411"/>
      <c r="I96" s="169">
        <f t="shared" ref="I96:I98" si="34">AVERAGE(P96,U96,Z96,AE96,AJ96,AO96,AT96)</f>
        <v>4</v>
      </c>
      <c r="J96" s="169">
        <f t="shared" ref="J96:J98" si="35">AVERAGE(Q96,V96,AA96,AF96,AK96,AP96,AU96)</f>
        <v>2180.8279503105555</v>
      </c>
      <c r="K96" s="195">
        <f t="shared" ref="K96:K98" si="36">AVERAGE(R96,W96,AB96,AG96,AL96,AQ96,AV96)</f>
        <v>545.20698757763887</v>
      </c>
      <c r="L96" s="411"/>
      <c r="M96" s="169" t="e">
        <f>RANK(K96, K$147:$K$176)</f>
        <v>#DIV/0!</v>
      </c>
      <c r="N96" s="402"/>
      <c r="O96" s="402"/>
      <c r="P96" s="169">
        <v>4</v>
      </c>
      <c r="Q96" s="169">
        <v>2210.4000000000078</v>
      </c>
      <c r="R96" s="169">
        <v>552.60000000000196</v>
      </c>
      <c r="S96" s="197">
        <f t="shared" si="27"/>
        <v>21</v>
      </c>
      <c r="T96" s="411"/>
      <c r="U96" s="169">
        <v>4</v>
      </c>
      <c r="V96" s="169">
        <v>2142.5000000000077</v>
      </c>
      <c r="W96" s="169">
        <v>535.62500000000193</v>
      </c>
      <c r="X96" s="197">
        <f t="shared" si="28"/>
        <v>21</v>
      </c>
      <c r="Y96" s="411"/>
      <c r="Z96" s="169">
        <v>4</v>
      </c>
      <c r="AA96" s="169">
        <v>2180.9999999999727</v>
      </c>
      <c r="AB96" s="169">
        <v>545.24999999999318</v>
      </c>
      <c r="AC96" s="197">
        <f t="shared" si="29"/>
        <v>21</v>
      </c>
      <c r="AD96" s="411"/>
      <c r="AE96" s="169">
        <v>4</v>
      </c>
      <c r="AF96" s="169">
        <v>2172.0000000000077</v>
      </c>
      <c r="AG96" s="169">
        <v>543.00000000000193</v>
      </c>
      <c r="AH96" s="197">
        <f t="shared" si="30"/>
        <v>21</v>
      </c>
      <c r="AI96" s="411"/>
      <c r="AJ96" s="169">
        <v>4</v>
      </c>
      <c r="AK96" s="169">
        <v>2188.6956521739207</v>
      </c>
      <c r="AL96" s="169">
        <v>547.17391304348018</v>
      </c>
      <c r="AM96" s="197">
        <f t="shared" si="31"/>
        <v>21</v>
      </c>
      <c r="AN96" s="411"/>
      <c r="AO96" s="169">
        <v>4</v>
      </c>
      <c r="AP96" s="169">
        <v>2191.1999999999939</v>
      </c>
      <c r="AQ96" s="169">
        <v>547.79999999999848</v>
      </c>
      <c r="AR96" s="197">
        <f t="shared" si="32"/>
        <v>21</v>
      </c>
      <c r="AS96" s="411"/>
      <c r="AT96" s="169">
        <v>4</v>
      </c>
      <c r="AU96" s="169">
        <v>2179.9999999999786</v>
      </c>
      <c r="AV96" s="169">
        <v>544.99999999999466</v>
      </c>
      <c r="AW96" s="197">
        <f t="shared" si="33"/>
        <v>21</v>
      </c>
      <c r="AX96" s="411"/>
    </row>
    <row r="97" spans="2:50">
      <c r="B97" s="399"/>
      <c r="C97" s="197">
        <v>21</v>
      </c>
      <c r="D97" s="197" t="s">
        <v>241</v>
      </c>
      <c r="E97" s="197">
        <v>4</v>
      </c>
      <c r="F97" s="197">
        <v>3600</v>
      </c>
      <c r="G97" s="197">
        <v>900</v>
      </c>
      <c r="H97" s="411"/>
      <c r="I97" s="169">
        <f t="shared" si="34"/>
        <v>4</v>
      </c>
      <c r="J97" s="169">
        <f t="shared" si="35"/>
        <v>2445.5067324643469</v>
      </c>
      <c r="K97" s="195">
        <f t="shared" si="36"/>
        <v>611.37668311608672</v>
      </c>
      <c r="L97" s="411"/>
      <c r="M97" s="169" t="e">
        <f>RANK(K97, K$147:$K$176)</f>
        <v>#DIV/0!</v>
      </c>
      <c r="N97" s="402"/>
      <c r="O97" s="402"/>
      <c r="P97" s="169">
        <v>4</v>
      </c>
      <c r="Q97" s="169">
        <v>2428.9655172413791</v>
      </c>
      <c r="R97" s="169">
        <v>607.24137931034477</v>
      </c>
      <c r="S97" s="197">
        <f t="shared" si="27"/>
        <v>20</v>
      </c>
      <c r="T97" s="411"/>
      <c r="U97" s="169">
        <v>4</v>
      </c>
      <c r="V97" s="169">
        <v>2445.5172413793102</v>
      </c>
      <c r="W97" s="169">
        <v>611.37931034482756</v>
      </c>
      <c r="X97" s="197">
        <f t="shared" si="28"/>
        <v>19</v>
      </c>
      <c r="Y97" s="411"/>
      <c r="Z97" s="169">
        <v>4</v>
      </c>
      <c r="AA97" s="169">
        <v>2503.2000002331288</v>
      </c>
      <c r="AB97" s="169">
        <v>625.80000005828219</v>
      </c>
      <c r="AC97" s="197">
        <f t="shared" si="29"/>
        <v>15</v>
      </c>
      <c r="AD97" s="411"/>
      <c r="AE97" s="169">
        <v>4</v>
      </c>
      <c r="AF97" s="169">
        <v>2433.5999999999931</v>
      </c>
      <c r="AG97" s="169">
        <v>608.39999999999827</v>
      </c>
      <c r="AH97" s="197">
        <f t="shared" si="30"/>
        <v>19</v>
      </c>
      <c r="AI97" s="411"/>
      <c r="AJ97" s="169">
        <v>4</v>
      </c>
      <c r="AK97" s="169">
        <v>2493.3333339138576</v>
      </c>
      <c r="AL97" s="169">
        <v>623.3333334784644</v>
      </c>
      <c r="AM97" s="197">
        <f t="shared" si="31"/>
        <v>15</v>
      </c>
      <c r="AN97" s="411"/>
      <c r="AO97" s="169">
        <v>4</v>
      </c>
      <c r="AP97" s="169">
        <v>2356.0000000000005</v>
      </c>
      <c r="AQ97" s="169">
        <v>589.00000000000011</v>
      </c>
      <c r="AR97" s="197">
        <f t="shared" si="32"/>
        <v>20</v>
      </c>
      <c r="AS97" s="411"/>
      <c r="AT97" s="169">
        <v>4</v>
      </c>
      <c r="AU97" s="169">
        <v>2457.9310344827591</v>
      </c>
      <c r="AV97" s="169">
        <v>614.48275862068976</v>
      </c>
      <c r="AW97" s="197">
        <f t="shared" si="33"/>
        <v>19</v>
      </c>
      <c r="AX97" s="411"/>
    </row>
    <row r="98" spans="2:50">
      <c r="B98" s="399"/>
      <c r="C98" s="197">
        <v>22</v>
      </c>
      <c r="D98" s="325" t="s">
        <v>245</v>
      </c>
      <c r="E98" s="197">
        <v>4</v>
      </c>
      <c r="F98" s="197">
        <v>3000</v>
      </c>
      <c r="G98" s="197">
        <v>750</v>
      </c>
      <c r="H98" s="411"/>
      <c r="I98" s="169">
        <f t="shared" si="34"/>
        <v>4</v>
      </c>
      <c r="J98" s="169">
        <f t="shared" si="35"/>
        <v>2986.833333333328</v>
      </c>
      <c r="K98" s="327">
        <f t="shared" si="36"/>
        <v>746.70833333333201</v>
      </c>
      <c r="L98" s="411"/>
      <c r="M98" s="169" t="e">
        <f>RANK(K98, K$147:$K$176)</f>
        <v>#DIV/0!</v>
      </c>
      <c r="N98" s="402"/>
      <c r="O98" s="402"/>
      <c r="P98" s="169">
        <v>4</v>
      </c>
      <c r="Q98" s="169">
        <v>2832.00000000001</v>
      </c>
      <c r="R98" s="169">
        <v>708.0000000000025</v>
      </c>
      <c r="S98" s="197">
        <f t="shared" si="27"/>
        <v>12</v>
      </c>
      <c r="T98" s="411"/>
      <c r="U98" s="169">
        <v>4</v>
      </c>
      <c r="V98" s="169">
        <v>2813.3333333333435</v>
      </c>
      <c r="W98" s="169">
        <v>703.33333333333587</v>
      </c>
      <c r="X98" s="197">
        <f t="shared" si="28"/>
        <v>12</v>
      </c>
      <c r="Y98" s="411"/>
      <c r="Z98" s="169">
        <v>4</v>
      </c>
      <c r="AA98" s="169">
        <v>2985.0000000000105</v>
      </c>
      <c r="AB98" s="169">
        <v>746.25000000000261</v>
      </c>
      <c r="AC98" s="197">
        <f t="shared" si="29"/>
        <v>11</v>
      </c>
      <c r="AD98" s="411"/>
      <c r="AE98" s="169">
        <v>4</v>
      </c>
      <c r="AF98" s="169">
        <v>3575.9999999999554</v>
      </c>
      <c r="AG98" s="169">
        <v>893.99999999998886</v>
      </c>
      <c r="AH98" s="197">
        <f t="shared" si="30"/>
        <v>2</v>
      </c>
      <c r="AI98" s="411"/>
      <c r="AJ98" s="169">
        <v>4</v>
      </c>
      <c r="AK98" s="169">
        <v>3000.0000000000105</v>
      </c>
      <c r="AL98" s="169">
        <v>750.00000000000261</v>
      </c>
      <c r="AM98" s="197">
        <f t="shared" si="31"/>
        <v>7</v>
      </c>
      <c r="AN98" s="411"/>
      <c r="AO98" s="169">
        <v>4</v>
      </c>
      <c r="AP98" s="169">
        <v>2754.0000000000095</v>
      </c>
      <c r="AQ98" s="169">
        <v>688.50000000000239</v>
      </c>
      <c r="AR98" s="197">
        <f t="shared" si="32"/>
        <v>13</v>
      </c>
      <c r="AS98" s="411"/>
      <c r="AT98" s="169">
        <v>4</v>
      </c>
      <c r="AU98" s="169">
        <v>2947.4999999999513</v>
      </c>
      <c r="AV98" s="169">
        <v>736.87499999998784</v>
      </c>
      <c r="AW98" s="197">
        <f t="shared" si="33"/>
        <v>10</v>
      </c>
      <c r="AX98" s="411"/>
    </row>
    <row r="99" spans="2:50">
      <c r="B99" s="399"/>
      <c r="C99" s="197">
        <v>23</v>
      </c>
      <c r="D99" s="197"/>
      <c r="E99" s="197"/>
      <c r="F99" s="197"/>
      <c r="G99" s="197"/>
      <c r="H99" s="411"/>
      <c r="I99" s="197"/>
      <c r="J99" s="197"/>
      <c r="K99" s="197"/>
      <c r="L99" s="411"/>
      <c r="M99" s="169" t="e">
        <f>RANK(K99, K$147:$K$176)</f>
        <v>#DIV/0!</v>
      </c>
      <c r="N99" s="402"/>
      <c r="O99" s="402"/>
      <c r="P99" s="197"/>
      <c r="Q99" s="197"/>
      <c r="R99" s="195"/>
      <c r="S99" s="197" t="e">
        <f t="shared" si="27"/>
        <v>#N/A</v>
      </c>
      <c r="T99" s="411"/>
      <c r="U99" s="197"/>
      <c r="V99" s="197"/>
      <c r="W99" s="195"/>
      <c r="X99" s="197" t="e">
        <f t="shared" si="28"/>
        <v>#N/A</v>
      </c>
      <c r="Y99" s="411"/>
      <c r="Z99" s="197"/>
      <c r="AA99" s="197"/>
      <c r="AB99" s="195"/>
      <c r="AC99" s="197" t="e">
        <f t="shared" si="29"/>
        <v>#N/A</v>
      </c>
      <c r="AD99" s="411"/>
      <c r="AE99" s="197"/>
      <c r="AF99" s="197"/>
      <c r="AG99" s="195"/>
      <c r="AH99" s="197" t="e">
        <f t="shared" si="30"/>
        <v>#N/A</v>
      </c>
      <c r="AI99" s="411"/>
      <c r="AJ99" s="197"/>
      <c r="AK99" s="197"/>
      <c r="AL99" s="195"/>
      <c r="AM99" s="197" t="e">
        <f t="shared" si="31"/>
        <v>#N/A</v>
      </c>
      <c r="AN99" s="411"/>
      <c r="AO99" s="197"/>
      <c r="AP99" s="197"/>
      <c r="AQ99" s="195"/>
      <c r="AR99" s="197" t="e">
        <f t="shared" si="32"/>
        <v>#N/A</v>
      </c>
      <c r="AS99" s="411"/>
      <c r="AT99" s="197"/>
      <c r="AU99" s="197"/>
      <c r="AV99" s="195"/>
      <c r="AW99" s="197" t="e">
        <f t="shared" si="33"/>
        <v>#N/A</v>
      </c>
      <c r="AX99" s="411"/>
    </row>
    <row r="100" spans="2:50">
      <c r="B100" s="399"/>
      <c r="C100" s="197">
        <v>24</v>
      </c>
      <c r="D100" s="197"/>
      <c r="E100" s="197"/>
      <c r="F100" s="197"/>
      <c r="G100" s="197"/>
      <c r="H100" s="411"/>
      <c r="I100" s="197"/>
      <c r="J100" s="197"/>
      <c r="K100" s="197"/>
      <c r="L100" s="411"/>
      <c r="M100" s="169" t="e">
        <f>RANK(K100, K$147:$K$176)</f>
        <v>#DIV/0!</v>
      </c>
      <c r="N100" s="402"/>
      <c r="O100" s="402"/>
      <c r="P100" s="197"/>
      <c r="Q100" s="197"/>
      <c r="R100" s="197"/>
      <c r="S100" s="197" t="e">
        <f t="shared" si="27"/>
        <v>#N/A</v>
      </c>
      <c r="T100" s="411"/>
      <c r="U100" s="197"/>
      <c r="V100" s="197"/>
      <c r="W100" s="197"/>
      <c r="X100" s="197" t="e">
        <f t="shared" si="28"/>
        <v>#N/A</v>
      </c>
      <c r="Y100" s="411"/>
      <c r="Z100" s="197"/>
      <c r="AA100" s="197"/>
      <c r="AB100" s="197"/>
      <c r="AC100" s="197" t="e">
        <f t="shared" si="29"/>
        <v>#N/A</v>
      </c>
      <c r="AD100" s="411"/>
      <c r="AE100" s="197"/>
      <c r="AF100" s="197"/>
      <c r="AG100" s="197"/>
      <c r="AH100" s="197" t="e">
        <f t="shared" si="30"/>
        <v>#N/A</v>
      </c>
      <c r="AI100" s="411"/>
      <c r="AJ100" s="197"/>
      <c r="AK100" s="197"/>
      <c r="AL100" s="197"/>
      <c r="AM100" s="197" t="e">
        <f t="shared" si="31"/>
        <v>#N/A</v>
      </c>
      <c r="AN100" s="411"/>
      <c r="AO100" s="197"/>
      <c r="AP100" s="197"/>
      <c r="AQ100" s="197"/>
      <c r="AR100" s="197" t="e">
        <f t="shared" si="32"/>
        <v>#N/A</v>
      </c>
      <c r="AS100" s="411"/>
      <c r="AT100" s="197"/>
      <c r="AU100" s="197"/>
      <c r="AV100" s="197"/>
      <c r="AW100" s="197" t="e">
        <f t="shared" si="33"/>
        <v>#N/A</v>
      </c>
      <c r="AX100" s="411"/>
    </row>
    <row r="101" spans="2:50">
      <c r="B101" s="399"/>
      <c r="C101" s="197">
        <v>25</v>
      </c>
      <c r="D101" s="197"/>
      <c r="E101" s="197"/>
      <c r="F101" s="197"/>
      <c r="G101" s="197"/>
      <c r="H101" s="411"/>
      <c r="I101" s="197"/>
      <c r="J101" s="197"/>
      <c r="K101" s="197"/>
      <c r="L101" s="411"/>
      <c r="M101" s="169" t="e">
        <f>RANK(K101, K$147:$K$176)</f>
        <v>#DIV/0!</v>
      </c>
      <c r="N101" s="402"/>
      <c r="O101" s="402"/>
      <c r="P101" s="197"/>
      <c r="Q101" s="197"/>
      <c r="R101" s="197"/>
      <c r="S101" s="197" t="e">
        <f t="shared" si="27"/>
        <v>#N/A</v>
      </c>
      <c r="T101" s="411"/>
      <c r="U101" s="197"/>
      <c r="V101" s="197"/>
      <c r="W101" s="197"/>
      <c r="X101" s="197" t="e">
        <f t="shared" si="28"/>
        <v>#N/A</v>
      </c>
      <c r="Y101" s="411"/>
      <c r="Z101" s="197"/>
      <c r="AA101" s="197"/>
      <c r="AB101" s="197"/>
      <c r="AC101" s="197" t="e">
        <f t="shared" si="29"/>
        <v>#N/A</v>
      </c>
      <c r="AD101" s="411"/>
      <c r="AE101" s="197"/>
      <c r="AF101" s="197"/>
      <c r="AG101" s="197"/>
      <c r="AH101" s="197" t="e">
        <f t="shared" si="30"/>
        <v>#N/A</v>
      </c>
      <c r="AI101" s="411"/>
      <c r="AJ101" s="197"/>
      <c r="AK101" s="197"/>
      <c r="AL101" s="197"/>
      <c r="AM101" s="197" t="e">
        <f t="shared" si="31"/>
        <v>#N/A</v>
      </c>
      <c r="AN101" s="411"/>
      <c r="AO101" s="197"/>
      <c r="AP101" s="197"/>
      <c r="AQ101" s="197"/>
      <c r="AR101" s="197" t="e">
        <f t="shared" si="32"/>
        <v>#N/A</v>
      </c>
      <c r="AS101" s="411"/>
      <c r="AT101" s="197"/>
      <c r="AU101" s="197"/>
      <c r="AV101" s="197"/>
      <c r="AW101" s="197" t="e">
        <f t="shared" si="33"/>
        <v>#N/A</v>
      </c>
      <c r="AX101" s="411"/>
    </row>
    <row r="102" spans="2:50">
      <c r="B102" s="399"/>
      <c r="C102" s="197">
        <v>26</v>
      </c>
      <c r="D102" s="197"/>
      <c r="E102" s="197"/>
      <c r="F102" s="197"/>
      <c r="G102" s="197"/>
      <c r="H102" s="411"/>
      <c r="I102" s="197"/>
      <c r="J102" s="197"/>
      <c r="K102" s="197"/>
      <c r="L102" s="411"/>
      <c r="M102" s="169" t="e">
        <f>RANK(K102, K$147:$K$176)</f>
        <v>#DIV/0!</v>
      </c>
      <c r="N102" s="402"/>
      <c r="O102" s="402"/>
      <c r="P102" s="197"/>
      <c r="Q102" s="197"/>
      <c r="R102" s="197"/>
      <c r="S102" s="197" t="e">
        <f t="shared" si="27"/>
        <v>#N/A</v>
      </c>
      <c r="T102" s="411"/>
      <c r="U102" s="197"/>
      <c r="V102" s="197"/>
      <c r="W102" s="197"/>
      <c r="X102" s="197" t="e">
        <f t="shared" si="28"/>
        <v>#N/A</v>
      </c>
      <c r="Y102" s="411"/>
      <c r="Z102" s="197"/>
      <c r="AA102" s="197"/>
      <c r="AB102" s="197"/>
      <c r="AC102" s="197" t="e">
        <f t="shared" si="29"/>
        <v>#N/A</v>
      </c>
      <c r="AD102" s="411"/>
      <c r="AE102" s="197"/>
      <c r="AF102" s="197"/>
      <c r="AG102" s="197"/>
      <c r="AH102" s="197" t="e">
        <f t="shared" si="30"/>
        <v>#N/A</v>
      </c>
      <c r="AI102" s="411"/>
      <c r="AJ102" s="197"/>
      <c r="AK102" s="197"/>
      <c r="AL102" s="197"/>
      <c r="AM102" s="197" t="e">
        <f t="shared" si="31"/>
        <v>#N/A</v>
      </c>
      <c r="AN102" s="411"/>
      <c r="AO102" s="197"/>
      <c r="AP102" s="197"/>
      <c r="AQ102" s="197"/>
      <c r="AR102" s="197" t="e">
        <f t="shared" si="32"/>
        <v>#N/A</v>
      </c>
      <c r="AS102" s="411"/>
      <c r="AT102" s="197"/>
      <c r="AU102" s="197"/>
      <c r="AV102" s="197"/>
      <c r="AW102" s="197" t="e">
        <f t="shared" si="33"/>
        <v>#N/A</v>
      </c>
      <c r="AX102" s="411"/>
    </row>
    <row r="103" spans="2:50">
      <c r="B103" s="399"/>
      <c r="C103" s="197">
        <v>27</v>
      </c>
      <c r="D103" s="197"/>
      <c r="E103" s="197"/>
      <c r="F103" s="197"/>
      <c r="G103" s="197"/>
      <c r="H103" s="411"/>
      <c r="I103" s="197"/>
      <c r="J103" s="197"/>
      <c r="K103" s="197"/>
      <c r="L103" s="411"/>
      <c r="M103" s="169" t="e">
        <f>RANK(K103, K$147:$K$176)</f>
        <v>#DIV/0!</v>
      </c>
      <c r="N103" s="402"/>
      <c r="O103" s="402"/>
      <c r="P103" s="197"/>
      <c r="Q103" s="197"/>
      <c r="R103" s="197"/>
      <c r="S103" s="197" t="e">
        <f t="shared" si="27"/>
        <v>#N/A</v>
      </c>
      <c r="T103" s="411"/>
      <c r="U103" s="197"/>
      <c r="V103" s="197"/>
      <c r="W103" s="197"/>
      <c r="X103" s="197" t="e">
        <f t="shared" si="28"/>
        <v>#N/A</v>
      </c>
      <c r="Y103" s="411"/>
      <c r="Z103" s="197"/>
      <c r="AA103" s="197"/>
      <c r="AB103" s="197"/>
      <c r="AC103" s="197" t="e">
        <f t="shared" si="29"/>
        <v>#N/A</v>
      </c>
      <c r="AD103" s="411"/>
      <c r="AE103" s="197"/>
      <c r="AF103" s="197"/>
      <c r="AG103" s="197"/>
      <c r="AH103" s="197" t="e">
        <f t="shared" si="30"/>
        <v>#N/A</v>
      </c>
      <c r="AI103" s="411"/>
      <c r="AJ103" s="197"/>
      <c r="AK103" s="197"/>
      <c r="AL103" s="197"/>
      <c r="AM103" s="197" t="e">
        <f t="shared" si="31"/>
        <v>#N/A</v>
      </c>
      <c r="AN103" s="411"/>
      <c r="AO103" s="197"/>
      <c r="AP103" s="197"/>
      <c r="AQ103" s="197"/>
      <c r="AR103" s="197" t="e">
        <f t="shared" si="32"/>
        <v>#N/A</v>
      </c>
      <c r="AS103" s="411"/>
      <c r="AT103" s="197"/>
      <c r="AU103" s="197"/>
      <c r="AV103" s="197"/>
      <c r="AW103" s="197" t="e">
        <f t="shared" si="33"/>
        <v>#N/A</v>
      </c>
      <c r="AX103" s="411"/>
    </row>
    <row r="104" spans="2:50">
      <c r="B104" s="399"/>
      <c r="C104" s="197">
        <v>28</v>
      </c>
      <c r="D104" s="197"/>
      <c r="E104" s="197"/>
      <c r="F104" s="197"/>
      <c r="G104" s="197"/>
      <c r="H104" s="411"/>
      <c r="I104" s="197"/>
      <c r="J104" s="197"/>
      <c r="K104" s="197"/>
      <c r="L104" s="411"/>
      <c r="M104" s="169" t="e">
        <f>RANK(K104, K$147:$K$176)</f>
        <v>#DIV/0!</v>
      </c>
      <c r="N104" s="402"/>
      <c r="O104" s="402"/>
      <c r="P104" s="197"/>
      <c r="Q104" s="197"/>
      <c r="R104" s="197"/>
      <c r="S104" s="197" t="e">
        <f t="shared" si="27"/>
        <v>#N/A</v>
      </c>
      <c r="T104" s="411"/>
      <c r="U104" s="197"/>
      <c r="V104" s="197"/>
      <c r="W104" s="197"/>
      <c r="X104" s="197" t="e">
        <f t="shared" si="28"/>
        <v>#N/A</v>
      </c>
      <c r="Y104" s="411"/>
      <c r="Z104" s="197"/>
      <c r="AA104" s="197"/>
      <c r="AB104" s="197"/>
      <c r="AC104" s="197" t="e">
        <f t="shared" si="29"/>
        <v>#N/A</v>
      </c>
      <c r="AD104" s="411"/>
      <c r="AE104" s="197"/>
      <c r="AF104" s="197"/>
      <c r="AG104" s="197"/>
      <c r="AH104" s="197" t="e">
        <f t="shared" si="30"/>
        <v>#N/A</v>
      </c>
      <c r="AI104" s="411"/>
      <c r="AJ104" s="197"/>
      <c r="AK104" s="197"/>
      <c r="AL104" s="197"/>
      <c r="AM104" s="197" t="e">
        <f t="shared" si="31"/>
        <v>#N/A</v>
      </c>
      <c r="AN104" s="411"/>
      <c r="AO104" s="197"/>
      <c r="AP104" s="197"/>
      <c r="AQ104" s="197"/>
      <c r="AR104" s="197" t="e">
        <f t="shared" si="32"/>
        <v>#N/A</v>
      </c>
      <c r="AS104" s="411"/>
      <c r="AT104" s="197"/>
      <c r="AU104" s="197"/>
      <c r="AV104" s="197"/>
      <c r="AW104" s="197" t="e">
        <f t="shared" si="33"/>
        <v>#N/A</v>
      </c>
      <c r="AX104" s="411"/>
    </row>
    <row r="105" spans="2:50">
      <c r="B105" s="399"/>
      <c r="C105" s="197">
        <v>29</v>
      </c>
      <c r="D105" s="197"/>
      <c r="E105" s="197"/>
      <c r="F105" s="197"/>
      <c r="G105" s="197"/>
      <c r="H105" s="411"/>
      <c r="I105" s="197"/>
      <c r="J105" s="197"/>
      <c r="K105" s="197"/>
      <c r="L105" s="411"/>
      <c r="M105" s="169" t="e">
        <f>RANK(K105, K$147:$K$176)</f>
        <v>#DIV/0!</v>
      </c>
      <c r="N105" s="402"/>
      <c r="O105" s="402"/>
      <c r="P105" s="197"/>
      <c r="Q105" s="197"/>
      <c r="R105" s="197"/>
      <c r="S105" s="197" t="e">
        <f t="shared" si="27"/>
        <v>#N/A</v>
      </c>
      <c r="T105" s="411"/>
      <c r="U105" s="197"/>
      <c r="V105" s="197"/>
      <c r="W105" s="197"/>
      <c r="X105" s="197" t="e">
        <f t="shared" si="28"/>
        <v>#N/A</v>
      </c>
      <c r="Y105" s="411"/>
      <c r="Z105" s="197"/>
      <c r="AA105" s="197"/>
      <c r="AB105" s="197"/>
      <c r="AC105" s="197" t="e">
        <f t="shared" si="29"/>
        <v>#N/A</v>
      </c>
      <c r="AD105" s="411"/>
      <c r="AE105" s="197"/>
      <c r="AF105" s="197"/>
      <c r="AG105" s="197"/>
      <c r="AH105" s="197" t="e">
        <f t="shared" si="30"/>
        <v>#N/A</v>
      </c>
      <c r="AI105" s="411"/>
      <c r="AJ105" s="197"/>
      <c r="AK105" s="197"/>
      <c r="AL105" s="197"/>
      <c r="AM105" s="197" t="e">
        <f t="shared" si="31"/>
        <v>#N/A</v>
      </c>
      <c r="AN105" s="411"/>
      <c r="AO105" s="197"/>
      <c r="AP105" s="197"/>
      <c r="AQ105" s="197"/>
      <c r="AR105" s="197" t="e">
        <f t="shared" si="32"/>
        <v>#N/A</v>
      </c>
      <c r="AS105" s="411"/>
      <c r="AT105" s="197"/>
      <c r="AU105" s="197"/>
      <c r="AV105" s="197"/>
      <c r="AW105" s="197" t="e">
        <f t="shared" si="33"/>
        <v>#N/A</v>
      </c>
      <c r="AX105" s="411"/>
    </row>
    <row r="106" spans="2:50">
      <c r="B106" s="400"/>
      <c r="C106" s="197">
        <v>30</v>
      </c>
      <c r="D106" s="197"/>
      <c r="E106" s="197"/>
      <c r="F106" s="197"/>
      <c r="G106" s="197"/>
      <c r="H106" s="412"/>
      <c r="I106" s="197"/>
      <c r="J106" s="197"/>
      <c r="K106" s="197"/>
      <c r="L106" s="412"/>
      <c r="M106" s="169" t="e">
        <f>RANK(K106, K$147:$K$176)</f>
        <v>#DIV/0!</v>
      </c>
      <c r="N106" s="403"/>
      <c r="O106" s="403"/>
      <c r="P106" s="197"/>
      <c r="Q106" s="197"/>
      <c r="R106" s="197"/>
      <c r="S106" s="197" t="e">
        <f t="shared" si="27"/>
        <v>#N/A</v>
      </c>
      <c r="T106" s="412"/>
      <c r="U106" s="197"/>
      <c r="V106" s="197"/>
      <c r="W106" s="197"/>
      <c r="X106" s="197" t="e">
        <f t="shared" si="28"/>
        <v>#N/A</v>
      </c>
      <c r="Y106" s="412"/>
      <c r="Z106" s="197"/>
      <c r="AA106" s="197"/>
      <c r="AB106" s="197"/>
      <c r="AC106" s="197" t="e">
        <f t="shared" si="29"/>
        <v>#N/A</v>
      </c>
      <c r="AD106" s="412"/>
      <c r="AE106" s="197"/>
      <c r="AF106" s="197"/>
      <c r="AG106" s="197"/>
      <c r="AH106" s="197" t="e">
        <f t="shared" si="30"/>
        <v>#N/A</v>
      </c>
      <c r="AI106" s="412"/>
      <c r="AJ106" s="197"/>
      <c r="AK106" s="197"/>
      <c r="AL106" s="197"/>
      <c r="AM106" s="197" t="e">
        <f t="shared" si="31"/>
        <v>#N/A</v>
      </c>
      <c r="AN106" s="412"/>
      <c r="AO106" s="197"/>
      <c r="AP106" s="197"/>
      <c r="AQ106" s="197"/>
      <c r="AR106" s="197" t="e">
        <f t="shared" si="32"/>
        <v>#N/A</v>
      </c>
      <c r="AS106" s="412"/>
      <c r="AT106" s="197"/>
      <c r="AU106" s="197"/>
      <c r="AV106" s="197"/>
      <c r="AW106" s="197" t="e">
        <f t="shared" si="33"/>
        <v>#N/A</v>
      </c>
      <c r="AX106" s="412"/>
    </row>
    <row r="107" spans="2:50" ht="15.75">
      <c r="B107" s="396" t="s">
        <v>202</v>
      </c>
      <c r="C107" s="427"/>
      <c r="D107" s="427"/>
      <c r="E107" s="427"/>
      <c r="F107" s="427"/>
      <c r="G107" s="427"/>
      <c r="H107" s="427"/>
      <c r="I107" s="201"/>
      <c r="J107" s="201"/>
      <c r="K107" s="201"/>
      <c r="L107" s="201"/>
      <c r="M107" s="200"/>
      <c r="N107" s="401" t="s">
        <v>203</v>
      </c>
      <c r="O107" s="401" t="s">
        <v>150</v>
      </c>
      <c r="P107" s="421">
        <f>P72+7</f>
        <v>45916</v>
      </c>
      <c r="Q107" s="422"/>
      <c r="R107" s="422"/>
      <c r="S107" s="422"/>
      <c r="T107" s="422"/>
      <c r="U107" s="416">
        <f>P107+1</f>
        <v>45917</v>
      </c>
      <c r="V107" s="417"/>
      <c r="W107" s="417"/>
      <c r="X107" s="417"/>
      <c r="Y107" s="418"/>
      <c r="Z107" s="416">
        <f>U107+1</f>
        <v>45918</v>
      </c>
      <c r="AA107" s="417"/>
      <c r="AB107" s="417"/>
      <c r="AC107" s="417"/>
      <c r="AD107" s="418"/>
      <c r="AE107" s="416">
        <f t="shared" ref="AE107" si="37">Z107+1</f>
        <v>45919</v>
      </c>
      <c r="AF107" s="417"/>
      <c r="AG107" s="417"/>
      <c r="AH107" s="417"/>
      <c r="AI107" s="418"/>
      <c r="AJ107" s="416">
        <f t="shared" ref="AJ107" si="38">AE107+1</f>
        <v>45920</v>
      </c>
      <c r="AK107" s="417"/>
      <c r="AL107" s="417"/>
      <c r="AM107" s="417"/>
      <c r="AN107" s="418"/>
      <c r="AO107" s="416">
        <f t="shared" ref="AO107" si="39">AJ107+1</f>
        <v>45921</v>
      </c>
      <c r="AP107" s="417"/>
      <c r="AQ107" s="417"/>
      <c r="AR107" s="417"/>
      <c r="AS107" s="418"/>
      <c r="AT107" s="416">
        <f t="shared" ref="AT107" si="40">AO107+1</f>
        <v>45922</v>
      </c>
      <c r="AU107" s="417"/>
      <c r="AV107" s="417"/>
      <c r="AW107" s="417"/>
      <c r="AX107" s="418"/>
    </row>
    <row r="108" spans="2:50" ht="15.75">
      <c r="B108" s="426"/>
      <c r="C108" s="426"/>
      <c r="D108" s="426"/>
      <c r="E108" s="426"/>
      <c r="F108" s="426"/>
      <c r="G108" s="426"/>
      <c r="H108" s="426"/>
      <c r="I108" s="199"/>
      <c r="J108" s="199"/>
      <c r="K108" s="199"/>
      <c r="L108" s="199"/>
      <c r="M108" s="194"/>
      <c r="N108" s="403"/>
      <c r="O108" s="403"/>
      <c r="P108" s="421" t="s">
        <v>204</v>
      </c>
      <c r="Q108" s="422"/>
      <c r="R108" s="422"/>
      <c r="S108" s="422"/>
      <c r="T108" s="422"/>
      <c r="U108" s="421" t="s">
        <v>205</v>
      </c>
      <c r="V108" s="422"/>
      <c r="W108" s="422"/>
      <c r="X108" s="422"/>
      <c r="Y108" s="422"/>
      <c r="Z108" s="421" t="s">
        <v>206</v>
      </c>
      <c r="AA108" s="422"/>
      <c r="AB108" s="422"/>
      <c r="AC108" s="422"/>
      <c r="AD108" s="422"/>
      <c r="AE108" s="421" t="s">
        <v>207</v>
      </c>
      <c r="AF108" s="422"/>
      <c r="AG108" s="422"/>
      <c r="AH108" s="422"/>
      <c r="AI108" s="422"/>
      <c r="AJ108" s="421" t="s">
        <v>208</v>
      </c>
      <c r="AK108" s="422"/>
      <c r="AL108" s="422"/>
      <c r="AM108" s="422"/>
      <c r="AN108" s="422"/>
      <c r="AO108" s="421" t="s">
        <v>157</v>
      </c>
      <c r="AP108" s="422"/>
      <c r="AQ108" s="422"/>
      <c r="AR108" s="422"/>
      <c r="AS108" s="422"/>
      <c r="AT108" s="421" t="s">
        <v>209</v>
      </c>
      <c r="AU108" s="422"/>
      <c r="AV108" s="422"/>
      <c r="AW108" s="422"/>
      <c r="AX108" s="422"/>
    </row>
    <row r="109" spans="2:50">
      <c r="B109" s="423" t="s">
        <v>210</v>
      </c>
      <c r="C109" s="423" t="s">
        <v>211</v>
      </c>
      <c r="D109" s="423"/>
      <c r="E109" s="423" t="s">
        <v>212</v>
      </c>
      <c r="F109" s="423"/>
      <c r="G109" s="423"/>
      <c r="H109" s="404" t="s">
        <v>213</v>
      </c>
      <c r="I109" s="423" t="s">
        <v>214</v>
      </c>
      <c r="J109" s="423"/>
      <c r="K109" s="423"/>
      <c r="L109" s="404" t="s">
        <v>213</v>
      </c>
      <c r="M109" s="401" t="s">
        <v>215</v>
      </c>
      <c r="N109" s="423"/>
      <c r="O109" s="423" t="s">
        <v>216</v>
      </c>
      <c r="P109" s="413" t="s">
        <v>217</v>
      </c>
      <c r="Q109" s="414"/>
      <c r="R109" s="414"/>
      <c r="S109" s="415"/>
      <c r="T109" s="423" t="s">
        <v>213</v>
      </c>
      <c r="U109" s="413" t="s">
        <v>217</v>
      </c>
      <c r="V109" s="414"/>
      <c r="W109" s="414"/>
      <c r="X109" s="415"/>
      <c r="Y109" s="423" t="s">
        <v>213</v>
      </c>
      <c r="Z109" s="413" t="s">
        <v>217</v>
      </c>
      <c r="AA109" s="414"/>
      <c r="AB109" s="414"/>
      <c r="AC109" s="415"/>
      <c r="AD109" s="423" t="s">
        <v>213</v>
      </c>
      <c r="AE109" s="413" t="s">
        <v>217</v>
      </c>
      <c r="AF109" s="414"/>
      <c r="AG109" s="414"/>
      <c r="AH109" s="415"/>
      <c r="AI109" s="423" t="s">
        <v>213</v>
      </c>
      <c r="AJ109" s="413" t="s">
        <v>217</v>
      </c>
      <c r="AK109" s="414"/>
      <c r="AL109" s="414"/>
      <c r="AM109" s="415"/>
      <c r="AN109" s="423" t="s">
        <v>213</v>
      </c>
      <c r="AO109" s="413" t="s">
        <v>217</v>
      </c>
      <c r="AP109" s="414"/>
      <c r="AQ109" s="414"/>
      <c r="AR109" s="415"/>
      <c r="AS109" s="423" t="s">
        <v>213</v>
      </c>
      <c r="AT109" s="413" t="s">
        <v>217</v>
      </c>
      <c r="AU109" s="414"/>
      <c r="AV109" s="414"/>
      <c r="AW109" s="415"/>
      <c r="AX109" s="423" t="s">
        <v>213</v>
      </c>
    </row>
    <row r="110" spans="2:50">
      <c r="B110" s="423"/>
      <c r="C110" s="423"/>
      <c r="D110" s="423"/>
      <c r="E110" s="423" t="s">
        <v>218</v>
      </c>
      <c r="F110" s="423"/>
      <c r="G110" s="423"/>
      <c r="H110" s="406"/>
      <c r="I110" s="423" t="s">
        <v>218</v>
      </c>
      <c r="J110" s="423"/>
      <c r="K110" s="423"/>
      <c r="L110" s="406"/>
      <c r="M110" s="402"/>
      <c r="N110" s="423"/>
      <c r="O110" s="423"/>
      <c r="P110" s="413" t="s">
        <v>219</v>
      </c>
      <c r="Q110" s="414"/>
      <c r="R110" s="414"/>
      <c r="S110" s="415"/>
      <c r="T110" s="423"/>
      <c r="U110" s="413" t="s">
        <v>219</v>
      </c>
      <c r="V110" s="414"/>
      <c r="W110" s="414"/>
      <c r="X110" s="415"/>
      <c r="Y110" s="423"/>
      <c r="Z110" s="413" t="s">
        <v>219</v>
      </c>
      <c r="AA110" s="414"/>
      <c r="AB110" s="414"/>
      <c r="AC110" s="415"/>
      <c r="AD110" s="423"/>
      <c r="AE110" s="413" t="s">
        <v>219</v>
      </c>
      <c r="AF110" s="414"/>
      <c r="AG110" s="414"/>
      <c r="AH110" s="415"/>
      <c r="AI110" s="423"/>
      <c r="AJ110" s="413" t="s">
        <v>219</v>
      </c>
      <c r="AK110" s="414"/>
      <c r="AL110" s="414"/>
      <c r="AM110" s="415"/>
      <c r="AN110" s="423"/>
      <c r="AO110" s="413" t="s">
        <v>219</v>
      </c>
      <c r="AP110" s="414"/>
      <c r="AQ110" s="414"/>
      <c r="AR110" s="415"/>
      <c r="AS110" s="423"/>
      <c r="AT110" s="413" t="s">
        <v>219</v>
      </c>
      <c r="AU110" s="414"/>
      <c r="AV110" s="414"/>
      <c r="AW110" s="415"/>
      <c r="AX110" s="423"/>
    </row>
    <row r="111" spans="2:50">
      <c r="B111" s="423"/>
      <c r="C111" s="423"/>
      <c r="D111" s="423"/>
      <c r="E111" s="297" t="s">
        <v>220</v>
      </c>
      <c r="F111" s="297" t="s">
        <v>221</v>
      </c>
      <c r="G111" s="297" t="s">
        <v>222</v>
      </c>
      <c r="H111" s="408"/>
      <c r="I111" s="297" t="s">
        <v>220</v>
      </c>
      <c r="J111" s="297" t="s">
        <v>221</v>
      </c>
      <c r="K111" s="297" t="s">
        <v>222</v>
      </c>
      <c r="L111" s="408"/>
      <c r="M111" s="403"/>
      <c r="N111" s="423"/>
      <c r="O111" s="423"/>
      <c r="P111" s="297" t="s">
        <v>220</v>
      </c>
      <c r="Q111" s="297" t="s">
        <v>221</v>
      </c>
      <c r="R111" s="297" t="s">
        <v>222</v>
      </c>
      <c r="S111" s="297" t="s">
        <v>215</v>
      </c>
      <c r="T111" s="423"/>
      <c r="U111" s="297" t="s">
        <v>220</v>
      </c>
      <c r="V111" s="297" t="s">
        <v>221</v>
      </c>
      <c r="W111" s="297" t="s">
        <v>222</v>
      </c>
      <c r="X111" s="297" t="s">
        <v>215</v>
      </c>
      <c r="Y111" s="423"/>
      <c r="Z111" s="297" t="s">
        <v>220</v>
      </c>
      <c r="AA111" s="297" t="s">
        <v>221</v>
      </c>
      <c r="AB111" s="297" t="s">
        <v>222</v>
      </c>
      <c r="AC111" s="297" t="s">
        <v>215</v>
      </c>
      <c r="AD111" s="423"/>
      <c r="AE111" s="297" t="s">
        <v>220</v>
      </c>
      <c r="AF111" s="297" t="s">
        <v>221</v>
      </c>
      <c r="AG111" s="297" t="s">
        <v>222</v>
      </c>
      <c r="AH111" s="297" t="s">
        <v>215</v>
      </c>
      <c r="AI111" s="423"/>
      <c r="AJ111" s="297" t="s">
        <v>220</v>
      </c>
      <c r="AK111" s="297" t="s">
        <v>221</v>
      </c>
      <c r="AL111" s="297" t="s">
        <v>222</v>
      </c>
      <c r="AM111" s="297" t="s">
        <v>215</v>
      </c>
      <c r="AN111" s="423"/>
      <c r="AO111" s="297" t="s">
        <v>220</v>
      </c>
      <c r="AP111" s="297" t="s">
        <v>221</v>
      </c>
      <c r="AQ111" s="297" t="s">
        <v>222</v>
      </c>
      <c r="AR111" s="297" t="s">
        <v>215</v>
      </c>
      <c r="AS111" s="423"/>
      <c r="AT111" s="297" t="s">
        <v>220</v>
      </c>
      <c r="AU111" s="297" t="s">
        <v>221</v>
      </c>
      <c r="AV111" s="297" t="s">
        <v>222</v>
      </c>
      <c r="AW111" s="297" t="s">
        <v>215</v>
      </c>
      <c r="AX111" s="423"/>
    </row>
    <row r="112" spans="2:50">
      <c r="B112" s="422" t="s">
        <v>223</v>
      </c>
      <c r="C112" s="197">
        <v>1</v>
      </c>
      <c r="D112" s="197"/>
      <c r="E112" s="197"/>
      <c r="F112" s="197"/>
      <c r="G112" s="197"/>
      <c r="H112" s="410" t="e">
        <f>AVERAGE(G112:G141)</f>
        <v>#DIV/0!</v>
      </c>
      <c r="I112" s="169" t="e">
        <f>AVERAGE(P112,U112,Z112,AE112,AJ112,AO112,AT112)</f>
        <v>#DIV/0!</v>
      </c>
      <c r="J112" s="169" t="e">
        <f>AVERAGE(Q112,V112,AA112,AF112,AK112,AP112,AU112)</f>
        <v>#DIV/0!</v>
      </c>
      <c r="K112" s="195" t="e">
        <f>AVERAGE(R112,W112,AB112,AG112,AL112,AQ112,AV112)</f>
        <v>#DIV/0!</v>
      </c>
      <c r="L112" s="428" t="str">
        <f>IFERROR(AVERAGE(K112:K141),"-")</f>
        <v>-</v>
      </c>
      <c r="M112" s="169" t="e">
        <f>RANK(K112, K$147:$K$176)</f>
        <v>#DIV/0!</v>
      </c>
      <c r="N112" s="423"/>
      <c r="O112" s="423"/>
      <c r="P112" s="197"/>
      <c r="Q112" s="169"/>
      <c r="R112" s="195"/>
      <c r="S112" s="197" t="e">
        <f>RANK(R112, R$147:R$176)</f>
        <v>#N/A</v>
      </c>
      <c r="T112" s="410" t="e">
        <f>AVERAGE(R112:R141)</f>
        <v>#DIV/0!</v>
      </c>
      <c r="U112" s="197"/>
      <c r="V112" s="169"/>
      <c r="W112" s="195"/>
      <c r="X112" s="197" t="e">
        <f>RANK(W112, W$147:W$176)</f>
        <v>#N/A</v>
      </c>
      <c r="Y112" s="410" t="e">
        <f>AVERAGE(W112:W141)</f>
        <v>#DIV/0!</v>
      </c>
      <c r="Z112" s="197"/>
      <c r="AA112" s="169"/>
      <c r="AB112" s="195"/>
      <c r="AC112" s="197" t="e">
        <f>RANK(AB112, AB$147:AB$176)</f>
        <v>#N/A</v>
      </c>
      <c r="AD112" s="410" t="e">
        <f>AVERAGE(AB112:AB141)</f>
        <v>#DIV/0!</v>
      </c>
      <c r="AE112" s="197"/>
      <c r="AF112" s="169"/>
      <c r="AG112" s="195"/>
      <c r="AH112" s="197" t="e">
        <f>RANK(AG112, AG$147:AG$176)</f>
        <v>#N/A</v>
      </c>
      <c r="AI112" s="410" t="e">
        <f>AVERAGE(AG112:AG141)</f>
        <v>#DIV/0!</v>
      </c>
      <c r="AJ112" s="197"/>
      <c r="AK112" s="169"/>
      <c r="AL112" s="195"/>
      <c r="AM112" s="197" t="e">
        <f>RANK(AL112, AL$147:AL$176)</f>
        <v>#N/A</v>
      </c>
      <c r="AN112" s="410" t="e">
        <f>AVERAGE(AL112:AL141)</f>
        <v>#DIV/0!</v>
      </c>
      <c r="AO112" s="197"/>
      <c r="AP112" s="169"/>
      <c r="AQ112" s="169"/>
      <c r="AR112" s="197" t="e">
        <f>RANK(AQ112, AQ$147:AQ$176)</f>
        <v>#N/A</v>
      </c>
      <c r="AS112" s="410" t="e">
        <f>AVERAGE(AQ112:AQ141)</f>
        <v>#DIV/0!</v>
      </c>
      <c r="AT112" s="197"/>
      <c r="AU112" s="169"/>
      <c r="AV112" s="169"/>
      <c r="AW112" s="197" t="e">
        <f>RANK(AV112, AV$147:AV$176)</f>
        <v>#N/A</v>
      </c>
      <c r="AX112" s="410" t="e">
        <f>AVERAGE(AV112:AV141)</f>
        <v>#DIV/0!</v>
      </c>
    </row>
    <row r="113" spans="2:50">
      <c r="B113" s="422"/>
      <c r="C113" s="197">
        <v>2</v>
      </c>
      <c r="D113" s="197"/>
      <c r="E113" s="197"/>
      <c r="F113" s="197"/>
      <c r="G113" s="197"/>
      <c r="H113" s="411"/>
      <c r="I113" s="169" t="e">
        <f t="shared" ref="I113:I131" si="41">AVERAGE(P113,U113,Z113,AE113,AJ113,AO113,AT113)</f>
        <v>#DIV/0!</v>
      </c>
      <c r="J113" s="169" t="e">
        <f t="shared" ref="J113:J131" si="42">AVERAGE(Q113,V113,AA113,AF113,AK113,AP113,AU113)</f>
        <v>#DIV/0!</v>
      </c>
      <c r="K113" s="195" t="e">
        <f t="shared" ref="K113:K131" si="43">AVERAGE(R113,W113,AB113,AG113,AL113,AQ113,AV113)</f>
        <v>#DIV/0!</v>
      </c>
      <c r="L113" s="429"/>
      <c r="M113" s="169" t="e">
        <f>RANK(K113, K$147:$K$176)</f>
        <v>#DIV/0!</v>
      </c>
      <c r="N113" s="423"/>
      <c r="O113" s="423"/>
      <c r="P113" s="197"/>
      <c r="Q113" s="169"/>
      <c r="R113" s="195"/>
      <c r="S113" s="197" t="e">
        <f t="shared" ref="S113:S141" si="44">RANK(R113, R$147:R$176)</f>
        <v>#N/A</v>
      </c>
      <c r="T113" s="411"/>
      <c r="U113" s="197"/>
      <c r="V113" s="169"/>
      <c r="W113" s="195"/>
      <c r="X113" s="197" t="e">
        <f t="shared" ref="X113:X141" si="45">RANK(W113, W$147:W$176)</f>
        <v>#N/A</v>
      </c>
      <c r="Y113" s="411"/>
      <c r="Z113" s="197"/>
      <c r="AA113" s="169"/>
      <c r="AB113" s="195"/>
      <c r="AC113" s="197" t="e">
        <f t="shared" ref="AC113:AC141" si="46">RANK(AB113, AB$147:AB$176)</f>
        <v>#N/A</v>
      </c>
      <c r="AD113" s="411"/>
      <c r="AE113" s="197"/>
      <c r="AF113" s="169"/>
      <c r="AG113" s="195"/>
      <c r="AH113" s="197" t="e">
        <f t="shared" ref="AH113:AH141" si="47">RANK(AG113, AG$147:AG$176)</f>
        <v>#N/A</v>
      </c>
      <c r="AI113" s="411"/>
      <c r="AJ113" s="197"/>
      <c r="AK113" s="169"/>
      <c r="AL113" s="195"/>
      <c r="AM113" s="197" t="e">
        <f t="shared" ref="AM113:AM141" si="48">RANK(AL113, AL$147:AL$176)</f>
        <v>#N/A</v>
      </c>
      <c r="AN113" s="411"/>
      <c r="AO113" s="197"/>
      <c r="AP113" s="169"/>
      <c r="AQ113" s="169"/>
      <c r="AR113" s="197" t="e">
        <f t="shared" ref="AR113:AR141" si="49">RANK(AQ113, AQ$147:AQ$176)</f>
        <v>#N/A</v>
      </c>
      <c r="AS113" s="411"/>
      <c r="AT113" s="197"/>
      <c r="AU113" s="169"/>
      <c r="AV113" s="169"/>
      <c r="AW113" s="197" t="e">
        <f t="shared" ref="AW113:AW141" si="50">RANK(AV113, AV$147:AV$176)</f>
        <v>#N/A</v>
      </c>
      <c r="AX113" s="411"/>
    </row>
    <row r="114" spans="2:50">
      <c r="B114" s="422"/>
      <c r="C114" s="197">
        <v>3</v>
      </c>
      <c r="D114" s="197"/>
      <c r="E114" s="197"/>
      <c r="F114" s="197"/>
      <c r="G114" s="197"/>
      <c r="H114" s="411"/>
      <c r="I114" s="169" t="e">
        <f t="shared" si="41"/>
        <v>#DIV/0!</v>
      </c>
      <c r="J114" s="169" t="e">
        <f t="shared" si="42"/>
        <v>#DIV/0!</v>
      </c>
      <c r="K114" s="195" t="e">
        <f t="shared" si="43"/>
        <v>#DIV/0!</v>
      </c>
      <c r="L114" s="429"/>
      <c r="M114" s="169" t="e">
        <f>RANK(K114, K$147:$K$176)</f>
        <v>#DIV/0!</v>
      </c>
      <c r="N114" s="423"/>
      <c r="O114" s="423"/>
      <c r="P114" s="197"/>
      <c r="Q114" s="169"/>
      <c r="R114" s="195"/>
      <c r="S114" s="197" t="e">
        <f t="shared" si="44"/>
        <v>#N/A</v>
      </c>
      <c r="T114" s="411"/>
      <c r="U114" s="197"/>
      <c r="V114" s="169"/>
      <c r="W114" s="195"/>
      <c r="X114" s="197" t="e">
        <f t="shared" si="45"/>
        <v>#N/A</v>
      </c>
      <c r="Y114" s="411"/>
      <c r="Z114" s="197"/>
      <c r="AA114" s="169"/>
      <c r="AB114" s="195"/>
      <c r="AC114" s="197" t="e">
        <f t="shared" si="46"/>
        <v>#N/A</v>
      </c>
      <c r="AD114" s="411"/>
      <c r="AE114" s="197"/>
      <c r="AF114" s="169"/>
      <c r="AG114" s="195"/>
      <c r="AH114" s="197" t="e">
        <f t="shared" si="47"/>
        <v>#N/A</v>
      </c>
      <c r="AI114" s="411"/>
      <c r="AJ114" s="197"/>
      <c r="AK114" s="169"/>
      <c r="AL114" s="195"/>
      <c r="AM114" s="197" t="e">
        <f t="shared" si="48"/>
        <v>#N/A</v>
      </c>
      <c r="AN114" s="411"/>
      <c r="AO114" s="197"/>
      <c r="AP114" s="169"/>
      <c r="AQ114" s="169"/>
      <c r="AR114" s="197" t="e">
        <f t="shared" si="49"/>
        <v>#N/A</v>
      </c>
      <c r="AS114" s="411"/>
      <c r="AT114" s="197"/>
      <c r="AU114" s="169"/>
      <c r="AV114" s="169"/>
      <c r="AW114" s="197" t="e">
        <f t="shared" si="50"/>
        <v>#N/A</v>
      </c>
      <c r="AX114" s="411"/>
    </row>
    <row r="115" spans="2:50">
      <c r="B115" s="422"/>
      <c r="C115" s="197">
        <v>4</v>
      </c>
      <c r="D115" s="197"/>
      <c r="E115" s="197"/>
      <c r="F115" s="197"/>
      <c r="G115" s="197"/>
      <c r="H115" s="411"/>
      <c r="I115" s="169" t="e">
        <f t="shared" si="41"/>
        <v>#DIV/0!</v>
      </c>
      <c r="J115" s="169" t="e">
        <f t="shared" si="42"/>
        <v>#DIV/0!</v>
      </c>
      <c r="K115" s="195" t="e">
        <f t="shared" si="43"/>
        <v>#DIV/0!</v>
      </c>
      <c r="L115" s="429"/>
      <c r="M115" s="169" t="e">
        <f>RANK(K115, K$147:$K$176)</f>
        <v>#DIV/0!</v>
      </c>
      <c r="N115" s="423"/>
      <c r="O115" s="423"/>
      <c r="P115" s="197"/>
      <c r="Q115" s="169"/>
      <c r="R115" s="195"/>
      <c r="S115" s="197" t="e">
        <f t="shared" si="44"/>
        <v>#N/A</v>
      </c>
      <c r="T115" s="411"/>
      <c r="U115" s="197"/>
      <c r="V115" s="169"/>
      <c r="W115" s="195"/>
      <c r="X115" s="197" t="e">
        <f t="shared" si="45"/>
        <v>#N/A</v>
      </c>
      <c r="Y115" s="411"/>
      <c r="Z115" s="197"/>
      <c r="AA115" s="169"/>
      <c r="AB115" s="195"/>
      <c r="AC115" s="197" t="e">
        <f t="shared" si="46"/>
        <v>#N/A</v>
      </c>
      <c r="AD115" s="411"/>
      <c r="AE115" s="197"/>
      <c r="AF115" s="169"/>
      <c r="AG115" s="195"/>
      <c r="AH115" s="197" t="e">
        <f t="shared" si="47"/>
        <v>#N/A</v>
      </c>
      <c r="AI115" s="411"/>
      <c r="AJ115" s="197"/>
      <c r="AK115" s="169"/>
      <c r="AL115" s="195"/>
      <c r="AM115" s="197" t="e">
        <f t="shared" si="48"/>
        <v>#N/A</v>
      </c>
      <c r="AN115" s="411"/>
      <c r="AO115" s="197"/>
      <c r="AP115" s="169"/>
      <c r="AQ115" s="169"/>
      <c r="AR115" s="197" t="e">
        <f t="shared" si="49"/>
        <v>#N/A</v>
      </c>
      <c r="AS115" s="411"/>
      <c r="AT115" s="197"/>
      <c r="AU115" s="169"/>
      <c r="AV115" s="169"/>
      <c r="AW115" s="197" t="e">
        <f t="shared" si="50"/>
        <v>#N/A</v>
      </c>
      <c r="AX115" s="411"/>
    </row>
    <row r="116" spans="2:50">
      <c r="B116" s="422"/>
      <c r="C116" s="197">
        <v>5</v>
      </c>
      <c r="D116" s="197"/>
      <c r="E116" s="197"/>
      <c r="F116" s="197"/>
      <c r="G116" s="197"/>
      <c r="H116" s="411"/>
      <c r="I116" s="169" t="e">
        <f t="shared" si="41"/>
        <v>#DIV/0!</v>
      </c>
      <c r="J116" s="169" t="e">
        <f t="shared" si="42"/>
        <v>#DIV/0!</v>
      </c>
      <c r="K116" s="195" t="e">
        <f t="shared" si="43"/>
        <v>#DIV/0!</v>
      </c>
      <c r="L116" s="429"/>
      <c r="M116" s="169" t="e">
        <f>RANK(K116, K$147:$K$176)</f>
        <v>#DIV/0!</v>
      </c>
      <c r="N116" s="423"/>
      <c r="O116" s="423"/>
      <c r="P116" s="197"/>
      <c r="Q116" s="169"/>
      <c r="R116" s="195"/>
      <c r="S116" s="197" t="e">
        <f t="shared" si="44"/>
        <v>#N/A</v>
      </c>
      <c r="T116" s="411"/>
      <c r="U116" s="197"/>
      <c r="V116" s="169"/>
      <c r="W116" s="195"/>
      <c r="X116" s="197" t="e">
        <f t="shared" si="45"/>
        <v>#N/A</v>
      </c>
      <c r="Y116" s="411"/>
      <c r="Z116" s="197"/>
      <c r="AA116" s="169"/>
      <c r="AB116" s="195"/>
      <c r="AC116" s="197" t="e">
        <f t="shared" si="46"/>
        <v>#N/A</v>
      </c>
      <c r="AD116" s="411"/>
      <c r="AE116" s="197"/>
      <c r="AF116" s="169"/>
      <c r="AG116" s="195"/>
      <c r="AH116" s="197" t="e">
        <f t="shared" si="47"/>
        <v>#N/A</v>
      </c>
      <c r="AI116" s="411"/>
      <c r="AJ116" s="197"/>
      <c r="AK116" s="169"/>
      <c r="AL116" s="195"/>
      <c r="AM116" s="197" t="e">
        <f t="shared" si="48"/>
        <v>#N/A</v>
      </c>
      <c r="AN116" s="411"/>
      <c r="AO116" s="197"/>
      <c r="AP116" s="169"/>
      <c r="AQ116" s="169"/>
      <c r="AR116" s="197" t="e">
        <f t="shared" si="49"/>
        <v>#N/A</v>
      </c>
      <c r="AS116" s="411"/>
      <c r="AT116" s="197"/>
      <c r="AU116" s="169"/>
      <c r="AV116" s="169"/>
      <c r="AW116" s="197" t="e">
        <f t="shared" si="50"/>
        <v>#N/A</v>
      </c>
      <c r="AX116" s="411"/>
    </row>
    <row r="117" spans="2:50">
      <c r="B117" s="422"/>
      <c r="C117" s="197">
        <v>6</v>
      </c>
      <c r="D117" s="197"/>
      <c r="E117" s="197"/>
      <c r="F117" s="197"/>
      <c r="G117" s="197"/>
      <c r="H117" s="411"/>
      <c r="I117" s="169" t="e">
        <f t="shared" si="41"/>
        <v>#DIV/0!</v>
      </c>
      <c r="J117" s="169" t="e">
        <f t="shared" si="42"/>
        <v>#DIV/0!</v>
      </c>
      <c r="K117" s="195" t="e">
        <f t="shared" si="43"/>
        <v>#DIV/0!</v>
      </c>
      <c r="L117" s="429"/>
      <c r="M117" s="169" t="e">
        <f>RANK(K117, K$147:$K$176)</f>
        <v>#DIV/0!</v>
      </c>
      <c r="N117" s="423"/>
      <c r="O117" s="423"/>
      <c r="P117" s="197"/>
      <c r="Q117" s="169"/>
      <c r="R117" s="195"/>
      <c r="S117" s="197" t="e">
        <f t="shared" si="44"/>
        <v>#N/A</v>
      </c>
      <c r="T117" s="411"/>
      <c r="U117" s="197"/>
      <c r="V117" s="169"/>
      <c r="W117" s="195"/>
      <c r="X117" s="197" t="e">
        <f t="shared" si="45"/>
        <v>#N/A</v>
      </c>
      <c r="Y117" s="411"/>
      <c r="Z117" s="197"/>
      <c r="AA117" s="169"/>
      <c r="AB117" s="195"/>
      <c r="AC117" s="197" t="e">
        <f t="shared" si="46"/>
        <v>#N/A</v>
      </c>
      <c r="AD117" s="411"/>
      <c r="AE117" s="197"/>
      <c r="AF117" s="169"/>
      <c r="AG117" s="195"/>
      <c r="AH117" s="197" t="e">
        <f t="shared" si="47"/>
        <v>#N/A</v>
      </c>
      <c r="AI117" s="411"/>
      <c r="AJ117" s="197"/>
      <c r="AK117" s="169"/>
      <c r="AL117" s="195"/>
      <c r="AM117" s="197" t="e">
        <f t="shared" si="48"/>
        <v>#N/A</v>
      </c>
      <c r="AN117" s="411"/>
      <c r="AO117" s="197"/>
      <c r="AP117" s="169"/>
      <c r="AQ117" s="169"/>
      <c r="AR117" s="197" t="e">
        <f t="shared" si="49"/>
        <v>#N/A</v>
      </c>
      <c r="AS117" s="411"/>
      <c r="AT117" s="197"/>
      <c r="AU117" s="169"/>
      <c r="AV117" s="169"/>
      <c r="AW117" s="197" t="e">
        <f t="shared" si="50"/>
        <v>#N/A</v>
      </c>
      <c r="AX117" s="411"/>
    </row>
    <row r="118" spans="2:50">
      <c r="B118" s="422"/>
      <c r="C118" s="197">
        <v>7</v>
      </c>
      <c r="D118" s="197"/>
      <c r="E118" s="197"/>
      <c r="F118" s="197"/>
      <c r="G118" s="197"/>
      <c r="H118" s="411"/>
      <c r="I118" s="169" t="e">
        <f t="shared" si="41"/>
        <v>#DIV/0!</v>
      </c>
      <c r="J118" s="169" t="e">
        <f t="shared" si="42"/>
        <v>#DIV/0!</v>
      </c>
      <c r="K118" s="195" t="e">
        <f t="shared" si="43"/>
        <v>#DIV/0!</v>
      </c>
      <c r="L118" s="429"/>
      <c r="M118" s="169" t="e">
        <f>RANK(K118, K$147:$K$176)</f>
        <v>#DIV/0!</v>
      </c>
      <c r="N118" s="423"/>
      <c r="O118" s="423"/>
      <c r="P118" s="197"/>
      <c r="Q118" s="169"/>
      <c r="R118" s="195"/>
      <c r="S118" s="197" t="e">
        <f t="shared" si="44"/>
        <v>#N/A</v>
      </c>
      <c r="T118" s="411"/>
      <c r="U118" s="197"/>
      <c r="V118" s="169"/>
      <c r="W118" s="195"/>
      <c r="X118" s="197" t="e">
        <f t="shared" si="45"/>
        <v>#N/A</v>
      </c>
      <c r="Y118" s="411"/>
      <c r="Z118" s="197"/>
      <c r="AA118" s="169"/>
      <c r="AB118" s="195"/>
      <c r="AC118" s="197" t="e">
        <f t="shared" si="46"/>
        <v>#N/A</v>
      </c>
      <c r="AD118" s="411"/>
      <c r="AE118" s="197"/>
      <c r="AF118" s="169"/>
      <c r="AG118" s="195"/>
      <c r="AH118" s="197" t="e">
        <f t="shared" si="47"/>
        <v>#N/A</v>
      </c>
      <c r="AI118" s="411"/>
      <c r="AJ118" s="197"/>
      <c r="AK118" s="169"/>
      <c r="AL118" s="195"/>
      <c r="AM118" s="197" t="e">
        <f t="shared" si="48"/>
        <v>#N/A</v>
      </c>
      <c r="AN118" s="411"/>
      <c r="AO118" s="197"/>
      <c r="AP118" s="169"/>
      <c r="AQ118" s="169"/>
      <c r="AR118" s="197" t="e">
        <f t="shared" si="49"/>
        <v>#N/A</v>
      </c>
      <c r="AS118" s="411"/>
      <c r="AT118" s="197"/>
      <c r="AU118" s="169"/>
      <c r="AV118" s="169"/>
      <c r="AW118" s="197" t="e">
        <f t="shared" si="50"/>
        <v>#N/A</v>
      </c>
      <c r="AX118" s="411"/>
    </row>
    <row r="119" spans="2:50">
      <c r="B119" s="422"/>
      <c r="C119" s="197">
        <v>8</v>
      </c>
      <c r="D119" s="197"/>
      <c r="E119" s="197"/>
      <c r="F119" s="197"/>
      <c r="G119" s="197"/>
      <c r="H119" s="411"/>
      <c r="I119" s="169" t="e">
        <f t="shared" si="41"/>
        <v>#DIV/0!</v>
      </c>
      <c r="J119" s="169" t="e">
        <f t="shared" si="42"/>
        <v>#DIV/0!</v>
      </c>
      <c r="K119" s="195" t="e">
        <f t="shared" si="43"/>
        <v>#DIV/0!</v>
      </c>
      <c r="L119" s="429"/>
      <c r="M119" s="169" t="e">
        <f>RANK(K119, K$147:$K$176)</f>
        <v>#DIV/0!</v>
      </c>
      <c r="N119" s="423"/>
      <c r="O119" s="423"/>
      <c r="P119" s="197"/>
      <c r="Q119" s="169"/>
      <c r="R119" s="195"/>
      <c r="S119" s="197" t="e">
        <f t="shared" si="44"/>
        <v>#N/A</v>
      </c>
      <c r="T119" s="411"/>
      <c r="U119" s="197"/>
      <c r="V119" s="169"/>
      <c r="W119" s="195"/>
      <c r="X119" s="197" t="e">
        <f t="shared" si="45"/>
        <v>#N/A</v>
      </c>
      <c r="Y119" s="411"/>
      <c r="Z119" s="197"/>
      <c r="AA119" s="169"/>
      <c r="AB119" s="195"/>
      <c r="AC119" s="197" t="e">
        <f t="shared" si="46"/>
        <v>#N/A</v>
      </c>
      <c r="AD119" s="411"/>
      <c r="AE119" s="197"/>
      <c r="AF119" s="169"/>
      <c r="AG119" s="195"/>
      <c r="AH119" s="197" t="e">
        <f t="shared" si="47"/>
        <v>#N/A</v>
      </c>
      <c r="AI119" s="411"/>
      <c r="AJ119" s="197"/>
      <c r="AK119" s="169"/>
      <c r="AL119" s="195"/>
      <c r="AM119" s="197" t="e">
        <f t="shared" si="48"/>
        <v>#N/A</v>
      </c>
      <c r="AN119" s="411"/>
      <c r="AO119" s="197"/>
      <c r="AP119" s="169"/>
      <c r="AQ119" s="169"/>
      <c r="AR119" s="197" t="e">
        <f t="shared" si="49"/>
        <v>#N/A</v>
      </c>
      <c r="AS119" s="411"/>
      <c r="AT119" s="197"/>
      <c r="AU119" s="169"/>
      <c r="AV119" s="169"/>
      <c r="AW119" s="197" t="e">
        <f t="shared" si="50"/>
        <v>#N/A</v>
      </c>
      <c r="AX119" s="411"/>
    </row>
    <row r="120" spans="2:50">
      <c r="B120" s="422"/>
      <c r="C120" s="197">
        <v>9</v>
      </c>
      <c r="D120" s="197"/>
      <c r="E120" s="197"/>
      <c r="F120" s="197"/>
      <c r="G120" s="197"/>
      <c r="H120" s="411"/>
      <c r="I120" s="169" t="e">
        <f t="shared" si="41"/>
        <v>#DIV/0!</v>
      </c>
      <c r="J120" s="169" t="e">
        <f t="shared" si="42"/>
        <v>#DIV/0!</v>
      </c>
      <c r="K120" s="195" t="e">
        <f t="shared" si="43"/>
        <v>#DIV/0!</v>
      </c>
      <c r="L120" s="429"/>
      <c r="M120" s="169" t="e">
        <f>RANK(K120, K$147:$K$176)</f>
        <v>#DIV/0!</v>
      </c>
      <c r="N120" s="423"/>
      <c r="O120" s="423"/>
      <c r="P120" s="197"/>
      <c r="Q120" s="169"/>
      <c r="R120" s="195"/>
      <c r="S120" s="197" t="e">
        <f t="shared" si="44"/>
        <v>#N/A</v>
      </c>
      <c r="T120" s="411"/>
      <c r="U120" s="197"/>
      <c r="V120" s="169"/>
      <c r="W120" s="195"/>
      <c r="X120" s="197" t="e">
        <f t="shared" si="45"/>
        <v>#N/A</v>
      </c>
      <c r="Y120" s="411"/>
      <c r="Z120" s="197"/>
      <c r="AA120" s="169"/>
      <c r="AB120" s="195"/>
      <c r="AC120" s="197" t="e">
        <f t="shared" si="46"/>
        <v>#N/A</v>
      </c>
      <c r="AD120" s="411"/>
      <c r="AE120" s="197"/>
      <c r="AF120" s="169"/>
      <c r="AG120" s="195"/>
      <c r="AH120" s="197" t="e">
        <f t="shared" si="47"/>
        <v>#N/A</v>
      </c>
      <c r="AI120" s="411"/>
      <c r="AJ120" s="197"/>
      <c r="AK120" s="169"/>
      <c r="AL120" s="195"/>
      <c r="AM120" s="197" t="e">
        <f t="shared" si="48"/>
        <v>#N/A</v>
      </c>
      <c r="AN120" s="411"/>
      <c r="AO120" s="197"/>
      <c r="AP120" s="169"/>
      <c r="AQ120" s="169"/>
      <c r="AR120" s="197" t="e">
        <f t="shared" si="49"/>
        <v>#N/A</v>
      </c>
      <c r="AS120" s="411"/>
      <c r="AT120" s="197"/>
      <c r="AU120" s="169"/>
      <c r="AV120" s="169"/>
      <c r="AW120" s="197" t="e">
        <f t="shared" si="50"/>
        <v>#N/A</v>
      </c>
      <c r="AX120" s="411"/>
    </row>
    <row r="121" spans="2:50">
      <c r="B121" s="422"/>
      <c r="C121" s="197">
        <v>10</v>
      </c>
      <c r="D121" s="197"/>
      <c r="E121" s="197"/>
      <c r="F121" s="197"/>
      <c r="G121" s="197"/>
      <c r="H121" s="411"/>
      <c r="I121" s="169" t="e">
        <f t="shared" si="41"/>
        <v>#DIV/0!</v>
      </c>
      <c r="J121" s="169" t="e">
        <f t="shared" si="42"/>
        <v>#DIV/0!</v>
      </c>
      <c r="K121" s="195" t="e">
        <f t="shared" si="43"/>
        <v>#DIV/0!</v>
      </c>
      <c r="L121" s="429"/>
      <c r="M121" s="169" t="e">
        <f>RANK(K121, K$147:$K$176)</f>
        <v>#DIV/0!</v>
      </c>
      <c r="N121" s="423"/>
      <c r="O121" s="423"/>
      <c r="P121" s="197"/>
      <c r="Q121" s="169"/>
      <c r="R121" s="195"/>
      <c r="S121" s="197" t="e">
        <f t="shared" si="44"/>
        <v>#N/A</v>
      </c>
      <c r="T121" s="411"/>
      <c r="U121" s="197"/>
      <c r="V121" s="169"/>
      <c r="W121" s="195"/>
      <c r="X121" s="197" t="e">
        <f t="shared" si="45"/>
        <v>#N/A</v>
      </c>
      <c r="Y121" s="411"/>
      <c r="Z121" s="197"/>
      <c r="AA121" s="169"/>
      <c r="AB121" s="195"/>
      <c r="AC121" s="197" t="e">
        <f t="shared" si="46"/>
        <v>#N/A</v>
      </c>
      <c r="AD121" s="411"/>
      <c r="AE121" s="197"/>
      <c r="AF121" s="169"/>
      <c r="AG121" s="195"/>
      <c r="AH121" s="197" t="e">
        <f t="shared" si="47"/>
        <v>#N/A</v>
      </c>
      <c r="AI121" s="411"/>
      <c r="AJ121" s="197"/>
      <c r="AK121" s="169"/>
      <c r="AL121" s="195"/>
      <c r="AM121" s="197" t="e">
        <f t="shared" si="48"/>
        <v>#N/A</v>
      </c>
      <c r="AN121" s="411"/>
      <c r="AO121" s="197"/>
      <c r="AP121" s="169"/>
      <c r="AQ121" s="169"/>
      <c r="AR121" s="197" t="e">
        <f t="shared" si="49"/>
        <v>#N/A</v>
      </c>
      <c r="AS121" s="411"/>
      <c r="AT121" s="197"/>
      <c r="AU121" s="169"/>
      <c r="AV121" s="169"/>
      <c r="AW121" s="197" t="e">
        <f t="shared" si="50"/>
        <v>#N/A</v>
      </c>
      <c r="AX121" s="411"/>
    </row>
    <row r="122" spans="2:50">
      <c r="B122" s="422"/>
      <c r="C122" s="197">
        <v>11</v>
      </c>
      <c r="D122" s="197"/>
      <c r="E122" s="197"/>
      <c r="F122" s="197"/>
      <c r="G122" s="197"/>
      <c r="H122" s="411"/>
      <c r="I122" s="169" t="e">
        <f t="shared" si="41"/>
        <v>#DIV/0!</v>
      </c>
      <c r="J122" s="169" t="e">
        <f t="shared" si="42"/>
        <v>#DIV/0!</v>
      </c>
      <c r="K122" s="195" t="e">
        <f t="shared" si="43"/>
        <v>#DIV/0!</v>
      </c>
      <c r="L122" s="429"/>
      <c r="M122" s="169" t="e">
        <f>RANK(K122, K$147:$K$176)</f>
        <v>#DIV/0!</v>
      </c>
      <c r="N122" s="423"/>
      <c r="O122" s="423"/>
      <c r="P122" s="197"/>
      <c r="Q122" s="169"/>
      <c r="R122" s="195"/>
      <c r="S122" s="197" t="e">
        <f t="shared" si="44"/>
        <v>#N/A</v>
      </c>
      <c r="T122" s="411"/>
      <c r="U122" s="197"/>
      <c r="V122" s="169"/>
      <c r="W122" s="195"/>
      <c r="X122" s="197" t="e">
        <f t="shared" si="45"/>
        <v>#N/A</v>
      </c>
      <c r="Y122" s="411"/>
      <c r="Z122" s="197"/>
      <c r="AA122" s="169"/>
      <c r="AB122" s="195"/>
      <c r="AC122" s="197" t="e">
        <f t="shared" si="46"/>
        <v>#N/A</v>
      </c>
      <c r="AD122" s="411"/>
      <c r="AE122" s="197"/>
      <c r="AF122" s="169"/>
      <c r="AG122" s="195"/>
      <c r="AH122" s="197" t="e">
        <f t="shared" si="47"/>
        <v>#N/A</v>
      </c>
      <c r="AI122" s="411"/>
      <c r="AJ122" s="197"/>
      <c r="AK122" s="169"/>
      <c r="AL122" s="195"/>
      <c r="AM122" s="197" t="e">
        <f t="shared" si="48"/>
        <v>#N/A</v>
      </c>
      <c r="AN122" s="411"/>
      <c r="AO122" s="197"/>
      <c r="AP122" s="169"/>
      <c r="AQ122" s="169"/>
      <c r="AR122" s="197" t="e">
        <f t="shared" si="49"/>
        <v>#N/A</v>
      </c>
      <c r="AS122" s="411"/>
      <c r="AT122" s="197"/>
      <c r="AU122" s="169"/>
      <c r="AV122" s="169"/>
      <c r="AW122" s="197" t="e">
        <f t="shared" si="50"/>
        <v>#N/A</v>
      </c>
      <c r="AX122" s="411"/>
    </row>
    <row r="123" spans="2:50">
      <c r="B123" s="422"/>
      <c r="C123" s="197">
        <v>12</v>
      </c>
      <c r="D123" s="197"/>
      <c r="E123" s="197"/>
      <c r="F123" s="197"/>
      <c r="G123" s="197"/>
      <c r="H123" s="411"/>
      <c r="I123" s="169" t="e">
        <f t="shared" si="41"/>
        <v>#DIV/0!</v>
      </c>
      <c r="J123" s="169" t="e">
        <f t="shared" si="42"/>
        <v>#DIV/0!</v>
      </c>
      <c r="K123" s="195" t="e">
        <f t="shared" si="43"/>
        <v>#DIV/0!</v>
      </c>
      <c r="L123" s="429"/>
      <c r="M123" s="169" t="e">
        <f>RANK(K123, K$147:$K$176)</f>
        <v>#DIV/0!</v>
      </c>
      <c r="N123" s="423"/>
      <c r="O123" s="423"/>
      <c r="P123" s="197"/>
      <c r="Q123" s="169"/>
      <c r="R123" s="195"/>
      <c r="S123" s="197" t="e">
        <f t="shared" si="44"/>
        <v>#N/A</v>
      </c>
      <c r="T123" s="411"/>
      <c r="U123" s="197"/>
      <c r="V123" s="169"/>
      <c r="W123" s="195"/>
      <c r="X123" s="197" t="e">
        <f t="shared" si="45"/>
        <v>#N/A</v>
      </c>
      <c r="Y123" s="411"/>
      <c r="Z123" s="197"/>
      <c r="AA123" s="169"/>
      <c r="AB123" s="195"/>
      <c r="AC123" s="197" t="e">
        <f t="shared" si="46"/>
        <v>#N/A</v>
      </c>
      <c r="AD123" s="411"/>
      <c r="AE123" s="197"/>
      <c r="AF123" s="169"/>
      <c r="AG123" s="195"/>
      <c r="AH123" s="197" t="e">
        <f t="shared" si="47"/>
        <v>#N/A</v>
      </c>
      <c r="AI123" s="411"/>
      <c r="AJ123" s="197"/>
      <c r="AK123" s="169"/>
      <c r="AL123" s="195"/>
      <c r="AM123" s="197" t="e">
        <f t="shared" si="48"/>
        <v>#N/A</v>
      </c>
      <c r="AN123" s="411"/>
      <c r="AO123" s="197"/>
      <c r="AP123" s="169"/>
      <c r="AQ123" s="169"/>
      <c r="AR123" s="197" t="e">
        <f t="shared" si="49"/>
        <v>#N/A</v>
      </c>
      <c r="AS123" s="411"/>
      <c r="AT123" s="197"/>
      <c r="AU123" s="169"/>
      <c r="AV123" s="169"/>
      <c r="AW123" s="197" t="e">
        <f t="shared" si="50"/>
        <v>#N/A</v>
      </c>
      <c r="AX123" s="411"/>
    </row>
    <row r="124" spans="2:50">
      <c r="B124" s="422"/>
      <c r="C124" s="197">
        <v>13</v>
      </c>
      <c r="D124" s="197"/>
      <c r="E124" s="197"/>
      <c r="F124" s="197"/>
      <c r="G124" s="197"/>
      <c r="H124" s="411"/>
      <c r="I124" s="169" t="e">
        <f t="shared" si="41"/>
        <v>#DIV/0!</v>
      </c>
      <c r="J124" s="169" t="e">
        <f t="shared" si="42"/>
        <v>#DIV/0!</v>
      </c>
      <c r="K124" s="195" t="e">
        <f t="shared" si="43"/>
        <v>#DIV/0!</v>
      </c>
      <c r="L124" s="429"/>
      <c r="M124" s="169" t="e">
        <f>RANK(K124, K$147:$K$176)</f>
        <v>#DIV/0!</v>
      </c>
      <c r="N124" s="423"/>
      <c r="O124" s="423"/>
      <c r="P124" s="197"/>
      <c r="Q124" s="169"/>
      <c r="R124" s="195"/>
      <c r="S124" s="197" t="e">
        <f t="shared" si="44"/>
        <v>#N/A</v>
      </c>
      <c r="T124" s="411"/>
      <c r="U124" s="197"/>
      <c r="V124" s="169"/>
      <c r="W124" s="195"/>
      <c r="X124" s="197" t="e">
        <f t="shared" si="45"/>
        <v>#N/A</v>
      </c>
      <c r="Y124" s="411"/>
      <c r="Z124" s="197"/>
      <c r="AA124" s="169"/>
      <c r="AB124" s="195"/>
      <c r="AC124" s="197" t="e">
        <f t="shared" si="46"/>
        <v>#N/A</v>
      </c>
      <c r="AD124" s="411"/>
      <c r="AE124" s="197"/>
      <c r="AF124" s="169"/>
      <c r="AG124" s="195"/>
      <c r="AH124" s="197" t="e">
        <f t="shared" si="47"/>
        <v>#N/A</v>
      </c>
      <c r="AI124" s="411"/>
      <c r="AJ124" s="197"/>
      <c r="AK124" s="169"/>
      <c r="AL124" s="195"/>
      <c r="AM124" s="197" t="e">
        <f t="shared" si="48"/>
        <v>#N/A</v>
      </c>
      <c r="AN124" s="411"/>
      <c r="AO124" s="197"/>
      <c r="AP124" s="169"/>
      <c r="AQ124" s="169"/>
      <c r="AR124" s="197" t="e">
        <f t="shared" si="49"/>
        <v>#N/A</v>
      </c>
      <c r="AS124" s="411"/>
      <c r="AT124" s="197"/>
      <c r="AU124" s="169"/>
      <c r="AV124" s="169"/>
      <c r="AW124" s="197" t="e">
        <f t="shared" si="50"/>
        <v>#N/A</v>
      </c>
      <c r="AX124" s="411"/>
    </row>
    <row r="125" spans="2:50">
      <c r="B125" s="422"/>
      <c r="C125" s="197">
        <v>14</v>
      </c>
      <c r="D125" s="197"/>
      <c r="E125" s="197"/>
      <c r="F125" s="197"/>
      <c r="G125" s="197"/>
      <c r="H125" s="411"/>
      <c r="I125" s="169" t="e">
        <f t="shared" si="41"/>
        <v>#DIV/0!</v>
      </c>
      <c r="J125" s="169" t="e">
        <f t="shared" si="42"/>
        <v>#DIV/0!</v>
      </c>
      <c r="K125" s="195" t="e">
        <f t="shared" si="43"/>
        <v>#DIV/0!</v>
      </c>
      <c r="L125" s="429"/>
      <c r="M125" s="169" t="e">
        <f>RANK(K125, K$147:$K$176)</f>
        <v>#DIV/0!</v>
      </c>
      <c r="N125" s="423"/>
      <c r="O125" s="423"/>
      <c r="P125" s="197"/>
      <c r="Q125" s="169"/>
      <c r="R125" s="195"/>
      <c r="S125" s="197" t="e">
        <f t="shared" si="44"/>
        <v>#N/A</v>
      </c>
      <c r="T125" s="411"/>
      <c r="U125" s="197"/>
      <c r="V125" s="169"/>
      <c r="W125" s="195"/>
      <c r="X125" s="197" t="e">
        <f t="shared" si="45"/>
        <v>#N/A</v>
      </c>
      <c r="Y125" s="411"/>
      <c r="Z125" s="197"/>
      <c r="AA125" s="169"/>
      <c r="AB125" s="195"/>
      <c r="AC125" s="197" t="e">
        <f t="shared" si="46"/>
        <v>#N/A</v>
      </c>
      <c r="AD125" s="411"/>
      <c r="AE125" s="197"/>
      <c r="AF125" s="169"/>
      <c r="AG125" s="195"/>
      <c r="AH125" s="197" t="e">
        <f t="shared" si="47"/>
        <v>#N/A</v>
      </c>
      <c r="AI125" s="411"/>
      <c r="AJ125" s="197"/>
      <c r="AK125" s="169"/>
      <c r="AL125" s="195"/>
      <c r="AM125" s="197" t="e">
        <f t="shared" si="48"/>
        <v>#N/A</v>
      </c>
      <c r="AN125" s="411"/>
      <c r="AO125" s="197"/>
      <c r="AP125" s="169"/>
      <c r="AQ125" s="169"/>
      <c r="AR125" s="197" t="e">
        <f t="shared" si="49"/>
        <v>#N/A</v>
      </c>
      <c r="AS125" s="411"/>
      <c r="AT125" s="197"/>
      <c r="AU125" s="169"/>
      <c r="AV125" s="169"/>
      <c r="AW125" s="197" t="e">
        <f t="shared" si="50"/>
        <v>#N/A</v>
      </c>
      <c r="AX125" s="411"/>
    </row>
    <row r="126" spans="2:50">
      <c r="B126" s="422"/>
      <c r="C126" s="197">
        <v>15</v>
      </c>
      <c r="D126" s="197"/>
      <c r="E126" s="197"/>
      <c r="F126" s="197"/>
      <c r="G126" s="197"/>
      <c r="H126" s="411"/>
      <c r="I126" s="169" t="e">
        <f t="shared" si="41"/>
        <v>#DIV/0!</v>
      </c>
      <c r="J126" s="169" t="e">
        <f t="shared" si="42"/>
        <v>#DIV/0!</v>
      </c>
      <c r="K126" s="195" t="e">
        <f t="shared" si="43"/>
        <v>#DIV/0!</v>
      </c>
      <c r="L126" s="429"/>
      <c r="M126" s="169" t="e">
        <f>RANK(K126, K$147:$K$176)</f>
        <v>#DIV/0!</v>
      </c>
      <c r="N126" s="423"/>
      <c r="O126" s="423"/>
      <c r="P126" s="197"/>
      <c r="Q126" s="169"/>
      <c r="R126" s="195"/>
      <c r="S126" s="197" t="e">
        <f t="shared" si="44"/>
        <v>#N/A</v>
      </c>
      <c r="T126" s="411"/>
      <c r="U126" s="197"/>
      <c r="V126" s="169"/>
      <c r="W126" s="195"/>
      <c r="X126" s="197" t="e">
        <f t="shared" si="45"/>
        <v>#N/A</v>
      </c>
      <c r="Y126" s="411"/>
      <c r="Z126" s="197"/>
      <c r="AA126" s="169"/>
      <c r="AB126" s="195"/>
      <c r="AC126" s="197" t="e">
        <f t="shared" si="46"/>
        <v>#N/A</v>
      </c>
      <c r="AD126" s="411"/>
      <c r="AE126" s="197"/>
      <c r="AF126" s="169"/>
      <c r="AG126" s="195"/>
      <c r="AH126" s="197" t="e">
        <f t="shared" si="47"/>
        <v>#N/A</v>
      </c>
      <c r="AI126" s="411"/>
      <c r="AJ126" s="197"/>
      <c r="AK126" s="169"/>
      <c r="AL126" s="195"/>
      <c r="AM126" s="197" t="e">
        <f t="shared" si="48"/>
        <v>#N/A</v>
      </c>
      <c r="AN126" s="411"/>
      <c r="AO126" s="197"/>
      <c r="AP126" s="169"/>
      <c r="AQ126" s="169"/>
      <c r="AR126" s="197" t="e">
        <f t="shared" si="49"/>
        <v>#N/A</v>
      </c>
      <c r="AS126" s="411"/>
      <c r="AT126" s="197"/>
      <c r="AU126" s="169"/>
      <c r="AV126" s="169"/>
      <c r="AW126" s="197" t="e">
        <f t="shared" si="50"/>
        <v>#N/A</v>
      </c>
      <c r="AX126" s="411"/>
    </row>
    <row r="127" spans="2:50">
      <c r="B127" s="422"/>
      <c r="C127" s="197">
        <v>16</v>
      </c>
      <c r="D127" s="197"/>
      <c r="E127" s="197"/>
      <c r="F127" s="197"/>
      <c r="G127" s="197"/>
      <c r="H127" s="411"/>
      <c r="I127" s="169" t="e">
        <f t="shared" si="41"/>
        <v>#DIV/0!</v>
      </c>
      <c r="J127" s="169" t="e">
        <f t="shared" si="42"/>
        <v>#DIV/0!</v>
      </c>
      <c r="K127" s="195" t="e">
        <f t="shared" si="43"/>
        <v>#DIV/0!</v>
      </c>
      <c r="L127" s="429"/>
      <c r="M127" s="169" t="e">
        <f>RANK(K127, K$147:$K$176)</f>
        <v>#DIV/0!</v>
      </c>
      <c r="N127" s="423"/>
      <c r="O127" s="423"/>
      <c r="P127" s="197"/>
      <c r="Q127" s="169"/>
      <c r="R127" s="195"/>
      <c r="S127" s="197" t="e">
        <f t="shared" si="44"/>
        <v>#N/A</v>
      </c>
      <c r="T127" s="411"/>
      <c r="U127" s="197"/>
      <c r="V127" s="169"/>
      <c r="W127" s="195"/>
      <c r="X127" s="197" t="e">
        <f t="shared" si="45"/>
        <v>#N/A</v>
      </c>
      <c r="Y127" s="411"/>
      <c r="Z127" s="197"/>
      <c r="AA127" s="169"/>
      <c r="AB127" s="195"/>
      <c r="AC127" s="197" t="e">
        <f t="shared" si="46"/>
        <v>#N/A</v>
      </c>
      <c r="AD127" s="411"/>
      <c r="AE127" s="197"/>
      <c r="AF127" s="169"/>
      <c r="AG127" s="195"/>
      <c r="AH127" s="197" t="e">
        <f t="shared" si="47"/>
        <v>#N/A</v>
      </c>
      <c r="AI127" s="411"/>
      <c r="AJ127" s="197"/>
      <c r="AK127" s="169"/>
      <c r="AL127" s="195"/>
      <c r="AM127" s="197" t="e">
        <f t="shared" si="48"/>
        <v>#N/A</v>
      </c>
      <c r="AN127" s="411"/>
      <c r="AO127" s="197"/>
      <c r="AP127" s="169"/>
      <c r="AQ127" s="169"/>
      <c r="AR127" s="197" t="e">
        <f t="shared" si="49"/>
        <v>#N/A</v>
      </c>
      <c r="AS127" s="411"/>
      <c r="AT127" s="197"/>
      <c r="AU127" s="169"/>
      <c r="AV127" s="169"/>
      <c r="AW127" s="197" t="e">
        <f t="shared" si="50"/>
        <v>#N/A</v>
      </c>
      <c r="AX127" s="411"/>
    </row>
    <row r="128" spans="2:50">
      <c r="B128" s="422"/>
      <c r="C128" s="197">
        <v>17</v>
      </c>
      <c r="D128" s="197"/>
      <c r="E128" s="197"/>
      <c r="F128" s="197"/>
      <c r="G128" s="197"/>
      <c r="H128" s="411"/>
      <c r="I128" s="169" t="e">
        <f t="shared" si="41"/>
        <v>#DIV/0!</v>
      </c>
      <c r="J128" s="169" t="e">
        <f t="shared" si="42"/>
        <v>#DIV/0!</v>
      </c>
      <c r="K128" s="195" t="e">
        <f t="shared" si="43"/>
        <v>#DIV/0!</v>
      </c>
      <c r="L128" s="429"/>
      <c r="M128" s="169" t="e">
        <f>RANK(K128, K$147:$K$176)</f>
        <v>#DIV/0!</v>
      </c>
      <c r="N128" s="423"/>
      <c r="O128" s="423"/>
      <c r="P128" s="197"/>
      <c r="Q128" s="169"/>
      <c r="R128" s="195"/>
      <c r="S128" s="197" t="e">
        <f t="shared" si="44"/>
        <v>#N/A</v>
      </c>
      <c r="T128" s="411"/>
      <c r="U128" s="197"/>
      <c r="V128" s="169"/>
      <c r="W128" s="195"/>
      <c r="X128" s="197" t="e">
        <f t="shared" si="45"/>
        <v>#N/A</v>
      </c>
      <c r="Y128" s="411"/>
      <c r="Z128" s="197"/>
      <c r="AA128" s="169"/>
      <c r="AB128" s="195"/>
      <c r="AC128" s="197" t="e">
        <f t="shared" si="46"/>
        <v>#N/A</v>
      </c>
      <c r="AD128" s="411"/>
      <c r="AE128" s="197"/>
      <c r="AF128" s="169"/>
      <c r="AG128" s="195"/>
      <c r="AH128" s="197" t="e">
        <f t="shared" si="47"/>
        <v>#N/A</v>
      </c>
      <c r="AI128" s="411"/>
      <c r="AJ128" s="197"/>
      <c r="AK128" s="169"/>
      <c r="AL128" s="195"/>
      <c r="AM128" s="197" t="e">
        <f t="shared" si="48"/>
        <v>#N/A</v>
      </c>
      <c r="AN128" s="411"/>
      <c r="AO128" s="197"/>
      <c r="AP128" s="169"/>
      <c r="AQ128" s="169"/>
      <c r="AR128" s="197" t="e">
        <f t="shared" si="49"/>
        <v>#N/A</v>
      </c>
      <c r="AS128" s="411"/>
      <c r="AT128" s="197"/>
      <c r="AU128" s="169"/>
      <c r="AV128" s="169"/>
      <c r="AW128" s="197" t="e">
        <f t="shared" si="50"/>
        <v>#N/A</v>
      </c>
      <c r="AX128" s="411"/>
    </row>
    <row r="129" spans="2:50">
      <c r="B129" s="422"/>
      <c r="C129" s="197">
        <v>18</v>
      </c>
      <c r="D129" s="197"/>
      <c r="E129" s="197"/>
      <c r="F129" s="197"/>
      <c r="G129" s="197"/>
      <c r="H129" s="411"/>
      <c r="I129" s="169" t="e">
        <f t="shared" si="41"/>
        <v>#DIV/0!</v>
      </c>
      <c r="J129" s="169" t="e">
        <f t="shared" si="42"/>
        <v>#DIV/0!</v>
      </c>
      <c r="K129" s="195" t="e">
        <f t="shared" si="43"/>
        <v>#DIV/0!</v>
      </c>
      <c r="L129" s="429"/>
      <c r="M129" s="169" t="e">
        <f>RANK(K129, K$147:$K$176)</f>
        <v>#DIV/0!</v>
      </c>
      <c r="N129" s="423"/>
      <c r="O129" s="423"/>
      <c r="P129" s="197"/>
      <c r="Q129" s="169"/>
      <c r="R129" s="195"/>
      <c r="S129" s="197" t="e">
        <f t="shared" si="44"/>
        <v>#N/A</v>
      </c>
      <c r="T129" s="411"/>
      <c r="U129" s="197"/>
      <c r="V129" s="169"/>
      <c r="W129" s="195"/>
      <c r="X129" s="197" t="e">
        <f t="shared" si="45"/>
        <v>#N/A</v>
      </c>
      <c r="Y129" s="411"/>
      <c r="Z129" s="197"/>
      <c r="AA129" s="169"/>
      <c r="AB129" s="195"/>
      <c r="AC129" s="197" t="e">
        <f t="shared" si="46"/>
        <v>#N/A</v>
      </c>
      <c r="AD129" s="411"/>
      <c r="AE129" s="197"/>
      <c r="AF129" s="169"/>
      <c r="AG129" s="195"/>
      <c r="AH129" s="197" t="e">
        <f t="shared" si="47"/>
        <v>#N/A</v>
      </c>
      <c r="AI129" s="411"/>
      <c r="AJ129" s="197"/>
      <c r="AK129" s="169"/>
      <c r="AL129" s="195"/>
      <c r="AM129" s="197" t="e">
        <f t="shared" si="48"/>
        <v>#N/A</v>
      </c>
      <c r="AN129" s="411"/>
      <c r="AO129" s="197"/>
      <c r="AP129" s="169"/>
      <c r="AQ129" s="169"/>
      <c r="AR129" s="197" t="e">
        <f t="shared" si="49"/>
        <v>#N/A</v>
      </c>
      <c r="AS129" s="411"/>
      <c r="AT129" s="197"/>
      <c r="AU129" s="169"/>
      <c r="AV129" s="169"/>
      <c r="AW129" s="197" t="e">
        <f t="shared" si="50"/>
        <v>#N/A</v>
      </c>
      <c r="AX129" s="411"/>
    </row>
    <row r="130" spans="2:50">
      <c r="B130" s="422"/>
      <c r="C130" s="197">
        <v>19</v>
      </c>
      <c r="D130" s="197"/>
      <c r="E130" s="197"/>
      <c r="F130" s="197"/>
      <c r="G130" s="197"/>
      <c r="H130" s="411"/>
      <c r="I130" s="169" t="e">
        <f t="shared" si="41"/>
        <v>#DIV/0!</v>
      </c>
      <c r="J130" s="169" t="e">
        <f t="shared" si="42"/>
        <v>#DIV/0!</v>
      </c>
      <c r="K130" s="195" t="e">
        <f t="shared" si="43"/>
        <v>#DIV/0!</v>
      </c>
      <c r="L130" s="429"/>
      <c r="M130" s="169" t="e">
        <f>RANK(K130, K$147:$K$176)</f>
        <v>#DIV/0!</v>
      </c>
      <c r="N130" s="423"/>
      <c r="O130" s="423"/>
      <c r="P130" s="197"/>
      <c r="Q130" s="169"/>
      <c r="R130" s="195"/>
      <c r="S130" s="197" t="e">
        <f t="shared" si="44"/>
        <v>#N/A</v>
      </c>
      <c r="T130" s="411"/>
      <c r="U130" s="197"/>
      <c r="V130" s="169"/>
      <c r="W130" s="195"/>
      <c r="X130" s="197" t="e">
        <f t="shared" si="45"/>
        <v>#N/A</v>
      </c>
      <c r="Y130" s="411"/>
      <c r="Z130" s="197"/>
      <c r="AA130" s="169"/>
      <c r="AB130" s="195"/>
      <c r="AC130" s="197" t="e">
        <f t="shared" si="46"/>
        <v>#N/A</v>
      </c>
      <c r="AD130" s="411"/>
      <c r="AE130" s="197"/>
      <c r="AF130" s="169"/>
      <c r="AG130" s="195"/>
      <c r="AH130" s="197" t="e">
        <f t="shared" si="47"/>
        <v>#N/A</v>
      </c>
      <c r="AI130" s="411"/>
      <c r="AJ130" s="197"/>
      <c r="AK130" s="169"/>
      <c r="AL130" s="195"/>
      <c r="AM130" s="197" t="e">
        <f t="shared" si="48"/>
        <v>#N/A</v>
      </c>
      <c r="AN130" s="411"/>
      <c r="AO130" s="197"/>
      <c r="AP130" s="169"/>
      <c r="AQ130" s="169"/>
      <c r="AR130" s="197" t="e">
        <f t="shared" si="49"/>
        <v>#N/A</v>
      </c>
      <c r="AS130" s="411"/>
      <c r="AT130" s="197"/>
      <c r="AU130" s="169"/>
      <c r="AV130" s="169"/>
      <c r="AW130" s="197" t="e">
        <f t="shared" si="50"/>
        <v>#N/A</v>
      </c>
      <c r="AX130" s="411"/>
    </row>
    <row r="131" spans="2:50">
      <c r="B131" s="422"/>
      <c r="C131" s="197">
        <v>20</v>
      </c>
      <c r="D131" s="197"/>
      <c r="E131" s="197"/>
      <c r="F131" s="197"/>
      <c r="G131" s="197"/>
      <c r="H131" s="411"/>
      <c r="I131" s="169" t="e">
        <f t="shared" si="41"/>
        <v>#DIV/0!</v>
      </c>
      <c r="J131" s="169" t="e">
        <f t="shared" si="42"/>
        <v>#DIV/0!</v>
      </c>
      <c r="K131" s="195" t="e">
        <f t="shared" si="43"/>
        <v>#DIV/0!</v>
      </c>
      <c r="L131" s="429"/>
      <c r="M131" s="169" t="e">
        <f>RANK(K131, K$147:$K$176)</f>
        <v>#DIV/0!</v>
      </c>
      <c r="N131" s="423"/>
      <c r="O131" s="423"/>
      <c r="P131" s="197"/>
      <c r="Q131" s="169"/>
      <c r="R131" s="195"/>
      <c r="S131" s="197" t="e">
        <f t="shared" si="44"/>
        <v>#N/A</v>
      </c>
      <c r="T131" s="411"/>
      <c r="U131" s="197"/>
      <c r="V131" s="169"/>
      <c r="W131" s="195"/>
      <c r="X131" s="197" t="e">
        <f t="shared" si="45"/>
        <v>#N/A</v>
      </c>
      <c r="Y131" s="411"/>
      <c r="Z131" s="197"/>
      <c r="AA131" s="169"/>
      <c r="AB131" s="195"/>
      <c r="AC131" s="197" t="e">
        <f t="shared" si="46"/>
        <v>#N/A</v>
      </c>
      <c r="AD131" s="411"/>
      <c r="AE131" s="197"/>
      <c r="AF131" s="169"/>
      <c r="AG131" s="195"/>
      <c r="AH131" s="197" t="e">
        <f t="shared" si="47"/>
        <v>#N/A</v>
      </c>
      <c r="AI131" s="411"/>
      <c r="AJ131" s="197"/>
      <c r="AK131" s="169"/>
      <c r="AL131" s="195"/>
      <c r="AM131" s="197" t="e">
        <f t="shared" si="48"/>
        <v>#N/A</v>
      </c>
      <c r="AN131" s="411"/>
      <c r="AO131" s="197"/>
      <c r="AP131" s="169"/>
      <c r="AQ131" s="169"/>
      <c r="AR131" s="197" t="e">
        <f t="shared" si="49"/>
        <v>#N/A</v>
      </c>
      <c r="AS131" s="411"/>
      <c r="AT131" s="197"/>
      <c r="AU131" s="169"/>
      <c r="AV131" s="169"/>
      <c r="AW131" s="197" t="e">
        <f t="shared" si="50"/>
        <v>#N/A</v>
      </c>
      <c r="AX131" s="411"/>
    </row>
    <row r="132" spans="2:50">
      <c r="B132" s="422"/>
      <c r="C132" s="197">
        <v>21</v>
      </c>
      <c r="D132" s="197"/>
      <c r="E132" s="197"/>
      <c r="F132" s="197"/>
      <c r="G132" s="197"/>
      <c r="H132" s="411"/>
      <c r="I132" s="197"/>
      <c r="J132" s="197"/>
      <c r="K132" s="197"/>
      <c r="L132" s="429"/>
      <c r="M132" s="169" t="e">
        <f>RANK(K132, K$147:$K$176)</f>
        <v>#DIV/0!</v>
      </c>
      <c r="N132" s="423"/>
      <c r="O132" s="423"/>
      <c r="P132" s="197"/>
      <c r="Q132" s="169"/>
      <c r="R132" s="195"/>
      <c r="S132" s="197" t="e">
        <f t="shared" si="44"/>
        <v>#N/A</v>
      </c>
      <c r="T132" s="411"/>
      <c r="U132" s="197"/>
      <c r="V132" s="169"/>
      <c r="W132" s="195"/>
      <c r="X132" s="197" t="e">
        <f t="shared" si="45"/>
        <v>#N/A</v>
      </c>
      <c r="Y132" s="411"/>
      <c r="Z132" s="197"/>
      <c r="AA132" s="169"/>
      <c r="AB132" s="195"/>
      <c r="AC132" s="197" t="e">
        <f t="shared" si="46"/>
        <v>#N/A</v>
      </c>
      <c r="AD132" s="411"/>
      <c r="AE132" s="197"/>
      <c r="AF132" s="169"/>
      <c r="AG132" s="195"/>
      <c r="AH132" s="197" t="e">
        <f t="shared" si="47"/>
        <v>#N/A</v>
      </c>
      <c r="AI132" s="411"/>
      <c r="AJ132" s="197"/>
      <c r="AK132" s="169"/>
      <c r="AL132" s="195"/>
      <c r="AM132" s="197" t="e">
        <f t="shared" si="48"/>
        <v>#N/A</v>
      </c>
      <c r="AN132" s="411"/>
      <c r="AO132" s="197"/>
      <c r="AP132" s="169"/>
      <c r="AQ132" s="169"/>
      <c r="AR132" s="197" t="e">
        <f t="shared" si="49"/>
        <v>#N/A</v>
      </c>
      <c r="AS132" s="411"/>
      <c r="AT132" s="197"/>
      <c r="AU132" s="169"/>
      <c r="AV132" s="169"/>
      <c r="AW132" s="197" t="e">
        <f t="shared" si="50"/>
        <v>#N/A</v>
      </c>
      <c r="AX132" s="411"/>
    </row>
    <row r="133" spans="2:50">
      <c r="B133" s="422"/>
      <c r="C133" s="197">
        <v>22</v>
      </c>
      <c r="D133" s="197"/>
      <c r="E133" s="197"/>
      <c r="F133" s="197"/>
      <c r="G133" s="197"/>
      <c r="H133" s="411"/>
      <c r="I133" s="197"/>
      <c r="J133" s="197"/>
      <c r="K133" s="197"/>
      <c r="L133" s="429"/>
      <c r="M133" s="169" t="e">
        <f>RANK(K133, K$147:$K$176)</f>
        <v>#DIV/0!</v>
      </c>
      <c r="N133" s="423"/>
      <c r="O133" s="423"/>
      <c r="P133" s="197"/>
      <c r="Q133" s="169"/>
      <c r="R133" s="195"/>
      <c r="S133" s="197" t="e">
        <f t="shared" si="44"/>
        <v>#N/A</v>
      </c>
      <c r="T133" s="411"/>
      <c r="U133" s="197"/>
      <c r="V133" s="169"/>
      <c r="W133" s="195"/>
      <c r="X133" s="197" t="e">
        <f t="shared" si="45"/>
        <v>#N/A</v>
      </c>
      <c r="Y133" s="411"/>
      <c r="Z133" s="197"/>
      <c r="AA133" s="169"/>
      <c r="AB133" s="195"/>
      <c r="AC133" s="197" t="e">
        <f t="shared" si="46"/>
        <v>#N/A</v>
      </c>
      <c r="AD133" s="411"/>
      <c r="AE133" s="197"/>
      <c r="AF133" s="169"/>
      <c r="AG133" s="195"/>
      <c r="AH133" s="197" t="e">
        <f t="shared" si="47"/>
        <v>#N/A</v>
      </c>
      <c r="AI133" s="411"/>
      <c r="AJ133" s="197"/>
      <c r="AK133" s="169"/>
      <c r="AL133" s="195"/>
      <c r="AM133" s="197" t="e">
        <f t="shared" si="48"/>
        <v>#N/A</v>
      </c>
      <c r="AN133" s="411"/>
      <c r="AO133" s="197"/>
      <c r="AP133" s="169"/>
      <c r="AQ133" s="169"/>
      <c r="AR133" s="197" t="e">
        <f t="shared" si="49"/>
        <v>#N/A</v>
      </c>
      <c r="AS133" s="411"/>
      <c r="AT133" s="197"/>
      <c r="AU133" s="169"/>
      <c r="AV133" s="169"/>
      <c r="AW133" s="197" t="e">
        <f t="shared" si="50"/>
        <v>#N/A</v>
      </c>
      <c r="AX133" s="411"/>
    </row>
    <row r="134" spans="2:50">
      <c r="B134" s="422"/>
      <c r="C134" s="197">
        <v>23</v>
      </c>
      <c r="D134" s="197"/>
      <c r="E134" s="197"/>
      <c r="F134" s="197"/>
      <c r="G134" s="197"/>
      <c r="H134" s="411"/>
      <c r="I134" s="197"/>
      <c r="J134" s="197"/>
      <c r="K134" s="197"/>
      <c r="L134" s="429"/>
      <c r="M134" s="169" t="e">
        <f>RANK(K134, K$147:$K$176)</f>
        <v>#DIV/0!</v>
      </c>
      <c r="N134" s="423"/>
      <c r="O134" s="423"/>
      <c r="P134" s="197"/>
      <c r="Q134" s="197"/>
      <c r="R134" s="195"/>
      <c r="S134" s="197" t="e">
        <f t="shared" si="44"/>
        <v>#N/A</v>
      </c>
      <c r="T134" s="411"/>
      <c r="U134" s="197"/>
      <c r="V134" s="169"/>
      <c r="W134" s="195"/>
      <c r="X134" s="197" t="e">
        <f t="shared" si="45"/>
        <v>#N/A</v>
      </c>
      <c r="Y134" s="411"/>
      <c r="Z134" s="197"/>
      <c r="AA134" s="169"/>
      <c r="AB134" s="195"/>
      <c r="AC134" s="197" t="e">
        <f t="shared" si="46"/>
        <v>#N/A</v>
      </c>
      <c r="AD134" s="411"/>
      <c r="AE134" s="197"/>
      <c r="AF134" s="169"/>
      <c r="AG134" s="195"/>
      <c r="AH134" s="197" t="e">
        <f t="shared" si="47"/>
        <v>#N/A</v>
      </c>
      <c r="AI134" s="411"/>
      <c r="AJ134" s="197"/>
      <c r="AK134" s="169"/>
      <c r="AL134" s="195"/>
      <c r="AM134" s="197" t="e">
        <f t="shared" si="48"/>
        <v>#N/A</v>
      </c>
      <c r="AN134" s="411"/>
      <c r="AO134" s="197"/>
      <c r="AP134" s="169"/>
      <c r="AQ134" s="169"/>
      <c r="AR134" s="197" t="e">
        <f t="shared" si="49"/>
        <v>#N/A</v>
      </c>
      <c r="AS134" s="411"/>
      <c r="AT134" s="197"/>
      <c r="AU134" s="169"/>
      <c r="AV134" s="169"/>
      <c r="AW134" s="197" t="e">
        <f t="shared" si="50"/>
        <v>#N/A</v>
      </c>
      <c r="AX134" s="411"/>
    </row>
    <row r="135" spans="2:50">
      <c r="B135" s="422"/>
      <c r="C135" s="197">
        <v>24</v>
      </c>
      <c r="D135" s="197"/>
      <c r="E135" s="197"/>
      <c r="F135" s="197"/>
      <c r="G135" s="197"/>
      <c r="H135" s="411"/>
      <c r="I135" s="197"/>
      <c r="J135" s="197"/>
      <c r="K135" s="197"/>
      <c r="L135" s="429"/>
      <c r="M135" s="169" t="e">
        <f>RANK(K135, K$147:$K$176)</f>
        <v>#DIV/0!</v>
      </c>
      <c r="N135" s="423"/>
      <c r="O135" s="423"/>
      <c r="P135" s="197"/>
      <c r="Q135" s="197"/>
      <c r="R135" s="197"/>
      <c r="S135" s="197" t="e">
        <f t="shared" si="44"/>
        <v>#N/A</v>
      </c>
      <c r="T135" s="411"/>
      <c r="U135" s="197"/>
      <c r="V135" s="197"/>
      <c r="W135" s="197"/>
      <c r="X135" s="197" t="e">
        <f t="shared" si="45"/>
        <v>#N/A</v>
      </c>
      <c r="Y135" s="411"/>
      <c r="Z135" s="197"/>
      <c r="AA135" s="197"/>
      <c r="AB135" s="197"/>
      <c r="AC135" s="197" t="e">
        <f t="shared" si="46"/>
        <v>#N/A</v>
      </c>
      <c r="AD135" s="411"/>
      <c r="AE135" s="197"/>
      <c r="AF135" s="197"/>
      <c r="AG135" s="197"/>
      <c r="AH135" s="197" t="e">
        <f t="shared" si="47"/>
        <v>#N/A</v>
      </c>
      <c r="AI135" s="411"/>
      <c r="AJ135" s="197"/>
      <c r="AK135" s="197"/>
      <c r="AL135" s="197"/>
      <c r="AM135" s="197" t="e">
        <f t="shared" si="48"/>
        <v>#N/A</v>
      </c>
      <c r="AN135" s="411"/>
      <c r="AO135" s="197"/>
      <c r="AP135" s="197"/>
      <c r="AQ135" s="197"/>
      <c r="AR135" s="197" t="e">
        <f t="shared" si="49"/>
        <v>#N/A</v>
      </c>
      <c r="AS135" s="411"/>
      <c r="AT135" s="197"/>
      <c r="AU135" s="197"/>
      <c r="AV135" s="197"/>
      <c r="AW135" s="197" t="e">
        <f t="shared" si="50"/>
        <v>#N/A</v>
      </c>
      <c r="AX135" s="411"/>
    </row>
    <row r="136" spans="2:50">
      <c r="B136" s="422"/>
      <c r="C136" s="197">
        <v>25</v>
      </c>
      <c r="D136" s="197"/>
      <c r="E136" s="197"/>
      <c r="F136" s="197"/>
      <c r="G136" s="197"/>
      <c r="H136" s="411"/>
      <c r="I136" s="197"/>
      <c r="J136" s="197"/>
      <c r="K136" s="197"/>
      <c r="L136" s="429"/>
      <c r="M136" s="169" t="e">
        <f>RANK(K136, K$147:$K$176)</f>
        <v>#DIV/0!</v>
      </c>
      <c r="N136" s="423"/>
      <c r="O136" s="423"/>
      <c r="P136" s="197"/>
      <c r="Q136" s="197"/>
      <c r="R136" s="197"/>
      <c r="S136" s="197" t="e">
        <f t="shared" si="44"/>
        <v>#N/A</v>
      </c>
      <c r="T136" s="411"/>
      <c r="U136" s="197"/>
      <c r="V136" s="197"/>
      <c r="W136" s="197"/>
      <c r="X136" s="197" t="e">
        <f t="shared" si="45"/>
        <v>#N/A</v>
      </c>
      <c r="Y136" s="411"/>
      <c r="Z136" s="197"/>
      <c r="AA136" s="197"/>
      <c r="AB136" s="197"/>
      <c r="AC136" s="197" t="e">
        <f t="shared" si="46"/>
        <v>#N/A</v>
      </c>
      <c r="AD136" s="411"/>
      <c r="AE136" s="197"/>
      <c r="AF136" s="197"/>
      <c r="AG136" s="197"/>
      <c r="AH136" s="197" t="e">
        <f t="shared" si="47"/>
        <v>#N/A</v>
      </c>
      <c r="AI136" s="411"/>
      <c r="AJ136" s="197"/>
      <c r="AK136" s="197"/>
      <c r="AL136" s="197"/>
      <c r="AM136" s="197" t="e">
        <f t="shared" si="48"/>
        <v>#N/A</v>
      </c>
      <c r="AN136" s="411"/>
      <c r="AO136" s="197"/>
      <c r="AP136" s="197"/>
      <c r="AQ136" s="197"/>
      <c r="AR136" s="197" t="e">
        <f t="shared" si="49"/>
        <v>#N/A</v>
      </c>
      <c r="AS136" s="411"/>
      <c r="AT136" s="197"/>
      <c r="AU136" s="197"/>
      <c r="AV136" s="197"/>
      <c r="AW136" s="197" t="e">
        <f t="shared" si="50"/>
        <v>#N/A</v>
      </c>
      <c r="AX136" s="411"/>
    </row>
    <row r="137" spans="2:50">
      <c r="B137" s="422"/>
      <c r="C137" s="197">
        <v>26</v>
      </c>
      <c r="D137" s="197"/>
      <c r="E137" s="197"/>
      <c r="F137" s="197"/>
      <c r="G137" s="197"/>
      <c r="H137" s="411"/>
      <c r="I137" s="197"/>
      <c r="J137" s="197"/>
      <c r="K137" s="197"/>
      <c r="L137" s="429"/>
      <c r="M137" s="169" t="e">
        <f>RANK(K137, K$147:$K$176)</f>
        <v>#DIV/0!</v>
      </c>
      <c r="N137" s="423"/>
      <c r="O137" s="423"/>
      <c r="P137" s="197"/>
      <c r="Q137" s="197"/>
      <c r="R137" s="197"/>
      <c r="S137" s="197" t="e">
        <f t="shared" si="44"/>
        <v>#N/A</v>
      </c>
      <c r="T137" s="411"/>
      <c r="U137" s="197"/>
      <c r="V137" s="197"/>
      <c r="W137" s="197"/>
      <c r="X137" s="197" t="e">
        <f t="shared" si="45"/>
        <v>#N/A</v>
      </c>
      <c r="Y137" s="411"/>
      <c r="Z137" s="197"/>
      <c r="AA137" s="197"/>
      <c r="AB137" s="197"/>
      <c r="AC137" s="197" t="e">
        <f t="shared" si="46"/>
        <v>#N/A</v>
      </c>
      <c r="AD137" s="411"/>
      <c r="AE137" s="197"/>
      <c r="AF137" s="197"/>
      <c r="AG137" s="197"/>
      <c r="AH137" s="197" t="e">
        <f t="shared" si="47"/>
        <v>#N/A</v>
      </c>
      <c r="AI137" s="411"/>
      <c r="AJ137" s="197"/>
      <c r="AK137" s="197"/>
      <c r="AL137" s="197"/>
      <c r="AM137" s="197" t="e">
        <f t="shared" si="48"/>
        <v>#N/A</v>
      </c>
      <c r="AN137" s="411"/>
      <c r="AO137" s="197"/>
      <c r="AP137" s="197"/>
      <c r="AQ137" s="197"/>
      <c r="AR137" s="197" t="e">
        <f t="shared" si="49"/>
        <v>#N/A</v>
      </c>
      <c r="AS137" s="411"/>
      <c r="AT137" s="197"/>
      <c r="AU137" s="197"/>
      <c r="AV137" s="197"/>
      <c r="AW137" s="197" t="e">
        <f t="shared" si="50"/>
        <v>#N/A</v>
      </c>
      <c r="AX137" s="411"/>
    </row>
    <row r="138" spans="2:50">
      <c r="B138" s="422"/>
      <c r="C138" s="197">
        <v>27</v>
      </c>
      <c r="D138" s="197"/>
      <c r="E138" s="197"/>
      <c r="F138" s="197"/>
      <c r="G138" s="197"/>
      <c r="H138" s="411"/>
      <c r="I138" s="197"/>
      <c r="J138" s="197"/>
      <c r="K138" s="197"/>
      <c r="L138" s="429"/>
      <c r="M138" s="169" t="e">
        <f>RANK(K138, K$147:$K$176)</f>
        <v>#DIV/0!</v>
      </c>
      <c r="N138" s="423"/>
      <c r="O138" s="423"/>
      <c r="P138" s="197"/>
      <c r="Q138" s="197"/>
      <c r="R138" s="197"/>
      <c r="S138" s="197" t="e">
        <f t="shared" si="44"/>
        <v>#N/A</v>
      </c>
      <c r="T138" s="411"/>
      <c r="U138" s="197"/>
      <c r="V138" s="197"/>
      <c r="W138" s="197"/>
      <c r="X138" s="197" t="e">
        <f t="shared" si="45"/>
        <v>#N/A</v>
      </c>
      <c r="Y138" s="411"/>
      <c r="Z138" s="197"/>
      <c r="AA138" s="197"/>
      <c r="AB138" s="197"/>
      <c r="AC138" s="197" t="e">
        <f t="shared" si="46"/>
        <v>#N/A</v>
      </c>
      <c r="AD138" s="411"/>
      <c r="AE138" s="197"/>
      <c r="AF138" s="197"/>
      <c r="AG138" s="197"/>
      <c r="AH138" s="197" t="e">
        <f t="shared" si="47"/>
        <v>#N/A</v>
      </c>
      <c r="AI138" s="411"/>
      <c r="AJ138" s="197"/>
      <c r="AK138" s="197"/>
      <c r="AL138" s="197"/>
      <c r="AM138" s="197" t="e">
        <f t="shared" si="48"/>
        <v>#N/A</v>
      </c>
      <c r="AN138" s="411"/>
      <c r="AO138" s="197"/>
      <c r="AP138" s="197"/>
      <c r="AQ138" s="197"/>
      <c r="AR138" s="197" t="e">
        <f t="shared" si="49"/>
        <v>#N/A</v>
      </c>
      <c r="AS138" s="411"/>
      <c r="AT138" s="197"/>
      <c r="AU138" s="197"/>
      <c r="AV138" s="197"/>
      <c r="AW138" s="197" t="e">
        <f t="shared" si="50"/>
        <v>#N/A</v>
      </c>
      <c r="AX138" s="411"/>
    </row>
    <row r="139" spans="2:50">
      <c r="B139" s="422"/>
      <c r="C139" s="197">
        <v>28</v>
      </c>
      <c r="D139" s="197"/>
      <c r="E139" s="197"/>
      <c r="F139" s="197"/>
      <c r="G139" s="197"/>
      <c r="H139" s="411"/>
      <c r="I139" s="197"/>
      <c r="J139" s="197"/>
      <c r="K139" s="197"/>
      <c r="L139" s="429"/>
      <c r="M139" s="169" t="e">
        <f>RANK(K139, K$147:$K$176)</f>
        <v>#DIV/0!</v>
      </c>
      <c r="N139" s="423"/>
      <c r="O139" s="423"/>
      <c r="P139" s="197"/>
      <c r="Q139" s="197"/>
      <c r="R139" s="197"/>
      <c r="S139" s="197" t="e">
        <f t="shared" si="44"/>
        <v>#N/A</v>
      </c>
      <c r="T139" s="411"/>
      <c r="U139" s="197"/>
      <c r="V139" s="197"/>
      <c r="W139" s="197"/>
      <c r="X139" s="197" t="e">
        <f t="shared" si="45"/>
        <v>#N/A</v>
      </c>
      <c r="Y139" s="411"/>
      <c r="Z139" s="197"/>
      <c r="AA139" s="197"/>
      <c r="AB139" s="197"/>
      <c r="AC139" s="197" t="e">
        <f t="shared" si="46"/>
        <v>#N/A</v>
      </c>
      <c r="AD139" s="411"/>
      <c r="AE139" s="197"/>
      <c r="AF139" s="197"/>
      <c r="AG139" s="197"/>
      <c r="AH139" s="197" t="e">
        <f t="shared" si="47"/>
        <v>#N/A</v>
      </c>
      <c r="AI139" s="411"/>
      <c r="AJ139" s="197"/>
      <c r="AK139" s="197"/>
      <c r="AL139" s="197"/>
      <c r="AM139" s="197" t="e">
        <f t="shared" si="48"/>
        <v>#N/A</v>
      </c>
      <c r="AN139" s="411"/>
      <c r="AO139" s="197"/>
      <c r="AP139" s="197"/>
      <c r="AQ139" s="197"/>
      <c r="AR139" s="197" t="e">
        <f t="shared" si="49"/>
        <v>#N/A</v>
      </c>
      <c r="AS139" s="411"/>
      <c r="AT139" s="197"/>
      <c r="AU139" s="197"/>
      <c r="AV139" s="197"/>
      <c r="AW139" s="197" t="e">
        <f t="shared" si="50"/>
        <v>#N/A</v>
      </c>
      <c r="AX139" s="411"/>
    </row>
    <row r="140" spans="2:50">
      <c r="B140" s="422"/>
      <c r="C140" s="197">
        <v>29</v>
      </c>
      <c r="D140" s="197"/>
      <c r="E140" s="197"/>
      <c r="F140" s="197"/>
      <c r="G140" s="197"/>
      <c r="H140" s="411"/>
      <c r="I140" s="197"/>
      <c r="J140" s="197"/>
      <c r="K140" s="197"/>
      <c r="L140" s="429"/>
      <c r="M140" s="169" t="e">
        <f>RANK(K140, K$147:$K$176)</f>
        <v>#DIV/0!</v>
      </c>
      <c r="N140" s="423"/>
      <c r="O140" s="423"/>
      <c r="P140" s="197"/>
      <c r="Q140" s="197"/>
      <c r="R140" s="197"/>
      <c r="S140" s="197" t="e">
        <f t="shared" si="44"/>
        <v>#N/A</v>
      </c>
      <c r="T140" s="411"/>
      <c r="U140" s="197"/>
      <c r="V140" s="197"/>
      <c r="W140" s="197"/>
      <c r="X140" s="197" t="e">
        <f t="shared" si="45"/>
        <v>#N/A</v>
      </c>
      <c r="Y140" s="411"/>
      <c r="Z140" s="197"/>
      <c r="AA140" s="197"/>
      <c r="AB140" s="197"/>
      <c r="AC140" s="197" t="e">
        <f t="shared" si="46"/>
        <v>#N/A</v>
      </c>
      <c r="AD140" s="411"/>
      <c r="AE140" s="197"/>
      <c r="AF140" s="197"/>
      <c r="AG140" s="197"/>
      <c r="AH140" s="197" t="e">
        <f t="shared" si="47"/>
        <v>#N/A</v>
      </c>
      <c r="AI140" s="411"/>
      <c r="AJ140" s="197"/>
      <c r="AK140" s="197"/>
      <c r="AL140" s="197"/>
      <c r="AM140" s="197" t="e">
        <f t="shared" si="48"/>
        <v>#N/A</v>
      </c>
      <c r="AN140" s="411"/>
      <c r="AO140" s="197"/>
      <c r="AP140" s="197"/>
      <c r="AQ140" s="197"/>
      <c r="AR140" s="197" t="e">
        <f t="shared" si="49"/>
        <v>#N/A</v>
      </c>
      <c r="AS140" s="411"/>
      <c r="AT140" s="197"/>
      <c r="AU140" s="197"/>
      <c r="AV140" s="197"/>
      <c r="AW140" s="197" t="e">
        <f t="shared" si="50"/>
        <v>#N/A</v>
      </c>
      <c r="AX140" s="411"/>
    </row>
    <row r="141" spans="2:50">
      <c r="B141" s="422"/>
      <c r="C141" s="197">
        <v>30</v>
      </c>
      <c r="D141" s="197"/>
      <c r="E141" s="197"/>
      <c r="F141" s="197"/>
      <c r="G141" s="197"/>
      <c r="H141" s="412"/>
      <c r="I141" s="197"/>
      <c r="J141" s="197"/>
      <c r="K141" s="197"/>
      <c r="L141" s="430"/>
      <c r="M141" s="169" t="e">
        <f>RANK(K141, K$147:$K$176)</f>
        <v>#DIV/0!</v>
      </c>
      <c r="N141" s="423"/>
      <c r="O141" s="423"/>
      <c r="P141" s="197"/>
      <c r="Q141" s="197"/>
      <c r="R141" s="197"/>
      <c r="S141" s="197" t="e">
        <f t="shared" si="44"/>
        <v>#N/A</v>
      </c>
      <c r="T141" s="412"/>
      <c r="U141" s="197"/>
      <c r="V141" s="197"/>
      <c r="W141" s="197"/>
      <c r="X141" s="197" t="e">
        <f t="shared" si="45"/>
        <v>#N/A</v>
      </c>
      <c r="Y141" s="412"/>
      <c r="Z141" s="197"/>
      <c r="AA141" s="197"/>
      <c r="AB141" s="197"/>
      <c r="AC141" s="197" t="e">
        <f t="shared" si="46"/>
        <v>#N/A</v>
      </c>
      <c r="AD141" s="412"/>
      <c r="AE141" s="197"/>
      <c r="AF141" s="197"/>
      <c r="AG141" s="197"/>
      <c r="AH141" s="197" t="e">
        <f t="shared" si="47"/>
        <v>#N/A</v>
      </c>
      <c r="AI141" s="412"/>
      <c r="AJ141" s="197"/>
      <c r="AK141" s="197"/>
      <c r="AL141" s="197"/>
      <c r="AM141" s="197" t="e">
        <f t="shared" si="48"/>
        <v>#N/A</v>
      </c>
      <c r="AN141" s="412"/>
      <c r="AO141" s="197"/>
      <c r="AP141" s="197"/>
      <c r="AQ141" s="197"/>
      <c r="AR141" s="197" t="e">
        <f t="shared" si="49"/>
        <v>#N/A</v>
      </c>
      <c r="AS141" s="412"/>
      <c r="AT141" s="197"/>
      <c r="AU141" s="197"/>
      <c r="AV141" s="197"/>
      <c r="AW141" s="197" t="e">
        <f t="shared" si="50"/>
        <v>#N/A</v>
      </c>
      <c r="AX141" s="412"/>
    </row>
    <row r="142" spans="2:50" ht="15.75">
      <c r="B142" s="396" t="s">
        <v>202</v>
      </c>
      <c r="C142" s="427"/>
      <c r="D142" s="427"/>
      <c r="E142" s="427"/>
      <c r="F142" s="427"/>
      <c r="G142" s="427"/>
      <c r="H142" s="427"/>
      <c r="I142" s="201"/>
      <c r="J142" s="201"/>
      <c r="K142" s="201"/>
      <c r="L142" s="201"/>
      <c r="M142" s="200"/>
      <c r="N142" s="401" t="s">
        <v>203</v>
      </c>
      <c r="O142" s="401" t="s">
        <v>150</v>
      </c>
      <c r="P142" s="421">
        <f>P107+7</f>
        <v>45923</v>
      </c>
      <c r="Q142" s="422"/>
      <c r="R142" s="422"/>
      <c r="S142" s="422"/>
      <c r="T142" s="422"/>
      <c r="U142" s="416">
        <f>P142+1</f>
        <v>45924</v>
      </c>
      <c r="V142" s="417"/>
      <c r="W142" s="417"/>
      <c r="X142" s="417"/>
      <c r="Y142" s="418"/>
      <c r="Z142" s="416">
        <f>U142+1</f>
        <v>45925</v>
      </c>
      <c r="AA142" s="417"/>
      <c r="AB142" s="417"/>
      <c r="AC142" s="417"/>
      <c r="AD142" s="418"/>
      <c r="AE142" s="416">
        <f t="shared" ref="AE142" si="51">Z142+1</f>
        <v>45926</v>
      </c>
      <c r="AF142" s="417"/>
      <c r="AG142" s="417"/>
      <c r="AH142" s="417"/>
      <c r="AI142" s="418"/>
      <c r="AJ142" s="416">
        <f t="shared" ref="AJ142" si="52">AE142+1</f>
        <v>45927</v>
      </c>
      <c r="AK142" s="417"/>
      <c r="AL142" s="417"/>
      <c r="AM142" s="417"/>
      <c r="AN142" s="418"/>
      <c r="AO142" s="416">
        <f t="shared" ref="AO142" si="53">AJ142+1</f>
        <v>45928</v>
      </c>
      <c r="AP142" s="417"/>
      <c r="AQ142" s="417"/>
      <c r="AR142" s="417"/>
      <c r="AS142" s="418"/>
      <c r="AT142" s="416">
        <f t="shared" ref="AT142" si="54">AO142+1</f>
        <v>45929</v>
      </c>
      <c r="AU142" s="417"/>
      <c r="AV142" s="417"/>
      <c r="AW142" s="417"/>
      <c r="AX142" s="418"/>
    </row>
    <row r="143" spans="2:50" ht="15.75">
      <c r="B143" s="426"/>
      <c r="C143" s="426"/>
      <c r="D143" s="426"/>
      <c r="E143" s="426"/>
      <c r="F143" s="426"/>
      <c r="G143" s="426"/>
      <c r="H143" s="426"/>
      <c r="I143" s="199"/>
      <c r="J143" s="199"/>
      <c r="K143" s="199"/>
      <c r="L143" s="199"/>
      <c r="M143" s="194"/>
      <c r="N143" s="403"/>
      <c r="O143" s="403"/>
      <c r="P143" s="421" t="s">
        <v>204</v>
      </c>
      <c r="Q143" s="422"/>
      <c r="R143" s="422"/>
      <c r="S143" s="422"/>
      <c r="T143" s="422"/>
      <c r="U143" s="421" t="s">
        <v>205</v>
      </c>
      <c r="V143" s="422"/>
      <c r="W143" s="422"/>
      <c r="X143" s="422"/>
      <c r="Y143" s="422"/>
      <c r="Z143" s="421" t="s">
        <v>206</v>
      </c>
      <c r="AA143" s="422"/>
      <c r="AB143" s="422"/>
      <c r="AC143" s="422"/>
      <c r="AD143" s="422"/>
      <c r="AE143" s="421" t="s">
        <v>207</v>
      </c>
      <c r="AF143" s="422"/>
      <c r="AG143" s="422"/>
      <c r="AH143" s="422"/>
      <c r="AI143" s="422"/>
      <c r="AJ143" s="421" t="s">
        <v>208</v>
      </c>
      <c r="AK143" s="422"/>
      <c r="AL143" s="422"/>
      <c r="AM143" s="422"/>
      <c r="AN143" s="422"/>
      <c r="AO143" s="421" t="s">
        <v>157</v>
      </c>
      <c r="AP143" s="422"/>
      <c r="AQ143" s="422"/>
      <c r="AR143" s="422"/>
      <c r="AS143" s="422"/>
      <c r="AT143" s="421" t="s">
        <v>209</v>
      </c>
      <c r="AU143" s="422"/>
      <c r="AV143" s="422"/>
      <c r="AW143" s="422"/>
      <c r="AX143" s="422"/>
    </row>
    <row r="144" spans="2:50">
      <c r="B144" s="423" t="s">
        <v>210</v>
      </c>
      <c r="C144" s="423" t="s">
        <v>211</v>
      </c>
      <c r="D144" s="423"/>
      <c r="E144" s="423" t="s">
        <v>212</v>
      </c>
      <c r="F144" s="423"/>
      <c r="G144" s="423"/>
      <c r="H144" s="404" t="s">
        <v>213</v>
      </c>
      <c r="I144" s="423" t="s">
        <v>214</v>
      </c>
      <c r="J144" s="423"/>
      <c r="K144" s="423"/>
      <c r="L144" s="404" t="s">
        <v>213</v>
      </c>
      <c r="M144" s="401" t="s">
        <v>215</v>
      </c>
      <c r="N144" s="423"/>
      <c r="O144" s="423" t="s">
        <v>216</v>
      </c>
      <c r="P144" s="413" t="s">
        <v>217</v>
      </c>
      <c r="Q144" s="414"/>
      <c r="R144" s="414"/>
      <c r="S144" s="415"/>
      <c r="T144" s="423" t="s">
        <v>213</v>
      </c>
      <c r="U144" s="413" t="s">
        <v>217</v>
      </c>
      <c r="V144" s="414"/>
      <c r="W144" s="414"/>
      <c r="X144" s="415"/>
      <c r="Y144" s="423" t="s">
        <v>213</v>
      </c>
      <c r="Z144" s="413" t="s">
        <v>217</v>
      </c>
      <c r="AA144" s="414"/>
      <c r="AB144" s="414"/>
      <c r="AC144" s="415"/>
      <c r="AD144" s="423" t="s">
        <v>213</v>
      </c>
      <c r="AE144" s="413" t="s">
        <v>217</v>
      </c>
      <c r="AF144" s="414"/>
      <c r="AG144" s="414"/>
      <c r="AH144" s="415"/>
      <c r="AI144" s="423" t="s">
        <v>213</v>
      </c>
      <c r="AJ144" s="413" t="s">
        <v>217</v>
      </c>
      <c r="AK144" s="414"/>
      <c r="AL144" s="414"/>
      <c r="AM144" s="415"/>
      <c r="AN144" s="423" t="s">
        <v>213</v>
      </c>
      <c r="AO144" s="413" t="s">
        <v>217</v>
      </c>
      <c r="AP144" s="414"/>
      <c r="AQ144" s="414"/>
      <c r="AR144" s="415"/>
      <c r="AS144" s="423" t="s">
        <v>213</v>
      </c>
      <c r="AT144" s="413" t="s">
        <v>217</v>
      </c>
      <c r="AU144" s="414"/>
      <c r="AV144" s="414"/>
      <c r="AW144" s="415"/>
      <c r="AX144" s="423" t="s">
        <v>213</v>
      </c>
    </row>
    <row r="145" spans="2:50">
      <c r="B145" s="423"/>
      <c r="C145" s="423"/>
      <c r="D145" s="423"/>
      <c r="E145" s="423" t="s">
        <v>218</v>
      </c>
      <c r="F145" s="423"/>
      <c r="G145" s="423"/>
      <c r="H145" s="406"/>
      <c r="I145" s="423" t="s">
        <v>218</v>
      </c>
      <c r="J145" s="423"/>
      <c r="K145" s="423"/>
      <c r="L145" s="406"/>
      <c r="M145" s="402"/>
      <c r="N145" s="423"/>
      <c r="O145" s="423"/>
      <c r="P145" s="413" t="s">
        <v>219</v>
      </c>
      <c r="Q145" s="414"/>
      <c r="R145" s="414"/>
      <c r="S145" s="415"/>
      <c r="T145" s="423"/>
      <c r="U145" s="413" t="s">
        <v>219</v>
      </c>
      <c r="V145" s="414"/>
      <c r="W145" s="414"/>
      <c r="X145" s="415"/>
      <c r="Y145" s="423"/>
      <c r="Z145" s="413" t="s">
        <v>219</v>
      </c>
      <c r="AA145" s="414"/>
      <c r="AB145" s="414"/>
      <c r="AC145" s="415"/>
      <c r="AD145" s="423"/>
      <c r="AE145" s="413" t="s">
        <v>219</v>
      </c>
      <c r="AF145" s="414"/>
      <c r="AG145" s="414"/>
      <c r="AH145" s="415"/>
      <c r="AI145" s="423"/>
      <c r="AJ145" s="413" t="s">
        <v>219</v>
      </c>
      <c r="AK145" s="414"/>
      <c r="AL145" s="414"/>
      <c r="AM145" s="415"/>
      <c r="AN145" s="423"/>
      <c r="AO145" s="413" t="s">
        <v>219</v>
      </c>
      <c r="AP145" s="414"/>
      <c r="AQ145" s="414"/>
      <c r="AR145" s="415"/>
      <c r="AS145" s="423"/>
      <c r="AT145" s="413" t="s">
        <v>219</v>
      </c>
      <c r="AU145" s="414"/>
      <c r="AV145" s="414"/>
      <c r="AW145" s="415"/>
      <c r="AX145" s="423"/>
    </row>
    <row r="146" spans="2:50">
      <c r="B146" s="423"/>
      <c r="C146" s="423"/>
      <c r="D146" s="423"/>
      <c r="E146" s="297" t="s">
        <v>220</v>
      </c>
      <c r="F146" s="297" t="s">
        <v>221</v>
      </c>
      <c r="G146" s="297" t="s">
        <v>222</v>
      </c>
      <c r="H146" s="408"/>
      <c r="I146" s="297" t="s">
        <v>220</v>
      </c>
      <c r="J146" s="297" t="s">
        <v>221</v>
      </c>
      <c r="K146" s="297" t="s">
        <v>222</v>
      </c>
      <c r="L146" s="408"/>
      <c r="M146" s="403"/>
      <c r="N146" s="423"/>
      <c r="O146" s="423"/>
      <c r="P146" s="297" t="s">
        <v>220</v>
      </c>
      <c r="Q146" s="297" t="s">
        <v>221</v>
      </c>
      <c r="R146" s="297" t="s">
        <v>222</v>
      </c>
      <c r="S146" s="297" t="s">
        <v>215</v>
      </c>
      <c r="T146" s="423"/>
      <c r="U146" s="297" t="s">
        <v>220</v>
      </c>
      <c r="V146" s="297" t="s">
        <v>221</v>
      </c>
      <c r="W146" s="297" t="s">
        <v>222</v>
      </c>
      <c r="X146" s="297" t="s">
        <v>215</v>
      </c>
      <c r="Y146" s="423"/>
      <c r="Z146" s="297" t="s">
        <v>220</v>
      </c>
      <c r="AA146" s="297" t="s">
        <v>221</v>
      </c>
      <c r="AB146" s="297" t="s">
        <v>222</v>
      </c>
      <c r="AC146" s="297" t="s">
        <v>215</v>
      </c>
      <c r="AD146" s="423"/>
      <c r="AE146" s="297" t="s">
        <v>220</v>
      </c>
      <c r="AF146" s="297" t="s">
        <v>221</v>
      </c>
      <c r="AG146" s="297" t="s">
        <v>222</v>
      </c>
      <c r="AH146" s="297" t="s">
        <v>215</v>
      </c>
      <c r="AI146" s="423"/>
      <c r="AJ146" s="297" t="s">
        <v>220</v>
      </c>
      <c r="AK146" s="297" t="s">
        <v>221</v>
      </c>
      <c r="AL146" s="297" t="s">
        <v>222</v>
      </c>
      <c r="AM146" s="297" t="s">
        <v>215</v>
      </c>
      <c r="AN146" s="423"/>
      <c r="AO146" s="297" t="s">
        <v>220</v>
      </c>
      <c r="AP146" s="297" t="s">
        <v>221</v>
      </c>
      <c r="AQ146" s="297" t="s">
        <v>222</v>
      </c>
      <c r="AR146" s="297" t="s">
        <v>215</v>
      </c>
      <c r="AS146" s="423"/>
      <c r="AT146" s="297" t="s">
        <v>220</v>
      </c>
      <c r="AU146" s="297" t="s">
        <v>221</v>
      </c>
      <c r="AV146" s="297" t="s">
        <v>222</v>
      </c>
      <c r="AW146" s="297" t="s">
        <v>215</v>
      </c>
      <c r="AX146" s="423"/>
    </row>
    <row r="147" spans="2:50">
      <c r="B147" s="422" t="s">
        <v>223</v>
      </c>
      <c r="C147" s="197">
        <v>1</v>
      </c>
      <c r="D147" s="197"/>
      <c r="E147" s="197"/>
      <c r="F147" s="197"/>
      <c r="G147" s="197"/>
      <c r="H147" s="410" t="e">
        <f>AVERAGE(G147:G176)</f>
        <v>#DIV/0!</v>
      </c>
      <c r="I147" s="169" t="e">
        <f>AVERAGE(P147,U147,Z147,AE147,AJ147,AO147,AT147)</f>
        <v>#DIV/0!</v>
      </c>
      <c r="J147" s="169" t="e">
        <f>AVERAGE(Q147,V147,AA147,AF147,AK147,AP147,AU147)</f>
        <v>#DIV/0!</v>
      </c>
      <c r="K147" s="195" t="e">
        <f>AVERAGE(R147,W147,AB147,AG147,AL147,AQ147,AV147)</f>
        <v>#DIV/0!</v>
      </c>
      <c r="L147" s="428" t="str">
        <f>IFERROR(AVERAGE(K147:K176),"-")</f>
        <v>-</v>
      </c>
      <c r="M147" s="169" t="e">
        <f>RANK(K147, K$147:$K$176)</f>
        <v>#DIV/0!</v>
      </c>
      <c r="N147" s="423"/>
      <c r="O147" s="423"/>
      <c r="P147" s="197"/>
      <c r="Q147" s="169"/>
      <c r="R147" s="195"/>
      <c r="S147" s="197" t="e">
        <f>RANK(R147, R$147:R$176)</f>
        <v>#N/A</v>
      </c>
      <c r="T147" s="410" t="e">
        <f>AVERAGE(R147:R176)</f>
        <v>#DIV/0!</v>
      </c>
      <c r="U147" s="197"/>
      <c r="V147" s="169"/>
      <c r="W147" s="195"/>
      <c r="X147" s="197" t="e">
        <f>RANK(W147, W$147:W$176)</f>
        <v>#N/A</v>
      </c>
      <c r="Y147" s="410" t="e">
        <f>AVERAGE(W147:W176)</f>
        <v>#DIV/0!</v>
      </c>
      <c r="Z147" s="197"/>
      <c r="AA147" s="169"/>
      <c r="AB147" s="195"/>
      <c r="AC147" s="197" t="e">
        <f>RANK(AB147, AB$147:AB$176)</f>
        <v>#N/A</v>
      </c>
      <c r="AD147" s="410" t="e">
        <f>AVERAGE(AB147:AB176)</f>
        <v>#DIV/0!</v>
      </c>
      <c r="AE147" s="197"/>
      <c r="AF147" s="169"/>
      <c r="AG147" s="195"/>
      <c r="AH147" s="197" t="e">
        <f>RANK(AG147, AG$147:AG$176)</f>
        <v>#N/A</v>
      </c>
      <c r="AI147" s="410" t="e">
        <f>AVERAGE(AG147:AG176)</f>
        <v>#DIV/0!</v>
      </c>
      <c r="AJ147" s="197"/>
      <c r="AK147" s="169"/>
      <c r="AL147" s="195"/>
      <c r="AM147" s="197" t="e">
        <f>RANK(AL147, AL$147:AL$176)</f>
        <v>#N/A</v>
      </c>
      <c r="AN147" s="410" t="e">
        <f>AVERAGE(AL147:AL176)</f>
        <v>#DIV/0!</v>
      </c>
      <c r="AO147" s="197"/>
      <c r="AP147" s="169"/>
      <c r="AQ147" s="169"/>
      <c r="AR147" s="197" t="e">
        <f>RANK(AQ147, AQ$147:AQ$176)</f>
        <v>#N/A</v>
      </c>
      <c r="AS147" s="410" t="e">
        <f>AVERAGE(AQ147:AQ176)</f>
        <v>#DIV/0!</v>
      </c>
      <c r="AT147" s="197"/>
      <c r="AU147" s="169"/>
      <c r="AV147" s="169"/>
      <c r="AW147" s="197" t="e">
        <f>RANK(AV147, AV$147:AV$176)</f>
        <v>#N/A</v>
      </c>
      <c r="AX147" s="410" t="e">
        <f>AVERAGE(AV147:AV176)</f>
        <v>#DIV/0!</v>
      </c>
    </row>
    <row r="148" spans="2:50">
      <c r="B148" s="422"/>
      <c r="C148" s="197">
        <v>2</v>
      </c>
      <c r="D148" s="197"/>
      <c r="E148" s="197"/>
      <c r="F148" s="197"/>
      <c r="G148" s="197"/>
      <c r="H148" s="411"/>
      <c r="I148" s="169" t="e">
        <f t="shared" ref="I148:I156" si="55">AVERAGE(P148,U148,Z148,AE148,AJ148,AO148,AT148)</f>
        <v>#DIV/0!</v>
      </c>
      <c r="J148" s="169" t="e">
        <f t="shared" ref="J148:J156" si="56">AVERAGE(Q148,V148,AA148,AF148,AK148,AP148,AU148)</f>
        <v>#DIV/0!</v>
      </c>
      <c r="K148" s="195" t="e">
        <f t="shared" ref="K148:K156" si="57">AVERAGE(R148,W148,AB148,AG148,AL148,AQ148,AV148)</f>
        <v>#DIV/0!</v>
      </c>
      <c r="L148" s="429"/>
      <c r="M148" s="169" t="e">
        <f>RANK(K148, K$147:$K$176)</f>
        <v>#DIV/0!</v>
      </c>
      <c r="N148" s="423"/>
      <c r="O148" s="423"/>
      <c r="P148" s="197"/>
      <c r="Q148" s="169"/>
      <c r="R148" s="195"/>
      <c r="S148" s="197" t="e">
        <f t="shared" ref="S148:S176" si="58">RANK(R148, R$147:R$176)</f>
        <v>#N/A</v>
      </c>
      <c r="T148" s="411"/>
      <c r="U148" s="197"/>
      <c r="V148" s="169"/>
      <c r="W148" s="195"/>
      <c r="X148" s="197" t="e">
        <f t="shared" ref="X148:X176" si="59">RANK(W148, W$147:W$176)</f>
        <v>#N/A</v>
      </c>
      <c r="Y148" s="411"/>
      <c r="Z148" s="197"/>
      <c r="AA148" s="169"/>
      <c r="AB148" s="195"/>
      <c r="AC148" s="197" t="e">
        <f t="shared" ref="AC148:AC176" si="60">RANK(AB148, AB$147:AB$176)</f>
        <v>#N/A</v>
      </c>
      <c r="AD148" s="411"/>
      <c r="AE148" s="197"/>
      <c r="AF148" s="169"/>
      <c r="AG148" s="195"/>
      <c r="AH148" s="197" t="e">
        <f t="shared" ref="AH148:AH176" si="61">RANK(AG148, AG$147:AG$176)</f>
        <v>#N/A</v>
      </c>
      <c r="AI148" s="411"/>
      <c r="AJ148" s="197"/>
      <c r="AK148" s="169"/>
      <c r="AL148" s="195"/>
      <c r="AM148" s="197" t="e">
        <f t="shared" ref="AM148:AM176" si="62">RANK(AL148, AL$147:AL$176)</f>
        <v>#N/A</v>
      </c>
      <c r="AN148" s="411"/>
      <c r="AO148" s="197"/>
      <c r="AP148" s="169"/>
      <c r="AQ148" s="169"/>
      <c r="AR148" s="197" t="e">
        <f t="shared" ref="AR148:AR176" si="63">RANK(AQ148, AQ$147:AQ$176)</f>
        <v>#N/A</v>
      </c>
      <c r="AS148" s="411"/>
      <c r="AT148" s="197"/>
      <c r="AU148" s="169"/>
      <c r="AV148" s="169"/>
      <c r="AW148" s="197" t="e">
        <f t="shared" ref="AW148:AW176" si="64">RANK(AV148, AV$147:AV$176)</f>
        <v>#N/A</v>
      </c>
      <c r="AX148" s="411"/>
    </row>
    <row r="149" spans="2:50">
      <c r="B149" s="422"/>
      <c r="C149" s="197">
        <v>3</v>
      </c>
      <c r="D149" s="197"/>
      <c r="E149" s="197"/>
      <c r="F149" s="197"/>
      <c r="G149" s="197"/>
      <c r="H149" s="411"/>
      <c r="I149" s="169" t="e">
        <f t="shared" si="55"/>
        <v>#DIV/0!</v>
      </c>
      <c r="J149" s="169" t="e">
        <f t="shared" si="56"/>
        <v>#DIV/0!</v>
      </c>
      <c r="K149" s="195" t="e">
        <f t="shared" si="57"/>
        <v>#DIV/0!</v>
      </c>
      <c r="L149" s="429"/>
      <c r="M149" s="169" t="e">
        <f>RANK(K149, K$147:$K$176)</f>
        <v>#DIV/0!</v>
      </c>
      <c r="N149" s="423"/>
      <c r="O149" s="423"/>
      <c r="P149" s="197"/>
      <c r="Q149" s="169"/>
      <c r="R149" s="195"/>
      <c r="S149" s="197" t="e">
        <f t="shared" si="58"/>
        <v>#N/A</v>
      </c>
      <c r="T149" s="411"/>
      <c r="U149" s="197"/>
      <c r="V149" s="169"/>
      <c r="W149" s="195"/>
      <c r="X149" s="197" t="e">
        <f t="shared" si="59"/>
        <v>#N/A</v>
      </c>
      <c r="Y149" s="411"/>
      <c r="Z149" s="197"/>
      <c r="AA149" s="169"/>
      <c r="AB149" s="195"/>
      <c r="AC149" s="197" t="e">
        <f t="shared" si="60"/>
        <v>#N/A</v>
      </c>
      <c r="AD149" s="411"/>
      <c r="AE149" s="197"/>
      <c r="AF149" s="169"/>
      <c r="AG149" s="195"/>
      <c r="AH149" s="197" t="e">
        <f t="shared" si="61"/>
        <v>#N/A</v>
      </c>
      <c r="AI149" s="411"/>
      <c r="AJ149" s="197"/>
      <c r="AK149" s="169"/>
      <c r="AL149" s="195"/>
      <c r="AM149" s="197" t="e">
        <f t="shared" si="62"/>
        <v>#N/A</v>
      </c>
      <c r="AN149" s="411"/>
      <c r="AO149" s="197"/>
      <c r="AP149" s="169"/>
      <c r="AQ149" s="169"/>
      <c r="AR149" s="197" t="e">
        <f t="shared" si="63"/>
        <v>#N/A</v>
      </c>
      <c r="AS149" s="411"/>
      <c r="AT149" s="197"/>
      <c r="AU149" s="169"/>
      <c r="AV149" s="169"/>
      <c r="AW149" s="197" t="e">
        <f t="shared" si="64"/>
        <v>#N/A</v>
      </c>
      <c r="AX149" s="411"/>
    </row>
    <row r="150" spans="2:50">
      <c r="B150" s="422"/>
      <c r="C150" s="197">
        <v>4</v>
      </c>
      <c r="D150" s="197"/>
      <c r="E150" s="197"/>
      <c r="F150" s="197"/>
      <c r="G150" s="197"/>
      <c r="H150" s="411"/>
      <c r="I150" s="169" t="e">
        <f t="shared" si="55"/>
        <v>#DIV/0!</v>
      </c>
      <c r="J150" s="169" t="e">
        <f t="shared" si="56"/>
        <v>#DIV/0!</v>
      </c>
      <c r="K150" s="195" t="e">
        <f t="shared" si="57"/>
        <v>#DIV/0!</v>
      </c>
      <c r="L150" s="429"/>
      <c r="M150" s="169" t="e">
        <f>RANK(K150, K$147:$K$176)</f>
        <v>#DIV/0!</v>
      </c>
      <c r="N150" s="423"/>
      <c r="O150" s="423"/>
      <c r="P150" s="197"/>
      <c r="Q150" s="169"/>
      <c r="R150" s="195"/>
      <c r="S150" s="197" t="e">
        <f t="shared" si="58"/>
        <v>#N/A</v>
      </c>
      <c r="T150" s="411"/>
      <c r="U150" s="197"/>
      <c r="V150" s="169"/>
      <c r="W150" s="195"/>
      <c r="X150" s="197" t="e">
        <f t="shared" si="59"/>
        <v>#N/A</v>
      </c>
      <c r="Y150" s="411"/>
      <c r="Z150" s="197"/>
      <c r="AA150" s="169"/>
      <c r="AB150" s="195"/>
      <c r="AC150" s="197" t="e">
        <f t="shared" si="60"/>
        <v>#N/A</v>
      </c>
      <c r="AD150" s="411"/>
      <c r="AE150" s="197"/>
      <c r="AF150" s="169"/>
      <c r="AG150" s="195"/>
      <c r="AH150" s="197" t="e">
        <f t="shared" si="61"/>
        <v>#N/A</v>
      </c>
      <c r="AI150" s="411"/>
      <c r="AJ150" s="197"/>
      <c r="AK150" s="169"/>
      <c r="AL150" s="195"/>
      <c r="AM150" s="197" t="e">
        <f t="shared" si="62"/>
        <v>#N/A</v>
      </c>
      <c r="AN150" s="411"/>
      <c r="AO150" s="197"/>
      <c r="AP150" s="169"/>
      <c r="AQ150" s="169"/>
      <c r="AR150" s="197" t="e">
        <f t="shared" si="63"/>
        <v>#N/A</v>
      </c>
      <c r="AS150" s="411"/>
      <c r="AT150" s="197"/>
      <c r="AU150" s="169"/>
      <c r="AV150" s="169"/>
      <c r="AW150" s="197" t="e">
        <f t="shared" si="64"/>
        <v>#N/A</v>
      </c>
      <c r="AX150" s="411"/>
    </row>
    <row r="151" spans="2:50">
      <c r="B151" s="422"/>
      <c r="C151" s="197">
        <v>5</v>
      </c>
      <c r="D151" s="197"/>
      <c r="E151" s="197"/>
      <c r="F151" s="197"/>
      <c r="G151" s="197"/>
      <c r="H151" s="411"/>
      <c r="I151" s="169" t="e">
        <f t="shared" si="55"/>
        <v>#DIV/0!</v>
      </c>
      <c r="J151" s="169" t="e">
        <f t="shared" si="56"/>
        <v>#DIV/0!</v>
      </c>
      <c r="K151" s="195" t="e">
        <f t="shared" si="57"/>
        <v>#DIV/0!</v>
      </c>
      <c r="L151" s="429"/>
      <c r="M151" s="169" t="e">
        <f>RANK(K151, K$147:$K$176)</f>
        <v>#DIV/0!</v>
      </c>
      <c r="N151" s="423"/>
      <c r="O151" s="423"/>
      <c r="P151" s="197"/>
      <c r="Q151" s="169"/>
      <c r="R151" s="195"/>
      <c r="S151" s="197" t="e">
        <f t="shared" si="58"/>
        <v>#N/A</v>
      </c>
      <c r="T151" s="411"/>
      <c r="U151" s="197"/>
      <c r="V151" s="169"/>
      <c r="W151" s="195"/>
      <c r="X151" s="197" t="e">
        <f t="shared" si="59"/>
        <v>#N/A</v>
      </c>
      <c r="Y151" s="411"/>
      <c r="Z151" s="197"/>
      <c r="AA151" s="169"/>
      <c r="AB151" s="195"/>
      <c r="AC151" s="197" t="e">
        <f t="shared" si="60"/>
        <v>#N/A</v>
      </c>
      <c r="AD151" s="411"/>
      <c r="AE151" s="197"/>
      <c r="AF151" s="169"/>
      <c r="AG151" s="195"/>
      <c r="AH151" s="197" t="e">
        <f t="shared" si="61"/>
        <v>#N/A</v>
      </c>
      <c r="AI151" s="411"/>
      <c r="AJ151" s="197"/>
      <c r="AK151" s="169"/>
      <c r="AL151" s="195"/>
      <c r="AM151" s="197" t="e">
        <f t="shared" si="62"/>
        <v>#N/A</v>
      </c>
      <c r="AN151" s="411"/>
      <c r="AO151" s="197"/>
      <c r="AP151" s="169"/>
      <c r="AQ151" s="169"/>
      <c r="AR151" s="197" t="e">
        <f t="shared" si="63"/>
        <v>#N/A</v>
      </c>
      <c r="AS151" s="411"/>
      <c r="AT151" s="197"/>
      <c r="AU151" s="169"/>
      <c r="AV151" s="169"/>
      <c r="AW151" s="197" t="e">
        <f t="shared" si="64"/>
        <v>#N/A</v>
      </c>
      <c r="AX151" s="411"/>
    </row>
    <row r="152" spans="2:50">
      <c r="B152" s="422"/>
      <c r="C152" s="197">
        <v>6</v>
      </c>
      <c r="D152" s="197"/>
      <c r="E152" s="197"/>
      <c r="F152" s="197"/>
      <c r="G152" s="197"/>
      <c r="H152" s="411"/>
      <c r="I152" s="169" t="e">
        <f t="shared" si="55"/>
        <v>#DIV/0!</v>
      </c>
      <c r="J152" s="169" t="e">
        <f t="shared" si="56"/>
        <v>#DIV/0!</v>
      </c>
      <c r="K152" s="195" t="e">
        <f t="shared" si="57"/>
        <v>#DIV/0!</v>
      </c>
      <c r="L152" s="429"/>
      <c r="M152" s="169" t="e">
        <f>RANK(K152, K$147:$K$176)</f>
        <v>#DIV/0!</v>
      </c>
      <c r="N152" s="423"/>
      <c r="O152" s="423"/>
      <c r="P152" s="197"/>
      <c r="Q152" s="169"/>
      <c r="R152" s="195"/>
      <c r="S152" s="197" t="e">
        <f t="shared" si="58"/>
        <v>#N/A</v>
      </c>
      <c r="T152" s="411"/>
      <c r="U152" s="197"/>
      <c r="V152" s="169"/>
      <c r="W152" s="195"/>
      <c r="X152" s="197" t="e">
        <f t="shared" si="59"/>
        <v>#N/A</v>
      </c>
      <c r="Y152" s="411"/>
      <c r="Z152" s="197"/>
      <c r="AA152" s="169"/>
      <c r="AB152" s="195"/>
      <c r="AC152" s="197" t="e">
        <f t="shared" si="60"/>
        <v>#N/A</v>
      </c>
      <c r="AD152" s="411"/>
      <c r="AE152" s="197"/>
      <c r="AF152" s="169"/>
      <c r="AG152" s="195"/>
      <c r="AH152" s="197" t="e">
        <f t="shared" si="61"/>
        <v>#N/A</v>
      </c>
      <c r="AI152" s="411"/>
      <c r="AJ152" s="197"/>
      <c r="AK152" s="169"/>
      <c r="AL152" s="195"/>
      <c r="AM152" s="197" t="e">
        <f t="shared" si="62"/>
        <v>#N/A</v>
      </c>
      <c r="AN152" s="411"/>
      <c r="AO152" s="197"/>
      <c r="AP152" s="169"/>
      <c r="AQ152" s="169"/>
      <c r="AR152" s="197" t="e">
        <f t="shared" si="63"/>
        <v>#N/A</v>
      </c>
      <c r="AS152" s="411"/>
      <c r="AT152" s="197"/>
      <c r="AU152" s="169"/>
      <c r="AV152" s="169"/>
      <c r="AW152" s="197" t="e">
        <f t="shared" si="64"/>
        <v>#N/A</v>
      </c>
      <c r="AX152" s="411"/>
    </row>
    <row r="153" spans="2:50">
      <c r="B153" s="422"/>
      <c r="C153" s="197">
        <v>7</v>
      </c>
      <c r="D153" s="197"/>
      <c r="E153" s="197"/>
      <c r="F153" s="197"/>
      <c r="G153" s="197"/>
      <c r="H153" s="411"/>
      <c r="I153" s="169" t="e">
        <f t="shared" si="55"/>
        <v>#DIV/0!</v>
      </c>
      <c r="J153" s="169" t="e">
        <f t="shared" si="56"/>
        <v>#DIV/0!</v>
      </c>
      <c r="K153" s="195" t="e">
        <f t="shared" si="57"/>
        <v>#DIV/0!</v>
      </c>
      <c r="L153" s="429"/>
      <c r="M153" s="169" t="e">
        <f>RANK(K153, K$147:$K$176)</f>
        <v>#DIV/0!</v>
      </c>
      <c r="N153" s="423"/>
      <c r="O153" s="423"/>
      <c r="P153" s="197"/>
      <c r="Q153" s="169"/>
      <c r="R153" s="195"/>
      <c r="S153" s="197" t="e">
        <f t="shared" si="58"/>
        <v>#N/A</v>
      </c>
      <c r="T153" s="411"/>
      <c r="U153" s="197"/>
      <c r="V153" s="169"/>
      <c r="W153" s="195"/>
      <c r="X153" s="197" t="e">
        <f t="shared" si="59"/>
        <v>#N/A</v>
      </c>
      <c r="Y153" s="411"/>
      <c r="Z153" s="197"/>
      <c r="AA153" s="169"/>
      <c r="AB153" s="195"/>
      <c r="AC153" s="197" t="e">
        <f t="shared" si="60"/>
        <v>#N/A</v>
      </c>
      <c r="AD153" s="411"/>
      <c r="AE153" s="197"/>
      <c r="AF153" s="169"/>
      <c r="AG153" s="195"/>
      <c r="AH153" s="197" t="e">
        <f t="shared" si="61"/>
        <v>#N/A</v>
      </c>
      <c r="AI153" s="411"/>
      <c r="AJ153" s="197"/>
      <c r="AK153" s="169"/>
      <c r="AL153" s="195"/>
      <c r="AM153" s="197" t="e">
        <f t="shared" si="62"/>
        <v>#N/A</v>
      </c>
      <c r="AN153" s="411"/>
      <c r="AO153" s="197"/>
      <c r="AP153" s="169"/>
      <c r="AQ153" s="169"/>
      <c r="AR153" s="197" t="e">
        <f t="shared" si="63"/>
        <v>#N/A</v>
      </c>
      <c r="AS153" s="411"/>
      <c r="AT153" s="197"/>
      <c r="AU153" s="169"/>
      <c r="AV153" s="169"/>
      <c r="AW153" s="197" t="e">
        <f t="shared" si="64"/>
        <v>#N/A</v>
      </c>
      <c r="AX153" s="411"/>
    </row>
    <row r="154" spans="2:50">
      <c r="B154" s="422"/>
      <c r="C154" s="197">
        <v>8</v>
      </c>
      <c r="D154" s="197"/>
      <c r="E154" s="197"/>
      <c r="F154" s="197"/>
      <c r="G154" s="197"/>
      <c r="H154" s="411"/>
      <c r="I154" s="169" t="e">
        <f t="shared" si="55"/>
        <v>#DIV/0!</v>
      </c>
      <c r="J154" s="169" t="e">
        <f t="shared" si="56"/>
        <v>#DIV/0!</v>
      </c>
      <c r="K154" s="195" t="e">
        <f t="shared" si="57"/>
        <v>#DIV/0!</v>
      </c>
      <c r="L154" s="429"/>
      <c r="M154" s="169" t="e">
        <f>RANK(K154, K$147:$K$176)</f>
        <v>#DIV/0!</v>
      </c>
      <c r="N154" s="423"/>
      <c r="O154" s="423"/>
      <c r="P154" s="197"/>
      <c r="Q154" s="169"/>
      <c r="R154" s="195"/>
      <c r="S154" s="197" t="e">
        <f t="shared" si="58"/>
        <v>#N/A</v>
      </c>
      <c r="T154" s="411"/>
      <c r="U154" s="197"/>
      <c r="V154" s="169"/>
      <c r="W154" s="195"/>
      <c r="X154" s="197" t="e">
        <f t="shared" si="59"/>
        <v>#N/A</v>
      </c>
      <c r="Y154" s="411"/>
      <c r="Z154" s="197"/>
      <c r="AA154" s="169"/>
      <c r="AB154" s="195"/>
      <c r="AC154" s="197" t="e">
        <f t="shared" si="60"/>
        <v>#N/A</v>
      </c>
      <c r="AD154" s="411"/>
      <c r="AE154" s="197"/>
      <c r="AF154" s="169"/>
      <c r="AG154" s="195"/>
      <c r="AH154" s="197" t="e">
        <f t="shared" si="61"/>
        <v>#N/A</v>
      </c>
      <c r="AI154" s="411"/>
      <c r="AJ154" s="197"/>
      <c r="AK154" s="169"/>
      <c r="AL154" s="195"/>
      <c r="AM154" s="197" t="e">
        <f t="shared" si="62"/>
        <v>#N/A</v>
      </c>
      <c r="AN154" s="411"/>
      <c r="AO154" s="197"/>
      <c r="AP154" s="169"/>
      <c r="AQ154" s="169"/>
      <c r="AR154" s="197" t="e">
        <f t="shared" si="63"/>
        <v>#N/A</v>
      </c>
      <c r="AS154" s="411"/>
      <c r="AT154" s="197"/>
      <c r="AU154" s="169"/>
      <c r="AV154" s="169"/>
      <c r="AW154" s="197" t="e">
        <f t="shared" si="64"/>
        <v>#N/A</v>
      </c>
      <c r="AX154" s="411"/>
    </row>
    <row r="155" spans="2:50">
      <c r="B155" s="422"/>
      <c r="C155" s="197">
        <v>9</v>
      </c>
      <c r="D155" s="197"/>
      <c r="E155" s="197"/>
      <c r="F155" s="197"/>
      <c r="G155" s="197"/>
      <c r="H155" s="411"/>
      <c r="I155" s="169" t="e">
        <f t="shared" si="55"/>
        <v>#DIV/0!</v>
      </c>
      <c r="J155" s="169" t="e">
        <f t="shared" si="56"/>
        <v>#DIV/0!</v>
      </c>
      <c r="K155" s="195" t="e">
        <f t="shared" si="57"/>
        <v>#DIV/0!</v>
      </c>
      <c r="L155" s="429"/>
      <c r="M155" s="169" t="e">
        <f>RANK(K155, K$147:$K$176)</f>
        <v>#DIV/0!</v>
      </c>
      <c r="N155" s="423"/>
      <c r="O155" s="423"/>
      <c r="P155" s="197"/>
      <c r="Q155" s="169"/>
      <c r="R155" s="195"/>
      <c r="S155" s="197" t="e">
        <f t="shared" si="58"/>
        <v>#N/A</v>
      </c>
      <c r="T155" s="411"/>
      <c r="U155" s="197"/>
      <c r="V155" s="169"/>
      <c r="W155" s="195"/>
      <c r="X155" s="197" t="e">
        <f t="shared" si="59"/>
        <v>#N/A</v>
      </c>
      <c r="Y155" s="411"/>
      <c r="Z155" s="197"/>
      <c r="AA155" s="169"/>
      <c r="AB155" s="195"/>
      <c r="AC155" s="197" t="e">
        <f t="shared" si="60"/>
        <v>#N/A</v>
      </c>
      <c r="AD155" s="411"/>
      <c r="AE155" s="197"/>
      <c r="AF155" s="169"/>
      <c r="AG155" s="195"/>
      <c r="AH155" s="197" t="e">
        <f t="shared" si="61"/>
        <v>#N/A</v>
      </c>
      <c r="AI155" s="411"/>
      <c r="AJ155" s="197"/>
      <c r="AK155" s="169"/>
      <c r="AL155" s="195"/>
      <c r="AM155" s="197" t="e">
        <f t="shared" si="62"/>
        <v>#N/A</v>
      </c>
      <c r="AN155" s="411"/>
      <c r="AO155" s="197"/>
      <c r="AP155" s="169"/>
      <c r="AQ155" s="169"/>
      <c r="AR155" s="197" t="e">
        <f t="shared" si="63"/>
        <v>#N/A</v>
      </c>
      <c r="AS155" s="411"/>
      <c r="AT155" s="197"/>
      <c r="AU155" s="169"/>
      <c r="AV155" s="169"/>
      <c r="AW155" s="197" t="e">
        <f t="shared" si="64"/>
        <v>#N/A</v>
      </c>
      <c r="AX155" s="411"/>
    </row>
    <row r="156" spans="2:50">
      <c r="B156" s="422"/>
      <c r="C156" s="197">
        <v>10</v>
      </c>
      <c r="D156" s="197"/>
      <c r="E156" s="197"/>
      <c r="F156" s="197"/>
      <c r="G156" s="197"/>
      <c r="H156" s="411"/>
      <c r="I156" s="169" t="e">
        <f t="shared" si="55"/>
        <v>#DIV/0!</v>
      </c>
      <c r="J156" s="169" t="e">
        <f t="shared" si="56"/>
        <v>#DIV/0!</v>
      </c>
      <c r="K156" s="195" t="e">
        <f t="shared" si="57"/>
        <v>#DIV/0!</v>
      </c>
      <c r="L156" s="429"/>
      <c r="M156" s="169" t="e">
        <f>RANK(K156, K$147:$K$176)</f>
        <v>#DIV/0!</v>
      </c>
      <c r="N156" s="423"/>
      <c r="O156" s="423"/>
      <c r="P156" s="197"/>
      <c r="Q156" s="169"/>
      <c r="R156" s="195"/>
      <c r="S156" s="197" t="e">
        <f t="shared" si="58"/>
        <v>#N/A</v>
      </c>
      <c r="T156" s="411"/>
      <c r="U156" s="197"/>
      <c r="V156" s="169"/>
      <c r="W156" s="195"/>
      <c r="X156" s="197" t="e">
        <f t="shared" si="59"/>
        <v>#N/A</v>
      </c>
      <c r="Y156" s="411"/>
      <c r="Z156" s="197"/>
      <c r="AA156" s="169"/>
      <c r="AB156" s="195"/>
      <c r="AC156" s="197" t="e">
        <f t="shared" si="60"/>
        <v>#N/A</v>
      </c>
      <c r="AD156" s="411"/>
      <c r="AE156" s="197"/>
      <c r="AF156" s="169"/>
      <c r="AG156" s="195"/>
      <c r="AH156" s="197" t="e">
        <f t="shared" si="61"/>
        <v>#N/A</v>
      </c>
      <c r="AI156" s="411"/>
      <c r="AJ156" s="197"/>
      <c r="AK156" s="169"/>
      <c r="AL156" s="195"/>
      <c r="AM156" s="197" t="e">
        <f t="shared" si="62"/>
        <v>#N/A</v>
      </c>
      <c r="AN156" s="411"/>
      <c r="AO156" s="197"/>
      <c r="AP156" s="169"/>
      <c r="AQ156" s="169"/>
      <c r="AR156" s="197" t="e">
        <f t="shared" si="63"/>
        <v>#N/A</v>
      </c>
      <c r="AS156" s="411"/>
      <c r="AT156" s="197"/>
      <c r="AU156" s="169"/>
      <c r="AV156" s="169"/>
      <c r="AW156" s="197" t="e">
        <f t="shared" si="64"/>
        <v>#N/A</v>
      </c>
      <c r="AX156" s="411"/>
    </row>
    <row r="157" spans="2:50">
      <c r="B157" s="422"/>
      <c r="C157" s="197">
        <v>11</v>
      </c>
      <c r="D157" s="197"/>
      <c r="E157" s="197"/>
      <c r="F157" s="197"/>
      <c r="G157" s="197"/>
      <c r="H157" s="411"/>
      <c r="I157" s="169" t="e">
        <f t="shared" ref="I157:I166" si="65">AVERAGE(P157,U157,Z157,AE157,AJ157,AO157,AT157)</f>
        <v>#DIV/0!</v>
      </c>
      <c r="J157" s="169" t="e">
        <f t="shared" ref="J157:J166" si="66">AVERAGE(Q157,V157,AA157,AF157,AK157,AP157,AU157)</f>
        <v>#DIV/0!</v>
      </c>
      <c r="K157" s="195" t="e">
        <f t="shared" ref="K157:K166" si="67">AVERAGE(R157,W157,AB157,AG157,AL157,AQ157,AV157)</f>
        <v>#DIV/0!</v>
      </c>
      <c r="L157" s="429"/>
      <c r="M157" s="169" t="e">
        <f>RANK(K157, K$147:$K$176)</f>
        <v>#DIV/0!</v>
      </c>
      <c r="N157" s="423"/>
      <c r="O157" s="423"/>
      <c r="P157" s="197"/>
      <c r="Q157" s="169"/>
      <c r="R157" s="195"/>
      <c r="S157" s="197" t="e">
        <f t="shared" si="58"/>
        <v>#N/A</v>
      </c>
      <c r="T157" s="411"/>
      <c r="U157" s="197"/>
      <c r="V157" s="169"/>
      <c r="W157" s="195"/>
      <c r="X157" s="197" t="e">
        <f t="shared" si="59"/>
        <v>#N/A</v>
      </c>
      <c r="Y157" s="411"/>
      <c r="Z157" s="197"/>
      <c r="AA157" s="169"/>
      <c r="AB157" s="195"/>
      <c r="AC157" s="197" t="e">
        <f t="shared" si="60"/>
        <v>#N/A</v>
      </c>
      <c r="AD157" s="411"/>
      <c r="AE157" s="197"/>
      <c r="AF157" s="169"/>
      <c r="AG157" s="195"/>
      <c r="AH157" s="197" t="e">
        <f t="shared" si="61"/>
        <v>#N/A</v>
      </c>
      <c r="AI157" s="411"/>
      <c r="AJ157" s="197"/>
      <c r="AK157" s="169"/>
      <c r="AL157" s="195"/>
      <c r="AM157" s="197" t="e">
        <f t="shared" si="62"/>
        <v>#N/A</v>
      </c>
      <c r="AN157" s="411"/>
      <c r="AO157" s="197"/>
      <c r="AP157" s="169"/>
      <c r="AQ157" s="169"/>
      <c r="AR157" s="197" t="e">
        <f t="shared" si="63"/>
        <v>#N/A</v>
      </c>
      <c r="AS157" s="411"/>
      <c r="AT157" s="197"/>
      <c r="AU157" s="169"/>
      <c r="AV157" s="169"/>
      <c r="AW157" s="197" t="e">
        <f t="shared" si="64"/>
        <v>#N/A</v>
      </c>
      <c r="AX157" s="411"/>
    </row>
    <row r="158" spans="2:50">
      <c r="B158" s="422"/>
      <c r="C158" s="197">
        <v>12</v>
      </c>
      <c r="D158" s="197"/>
      <c r="E158" s="197"/>
      <c r="F158" s="197"/>
      <c r="G158" s="197"/>
      <c r="H158" s="411"/>
      <c r="I158" s="169" t="e">
        <f t="shared" si="65"/>
        <v>#DIV/0!</v>
      </c>
      <c r="J158" s="169" t="e">
        <f t="shared" si="66"/>
        <v>#DIV/0!</v>
      </c>
      <c r="K158" s="195" t="e">
        <f t="shared" si="67"/>
        <v>#DIV/0!</v>
      </c>
      <c r="L158" s="429"/>
      <c r="M158" s="169" t="e">
        <f>RANK(K158, K$147:$K$176)</f>
        <v>#DIV/0!</v>
      </c>
      <c r="N158" s="423"/>
      <c r="O158" s="423"/>
      <c r="P158" s="197"/>
      <c r="Q158" s="169"/>
      <c r="R158" s="195"/>
      <c r="S158" s="197" t="e">
        <f t="shared" si="58"/>
        <v>#N/A</v>
      </c>
      <c r="T158" s="411"/>
      <c r="U158" s="197"/>
      <c r="V158" s="169"/>
      <c r="W158" s="195"/>
      <c r="X158" s="197" t="e">
        <f t="shared" si="59"/>
        <v>#N/A</v>
      </c>
      <c r="Y158" s="411"/>
      <c r="Z158" s="197"/>
      <c r="AA158" s="169"/>
      <c r="AB158" s="195"/>
      <c r="AC158" s="197" t="e">
        <f t="shared" si="60"/>
        <v>#N/A</v>
      </c>
      <c r="AD158" s="411"/>
      <c r="AE158" s="197"/>
      <c r="AF158" s="169"/>
      <c r="AG158" s="195"/>
      <c r="AH158" s="197" t="e">
        <f t="shared" si="61"/>
        <v>#N/A</v>
      </c>
      <c r="AI158" s="411"/>
      <c r="AJ158" s="197"/>
      <c r="AK158" s="169"/>
      <c r="AL158" s="195"/>
      <c r="AM158" s="197" t="e">
        <f t="shared" si="62"/>
        <v>#N/A</v>
      </c>
      <c r="AN158" s="411"/>
      <c r="AO158" s="197"/>
      <c r="AP158" s="169"/>
      <c r="AQ158" s="169"/>
      <c r="AR158" s="197" t="e">
        <f t="shared" si="63"/>
        <v>#N/A</v>
      </c>
      <c r="AS158" s="411"/>
      <c r="AT158" s="197"/>
      <c r="AU158" s="169"/>
      <c r="AV158" s="169"/>
      <c r="AW158" s="197" t="e">
        <f t="shared" si="64"/>
        <v>#N/A</v>
      </c>
      <c r="AX158" s="411"/>
    </row>
    <row r="159" spans="2:50">
      <c r="B159" s="422"/>
      <c r="C159" s="197">
        <v>13</v>
      </c>
      <c r="D159" s="197"/>
      <c r="E159" s="197"/>
      <c r="F159" s="197"/>
      <c r="G159" s="197"/>
      <c r="H159" s="411"/>
      <c r="I159" s="169" t="e">
        <f t="shared" si="65"/>
        <v>#DIV/0!</v>
      </c>
      <c r="J159" s="169" t="e">
        <f t="shared" si="66"/>
        <v>#DIV/0!</v>
      </c>
      <c r="K159" s="195" t="e">
        <f t="shared" si="67"/>
        <v>#DIV/0!</v>
      </c>
      <c r="L159" s="429"/>
      <c r="M159" s="169" t="e">
        <f>RANK(K159, K$147:$K$176)</f>
        <v>#DIV/0!</v>
      </c>
      <c r="N159" s="423"/>
      <c r="O159" s="423"/>
      <c r="P159" s="197"/>
      <c r="Q159" s="169"/>
      <c r="R159" s="195"/>
      <c r="S159" s="197" t="e">
        <f t="shared" si="58"/>
        <v>#N/A</v>
      </c>
      <c r="T159" s="411"/>
      <c r="U159" s="197"/>
      <c r="V159" s="169"/>
      <c r="W159" s="195"/>
      <c r="X159" s="197" t="e">
        <f t="shared" si="59"/>
        <v>#N/A</v>
      </c>
      <c r="Y159" s="411"/>
      <c r="Z159" s="197"/>
      <c r="AA159" s="169"/>
      <c r="AB159" s="195"/>
      <c r="AC159" s="197" t="e">
        <f t="shared" si="60"/>
        <v>#N/A</v>
      </c>
      <c r="AD159" s="411"/>
      <c r="AE159" s="197"/>
      <c r="AF159" s="169"/>
      <c r="AG159" s="195"/>
      <c r="AH159" s="197" t="e">
        <f t="shared" si="61"/>
        <v>#N/A</v>
      </c>
      <c r="AI159" s="411"/>
      <c r="AJ159" s="197"/>
      <c r="AK159" s="169"/>
      <c r="AL159" s="195"/>
      <c r="AM159" s="197" t="e">
        <f t="shared" si="62"/>
        <v>#N/A</v>
      </c>
      <c r="AN159" s="411"/>
      <c r="AO159" s="197"/>
      <c r="AP159" s="169"/>
      <c r="AQ159" s="169"/>
      <c r="AR159" s="197" t="e">
        <f t="shared" si="63"/>
        <v>#N/A</v>
      </c>
      <c r="AS159" s="411"/>
      <c r="AT159" s="197"/>
      <c r="AU159" s="169"/>
      <c r="AV159" s="169"/>
      <c r="AW159" s="197" t="e">
        <f t="shared" si="64"/>
        <v>#N/A</v>
      </c>
      <c r="AX159" s="411"/>
    </row>
    <row r="160" spans="2:50">
      <c r="B160" s="422"/>
      <c r="C160" s="197">
        <v>14</v>
      </c>
      <c r="D160" s="197"/>
      <c r="E160" s="197"/>
      <c r="F160" s="197"/>
      <c r="G160" s="197"/>
      <c r="H160" s="411"/>
      <c r="I160" s="169" t="e">
        <f t="shared" si="65"/>
        <v>#DIV/0!</v>
      </c>
      <c r="J160" s="169" t="e">
        <f t="shared" si="66"/>
        <v>#DIV/0!</v>
      </c>
      <c r="K160" s="195" t="e">
        <f t="shared" si="67"/>
        <v>#DIV/0!</v>
      </c>
      <c r="L160" s="429"/>
      <c r="M160" s="169" t="e">
        <f>RANK(K160, K$147:$K$176)</f>
        <v>#DIV/0!</v>
      </c>
      <c r="N160" s="423"/>
      <c r="O160" s="423"/>
      <c r="P160" s="197"/>
      <c r="Q160" s="169"/>
      <c r="R160" s="195"/>
      <c r="S160" s="197" t="e">
        <f t="shared" si="58"/>
        <v>#N/A</v>
      </c>
      <c r="T160" s="411"/>
      <c r="U160" s="197"/>
      <c r="V160" s="169"/>
      <c r="W160" s="195"/>
      <c r="X160" s="197" t="e">
        <f t="shared" si="59"/>
        <v>#N/A</v>
      </c>
      <c r="Y160" s="411"/>
      <c r="Z160" s="197"/>
      <c r="AA160" s="169"/>
      <c r="AB160" s="195"/>
      <c r="AC160" s="197" t="e">
        <f t="shared" si="60"/>
        <v>#N/A</v>
      </c>
      <c r="AD160" s="411"/>
      <c r="AE160" s="197"/>
      <c r="AF160" s="169"/>
      <c r="AG160" s="195"/>
      <c r="AH160" s="197" t="e">
        <f t="shared" si="61"/>
        <v>#N/A</v>
      </c>
      <c r="AI160" s="411"/>
      <c r="AJ160" s="197"/>
      <c r="AK160" s="169"/>
      <c r="AL160" s="195"/>
      <c r="AM160" s="197" t="e">
        <f t="shared" si="62"/>
        <v>#N/A</v>
      </c>
      <c r="AN160" s="411"/>
      <c r="AO160" s="197"/>
      <c r="AP160" s="169"/>
      <c r="AQ160" s="169"/>
      <c r="AR160" s="197" t="e">
        <f t="shared" si="63"/>
        <v>#N/A</v>
      </c>
      <c r="AS160" s="411"/>
      <c r="AT160" s="197"/>
      <c r="AU160" s="169"/>
      <c r="AV160" s="169"/>
      <c r="AW160" s="197" t="e">
        <f t="shared" si="64"/>
        <v>#N/A</v>
      </c>
      <c r="AX160" s="411"/>
    </row>
    <row r="161" spans="2:50">
      <c r="B161" s="422"/>
      <c r="C161" s="197">
        <v>15</v>
      </c>
      <c r="D161" s="197"/>
      <c r="E161" s="197"/>
      <c r="F161" s="197"/>
      <c r="G161" s="197"/>
      <c r="H161" s="411"/>
      <c r="I161" s="169" t="e">
        <f t="shared" si="65"/>
        <v>#DIV/0!</v>
      </c>
      <c r="J161" s="169" t="e">
        <f t="shared" si="66"/>
        <v>#DIV/0!</v>
      </c>
      <c r="K161" s="195" t="e">
        <f t="shared" si="67"/>
        <v>#DIV/0!</v>
      </c>
      <c r="L161" s="429"/>
      <c r="M161" s="169" t="e">
        <f>RANK(K161, K$147:$K$176)</f>
        <v>#DIV/0!</v>
      </c>
      <c r="N161" s="423"/>
      <c r="O161" s="423"/>
      <c r="P161" s="197"/>
      <c r="Q161" s="169"/>
      <c r="R161" s="195"/>
      <c r="S161" s="197" t="e">
        <f t="shared" ref="S161:S175" si="68">RANK(R161, R$147:R$176)</f>
        <v>#N/A</v>
      </c>
      <c r="T161" s="411"/>
      <c r="U161" s="197"/>
      <c r="V161" s="169"/>
      <c r="W161" s="195"/>
      <c r="X161" s="197" t="e">
        <f t="shared" ref="X161:X175" si="69">RANK(W161, W$147:W$176)</f>
        <v>#N/A</v>
      </c>
      <c r="Y161" s="411"/>
      <c r="Z161" s="197"/>
      <c r="AA161" s="169"/>
      <c r="AB161" s="195"/>
      <c r="AC161" s="197" t="e">
        <f t="shared" ref="AC161:AC175" si="70">RANK(AB161, AB$147:AB$176)</f>
        <v>#N/A</v>
      </c>
      <c r="AD161" s="411"/>
      <c r="AE161" s="197"/>
      <c r="AF161" s="169"/>
      <c r="AG161" s="195"/>
      <c r="AH161" s="197" t="e">
        <f t="shared" ref="AH161:AH175" si="71">RANK(AG161, AG$147:AG$176)</f>
        <v>#N/A</v>
      </c>
      <c r="AI161" s="411"/>
      <c r="AJ161" s="197"/>
      <c r="AK161" s="169"/>
      <c r="AL161" s="195"/>
      <c r="AM161" s="197" t="e">
        <f t="shared" ref="AM161:AM175" si="72">RANK(AL161, AL$147:AL$176)</f>
        <v>#N/A</v>
      </c>
      <c r="AN161" s="411"/>
      <c r="AO161" s="197"/>
      <c r="AP161" s="169"/>
      <c r="AQ161" s="169"/>
      <c r="AR161" s="197" t="e">
        <f t="shared" ref="AR161:AR175" si="73">RANK(AQ161, AQ$147:AQ$176)</f>
        <v>#N/A</v>
      </c>
      <c r="AS161" s="411"/>
      <c r="AT161" s="197"/>
      <c r="AU161" s="169"/>
      <c r="AV161" s="169"/>
      <c r="AW161" s="197" t="e">
        <f t="shared" ref="AW161:AW175" si="74">RANK(AV161, AV$147:AV$176)</f>
        <v>#N/A</v>
      </c>
      <c r="AX161" s="411"/>
    </row>
    <row r="162" spans="2:50">
      <c r="B162" s="422"/>
      <c r="C162" s="197">
        <v>16</v>
      </c>
      <c r="D162" s="197"/>
      <c r="E162" s="197"/>
      <c r="F162" s="197"/>
      <c r="G162" s="197"/>
      <c r="H162" s="411"/>
      <c r="I162" s="169" t="e">
        <f t="shared" si="65"/>
        <v>#DIV/0!</v>
      </c>
      <c r="J162" s="169" t="e">
        <f t="shared" si="66"/>
        <v>#DIV/0!</v>
      </c>
      <c r="K162" s="195" t="e">
        <f t="shared" si="67"/>
        <v>#DIV/0!</v>
      </c>
      <c r="L162" s="429"/>
      <c r="M162" s="169" t="e">
        <f>RANK(K162, K$147:$K$176)</f>
        <v>#DIV/0!</v>
      </c>
      <c r="N162" s="423"/>
      <c r="O162" s="423"/>
      <c r="P162" s="197"/>
      <c r="Q162" s="169"/>
      <c r="R162" s="195"/>
      <c r="S162" s="197" t="e">
        <f t="shared" si="68"/>
        <v>#N/A</v>
      </c>
      <c r="T162" s="411"/>
      <c r="U162" s="197"/>
      <c r="V162" s="169"/>
      <c r="W162" s="195"/>
      <c r="X162" s="197" t="e">
        <f t="shared" si="69"/>
        <v>#N/A</v>
      </c>
      <c r="Y162" s="411"/>
      <c r="Z162" s="197"/>
      <c r="AA162" s="169"/>
      <c r="AB162" s="195"/>
      <c r="AC162" s="197" t="e">
        <f t="shared" si="70"/>
        <v>#N/A</v>
      </c>
      <c r="AD162" s="411"/>
      <c r="AE162" s="197"/>
      <c r="AF162" s="169"/>
      <c r="AG162" s="195"/>
      <c r="AH162" s="197" t="e">
        <f t="shared" si="71"/>
        <v>#N/A</v>
      </c>
      <c r="AI162" s="411"/>
      <c r="AJ162" s="197"/>
      <c r="AK162" s="169"/>
      <c r="AL162" s="195"/>
      <c r="AM162" s="197" t="e">
        <f t="shared" si="72"/>
        <v>#N/A</v>
      </c>
      <c r="AN162" s="411"/>
      <c r="AO162" s="197"/>
      <c r="AP162" s="169"/>
      <c r="AQ162" s="169"/>
      <c r="AR162" s="197" t="e">
        <f t="shared" si="73"/>
        <v>#N/A</v>
      </c>
      <c r="AS162" s="411"/>
      <c r="AT162" s="197"/>
      <c r="AU162" s="169"/>
      <c r="AV162" s="169"/>
      <c r="AW162" s="197" t="e">
        <f t="shared" si="74"/>
        <v>#N/A</v>
      </c>
      <c r="AX162" s="411"/>
    </row>
    <row r="163" spans="2:50">
      <c r="B163" s="422"/>
      <c r="C163" s="197">
        <v>17</v>
      </c>
      <c r="D163" s="197"/>
      <c r="E163" s="197"/>
      <c r="F163" s="197"/>
      <c r="G163" s="197"/>
      <c r="H163" s="411"/>
      <c r="I163" s="169" t="e">
        <f t="shared" si="65"/>
        <v>#DIV/0!</v>
      </c>
      <c r="J163" s="169" t="e">
        <f t="shared" si="66"/>
        <v>#DIV/0!</v>
      </c>
      <c r="K163" s="195" t="e">
        <f t="shared" si="67"/>
        <v>#DIV/0!</v>
      </c>
      <c r="L163" s="429"/>
      <c r="M163" s="169" t="e">
        <f>RANK(K163, K$147:$K$176)</f>
        <v>#DIV/0!</v>
      </c>
      <c r="N163" s="423"/>
      <c r="O163" s="423"/>
      <c r="P163" s="197"/>
      <c r="Q163" s="169"/>
      <c r="R163" s="195"/>
      <c r="S163" s="197" t="e">
        <f t="shared" si="68"/>
        <v>#N/A</v>
      </c>
      <c r="T163" s="411"/>
      <c r="U163" s="197"/>
      <c r="V163" s="169"/>
      <c r="W163" s="195"/>
      <c r="X163" s="197" t="e">
        <f t="shared" si="69"/>
        <v>#N/A</v>
      </c>
      <c r="Y163" s="411"/>
      <c r="Z163" s="197"/>
      <c r="AA163" s="169"/>
      <c r="AB163" s="195"/>
      <c r="AC163" s="197" t="e">
        <f t="shared" si="70"/>
        <v>#N/A</v>
      </c>
      <c r="AD163" s="411"/>
      <c r="AE163" s="197"/>
      <c r="AF163" s="169"/>
      <c r="AG163" s="195"/>
      <c r="AH163" s="197" t="e">
        <f t="shared" si="71"/>
        <v>#N/A</v>
      </c>
      <c r="AI163" s="411"/>
      <c r="AJ163" s="197"/>
      <c r="AK163" s="169"/>
      <c r="AL163" s="195"/>
      <c r="AM163" s="197" t="e">
        <f t="shared" si="72"/>
        <v>#N/A</v>
      </c>
      <c r="AN163" s="411"/>
      <c r="AO163" s="197"/>
      <c r="AP163" s="169"/>
      <c r="AQ163" s="169"/>
      <c r="AR163" s="197" t="e">
        <f t="shared" si="73"/>
        <v>#N/A</v>
      </c>
      <c r="AS163" s="411"/>
      <c r="AT163" s="197"/>
      <c r="AU163" s="169"/>
      <c r="AV163" s="169"/>
      <c r="AW163" s="197" t="e">
        <f t="shared" si="74"/>
        <v>#N/A</v>
      </c>
      <c r="AX163" s="411"/>
    </row>
    <row r="164" spans="2:50">
      <c r="B164" s="422"/>
      <c r="C164" s="197">
        <v>18</v>
      </c>
      <c r="D164" s="197"/>
      <c r="E164" s="197"/>
      <c r="F164" s="197"/>
      <c r="G164" s="197"/>
      <c r="H164" s="411"/>
      <c r="I164" s="169" t="e">
        <f t="shared" si="65"/>
        <v>#DIV/0!</v>
      </c>
      <c r="J164" s="169" t="e">
        <f t="shared" si="66"/>
        <v>#DIV/0!</v>
      </c>
      <c r="K164" s="195" t="e">
        <f t="shared" si="67"/>
        <v>#DIV/0!</v>
      </c>
      <c r="L164" s="429"/>
      <c r="M164" s="169" t="e">
        <f>RANK(K164, K$147:$K$176)</f>
        <v>#DIV/0!</v>
      </c>
      <c r="N164" s="423"/>
      <c r="O164" s="423"/>
      <c r="P164" s="197"/>
      <c r="Q164" s="169"/>
      <c r="R164" s="195"/>
      <c r="S164" s="197" t="e">
        <f t="shared" si="68"/>
        <v>#N/A</v>
      </c>
      <c r="T164" s="411"/>
      <c r="U164" s="197"/>
      <c r="V164" s="169"/>
      <c r="W164" s="195"/>
      <c r="X164" s="197" t="e">
        <f t="shared" si="69"/>
        <v>#N/A</v>
      </c>
      <c r="Y164" s="411"/>
      <c r="Z164" s="197"/>
      <c r="AA164" s="169"/>
      <c r="AB164" s="195"/>
      <c r="AC164" s="197" t="e">
        <f t="shared" si="70"/>
        <v>#N/A</v>
      </c>
      <c r="AD164" s="411"/>
      <c r="AE164" s="197"/>
      <c r="AF164" s="169"/>
      <c r="AG164" s="195"/>
      <c r="AH164" s="197" t="e">
        <f t="shared" si="71"/>
        <v>#N/A</v>
      </c>
      <c r="AI164" s="411"/>
      <c r="AJ164" s="197"/>
      <c r="AK164" s="169"/>
      <c r="AL164" s="195"/>
      <c r="AM164" s="197" t="e">
        <f t="shared" si="72"/>
        <v>#N/A</v>
      </c>
      <c r="AN164" s="411"/>
      <c r="AO164" s="197"/>
      <c r="AP164" s="169"/>
      <c r="AQ164" s="169"/>
      <c r="AR164" s="197" t="e">
        <f t="shared" si="73"/>
        <v>#N/A</v>
      </c>
      <c r="AS164" s="411"/>
      <c r="AT164" s="197"/>
      <c r="AU164" s="169"/>
      <c r="AV164" s="169"/>
      <c r="AW164" s="197" t="e">
        <f t="shared" si="74"/>
        <v>#N/A</v>
      </c>
      <c r="AX164" s="411"/>
    </row>
    <row r="165" spans="2:50">
      <c r="B165" s="422"/>
      <c r="C165" s="197">
        <v>19</v>
      </c>
      <c r="D165" s="197"/>
      <c r="E165" s="197"/>
      <c r="F165" s="197"/>
      <c r="G165" s="197"/>
      <c r="H165" s="411"/>
      <c r="I165" s="169" t="e">
        <f t="shared" si="65"/>
        <v>#DIV/0!</v>
      </c>
      <c r="J165" s="169" t="e">
        <f t="shared" si="66"/>
        <v>#DIV/0!</v>
      </c>
      <c r="K165" s="195" t="e">
        <f t="shared" si="67"/>
        <v>#DIV/0!</v>
      </c>
      <c r="L165" s="429"/>
      <c r="M165" s="169" t="e">
        <f>RANK(K165, K$147:$K$176)</f>
        <v>#DIV/0!</v>
      </c>
      <c r="N165" s="423"/>
      <c r="O165" s="423"/>
      <c r="P165" s="197"/>
      <c r="Q165" s="169"/>
      <c r="R165" s="195"/>
      <c r="S165" s="197" t="e">
        <f t="shared" si="68"/>
        <v>#N/A</v>
      </c>
      <c r="T165" s="411"/>
      <c r="U165" s="197"/>
      <c r="V165" s="169"/>
      <c r="W165" s="195"/>
      <c r="X165" s="197" t="e">
        <f t="shared" si="69"/>
        <v>#N/A</v>
      </c>
      <c r="Y165" s="411"/>
      <c r="Z165" s="197"/>
      <c r="AA165" s="169"/>
      <c r="AB165" s="195"/>
      <c r="AC165" s="197" t="e">
        <f t="shared" si="70"/>
        <v>#N/A</v>
      </c>
      <c r="AD165" s="411"/>
      <c r="AE165" s="197"/>
      <c r="AF165" s="169"/>
      <c r="AG165" s="195"/>
      <c r="AH165" s="197" t="e">
        <f t="shared" si="71"/>
        <v>#N/A</v>
      </c>
      <c r="AI165" s="411"/>
      <c r="AJ165" s="197"/>
      <c r="AK165" s="169"/>
      <c r="AL165" s="195"/>
      <c r="AM165" s="197" t="e">
        <f t="shared" si="72"/>
        <v>#N/A</v>
      </c>
      <c r="AN165" s="411"/>
      <c r="AO165" s="197"/>
      <c r="AP165" s="169"/>
      <c r="AQ165" s="169"/>
      <c r="AR165" s="197" t="e">
        <f t="shared" si="73"/>
        <v>#N/A</v>
      </c>
      <c r="AS165" s="411"/>
      <c r="AT165" s="197"/>
      <c r="AU165" s="169"/>
      <c r="AV165" s="169"/>
      <c r="AW165" s="197" t="e">
        <f t="shared" si="74"/>
        <v>#N/A</v>
      </c>
      <c r="AX165" s="411"/>
    </row>
    <row r="166" spans="2:50">
      <c r="B166" s="422"/>
      <c r="C166" s="197">
        <v>20</v>
      </c>
      <c r="D166" s="197"/>
      <c r="E166" s="197"/>
      <c r="F166" s="197"/>
      <c r="G166" s="197"/>
      <c r="H166" s="411"/>
      <c r="I166" s="169" t="e">
        <f t="shared" si="65"/>
        <v>#DIV/0!</v>
      </c>
      <c r="J166" s="169" t="e">
        <f t="shared" si="66"/>
        <v>#DIV/0!</v>
      </c>
      <c r="K166" s="195" t="e">
        <f t="shared" si="67"/>
        <v>#DIV/0!</v>
      </c>
      <c r="L166" s="429"/>
      <c r="M166" s="169" t="e">
        <f>RANK(K166, K$147:$K$176)</f>
        <v>#DIV/0!</v>
      </c>
      <c r="N166" s="423"/>
      <c r="O166" s="423"/>
      <c r="P166" s="197"/>
      <c r="Q166" s="169"/>
      <c r="R166" s="195"/>
      <c r="S166" s="197" t="e">
        <f t="shared" si="68"/>
        <v>#N/A</v>
      </c>
      <c r="T166" s="411"/>
      <c r="U166" s="197"/>
      <c r="V166" s="169"/>
      <c r="W166" s="195"/>
      <c r="X166" s="197" t="e">
        <f t="shared" si="69"/>
        <v>#N/A</v>
      </c>
      <c r="Y166" s="411"/>
      <c r="Z166" s="197"/>
      <c r="AA166" s="169"/>
      <c r="AB166" s="195"/>
      <c r="AC166" s="197" t="e">
        <f t="shared" si="70"/>
        <v>#N/A</v>
      </c>
      <c r="AD166" s="411"/>
      <c r="AE166" s="197"/>
      <c r="AF166" s="169"/>
      <c r="AG166" s="195"/>
      <c r="AH166" s="197" t="e">
        <f t="shared" si="71"/>
        <v>#N/A</v>
      </c>
      <c r="AI166" s="411"/>
      <c r="AJ166" s="197"/>
      <c r="AK166" s="169"/>
      <c r="AL166" s="195"/>
      <c r="AM166" s="197" t="e">
        <f t="shared" si="72"/>
        <v>#N/A</v>
      </c>
      <c r="AN166" s="411"/>
      <c r="AO166" s="197"/>
      <c r="AP166" s="169"/>
      <c r="AQ166" s="169"/>
      <c r="AR166" s="197" t="e">
        <f t="shared" si="73"/>
        <v>#N/A</v>
      </c>
      <c r="AS166" s="411"/>
      <c r="AT166" s="197"/>
      <c r="AU166" s="169"/>
      <c r="AV166" s="169"/>
      <c r="AW166" s="197" t="e">
        <f t="shared" si="74"/>
        <v>#N/A</v>
      </c>
      <c r="AX166" s="411"/>
    </row>
    <row r="167" spans="2:50">
      <c r="B167" s="422"/>
      <c r="C167" s="197">
        <v>21</v>
      </c>
      <c r="D167" s="197"/>
      <c r="E167" s="197"/>
      <c r="F167" s="197"/>
      <c r="G167" s="197"/>
      <c r="H167" s="411"/>
      <c r="I167" s="197"/>
      <c r="J167" s="197"/>
      <c r="K167" s="197"/>
      <c r="L167" s="429"/>
      <c r="M167" s="169" t="e">
        <f>RANK(K167, K$147:$K$176)</f>
        <v>#DIV/0!</v>
      </c>
      <c r="N167" s="423"/>
      <c r="O167" s="423"/>
      <c r="P167" s="197"/>
      <c r="Q167" s="169"/>
      <c r="R167" s="195"/>
      <c r="S167" s="197" t="e">
        <f t="shared" si="68"/>
        <v>#N/A</v>
      </c>
      <c r="T167" s="411"/>
      <c r="U167" s="197"/>
      <c r="V167" s="169"/>
      <c r="W167" s="195"/>
      <c r="X167" s="197" t="e">
        <f t="shared" si="69"/>
        <v>#N/A</v>
      </c>
      <c r="Y167" s="411"/>
      <c r="Z167" s="197"/>
      <c r="AA167" s="169"/>
      <c r="AB167" s="195"/>
      <c r="AC167" s="197" t="e">
        <f t="shared" si="70"/>
        <v>#N/A</v>
      </c>
      <c r="AD167" s="411"/>
      <c r="AE167" s="197"/>
      <c r="AF167" s="169"/>
      <c r="AG167" s="195"/>
      <c r="AH167" s="197" t="e">
        <f t="shared" si="71"/>
        <v>#N/A</v>
      </c>
      <c r="AI167" s="411"/>
      <c r="AJ167" s="197"/>
      <c r="AK167" s="169"/>
      <c r="AL167" s="195"/>
      <c r="AM167" s="197" t="e">
        <f t="shared" si="72"/>
        <v>#N/A</v>
      </c>
      <c r="AN167" s="411"/>
      <c r="AO167" s="197"/>
      <c r="AP167" s="169"/>
      <c r="AQ167" s="169"/>
      <c r="AR167" s="197" t="e">
        <f t="shared" si="73"/>
        <v>#N/A</v>
      </c>
      <c r="AS167" s="411"/>
      <c r="AT167" s="197"/>
      <c r="AU167" s="169"/>
      <c r="AV167" s="169"/>
      <c r="AW167" s="197" t="e">
        <f t="shared" si="74"/>
        <v>#N/A</v>
      </c>
      <c r="AX167" s="411"/>
    </row>
    <row r="168" spans="2:50">
      <c r="B168" s="422"/>
      <c r="C168" s="197">
        <v>22</v>
      </c>
      <c r="D168" s="197"/>
      <c r="E168" s="197"/>
      <c r="F168" s="197"/>
      <c r="G168" s="197"/>
      <c r="H168" s="411"/>
      <c r="I168" s="197"/>
      <c r="J168" s="197"/>
      <c r="K168" s="197"/>
      <c r="L168" s="429"/>
      <c r="M168" s="169" t="e">
        <f>RANK(K168, K$147:$K$176)</f>
        <v>#DIV/0!</v>
      </c>
      <c r="N168" s="423"/>
      <c r="O168" s="423"/>
      <c r="P168" s="197"/>
      <c r="Q168" s="169"/>
      <c r="R168" s="195"/>
      <c r="S168" s="197" t="e">
        <f t="shared" si="68"/>
        <v>#N/A</v>
      </c>
      <c r="T168" s="411"/>
      <c r="U168" s="197"/>
      <c r="V168" s="169"/>
      <c r="W168" s="195"/>
      <c r="X168" s="197" t="e">
        <f t="shared" si="69"/>
        <v>#N/A</v>
      </c>
      <c r="Y168" s="411"/>
      <c r="Z168" s="197"/>
      <c r="AA168" s="169"/>
      <c r="AB168" s="195"/>
      <c r="AC168" s="197" t="e">
        <f t="shared" si="70"/>
        <v>#N/A</v>
      </c>
      <c r="AD168" s="411"/>
      <c r="AE168" s="197"/>
      <c r="AF168" s="169"/>
      <c r="AG168" s="195"/>
      <c r="AH168" s="197" t="e">
        <f t="shared" si="71"/>
        <v>#N/A</v>
      </c>
      <c r="AI168" s="411"/>
      <c r="AJ168" s="197"/>
      <c r="AK168" s="169"/>
      <c r="AL168" s="195"/>
      <c r="AM168" s="197" t="e">
        <f t="shared" si="72"/>
        <v>#N/A</v>
      </c>
      <c r="AN168" s="411"/>
      <c r="AO168" s="197"/>
      <c r="AP168" s="169"/>
      <c r="AQ168" s="169"/>
      <c r="AR168" s="197" t="e">
        <f t="shared" si="73"/>
        <v>#N/A</v>
      </c>
      <c r="AS168" s="411"/>
      <c r="AT168" s="197"/>
      <c r="AU168" s="169"/>
      <c r="AV168" s="169"/>
      <c r="AW168" s="197" t="e">
        <f t="shared" si="74"/>
        <v>#N/A</v>
      </c>
      <c r="AX168" s="411"/>
    </row>
    <row r="169" spans="2:50">
      <c r="B169" s="422"/>
      <c r="C169" s="197">
        <v>23</v>
      </c>
      <c r="D169" s="197"/>
      <c r="E169" s="197"/>
      <c r="F169" s="197"/>
      <c r="G169" s="197"/>
      <c r="H169" s="411"/>
      <c r="I169" s="197"/>
      <c r="J169" s="197"/>
      <c r="K169" s="197"/>
      <c r="L169" s="429"/>
      <c r="M169" s="169" t="e">
        <f>RANK(K169, K$147:$K$176)</f>
        <v>#DIV/0!</v>
      </c>
      <c r="N169" s="423"/>
      <c r="O169" s="423"/>
      <c r="P169" s="197"/>
      <c r="Q169" s="197"/>
      <c r="R169" s="195"/>
      <c r="S169" s="197" t="e">
        <f t="shared" si="68"/>
        <v>#N/A</v>
      </c>
      <c r="T169" s="411"/>
      <c r="U169" s="197"/>
      <c r="V169" s="169"/>
      <c r="W169" s="195"/>
      <c r="X169" s="197" t="e">
        <f t="shared" si="69"/>
        <v>#N/A</v>
      </c>
      <c r="Y169" s="411"/>
      <c r="Z169" s="197"/>
      <c r="AA169" s="169"/>
      <c r="AB169" s="195"/>
      <c r="AC169" s="197" t="e">
        <f t="shared" si="70"/>
        <v>#N/A</v>
      </c>
      <c r="AD169" s="411"/>
      <c r="AE169" s="197"/>
      <c r="AF169" s="169"/>
      <c r="AG169" s="195"/>
      <c r="AH169" s="197" t="e">
        <f t="shared" si="71"/>
        <v>#N/A</v>
      </c>
      <c r="AI169" s="411"/>
      <c r="AJ169" s="197"/>
      <c r="AK169" s="169"/>
      <c r="AL169" s="195"/>
      <c r="AM169" s="197" t="e">
        <f t="shared" si="72"/>
        <v>#N/A</v>
      </c>
      <c r="AN169" s="411"/>
      <c r="AO169" s="197"/>
      <c r="AP169" s="169"/>
      <c r="AQ169" s="169"/>
      <c r="AR169" s="197" t="e">
        <f t="shared" si="73"/>
        <v>#N/A</v>
      </c>
      <c r="AS169" s="411"/>
      <c r="AT169" s="197"/>
      <c r="AU169" s="169"/>
      <c r="AV169" s="169"/>
      <c r="AW169" s="197" t="e">
        <f t="shared" si="74"/>
        <v>#N/A</v>
      </c>
      <c r="AX169" s="411"/>
    </row>
    <row r="170" spans="2:50">
      <c r="B170" s="422"/>
      <c r="C170" s="197">
        <v>24</v>
      </c>
      <c r="D170" s="197"/>
      <c r="E170" s="197"/>
      <c r="F170" s="197"/>
      <c r="G170" s="197"/>
      <c r="H170" s="411"/>
      <c r="I170" s="197"/>
      <c r="J170" s="197"/>
      <c r="K170" s="197"/>
      <c r="L170" s="429"/>
      <c r="M170" s="169" t="e">
        <f>RANK(K170, K$147:$K$176)</f>
        <v>#DIV/0!</v>
      </c>
      <c r="N170" s="423"/>
      <c r="O170" s="423"/>
      <c r="P170" s="197"/>
      <c r="Q170" s="197"/>
      <c r="R170" s="197"/>
      <c r="S170" s="197" t="e">
        <f t="shared" si="68"/>
        <v>#N/A</v>
      </c>
      <c r="T170" s="411"/>
      <c r="U170" s="197"/>
      <c r="V170" s="197"/>
      <c r="W170" s="197"/>
      <c r="X170" s="197" t="e">
        <f t="shared" si="69"/>
        <v>#N/A</v>
      </c>
      <c r="Y170" s="411"/>
      <c r="Z170" s="197"/>
      <c r="AA170" s="197"/>
      <c r="AB170" s="197"/>
      <c r="AC170" s="197" t="e">
        <f t="shared" si="70"/>
        <v>#N/A</v>
      </c>
      <c r="AD170" s="411"/>
      <c r="AE170" s="197"/>
      <c r="AF170" s="197"/>
      <c r="AG170" s="197"/>
      <c r="AH170" s="197" t="e">
        <f t="shared" si="71"/>
        <v>#N/A</v>
      </c>
      <c r="AI170" s="411"/>
      <c r="AJ170" s="197"/>
      <c r="AK170" s="197"/>
      <c r="AL170" s="197"/>
      <c r="AM170" s="197" t="e">
        <f t="shared" si="72"/>
        <v>#N/A</v>
      </c>
      <c r="AN170" s="411"/>
      <c r="AO170" s="197"/>
      <c r="AP170" s="197"/>
      <c r="AQ170" s="197"/>
      <c r="AR170" s="197" t="e">
        <f t="shared" si="73"/>
        <v>#N/A</v>
      </c>
      <c r="AS170" s="411"/>
      <c r="AT170" s="197"/>
      <c r="AU170" s="197"/>
      <c r="AV170" s="197"/>
      <c r="AW170" s="197" t="e">
        <f t="shared" si="74"/>
        <v>#N/A</v>
      </c>
      <c r="AX170" s="411"/>
    </row>
    <row r="171" spans="2:50">
      <c r="B171" s="422"/>
      <c r="C171" s="197">
        <v>25</v>
      </c>
      <c r="D171" s="197"/>
      <c r="E171" s="197"/>
      <c r="F171" s="197"/>
      <c r="G171" s="197"/>
      <c r="H171" s="411"/>
      <c r="I171" s="197"/>
      <c r="J171" s="197"/>
      <c r="K171" s="197"/>
      <c r="L171" s="429"/>
      <c r="M171" s="169" t="e">
        <f>RANK(K171, K$147:$K$176)</f>
        <v>#DIV/0!</v>
      </c>
      <c r="N171" s="423"/>
      <c r="O171" s="423"/>
      <c r="P171" s="197"/>
      <c r="Q171" s="197"/>
      <c r="R171" s="197"/>
      <c r="S171" s="197" t="e">
        <f t="shared" si="68"/>
        <v>#N/A</v>
      </c>
      <c r="T171" s="411"/>
      <c r="U171" s="197"/>
      <c r="V171" s="197"/>
      <c r="W171" s="197"/>
      <c r="X171" s="197" t="e">
        <f t="shared" si="69"/>
        <v>#N/A</v>
      </c>
      <c r="Y171" s="411"/>
      <c r="Z171" s="197"/>
      <c r="AA171" s="197"/>
      <c r="AB171" s="197"/>
      <c r="AC171" s="197" t="e">
        <f t="shared" si="70"/>
        <v>#N/A</v>
      </c>
      <c r="AD171" s="411"/>
      <c r="AE171" s="197"/>
      <c r="AF171" s="197"/>
      <c r="AG171" s="197"/>
      <c r="AH171" s="197" t="e">
        <f t="shared" si="71"/>
        <v>#N/A</v>
      </c>
      <c r="AI171" s="411"/>
      <c r="AJ171" s="197"/>
      <c r="AK171" s="197"/>
      <c r="AL171" s="197"/>
      <c r="AM171" s="197" t="e">
        <f t="shared" si="72"/>
        <v>#N/A</v>
      </c>
      <c r="AN171" s="411"/>
      <c r="AO171" s="197"/>
      <c r="AP171" s="197"/>
      <c r="AQ171" s="197"/>
      <c r="AR171" s="197" t="e">
        <f t="shared" si="73"/>
        <v>#N/A</v>
      </c>
      <c r="AS171" s="411"/>
      <c r="AT171" s="197"/>
      <c r="AU171" s="197"/>
      <c r="AV171" s="197"/>
      <c r="AW171" s="197" t="e">
        <f t="shared" si="74"/>
        <v>#N/A</v>
      </c>
      <c r="AX171" s="411"/>
    </row>
    <row r="172" spans="2:50">
      <c r="B172" s="422"/>
      <c r="C172" s="197">
        <v>26</v>
      </c>
      <c r="D172" s="197"/>
      <c r="E172" s="197"/>
      <c r="F172" s="197"/>
      <c r="G172" s="197"/>
      <c r="H172" s="411"/>
      <c r="I172" s="197"/>
      <c r="J172" s="197"/>
      <c r="K172" s="197"/>
      <c r="L172" s="429"/>
      <c r="M172" s="169" t="e">
        <f>RANK(K172, K$147:$K$176)</f>
        <v>#DIV/0!</v>
      </c>
      <c r="N172" s="423"/>
      <c r="O172" s="423"/>
      <c r="P172" s="197"/>
      <c r="Q172" s="197"/>
      <c r="R172" s="197"/>
      <c r="S172" s="197" t="e">
        <f t="shared" si="68"/>
        <v>#N/A</v>
      </c>
      <c r="T172" s="411"/>
      <c r="U172" s="197"/>
      <c r="V172" s="197"/>
      <c r="W172" s="197"/>
      <c r="X172" s="197" t="e">
        <f t="shared" si="69"/>
        <v>#N/A</v>
      </c>
      <c r="Y172" s="411"/>
      <c r="Z172" s="197"/>
      <c r="AA172" s="197"/>
      <c r="AB172" s="197"/>
      <c r="AC172" s="197" t="e">
        <f t="shared" si="70"/>
        <v>#N/A</v>
      </c>
      <c r="AD172" s="411"/>
      <c r="AE172" s="197"/>
      <c r="AF172" s="197"/>
      <c r="AG172" s="197"/>
      <c r="AH172" s="197" t="e">
        <f t="shared" si="71"/>
        <v>#N/A</v>
      </c>
      <c r="AI172" s="411"/>
      <c r="AJ172" s="197"/>
      <c r="AK172" s="197"/>
      <c r="AL172" s="197"/>
      <c r="AM172" s="197" t="e">
        <f t="shared" si="72"/>
        <v>#N/A</v>
      </c>
      <c r="AN172" s="411"/>
      <c r="AO172" s="197"/>
      <c r="AP172" s="197"/>
      <c r="AQ172" s="197"/>
      <c r="AR172" s="197" t="e">
        <f t="shared" si="73"/>
        <v>#N/A</v>
      </c>
      <c r="AS172" s="411"/>
      <c r="AT172" s="197"/>
      <c r="AU172" s="197"/>
      <c r="AV172" s="197"/>
      <c r="AW172" s="197" t="e">
        <f t="shared" si="74"/>
        <v>#N/A</v>
      </c>
      <c r="AX172" s="411"/>
    </row>
    <row r="173" spans="2:50">
      <c r="B173" s="422"/>
      <c r="C173" s="197">
        <v>27</v>
      </c>
      <c r="D173" s="197"/>
      <c r="E173" s="197"/>
      <c r="F173" s="197"/>
      <c r="G173" s="197"/>
      <c r="H173" s="411"/>
      <c r="I173" s="197"/>
      <c r="J173" s="197"/>
      <c r="K173" s="197"/>
      <c r="L173" s="429"/>
      <c r="M173" s="169" t="e">
        <f>RANK(K173, K$147:$K$176)</f>
        <v>#DIV/0!</v>
      </c>
      <c r="N173" s="423"/>
      <c r="O173" s="423"/>
      <c r="P173" s="197"/>
      <c r="Q173" s="197"/>
      <c r="R173" s="197"/>
      <c r="S173" s="197" t="e">
        <f t="shared" si="68"/>
        <v>#N/A</v>
      </c>
      <c r="T173" s="411"/>
      <c r="U173" s="197"/>
      <c r="V173" s="197"/>
      <c r="W173" s="197"/>
      <c r="X173" s="197" t="e">
        <f t="shared" si="69"/>
        <v>#N/A</v>
      </c>
      <c r="Y173" s="411"/>
      <c r="Z173" s="197"/>
      <c r="AA173" s="197"/>
      <c r="AB173" s="197"/>
      <c r="AC173" s="197" t="e">
        <f t="shared" si="70"/>
        <v>#N/A</v>
      </c>
      <c r="AD173" s="411"/>
      <c r="AE173" s="197"/>
      <c r="AF173" s="197"/>
      <c r="AG173" s="197"/>
      <c r="AH173" s="197" t="e">
        <f t="shared" si="71"/>
        <v>#N/A</v>
      </c>
      <c r="AI173" s="411"/>
      <c r="AJ173" s="197"/>
      <c r="AK173" s="197"/>
      <c r="AL173" s="197"/>
      <c r="AM173" s="197" t="e">
        <f t="shared" si="72"/>
        <v>#N/A</v>
      </c>
      <c r="AN173" s="411"/>
      <c r="AO173" s="197"/>
      <c r="AP173" s="197"/>
      <c r="AQ173" s="197"/>
      <c r="AR173" s="197" t="e">
        <f t="shared" si="73"/>
        <v>#N/A</v>
      </c>
      <c r="AS173" s="411"/>
      <c r="AT173" s="197"/>
      <c r="AU173" s="197"/>
      <c r="AV173" s="197"/>
      <c r="AW173" s="197" t="e">
        <f t="shared" si="74"/>
        <v>#N/A</v>
      </c>
      <c r="AX173" s="411"/>
    </row>
    <row r="174" spans="2:50">
      <c r="B174" s="422"/>
      <c r="C174" s="197">
        <v>28</v>
      </c>
      <c r="D174" s="197"/>
      <c r="E174" s="197"/>
      <c r="F174" s="197"/>
      <c r="G174" s="197"/>
      <c r="H174" s="411"/>
      <c r="I174" s="197"/>
      <c r="J174" s="197"/>
      <c r="K174" s="197"/>
      <c r="L174" s="429"/>
      <c r="M174" s="169" t="e">
        <f>RANK(K174, K$147:$K$176)</f>
        <v>#DIV/0!</v>
      </c>
      <c r="N174" s="423"/>
      <c r="O174" s="423"/>
      <c r="P174" s="197"/>
      <c r="Q174" s="197"/>
      <c r="R174" s="197"/>
      <c r="S174" s="197" t="e">
        <f t="shared" si="68"/>
        <v>#N/A</v>
      </c>
      <c r="T174" s="411"/>
      <c r="U174" s="197"/>
      <c r="V174" s="197"/>
      <c r="W174" s="197"/>
      <c r="X174" s="197" t="e">
        <f t="shared" si="69"/>
        <v>#N/A</v>
      </c>
      <c r="Y174" s="411"/>
      <c r="Z174" s="197"/>
      <c r="AA174" s="197"/>
      <c r="AB174" s="197"/>
      <c r="AC174" s="197" t="e">
        <f t="shared" si="70"/>
        <v>#N/A</v>
      </c>
      <c r="AD174" s="411"/>
      <c r="AE174" s="197"/>
      <c r="AF174" s="197"/>
      <c r="AG174" s="197"/>
      <c r="AH174" s="197" t="e">
        <f t="shared" si="71"/>
        <v>#N/A</v>
      </c>
      <c r="AI174" s="411"/>
      <c r="AJ174" s="197"/>
      <c r="AK174" s="197"/>
      <c r="AL174" s="197"/>
      <c r="AM174" s="197" t="e">
        <f t="shared" si="72"/>
        <v>#N/A</v>
      </c>
      <c r="AN174" s="411"/>
      <c r="AO174" s="197"/>
      <c r="AP174" s="197"/>
      <c r="AQ174" s="197"/>
      <c r="AR174" s="197" t="e">
        <f t="shared" si="73"/>
        <v>#N/A</v>
      </c>
      <c r="AS174" s="411"/>
      <c r="AT174" s="197"/>
      <c r="AU174" s="197"/>
      <c r="AV174" s="197"/>
      <c r="AW174" s="197" t="e">
        <f t="shared" si="74"/>
        <v>#N/A</v>
      </c>
      <c r="AX174" s="411"/>
    </row>
    <row r="175" spans="2:50">
      <c r="B175" s="422"/>
      <c r="C175" s="197">
        <v>29</v>
      </c>
      <c r="D175" s="197"/>
      <c r="E175" s="197"/>
      <c r="F175" s="197"/>
      <c r="G175" s="197"/>
      <c r="H175" s="411"/>
      <c r="I175" s="197"/>
      <c r="J175" s="197"/>
      <c r="K175" s="197"/>
      <c r="L175" s="429"/>
      <c r="M175" s="169" t="e">
        <f>RANK(K175, K$147:$K$176)</f>
        <v>#DIV/0!</v>
      </c>
      <c r="N175" s="423"/>
      <c r="O175" s="423"/>
      <c r="P175" s="197"/>
      <c r="Q175" s="197"/>
      <c r="R175" s="197"/>
      <c r="S175" s="197" t="e">
        <f t="shared" si="68"/>
        <v>#N/A</v>
      </c>
      <c r="T175" s="411"/>
      <c r="U175" s="197"/>
      <c r="V175" s="197"/>
      <c r="W175" s="197"/>
      <c r="X175" s="197" t="e">
        <f t="shared" si="69"/>
        <v>#N/A</v>
      </c>
      <c r="Y175" s="411"/>
      <c r="Z175" s="197"/>
      <c r="AA175" s="197"/>
      <c r="AB175" s="197"/>
      <c r="AC175" s="197" t="e">
        <f t="shared" si="70"/>
        <v>#N/A</v>
      </c>
      <c r="AD175" s="411"/>
      <c r="AE175" s="197"/>
      <c r="AF175" s="197"/>
      <c r="AG175" s="197"/>
      <c r="AH175" s="197" t="e">
        <f t="shared" si="71"/>
        <v>#N/A</v>
      </c>
      <c r="AI175" s="411"/>
      <c r="AJ175" s="197"/>
      <c r="AK175" s="197"/>
      <c r="AL175" s="197"/>
      <c r="AM175" s="197" t="e">
        <f t="shared" si="72"/>
        <v>#N/A</v>
      </c>
      <c r="AN175" s="411"/>
      <c r="AO175" s="197"/>
      <c r="AP175" s="197"/>
      <c r="AQ175" s="197"/>
      <c r="AR175" s="197" t="e">
        <f t="shared" si="73"/>
        <v>#N/A</v>
      </c>
      <c r="AS175" s="411"/>
      <c r="AT175" s="197"/>
      <c r="AU175" s="197"/>
      <c r="AV175" s="197"/>
      <c r="AW175" s="197" t="e">
        <f t="shared" si="74"/>
        <v>#N/A</v>
      </c>
      <c r="AX175" s="411"/>
    </row>
    <row r="176" spans="2:50">
      <c r="B176" s="422"/>
      <c r="C176" s="197">
        <v>30</v>
      </c>
      <c r="D176" s="197"/>
      <c r="E176" s="197"/>
      <c r="F176" s="197"/>
      <c r="G176" s="197"/>
      <c r="H176" s="412"/>
      <c r="I176" s="197"/>
      <c r="J176" s="197"/>
      <c r="K176" s="197"/>
      <c r="L176" s="430"/>
      <c r="M176" s="169" t="e">
        <f>RANK(K176, K$147:$K$176)</f>
        <v>#DIV/0!</v>
      </c>
      <c r="N176" s="423"/>
      <c r="O176" s="423"/>
      <c r="P176" s="197"/>
      <c r="Q176" s="197"/>
      <c r="R176" s="197"/>
      <c r="S176" s="197" t="e">
        <f t="shared" si="58"/>
        <v>#N/A</v>
      </c>
      <c r="T176" s="412"/>
      <c r="U176" s="197"/>
      <c r="V176" s="197"/>
      <c r="W176" s="197"/>
      <c r="X176" s="197" t="e">
        <f t="shared" si="59"/>
        <v>#N/A</v>
      </c>
      <c r="Y176" s="412"/>
      <c r="Z176" s="197"/>
      <c r="AA176" s="197"/>
      <c r="AB176" s="197"/>
      <c r="AC176" s="197" t="e">
        <f t="shared" si="60"/>
        <v>#N/A</v>
      </c>
      <c r="AD176" s="412"/>
      <c r="AE176" s="197"/>
      <c r="AF176" s="197"/>
      <c r="AG176" s="197"/>
      <c r="AH176" s="197" t="e">
        <f t="shared" si="61"/>
        <v>#N/A</v>
      </c>
      <c r="AI176" s="412"/>
      <c r="AJ176" s="197"/>
      <c r="AK176" s="197"/>
      <c r="AL176" s="197"/>
      <c r="AM176" s="197" t="e">
        <f t="shared" si="62"/>
        <v>#N/A</v>
      </c>
      <c r="AN176" s="412"/>
      <c r="AO176" s="197"/>
      <c r="AP176" s="197"/>
      <c r="AQ176" s="197"/>
      <c r="AR176" s="197" t="e">
        <f t="shared" si="63"/>
        <v>#N/A</v>
      </c>
      <c r="AS176" s="412"/>
      <c r="AT176" s="197"/>
      <c r="AU176" s="197"/>
      <c r="AV176" s="197"/>
      <c r="AW176" s="197" t="e">
        <f t="shared" si="64"/>
        <v>#N/A</v>
      </c>
      <c r="AX176" s="412"/>
    </row>
  </sheetData>
  <mergeCells count="295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101"/>
  <sheetViews>
    <sheetView zoomScale="55" zoomScaleNormal="55" workbookViewId="0">
      <pane xSplit="15" topLeftCell="W1" activePane="topRight" state="frozen"/>
      <selection pane="topRight" activeCell="AU56" sqref="AU56"/>
      <selection sqref="A1:L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15" t="s">
        <v>246</v>
      </c>
      <c r="C1" s="216">
        <f>AVERAGE(L7,L27,L47,L67,L87)</f>
        <v>200.71731948326365</v>
      </c>
    </row>
    <row r="2" spans="1:50" ht="15.75">
      <c r="A2" s="79"/>
      <c r="B2" s="396" t="s">
        <v>202</v>
      </c>
      <c r="C2" s="396"/>
      <c r="D2" s="396"/>
      <c r="E2" s="396"/>
      <c r="F2" s="396"/>
      <c r="G2" s="396"/>
      <c r="H2" s="396"/>
      <c r="I2" s="198"/>
      <c r="J2" s="198"/>
      <c r="K2" s="198"/>
      <c r="L2" s="198"/>
      <c r="M2" s="193"/>
      <c r="N2" s="401" t="s">
        <v>203</v>
      </c>
      <c r="O2" s="401" t="s">
        <v>150</v>
      </c>
      <c r="P2" s="416">
        <v>45895</v>
      </c>
      <c r="Q2" s="417"/>
      <c r="R2" s="417"/>
      <c r="S2" s="417"/>
      <c r="T2" s="418"/>
      <c r="U2" s="421">
        <f>P2+1</f>
        <v>45896</v>
      </c>
      <c r="V2" s="422"/>
      <c r="W2" s="422"/>
      <c r="X2" s="422"/>
      <c r="Y2" s="422"/>
      <c r="Z2" s="421">
        <f>U2+1</f>
        <v>45897</v>
      </c>
      <c r="AA2" s="422"/>
      <c r="AB2" s="422"/>
      <c r="AC2" s="422"/>
      <c r="AD2" s="422"/>
      <c r="AE2" s="421">
        <f>Z2+1</f>
        <v>45898</v>
      </c>
      <c r="AF2" s="422"/>
      <c r="AG2" s="422"/>
      <c r="AH2" s="422"/>
      <c r="AI2" s="422"/>
      <c r="AJ2" s="421">
        <f>AE2+1</f>
        <v>45899</v>
      </c>
      <c r="AK2" s="422"/>
      <c r="AL2" s="422"/>
      <c r="AM2" s="422"/>
      <c r="AN2" s="422"/>
      <c r="AO2" s="421">
        <f>AJ2+1</f>
        <v>45900</v>
      </c>
      <c r="AP2" s="422"/>
      <c r="AQ2" s="422"/>
      <c r="AR2" s="422"/>
      <c r="AS2" s="422"/>
      <c r="AT2" s="421">
        <f>AO2+1</f>
        <v>45901</v>
      </c>
      <c r="AU2" s="422"/>
      <c r="AV2" s="422"/>
      <c r="AW2" s="422"/>
      <c r="AX2" s="422"/>
    </row>
    <row r="3" spans="1:50" ht="15.75">
      <c r="A3" s="79"/>
      <c r="B3" s="397"/>
      <c r="C3" s="397"/>
      <c r="D3" s="397"/>
      <c r="E3" s="397"/>
      <c r="F3" s="397"/>
      <c r="G3" s="397"/>
      <c r="H3" s="397"/>
      <c r="I3" s="199"/>
      <c r="J3" s="199"/>
      <c r="K3" s="199"/>
      <c r="L3" s="199"/>
      <c r="M3" s="194"/>
      <c r="N3" s="403"/>
      <c r="O3" s="403"/>
      <c r="P3" s="416" t="s">
        <v>204</v>
      </c>
      <c r="Q3" s="417"/>
      <c r="R3" s="417"/>
      <c r="S3" s="417"/>
      <c r="T3" s="418"/>
      <c r="U3" s="416" t="s">
        <v>205</v>
      </c>
      <c r="V3" s="417"/>
      <c r="W3" s="417"/>
      <c r="X3" s="417"/>
      <c r="Y3" s="418"/>
      <c r="Z3" s="416" t="s">
        <v>206</v>
      </c>
      <c r="AA3" s="417"/>
      <c r="AB3" s="417"/>
      <c r="AC3" s="417"/>
      <c r="AD3" s="418"/>
      <c r="AE3" s="416" t="s">
        <v>207</v>
      </c>
      <c r="AF3" s="417"/>
      <c r="AG3" s="417"/>
      <c r="AH3" s="417"/>
      <c r="AI3" s="418"/>
      <c r="AJ3" s="416" t="s">
        <v>208</v>
      </c>
      <c r="AK3" s="417"/>
      <c r="AL3" s="417"/>
      <c r="AM3" s="417"/>
      <c r="AN3" s="418"/>
      <c r="AO3" s="416" t="s">
        <v>157</v>
      </c>
      <c r="AP3" s="417"/>
      <c r="AQ3" s="417"/>
      <c r="AR3" s="417"/>
      <c r="AS3" s="418"/>
      <c r="AT3" s="416" t="s">
        <v>209</v>
      </c>
      <c r="AU3" s="417"/>
      <c r="AV3" s="417"/>
      <c r="AW3" s="417"/>
      <c r="AX3" s="418"/>
    </row>
    <row r="4" spans="1:50">
      <c r="A4" s="79"/>
      <c r="B4" s="423" t="s">
        <v>210</v>
      </c>
      <c r="C4" s="423" t="s">
        <v>211</v>
      </c>
      <c r="D4" s="423"/>
      <c r="E4" s="423" t="s">
        <v>212</v>
      </c>
      <c r="F4" s="423"/>
      <c r="G4" s="423"/>
      <c r="H4" s="404" t="s">
        <v>213</v>
      </c>
      <c r="I4" s="423" t="s">
        <v>214</v>
      </c>
      <c r="J4" s="423"/>
      <c r="K4" s="423"/>
      <c r="L4" s="404" t="s">
        <v>213</v>
      </c>
      <c r="M4" s="401" t="s">
        <v>215</v>
      </c>
      <c r="N4" s="423"/>
      <c r="O4" s="423" t="s">
        <v>216</v>
      </c>
      <c r="P4" s="413" t="s">
        <v>217</v>
      </c>
      <c r="Q4" s="414"/>
      <c r="R4" s="414"/>
      <c r="S4" s="415"/>
      <c r="T4" s="423" t="s">
        <v>213</v>
      </c>
      <c r="U4" s="413" t="s">
        <v>217</v>
      </c>
      <c r="V4" s="414"/>
      <c r="W4" s="414"/>
      <c r="X4" s="415"/>
      <c r="Y4" s="423" t="s">
        <v>213</v>
      </c>
      <c r="Z4" s="413" t="s">
        <v>217</v>
      </c>
      <c r="AA4" s="414"/>
      <c r="AB4" s="414"/>
      <c r="AC4" s="415"/>
      <c r="AD4" s="423" t="s">
        <v>213</v>
      </c>
      <c r="AE4" s="413" t="s">
        <v>217</v>
      </c>
      <c r="AF4" s="414"/>
      <c r="AG4" s="414"/>
      <c r="AH4" s="415"/>
      <c r="AI4" s="423" t="s">
        <v>213</v>
      </c>
      <c r="AJ4" s="413" t="s">
        <v>217</v>
      </c>
      <c r="AK4" s="414"/>
      <c r="AL4" s="414"/>
      <c r="AM4" s="415"/>
      <c r="AN4" s="423" t="s">
        <v>213</v>
      </c>
      <c r="AO4" s="413" t="s">
        <v>217</v>
      </c>
      <c r="AP4" s="414"/>
      <c r="AQ4" s="414"/>
      <c r="AR4" s="415"/>
      <c r="AS4" s="423" t="s">
        <v>213</v>
      </c>
      <c r="AT4" s="413" t="s">
        <v>217</v>
      </c>
      <c r="AU4" s="414"/>
      <c r="AV4" s="414"/>
      <c r="AW4" s="415"/>
      <c r="AX4" s="423" t="s">
        <v>213</v>
      </c>
    </row>
    <row r="5" spans="1:50">
      <c r="A5" s="79"/>
      <c r="B5" s="423"/>
      <c r="C5" s="423"/>
      <c r="D5" s="423"/>
      <c r="E5" s="423" t="s">
        <v>218</v>
      </c>
      <c r="F5" s="423"/>
      <c r="G5" s="423"/>
      <c r="H5" s="406"/>
      <c r="I5" s="423" t="s">
        <v>218</v>
      </c>
      <c r="J5" s="423"/>
      <c r="K5" s="423"/>
      <c r="L5" s="406"/>
      <c r="M5" s="402"/>
      <c r="N5" s="423"/>
      <c r="O5" s="423"/>
      <c r="P5" s="413" t="s">
        <v>219</v>
      </c>
      <c r="Q5" s="414"/>
      <c r="R5" s="414"/>
      <c r="S5" s="415"/>
      <c r="T5" s="423"/>
      <c r="U5" s="413" t="s">
        <v>219</v>
      </c>
      <c r="V5" s="414"/>
      <c r="W5" s="414"/>
      <c r="X5" s="415"/>
      <c r="Y5" s="423"/>
      <c r="Z5" s="413" t="s">
        <v>219</v>
      </c>
      <c r="AA5" s="414"/>
      <c r="AB5" s="414"/>
      <c r="AC5" s="415"/>
      <c r="AD5" s="423"/>
      <c r="AE5" s="413" t="s">
        <v>219</v>
      </c>
      <c r="AF5" s="414"/>
      <c r="AG5" s="414"/>
      <c r="AH5" s="415"/>
      <c r="AI5" s="423"/>
      <c r="AJ5" s="413" t="s">
        <v>219</v>
      </c>
      <c r="AK5" s="414"/>
      <c r="AL5" s="414"/>
      <c r="AM5" s="415"/>
      <c r="AN5" s="423"/>
      <c r="AO5" s="413" t="s">
        <v>219</v>
      </c>
      <c r="AP5" s="414"/>
      <c r="AQ5" s="414"/>
      <c r="AR5" s="415"/>
      <c r="AS5" s="423"/>
      <c r="AT5" s="413" t="s">
        <v>219</v>
      </c>
      <c r="AU5" s="414"/>
      <c r="AV5" s="414"/>
      <c r="AW5" s="415"/>
      <c r="AX5" s="423"/>
    </row>
    <row r="6" spans="1:50">
      <c r="A6" s="77"/>
      <c r="B6" s="423"/>
      <c r="C6" s="423"/>
      <c r="D6" s="423"/>
      <c r="E6" s="297" t="s">
        <v>220</v>
      </c>
      <c r="F6" s="297" t="s">
        <v>221</v>
      </c>
      <c r="G6" s="297" t="s">
        <v>222</v>
      </c>
      <c r="H6" s="408"/>
      <c r="I6" s="297" t="s">
        <v>220</v>
      </c>
      <c r="J6" s="297" t="s">
        <v>221</v>
      </c>
      <c r="K6" s="297" t="s">
        <v>222</v>
      </c>
      <c r="L6" s="408"/>
      <c r="M6" s="403"/>
      <c r="N6" s="423"/>
      <c r="O6" s="423"/>
      <c r="P6" s="297" t="s">
        <v>220</v>
      </c>
      <c r="Q6" s="297" t="s">
        <v>221</v>
      </c>
      <c r="R6" s="297" t="s">
        <v>222</v>
      </c>
      <c r="S6" s="297" t="s">
        <v>215</v>
      </c>
      <c r="T6" s="423"/>
      <c r="U6" s="297" t="s">
        <v>220</v>
      </c>
      <c r="V6" s="297" t="s">
        <v>221</v>
      </c>
      <c r="W6" s="297" t="s">
        <v>222</v>
      </c>
      <c r="X6" s="297" t="s">
        <v>215</v>
      </c>
      <c r="Y6" s="423"/>
      <c r="Z6" s="297" t="s">
        <v>220</v>
      </c>
      <c r="AA6" s="297" t="s">
        <v>221</v>
      </c>
      <c r="AB6" s="297" t="s">
        <v>222</v>
      </c>
      <c r="AC6" s="297" t="s">
        <v>215</v>
      </c>
      <c r="AD6" s="423"/>
      <c r="AE6" s="297" t="s">
        <v>220</v>
      </c>
      <c r="AF6" s="297" t="s">
        <v>221</v>
      </c>
      <c r="AG6" s="297" t="s">
        <v>222</v>
      </c>
      <c r="AH6" s="297" t="s">
        <v>215</v>
      </c>
      <c r="AI6" s="423"/>
      <c r="AJ6" s="297" t="s">
        <v>220</v>
      </c>
      <c r="AK6" s="297" t="s">
        <v>221</v>
      </c>
      <c r="AL6" s="297" t="s">
        <v>222</v>
      </c>
      <c r="AM6" s="297" t="s">
        <v>215</v>
      </c>
      <c r="AN6" s="423"/>
      <c r="AO6" s="297" t="s">
        <v>220</v>
      </c>
      <c r="AP6" s="297" t="s">
        <v>221</v>
      </c>
      <c r="AQ6" s="297" t="s">
        <v>222</v>
      </c>
      <c r="AR6" s="297" t="s">
        <v>215</v>
      </c>
      <c r="AS6" s="423"/>
      <c r="AT6" s="297" t="s">
        <v>220</v>
      </c>
      <c r="AU6" s="297" t="s">
        <v>221</v>
      </c>
      <c r="AV6" s="297" t="s">
        <v>222</v>
      </c>
      <c r="AW6" s="297" t="s">
        <v>215</v>
      </c>
      <c r="AX6" s="423"/>
    </row>
    <row r="7" spans="1:50">
      <c r="A7" s="79"/>
      <c r="B7" s="431" t="s">
        <v>247</v>
      </c>
      <c r="C7" s="197">
        <v>1</v>
      </c>
      <c r="D7" s="197" t="s">
        <v>248</v>
      </c>
      <c r="E7" s="197">
        <v>15</v>
      </c>
      <c r="F7" s="197">
        <v>1200</v>
      </c>
      <c r="G7" s="197">
        <v>80</v>
      </c>
      <c r="H7" s="428">
        <f>AVERAGE(G7:G21)</f>
        <v>194.65</v>
      </c>
      <c r="I7" s="169">
        <f>AVERAGE(P7,U7,Z7,AE7,AJ7,AO7,AT7)</f>
        <v>13</v>
      </c>
      <c r="J7" s="169">
        <f>AVERAGE(Q7,V7,AA7,AF7,AK7,AP7,AU7)</f>
        <v>1181.657142857144</v>
      </c>
      <c r="K7" s="195">
        <f>AVERAGE(R7,W7,AB7,AG7,AL7,AQ7,AV7)</f>
        <v>90.896703296703365</v>
      </c>
      <c r="L7" s="428">
        <f>IFERROR(AVERAGE(K7:K21),"-")</f>
        <v>197.60916949259007</v>
      </c>
      <c r="M7" s="196">
        <f>RANK(K7, K$7:$K$21)</f>
        <v>8</v>
      </c>
      <c r="N7" s="423"/>
      <c r="O7" s="423"/>
      <c r="P7" s="197">
        <v>13</v>
      </c>
      <c r="Q7" s="169">
        <v>1080.0000000000014</v>
      </c>
      <c r="R7" s="195">
        <v>83.07692307692318</v>
      </c>
      <c r="S7" s="197">
        <f t="shared" ref="S7:S21" si="0">RANK(R7, R$7:R$21)</f>
        <v>8</v>
      </c>
      <c r="T7" s="432">
        <f>AVERAGE(R7:R21)</f>
        <v>195.78366338176343</v>
      </c>
      <c r="U7" s="197">
        <v>13</v>
      </c>
      <c r="V7" s="169">
        <v>1238.0000000000014</v>
      </c>
      <c r="W7" s="195">
        <v>95.23076923076934</v>
      </c>
      <c r="X7" s="197">
        <f t="shared" ref="X7:X21" si="1">RANK(W7, W$7:W$21)</f>
        <v>8</v>
      </c>
      <c r="Y7" s="432">
        <f>AVERAGE(W7:W21)</f>
        <v>196.31076458138037</v>
      </c>
      <c r="Z7" s="197">
        <v>13</v>
      </c>
      <c r="AA7" s="169">
        <v>1167.999999999998</v>
      </c>
      <c r="AB7" s="195">
        <v>89.846153846153683</v>
      </c>
      <c r="AC7" s="197">
        <f t="shared" ref="AC7:AC21" si="2">RANK(AB7, AB$7:AB$21)</f>
        <v>8</v>
      </c>
      <c r="AD7" s="432">
        <f>AVERAGE(AB7:AB21)</f>
        <v>198.41235639360633</v>
      </c>
      <c r="AE7" s="197">
        <v>13</v>
      </c>
      <c r="AF7" s="169">
        <v>1212.0000000000005</v>
      </c>
      <c r="AG7" s="195">
        <v>93.230769230769269</v>
      </c>
      <c r="AH7" s="197">
        <f t="shared" ref="AH7:AH21" si="3">RANK(AG7, AG$7:AG$21)</f>
        <v>8</v>
      </c>
      <c r="AI7" s="432">
        <f>AVERAGE(AG7:AG21)</f>
        <v>206.59098089410617</v>
      </c>
      <c r="AJ7" s="197">
        <v>13</v>
      </c>
      <c r="AK7" s="169">
        <v>1161.6000000000004</v>
      </c>
      <c r="AL7" s="195">
        <v>89.353846153846177</v>
      </c>
      <c r="AM7" s="197">
        <f t="shared" ref="AM7:AM21" si="4">RANK(AL7, AL$7:AL$21)</f>
        <v>8</v>
      </c>
      <c r="AN7" s="432">
        <f>AVERAGE(AL7:AL21)</f>
        <v>193.39419018481505</v>
      </c>
      <c r="AO7" s="197">
        <v>13</v>
      </c>
      <c r="AP7" s="169">
        <v>1226.0000000000043</v>
      </c>
      <c r="AQ7" s="195">
        <v>94.307692307692633</v>
      </c>
      <c r="AR7" s="197">
        <f t="shared" ref="AR7:AR21" si="5">RANK(AQ7, AQ$7:AQ$21)</f>
        <v>8</v>
      </c>
      <c r="AS7" s="410">
        <f>AVERAGE(AQ7:AQ21)</f>
        <v>193.92896478521479</v>
      </c>
      <c r="AT7" s="197">
        <v>13</v>
      </c>
      <c r="AU7" s="169">
        <v>1186.0000000000011</v>
      </c>
      <c r="AV7" s="195">
        <v>91.230769230769312</v>
      </c>
      <c r="AW7" s="197">
        <f t="shared" ref="AW7:AW21" si="6">RANK(AV7, AV$7:AV$21)</f>
        <v>7</v>
      </c>
      <c r="AX7" s="410">
        <f>AVERAGE(AV7:AV21)</f>
        <v>205.87878920333554</v>
      </c>
    </row>
    <row r="8" spans="1:50" ht="15" customHeight="1">
      <c r="A8" s="79"/>
      <c r="B8" s="422"/>
      <c r="C8" s="197">
        <v>2</v>
      </c>
      <c r="D8" s="197" t="s">
        <v>249</v>
      </c>
      <c r="E8" s="197">
        <v>10</v>
      </c>
      <c r="F8" s="197">
        <v>1500</v>
      </c>
      <c r="G8" s="197">
        <v>150</v>
      </c>
      <c r="H8" s="429"/>
      <c r="I8" s="169">
        <f t="shared" ref="I8:K13" si="7">AVERAGE(P8,U8,Z8,AE8,AJ8,AO8,AT8)</f>
        <v>10</v>
      </c>
      <c r="J8" s="169">
        <f t="shared" si="7"/>
        <v>1497.8129251700673</v>
      </c>
      <c r="K8" s="195">
        <f t="shared" si="7"/>
        <v>149.78129251700673</v>
      </c>
      <c r="L8" s="429"/>
      <c r="M8" s="196">
        <f>RANK(K8, K$7:$K$21)</f>
        <v>5</v>
      </c>
      <c r="N8" s="423"/>
      <c r="O8" s="423"/>
      <c r="P8" s="197">
        <v>10</v>
      </c>
      <c r="Q8" s="169">
        <v>1550.9999999999995</v>
      </c>
      <c r="R8" s="195">
        <v>155.09999999999997</v>
      </c>
      <c r="S8" s="197">
        <f t="shared" si="0"/>
        <v>5</v>
      </c>
      <c r="T8" s="432"/>
      <c r="U8" s="197">
        <v>10</v>
      </c>
      <c r="V8" s="169">
        <v>1544.9999999999993</v>
      </c>
      <c r="W8" s="195">
        <v>154.49999999999994</v>
      </c>
      <c r="X8" s="197">
        <f t="shared" si="1"/>
        <v>4</v>
      </c>
      <c r="Y8" s="432"/>
      <c r="Z8" s="197">
        <v>10</v>
      </c>
      <c r="AA8" s="169">
        <v>1517.9999999999961</v>
      </c>
      <c r="AB8" s="195">
        <v>151.79999999999961</v>
      </c>
      <c r="AC8" s="197">
        <f t="shared" si="2"/>
        <v>7</v>
      </c>
      <c r="AD8" s="432"/>
      <c r="AE8" s="197">
        <v>10</v>
      </c>
      <c r="AF8" s="169">
        <v>1450.2857142857129</v>
      </c>
      <c r="AG8" s="195">
        <v>145.0285714285713</v>
      </c>
      <c r="AH8" s="197">
        <f t="shared" si="3"/>
        <v>6</v>
      </c>
      <c r="AI8" s="432"/>
      <c r="AJ8" s="197">
        <v>10</v>
      </c>
      <c r="AK8" s="169">
        <v>1412.5714285714303</v>
      </c>
      <c r="AL8" s="195">
        <v>141.25714285714304</v>
      </c>
      <c r="AM8" s="197">
        <f t="shared" si="4"/>
        <v>7</v>
      </c>
      <c r="AN8" s="432"/>
      <c r="AO8" s="197">
        <v>10</v>
      </c>
      <c r="AP8" s="169">
        <v>1449.3333333333333</v>
      </c>
      <c r="AQ8" s="195">
        <v>144.93333333333334</v>
      </c>
      <c r="AR8" s="197">
        <f t="shared" si="5"/>
        <v>5</v>
      </c>
      <c r="AS8" s="411"/>
      <c r="AT8" s="197">
        <v>10</v>
      </c>
      <c r="AU8" s="169">
        <v>1558.4999999999995</v>
      </c>
      <c r="AV8" s="195">
        <v>155.84999999999997</v>
      </c>
      <c r="AW8" s="197">
        <f t="shared" si="6"/>
        <v>5</v>
      </c>
      <c r="AX8" s="411"/>
    </row>
    <row r="9" spans="1:50">
      <c r="A9" s="79"/>
      <c r="B9" s="422"/>
      <c r="C9" s="197">
        <v>3</v>
      </c>
      <c r="D9" s="197" t="s">
        <v>250</v>
      </c>
      <c r="E9" s="197">
        <v>10</v>
      </c>
      <c r="F9" s="197">
        <v>1636</v>
      </c>
      <c r="G9" s="197">
        <v>163.6</v>
      </c>
      <c r="H9" s="429"/>
      <c r="I9" s="169">
        <f t="shared" si="7"/>
        <v>12</v>
      </c>
      <c r="J9" s="169">
        <f t="shared" si="7"/>
        <v>1772.6666666666656</v>
      </c>
      <c r="K9" s="195">
        <f t="shared" si="7"/>
        <v>147.72222222222214</v>
      </c>
      <c r="L9" s="429"/>
      <c r="M9" s="196">
        <f>RANK(K9, K$7:$K$21)</f>
        <v>7</v>
      </c>
      <c r="N9" s="423"/>
      <c r="O9" s="423"/>
      <c r="P9" s="197">
        <v>12</v>
      </c>
      <c r="Q9" s="169">
        <v>1907.9999999999993</v>
      </c>
      <c r="R9" s="195">
        <v>158.99999999999994</v>
      </c>
      <c r="S9" s="197">
        <f t="shared" si="0"/>
        <v>4</v>
      </c>
      <c r="T9" s="432"/>
      <c r="U9" s="197">
        <v>12</v>
      </c>
      <c r="V9" s="169">
        <v>1704</v>
      </c>
      <c r="W9" s="195">
        <v>142</v>
      </c>
      <c r="X9" s="197">
        <f t="shared" si="1"/>
        <v>7</v>
      </c>
      <c r="Y9" s="432"/>
      <c r="Z9" s="197">
        <v>12</v>
      </c>
      <c r="AA9" s="169">
        <v>1880.9999999999955</v>
      </c>
      <c r="AB9" s="195">
        <v>156.74999999999963</v>
      </c>
      <c r="AC9" s="197">
        <f t="shared" si="2"/>
        <v>5</v>
      </c>
      <c r="AD9" s="432"/>
      <c r="AE9" s="197">
        <v>12</v>
      </c>
      <c r="AF9" s="169">
        <v>1708.4999999999995</v>
      </c>
      <c r="AG9" s="195">
        <v>142.37499999999997</v>
      </c>
      <c r="AH9" s="197">
        <f t="shared" si="3"/>
        <v>7</v>
      </c>
      <c r="AI9" s="432"/>
      <c r="AJ9" s="197">
        <v>12</v>
      </c>
      <c r="AK9" s="169">
        <v>1720.4999999999993</v>
      </c>
      <c r="AL9" s="195">
        <v>143.37499999999994</v>
      </c>
      <c r="AM9" s="197">
        <f t="shared" si="4"/>
        <v>6</v>
      </c>
      <c r="AN9" s="432"/>
      <c r="AO9" s="197">
        <v>12</v>
      </c>
      <c r="AP9" s="169">
        <v>1691.9999999999977</v>
      </c>
      <c r="AQ9" s="195">
        <v>140.9999999999998</v>
      </c>
      <c r="AR9" s="197">
        <f t="shared" si="5"/>
        <v>7</v>
      </c>
      <c r="AS9" s="411"/>
      <c r="AT9" s="197">
        <v>12</v>
      </c>
      <c r="AU9" s="169">
        <v>1794.6666666666667</v>
      </c>
      <c r="AV9" s="195">
        <v>149.55555555555557</v>
      </c>
      <c r="AW9" s="197">
        <f t="shared" si="6"/>
        <v>6</v>
      </c>
      <c r="AX9" s="411"/>
    </row>
    <row r="10" spans="1:50">
      <c r="A10" s="79"/>
      <c r="B10" s="422"/>
      <c r="C10" s="197">
        <v>4</v>
      </c>
      <c r="D10" s="197" t="s">
        <v>251</v>
      </c>
      <c r="E10" s="197">
        <v>10</v>
      </c>
      <c r="F10" s="197">
        <v>1636</v>
      </c>
      <c r="G10" s="197">
        <v>163.6</v>
      </c>
      <c r="H10" s="429"/>
      <c r="I10" s="169">
        <f t="shared" si="7"/>
        <v>12</v>
      </c>
      <c r="J10" s="169">
        <f t="shared" si="7"/>
        <v>1814.2142857142851</v>
      </c>
      <c r="K10" s="195">
        <f t="shared" si="7"/>
        <v>151.18452380952377</v>
      </c>
      <c r="L10" s="429"/>
      <c r="M10" s="196">
        <f>RANK(K10, K$7:$K$21)</f>
        <v>4</v>
      </c>
      <c r="N10" s="423"/>
      <c r="O10" s="423"/>
      <c r="P10" s="197">
        <v>12</v>
      </c>
      <c r="Q10" s="169">
        <v>1765.4999999999993</v>
      </c>
      <c r="R10" s="195">
        <v>147.12499999999994</v>
      </c>
      <c r="S10" s="197">
        <f t="shared" si="0"/>
        <v>7</v>
      </c>
      <c r="T10" s="432"/>
      <c r="U10" s="197">
        <v>12</v>
      </c>
      <c r="V10" s="169">
        <v>1756.4999999999993</v>
      </c>
      <c r="W10" s="195">
        <v>146.37499999999994</v>
      </c>
      <c r="X10" s="197">
        <f t="shared" si="1"/>
        <v>6</v>
      </c>
      <c r="Y10" s="432"/>
      <c r="Z10" s="197">
        <v>12</v>
      </c>
      <c r="AA10" s="169">
        <v>1954.2857142857124</v>
      </c>
      <c r="AB10" s="195">
        <v>162.85714285714269</v>
      </c>
      <c r="AC10" s="197">
        <f t="shared" si="2"/>
        <v>4</v>
      </c>
      <c r="AD10" s="432"/>
      <c r="AE10" s="197">
        <v>12</v>
      </c>
      <c r="AF10" s="169">
        <v>1774.2857142857124</v>
      </c>
      <c r="AG10" s="195">
        <v>147.85714285714269</v>
      </c>
      <c r="AH10" s="197">
        <f t="shared" si="3"/>
        <v>4</v>
      </c>
      <c r="AI10" s="432"/>
      <c r="AJ10" s="197">
        <v>12</v>
      </c>
      <c r="AK10" s="169">
        <v>1839.4285714285695</v>
      </c>
      <c r="AL10" s="195">
        <v>153.28571428571414</v>
      </c>
      <c r="AM10" s="197">
        <f t="shared" si="4"/>
        <v>4</v>
      </c>
      <c r="AN10" s="432"/>
      <c r="AO10" s="197">
        <v>12</v>
      </c>
      <c r="AP10" s="169">
        <v>1736.000000000003</v>
      </c>
      <c r="AQ10" s="195">
        <v>144.66666666666691</v>
      </c>
      <c r="AR10" s="197">
        <f t="shared" si="5"/>
        <v>6</v>
      </c>
      <c r="AS10" s="411"/>
      <c r="AT10" s="197">
        <v>12</v>
      </c>
      <c r="AU10" s="169">
        <v>1873.4999999999993</v>
      </c>
      <c r="AV10" s="195">
        <v>156.12499999999994</v>
      </c>
      <c r="AW10" s="197">
        <f t="shared" si="6"/>
        <v>4</v>
      </c>
      <c r="AX10" s="411"/>
    </row>
    <row r="11" spans="1:50">
      <c r="A11" s="79"/>
      <c r="B11" s="422"/>
      <c r="C11" s="197">
        <v>5</v>
      </c>
      <c r="D11" s="197" t="s">
        <v>252</v>
      </c>
      <c r="E11" s="197">
        <v>6</v>
      </c>
      <c r="F11" s="197">
        <v>1500</v>
      </c>
      <c r="G11" s="197">
        <v>250</v>
      </c>
      <c r="H11" s="429"/>
      <c r="I11" s="169">
        <f t="shared" si="7"/>
        <v>5</v>
      </c>
      <c r="J11" s="169">
        <f t="shared" si="7"/>
        <v>1472.7467532467526</v>
      </c>
      <c r="K11" s="195">
        <f t="shared" si="7"/>
        <v>294.54935064935052</v>
      </c>
      <c r="L11" s="429"/>
      <c r="M11" s="196">
        <f>RANK(K11, K$7:$K$21)</f>
        <v>3</v>
      </c>
      <c r="N11" s="423"/>
      <c r="O11" s="423"/>
      <c r="P11" s="197">
        <v>5</v>
      </c>
      <c r="Q11" s="169">
        <v>1433.6842105263147</v>
      </c>
      <c r="R11" s="195">
        <v>286.73684210526295</v>
      </c>
      <c r="S11" s="197">
        <f t="shared" si="0"/>
        <v>2</v>
      </c>
      <c r="T11" s="432"/>
      <c r="U11" s="197">
        <v>5</v>
      </c>
      <c r="V11" s="169">
        <v>1503.1578947368409</v>
      </c>
      <c r="W11" s="195">
        <v>300.63157894736821</v>
      </c>
      <c r="X11" s="197">
        <f t="shared" si="1"/>
        <v>1</v>
      </c>
      <c r="Y11" s="432"/>
      <c r="Z11" s="197">
        <v>5</v>
      </c>
      <c r="AA11" s="169">
        <v>1448.9999999999995</v>
      </c>
      <c r="AB11" s="195">
        <v>289.7999999999999</v>
      </c>
      <c r="AC11" s="197">
        <f t="shared" si="2"/>
        <v>3</v>
      </c>
      <c r="AD11" s="432"/>
      <c r="AE11" s="197">
        <v>5</v>
      </c>
      <c r="AF11" s="169">
        <v>1485.0000000000018</v>
      </c>
      <c r="AG11" s="195">
        <v>297.00000000000034</v>
      </c>
      <c r="AH11" s="197">
        <f t="shared" si="3"/>
        <v>2</v>
      </c>
      <c r="AI11" s="432"/>
      <c r="AJ11" s="197">
        <v>5</v>
      </c>
      <c r="AK11" s="169">
        <v>1492.4999999999982</v>
      </c>
      <c r="AL11" s="195">
        <v>298.49999999999966</v>
      </c>
      <c r="AM11" s="197">
        <f t="shared" si="4"/>
        <v>1</v>
      </c>
      <c r="AN11" s="432"/>
      <c r="AO11" s="197">
        <v>5</v>
      </c>
      <c r="AP11" s="169">
        <v>1442.7272727272727</v>
      </c>
      <c r="AQ11" s="195">
        <v>288.54545454545456</v>
      </c>
      <c r="AR11" s="197">
        <f t="shared" si="5"/>
        <v>3</v>
      </c>
      <c r="AS11" s="411"/>
      <c r="AT11" s="197">
        <v>5</v>
      </c>
      <c r="AU11" s="169">
        <v>1503.1578947368409</v>
      </c>
      <c r="AV11" s="195">
        <v>300.63157894736821</v>
      </c>
      <c r="AW11" s="197">
        <f t="shared" si="6"/>
        <v>1</v>
      </c>
      <c r="AX11" s="411"/>
    </row>
    <row r="12" spans="1:50">
      <c r="A12" s="79"/>
      <c r="B12" s="422"/>
      <c r="C12" s="197">
        <v>6</v>
      </c>
      <c r="D12" s="197" t="s">
        <v>253</v>
      </c>
      <c r="E12" s="197">
        <v>5</v>
      </c>
      <c r="F12" s="197">
        <v>1500</v>
      </c>
      <c r="G12" s="197">
        <v>300</v>
      </c>
      <c r="H12" s="429"/>
      <c r="I12" s="169">
        <f t="shared" si="7"/>
        <v>5</v>
      </c>
      <c r="J12" s="169">
        <f t="shared" si="7"/>
        <v>1477.7566854327945</v>
      </c>
      <c r="K12" s="195">
        <f t="shared" si="7"/>
        <v>295.55133708655887</v>
      </c>
      <c r="L12" s="429"/>
      <c r="M12" s="196">
        <f>RANK(K12, K$7:$K$21)</f>
        <v>2</v>
      </c>
      <c r="N12" s="423"/>
      <c r="O12" s="423"/>
      <c r="P12" s="197">
        <v>5</v>
      </c>
      <c r="Q12" s="169">
        <v>1491.7241379310356</v>
      </c>
      <c r="R12" s="195">
        <v>298.34482758620709</v>
      </c>
      <c r="S12" s="197">
        <f t="shared" si="0"/>
        <v>1</v>
      </c>
      <c r="T12" s="432"/>
      <c r="U12" s="197">
        <v>5</v>
      </c>
      <c r="V12" s="169">
        <v>1475.1724137931026</v>
      </c>
      <c r="W12" s="195">
        <v>295.03448275862053</v>
      </c>
      <c r="X12" s="197">
        <f t="shared" si="1"/>
        <v>2</v>
      </c>
      <c r="Y12" s="432"/>
      <c r="Z12" s="197">
        <v>5</v>
      </c>
      <c r="AA12" s="169">
        <v>1467.857142857144</v>
      </c>
      <c r="AB12" s="195">
        <v>293.57142857142878</v>
      </c>
      <c r="AC12" s="197">
        <f t="shared" si="2"/>
        <v>1</v>
      </c>
      <c r="AD12" s="432"/>
      <c r="AE12" s="197">
        <v>5</v>
      </c>
      <c r="AF12" s="169">
        <v>1452.000000000003</v>
      </c>
      <c r="AG12" s="195">
        <v>290.4000000000006</v>
      </c>
      <c r="AH12" s="197">
        <f t="shared" si="3"/>
        <v>3</v>
      </c>
      <c r="AI12" s="432"/>
      <c r="AJ12" s="197">
        <v>5</v>
      </c>
      <c r="AK12" s="169">
        <v>1489.9999999999977</v>
      </c>
      <c r="AL12" s="195">
        <v>297.99999999999955</v>
      </c>
      <c r="AM12" s="197">
        <f t="shared" si="4"/>
        <v>2</v>
      </c>
      <c r="AN12" s="432"/>
      <c r="AO12" s="197">
        <v>5</v>
      </c>
      <c r="AP12" s="169">
        <v>1473.7500000000018</v>
      </c>
      <c r="AQ12" s="195">
        <v>294.75000000000034</v>
      </c>
      <c r="AR12" s="197">
        <f t="shared" si="5"/>
        <v>1</v>
      </c>
      <c r="AS12" s="411"/>
      <c r="AT12" s="197">
        <v>5</v>
      </c>
      <c r="AU12" s="169">
        <v>1493.793103448277</v>
      </c>
      <c r="AV12" s="195">
        <v>298.7586206896554</v>
      </c>
      <c r="AW12" s="197">
        <f t="shared" si="6"/>
        <v>2</v>
      </c>
      <c r="AX12" s="411"/>
    </row>
    <row r="13" spans="1:50">
      <c r="A13" s="79"/>
      <c r="B13" s="422"/>
      <c r="C13" s="197">
        <v>7</v>
      </c>
      <c r="D13" s="197" t="s">
        <v>254</v>
      </c>
      <c r="E13" s="197">
        <v>5</v>
      </c>
      <c r="F13" s="197">
        <v>1500</v>
      </c>
      <c r="G13" s="197">
        <v>300</v>
      </c>
      <c r="H13" s="429"/>
      <c r="I13" s="169">
        <f t="shared" si="7"/>
        <v>5</v>
      </c>
      <c r="J13" s="169">
        <f t="shared" si="7"/>
        <v>1507.9666048237475</v>
      </c>
      <c r="K13" s="195">
        <f t="shared" si="7"/>
        <v>301.59332096474952</v>
      </c>
      <c r="L13" s="429"/>
      <c r="M13" s="196">
        <f>RANK(K13, K$7:$K$21)</f>
        <v>1</v>
      </c>
      <c r="N13" s="423"/>
      <c r="O13" s="423"/>
      <c r="P13" s="197">
        <v>5</v>
      </c>
      <c r="Q13" s="169">
        <v>1425.0000000000005</v>
      </c>
      <c r="R13" s="195">
        <v>285.00000000000011</v>
      </c>
      <c r="S13" s="197">
        <f t="shared" si="0"/>
        <v>3</v>
      </c>
      <c r="T13" s="432"/>
      <c r="U13" s="197">
        <v>5</v>
      </c>
      <c r="V13" s="169">
        <v>1439.9999999999955</v>
      </c>
      <c r="W13" s="195">
        <v>287.99999999999909</v>
      </c>
      <c r="X13" s="197">
        <f t="shared" si="1"/>
        <v>3</v>
      </c>
      <c r="Y13" s="432"/>
      <c r="Z13" s="197">
        <v>5</v>
      </c>
      <c r="AA13" s="169">
        <v>1450.909090909091</v>
      </c>
      <c r="AB13" s="195">
        <v>290.18181818181819</v>
      </c>
      <c r="AC13" s="197">
        <f t="shared" si="2"/>
        <v>2</v>
      </c>
      <c r="AD13" s="432"/>
      <c r="AE13" s="197">
        <v>5</v>
      </c>
      <c r="AF13" s="169">
        <v>1950.0000000000068</v>
      </c>
      <c r="AG13" s="195">
        <v>390.00000000000136</v>
      </c>
      <c r="AH13" s="197">
        <f t="shared" si="3"/>
        <v>1</v>
      </c>
      <c r="AI13" s="432"/>
      <c r="AJ13" s="197">
        <v>5</v>
      </c>
      <c r="AK13" s="169">
        <v>1391.9999999999995</v>
      </c>
      <c r="AL13" s="195">
        <v>278.39999999999992</v>
      </c>
      <c r="AM13" s="197">
        <f t="shared" si="4"/>
        <v>3</v>
      </c>
      <c r="AN13" s="432"/>
      <c r="AO13" s="197">
        <v>5</v>
      </c>
      <c r="AP13" s="169">
        <v>1452.8571428571397</v>
      </c>
      <c r="AQ13" s="195">
        <v>290.57142857142793</v>
      </c>
      <c r="AR13" s="197">
        <f t="shared" si="5"/>
        <v>2</v>
      </c>
      <c r="AS13" s="411"/>
      <c r="AT13" s="197">
        <v>5</v>
      </c>
      <c r="AU13" s="169">
        <v>1445.0000000000005</v>
      </c>
      <c r="AV13" s="195">
        <v>289.00000000000011</v>
      </c>
      <c r="AW13" s="197">
        <f t="shared" si="6"/>
        <v>3</v>
      </c>
      <c r="AX13" s="411"/>
    </row>
    <row r="14" spans="1:50">
      <c r="A14" s="79"/>
      <c r="B14" s="422"/>
      <c r="C14" s="197">
        <v>8</v>
      </c>
      <c r="D14" s="197" t="s">
        <v>255</v>
      </c>
      <c r="E14" s="197">
        <v>10</v>
      </c>
      <c r="F14" s="197">
        <v>1500</v>
      </c>
      <c r="G14" s="197">
        <v>150</v>
      </c>
      <c r="H14" s="429"/>
      <c r="I14" s="169">
        <f t="shared" ref="I14" si="8">AVERAGE(P14,U14,Z14,AE14,AJ14,AO14,AT14)</f>
        <v>10</v>
      </c>
      <c r="J14" s="169">
        <f t="shared" ref="J14" si="9">AVERAGE(Q14,V14,AA14,AF14,AK14,AP14,AU14)</f>
        <v>1495.9460539460545</v>
      </c>
      <c r="K14" s="195">
        <f t="shared" ref="K14" si="10">AVERAGE(R14,W14,AB14,AG14,AL14,AQ14,AV14)</f>
        <v>149.59460539460545</v>
      </c>
      <c r="L14" s="429"/>
      <c r="M14" s="196">
        <f>RANK(K14, K$7:$K$21)</f>
        <v>6</v>
      </c>
      <c r="N14" s="423"/>
      <c r="O14" s="423"/>
      <c r="P14" s="197">
        <v>10</v>
      </c>
      <c r="Q14" s="169">
        <v>1518.8571428571431</v>
      </c>
      <c r="R14" s="195">
        <v>151.8857142857143</v>
      </c>
      <c r="S14" s="197">
        <f t="shared" si="0"/>
        <v>6</v>
      </c>
      <c r="T14" s="432"/>
      <c r="U14" s="197">
        <v>10</v>
      </c>
      <c r="V14" s="169">
        <v>1487.1428571428576</v>
      </c>
      <c r="W14" s="195">
        <v>148.71428571428575</v>
      </c>
      <c r="X14" s="197">
        <f t="shared" si="1"/>
        <v>5</v>
      </c>
      <c r="Y14" s="432"/>
      <c r="Z14" s="197">
        <v>10</v>
      </c>
      <c r="AA14" s="169">
        <v>1524.9230769230808</v>
      </c>
      <c r="AB14" s="195">
        <v>152.49230769230809</v>
      </c>
      <c r="AC14" s="197">
        <f t="shared" si="2"/>
        <v>6</v>
      </c>
      <c r="AD14" s="432"/>
      <c r="AE14" s="197">
        <v>10</v>
      </c>
      <c r="AF14" s="169">
        <v>1468.3636363636372</v>
      </c>
      <c r="AG14" s="195">
        <v>146.83636363636373</v>
      </c>
      <c r="AH14" s="197">
        <f t="shared" si="3"/>
        <v>5</v>
      </c>
      <c r="AI14" s="432"/>
      <c r="AJ14" s="197">
        <v>10</v>
      </c>
      <c r="AK14" s="169">
        <v>1449.8181818181808</v>
      </c>
      <c r="AL14" s="195">
        <v>144.98181818181808</v>
      </c>
      <c r="AM14" s="197">
        <f t="shared" si="4"/>
        <v>5</v>
      </c>
      <c r="AN14" s="432"/>
      <c r="AO14" s="197">
        <v>10</v>
      </c>
      <c r="AP14" s="169">
        <v>1526.5714285714271</v>
      </c>
      <c r="AQ14" s="195">
        <v>152.6571428571427</v>
      </c>
      <c r="AR14" s="197">
        <f t="shared" si="5"/>
        <v>4</v>
      </c>
      <c r="AS14" s="411"/>
      <c r="AT14" s="197"/>
      <c r="AU14" s="169"/>
      <c r="AV14" s="195"/>
      <c r="AW14" s="197" t="e">
        <f t="shared" si="6"/>
        <v>#N/A</v>
      </c>
      <c r="AX14" s="411"/>
    </row>
    <row r="15" spans="1:50">
      <c r="A15" s="79"/>
      <c r="B15" s="422"/>
      <c r="C15" s="197">
        <v>9</v>
      </c>
      <c r="D15" s="197"/>
      <c r="E15" s="197"/>
      <c r="F15" s="197"/>
      <c r="G15" s="197"/>
      <c r="H15" s="429"/>
      <c r="I15" s="169"/>
      <c r="J15" s="169"/>
      <c r="K15" s="195"/>
      <c r="L15" s="429"/>
      <c r="M15" s="196" t="e">
        <f>RANK(K15, K$7:$K$21)</f>
        <v>#N/A</v>
      </c>
      <c r="N15" s="423"/>
      <c r="O15" s="423"/>
      <c r="P15" s="197"/>
      <c r="Q15" s="169"/>
      <c r="R15" s="195"/>
      <c r="S15" s="197" t="e">
        <f t="shared" si="0"/>
        <v>#N/A</v>
      </c>
      <c r="T15" s="432"/>
      <c r="U15" s="197"/>
      <c r="V15" s="169"/>
      <c r="W15" s="195"/>
      <c r="X15" s="197" t="e">
        <f t="shared" si="1"/>
        <v>#N/A</v>
      </c>
      <c r="Y15" s="432"/>
      <c r="Z15" s="197"/>
      <c r="AA15" s="169"/>
      <c r="AB15" s="195"/>
      <c r="AC15" s="197" t="e">
        <f t="shared" si="2"/>
        <v>#N/A</v>
      </c>
      <c r="AD15" s="432"/>
      <c r="AE15" s="197"/>
      <c r="AF15" s="169"/>
      <c r="AG15" s="195"/>
      <c r="AH15" s="197" t="e">
        <f t="shared" si="3"/>
        <v>#N/A</v>
      </c>
      <c r="AI15" s="432"/>
      <c r="AJ15" s="197"/>
      <c r="AK15" s="169"/>
      <c r="AL15" s="195"/>
      <c r="AM15" s="197" t="e">
        <f t="shared" si="4"/>
        <v>#N/A</v>
      </c>
      <c r="AN15" s="432"/>
      <c r="AO15" s="197"/>
      <c r="AP15" s="169"/>
      <c r="AQ15" s="195"/>
      <c r="AR15" s="197" t="e">
        <f t="shared" si="5"/>
        <v>#N/A</v>
      </c>
      <c r="AS15" s="411"/>
      <c r="AT15" s="197"/>
      <c r="AU15" s="169"/>
      <c r="AV15" s="195"/>
      <c r="AW15" s="197" t="e">
        <f t="shared" si="6"/>
        <v>#N/A</v>
      </c>
      <c r="AX15" s="411"/>
    </row>
    <row r="16" spans="1:50">
      <c r="A16" s="79"/>
      <c r="B16" s="422"/>
      <c r="C16" s="197">
        <v>10</v>
      </c>
      <c r="D16" s="197"/>
      <c r="E16" s="197"/>
      <c r="F16" s="197"/>
      <c r="G16" s="197"/>
      <c r="H16" s="429"/>
      <c r="I16" s="169"/>
      <c r="J16" s="169"/>
      <c r="K16" s="195"/>
      <c r="L16" s="429"/>
      <c r="M16" s="196" t="e">
        <f>RANK(K16, K$7:$K$21)</f>
        <v>#N/A</v>
      </c>
      <c r="N16" s="423"/>
      <c r="O16" s="423"/>
      <c r="P16" s="197"/>
      <c r="Q16" s="169"/>
      <c r="R16" s="195"/>
      <c r="S16" s="197" t="e">
        <f t="shared" si="0"/>
        <v>#N/A</v>
      </c>
      <c r="T16" s="432"/>
      <c r="U16" s="197"/>
      <c r="V16" s="169"/>
      <c r="W16" s="195"/>
      <c r="X16" s="197" t="e">
        <f t="shared" si="1"/>
        <v>#N/A</v>
      </c>
      <c r="Y16" s="432"/>
      <c r="Z16" s="197"/>
      <c r="AA16" s="169"/>
      <c r="AB16" s="195"/>
      <c r="AC16" s="197" t="e">
        <f t="shared" si="2"/>
        <v>#N/A</v>
      </c>
      <c r="AD16" s="432"/>
      <c r="AE16" s="197"/>
      <c r="AF16" s="169"/>
      <c r="AG16" s="195"/>
      <c r="AH16" s="197" t="e">
        <f t="shared" si="3"/>
        <v>#N/A</v>
      </c>
      <c r="AI16" s="432"/>
      <c r="AJ16" s="197"/>
      <c r="AK16" s="169"/>
      <c r="AL16" s="195"/>
      <c r="AM16" s="197" t="e">
        <f t="shared" si="4"/>
        <v>#N/A</v>
      </c>
      <c r="AN16" s="432"/>
      <c r="AO16" s="197"/>
      <c r="AP16" s="169"/>
      <c r="AQ16" s="195"/>
      <c r="AR16" s="197" t="e">
        <f t="shared" si="5"/>
        <v>#N/A</v>
      </c>
      <c r="AS16" s="411"/>
      <c r="AT16" s="197"/>
      <c r="AU16" s="169"/>
      <c r="AV16" s="195"/>
      <c r="AW16" s="197" t="e">
        <f t="shared" si="6"/>
        <v>#N/A</v>
      </c>
      <c r="AX16" s="411"/>
    </row>
    <row r="17" spans="2:50">
      <c r="B17" s="422"/>
      <c r="C17" s="197">
        <v>11</v>
      </c>
      <c r="D17" s="197"/>
      <c r="E17" s="197"/>
      <c r="F17" s="197"/>
      <c r="G17" s="197"/>
      <c r="H17" s="429"/>
      <c r="I17" s="197"/>
      <c r="J17" s="197"/>
      <c r="K17" s="197"/>
      <c r="L17" s="429"/>
      <c r="M17" s="196" t="e">
        <f>RANK(K17, K$7:$K$21)</f>
        <v>#N/A</v>
      </c>
      <c r="N17" s="423"/>
      <c r="O17" s="423"/>
      <c r="P17" s="197"/>
      <c r="Q17" s="197"/>
      <c r="R17" s="197"/>
      <c r="S17" s="197" t="e">
        <f t="shared" si="0"/>
        <v>#N/A</v>
      </c>
      <c r="T17" s="432"/>
      <c r="U17" s="197"/>
      <c r="V17" s="197"/>
      <c r="W17" s="197"/>
      <c r="X17" s="197" t="e">
        <f t="shared" si="1"/>
        <v>#N/A</v>
      </c>
      <c r="Y17" s="432"/>
      <c r="Z17" s="197"/>
      <c r="AA17" s="197"/>
      <c r="AB17" s="197"/>
      <c r="AC17" s="197" t="e">
        <f t="shared" si="2"/>
        <v>#N/A</v>
      </c>
      <c r="AD17" s="432"/>
      <c r="AE17" s="197"/>
      <c r="AF17" s="197"/>
      <c r="AG17" s="197"/>
      <c r="AH17" s="197" t="e">
        <f t="shared" si="3"/>
        <v>#N/A</v>
      </c>
      <c r="AI17" s="432"/>
      <c r="AJ17" s="197"/>
      <c r="AK17" s="197"/>
      <c r="AL17" s="197"/>
      <c r="AM17" s="197" t="e">
        <f t="shared" si="4"/>
        <v>#N/A</v>
      </c>
      <c r="AN17" s="432"/>
      <c r="AO17" s="197"/>
      <c r="AP17" s="197"/>
      <c r="AQ17" s="197"/>
      <c r="AR17" s="197" t="e">
        <f t="shared" si="5"/>
        <v>#N/A</v>
      </c>
      <c r="AS17" s="411"/>
      <c r="AT17" s="197"/>
      <c r="AU17" s="197"/>
      <c r="AV17" s="197"/>
      <c r="AW17" s="197" t="e">
        <f t="shared" si="6"/>
        <v>#N/A</v>
      </c>
      <c r="AX17" s="411"/>
    </row>
    <row r="18" spans="2:50">
      <c r="B18" s="422"/>
      <c r="C18" s="197">
        <v>12</v>
      </c>
      <c r="D18" s="197"/>
      <c r="E18" s="197"/>
      <c r="F18" s="197"/>
      <c r="G18" s="197"/>
      <c r="H18" s="429"/>
      <c r="I18" s="197"/>
      <c r="J18" s="197"/>
      <c r="K18" s="197"/>
      <c r="L18" s="429"/>
      <c r="M18" s="196" t="e">
        <f>RANK(K18, K$7:$K$21)</f>
        <v>#N/A</v>
      </c>
      <c r="N18" s="423"/>
      <c r="O18" s="423"/>
      <c r="P18" s="197"/>
      <c r="Q18" s="197"/>
      <c r="R18" s="197"/>
      <c r="S18" s="197" t="e">
        <f t="shared" si="0"/>
        <v>#N/A</v>
      </c>
      <c r="T18" s="432"/>
      <c r="U18" s="197"/>
      <c r="V18" s="197"/>
      <c r="W18" s="197"/>
      <c r="X18" s="197" t="e">
        <f t="shared" si="1"/>
        <v>#N/A</v>
      </c>
      <c r="Y18" s="432"/>
      <c r="Z18" s="197"/>
      <c r="AA18" s="197"/>
      <c r="AB18" s="197"/>
      <c r="AC18" s="197" t="e">
        <f t="shared" si="2"/>
        <v>#N/A</v>
      </c>
      <c r="AD18" s="432"/>
      <c r="AE18" s="197"/>
      <c r="AF18" s="197"/>
      <c r="AG18" s="197"/>
      <c r="AH18" s="197" t="e">
        <f t="shared" si="3"/>
        <v>#N/A</v>
      </c>
      <c r="AI18" s="432"/>
      <c r="AJ18" s="197"/>
      <c r="AK18" s="197"/>
      <c r="AL18" s="197"/>
      <c r="AM18" s="197" t="e">
        <f t="shared" si="4"/>
        <v>#N/A</v>
      </c>
      <c r="AN18" s="432"/>
      <c r="AO18" s="197"/>
      <c r="AP18" s="197"/>
      <c r="AQ18" s="197"/>
      <c r="AR18" s="197" t="e">
        <f t="shared" si="5"/>
        <v>#N/A</v>
      </c>
      <c r="AS18" s="411"/>
      <c r="AT18" s="197"/>
      <c r="AU18" s="197"/>
      <c r="AV18" s="197"/>
      <c r="AW18" s="197" t="e">
        <f t="shared" si="6"/>
        <v>#N/A</v>
      </c>
      <c r="AX18" s="411"/>
    </row>
    <row r="19" spans="2:50">
      <c r="B19" s="422"/>
      <c r="C19" s="197">
        <v>13</v>
      </c>
      <c r="D19" s="197"/>
      <c r="E19" s="197"/>
      <c r="F19" s="197"/>
      <c r="G19" s="197"/>
      <c r="H19" s="429"/>
      <c r="I19" s="197"/>
      <c r="J19" s="197"/>
      <c r="K19" s="197"/>
      <c r="L19" s="429"/>
      <c r="M19" s="196" t="e">
        <f>RANK(K19, K$7:$K$21)</f>
        <v>#N/A</v>
      </c>
      <c r="N19" s="423"/>
      <c r="O19" s="423"/>
      <c r="P19" s="197"/>
      <c r="Q19" s="197"/>
      <c r="R19" s="197"/>
      <c r="S19" s="197" t="e">
        <f t="shared" si="0"/>
        <v>#N/A</v>
      </c>
      <c r="T19" s="432"/>
      <c r="U19" s="197"/>
      <c r="V19" s="197"/>
      <c r="W19" s="197"/>
      <c r="X19" s="197" t="e">
        <f t="shared" si="1"/>
        <v>#N/A</v>
      </c>
      <c r="Y19" s="432"/>
      <c r="Z19" s="197"/>
      <c r="AA19" s="197"/>
      <c r="AB19" s="197"/>
      <c r="AC19" s="197" t="e">
        <f t="shared" si="2"/>
        <v>#N/A</v>
      </c>
      <c r="AD19" s="432"/>
      <c r="AE19" s="197"/>
      <c r="AF19" s="197"/>
      <c r="AG19" s="197"/>
      <c r="AH19" s="197" t="e">
        <f t="shared" si="3"/>
        <v>#N/A</v>
      </c>
      <c r="AI19" s="432"/>
      <c r="AJ19" s="197"/>
      <c r="AK19" s="197"/>
      <c r="AL19" s="197"/>
      <c r="AM19" s="197" t="e">
        <f t="shared" si="4"/>
        <v>#N/A</v>
      </c>
      <c r="AN19" s="432"/>
      <c r="AO19" s="197"/>
      <c r="AP19" s="197"/>
      <c r="AQ19" s="197"/>
      <c r="AR19" s="197" t="e">
        <f t="shared" si="5"/>
        <v>#N/A</v>
      </c>
      <c r="AS19" s="411"/>
      <c r="AT19" s="197"/>
      <c r="AU19" s="197"/>
      <c r="AV19" s="197"/>
      <c r="AW19" s="197" t="e">
        <f t="shared" si="6"/>
        <v>#N/A</v>
      </c>
      <c r="AX19" s="411"/>
    </row>
    <row r="20" spans="2:50">
      <c r="B20" s="422"/>
      <c r="C20" s="197">
        <v>14</v>
      </c>
      <c r="D20" s="197"/>
      <c r="E20" s="197"/>
      <c r="F20" s="197"/>
      <c r="G20" s="197"/>
      <c r="H20" s="429"/>
      <c r="I20" s="197"/>
      <c r="J20" s="197"/>
      <c r="K20" s="197"/>
      <c r="L20" s="429"/>
      <c r="M20" s="196" t="e">
        <f>RANK(K20, K$7:$K$21)</f>
        <v>#N/A</v>
      </c>
      <c r="N20" s="423"/>
      <c r="O20" s="423"/>
      <c r="P20" s="197"/>
      <c r="Q20" s="197"/>
      <c r="R20" s="197"/>
      <c r="S20" s="197" t="e">
        <f t="shared" si="0"/>
        <v>#N/A</v>
      </c>
      <c r="T20" s="432"/>
      <c r="U20" s="197"/>
      <c r="V20" s="197"/>
      <c r="W20" s="197"/>
      <c r="X20" s="197" t="e">
        <f t="shared" si="1"/>
        <v>#N/A</v>
      </c>
      <c r="Y20" s="432"/>
      <c r="Z20" s="197"/>
      <c r="AA20" s="197"/>
      <c r="AB20" s="197"/>
      <c r="AC20" s="197" t="e">
        <f t="shared" si="2"/>
        <v>#N/A</v>
      </c>
      <c r="AD20" s="432"/>
      <c r="AE20" s="197"/>
      <c r="AF20" s="197"/>
      <c r="AG20" s="197"/>
      <c r="AH20" s="197" t="e">
        <f t="shared" si="3"/>
        <v>#N/A</v>
      </c>
      <c r="AI20" s="432"/>
      <c r="AJ20" s="197"/>
      <c r="AK20" s="197"/>
      <c r="AL20" s="197"/>
      <c r="AM20" s="197" t="e">
        <f t="shared" si="4"/>
        <v>#N/A</v>
      </c>
      <c r="AN20" s="432"/>
      <c r="AO20" s="197"/>
      <c r="AP20" s="197"/>
      <c r="AQ20" s="197"/>
      <c r="AR20" s="197" t="e">
        <f t="shared" si="5"/>
        <v>#N/A</v>
      </c>
      <c r="AS20" s="411"/>
      <c r="AT20" s="197"/>
      <c r="AU20" s="197"/>
      <c r="AV20" s="197"/>
      <c r="AW20" s="197" t="e">
        <f t="shared" si="6"/>
        <v>#N/A</v>
      </c>
      <c r="AX20" s="411"/>
    </row>
    <row r="21" spans="2:50">
      <c r="B21" s="422"/>
      <c r="C21" s="197">
        <v>15</v>
      </c>
      <c r="D21" s="197"/>
      <c r="E21" s="197"/>
      <c r="F21" s="197"/>
      <c r="G21" s="197"/>
      <c r="H21" s="430"/>
      <c r="I21" s="197"/>
      <c r="J21" s="197"/>
      <c r="K21" s="197"/>
      <c r="L21" s="430"/>
      <c r="M21" s="169" t="e">
        <f>RANK(K21, K$7:$K$21)</f>
        <v>#N/A</v>
      </c>
      <c r="N21" s="423"/>
      <c r="O21" s="423"/>
      <c r="P21" s="197"/>
      <c r="Q21" s="197"/>
      <c r="R21" s="197"/>
      <c r="S21" s="197" t="e">
        <f t="shared" si="0"/>
        <v>#N/A</v>
      </c>
      <c r="T21" s="432"/>
      <c r="U21" s="197"/>
      <c r="V21" s="197"/>
      <c r="W21" s="197"/>
      <c r="X21" s="197" t="e">
        <f t="shared" si="1"/>
        <v>#N/A</v>
      </c>
      <c r="Y21" s="432"/>
      <c r="Z21" s="197"/>
      <c r="AA21" s="197"/>
      <c r="AB21" s="197"/>
      <c r="AC21" s="197" t="e">
        <f t="shared" si="2"/>
        <v>#N/A</v>
      </c>
      <c r="AD21" s="432"/>
      <c r="AE21" s="197"/>
      <c r="AF21" s="197"/>
      <c r="AG21" s="197"/>
      <c r="AH21" s="197" t="e">
        <f t="shared" si="3"/>
        <v>#N/A</v>
      </c>
      <c r="AI21" s="432"/>
      <c r="AJ21" s="197"/>
      <c r="AK21" s="197"/>
      <c r="AL21" s="197"/>
      <c r="AM21" s="197" t="e">
        <f t="shared" si="4"/>
        <v>#N/A</v>
      </c>
      <c r="AN21" s="432"/>
      <c r="AO21" s="197"/>
      <c r="AP21" s="197"/>
      <c r="AQ21" s="197"/>
      <c r="AR21" s="197" t="e">
        <f t="shared" si="5"/>
        <v>#N/A</v>
      </c>
      <c r="AS21" s="412"/>
      <c r="AT21" s="197"/>
      <c r="AU21" s="197"/>
      <c r="AV21" s="197"/>
      <c r="AW21" s="197" t="e">
        <f t="shared" si="6"/>
        <v>#N/A</v>
      </c>
      <c r="AX21" s="412"/>
    </row>
    <row r="22" spans="2:50" ht="15.75">
      <c r="B22" s="424" t="s">
        <v>202</v>
      </c>
      <c r="C22" s="425"/>
      <c r="D22" s="425"/>
      <c r="E22" s="425"/>
      <c r="F22" s="425"/>
      <c r="G22" s="425"/>
      <c r="H22" s="425"/>
      <c r="I22" s="198"/>
      <c r="J22" s="198"/>
      <c r="K22" s="198"/>
      <c r="L22" s="198"/>
      <c r="M22" s="193"/>
      <c r="N22" s="401" t="s">
        <v>203</v>
      </c>
      <c r="O22" s="401" t="s">
        <v>150</v>
      </c>
      <c r="P22" s="419">
        <f>AT2+1</f>
        <v>45902</v>
      </c>
      <c r="Q22" s="420"/>
      <c r="R22" s="420"/>
      <c r="S22" s="420"/>
      <c r="T22" s="420"/>
      <c r="U22" s="421">
        <f>P22+1</f>
        <v>45903</v>
      </c>
      <c r="V22" s="422"/>
      <c r="W22" s="422"/>
      <c r="X22" s="422"/>
      <c r="Y22" s="422"/>
      <c r="Z22" s="421">
        <f>U22+1</f>
        <v>45904</v>
      </c>
      <c r="AA22" s="422"/>
      <c r="AB22" s="422"/>
      <c r="AC22" s="422"/>
      <c r="AD22" s="422"/>
      <c r="AE22" s="421">
        <f>Z22+1</f>
        <v>45905</v>
      </c>
      <c r="AF22" s="422"/>
      <c r="AG22" s="422"/>
      <c r="AH22" s="422"/>
      <c r="AI22" s="422"/>
      <c r="AJ22" s="421">
        <f>AE22+1</f>
        <v>45906</v>
      </c>
      <c r="AK22" s="422"/>
      <c r="AL22" s="422"/>
      <c r="AM22" s="422"/>
      <c r="AN22" s="422"/>
      <c r="AO22" s="421">
        <f>AJ22+1</f>
        <v>45907</v>
      </c>
      <c r="AP22" s="422"/>
      <c r="AQ22" s="422"/>
      <c r="AR22" s="422"/>
      <c r="AS22" s="422"/>
      <c r="AT22" s="421">
        <f>AO22+1</f>
        <v>45908</v>
      </c>
      <c r="AU22" s="422"/>
      <c r="AV22" s="422"/>
      <c r="AW22" s="422"/>
      <c r="AX22" s="422"/>
    </row>
    <row r="23" spans="2:50" ht="15.75">
      <c r="B23" s="426"/>
      <c r="C23" s="426"/>
      <c r="D23" s="426"/>
      <c r="E23" s="426"/>
      <c r="F23" s="426"/>
      <c r="G23" s="426"/>
      <c r="H23" s="426"/>
      <c r="I23" s="199"/>
      <c r="J23" s="199"/>
      <c r="K23" s="199"/>
      <c r="L23" s="199"/>
      <c r="M23" s="194"/>
      <c r="N23" s="403"/>
      <c r="O23" s="403"/>
      <c r="P23" s="421" t="s">
        <v>204</v>
      </c>
      <c r="Q23" s="422"/>
      <c r="R23" s="422"/>
      <c r="S23" s="422"/>
      <c r="T23" s="422"/>
      <c r="U23" s="421" t="s">
        <v>205</v>
      </c>
      <c r="V23" s="422"/>
      <c r="W23" s="422"/>
      <c r="X23" s="422"/>
      <c r="Y23" s="422"/>
      <c r="Z23" s="421" t="s">
        <v>206</v>
      </c>
      <c r="AA23" s="422"/>
      <c r="AB23" s="422"/>
      <c r="AC23" s="422"/>
      <c r="AD23" s="422"/>
      <c r="AE23" s="421" t="s">
        <v>207</v>
      </c>
      <c r="AF23" s="422"/>
      <c r="AG23" s="422"/>
      <c r="AH23" s="422"/>
      <c r="AI23" s="422"/>
      <c r="AJ23" s="421" t="s">
        <v>208</v>
      </c>
      <c r="AK23" s="422"/>
      <c r="AL23" s="422"/>
      <c r="AM23" s="422"/>
      <c r="AN23" s="422"/>
      <c r="AO23" s="421" t="s">
        <v>157</v>
      </c>
      <c r="AP23" s="422"/>
      <c r="AQ23" s="422"/>
      <c r="AR23" s="422"/>
      <c r="AS23" s="422"/>
      <c r="AT23" s="421" t="s">
        <v>209</v>
      </c>
      <c r="AU23" s="422"/>
      <c r="AV23" s="422"/>
      <c r="AW23" s="422"/>
      <c r="AX23" s="422"/>
    </row>
    <row r="24" spans="2:50">
      <c r="B24" s="423" t="s">
        <v>210</v>
      </c>
      <c r="C24" s="423" t="s">
        <v>211</v>
      </c>
      <c r="D24" s="423"/>
      <c r="E24" s="423" t="s">
        <v>212</v>
      </c>
      <c r="F24" s="423"/>
      <c r="G24" s="423"/>
      <c r="H24" s="404" t="s">
        <v>213</v>
      </c>
      <c r="I24" s="423" t="s">
        <v>214</v>
      </c>
      <c r="J24" s="423"/>
      <c r="K24" s="423"/>
      <c r="L24" s="404" t="s">
        <v>213</v>
      </c>
      <c r="M24" s="401" t="s">
        <v>215</v>
      </c>
      <c r="N24" s="423"/>
      <c r="O24" s="423" t="s">
        <v>216</v>
      </c>
      <c r="P24" s="413" t="s">
        <v>217</v>
      </c>
      <c r="Q24" s="414"/>
      <c r="R24" s="414"/>
      <c r="S24" s="415"/>
      <c r="T24" s="423" t="s">
        <v>213</v>
      </c>
      <c r="U24" s="413" t="s">
        <v>217</v>
      </c>
      <c r="V24" s="414"/>
      <c r="W24" s="414"/>
      <c r="X24" s="415"/>
      <c r="Y24" s="423" t="s">
        <v>213</v>
      </c>
      <c r="Z24" s="413" t="s">
        <v>217</v>
      </c>
      <c r="AA24" s="414"/>
      <c r="AB24" s="414"/>
      <c r="AC24" s="415"/>
      <c r="AD24" s="423" t="s">
        <v>213</v>
      </c>
      <c r="AE24" s="413" t="s">
        <v>217</v>
      </c>
      <c r="AF24" s="414"/>
      <c r="AG24" s="414"/>
      <c r="AH24" s="415"/>
      <c r="AI24" s="423" t="s">
        <v>213</v>
      </c>
      <c r="AJ24" s="413" t="s">
        <v>217</v>
      </c>
      <c r="AK24" s="414"/>
      <c r="AL24" s="414"/>
      <c r="AM24" s="415"/>
      <c r="AN24" s="423" t="s">
        <v>213</v>
      </c>
      <c r="AO24" s="413" t="s">
        <v>217</v>
      </c>
      <c r="AP24" s="414"/>
      <c r="AQ24" s="414"/>
      <c r="AR24" s="415"/>
      <c r="AS24" s="423" t="s">
        <v>213</v>
      </c>
      <c r="AT24" s="413" t="s">
        <v>217</v>
      </c>
      <c r="AU24" s="414"/>
      <c r="AV24" s="414"/>
      <c r="AW24" s="415"/>
      <c r="AX24" s="423" t="s">
        <v>213</v>
      </c>
    </row>
    <row r="25" spans="2:50">
      <c r="B25" s="423"/>
      <c r="C25" s="423"/>
      <c r="D25" s="423"/>
      <c r="E25" s="423" t="s">
        <v>218</v>
      </c>
      <c r="F25" s="423"/>
      <c r="G25" s="423"/>
      <c r="H25" s="406"/>
      <c r="I25" s="423" t="s">
        <v>218</v>
      </c>
      <c r="J25" s="423"/>
      <c r="K25" s="423"/>
      <c r="L25" s="406"/>
      <c r="M25" s="402"/>
      <c r="N25" s="423"/>
      <c r="O25" s="423"/>
      <c r="P25" s="413" t="s">
        <v>219</v>
      </c>
      <c r="Q25" s="414"/>
      <c r="R25" s="414"/>
      <c r="S25" s="415"/>
      <c r="T25" s="423"/>
      <c r="U25" s="413" t="s">
        <v>219</v>
      </c>
      <c r="V25" s="414"/>
      <c r="W25" s="414"/>
      <c r="X25" s="415"/>
      <c r="Y25" s="423"/>
      <c r="Z25" s="413" t="s">
        <v>219</v>
      </c>
      <c r="AA25" s="414"/>
      <c r="AB25" s="414"/>
      <c r="AC25" s="415"/>
      <c r="AD25" s="423"/>
      <c r="AE25" s="413" t="s">
        <v>219</v>
      </c>
      <c r="AF25" s="414"/>
      <c r="AG25" s="414"/>
      <c r="AH25" s="415"/>
      <c r="AI25" s="423"/>
      <c r="AJ25" s="413" t="s">
        <v>219</v>
      </c>
      <c r="AK25" s="414"/>
      <c r="AL25" s="414"/>
      <c r="AM25" s="415"/>
      <c r="AN25" s="423"/>
      <c r="AO25" s="413" t="s">
        <v>219</v>
      </c>
      <c r="AP25" s="414"/>
      <c r="AQ25" s="414"/>
      <c r="AR25" s="415"/>
      <c r="AS25" s="423"/>
      <c r="AT25" s="413" t="s">
        <v>219</v>
      </c>
      <c r="AU25" s="414"/>
      <c r="AV25" s="414"/>
      <c r="AW25" s="415"/>
      <c r="AX25" s="423"/>
    </row>
    <row r="26" spans="2:50">
      <c r="B26" s="423"/>
      <c r="C26" s="423"/>
      <c r="D26" s="423"/>
      <c r="E26" s="297" t="s">
        <v>220</v>
      </c>
      <c r="F26" s="297" t="s">
        <v>221</v>
      </c>
      <c r="G26" s="297" t="s">
        <v>222</v>
      </c>
      <c r="H26" s="408"/>
      <c r="I26" s="297" t="s">
        <v>220</v>
      </c>
      <c r="J26" s="297" t="s">
        <v>221</v>
      </c>
      <c r="K26" s="297" t="s">
        <v>222</v>
      </c>
      <c r="L26" s="408"/>
      <c r="M26" s="403"/>
      <c r="N26" s="423"/>
      <c r="O26" s="423"/>
      <c r="P26" s="297" t="s">
        <v>220</v>
      </c>
      <c r="Q26" s="297" t="s">
        <v>221</v>
      </c>
      <c r="R26" s="297" t="s">
        <v>222</v>
      </c>
      <c r="S26" s="297" t="s">
        <v>215</v>
      </c>
      <c r="T26" s="423"/>
      <c r="U26" s="297" t="s">
        <v>220</v>
      </c>
      <c r="V26" s="297" t="s">
        <v>221</v>
      </c>
      <c r="W26" s="297" t="s">
        <v>222</v>
      </c>
      <c r="X26" s="297" t="s">
        <v>215</v>
      </c>
      <c r="Y26" s="423"/>
      <c r="Z26" s="297" t="s">
        <v>220</v>
      </c>
      <c r="AA26" s="297" t="s">
        <v>221</v>
      </c>
      <c r="AB26" s="297" t="s">
        <v>222</v>
      </c>
      <c r="AC26" s="297" t="s">
        <v>215</v>
      </c>
      <c r="AD26" s="423"/>
      <c r="AE26" s="297" t="s">
        <v>220</v>
      </c>
      <c r="AF26" s="297" t="s">
        <v>221</v>
      </c>
      <c r="AG26" s="297" t="s">
        <v>222</v>
      </c>
      <c r="AH26" s="297" t="s">
        <v>215</v>
      </c>
      <c r="AI26" s="423"/>
      <c r="AJ26" s="297" t="s">
        <v>220</v>
      </c>
      <c r="AK26" s="297" t="s">
        <v>221</v>
      </c>
      <c r="AL26" s="297" t="s">
        <v>222</v>
      </c>
      <c r="AM26" s="297" t="s">
        <v>215</v>
      </c>
      <c r="AN26" s="423"/>
      <c r="AO26" s="297" t="s">
        <v>220</v>
      </c>
      <c r="AP26" s="297" t="s">
        <v>221</v>
      </c>
      <c r="AQ26" s="297" t="s">
        <v>222</v>
      </c>
      <c r="AR26" s="297" t="s">
        <v>215</v>
      </c>
      <c r="AS26" s="423"/>
      <c r="AT26" s="297" t="s">
        <v>220</v>
      </c>
      <c r="AU26" s="297" t="s">
        <v>221</v>
      </c>
      <c r="AV26" s="297" t="s">
        <v>222</v>
      </c>
      <c r="AW26" s="297" t="s">
        <v>215</v>
      </c>
      <c r="AX26" s="423"/>
    </row>
    <row r="27" spans="2:50">
      <c r="B27" s="431" t="s">
        <v>247</v>
      </c>
      <c r="C27" s="197">
        <v>1</v>
      </c>
      <c r="D27" s="197" t="s">
        <v>248</v>
      </c>
      <c r="E27" s="197">
        <v>13</v>
      </c>
      <c r="F27" s="197">
        <v>1286.4000000000003</v>
      </c>
      <c r="G27" s="169">
        <v>98.953846153846172</v>
      </c>
      <c r="H27" s="428">
        <f>AVERAGE(G27:G41)</f>
        <v>196.72798076923081</v>
      </c>
      <c r="I27" s="169">
        <f>AVERAGE(P27,U27,Z27,AE27,AJ27,AO27,AT27)</f>
        <v>13</v>
      </c>
      <c r="J27" s="169">
        <f>AVERAGE(Q27,V27,AA27,AF27,AK27,AP27,AU27)</f>
        <v>1286.4000000000003</v>
      </c>
      <c r="K27" s="195">
        <f>AVERAGE(R27,W27,AB27,AG27,AL27,AQ27,AV27)</f>
        <v>98.953846153846172</v>
      </c>
      <c r="L27" s="428">
        <f>IFERROR(AVERAGE(K27:K41),"-")</f>
        <v>195.31050160830449</v>
      </c>
      <c r="M27" s="196">
        <f>RANK(K27, K$27:$K$41)</f>
        <v>8</v>
      </c>
      <c r="N27" s="423"/>
      <c r="O27" s="423"/>
      <c r="P27" s="197">
        <v>13</v>
      </c>
      <c r="Q27" s="169">
        <v>1286.4000000000003</v>
      </c>
      <c r="R27" s="195">
        <v>98.953846153846172</v>
      </c>
      <c r="S27" s="197">
        <f t="shared" ref="S27:S41" si="11">RANK(R27, R$27:R$41)</f>
        <v>8</v>
      </c>
      <c r="T27" s="432">
        <f>AVERAGE(R27:R41)</f>
        <v>196.72798076923081</v>
      </c>
      <c r="U27" s="197"/>
      <c r="V27" s="169"/>
      <c r="W27" s="195"/>
      <c r="X27" s="197" t="e">
        <f t="shared" ref="X27:X41" si="12">RANK(W27, W$27:W$41)</f>
        <v>#N/A</v>
      </c>
      <c r="Y27" s="432">
        <f>AVERAGE(W27:W41)</f>
        <v>212.59081349958205</v>
      </c>
      <c r="Z27" s="197"/>
      <c r="AA27" s="169"/>
      <c r="AB27" s="195"/>
      <c r="AC27" s="197" t="e">
        <f t="shared" ref="AC27:AC41" si="13">RANK(AB27, AB$27:AB$41)</f>
        <v>#N/A</v>
      </c>
      <c r="AD27" s="432">
        <f>AVERAGE(AB27:AB41)</f>
        <v>211.72951707296551</v>
      </c>
      <c r="AE27" s="197"/>
      <c r="AF27" s="169"/>
      <c r="AG27" s="195"/>
      <c r="AH27" s="197" t="e">
        <f t="shared" ref="AH27:AH41" si="14">RANK(AG27, AG$27:AG$41)</f>
        <v>#N/A</v>
      </c>
      <c r="AI27" s="432">
        <f>AVERAGE(AG27:AG41)</f>
        <v>197.15053724053766</v>
      </c>
      <c r="AJ27" s="197"/>
      <c r="AK27" s="169"/>
      <c r="AL27" s="195"/>
      <c r="AM27" s="197" t="e">
        <f t="shared" ref="AM27:AM41" si="15">RANK(AL27, AL$27:AL$41)</f>
        <v>#N/A</v>
      </c>
      <c r="AN27" s="432">
        <f>AVERAGE(AL27:AL41)</f>
        <v>209.86735308170071</v>
      </c>
      <c r="AO27" s="197"/>
      <c r="AP27" s="169"/>
      <c r="AQ27" s="195"/>
      <c r="AR27" s="197" t="e">
        <f t="shared" ref="AR27:AR41" si="16">RANK(AQ27, AQ$27:AQ$41)</f>
        <v>#N/A</v>
      </c>
      <c r="AS27" s="410">
        <f>AVERAGE(AQ27:AQ41)</f>
        <v>212.18077804548403</v>
      </c>
      <c r="AT27" s="197"/>
      <c r="AU27" s="169"/>
      <c r="AV27" s="195"/>
      <c r="AW27" s="197" t="e">
        <f t="shared" ref="AW27:AW41" si="17">RANK(AV27, AV$27:AV$41)</f>
        <v>#N/A</v>
      </c>
      <c r="AX27" s="410">
        <f>AVERAGE(AV27:AV41)</f>
        <v>209.31545348660552</v>
      </c>
    </row>
    <row r="28" spans="2:50">
      <c r="B28" s="422"/>
      <c r="C28" s="197">
        <v>2</v>
      </c>
      <c r="D28" s="197" t="s">
        <v>249</v>
      </c>
      <c r="E28" s="197">
        <v>10</v>
      </c>
      <c r="F28" s="197">
        <v>1447.4999999999995</v>
      </c>
      <c r="G28" s="169">
        <v>144.74999999999994</v>
      </c>
      <c r="H28" s="429"/>
      <c r="I28" s="169">
        <f t="shared" ref="I28:I33" si="18">AVERAGE(P28,U28,Z28,AE28,AJ28,AO28,AT28)</f>
        <v>12.571428571428571</v>
      </c>
      <c r="J28" s="169">
        <f t="shared" ref="J28:J33" si="19">AVERAGE(Q28,V28,AA28,AF28,AK28,AP28,AU28)</f>
        <v>1456.5714285714294</v>
      </c>
      <c r="K28" s="195">
        <f t="shared" ref="K28:K33" si="20">AVERAGE(R28,W28,AB28,AG28,AL28,AQ28,AV28)</f>
        <v>116.81593406593413</v>
      </c>
      <c r="L28" s="429"/>
      <c r="M28" s="196">
        <f>RANK(K28, K$27:$K$41)</f>
        <v>7</v>
      </c>
      <c r="N28" s="423"/>
      <c r="O28" s="423"/>
      <c r="P28" s="197">
        <v>10</v>
      </c>
      <c r="Q28" s="169">
        <v>1447.4999999999995</v>
      </c>
      <c r="R28" s="195">
        <v>144.74999999999994</v>
      </c>
      <c r="S28" s="197">
        <f t="shared" si="11"/>
        <v>7</v>
      </c>
      <c r="T28" s="432"/>
      <c r="U28" s="197">
        <v>13</v>
      </c>
      <c r="V28" s="169">
        <v>1394.9999999999966</v>
      </c>
      <c r="W28" s="195">
        <v>107.30769230769205</v>
      </c>
      <c r="X28" s="197">
        <f t="shared" si="12"/>
        <v>7</v>
      </c>
      <c r="Y28" s="432"/>
      <c r="Z28" s="197">
        <v>13</v>
      </c>
      <c r="AA28" s="169">
        <v>1356.0000000000023</v>
      </c>
      <c r="AB28" s="195">
        <v>104.30769230769248</v>
      </c>
      <c r="AC28" s="197">
        <f t="shared" si="13"/>
        <v>7</v>
      </c>
      <c r="AD28" s="432"/>
      <c r="AE28" s="197">
        <v>13</v>
      </c>
      <c r="AF28" s="169">
        <v>1514.0000000000014</v>
      </c>
      <c r="AG28" s="195">
        <v>116.46153846153857</v>
      </c>
      <c r="AH28" s="197">
        <f t="shared" si="14"/>
        <v>7</v>
      </c>
      <c r="AI28" s="432"/>
      <c r="AJ28" s="197">
        <v>13</v>
      </c>
      <c r="AK28" s="169">
        <v>1542.0000000000014</v>
      </c>
      <c r="AL28" s="195">
        <v>118.61538461538473</v>
      </c>
      <c r="AM28" s="197">
        <f t="shared" si="15"/>
        <v>7</v>
      </c>
      <c r="AN28" s="432"/>
      <c r="AO28" s="197">
        <v>13</v>
      </c>
      <c r="AP28" s="169">
        <v>1531.5000000000025</v>
      </c>
      <c r="AQ28" s="195">
        <v>117.80769230769251</v>
      </c>
      <c r="AR28" s="197">
        <f t="shared" si="16"/>
        <v>7</v>
      </c>
      <c r="AS28" s="411"/>
      <c r="AT28" s="197">
        <v>13</v>
      </c>
      <c r="AU28" s="169">
        <v>1410.0000000000023</v>
      </c>
      <c r="AV28" s="195">
        <v>108.46153846153864</v>
      </c>
      <c r="AW28" s="197">
        <f t="shared" si="17"/>
        <v>7</v>
      </c>
      <c r="AX28" s="411"/>
    </row>
    <row r="29" spans="2:50">
      <c r="B29" s="422"/>
      <c r="C29" s="197">
        <v>3</v>
      </c>
      <c r="D29" s="197" t="s">
        <v>250</v>
      </c>
      <c r="E29" s="197">
        <v>12</v>
      </c>
      <c r="F29" s="197">
        <v>1857.3333333333333</v>
      </c>
      <c r="G29" s="169">
        <v>154.77777777777777</v>
      </c>
      <c r="H29" s="429"/>
      <c r="I29" s="169">
        <f t="shared" si="18"/>
        <v>10.285714285714286</v>
      </c>
      <c r="J29" s="169">
        <f t="shared" si="19"/>
        <v>1753.2047619047628</v>
      </c>
      <c r="K29" s="195">
        <f t="shared" si="20"/>
        <v>170.89825396825401</v>
      </c>
      <c r="L29" s="429"/>
      <c r="M29" s="196">
        <f>RANK(K29, K$27:$K$41)</f>
        <v>4</v>
      </c>
      <c r="N29" s="423"/>
      <c r="O29" s="423"/>
      <c r="P29" s="197">
        <v>12</v>
      </c>
      <c r="Q29" s="169">
        <v>1857.3333333333333</v>
      </c>
      <c r="R29" s="195">
        <v>154.77777777777777</v>
      </c>
      <c r="S29" s="197">
        <f t="shared" si="11"/>
        <v>4</v>
      </c>
      <c r="T29" s="432"/>
      <c r="U29" s="197">
        <v>10</v>
      </c>
      <c r="V29" s="169">
        <v>1804.7999999999977</v>
      </c>
      <c r="W29" s="195">
        <v>180.47999999999976</v>
      </c>
      <c r="X29" s="197">
        <f t="shared" si="12"/>
        <v>4</v>
      </c>
      <c r="Y29" s="432"/>
      <c r="Z29" s="197">
        <v>10</v>
      </c>
      <c r="AA29" s="169">
        <v>1807.2000000000037</v>
      </c>
      <c r="AB29" s="195">
        <v>180.72000000000037</v>
      </c>
      <c r="AC29" s="197">
        <f t="shared" si="13"/>
        <v>4</v>
      </c>
      <c r="AD29" s="432"/>
      <c r="AE29" s="197">
        <v>10</v>
      </c>
      <c r="AF29" s="169">
        <v>1422.0000000000027</v>
      </c>
      <c r="AG29" s="195">
        <v>142.20000000000027</v>
      </c>
      <c r="AH29" s="197">
        <f t="shared" si="14"/>
        <v>4</v>
      </c>
      <c r="AI29" s="432"/>
      <c r="AJ29" s="197">
        <v>10</v>
      </c>
      <c r="AK29" s="169">
        <v>1735.4999999999957</v>
      </c>
      <c r="AL29" s="195">
        <v>173.54999999999956</v>
      </c>
      <c r="AM29" s="197">
        <f t="shared" si="15"/>
        <v>4</v>
      </c>
      <c r="AN29" s="432"/>
      <c r="AO29" s="197">
        <v>10</v>
      </c>
      <c r="AP29" s="169">
        <v>1776.0000000000011</v>
      </c>
      <c r="AQ29" s="195">
        <v>177.60000000000011</v>
      </c>
      <c r="AR29" s="197">
        <f t="shared" si="16"/>
        <v>4</v>
      </c>
      <c r="AS29" s="411"/>
      <c r="AT29" s="197">
        <v>10</v>
      </c>
      <c r="AU29" s="169">
        <v>1869.6000000000035</v>
      </c>
      <c r="AV29" s="195">
        <v>186.96000000000035</v>
      </c>
      <c r="AW29" s="197">
        <f t="shared" si="17"/>
        <v>4</v>
      </c>
      <c r="AX29" s="411"/>
    </row>
    <row r="30" spans="2:50">
      <c r="B30" s="422"/>
      <c r="C30" s="197">
        <v>4</v>
      </c>
      <c r="D30" s="197" t="s">
        <v>251</v>
      </c>
      <c r="E30" s="197">
        <v>12</v>
      </c>
      <c r="F30" s="197">
        <v>1850.6666666666667</v>
      </c>
      <c r="G30" s="169">
        <v>154.22222222222223</v>
      </c>
      <c r="H30" s="429"/>
      <c r="I30" s="169">
        <f t="shared" si="18"/>
        <v>12</v>
      </c>
      <c r="J30" s="169">
        <f t="shared" si="19"/>
        <v>1807.3333333333328</v>
      </c>
      <c r="K30" s="195">
        <f t="shared" si="20"/>
        <v>150.61111111111106</v>
      </c>
      <c r="L30" s="429"/>
      <c r="M30" s="196">
        <f>RANK(K30, K$27:$K$41)</f>
        <v>5</v>
      </c>
      <c r="N30" s="423"/>
      <c r="O30" s="423"/>
      <c r="P30" s="197">
        <v>12</v>
      </c>
      <c r="Q30" s="169">
        <v>1850.6666666666667</v>
      </c>
      <c r="R30" s="195">
        <v>154.22222222222223</v>
      </c>
      <c r="S30" s="197">
        <f t="shared" si="11"/>
        <v>5</v>
      </c>
      <c r="T30" s="432"/>
      <c r="U30" s="197">
        <v>12</v>
      </c>
      <c r="V30" s="169">
        <v>1942.6666666666667</v>
      </c>
      <c r="W30" s="195">
        <v>161.88888888888889</v>
      </c>
      <c r="X30" s="197">
        <f t="shared" si="12"/>
        <v>5</v>
      </c>
      <c r="Y30" s="432"/>
      <c r="Z30" s="197">
        <v>12</v>
      </c>
      <c r="AA30" s="169">
        <v>1889.3333333333333</v>
      </c>
      <c r="AB30" s="195">
        <v>157.44444444444443</v>
      </c>
      <c r="AC30" s="197">
        <f t="shared" si="13"/>
        <v>5</v>
      </c>
      <c r="AD30" s="432"/>
      <c r="AE30" s="197">
        <v>12</v>
      </c>
      <c r="AF30" s="169">
        <v>1454.6666666666665</v>
      </c>
      <c r="AG30" s="195">
        <v>121.22222222222221</v>
      </c>
      <c r="AH30" s="197">
        <f t="shared" si="14"/>
        <v>6</v>
      </c>
      <c r="AI30" s="432"/>
      <c r="AJ30" s="197">
        <v>12</v>
      </c>
      <c r="AK30" s="169">
        <v>1835.9999999999982</v>
      </c>
      <c r="AL30" s="195">
        <v>152.99999999999986</v>
      </c>
      <c r="AM30" s="197">
        <f t="shared" si="15"/>
        <v>5</v>
      </c>
      <c r="AN30" s="432"/>
      <c r="AO30" s="197">
        <v>12</v>
      </c>
      <c r="AP30" s="169">
        <v>1891.1999999999975</v>
      </c>
      <c r="AQ30" s="195">
        <v>157.5999999999998</v>
      </c>
      <c r="AR30" s="197">
        <f t="shared" si="16"/>
        <v>5</v>
      </c>
      <c r="AS30" s="411"/>
      <c r="AT30" s="197">
        <v>12</v>
      </c>
      <c r="AU30" s="169">
        <v>1786.8000000000004</v>
      </c>
      <c r="AV30" s="195">
        <v>148.90000000000003</v>
      </c>
      <c r="AW30" s="197">
        <f t="shared" si="17"/>
        <v>6</v>
      </c>
      <c r="AX30" s="411"/>
    </row>
    <row r="31" spans="2:50">
      <c r="B31" s="422"/>
      <c r="C31" s="197">
        <v>5</v>
      </c>
      <c r="D31" s="197" t="s">
        <v>252</v>
      </c>
      <c r="E31" s="197">
        <v>5</v>
      </c>
      <c r="F31" s="197">
        <v>1460.9999999999995</v>
      </c>
      <c r="G31" s="169">
        <v>292.19999999999993</v>
      </c>
      <c r="H31" s="429"/>
      <c r="I31" s="169">
        <f t="shared" si="18"/>
        <v>5</v>
      </c>
      <c r="J31" s="169">
        <f t="shared" si="19"/>
        <v>1457.4030612244896</v>
      </c>
      <c r="K31" s="195">
        <f t="shared" si="20"/>
        <v>291.48061224489794</v>
      </c>
      <c r="L31" s="429"/>
      <c r="M31" s="196">
        <f>RANK(K31, K$27:$K$41)</f>
        <v>2</v>
      </c>
      <c r="N31" s="423"/>
      <c r="O31" s="423"/>
      <c r="P31" s="197">
        <v>5</v>
      </c>
      <c r="Q31" s="169">
        <v>1460.9999999999995</v>
      </c>
      <c r="R31" s="195">
        <v>292.19999999999993</v>
      </c>
      <c r="S31" s="197">
        <f t="shared" si="11"/>
        <v>2</v>
      </c>
      <c r="T31" s="432"/>
      <c r="U31" s="197">
        <v>5</v>
      </c>
      <c r="V31" s="169">
        <v>1487.9999999999993</v>
      </c>
      <c r="W31" s="195">
        <v>297.59999999999985</v>
      </c>
      <c r="X31" s="197">
        <f t="shared" si="12"/>
        <v>3</v>
      </c>
      <c r="Y31" s="432"/>
      <c r="Z31" s="197">
        <v>5</v>
      </c>
      <c r="AA31" s="169">
        <v>1477.1428571428567</v>
      </c>
      <c r="AB31" s="195">
        <v>295.42857142857133</v>
      </c>
      <c r="AC31" s="197">
        <f t="shared" si="13"/>
        <v>2</v>
      </c>
      <c r="AD31" s="432"/>
      <c r="AE31" s="197">
        <v>5</v>
      </c>
      <c r="AF31" s="169">
        <v>1436.2500000000016</v>
      </c>
      <c r="AG31" s="195">
        <v>287.25000000000034</v>
      </c>
      <c r="AH31" s="197">
        <f t="shared" si="14"/>
        <v>2</v>
      </c>
      <c r="AI31" s="432"/>
      <c r="AJ31" s="197">
        <v>5</v>
      </c>
      <c r="AK31" s="169">
        <v>1448.0000000000014</v>
      </c>
      <c r="AL31" s="195">
        <v>289.60000000000025</v>
      </c>
      <c r="AM31" s="197">
        <f t="shared" si="15"/>
        <v>3</v>
      </c>
      <c r="AN31" s="432"/>
      <c r="AO31" s="197">
        <v>5</v>
      </c>
      <c r="AP31" s="169">
        <v>1439.9999999999977</v>
      </c>
      <c r="AQ31" s="195">
        <v>287.99999999999955</v>
      </c>
      <c r="AR31" s="197">
        <f t="shared" si="16"/>
        <v>2</v>
      </c>
      <c r="AS31" s="411"/>
      <c r="AT31" s="197">
        <v>5</v>
      </c>
      <c r="AU31" s="169">
        <v>1451.4285714285709</v>
      </c>
      <c r="AV31" s="195">
        <v>290.28571428571416</v>
      </c>
      <c r="AW31" s="197">
        <f t="shared" si="17"/>
        <v>2</v>
      </c>
      <c r="AX31" s="411"/>
    </row>
    <row r="32" spans="2:50">
      <c r="B32" s="422"/>
      <c r="C32" s="197">
        <v>6</v>
      </c>
      <c r="D32" s="197" t="s">
        <v>253</v>
      </c>
      <c r="E32" s="197">
        <v>5</v>
      </c>
      <c r="F32" s="197">
        <v>1504.0000000000014</v>
      </c>
      <c r="G32" s="169">
        <v>300.8000000000003</v>
      </c>
      <c r="H32" s="429"/>
      <c r="I32" s="169">
        <f t="shared" si="18"/>
        <v>5</v>
      </c>
      <c r="J32" s="169">
        <f t="shared" si="19"/>
        <v>1481.1622129865116</v>
      </c>
      <c r="K32" s="195">
        <f t="shared" si="20"/>
        <v>296.23244259730234</v>
      </c>
      <c r="L32" s="429"/>
      <c r="M32" s="196">
        <f>RANK(K32, K$27:$K$41)</f>
        <v>1</v>
      </c>
      <c r="N32" s="423"/>
      <c r="O32" s="423"/>
      <c r="P32" s="197">
        <v>5</v>
      </c>
      <c r="Q32" s="169">
        <v>1504.0000000000014</v>
      </c>
      <c r="R32" s="195">
        <v>300.8000000000003</v>
      </c>
      <c r="S32" s="197">
        <f t="shared" si="11"/>
        <v>1</v>
      </c>
      <c r="T32" s="432"/>
      <c r="U32" s="197">
        <v>5</v>
      </c>
      <c r="V32" s="169">
        <v>1491.7241379310337</v>
      </c>
      <c r="W32" s="195">
        <v>298.34482758620675</v>
      </c>
      <c r="X32" s="197">
        <f t="shared" si="12"/>
        <v>2</v>
      </c>
      <c r="Y32" s="432"/>
      <c r="Z32" s="197">
        <v>5</v>
      </c>
      <c r="AA32" s="169">
        <v>1475.1724137931046</v>
      </c>
      <c r="AB32" s="195">
        <v>295.03448275862092</v>
      </c>
      <c r="AC32" s="197">
        <f t="shared" si="13"/>
        <v>3</v>
      </c>
      <c r="AD32" s="432"/>
      <c r="AE32" s="197">
        <v>5</v>
      </c>
      <c r="AF32" s="169">
        <v>1455.0000000000027</v>
      </c>
      <c r="AG32" s="195">
        <v>291.00000000000057</v>
      </c>
      <c r="AH32" s="197">
        <f t="shared" si="14"/>
        <v>1</v>
      </c>
      <c r="AI32" s="432"/>
      <c r="AJ32" s="197">
        <v>5</v>
      </c>
      <c r="AK32" s="169">
        <v>1479.1304347826115</v>
      </c>
      <c r="AL32" s="195">
        <v>295.82608695652232</v>
      </c>
      <c r="AM32" s="197">
        <f t="shared" si="15"/>
        <v>1</v>
      </c>
      <c r="AN32" s="432"/>
      <c r="AO32" s="197">
        <v>5</v>
      </c>
      <c r="AP32" s="169">
        <v>1501.818181818182</v>
      </c>
      <c r="AQ32" s="195">
        <v>300.36363636363637</v>
      </c>
      <c r="AR32" s="197">
        <f t="shared" si="16"/>
        <v>1</v>
      </c>
      <c r="AS32" s="411"/>
      <c r="AT32" s="197">
        <v>5</v>
      </c>
      <c r="AU32" s="169">
        <v>1461.2903225806444</v>
      </c>
      <c r="AV32" s="195">
        <v>292.25806451612891</v>
      </c>
      <c r="AW32" s="197">
        <f t="shared" si="17"/>
        <v>1</v>
      </c>
      <c r="AX32" s="411"/>
    </row>
    <row r="33" spans="2:50">
      <c r="B33" s="422"/>
      <c r="C33" s="197">
        <v>7</v>
      </c>
      <c r="D33" s="197" t="s">
        <v>254</v>
      </c>
      <c r="E33" s="197">
        <v>5</v>
      </c>
      <c r="F33" s="197">
        <v>1408.0000000000014</v>
      </c>
      <c r="G33" s="169">
        <v>281.60000000000025</v>
      </c>
      <c r="H33" s="429"/>
      <c r="I33" s="169">
        <f t="shared" si="18"/>
        <v>5</v>
      </c>
      <c r="J33" s="169">
        <f t="shared" si="19"/>
        <v>1449.3733493397369</v>
      </c>
      <c r="K33" s="195">
        <f t="shared" si="20"/>
        <v>289.87466986794732</v>
      </c>
      <c r="L33" s="429"/>
      <c r="M33" s="196">
        <f>RANK(K33, K$27:$K$41)</f>
        <v>3</v>
      </c>
      <c r="N33" s="423"/>
      <c r="O33" s="423"/>
      <c r="P33" s="197">
        <v>5</v>
      </c>
      <c r="Q33" s="169">
        <v>1408.0000000000014</v>
      </c>
      <c r="R33" s="195">
        <v>281.60000000000025</v>
      </c>
      <c r="S33" s="197">
        <f t="shared" si="11"/>
        <v>3</v>
      </c>
      <c r="T33" s="432"/>
      <c r="U33" s="197">
        <v>5</v>
      </c>
      <c r="V33" s="169">
        <v>1508.5714285714339</v>
      </c>
      <c r="W33" s="195">
        <v>301.7142857142868</v>
      </c>
      <c r="X33" s="197">
        <f t="shared" si="12"/>
        <v>1</v>
      </c>
      <c r="Y33" s="432"/>
      <c r="Z33" s="197">
        <v>5</v>
      </c>
      <c r="AA33" s="169">
        <v>1482.857142857144</v>
      </c>
      <c r="AB33" s="195">
        <v>296.57142857142878</v>
      </c>
      <c r="AC33" s="197">
        <f t="shared" si="13"/>
        <v>1</v>
      </c>
      <c r="AD33" s="432"/>
      <c r="AE33" s="197">
        <v>5</v>
      </c>
      <c r="AF33" s="169">
        <v>1404.000000000005</v>
      </c>
      <c r="AG33" s="195">
        <v>280.80000000000098</v>
      </c>
      <c r="AH33" s="197">
        <f t="shared" si="14"/>
        <v>3</v>
      </c>
      <c r="AI33" s="432"/>
      <c r="AJ33" s="197">
        <v>5</v>
      </c>
      <c r="AK33" s="169">
        <v>1469.9999999999907</v>
      </c>
      <c r="AL33" s="195">
        <v>293.99999999999812</v>
      </c>
      <c r="AM33" s="197">
        <f t="shared" si="15"/>
        <v>2</v>
      </c>
      <c r="AN33" s="432"/>
      <c r="AO33" s="197">
        <v>5</v>
      </c>
      <c r="AP33" s="169">
        <v>1436.4705882352991</v>
      </c>
      <c r="AQ33" s="195">
        <v>287.29411764705981</v>
      </c>
      <c r="AR33" s="197">
        <f t="shared" si="16"/>
        <v>3</v>
      </c>
      <c r="AS33" s="411"/>
      <c r="AT33" s="197">
        <v>5</v>
      </c>
      <c r="AU33" s="169">
        <v>1435.7142857142826</v>
      </c>
      <c r="AV33" s="195">
        <v>287.14285714285654</v>
      </c>
      <c r="AW33" s="197">
        <f t="shared" si="17"/>
        <v>3</v>
      </c>
      <c r="AX33" s="411"/>
    </row>
    <row r="34" spans="2:50">
      <c r="B34" s="422"/>
      <c r="C34" s="197">
        <v>8</v>
      </c>
      <c r="D34" s="197" t="s">
        <v>255</v>
      </c>
      <c r="E34" s="197">
        <v>10</v>
      </c>
      <c r="F34" s="197">
        <v>1465.1999999999982</v>
      </c>
      <c r="G34" s="169">
        <v>146.51999999999981</v>
      </c>
      <c r="H34" s="429"/>
      <c r="I34" s="169">
        <f t="shared" ref="I34" si="21">AVERAGE(P34,U34,Z34,AE34,AJ34,AO34,AT34)</f>
        <v>10</v>
      </c>
      <c r="J34" s="169">
        <f t="shared" ref="J34" si="22">AVERAGE(Q34,V34,AA34,AF34,AK34,AP34,AU34)</f>
        <v>1476.1714285714299</v>
      </c>
      <c r="K34" s="195">
        <f t="shared" ref="K34" si="23">AVERAGE(R34,W34,AB34,AG34,AL34,AQ34,AV34)</f>
        <v>147.61714285714297</v>
      </c>
      <c r="L34" s="429"/>
      <c r="M34" s="196">
        <f>RANK(K34, K$27:$K$41)</f>
        <v>6</v>
      </c>
      <c r="N34" s="423"/>
      <c r="O34" s="423"/>
      <c r="P34" s="197">
        <v>10</v>
      </c>
      <c r="Q34" s="169">
        <v>1465.1999999999982</v>
      </c>
      <c r="R34" s="195">
        <v>146.51999999999981</v>
      </c>
      <c r="S34" s="197">
        <f t="shared" si="11"/>
        <v>6</v>
      </c>
      <c r="T34" s="432"/>
      <c r="U34" s="197">
        <v>10</v>
      </c>
      <c r="V34" s="169">
        <v>1408.0000000000025</v>
      </c>
      <c r="W34" s="195">
        <v>140.80000000000024</v>
      </c>
      <c r="X34" s="197">
        <f t="shared" si="12"/>
        <v>6</v>
      </c>
      <c r="Y34" s="432"/>
      <c r="Z34" s="197">
        <v>10</v>
      </c>
      <c r="AA34" s="169">
        <v>1526.0000000000016</v>
      </c>
      <c r="AB34" s="195">
        <v>152.60000000000016</v>
      </c>
      <c r="AC34" s="197">
        <f t="shared" si="13"/>
        <v>6</v>
      </c>
      <c r="AD34" s="432"/>
      <c r="AE34" s="197">
        <v>10</v>
      </c>
      <c r="AF34" s="169">
        <v>1411.200000000005</v>
      </c>
      <c r="AG34" s="195">
        <v>141.12000000000052</v>
      </c>
      <c r="AH34" s="197">
        <f t="shared" si="14"/>
        <v>5</v>
      </c>
      <c r="AI34" s="432"/>
      <c r="AJ34" s="197">
        <v>10</v>
      </c>
      <c r="AK34" s="169">
        <v>1444.8000000000004</v>
      </c>
      <c r="AL34" s="195">
        <v>144.48000000000005</v>
      </c>
      <c r="AM34" s="197">
        <f t="shared" si="15"/>
        <v>6</v>
      </c>
      <c r="AN34" s="432"/>
      <c r="AO34" s="197">
        <v>10</v>
      </c>
      <c r="AP34" s="169">
        <v>1566.0000000000016</v>
      </c>
      <c r="AQ34" s="195">
        <v>156.60000000000016</v>
      </c>
      <c r="AR34" s="197">
        <f t="shared" si="16"/>
        <v>6</v>
      </c>
      <c r="AS34" s="411"/>
      <c r="AT34" s="197">
        <v>10</v>
      </c>
      <c r="AU34" s="169">
        <v>1512.0000000000005</v>
      </c>
      <c r="AV34" s="195">
        <v>151.20000000000005</v>
      </c>
      <c r="AW34" s="197">
        <f t="shared" si="17"/>
        <v>5</v>
      </c>
      <c r="AX34" s="411"/>
    </row>
    <row r="35" spans="2:50">
      <c r="B35" s="422"/>
      <c r="C35" s="197">
        <v>9</v>
      </c>
      <c r="D35" s="197"/>
      <c r="E35" s="197"/>
      <c r="F35" s="197"/>
      <c r="G35" s="169"/>
      <c r="H35" s="429"/>
      <c r="I35" s="169"/>
      <c r="J35" s="169"/>
      <c r="K35" s="195"/>
      <c r="L35" s="429"/>
      <c r="M35" s="196" t="e">
        <f>RANK(K35, K$27:$K$41)</f>
        <v>#N/A</v>
      </c>
      <c r="N35" s="423"/>
      <c r="O35" s="423"/>
      <c r="P35" s="197"/>
      <c r="Q35" s="169"/>
      <c r="R35" s="195"/>
      <c r="S35" s="197" t="e">
        <f t="shared" si="11"/>
        <v>#N/A</v>
      </c>
      <c r="T35" s="432"/>
      <c r="U35" s="197"/>
      <c r="V35" s="169"/>
      <c r="W35" s="195"/>
      <c r="X35" s="197" t="e">
        <f t="shared" si="12"/>
        <v>#N/A</v>
      </c>
      <c r="Y35" s="432"/>
      <c r="Z35" s="197"/>
      <c r="AA35" s="169"/>
      <c r="AB35" s="195"/>
      <c r="AC35" s="197" t="e">
        <f t="shared" si="13"/>
        <v>#N/A</v>
      </c>
      <c r="AD35" s="432"/>
      <c r="AE35" s="197"/>
      <c r="AF35" s="169"/>
      <c r="AG35" s="195"/>
      <c r="AH35" s="197" t="e">
        <f t="shared" si="14"/>
        <v>#N/A</v>
      </c>
      <c r="AI35" s="432"/>
      <c r="AJ35" s="197"/>
      <c r="AK35" s="169"/>
      <c r="AL35" s="195"/>
      <c r="AM35" s="197" t="e">
        <f t="shared" si="15"/>
        <v>#N/A</v>
      </c>
      <c r="AN35" s="432"/>
      <c r="AO35" s="197"/>
      <c r="AP35" s="169"/>
      <c r="AQ35" s="195"/>
      <c r="AR35" s="197" t="e">
        <f t="shared" si="16"/>
        <v>#N/A</v>
      </c>
      <c r="AS35" s="411"/>
      <c r="AT35" s="197"/>
      <c r="AU35" s="169"/>
      <c r="AV35" s="195"/>
      <c r="AW35" s="197" t="e">
        <f t="shared" si="17"/>
        <v>#N/A</v>
      </c>
      <c r="AX35" s="411"/>
    </row>
    <row r="36" spans="2:50">
      <c r="B36" s="422"/>
      <c r="C36" s="197">
        <v>10</v>
      </c>
      <c r="D36" s="197"/>
      <c r="E36" s="197"/>
      <c r="F36" s="197"/>
      <c r="G36" s="169"/>
      <c r="H36" s="429"/>
      <c r="I36" s="169"/>
      <c r="J36" s="169"/>
      <c r="K36" s="195"/>
      <c r="L36" s="429"/>
      <c r="M36" s="196" t="e">
        <f>RANK(K36, K$27:$K$41)</f>
        <v>#N/A</v>
      </c>
      <c r="N36" s="423"/>
      <c r="O36" s="423"/>
      <c r="P36" s="197"/>
      <c r="Q36" s="169"/>
      <c r="R36" s="195"/>
      <c r="S36" s="197" t="e">
        <f t="shared" si="11"/>
        <v>#N/A</v>
      </c>
      <c r="T36" s="432"/>
      <c r="U36" s="197"/>
      <c r="V36" s="169"/>
      <c r="W36" s="195"/>
      <c r="X36" s="197" t="e">
        <f t="shared" si="12"/>
        <v>#N/A</v>
      </c>
      <c r="Y36" s="432"/>
      <c r="Z36" s="197"/>
      <c r="AA36" s="169"/>
      <c r="AB36" s="195"/>
      <c r="AC36" s="197" t="e">
        <f t="shared" si="13"/>
        <v>#N/A</v>
      </c>
      <c r="AD36" s="432"/>
      <c r="AE36" s="197"/>
      <c r="AF36" s="169"/>
      <c r="AG36" s="195"/>
      <c r="AH36" s="197" t="e">
        <f t="shared" si="14"/>
        <v>#N/A</v>
      </c>
      <c r="AI36" s="432"/>
      <c r="AJ36" s="197"/>
      <c r="AK36" s="169"/>
      <c r="AL36" s="195"/>
      <c r="AM36" s="197" t="e">
        <f t="shared" si="15"/>
        <v>#N/A</v>
      </c>
      <c r="AN36" s="432"/>
      <c r="AO36" s="197"/>
      <c r="AP36" s="169"/>
      <c r="AQ36" s="195"/>
      <c r="AR36" s="197" t="e">
        <f t="shared" si="16"/>
        <v>#N/A</v>
      </c>
      <c r="AS36" s="411"/>
      <c r="AT36" s="197"/>
      <c r="AU36" s="169"/>
      <c r="AV36" s="195"/>
      <c r="AW36" s="197" t="e">
        <f t="shared" si="17"/>
        <v>#N/A</v>
      </c>
      <c r="AX36" s="411"/>
    </row>
    <row r="37" spans="2:50">
      <c r="B37" s="422"/>
      <c r="C37" s="197">
        <v>11</v>
      </c>
      <c r="D37" s="197"/>
      <c r="E37" s="197"/>
      <c r="F37" s="197"/>
      <c r="G37" s="169"/>
      <c r="H37" s="429"/>
      <c r="I37" s="197"/>
      <c r="J37" s="197"/>
      <c r="K37" s="197"/>
      <c r="L37" s="429"/>
      <c r="M37" s="196" t="e">
        <f>RANK(K37, K$27:$K$41)</f>
        <v>#N/A</v>
      </c>
      <c r="N37" s="423"/>
      <c r="O37" s="423"/>
      <c r="P37" s="197"/>
      <c r="Q37" s="197"/>
      <c r="R37" s="197"/>
      <c r="S37" s="197" t="e">
        <f t="shared" si="11"/>
        <v>#N/A</v>
      </c>
      <c r="T37" s="432"/>
      <c r="U37" s="197"/>
      <c r="V37" s="197"/>
      <c r="W37" s="197"/>
      <c r="X37" s="197" t="e">
        <f t="shared" si="12"/>
        <v>#N/A</v>
      </c>
      <c r="Y37" s="432"/>
      <c r="Z37" s="197"/>
      <c r="AA37" s="197"/>
      <c r="AB37" s="197"/>
      <c r="AC37" s="197" t="e">
        <f t="shared" si="13"/>
        <v>#N/A</v>
      </c>
      <c r="AD37" s="432"/>
      <c r="AE37" s="197"/>
      <c r="AF37" s="197"/>
      <c r="AG37" s="197"/>
      <c r="AH37" s="197" t="e">
        <f t="shared" si="14"/>
        <v>#N/A</v>
      </c>
      <c r="AI37" s="432"/>
      <c r="AJ37" s="197"/>
      <c r="AK37" s="197"/>
      <c r="AL37" s="197"/>
      <c r="AM37" s="197" t="e">
        <f t="shared" si="15"/>
        <v>#N/A</v>
      </c>
      <c r="AN37" s="432"/>
      <c r="AO37" s="197"/>
      <c r="AP37" s="197"/>
      <c r="AQ37" s="197"/>
      <c r="AR37" s="197" t="e">
        <f t="shared" si="16"/>
        <v>#N/A</v>
      </c>
      <c r="AS37" s="411"/>
      <c r="AT37" s="197"/>
      <c r="AU37" s="197"/>
      <c r="AV37" s="197"/>
      <c r="AW37" s="197" t="e">
        <f t="shared" si="17"/>
        <v>#N/A</v>
      </c>
      <c r="AX37" s="411"/>
    </row>
    <row r="38" spans="2:50">
      <c r="B38" s="422"/>
      <c r="C38" s="197">
        <v>12</v>
      </c>
      <c r="D38" s="197"/>
      <c r="E38" s="197"/>
      <c r="F38" s="197"/>
      <c r="G38" s="169"/>
      <c r="H38" s="429"/>
      <c r="I38" s="197"/>
      <c r="J38" s="197"/>
      <c r="K38" s="197"/>
      <c r="L38" s="429"/>
      <c r="M38" s="196" t="e">
        <f>RANK(K38, K$27:$K$41)</f>
        <v>#N/A</v>
      </c>
      <c r="N38" s="423"/>
      <c r="O38" s="423"/>
      <c r="P38" s="197"/>
      <c r="Q38" s="197"/>
      <c r="R38" s="197"/>
      <c r="S38" s="197" t="e">
        <f t="shared" si="11"/>
        <v>#N/A</v>
      </c>
      <c r="T38" s="432"/>
      <c r="U38" s="197"/>
      <c r="V38" s="197"/>
      <c r="W38" s="197"/>
      <c r="X38" s="197" t="e">
        <f t="shared" si="12"/>
        <v>#N/A</v>
      </c>
      <c r="Y38" s="432"/>
      <c r="Z38" s="197"/>
      <c r="AA38" s="197"/>
      <c r="AB38" s="197"/>
      <c r="AC38" s="197" t="e">
        <f t="shared" si="13"/>
        <v>#N/A</v>
      </c>
      <c r="AD38" s="432"/>
      <c r="AE38" s="197"/>
      <c r="AF38" s="197"/>
      <c r="AG38" s="197"/>
      <c r="AH38" s="197" t="e">
        <f t="shared" si="14"/>
        <v>#N/A</v>
      </c>
      <c r="AI38" s="432"/>
      <c r="AJ38" s="197"/>
      <c r="AK38" s="197"/>
      <c r="AL38" s="197"/>
      <c r="AM38" s="197" t="e">
        <f t="shared" si="15"/>
        <v>#N/A</v>
      </c>
      <c r="AN38" s="432"/>
      <c r="AO38" s="197"/>
      <c r="AP38" s="197"/>
      <c r="AQ38" s="197"/>
      <c r="AR38" s="197" t="e">
        <f t="shared" si="16"/>
        <v>#N/A</v>
      </c>
      <c r="AS38" s="411"/>
      <c r="AT38" s="197"/>
      <c r="AU38" s="197"/>
      <c r="AV38" s="197"/>
      <c r="AW38" s="197" t="e">
        <f t="shared" si="17"/>
        <v>#N/A</v>
      </c>
      <c r="AX38" s="411"/>
    </row>
    <row r="39" spans="2:50">
      <c r="B39" s="422"/>
      <c r="C39" s="197">
        <v>13</v>
      </c>
      <c r="D39" s="197"/>
      <c r="E39" s="197"/>
      <c r="F39" s="197"/>
      <c r="G39" s="169"/>
      <c r="H39" s="429"/>
      <c r="I39" s="197"/>
      <c r="J39" s="197"/>
      <c r="K39" s="197"/>
      <c r="L39" s="429"/>
      <c r="M39" s="196" t="e">
        <f>RANK(K39, K$27:$K$41)</f>
        <v>#N/A</v>
      </c>
      <c r="N39" s="423"/>
      <c r="O39" s="423"/>
      <c r="P39" s="197"/>
      <c r="Q39" s="197"/>
      <c r="R39" s="197"/>
      <c r="S39" s="197" t="e">
        <f t="shared" si="11"/>
        <v>#N/A</v>
      </c>
      <c r="T39" s="432"/>
      <c r="U39" s="197"/>
      <c r="V39" s="197"/>
      <c r="W39" s="197"/>
      <c r="X39" s="197" t="e">
        <f t="shared" si="12"/>
        <v>#N/A</v>
      </c>
      <c r="Y39" s="432"/>
      <c r="Z39" s="197"/>
      <c r="AA39" s="197"/>
      <c r="AB39" s="197"/>
      <c r="AC39" s="197" t="e">
        <f t="shared" si="13"/>
        <v>#N/A</v>
      </c>
      <c r="AD39" s="432"/>
      <c r="AE39" s="197"/>
      <c r="AF39" s="197"/>
      <c r="AG39" s="197"/>
      <c r="AH39" s="197" t="e">
        <f t="shared" si="14"/>
        <v>#N/A</v>
      </c>
      <c r="AI39" s="432"/>
      <c r="AJ39" s="197"/>
      <c r="AK39" s="197"/>
      <c r="AL39" s="197"/>
      <c r="AM39" s="197" t="e">
        <f t="shared" si="15"/>
        <v>#N/A</v>
      </c>
      <c r="AN39" s="432"/>
      <c r="AO39" s="197"/>
      <c r="AP39" s="197"/>
      <c r="AQ39" s="197"/>
      <c r="AR39" s="197" t="e">
        <f t="shared" si="16"/>
        <v>#N/A</v>
      </c>
      <c r="AS39" s="411"/>
      <c r="AT39" s="197"/>
      <c r="AU39" s="197"/>
      <c r="AV39" s="197"/>
      <c r="AW39" s="197" t="e">
        <f t="shared" si="17"/>
        <v>#N/A</v>
      </c>
      <c r="AX39" s="411"/>
    </row>
    <row r="40" spans="2:50">
      <c r="B40" s="422"/>
      <c r="C40" s="197">
        <v>14</v>
      </c>
      <c r="D40" s="197"/>
      <c r="E40" s="197"/>
      <c r="F40" s="197"/>
      <c r="G40" s="169"/>
      <c r="H40" s="429"/>
      <c r="I40" s="197"/>
      <c r="J40" s="197"/>
      <c r="K40" s="197"/>
      <c r="L40" s="429"/>
      <c r="M40" s="196" t="e">
        <f>RANK(K40, K$27:$K$41)</f>
        <v>#N/A</v>
      </c>
      <c r="N40" s="423"/>
      <c r="O40" s="423"/>
      <c r="P40" s="197"/>
      <c r="Q40" s="197"/>
      <c r="R40" s="197"/>
      <c r="S40" s="197" t="e">
        <f t="shared" si="11"/>
        <v>#N/A</v>
      </c>
      <c r="T40" s="432"/>
      <c r="U40" s="197"/>
      <c r="V40" s="197"/>
      <c r="W40" s="197"/>
      <c r="X40" s="197" t="e">
        <f t="shared" si="12"/>
        <v>#N/A</v>
      </c>
      <c r="Y40" s="432"/>
      <c r="Z40" s="197"/>
      <c r="AA40" s="197"/>
      <c r="AB40" s="197"/>
      <c r="AC40" s="197" t="e">
        <f t="shared" si="13"/>
        <v>#N/A</v>
      </c>
      <c r="AD40" s="432"/>
      <c r="AE40" s="197"/>
      <c r="AF40" s="197"/>
      <c r="AG40" s="197"/>
      <c r="AH40" s="197" t="e">
        <f t="shared" si="14"/>
        <v>#N/A</v>
      </c>
      <c r="AI40" s="432"/>
      <c r="AJ40" s="197"/>
      <c r="AK40" s="197"/>
      <c r="AL40" s="197"/>
      <c r="AM40" s="197" t="e">
        <f t="shared" si="15"/>
        <v>#N/A</v>
      </c>
      <c r="AN40" s="432"/>
      <c r="AO40" s="197"/>
      <c r="AP40" s="197"/>
      <c r="AQ40" s="197"/>
      <c r="AR40" s="197" t="e">
        <f t="shared" si="16"/>
        <v>#N/A</v>
      </c>
      <c r="AS40" s="411"/>
      <c r="AT40" s="197"/>
      <c r="AU40" s="197"/>
      <c r="AV40" s="197"/>
      <c r="AW40" s="197" t="e">
        <f t="shared" si="17"/>
        <v>#N/A</v>
      </c>
      <c r="AX40" s="411"/>
    </row>
    <row r="41" spans="2:50">
      <c r="B41" s="422"/>
      <c r="C41" s="197">
        <v>15</v>
      </c>
      <c r="D41" s="197"/>
      <c r="E41" s="197"/>
      <c r="F41" s="197"/>
      <c r="G41" s="197"/>
      <c r="H41" s="430"/>
      <c r="I41" s="197"/>
      <c r="J41" s="197"/>
      <c r="K41" s="197"/>
      <c r="L41" s="430"/>
      <c r="M41" s="169" t="e">
        <f>RANK(K41, K$27:$K$41)</f>
        <v>#N/A</v>
      </c>
      <c r="N41" s="423"/>
      <c r="O41" s="423"/>
      <c r="P41" s="197"/>
      <c r="Q41" s="197"/>
      <c r="R41" s="197"/>
      <c r="S41" s="197" t="e">
        <f t="shared" si="11"/>
        <v>#N/A</v>
      </c>
      <c r="T41" s="432"/>
      <c r="U41" s="197"/>
      <c r="V41" s="197"/>
      <c r="W41" s="197"/>
      <c r="X41" s="197" t="e">
        <f t="shared" si="12"/>
        <v>#N/A</v>
      </c>
      <c r="Y41" s="432"/>
      <c r="Z41" s="197"/>
      <c r="AA41" s="197"/>
      <c r="AB41" s="197"/>
      <c r="AC41" s="197" t="e">
        <f t="shared" si="13"/>
        <v>#N/A</v>
      </c>
      <c r="AD41" s="432"/>
      <c r="AE41" s="197"/>
      <c r="AF41" s="197"/>
      <c r="AG41" s="197"/>
      <c r="AH41" s="197" t="e">
        <f t="shared" si="14"/>
        <v>#N/A</v>
      </c>
      <c r="AI41" s="432"/>
      <c r="AJ41" s="197"/>
      <c r="AK41" s="197"/>
      <c r="AL41" s="197"/>
      <c r="AM41" s="197" t="e">
        <f t="shared" si="15"/>
        <v>#N/A</v>
      </c>
      <c r="AN41" s="432"/>
      <c r="AO41" s="197"/>
      <c r="AP41" s="197"/>
      <c r="AQ41" s="197"/>
      <c r="AR41" s="197" t="e">
        <f t="shared" si="16"/>
        <v>#N/A</v>
      </c>
      <c r="AS41" s="412"/>
      <c r="AT41" s="197"/>
      <c r="AU41" s="197"/>
      <c r="AV41" s="197"/>
      <c r="AW41" s="197" t="e">
        <f t="shared" si="17"/>
        <v>#N/A</v>
      </c>
      <c r="AX41" s="412"/>
    </row>
    <row r="42" spans="2:50" ht="15.75">
      <c r="B42" s="424" t="s">
        <v>202</v>
      </c>
      <c r="C42" s="425"/>
      <c r="D42" s="425"/>
      <c r="E42" s="425"/>
      <c r="F42" s="425"/>
      <c r="G42" s="425"/>
      <c r="H42" s="425"/>
      <c r="I42" s="201"/>
      <c r="J42" s="198"/>
      <c r="K42" s="201"/>
      <c r="L42" s="201"/>
      <c r="M42" s="193"/>
      <c r="N42" s="401" t="s">
        <v>203</v>
      </c>
      <c r="O42" s="401" t="s">
        <v>150</v>
      </c>
      <c r="P42" s="421">
        <f>P22+7</f>
        <v>45909</v>
      </c>
      <c r="Q42" s="422"/>
      <c r="R42" s="422"/>
      <c r="S42" s="422"/>
      <c r="T42" s="422"/>
      <c r="U42" s="416">
        <f>P42+1</f>
        <v>45910</v>
      </c>
      <c r="V42" s="417"/>
      <c r="W42" s="417"/>
      <c r="X42" s="417"/>
      <c r="Y42" s="418"/>
      <c r="Z42" s="416">
        <f>U42+1</f>
        <v>45911</v>
      </c>
      <c r="AA42" s="417"/>
      <c r="AB42" s="417"/>
      <c r="AC42" s="417"/>
      <c r="AD42" s="418"/>
      <c r="AE42" s="416">
        <f t="shared" ref="AE42" si="24">Z42+1</f>
        <v>45912</v>
      </c>
      <c r="AF42" s="417"/>
      <c r="AG42" s="417"/>
      <c r="AH42" s="417"/>
      <c r="AI42" s="418"/>
      <c r="AJ42" s="416">
        <f t="shared" ref="AJ42" si="25">AE42+1</f>
        <v>45913</v>
      </c>
      <c r="AK42" s="417"/>
      <c r="AL42" s="417"/>
      <c r="AM42" s="417"/>
      <c r="AN42" s="418"/>
      <c r="AO42" s="416">
        <f t="shared" ref="AO42" si="26">AJ42+1</f>
        <v>45914</v>
      </c>
      <c r="AP42" s="417"/>
      <c r="AQ42" s="417"/>
      <c r="AR42" s="417"/>
      <c r="AS42" s="418"/>
      <c r="AT42" s="416">
        <f t="shared" ref="AT42" si="27">AO42+1</f>
        <v>45915</v>
      </c>
      <c r="AU42" s="417"/>
      <c r="AV42" s="417"/>
      <c r="AW42" s="417"/>
      <c r="AX42" s="418"/>
    </row>
    <row r="43" spans="2:50" ht="15.75">
      <c r="B43" s="426"/>
      <c r="C43" s="426"/>
      <c r="D43" s="426"/>
      <c r="E43" s="426"/>
      <c r="F43" s="426"/>
      <c r="G43" s="426"/>
      <c r="H43" s="426"/>
      <c r="I43" s="199"/>
      <c r="J43" s="199"/>
      <c r="K43" s="199"/>
      <c r="L43" s="199"/>
      <c r="M43" s="194"/>
      <c r="N43" s="403"/>
      <c r="O43" s="403"/>
      <c r="P43" s="421" t="s">
        <v>204</v>
      </c>
      <c r="Q43" s="422"/>
      <c r="R43" s="422"/>
      <c r="S43" s="422"/>
      <c r="T43" s="422"/>
      <c r="U43" s="421" t="s">
        <v>205</v>
      </c>
      <c r="V43" s="422"/>
      <c r="W43" s="422"/>
      <c r="X43" s="422"/>
      <c r="Y43" s="422"/>
      <c r="Z43" s="421" t="s">
        <v>206</v>
      </c>
      <c r="AA43" s="422"/>
      <c r="AB43" s="422"/>
      <c r="AC43" s="422"/>
      <c r="AD43" s="422"/>
      <c r="AE43" s="421" t="s">
        <v>207</v>
      </c>
      <c r="AF43" s="422"/>
      <c r="AG43" s="422"/>
      <c r="AH43" s="422"/>
      <c r="AI43" s="422"/>
      <c r="AJ43" s="421" t="s">
        <v>208</v>
      </c>
      <c r="AK43" s="422"/>
      <c r="AL43" s="422"/>
      <c r="AM43" s="422"/>
      <c r="AN43" s="422"/>
      <c r="AO43" s="421" t="s">
        <v>157</v>
      </c>
      <c r="AP43" s="422"/>
      <c r="AQ43" s="422"/>
      <c r="AR43" s="422"/>
      <c r="AS43" s="422"/>
      <c r="AT43" s="421" t="s">
        <v>209</v>
      </c>
      <c r="AU43" s="422"/>
      <c r="AV43" s="422"/>
      <c r="AW43" s="422"/>
      <c r="AX43" s="422"/>
    </row>
    <row r="44" spans="2:50">
      <c r="B44" s="423" t="s">
        <v>210</v>
      </c>
      <c r="C44" s="423" t="s">
        <v>211</v>
      </c>
      <c r="D44" s="423"/>
      <c r="E44" s="423" t="s">
        <v>212</v>
      </c>
      <c r="F44" s="423"/>
      <c r="G44" s="423"/>
      <c r="H44" s="404" t="s">
        <v>213</v>
      </c>
      <c r="I44" s="423" t="s">
        <v>214</v>
      </c>
      <c r="J44" s="423"/>
      <c r="K44" s="423"/>
      <c r="L44" s="404" t="s">
        <v>213</v>
      </c>
      <c r="M44" s="401" t="s">
        <v>215</v>
      </c>
      <c r="N44" s="423"/>
      <c r="O44" s="423" t="s">
        <v>216</v>
      </c>
      <c r="P44" s="413" t="s">
        <v>217</v>
      </c>
      <c r="Q44" s="414"/>
      <c r="R44" s="414"/>
      <c r="S44" s="415"/>
      <c r="T44" s="423" t="s">
        <v>213</v>
      </c>
      <c r="U44" s="413" t="s">
        <v>217</v>
      </c>
      <c r="V44" s="414"/>
      <c r="W44" s="414"/>
      <c r="X44" s="415"/>
      <c r="Y44" s="423" t="s">
        <v>213</v>
      </c>
      <c r="Z44" s="413" t="s">
        <v>217</v>
      </c>
      <c r="AA44" s="414"/>
      <c r="AB44" s="414"/>
      <c r="AC44" s="415"/>
      <c r="AD44" s="423" t="s">
        <v>213</v>
      </c>
      <c r="AE44" s="413" t="s">
        <v>217</v>
      </c>
      <c r="AF44" s="414"/>
      <c r="AG44" s="414"/>
      <c r="AH44" s="415"/>
      <c r="AI44" s="423" t="s">
        <v>213</v>
      </c>
      <c r="AJ44" s="413" t="s">
        <v>217</v>
      </c>
      <c r="AK44" s="414"/>
      <c r="AL44" s="414"/>
      <c r="AM44" s="415"/>
      <c r="AN44" s="423" t="s">
        <v>213</v>
      </c>
      <c r="AO44" s="413" t="s">
        <v>217</v>
      </c>
      <c r="AP44" s="414"/>
      <c r="AQ44" s="414"/>
      <c r="AR44" s="415"/>
      <c r="AS44" s="423" t="s">
        <v>213</v>
      </c>
      <c r="AT44" s="413" t="s">
        <v>217</v>
      </c>
      <c r="AU44" s="414"/>
      <c r="AV44" s="414"/>
      <c r="AW44" s="415"/>
      <c r="AX44" s="423" t="s">
        <v>213</v>
      </c>
    </row>
    <row r="45" spans="2:50">
      <c r="B45" s="423"/>
      <c r="C45" s="423"/>
      <c r="D45" s="423"/>
      <c r="E45" s="423" t="s">
        <v>218</v>
      </c>
      <c r="F45" s="423"/>
      <c r="G45" s="423"/>
      <c r="H45" s="406"/>
      <c r="I45" s="423" t="s">
        <v>218</v>
      </c>
      <c r="J45" s="423"/>
      <c r="K45" s="423"/>
      <c r="L45" s="406"/>
      <c r="M45" s="402"/>
      <c r="N45" s="423"/>
      <c r="O45" s="423"/>
      <c r="P45" s="413" t="s">
        <v>219</v>
      </c>
      <c r="Q45" s="414"/>
      <c r="R45" s="414"/>
      <c r="S45" s="415"/>
      <c r="T45" s="423"/>
      <c r="U45" s="413" t="s">
        <v>219</v>
      </c>
      <c r="V45" s="414"/>
      <c r="W45" s="414"/>
      <c r="X45" s="415"/>
      <c r="Y45" s="423"/>
      <c r="Z45" s="413" t="s">
        <v>219</v>
      </c>
      <c r="AA45" s="414"/>
      <c r="AB45" s="414"/>
      <c r="AC45" s="415"/>
      <c r="AD45" s="423"/>
      <c r="AE45" s="413" t="s">
        <v>219</v>
      </c>
      <c r="AF45" s="414"/>
      <c r="AG45" s="414"/>
      <c r="AH45" s="415"/>
      <c r="AI45" s="423"/>
      <c r="AJ45" s="413" t="s">
        <v>219</v>
      </c>
      <c r="AK45" s="414"/>
      <c r="AL45" s="414"/>
      <c r="AM45" s="415"/>
      <c r="AN45" s="423"/>
      <c r="AO45" s="413" t="s">
        <v>219</v>
      </c>
      <c r="AP45" s="414"/>
      <c r="AQ45" s="414"/>
      <c r="AR45" s="415"/>
      <c r="AS45" s="423"/>
      <c r="AT45" s="413" t="s">
        <v>219</v>
      </c>
      <c r="AU45" s="414"/>
      <c r="AV45" s="414"/>
      <c r="AW45" s="415"/>
      <c r="AX45" s="423"/>
    </row>
    <row r="46" spans="2:50">
      <c r="B46" s="423"/>
      <c r="C46" s="423"/>
      <c r="D46" s="423"/>
      <c r="E46" s="297" t="s">
        <v>220</v>
      </c>
      <c r="F46" s="297" t="s">
        <v>221</v>
      </c>
      <c r="G46" s="297" t="s">
        <v>222</v>
      </c>
      <c r="H46" s="408"/>
      <c r="I46" s="297" t="s">
        <v>220</v>
      </c>
      <c r="J46" s="297" t="s">
        <v>221</v>
      </c>
      <c r="K46" s="297" t="s">
        <v>222</v>
      </c>
      <c r="L46" s="408"/>
      <c r="M46" s="403"/>
      <c r="N46" s="423"/>
      <c r="O46" s="423"/>
      <c r="P46" s="297" t="s">
        <v>220</v>
      </c>
      <c r="Q46" s="297" t="s">
        <v>221</v>
      </c>
      <c r="R46" s="297" t="s">
        <v>222</v>
      </c>
      <c r="S46" s="297" t="s">
        <v>215</v>
      </c>
      <c r="T46" s="423"/>
      <c r="U46" s="297" t="s">
        <v>220</v>
      </c>
      <c r="V46" s="297" t="s">
        <v>221</v>
      </c>
      <c r="W46" s="297" t="s">
        <v>222</v>
      </c>
      <c r="X46" s="297" t="s">
        <v>215</v>
      </c>
      <c r="Y46" s="423"/>
      <c r="Z46" s="297" t="s">
        <v>220</v>
      </c>
      <c r="AA46" s="297" t="s">
        <v>221</v>
      </c>
      <c r="AB46" s="297" t="s">
        <v>222</v>
      </c>
      <c r="AC46" s="297" t="s">
        <v>215</v>
      </c>
      <c r="AD46" s="423"/>
      <c r="AE46" s="297" t="s">
        <v>220</v>
      </c>
      <c r="AF46" s="297" t="s">
        <v>221</v>
      </c>
      <c r="AG46" s="297" t="s">
        <v>222</v>
      </c>
      <c r="AH46" s="297" t="s">
        <v>215</v>
      </c>
      <c r="AI46" s="423"/>
      <c r="AJ46" s="297" t="s">
        <v>220</v>
      </c>
      <c r="AK46" s="297" t="s">
        <v>221</v>
      </c>
      <c r="AL46" s="297" t="s">
        <v>222</v>
      </c>
      <c r="AM46" s="297" t="s">
        <v>215</v>
      </c>
      <c r="AN46" s="423"/>
      <c r="AO46" s="297" t="s">
        <v>220</v>
      </c>
      <c r="AP46" s="297" t="s">
        <v>221</v>
      </c>
      <c r="AQ46" s="297" t="s">
        <v>222</v>
      </c>
      <c r="AR46" s="297" t="s">
        <v>215</v>
      </c>
      <c r="AS46" s="423"/>
      <c r="AT46" s="297" t="s">
        <v>220</v>
      </c>
      <c r="AU46" s="297" t="s">
        <v>221</v>
      </c>
      <c r="AV46" s="297" t="s">
        <v>222</v>
      </c>
      <c r="AW46" s="297" t="s">
        <v>215</v>
      </c>
      <c r="AX46" s="423"/>
    </row>
    <row r="47" spans="2:50">
      <c r="B47" s="431" t="s">
        <v>247</v>
      </c>
      <c r="C47" s="197">
        <v>1</v>
      </c>
      <c r="D47" s="197" t="s">
        <v>249</v>
      </c>
      <c r="E47" s="197">
        <v>10</v>
      </c>
      <c r="F47" s="197">
        <v>1500</v>
      </c>
      <c r="G47" s="197">
        <v>150</v>
      </c>
      <c r="H47" s="428">
        <f>AVERAGE(G47:G61)</f>
        <v>198.57142857142858</v>
      </c>
      <c r="I47" s="169">
        <f>AVERAGE(P47,U47,Z47,AE47,AJ47,AO47,AT47)</f>
        <v>10</v>
      </c>
      <c r="J47" s="169">
        <f>AVERAGE(Q47,V47,AA47,AF47,AK47,AP47,AU47)</f>
        <v>1453.9285714285736</v>
      </c>
      <c r="K47" s="195">
        <f>AVERAGE(R47,W47,AB47,AG47,AL47,AQ47,AV47)</f>
        <v>145.39285714285734</v>
      </c>
      <c r="L47" s="428">
        <f>IFERROR(AVERAGE(K47:K61),"-")</f>
        <v>209.23228734889648</v>
      </c>
      <c r="M47" s="196" t="e">
        <f>RANK(K47, K$87:$K$101)</f>
        <v>#DIV/0!</v>
      </c>
      <c r="N47" s="423"/>
      <c r="O47" s="423"/>
      <c r="P47" s="197">
        <v>10</v>
      </c>
      <c r="Q47" s="169">
        <v>1359.0000000000023</v>
      </c>
      <c r="R47" s="195">
        <v>135.90000000000023</v>
      </c>
      <c r="S47" s="197">
        <f>RANK(R47, R$47:R$61)</f>
        <v>7</v>
      </c>
      <c r="T47" s="432">
        <f>AVERAGE(R47:R61)</f>
        <v>208.98637394351687</v>
      </c>
      <c r="U47" s="197">
        <v>10</v>
      </c>
      <c r="V47" s="169">
        <v>1541.1428571428555</v>
      </c>
      <c r="W47" s="195">
        <v>154.11428571428556</v>
      </c>
      <c r="X47" s="197">
        <f>RANK(W47, W$47:W$61)</f>
        <v>4</v>
      </c>
      <c r="Y47" s="432">
        <f>AVERAGE(W47:W61)</f>
        <v>208.47505668934221</v>
      </c>
      <c r="Z47" s="197">
        <v>10</v>
      </c>
      <c r="AA47" s="169">
        <v>1498.2857142857163</v>
      </c>
      <c r="AB47" s="195">
        <v>149.82857142857162</v>
      </c>
      <c r="AC47" s="197">
        <f>RANK(AB47, AB$47:AB$61)</f>
        <v>4</v>
      </c>
      <c r="AD47" s="432">
        <f>AVERAGE(AB47:AB61)</f>
        <v>205.08849492051473</v>
      </c>
      <c r="AE47" s="197">
        <v>10</v>
      </c>
      <c r="AF47" s="169">
        <v>1436.0000000000014</v>
      </c>
      <c r="AG47" s="195">
        <v>143.60000000000014</v>
      </c>
      <c r="AH47" s="197">
        <f>RANK(AG47, AG$47:AG$61)</f>
        <v>4</v>
      </c>
      <c r="AI47" s="432">
        <f>AVERAGE(AG47:AG61)</f>
        <v>203.73928571428587</v>
      </c>
      <c r="AJ47" s="197">
        <v>10</v>
      </c>
      <c r="AK47" s="169">
        <v>1408.0000000000014</v>
      </c>
      <c r="AL47" s="195">
        <v>140.80000000000013</v>
      </c>
      <c r="AM47" s="197">
        <f>RANK(AL47, AL$47:AL$61)</f>
        <v>6</v>
      </c>
      <c r="AN47" s="432">
        <f>AVERAGE(AL47:AL61)</f>
        <v>204.10102040816332</v>
      </c>
      <c r="AO47" s="197">
        <v>10</v>
      </c>
      <c r="AP47" s="169">
        <v>1438.5000000000023</v>
      </c>
      <c r="AQ47" s="195">
        <v>143.85000000000022</v>
      </c>
      <c r="AR47" s="197">
        <f>RANK(AQ47, AQ$47:AQ$61)</f>
        <v>6</v>
      </c>
      <c r="AS47" s="410">
        <f>AVERAGE(AQ47:AQ61)</f>
        <v>211.23396570749509</v>
      </c>
      <c r="AT47" s="197">
        <v>10</v>
      </c>
      <c r="AU47" s="169">
        <v>1496.5714285714341</v>
      </c>
      <c r="AV47" s="195">
        <v>149.65714285714341</v>
      </c>
      <c r="AW47" s="197">
        <f>RANK(AV47, AV$47:AV$61)</f>
        <v>5</v>
      </c>
      <c r="AX47" s="410">
        <f>AVERAGE(AV47:AV61)</f>
        <v>223.00181405895728</v>
      </c>
    </row>
    <row r="48" spans="2:50">
      <c r="B48" s="422"/>
      <c r="C48" s="197">
        <v>2</v>
      </c>
      <c r="D48" s="197" t="s">
        <v>250</v>
      </c>
      <c r="E48" s="197">
        <v>15</v>
      </c>
      <c r="F48" s="197">
        <v>1800</v>
      </c>
      <c r="G48" s="197">
        <v>120</v>
      </c>
      <c r="H48" s="429"/>
      <c r="I48" s="169">
        <f t="shared" ref="I48:I53" si="28">AVERAGE(P48,U48,Z48,AE48,AJ48,AO48,AT48)</f>
        <v>12</v>
      </c>
      <c r="J48" s="169">
        <f t="shared" ref="J48:J53" si="29">AVERAGE(Q48,V48,AA48,AF48,AK48,AP48,AU48)</f>
        <v>1774.8952380952371</v>
      </c>
      <c r="K48" s="195">
        <f t="shared" ref="K48:K53" si="30">AVERAGE(R48,W48,AB48,AG48,AL48,AQ48,AV48)</f>
        <v>147.90793650793645</v>
      </c>
      <c r="L48" s="429"/>
      <c r="M48" s="196" t="e">
        <f>RANK(K48, K$87:$K$101)</f>
        <v>#DIV/0!</v>
      </c>
      <c r="N48" s="423"/>
      <c r="O48" s="423"/>
      <c r="P48" s="197">
        <v>12</v>
      </c>
      <c r="Q48" s="169">
        <v>1872</v>
      </c>
      <c r="R48" s="195">
        <v>156</v>
      </c>
      <c r="S48" s="197">
        <f t="shared" ref="S48:S61" si="31">RANK(R48, R$47:R$61)</f>
        <v>4</v>
      </c>
      <c r="T48" s="432"/>
      <c r="U48" s="197">
        <v>12</v>
      </c>
      <c r="V48" s="169">
        <v>1694.3999999999978</v>
      </c>
      <c r="W48" s="195">
        <v>141.19999999999982</v>
      </c>
      <c r="X48" s="197">
        <f t="shared" ref="X48:X61" si="32">RANK(W48, W$47:W$61)</f>
        <v>6</v>
      </c>
      <c r="Y48" s="432"/>
      <c r="Z48" s="197">
        <v>12</v>
      </c>
      <c r="AA48" s="169">
        <v>1794.6666666666667</v>
      </c>
      <c r="AB48" s="195">
        <v>149.55555555555557</v>
      </c>
      <c r="AC48" s="197">
        <f t="shared" ref="AC48:AC61" si="33">RANK(AB48, AB$47:AB$61)</f>
        <v>5</v>
      </c>
      <c r="AD48" s="432"/>
      <c r="AE48" s="197">
        <v>12</v>
      </c>
      <c r="AF48" s="169">
        <v>1697.9999999999957</v>
      </c>
      <c r="AG48" s="195">
        <v>141.49999999999963</v>
      </c>
      <c r="AH48" s="197">
        <f t="shared" ref="AH48:AH61" si="34">RANK(AG48, AG$47:AG$61)</f>
        <v>6</v>
      </c>
      <c r="AI48" s="432"/>
      <c r="AJ48" s="197">
        <v>12</v>
      </c>
      <c r="AK48" s="169">
        <v>1740.0000000000027</v>
      </c>
      <c r="AL48" s="195">
        <v>145.00000000000023</v>
      </c>
      <c r="AM48" s="197">
        <f t="shared" ref="AM48:AM61" si="35">RANK(AL48, AL$47:AL$61)</f>
        <v>5</v>
      </c>
      <c r="AN48" s="432"/>
      <c r="AO48" s="197">
        <v>12</v>
      </c>
      <c r="AP48" s="169">
        <v>1848.0000000000005</v>
      </c>
      <c r="AQ48" s="195">
        <v>154.00000000000003</v>
      </c>
      <c r="AR48" s="197">
        <f t="shared" ref="AR48:AR61" si="36">RANK(AQ48, AQ$47:AQ$61)</f>
        <v>5</v>
      </c>
      <c r="AS48" s="411"/>
      <c r="AT48" s="197">
        <v>12</v>
      </c>
      <c r="AU48" s="169">
        <v>1777.1999999999978</v>
      </c>
      <c r="AV48" s="195">
        <v>148.09999999999982</v>
      </c>
      <c r="AW48" s="197">
        <f t="shared" ref="AW48:AW61" si="37">RANK(AV48, AV$47:AV$61)</f>
        <v>6</v>
      </c>
      <c r="AX48" s="411"/>
    </row>
    <row r="49" spans="2:50">
      <c r="B49" s="422"/>
      <c r="C49" s="197">
        <v>3</v>
      </c>
      <c r="D49" s="197" t="s">
        <v>251</v>
      </c>
      <c r="E49" s="197">
        <v>15</v>
      </c>
      <c r="F49" s="197">
        <v>1800</v>
      </c>
      <c r="G49" s="197">
        <v>120</v>
      </c>
      <c r="H49" s="429"/>
      <c r="I49" s="169">
        <f t="shared" si="28"/>
        <v>12</v>
      </c>
      <c r="J49" s="169">
        <f t="shared" si="29"/>
        <v>1842.3979591836726</v>
      </c>
      <c r="K49" s="195">
        <f t="shared" si="30"/>
        <v>153.53316326530606</v>
      </c>
      <c r="L49" s="429"/>
      <c r="M49" s="196" t="e">
        <f>RANK(K49, K$87:$K$101)</f>
        <v>#DIV/0!</v>
      </c>
      <c r="N49" s="423"/>
      <c r="O49" s="423"/>
      <c r="P49" s="197">
        <v>12</v>
      </c>
      <c r="Q49" s="169">
        <v>1861.3333333333333</v>
      </c>
      <c r="R49" s="195">
        <v>155.11111111111111</v>
      </c>
      <c r="S49" s="197">
        <f t="shared" si="31"/>
        <v>5</v>
      </c>
      <c r="T49" s="432"/>
      <c r="U49" s="197">
        <v>12</v>
      </c>
      <c r="V49" s="169">
        <v>1777.3333333333335</v>
      </c>
      <c r="W49" s="195">
        <v>148.11111111111111</v>
      </c>
      <c r="X49" s="197">
        <f t="shared" si="32"/>
        <v>5</v>
      </c>
      <c r="Y49" s="432"/>
      <c r="Z49" s="197">
        <v>12</v>
      </c>
      <c r="AA49" s="169">
        <v>1713.3333333333335</v>
      </c>
      <c r="AB49" s="195">
        <v>142.7777777777778</v>
      </c>
      <c r="AC49" s="197">
        <f t="shared" si="33"/>
        <v>6</v>
      </c>
      <c r="AD49" s="432"/>
      <c r="AE49" s="197">
        <v>12</v>
      </c>
      <c r="AF49" s="169">
        <v>1702.4999999999957</v>
      </c>
      <c r="AG49" s="195">
        <v>141.87499999999963</v>
      </c>
      <c r="AH49" s="197">
        <f t="shared" si="34"/>
        <v>5</v>
      </c>
      <c r="AI49" s="432"/>
      <c r="AJ49" s="197">
        <v>12</v>
      </c>
      <c r="AK49" s="169">
        <v>1954.2857142857124</v>
      </c>
      <c r="AL49" s="195">
        <v>162.85714285714269</v>
      </c>
      <c r="AM49" s="197">
        <f t="shared" si="35"/>
        <v>4</v>
      </c>
      <c r="AN49" s="432"/>
      <c r="AO49" s="197">
        <v>12</v>
      </c>
      <c r="AP49" s="169">
        <v>1985.3333333333333</v>
      </c>
      <c r="AQ49" s="195">
        <v>165.44444444444443</v>
      </c>
      <c r="AR49" s="197">
        <f t="shared" si="36"/>
        <v>4</v>
      </c>
      <c r="AS49" s="411"/>
      <c r="AT49" s="197">
        <v>12</v>
      </c>
      <c r="AU49" s="169">
        <v>1902.6666666666667</v>
      </c>
      <c r="AV49" s="195">
        <v>158.55555555555557</v>
      </c>
      <c r="AW49" s="197">
        <f t="shared" si="37"/>
        <v>4</v>
      </c>
      <c r="AX49" s="411"/>
    </row>
    <row r="50" spans="2:50">
      <c r="B50" s="422"/>
      <c r="C50" s="197">
        <v>4</v>
      </c>
      <c r="D50" s="197" t="s">
        <v>252</v>
      </c>
      <c r="E50" s="197">
        <v>6</v>
      </c>
      <c r="F50" s="197">
        <v>1500</v>
      </c>
      <c r="G50" s="197">
        <v>250</v>
      </c>
      <c r="H50" s="429"/>
      <c r="I50" s="169">
        <f t="shared" si="28"/>
        <v>5</v>
      </c>
      <c r="J50" s="169">
        <f t="shared" si="29"/>
        <v>1457.0876623376621</v>
      </c>
      <c r="K50" s="195">
        <f t="shared" si="30"/>
        <v>291.4175324675324</v>
      </c>
      <c r="L50" s="429"/>
      <c r="M50" s="196" t="e">
        <f>RANK(K50, K$87:$K$101)</f>
        <v>#DIV/0!</v>
      </c>
      <c r="N50" s="423"/>
      <c r="O50" s="423"/>
      <c r="P50" s="197">
        <v>5</v>
      </c>
      <c r="Q50" s="169">
        <v>1478.9999999999995</v>
      </c>
      <c r="R50" s="195">
        <v>295.7999999999999</v>
      </c>
      <c r="S50" s="197">
        <f t="shared" si="31"/>
        <v>1</v>
      </c>
      <c r="T50" s="432"/>
      <c r="U50" s="197">
        <v>5</v>
      </c>
      <c r="V50" s="169">
        <v>1451.9999999999995</v>
      </c>
      <c r="W50" s="195">
        <v>290.39999999999992</v>
      </c>
      <c r="X50" s="197">
        <f t="shared" si="32"/>
        <v>3</v>
      </c>
      <c r="Y50" s="432"/>
      <c r="Z50" s="197">
        <v>5</v>
      </c>
      <c r="AA50" s="169">
        <v>1439.9999999999989</v>
      </c>
      <c r="AB50" s="195">
        <v>287.99999999999977</v>
      </c>
      <c r="AC50" s="197">
        <f t="shared" si="33"/>
        <v>3</v>
      </c>
      <c r="AD50" s="432"/>
      <c r="AE50" s="197">
        <v>5</v>
      </c>
      <c r="AF50" s="169">
        <v>1484.0000000000014</v>
      </c>
      <c r="AG50" s="195">
        <v>296.8000000000003</v>
      </c>
      <c r="AH50" s="197">
        <f t="shared" si="34"/>
        <v>2</v>
      </c>
      <c r="AI50" s="432"/>
      <c r="AJ50" s="197">
        <v>5</v>
      </c>
      <c r="AK50" s="169">
        <v>1421.2499999999982</v>
      </c>
      <c r="AL50" s="195">
        <v>284.24999999999966</v>
      </c>
      <c r="AM50" s="197">
        <f t="shared" si="35"/>
        <v>3</v>
      </c>
      <c r="AN50" s="432"/>
      <c r="AO50" s="197">
        <v>5</v>
      </c>
      <c r="AP50" s="169">
        <v>1456.3636363636365</v>
      </c>
      <c r="AQ50" s="195">
        <v>291.27272727272731</v>
      </c>
      <c r="AR50" s="197">
        <f t="shared" si="36"/>
        <v>3</v>
      </c>
      <c r="AS50" s="411"/>
      <c r="AT50" s="197">
        <v>5</v>
      </c>
      <c r="AU50" s="169">
        <v>1466.9999999999995</v>
      </c>
      <c r="AV50" s="195">
        <v>293.39999999999992</v>
      </c>
      <c r="AW50" s="197">
        <f t="shared" si="37"/>
        <v>2</v>
      </c>
      <c r="AX50" s="411"/>
    </row>
    <row r="51" spans="2:50">
      <c r="B51" s="422"/>
      <c r="C51" s="197">
        <v>5</v>
      </c>
      <c r="D51" s="197" t="s">
        <v>253</v>
      </c>
      <c r="E51" s="197">
        <v>5</v>
      </c>
      <c r="F51" s="197">
        <v>1500</v>
      </c>
      <c r="G51" s="197">
        <v>300</v>
      </c>
      <c r="H51" s="429"/>
      <c r="I51" s="169">
        <f t="shared" si="28"/>
        <v>5</v>
      </c>
      <c r="J51" s="169">
        <f t="shared" si="29"/>
        <v>1478.1724533073425</v>
      </c>
      <c r="K51" s="195">
        <f t="shared" si="30"/>
        <v>295.63449066146853</v>
      </c>
      <c r="L51" s="429"/>
      <c r="M51" s="196" t="e">
        <f>RANK(K51, K$87:$K$101)</f>
        <v>#DIV/0!</v>
      </c>
      <c r="N51" s="423"/>
      <c r="O51" s="423"/>
      <c r="P51" s="197">
        <v>5</v>
      </c>
      <c r="Q51" s="169">
        <v>1478.1818181818196</v>
      </c>
      <c r="R51" s="195">
        <v>295.63636363636391</v>
      </c>
      <c r="S51" s="197">
        <f t="shared" si="31"/>
        <v>2</v>
      </c>
      <c r="T51" s="432"/>
      <c r="U51" s="197">
        <v>5</v>
      </c>
      <c r="V51" s="169">
        <v>1483.9999999999991</v>
      </c>
      <c r="W51" s="195">
        <v>296.79999999999984</v>
      </c>
      <c r="X51" s="197">
        <f t="shared" si="32"/>
        <v>2</v>
      </c>
      <c r="Y51" s="432"/>
      <c r="Z51" s="197">
        <v>5</v>
      </c>
      <c r="AA51" s="169">
        <v>1475.1724137931046</v>
      </c>
      <c r="AB51" s="195">
        <v>295.03448275862092</v>
      </c>
      <c r="AC51" s="197">
        <f t="shared" si="33"/>
        <v>1</v>
      </c>
      <c r="AD51" s="432"/>
      <c r="AE51" s="197">
        <v>5</v>
      </c>
      <c r="AF51" s="169">
        <v>1500.000000000003</v>
      </c>
      <c r="AG51" s="195">
        <v>300.00000000000057</v>
      </c>
      <c r="AH51" s="197">
        <f t="shared" si="34"/>
        <v>1</v>
      </c>
      <c r="AI51" s="432"/>
      <c r="AJ51" s="197">
        <v>5</v>
      </c>
      <c r="AK51" s="169">
        <v>1464.9999999999977</v>
      </c>
      <c r="AL51" s="195">
        <v>292.99999999999955</v>
      </c>
      <c r="AM51" s="197">
        <f t="shared" si="35"/>
        <v>1</v>
      </c>
      <c r="AN51" s="432"/>
      <c r="AO51" s="197">
        <v>5</v>
      </c>
      <c r="AP51" s="169">
        <v>1482.3529411764723</v>
      </c>
      <c r="AQ51" s="195">
        <v>296.47058823529449</v>
      </c>
      <c r="AR51" s="197">
        <f t="shared" si="36"/>
        <v>2</v>
      </c>
      <c r="AS51" s="411"/>
      <c r="AT51" s="197">
        <v>5</v>
      </c>
      <c r="AU51" s="169">
        <v>1462.5000000000018</v>
      </c>
      <c r="AV51" s="195">
        <v>292.50000000000034</v>
      </c>
      <c r="AW51" s="197">
        <f t="shared" si="37"/>
        <v>3</v>
      </c>
      <c r="AX51" s="411"/>
    </row>
    <row r="52" spans="2:50">
      <c r="B52" s="422"/>
      <c r="C52" s="197">
        <v>6</v>
      </c>
      <c r="D52" s="197" t="s">
        <v>254</v>
      </c>
      <c r="E52" s="197">
        <v>5</v>
      </c>
      <c r="F52" s="197">
        <v>1500</v>
      </c>
      <c r="G52" s="197">
        <v>300</v>
      </c>
      <c r="H52" s="429"/>
      <c r="I52" s="169">
        <f t="shared" si="28"/>
        <v>5</v>
      </c>
      <c r="J52" s="169">
        <f t="shared" si="29"/>
        <v>1506.2715855573017</v>
      </c>
      <c r="K52" s="195">
        <f t="shared" si="30"/>
        <v>301.2543171114603</v>
      </c>
      <c r="L52" s="429"/>
      <c r="M52" s="196" t="e">
        <f>RANK(K52, K$87:$K$101)</f>
        <v>#DIV/0!</v>
      </c>
      <c r="N52" s="423"/>
      <c r="O52" s="423"/>
      <c r="P52" s="197">
        <v>5</v>
      </c>
      <c r="Q52" s="169">
        <v>1414.2857142857154</v>
      </c>
      <c r="R52" s="195">
        <v>282.85714285714306</v>
      </c>
      <c r="S52" s="197">
        <f t="shared" si="31"/>
        <v>3</v>
      </c>
      <c r="T52" s="432"/>
      <c r="U52" s="197">
        <v>5</v>
      </c>
      <c r="V52" s="169">
        <v>1484.9999999999952</v>
      </c>
      <c r="W52" s="195">
        <v>296.99999999999903</v>
      </c>
      <c r="X52" s="197">
        <f t="shared" si="32"/>
        <v>1</v>
      </c>
      <c r="Y52" s="432"/>
      <c r="Z52" s="197">
        <v>5</v>
      </c>
      <c r="AA52" s="169">
        <v>1444.6153846153854</v>
      </c>
      <c r="AB52" s="195">
        <v>288.92307692307708</v>
      </c>
      <c r="AC52" s="197">
        <f t="shared" si="33"/>
        <v>2</v>
      </c>
      <c r="AD52" s="432"/>
      <c r="AE52" s="197">
        <v>5</v>
      </c>
      <c r="AF52" s="169">
        <v>1416.000000000005</v>
      </c>
      <c r="AG52" s="195">
        <v>283.20000000000101</v>
      </c>
      <c r="AH52" s="197">
        <f t="shared" si="34"/>
        <v>3</v>
      </c>
      <c r="AI52" s="432"/>
      <c r="AJ52" s="197">
        <v>5</v>
      </c>
      <c r="AK52" s="169">
        <v>1428.0000000000052</v>
      </c>
      <c r="AL52" s="195">
        <v>285.60000000000105</v>
      </c>
      <c r="AM52" s="197">
        <f t="shared" si="35"/>
        <v>2</v>
      </c>
      <c r="AN52" s="432"/>
      <c r="AO52" s="197">
        <v>5</v>
      </c>
      <c r="AP52" s="169">
        <v>1495.9999999999973</v>
      </c>
      <c r="AQ52" s="195">
        <v>299.19999999999948</v>
      </c>
      <c r="AR52" s="197">
        <f t="shared" si="36"/>
        <v>1</v>
      </c>
      <c r="AS52" s="411"/>
      <c r="AT52" s="197">
        <v>5</v>
      </c>
      <c r="AU52" s="169">
        <v>1860.0000000000066</v>
      </c>
      <c r="AV52" s="195">
        <v>372.00000000000131</v>
      </c>
      <c r="AW52" s="197">
        <f t="shared" si="37"/>
        <v>1</v>
      </c>
      <c r="AX52" s="411"/>
    </row>
    <row r="53" spans="2:50">
      <c r="B53" s="422"/>
      <c r="C53" s="197">
        <v>7</v>
      </c>
      <c r="D53" s="197" t="s">
        <v>255</v>
      </c>
      <c r="E53" s="197">
        <v>10</v>
      </c>
      <c r="F53" s="197">
        <v>1500</v>
      </c>
      <c r="G53" s="197">
        <v>150</v>
      </c>
      <c r="H53" s="429"/>
      <c r="I53" s="169">
        <f t="shared" si="28"/>
        <v>10</v>
      </c>
      <c r="J53" s="169">
        <f t="shared" si="29"/>
        <v>1294.8571428571436</v>
      </c>
      <c r="K53" s="195">
        <f t="shared" si="30"/>
        <v>129.48571428571435</v>
      </c>
      <c r="L53" s="429"/>
      <c r="M53" s="196" t="e">
        <f>RANK(K53, K$87:$K$101)</f>
        <v>#DIV/0!</v>
      </c>
      <c r="N53" s="423"/>
      <c r="O53" s="423"/>
      <c r="P53" s="197">
        <v>10</v>
      </c>
      <c r="Q53" s="169">
        <v>1416.0000000000002</v>
      </c>
      <c r="R53" s="195">
        <v>141.60000000000002</v>
      </c>
      <c r="S53" s="197">
        <f t="shared" si="31"/>
        <v>6</v>
      </c>
      <c r="T53" s="432"/>
      <c r="U53" s="197">
        <v>10</v>
      </c>
      <c r="V53" s="169">
        <v>1316.9999999999995</v>
      </c>
      <c r="W53" s="195">
        <v>131.69999999999996</v>
      </c>
      <c r="X53" s="197">
        <f t="shared" si="32"/>
        <v>7</v>
      </c>
      <c r="Y53" s="432"/>
      <c r="Z53" s="197">
        <v>10</v>
      </c>
      <c r="AA53" s="169">
        <v>1215.0000000000043</v>
      </c>
      <c r="AB53" s="195">
        <v>121.50000000000043</v>
      </c>
      <c r="AC53" s="197">
        <f t="shared" si="33"/>
        <v>7</v>
      </c>
      <c r="AD53" s="432"/>
      <c r="AE53" s="197">
        <v>10</v>
      </c>
      <c r="AF53" s="169">
        <v>1191.999999999998</v>
      </c>
      <c r="AG53" s="195">
        <v>119.19999999999979</v>
      </c>
      <c r="AH53" s="197">
        <f t="shared" si="34"/>
        <v>7</v>
      </c>
      <c r="AI53" s="432"/>
      <c r="AJ53" s="197">
        <v>10</v>
      </c>
      <c r="AK53" s="169">
        <v>1171.999999999998</v>
      </c>
      <c r="AL53" s="195">
        <v>117.19999999999979</v>
      </c>
      <c r="AM53" s="197">
        <f t="shared" si="35"/>
        <v>7</v>
      </c>
      <c r="AN53" s="432"/>
      <c r="AO53" s="197">
        <v>10</v>
      </c>
      <c r="AP53" s="169">
        <v>1283.9999999999995</v>
      </c>
      <c r="AQ53" s="195">
        <v>128.39999999999995</v>
      </c>
      <c r="AR53" s="197">
        <f t="shared" si="36"/>
        <v>7</v>
      </c>
      <c r="AS53" s="411"/>
      <c r="AT53" s="197">
        <v>10</v>
      </c>
      <c r="AU53" s="169">
        <v>1468.0000000000052</v>
      </c>
      <c r="AV53" s="195">
        <v>146.80000000000052</v>
      </c>
      <c r="AW53" s="197">
        <f t="shared" si="37"/>
        <v>7</v>
      </c>
      <c r="AX53" s="411"/>
    </row>
    <row r="54" spans="2:50">
      <c r="B54" s="422"/>
      <c r="C54" s="197">
        <v>8</v>
      </c>
      <c r="D54" s="197"/>
      <c r="E54" s="197"/>
      <c r="F54" s="197"/>
      <c r="G54" s="197"/>
      <c r="H54" s="429"/>
      <c r="I54" s="169"/>
      <c r="J54" s="169"/>
      <c r="K54" s="195"/>
      <c r="L54" s="429"/>
      <c r="M54" s="196" t="e">
        <f>RANK(K54, K$87:$K$101)</f>
        <v>#DIV/0!</v>
      </c>
      <c r="N54" s="423"/>
      <c r="O54" s="423"/>
      <c r="P54" s="197"/>
      <c r="Q54" s="169"/>
      <c r="R54" s="195"/>
      <c r="S54" s="197" t="e">
        <f t="shared" si="31"/>
        <v>#N/A</v>
      </c>
      <c r="T54" s="432"/>
      <c r="U54" s="197"/>
      <c r="V54" s="169"/>
      <c r="W54" s="195"/>
      <c r="X54" s="197" t="e">
        <f t="shared" si="32"/>
        <v>#N/A</v>
      </c>
      <c r="Y54" s="432"/>
      <c r="Z54" s="197"/>
      <c r="AA54" s="169"/>
      <c r="AB54" s="195"/>
      <c r="AC54" s="197" t="e">
        <f t="shared" si="33"/>
        <v>#N/A</v>
      </c>
      <c r="AD54" s="432"/>
      <c r="AE54" s="197"/>
      <c r="AF54" s="169"/>
      <c r="AG54" s="195"/>
      <c r="AH54" s="197" t="e">
        <f t="shared" si="34"/>
        <v>#N/A</v>
      </c>
      <c r="AI54" s="432"/>
      <c r="AJ54" s="197"/>
      <c r="AK54" s="169"/>
      <c r="AL54" s="195"/>
      <c r="AM54" s="197" t="e">
        <f t="shared" si="35"/>
        <v>#N/A</v>
      </c>
      <c r="AN54" s="432"/>
      <c r="AO54" s="197"/>
      <c r="AP54" s="169"/>
      <c r="AQ54" s="195"/>
      <c r="AR54" s="197" t="e">
        <f t="shared" si="36"/>
        <v>#N/A</v>
      </c>
      <c r="AS54" s="411"/>
      <c r="AT54" s="197"/>
      <c r="AU54" s="169"/>
      <c r="AV54" s="195"/>
      <c r="AW54" s="197" t="e">
        <f t="shared" si="37"/>
        <v>#N/A</v>
      </c>
      <c r="AX54" s="411"/>
    </row>
    <row r="55" spans="2:50">
      <c r="B55" s="422"/>
      <c r="C55" s="197">
        <v>9</v>
      </c>
      <c r="D55" s="197"/>
      <c r="E55" s="197"/>
      <c r="F55" s="197"/>
      <c r="G55" s="197"/>
      <c r="H55" s="429"/>
      <c r="I55" s="169"/>
      <c r="J55" s="169"/>
      <c r="K55" s="195"/>
      <c r="L55" s="429"/>
      <c r="M55" s="196" t="e">
        <f>RANK(K55, K$87:$K$101)</f>
        <v>#DIV/0!</v>
      </c>
      <c r="N55" s="423"/>
      <c r="O55" s="423"/>
      <c r="P55" s="197"/>
      <c r="Q55" s="169"/>
      <c r="R55" s="195"/>
      <c r="S55" s="197" t="e">
        <f t="shared" si="31"/>
        <v>#N/A</v>
      </c>
      <c r="T55" s="432"/>
      <c r="U55" s="197"/>
      <c r="V55" s="169"/>
      <c r="W55" s="195"/>
      <c r="X55" s="197" t="e">
        <f t="shared" si="32"/>
        <v>#N/A</v>
      </c>
      <c r="Y55" s="432"/>
      <c r="Z55" s="197"/>
      <c r="AA55" s="169"/>
      <c r="AB55" s="195"/>
      <c r="AC55" s="197" t="e">
        <f t="shared" si="33"/>
        <v>#N/A</v>
      </c>
      <c r="AD55" s="432"/>
      <c r="AE55" s="197"/>
      <c r="AF55" s="169"/>
      <c r="AG55" s="195"/>
      <c r="AH55" s="197" t="e">
        <f t="shared" si="34"/>
        <v>#N/A</v>
      </c>
      <c r="AI55" s="432"/>
      <c r="AJ55" s="197"/>
      <c r="AK55" s="169"/>
      <c r="AL55" s="195"/>
      <c r="AM55" s="197" t="e">
        <f t="shared" si="35"/>
        <v>#N/A</v>
      </c>
      <c r="AN55" s="432"/>
      <c r="AO55" s="197"/>
      <c r="AP55" s="169"/>
      <c r="AQ55" s="195"/>
      <c r="AR55" s="197" t="e">
        <f t="shared" si="36"/>
        <v>#N/A</v>
      </c>
      <c r="AS55" s="411"/>
      <c r="AT55" s="197"/>
      <c r="AU55" s="169"/>
      <c r="AV55" s="195"/>
      <c r="AW55" s="197" t="e">
        <f t="shared" si="37"/>
        <v>#N/A</v>
      </c>
      <c r="AX55" s="411"/>
    </row>
    <row r="56" spans="2:50">
      <c r="B56" s="422"/>
      <c r="C56" s="197">
        <v>10</v>
      </c>
      <c r="D56" s="197"/>
      <c r="E56" s="197"/>
      <c r="F56" s="197"/>
      <c r="G56" s="197"/>
      <c r="H56" s="429"/>
      <c r="I56" s="169"/>
      <c r="J56" s="169"/>
      <c r="K56" s="195"/>
      <c r="L56" s="429"/>
      <c r="M56" s="196" t="e">
        <f>RANK(K56, K$87:$K$101)</f>
        <v>#DIV/0!</v>
      </c>
      <c r="N56" s="423"/>
      <c r="O56" s="423"/>
      <c r="P56" s="197"/>
      <c r="Q56" s="169"/>
      <c r="R56" s="195"/>
      <c r="S56" s="197" t="e">
        <f t="shared" si="31"/>
        <v>#N/A</v>
      </c>
      <c r="T56" s="432"/>
      <c r="U56" s="197"/>
      <c r="V56" s="169"/>
      <c r="W56" s="195"/>
      <c r="X56" s="197" t="e">
        <f t="shared" si="32"/>
        <v>#N/A</v>
      </c>
      <c r="Y56" s="432"/>
      <c r="Z56" s="197"/>
      <c r="AA56" s="169"/>
      <c r="AB56" s="195"/>
      <c r="AC56" s="197" t="e">
        <f t="shared" si="33"/>
        <v>#N/A</v>
      </c>
      <c r="AD56" s="432"/>
      <c r="AE56" s="197"/>
      <c r="AF56" s="169"/>
      <c r="AG56" s="195"/>
      <c r="AH56" s="197" t="e">
        <f t="shared" si="34"/>
        <v>#N/A</v>
      </c>
      <c r="AI56" s="432"/>
      <c r="AJ56" s="197"/>
      <c r="AK56" s="169"/>
      <c r="AL56" s="195"/>
      <c r="AM56" s="197" t="e">
        <f t="shared" si="35"/>
        <v>#N/A</v>
      </c>
      <c r="AN56" s="432"/>
      <c r="AO56" s="197"/>
      <c r="AP56" s="169"/>
      <c r="AQ56" s="195"/>
      <c r="AR56" s="197" t="e">
        <f t="shared" si="36"/>
        <v>#N/A</v>
      </c>
      <c r="AS56" s="411"/>
      <c r="AT56" s="197"/>
      <c r="AU56" s="169"/>
      <c r="AV56" s="195"/>
      <c r="AW56" s="197" t="e">
        <f t="shared" si="37"/>
        <v>#N/A</v>
      </c>
      <c r="AX56" s="411"/>
    </row>
    <row r="57" spans="2:50">
      <c r="B57" s="422"/>
      <c r="C57" s="197">
        <v>11</v>
      </c>
      <c r="D57" s="197"/>
      <c r="E57" s="197"/>
      <c r="F57" s="197"/>
      <c r="G57" s="197"/>
      <c r="H57" s="429"/>
      <c r="I57" s="197"/>
      <c r="J57" s="197"/>
      <c r="K57" s="197"/>
      <c r="L57" s="429"/>
      <c r="M57" s="196" t="e">
        <f>RANK(K57, K$87:$K$101)</f>
        <v>#DIV/0!</v>
      </c>
      <c r="N57" s="423"/>
      <c r="O57" s="423"/>
      <c r="P57" s="197"/>
      <c r="Q57" s="197"/>
      <c r="R57" s="197"/>
      <c r="S57" s="197" t="e">
        <f t="shared" si="31"/>
        <v>#N/A</v>
      </c>
      <c r="T57" s="432"/>
      <c r="U57" s="197"/>
      <c r="V57" s="197"/>
      <c r="W57" s="197"/>
      <c r="X57" s="197" t="e">
        <f t="shared" si="32"/>
        <v>#N/A</v>
      </c>
      <c r="Y57" s="432"/>
      <c r="Z57" s="197"/>
      <c r="AA57" s="197"/>
      <c r="AB57" s="197"/>
      <c r="AC57" s="197" t="e">
        <f t="shared" si="33"/>
        <v>#N/A</v>
      </c>
      <c r="AD57" s="432"/>
      <c r="AE57" s="197"/>
      <c r="AF57" s="197"/>
      <c r="AG57" s="197"/>
      <c r="AH57" s="197" t="e">
        <f t="shared" si="34"/>
        <v>#N/A</v>
      </c>
      <c r="AI57" s="432"/>
      <c r="AJ57" s="197"/>
      <c r="AK57" s="197"/>
      <c r="AL57" s="197"/>
      <c r="AM57" s="197" t="e">
        <f t="shared" si="35"/>
        <v>#N/A</v>
      </c>
      <c r="AN57" s="432"/>
      <c r="AO57" s="197"/>
      <c r="AP57" s="197"/>
      <c r="AQ57" s="197"/>
      <c r="AR57" s="197" t="e">
        <f t="shared" si="36"/>
        <v>#N/A</v>
      </c>
      <c r="AS57" s="411"/>
      <c r="AT57" s="197"/>
      <c r="AU57" s="197"/>
      <c r="AV57" s="197"/>
      <c r="AW57" s="197" t="e">
        <f t="shared" si="37"/>
        <v>#N/A</v>
      </c>
      <c r="AX57" s="411"/>
    </row>
    <row r="58" spans="2:50">
      <c r="B58" s="422"/>
      <c r="C58" s="197">
        <v>12</v>
      </c>
      <c r="D58" s="197"/>
      <c r="E58" s="197"/>
      <c r="F58" s="197"/>
      <c r="G58" s="197"/>
      <c r="H58" s="429"/>
      <c r="I58" s="197"/>
      <c r="J58" s="197"/>
      <c r="K58" s="197"/>
      <c r="L58" s="429"/>
      <c r="M58" s="196" t="e">
        <f>RANK(K58, K$87:$K$101)</f>
        <v>#DIV/0!</v>
      </c>
      <c r="N58" s="423"/>
      <c r="O58" s="423"/>
      <c r="P58" s="197"/>
      <c r="Q58" s="197"/>
      <c r="R58" s="197"/>
      <c r="S58" s="197" t="e">
        <f t="shared" si="31"/>
        <v>#N/A</v>
      </c>
      <c r="T58" s="432"/>
      <c r="U58" s="197"/>
      <c r="V58" s="197"/>
      <c r="W58" s="197"/>
      <c r="X58" s="197" t="e">
        <f t="shared" si="32"/>
        <v>#N/A</v>
      </c>
      <c r="Y58" s="432"/>
      <c r="Z58" s="197"/>
      <c r="AA58" s="197"/>
      <c r="AB58" s="197"/>
      <c r="AC58" s="197" t="e">
        <f t="shared" si="33"/>
        <v>#N/A</v>
      </c>
      <c r="AD58" s="432"/>
      <c r="AE58" s="197"/>
      <c r="AF58" s="197"/>
      <c r="AG58" s="197"/>
      <c r="AH58" s="197" t="e">
        <f t="shared" si="34"/>
        <v>#N/A</v>
      </c>
      <c r="AI58" s="432"/>
      <c r="AJ58" s="197"/>
      <c r="AK58" s="197"/>
      <c r="AL58" s="197"/>
      <c r="AM58" s="197" t="e">
        <f t="shared" si="35"/>
        <v>#N/A</v>
      </c>
      <c r="AN58" s="432"/>
      <c r="AO58" s="197"/>
      <c r="AP58" s="197"/>
      <c r="AQ58" s="197"/>
      <c r="AR58" s="197" t="e">
        <f t="shared" si="36"/>
        <v>#N/A</v>
      </c>
      <c r="AS58" s="411"/>
      <c r="AT58" s="197"/>
      <c r="AU58" s="197"/>
      <c r="AV58" s="197"/>
      <c r="AW58" s="197" t="e">
        <f t="shared" si="37"/>
        <v>#N/A</v>
      </c>
      <c r="AX58" s="411"/>
    </row>
    <row r="59" spans="2:50">
      <c r="B59" s="422"/>
      <c r="C59" s="197">
        <v>13</v>
      </c>
      <c r="D59" s="197"/>
      <c r="E59" s="197"/>
      <c r="F59" s="197"/>
      <c r="G59" s="197"/>
      <c r="H59" s="429"/>
      <c r="I59" s="197"/>
      <c r="J59" s="197"/>
      <c r="K59" s="197"/>
      <c r="L59" s="429"/>
      <c r="M59" s="196" t="e">
        <f>RANK(K59, K$87:$K$101)</f>
        <v>#DIV/0!</v>
      </c>
      <c r="N59" s="423"/>
      <c r="O59" s="423"/>
      <c r="P59" s="197"/>
      <c r="Q59" s="197"/>
      <c r="R59" s="197"/>
      <c r="S59" s="197" t="e">
        <f t="shared" si="31"/>
        <v>#N/A</v>
      </c>
      <c r="T59" s="432"/>
      <c r="U59" s="197"/>
      <c r="V59" s="197"/>
      <c r="W59" s="197"/>
      <c r="X59" s="197" t="e">
        <f t="shared" si="32"/>
        <v>#N/A</v>
      </c>
      <c r="Y59" s="432"/>
      <c r="Z59" s="197"/>
      <c r="AA59" s="197"/>
      <c r="AB59" s="197"/>
      <c r="AC59" s="197" t="e">
        <f t="shared" si="33"/>
        <v>#N/A</v>
      </c>
      <c r="AD59" s="432"/>
      <c r="AE59" s="197"/>
      <c r="AF59" s="197"/>
      <c r="AG59" s="197"/>
      <c r="AH59" s="197" t="e">
        <f t="shared" si="34"/>
        <v>#N/A</v>
      </c>
      <c r="AI59" s="432"/>
      <c r="AJ59" s="197"/>
      <c r="AK59" s="197"/>
      <c r="AL59" s="197"/>
      <c r="AM59" s="197" t="e">
        <f t="shared" si="35"/>
        <v>#N/A</v>
      </c>
      <c r="AN59" s="432"/>
      <c r="AO59" s="197"/>
      <c r="AP59" s="197"/>
      <c r="AQ59" s="197"/>
      <c r="AR59" s="197" t="e">
        <f t="shared" si="36"/>
        <v>#N/A</v>
      </c>
      <c r="AS59" s="411"/>
      <c r="AT59" s="197"/>
      <c r="AU59" s="197"/>
      <c r="AV59" s="197"/>
      <c r="AW59" s="197" t="e">
        <f t="shared" si="37"/>
        <v>#N/A</v>
      </c>
      <c r="AX59" s="411"/>
    </row>
    <row r="60" spans="2:50">
      <c r="B60" s="422"/>
      <c r="C60" s="197">
        <v>14</v>
      </c>
      <c r="D60" s="197"/>
      <c r="E60" s="197"/>
      <c r="F60" s="197"/>
      <c r="G60" s="197"/>
      <c r="H60" s="429"/>
      <c r="I60" s="197"/>
      <c r="J60" s="197"/>
      <c r="K60" s="197"/>
      <c r="L60" s="429"/>
      <c r="M60" s="196" t="e">
        <f>RANK(K60, K$87:$K$101)</f>
        <v>#DIV/0!</v>
      </c>
      <c r="N60" s="423"/>
      <c r="O60" s="423"/>
      <c r="P60" s="197"/>
      <c r="Q60" s="197"/>
      <c r="R60" s="197"/>
      <c r="S60" s="197" t="e">
        <f t="shared" si="31"/>
        <v>#N/A</v>
      </c>
      <c r="T60" s="432"/>
      <c r="U60" s="197"/>
      <c r="V60" s="197"/>
      <c r="W60" s="197"/>
      <c r="X60" s="197" t="e">
        <f t="shared" si="32"/>
        <v>#N/A</v>
      </c>
      <c r="Y60" s="432"/>
      <c r="Z60" s="197"/>
      <c r="AA60" s="197"/>
      <c r="AB60" s="197"/>
      <c r="AC60" s="197" t="e">
        <f t="shared" si="33"/>
        <v>#N/A</v>
      </c>
      <c r="AD60" s="432"/>
      <c r="AE60" s="197"/>
      <c r="AF60" s="197"/>
      <c r="AG60" s="197"/>
      <c r="AH60" s="197" t="e">
        <f t="shared" si="34"/>
        <v>#N/A</v>
      </c>
      <c r="AI60" s="432"/>
      <c r="AJ60" s="197"/>
      <c r="AK60" s="197"/>
      <c r="AL60" s="197"/>
      <c r="AM60" s="197" t="e">
        <f t="shared" si="35"/>
        <v>#N/A</v>
      </c>
      <c r="AN60" s="432"/>
      <c r="AO60" s="197"/>
      <c r="AP60" s="197"/>
      <c r="AQ60" s="197"/>
      <c r="AR60" s="197" t="e">
        <f t="shared" si="36"/>
        <v>#N/A</v>
      </c>
      <c r="AS60" s="411"/>
      <c r="AT60" s="197"/>
      <c r="AU60" s="197"/>
      <c r="AV60" s="197"/>
      <c r="AW60" s="197" t="e">
        <f t="shared" si="37"/>
        <v>#N/A</v>
      </c>
      <c r="AX60" s="411"/>
    </row>
    <row r="61" spans="2:50">
      <c r="B61" s="422"/>
      <c r="C61" s="197">
        <v>15</v>
      </c>
      <c r="D61" s="197"/>
      <c r="E61" s="197"/>
      <c r="F61" s="197"/>
      <c r="G61" s="197"/>
      <c r="H61" s="430"/>
      <c r="I61" s="197"/>
      <c r="J61" s="197"/>
      <c r="K61" s="197"/>
      <c r="L61" s="430"/>
      <c r="M61" s="169" t="e">
        <f>RANK(K61, K$87:$K$101)</f>
        <v>#DIV/0!</v>
      </c>
      <c r="N61" s="423"/>
      <c r="O61" s="423"/>
      <c r="P61" s="197"/>
      <c r="Q61" s="197"/>
      <c r="R61" s="197"/>
      <c r="S61" s="197" t="e">
        <f t="shared" si="31"/>
        <v>#N/A</v>
      </c>
      <c r="T61" s="432"/>
      <c r="U61" s="197"/>
      <c r="V61" s="197"/>
      <c r="W61" s="197"/>
      <c r="X61" s="197" t="e">
        <f t="shared" si="32"/>
        <v>#N/A</v>
      </c>
      <c r="Y61" s="432"/>
      <c r="Z61" s="197"/>
      <c r="AA61" s="197"/>
      <c r="AB61" s="197"/>
      <c r="AC61" s="197" t="e">
        <f t="shared" si="33"/>
        <v>#N/A</v>
      </c>
      <c r="AD61" s="432"/>
      <c r="AE61" s="197"/>
      <c r="AF61" s="197"/>
      <c r="AG61" s="197"/>
      <c r="AH61" s="197" t="e">
        <f t="shared" si="34"/>
        <v>#N/A</v>
      </c>
      <c r="AI61" s="432"/>
      <c r="AJ61" s="197"/>
      <c r="AK61" s="197"/>
      <c r="AL61" s="197"/>
      <c r="AM61" s="197" t="e">
        <f t="shared" si="35"/>
        <v>#N/A</v>
      </c>
      <c r="AN61" s="432"/>
      <c r="AO61" s="197"/>
      <c r="AP61" s="197"/>
      <c r="AQ61" s="197"/>
      <c r="AR61" s="197" t="e">
        <f t="shared" si="36"/>
        <v>#N/A</v>
      </c>
      <c r="AS61" s="412"/>
      <c r="AT61" s="197"/>
      <c r="AU61" s="197"/>
      <c r="AV61" s="197"/>
      <c r="AW61" s="197" t="e">
        <f t="shared" si="37"/>
        <v>#N/A</v>
      </c>
      <c r="AX61" s="412"/>
    </row>
    <row r="62" spans="2:50" ht="15.75">
      <c r="B62" s="396" t="s">
        <v>202</v>
      </c>
      <c r="C62" s="427"/>
      <c r="D62" s="427"/>
      <c r="E62" s="427"/>
      <c r="F62" s="427"/>
      <c r="G62" s="427"/>
      <c r="H62" s="427"/>
      <c r="I62" s="201"/>
      <c r="J62" s="201"/>
      <c r="K62" s="201"/>
      <c r="L62" s="201"/>
      <c r="M62" s="200"/>
      <c r="N62" s="401" t="s">
        <v>203</v>
      </c>
      <c r="O62" s="401" t="s">
        <v>150</v>
      </c>
      <c r="P62" s="421">
        <f>P42+7</f>
        <v>45916</v>
      </c>
      <c r="Q62" s="422"/>
      <c r="R62" s="422"/>
      <c r="S62" s="422"/>
      <c r="T62" s="422"/>
      <c r="U62" s="416">
        <f>P62+1</f>
        <v>45917</v>
      </c>
      <c r="V62" s="417"/>
      <c r="W62" s="417"/>
      <c r="X62" s="417"/>
      <c r="Y62" s="418"/>
      <c r="Z62" s="416">
        <f>U62+1</f>
        <v>45918</v>
      </c>
      <c r="AA62" s="417"/>
      <c r="AB62" s="417"/>
      <c r="AC62" s="417"/>
      <c r="AD62" s="418"/>
      <c r="AE62" s="416">
        <f t="shared" ref="AE62" si="38">Z62+1</f>
        <v>45919</v>
      </c>
      <c r="AF62" s="417"/>
      <c r="AG62" s="417"/>
      <c r="AH62" s="417"/>
      <c r="AI62" s="418"/>
      <c r="AJ62" s="416">
        <f t="shared" ref="AJ62" si="39">AE62+1</f>
        <v>45920</v>
      </c>
      <c r="AK62" s="417"/>
      <c r="AL62" s="417"/>
      <c r="AM62" s="417"/>
      <c r="AN62" s="418"/>
      <c r="AO62" s="416">
        <f t="shared" ref="AO62" si="40">AJ62+1</f>
        <v>45921</v>
      </c>
      <c r="AP62" s="417"/>
      <c r="AQ62" s="417"/>
      <c r="AR62" s="417"/>
      <c r="AS62" s="418"/>
      <c r="AT62" s="416">
        <f t="shared" ref="AT62" si="41">AO62+1</f>
        <v>45922</v>
      </c>
      <c r="AU62" s="417"/>
      <c r="AV62" s="417"/>
      <c r="AW62" s="417"/>
      <c r="AX62" s="418"/>
    </row>
    <row r="63" spans="2:50" ht="15.75">
      <c r="B63" s="426"/>
      <c r="C63" s="426"/>
      <c r="D63" s="426"/>
      <c r="E63" s="426"/>
      <c r="F63" s="426"/>
      <c r="G63" s="426"/>
      <c r="H63" s="426"/>
      <c r="I63" s="199"/>
      <c r="J63" s="199"/>
      <c r="K63" s="199"/>
      <c r="L63" s="199"/>
      <c r="M63" s="194"/>
      <c r="N63" s="403"/>
      <c r="O63" s="403"/>
      <c r="P63" s="421" t="s">
        <v>204</v>
      </c>
      <c r="Q63" s="422"/>
      <c r="R63" s="422"/>
      <c r="S63" s="422"/>
      <c r="T63" s="422"/>
      <c r="U63" s="421" t="s">
        <v>205</v>
      </c>
      <c r="V63" s="422"/>
      <c r="W63" s="422"/>
      <c r="X63" s="422"/>
      <c r="Y63" s="422"/>
      <c r="Z63" s="421" t="s">
        <v>206</v>
      </c>
      <c r="AA63" s="422"/>
      <c r="AB63" s="422"/>
      <c r="AC63" s="422"/>
      <c r="AD63" s="422"/>
      <c r="AE63" s="421" t="s">
        <v>207</v>
      </c>
      <c r="AF63" s="422"/>
      <c r="AG63" s="422"/>
      <c r="AH63" s="422"/>
      <c r="AI63" s="422"/>
      <c r="AJ63" s="421" t="s">
        <v>208</v>
      </c>
      <c r="AK63" s="422"/>
      <c r="AL63" s="422"/>
      <c r="AM63" s="422"/>
      <c r="AN63" s="422"/>
      <c r="AO63" s="421" t="s">
        <v>157</v>
      </c>
      <c r="AP63" s="422"/>
      <c r="AQ63" s="422"/>
      <c r="AR63" s="422"/>
      <c r="AS63" s="422"/>
      <c r="AT63" s="421" t="s">
        <v>209</v>
      </c>
      <c r="AU63" s="422"/>
      <c r="AV63" s="422"/>
      <c r="AW63" s="422"/>
      <c r="AX63" s="422"/>
    </row>
    <row r="64" spans="2:50">
      <c r="B64" s="423" t="s">
        <v>210</v>
      </c>
      <c r="C64" s="423" t="s">
        <v>211</v>
      </c>
      <c r="D64" s="423"/>
      <c r="E64" s="423" t="s">
        <v>212</v>
      </c>
      <c r="F64" s="423"/>
      <c r="G64" s="423"/>
      <c r="H64" s="404" t="s">
        <v>213</v>
      </c>
      <c r="I64" s="423" t="s">
        <v>214</v>
      </c>
      <c r="J64" s="423"/>
      <c r="K64" s="423"/>
      <c r="L64" s="404" t="s">
        <v>213</v>
      </c>
      <c r="M64" s="401" t="s">
        <v>215</v>
      </c>
      <c r="N64" s="423"/>
      <c r="O64" s="423" t="s">
        <v>216</v>
      </c>
      <c r="P64" s="413" t="s">
        <v>217</v>
      </c>
      <c r="Q64" s="414"/>
      <c r="R64" s="414"/>
      <c r="S64" s="415"/>
      <c r="T64" s="423" t="s">
        <v>213</v>
      </c>
      <c r="U64" s="413" t="s">
        <v>217</v>
      </c>
      <c r="V64" s="414"/>
      <c r="W64" s="414"/>
      <c r="X64" s="415"/>
      <c r="Y64" s="423" t="s">
        <v>213</v>
      </c>
      <c r="Z64" s="413" t="s">
        <v>217</v>
      </c>
      <c r="AA64" s="414"/>
      <c r="AB64" s="414"/>
      <c r="AC64" s="415"/>
      <c r="AD64" s="423" t="s">
        <v>213</v>
      </c>
      <c r="AE64" s="413" t="s">
        <v>217</v>
      </c>
      <c r="AF64" s="414"/>
      <c r="AG64" s="414"/>
      <c r="AH64" s="415"/>
      <c r="AI64" s="423" t="s">
        <v>213</v>
      </c>
      <c r="AJ64" s="413" t="s">
        <v>217</v>
      </c>
      <c r="AK64" s="414"/>
      <c r="AL64" s="414"/>
      <c r="AM64" s="415"/>
      <c r="AN64" s="423" t="s">
        <v>213</v>
      </c>
      <c r="AO64" s="413" t="s">
        <v>217</v>
      </c>
      <c r="AP64" s="414"/>
      <c r="AQ64" s="414"/>
      <c r="AR64" s="415"/>
      <c r="AS64" s="423" t="s">
        <v>213</v>
      </c>
      <c r="AT64" s="413" t="s">
        <v>217</v>
      </c>
      <c r="AU64" s="414"/>
      <c r="AV64" s="414"/>
      <c r="AW64" s="415"/>
      <c r="AX64" s="423" t="s">
        <v>213</v>
      </c>
    </row>
    <row r="65" spans="2:50">
      <c r="B65" s="423"/>
      <c r="C65" s="423"/>
      <c r="D65" s="423"/>
      <c r="E65" s="423" t="s">
        <v>218</v>
      </c>
      <c r="F65" s="423"/>
      <c r="G65" s="423"/>
      <c r="H65" s="406"/>
      <c r="I65" s="423" t="s">
        <v>218</v>
      </c>
      <c r="J65" s="423"/>
      <c r="K65" s="423"/>
      <c r="L65" s="406"/>
      <c r="M65" s="402"/>
      <c r="N65" s="423"/>
      <c r="O65" s="423"/>
      <c r="P65" s="413" t="s">
        <v>219</v>
      </c>
      <c r="Q65" s="414"/>
      <c r="R65" s="414"/>
      <c r="S65" s="415"/>
      <c r="T65" s="423"/>
      <c r="U65" s="413" t="s">
        <v>219</v>
      </c>
      <c r="V65" s="414"/>
      <c r="W65" s="414"/>
      <c r="X65" s="415"/>
      <c r="Y65" s="423"/>
      <c r="Z65" s="413" t="s">
        <v>219</v>
      </c>
      <c r="AA65" s="414"/>
      <c r="AB65" s="414"/>
      <c r="AC65" s="415"/>
      <c r="AD65" s="423"/>
      <c r="AE65" s="413" t="s">
        <v>219</v>
      </c>
      <c r="AF65" s="414"/>
      <c r="AG65" s="414"/>
      <c r="AH65" s="415"/>
      <c r="AI65" s="423"/>
      <c r="AJ65" s="413" t="s">
        <v>219</v>
      </c>
      <c r="AK65" s="414"/>
      <c r="AL65" s="414"/>
      <c r="AM65" s="415"/>
      <c r="AN65" s="423"/>
      <c r="AO65" s="413" t="s">
        <v>219</v>
      </c>
      <c r="AP65" s="414"/>
      <c r="AQ65" s="414"/>
      <c r="AR65" s="415"/>
      <c r="AS65" s="423"/>
      <c r="AT65" s="413" t="s">
        <v>219</v>
      </c>
      <c r="AU65" s="414"/>
      <c r="AV65" s="414"/>
      <c r="AW65" s="415"/>
      <c r="AX65" s="423"/>
    </row>
    <row r="66" spans="2:50">
      <c r="B66" s="423"/>
      <c r="C66" s="423"/>
      <c r="D66" s="423"/>
      <c r="E66" s="297" t="s">
        <v>220</v>
      </c>
      <c r="F66" s="297" t="s">
        <v>221</v>
      </c>
      <c r="G66" s="297" t="s">
        <v>222</v>
      </c>
      <c r="H66" s="408"/>
      <c r="I66" s="297" t="s">
        <v>220</v>
      </c>
      <c r="J66" s="297" t="s">
        <v>221</v>
      </c>
      <c r="K66" s="297" t="s">
        <v>222</v>
      </c>
      <c r="L66" s="408"/>
      <c r="M66" s="403"/>
      <c r="N66" s="423"/>
      <c r="O66" s="423"/>
      <c r="P66" s="297" t="s">
        <v>220</v>
      </c>
      <c r="Q66" s="297" t="s">
        <v>221</v>
      </c>
      <c r="R66" s="297" t="s">
        <v>222</v>
      </c>
      <c r="S66" s="297" t="s">
        <v>215</v>
      </c>
      <c r="T66" s="423"/>
      <c r="U66" s="297" t="s">
        <v>220</v>
      </c>
      <c r="V66" s="297" t="s">
        <v>221</v>
      </c>
      <c r="W66" s="297" t="s">
        <v>222</v>
      </c>
      <c r="X66" s="297" t="s">
        <v>215</v>
      </c>
      <c r="Y66" s="423"/>
      <c r="Z66" s="297" t="s">
        <v>220</v>
      </c>
      <c r="AA66" s="297" t="s">
        <v>221</v>
      </c>
      <c r="AB66" s="297" t="s">
        <v>222</v>
      </c>
      <c r="AC66" s="297" t="s">
        <v>215</v>
      </c>
      <c r="AD66" s="423"/>
      <c r="AE66" s="297" t="s">
        <v>220</v>
      </c>
      <c r="AF66" s="297" t="s">
        <v>221</v>
      </c>
      <c r="AG66" s="297" t="s">
        <v>222</v>
      </c>
      <c r="AH66" s="297" t="s">
        <v>215</v>
      </c>
      <c r="AI66" s="423"/>
      <c r="AJ66" s="297" t="s">
        <v>220</v>
      </c>
      <c r="AK66" s="297" t="s">
        <v>221</v>
      </c>
      <c r="AL66" s="297" t="s">
        <v>222</v>
      </c>
      <c r="AM66" s="297" t="s">
        <v>215</v>
      </c>
      <c r="AN66" s="423"/>
      <c r="AO66" s="297" t="s">
        <v>220</v>
      </c>
      <c r="AP66" s="297" t="s">
        <v>221</v>
      </c>
      <c r="AQ66" s="297" t="s">
        <v>222</v>
      </c>
      <c r="AR66" s="297" t="s">
        <v>215</v>
      </c>
      <c r="AS66" s="423"/>
      <c r="AT66" s="297" t="s">
        <v>220</v>
      </c>
      <c r="AU66" s="297" t="s">
        <v>221</v>
      </c>
      <c r="AV66" s="297" t="s">
        <v>222</v>
      </c>
      <c r="AW66" s="297" t="s">
        <v>215</v>
      </c>
      <c r="AX66" s="423"/>
    </row>
    <row r="67" spans="2:50">
      <c r="B67" s="431" t="s">
        <v>247</v>
      </c>
      <c r="C67" s="197">
        <v>1</v>
      </c>
      <c r="D67" s="197"/>
      <c r="E67" s="197"/>
      <c r="F67" s="197"/>
      <c r="G67" s="197"/>
      <c r="H67" s="428" t="e">
        <f>AVERAGE(G67:G81)</f>
        <v>#DIV/0!</v>
      </c>
      <c r="I67" s="169" t="e">
        <f>AVERAGE(P67,U67,Z67,AE67,AJ67,AO67,AT67)</f>
        <v>#DIV/0!</v>
      </c>
      <c r="J67" s="169" t="e">
        <f>AVERAGE(Q67,V67,AA67,AF67,AK67,AP67,AU67)</f>
        <v>#DIV/0!</v>
      </c>
      <c r="K67" s="195" t="e">
        <f>AVERAGE(R67,W67,AB67,AG67,AL67,AQ67,AV67)</f>
        <v>#DIV/0!</v>
      </c>
      <c r="L67" s="428" t="str">
        <f>IFERROR(AVERAGE(K67:K81),"-")</f>
        <v>-</v>
      </c>
      <c r="M67" s="196" t="e">
        <f>RANK(K67, K$87:$K$101)</f>
        <v>#DIV/0!</v>
      </c>
      <c r="N67" s="423"/>
      <c r="O67" s="423"/>
      <c r="P67" s="197"/>
      <c r="Q67" s="169"/>
      <c r="R67" s="195"/>
      <c r="S67" s="197" t="e">
        <f>RANK(R67, R$87:R$101)</f>
        <v>#N/A</v>
      </c>
      <c r="T67" s="432" t="e">
        <f>AVERAGE(R67:R81)</f>
        <v>#DIV/0!</v>
      </c>
      <c r="U67" s="197"/>
      <c r="V67" s="169"/>
      <c r="W67" s="195"/>
      <c r="X67" s="197" t="e">
        <f>RANK(W67, W$87:W$101)</f>
        <v>#N/A</v>
      </c>
      <c r="Y67" s="432" t="e">
        <f>AVERAGE(W67:W81)</f>
        <v>#DIV/0!</v>
      </c>
      <c r="Z67" s="197"/>
      <c r="AA67" s="169"/>
      <c r="AB67" s="195"/>
      <c r="AC67" s="197" t="e">
        <f>RANK(AB67, AB$87:AB$101)</f>
        <v>#N/A</v>
      </c>
      <c r="AD67" s="432" t="e">
        <f>AVERAGE(AB67:AB81)</f>
        <v>#DIV/0!</v>
      </c>
      <c r="AE67" s="197"/>
      <c r="AF67" s="169"/>
      <c r="AG67" s="195"/>
      <c r="AH67" s="197" t="e">
        <f>RANK(AG67, AG$87:AG$101)</f>
        <v>#N/A</v>
      </c>
      <c r="AI67" s="432" t="e">
        <f>AVERAGE(AG67:AG81)</f>
        <v>#DIV/0!</v>
      </c>
      <c r="AJ67" s="197"/>
      <c r="AK67" s="169"/>
      <c r="AL67" s="195"/>
      <c r="AM67" s="197" t="e">
        <f>RANK(AL67, AL$87:AL$101)</f>
        <v>#N/A</v>
      </c>
      <c r="AN67" s="432" t="e">
        <f>AVERAGE(AL67:AL81)</f>
        <v>#DIV/0!</v>
      </c>
      <c r="AO67" s="197"/>
      <c r="AP67" s="169"/>
      <c r="AQ67" s="195"/>
      <c r="AR67" s="197" t="e">
        <f>RANK(AQ67, AQ$87:AQ$101)</f>
        <v>#N/A</v>
      </c>
      <c r="AS67" s="432" t="e">
        <f>AVERAGE(AQ67:AQ81)</f>
        <v>#DIV/0!</v>
      </c>
      <c r="AT67" s="197"/>
      <c r="AU67" s="169"/>
      <c r="AV67" s="195"/>
      <c r="AW67" s="197" t="e">
        <f>RANK(AV67, AV$87:AV$101)</f>
        <v>#N/A</v>
      </c>
      <c r="AX67" s="432" t="e">
        <f>AVERAGE(AV67:AV81)</f>
        <v>#DIV/0!</v>
      </c>
    </row>
    <row r="68" spans="2:50">
      <c r="B68" s="422"/>
      <c r="C68" s="197">
        <v>2</v>
      </c>
      <c r="D68" s="197"/>
      <c r="E68" s="197"/>
      <c r="F68" s="197"/>
      <c r="G68" s="197"/>
      <c r="H68" s="429"/>
      <c r="I68" s="169" t="e">
        <f t="shared" ref="I68:I73" si="42">AVERAGE(P68,U68,Z68,AE68,AJ68,AO68,AT68)</f>
        <v>#DIV/0!</v>
      </c>
      <c r="J68" s="169" t="e">
        <f t="shared" ref="J68:J73" si="43">AVERAGE(Q68,V68,AA68,AF68,AK68,AP68,AU68)</f>
        <v>#DIV/0!</v>
      </c>
      <c r="K68" s="195" t="e">
        <f t="shared" ref="K68:K73" si="44">AVERAGE(R68,W68,AB68,AG68,AL68,AQ68,AV68)</f>
        <v>#DIV/0!</v>
      </c>
      <c r="L68" s="429"/>
      <c r="M68" s="196" t="e">
        <f>RANK(K68, K$87:$K$101)</f>
        <v>#DIV/0!</v>
      </c>
      <c r="N68" s="423"/>
      <c r="O68" s="423"/>
      <c r="P68" s="197"/>
      <c r="Q68" s="169"/>
      <c r="R68" s="195"/>
      <c r="S68" s="197" t="e">
        <f t="shared" ref="S68:S81" si="45">RANK(R68, R$87:R$101)</f>
        <v>#N/A</v>
      </c>
      <c r="T68" s="432"/>
      <c r="U68" s="197"/>
      <c r="V68" s="169"/>
      <c r="W68" s="195"/>
      <c r="X68" s="197" t="e">
        <f t="shared" ref="X68:X81" si="46">RANK(W68, W$87:W$101)</f>
        <v>#N/A</v>
      </c>
      <c r="Y68" s="432"/>
      <c r="Z68" s="197"/>
      <c r="AA68" s="169"/>
      <c r="AB68" s="195"/>
      <c r="AC68" s="197" t="e">
        <f t="shared" ref="AC68:AC81" si="47">RANK(AB68, AB$87:AB$101)</f>
        <v>#N/A</v>
      </c>
      <c r="AD68" s="432"/>
      <c r="AE68" s="197"/>
      <c r="AF68" s="169"/>
      <c r="AG68" s="195"/>
      <c r="AH68" s="197" t="e">
        <f t="shared" ref="AH68:AH81" si="48">RANK(AG68, AG$87:AG$101)</f>
        <v>#N/A</v>
      </c>
      <c r="AI68" s="432"/>
      <c r="AJ68" s="197"/>
      <c r="AK68" s="169"/>
      <c r="AL68" s="195"/>
      <c r="AM68" s="197" t="e">
        <f t="shared" ref="AM68:AM81" si="49">RANK(AL68, AL$87:AL$101)</f>
        <v>#N/A</v>
      </c>
      <c r="AN68" s="432"/>
      <c r="AO68" s="197"/>
      <c r="AP68" s="169"/>
      <c r="AQ68" s="195"/>
      <c r="AR68" s="197" t="e">
        <f t="shared" ref="AR68:AR81" si="50">RANK(AQ68, AQ$87:AQ$101)</f>
        <v>#N/A</v>
      </c>
      <c r="AS68" s="432"/>
      <c r="AT68" s="197"/>
      <c r="AU68" s="169"/>
      <c r="AV68" s="195"/>
      <c r="AW68" s="197" t="e">
        <f t="shared" ref="AW68:AW81" si="51">RANK(AV68, AV$87:AV$101)</f>
        <v>#N/A</v>
      </c>
      <c r="AX68" s="432"/>
    </row>
    <row r="69" spans="2:50">
      <c r="B69" s="422"/>
      <c r="C69" s="197">
        <v>3</v>
      </c>
      <c r="D69" s="197"/>
      <c r="E69" s="197"/>
      <c r="F69" s="197"/>
      <c r="G69" s="197"/>
      <c r="H69" s="429"/>
      <c r="I69" s="169" t="e">
        <f t="shared" si="42"/>
        <v>#DIV/0!</v>
      </c>
      <c r="J69" s="169" t="e">
        <f t="shared" si="43"/>
        <v>#DIV/0!</v>
      </c>
      <c r="K69" s="195" t="e">
        <f t="shared" si="44"/>
        <v>#DIV/0!</v>
      </c>
      <c r="L69" s="429"/>
      <c r="M69" s="196" t="e">
        <f>RANK(K69, K$87:$K$101)</f>
        <v>#DIV/0!</v>
      </c>
      <c r="N69" s="423"/>
      <c r="O69" s="423"/>
      <c r="P69" s="197"/>
      <c r="Q69" s="169"/>
      <c r="R69" s="195"/>
      <c r="S69" s="197" t="e">
        <f t="shared" si="45"/>
        <v>#N/A</v>
      </c>
      <c r="T69" s="432"/>
      <c r="U69" s="197"/>
      <c r="V69" s="169"/>
      <c r="W69" s="195"/>
      <c r="X69" s="197" t="e">
        <f t="shared" si="46"/>
        <v>#N/A</v>
      </c>
      <c r="Y69" s="432"/>
      <c r="Z69" s="197"/>
      <c r="AA69" s="169"/>
      <c r="AB69" s="195"/>
      <c r="AC69" s="197" t="e">
        <f t="shared" si="47"/>
        <v>#N/A</v>
      </c>
      <c r="AD69" s="432"/>
      <c r="AE69" s="197"/>
      <c r="AF69" s="169"/>
      <c r="AG69" s="195"/>
      <c r="AH69" s="197" t="e">
        <f t="shared" si="48"/>
        <v>#N/A</v>
      </c>
      <c r="AI69" s="432"/>
      <c r="AJ69" s="197"/>
      <c r="AK69" s="169"/>
      <c r="AL69" s="195"/>
      <c r="AM69" s="197" t="e">
        <f t="shared" si="49"/>
        <v>#N/A</v>
      </c>
      <c r="AN69" s="432"/>
      <c r="AO69" s="197"/>
      <c r="AP69" s="169"/>
      <c r="AQ69" s="195"/>
      <c r="AR69" s="197" t="e">
        <f t="shared" si="50"/>
        <v>#N/A</v>
      </c>
      <c r="AS69" s="432"/>
      <c r="AT69" s="197"/>
      <c r="AU69" s="169"/>
      <c r="AV69" s="195"/>
      <c r="AW69" s="197" t="e">
        <f t="shared" si="51"/>
        <v>#N/A</v>
      </c>
      <c r="AX69" s="432"/>
    </row>
    <row r="70" spans="2:50">
      <c r="B70" s="422"/>
      <c r="C70" s="197">
        <v>4</v>
      </c>
      <c r="D70" s="197"/>
      <c r="E70" s="197"/>
      <c r="F70" s="197"/>
      <c r="G70" s="197"/>
      <c r="H70" s="429"/>
      <c r="I70" s="169" t="e">
        <f t="shared" si="42"/>
        <v>#DIV/0!</v>
      </c>
      <c r="J70" s="169" t="e">
        <f t="shared" si="43"/>
        <v>#DIV/0!</v>
      </c>
      <c r="K70" s="195" t="e">
        <f t="shared" si="44"/>
        <v>#DIV/0!</v>
      </c>
      <c r="L70" s="429"/>
      <c r="M70" s="196" t="e">
        <f>RANK(K70, K$87:$K$101)</f>
        <v>#DIV/0!</v>
      </c>
      <c r="N70" s="423"/>
      <c r="O70" s="423"/>
      <c r="P70" s="197"/>
      <c r="Q70" s="169"/>
      <c r="R70" s="195"/>
      <c r="S70" s="197" t="e">
        <f t="shared" si="45"/>
        <v>#N/A</v>
      </c>
      <c r="T70" s="432"/>
      <c r="U70" s="197"/>
      <c r="V70" s="169"/>
      <c r="W70" s="195"/>
      <c r="X70" s="197" t="e">
        <f t="shared" si="46"/>
        <v>#N/A</v>
      </c>
      <c r="Y70" s="432"/>
      <c r="Z70" s="197"/>
      <c r="AA70" s="169"/>
      <c r="AB70" s="195"/>
      <c r="AC70" s="197" t="e">
        <f t="shared" si="47"/>
        <v>#N/A</v>
      </c>
      <c r="AD70" s="432"/>
      <c r="AE70" s="197"/>
      <c r="AF70" s="169"/>
      <c r="AG70" s="195"/>
      <c r="AH70" s="197" t="e">
        <f t="shared" si="48"/>
        <v>#N/A</v>
      </c>
      <c r="AI70" s="432"/>
      <c r="AJ70" s="197"/>
      <c r="AK70" s="169"/>
      <c r="AL70" s="195"/>
      <c r="AM70" s="197" t="e">
        <f t="shared" si="49"/>
        <v>#N/A</v>
      </c>
      <c r="AN70" s="432"/>
      <c r="AO70" s="197"/>
      <c r="AP70" s="169"/>
      <c r="AQ70" s="195"/>
      <c r="AR70" s="197" t="e">
        <f t="shared" si="50"/>
        <v>#N/A</v>
      </c>
      <c r="AS70" s="432"/>
      <c r="AT70" s="197"/>
      <c r="AU70" s="169"/>
      <c r="AV70" s="195"/>
      <c r="AW70" s="197" t="e">
        <f t="shared" si="51"/>
        <v>#N/A</v>
      </c>
      <c r="AX70" s="432"/>
    </row>
    <row r="71" spans="2:50">
      <c r="B71" s="422"/>
      <c r="C71" s="197">
        <v>5</v>
      </c>
      <c r="D71" s="197"/>
      <c r="E71" s="197"/>
      <c r="F71" s="197"/>
      <c r="G71" s="197"/>
      <c r="H71" s="429"/>
      <c r="I71" s="169" t="e">
        <f t="shared" si="42"/>
        <v>#DIV/0!</v>
      </c>
      <c r="J71" s="169" t="e">
        <f t="shared" si="43"/>
        <v>#DIV/0!</v>
      </c>
      <c r="K71" s="195" t="e">
        <f t="shared" si="44"/>
        <v>#DIV/0!</v>
      </c>
      <c r="L71" s="429"/>
      <c r="M71" s="196" t="e">
        <f>RANK(K71, K$87:$K$101)</f>
        <v>#DIV/0!</v>
      </c>
      <c r="N71" s="423"/>
      <c r="O71" s="423"/>
      <c r="P71" s="197"/>
      <c r="Q71" s="169"/>
      <c r="R71" s="195"/>
      <c r="S71" s="197" t="e">
        <f t="shared" si="45"/>
        <v>#N/A</v>
      </c>
      <c r="T71" s="432"/>
      <c r="U71" s="197"/>
      <c r="V71" s="169"/>
      <c r="W71" s="195"/>
      <c r="X71" s="197" t="e">
        <f t="shared" si="46"/>
        <v>#N/A</v>
      </c>
      <c r="Y71" s="432"/>
      <c r="Z71" s="197"/>
      <c r="AA71" s="169"/>
      <c r="AB71" s="195"/>
      <c r="AC71" s="197" t="e">
        <f t="shared" si="47"/>
        <v>#N/A</v>
      </c>
      <c r="AD71" s="432"/>
      <c r="AE71" s="197"/>
      <c r="AF71" s="169"/>
      <c r="AG71" s="195"/>
      <c r="AH71" s="197" t="e">
        <f t="shared" si="48"/>
        <v>#N/A</v>
      </c>
      <c r="AI71" s="432"/>
      <c r="AJ71" s="197"/>
      <c r="AK71" s="169"/>
      <c r="AL71" s="195"/>
      <c r="AM71" s="197" t="e">
        <f t="shared" si="49"/>
        <v>#N/A</v>
      </c>
      <c r="AN71" s="432"/>
      <c r="AO71" s="197"/>
      <c r="AP71" s="169"/>
      <c r="AQ71" s="195"/>
      <c r="AR71" s="197" t="e">
        <f t="shared" si="50"/>
        <v>#N/A</v>
      </c>
      <c r="AS71" s="432"/>
      <c r="AT71" s="197"/>
      <c r="AU71" s="169"/>
      <c r="AV71" s="195"/>
      <c r="AW71" s="197" t="e">
        <f t="shared" si="51"/>
        <v>#N/A</v>
      </c>
      <c r="AX71" s="432"/>
    </row>
    <row r="72" spans="2:50">
      <c r="B72" s="422"/>
      <c r="C72" s="197">
        <v>6</v>
      </c>
      <c r="D72" s="197"/>
      <c r="E72" s="197"/>
      <c r="F72" s="197"/>
      <c r="G72" s="197"/>
      <c r="H72" s="429"/>
      <c r="I72" s="169" t="e">
        <f t="shared" si="42"/>
        <v>#DIV/0!</v>
      </c>
      <c r="J72" s="169" t="e">
        <f t="shared" si="43"/>
        <v>#DIV/0!</v>
      </c>
      <c r="K72" s="195" t="e">
        <f t="shared" si="44"/>
        <v>#DIV/0!</v>
      </c>
      <c r="L72" s="429"/>
      <c r="M72" s="196" t="e">
        <f>RANK(K72, K$87:$K$101)</f>
        <v>#DIV/0!</v>
      </c>
      <c r="N72" s="423"/>
      <c r="O72" s="423"/>
      <c r="P72" s="197"/>
      <c r="Q72" s="169"/>
      <c r="R72" s="195"/>
      <c r="S72" s="197" t="e">
        <f t="shared" si="45"/>
        <v>#N/A</v>
      </c>
      <c r="T72" s="432"/>
      <c r="U72" s="197"/>
      <c r="V72" s="169"/>
      <c r="W72" s="195"/>
      <c r="X72" s="197" t="e">
        <f t="shared" si="46"/>
        <v>#N/A</v>
      </c>
      <c r="Y72" s="432"/>
      <c r="Z72" s="197"/>
      <c r="AA72" s="169"/>
      <c r="AB72" s="195"/>
      <c r="AC72" s="197" t="e">
        <f t="shared" si="47"/>
        <v>#N/A</v>
      </c>
      <c r="AD72" s="432"/>
      <c r="AE72" s="197"/>
      <c r="AF72" s="169"/>
      <c r="AG72" s="195"/>
      <c r="AH72" s="197" t="e">
        <f t="shared" si="48"/>
        <v>#N/A</v>
      </c>
      <c r="AI72" s="432"/>
      <c r="AJ72" s="197"/>
      <c r="AK72" s="169"/>
      <c r="AL72" s="195"/>
      <c r="AM72" s="197" t="e">
        <f t="shared" si="49"/>
        <v>#N/A</v>
      </c>
      <c r="AN72" s="432"/>
      <c r="AO72" s="197"/>
      <c r="AP72" s="169"/>
      <c r="AQ72" s="195"/>
      <c r="AR72" s="197" t="e">
        <f t="shared" si="50"/>
        <v>#N/A</v>
      </c>
      <c r="AS72" s="432"/>
      <c r="AT72" s="197"/>
      <c r="AU72" s="169"/>
      <c r="AV72" s="195"/>
      <c r="AW72" s="197" t="e">
        <f t="shared" si="51"/>
        <v>#N/A</v>
      </c>
      <c r="AX72" s="432"/>
    </row>
    <row r="73" spans="2:50">
      <c r="B73" s="422"/>
      <c r="C73" s="197">
        <v>7</v>
      </c>
      <c r="D73" s="197"/>
      <c r="E73" s="197"/>
      <c r="F73" s="197"/>
      <c r="G73" s="197"/>
      <c r="H73" s="429"/>
      <c r="I73" s="169" t="e">
        <f t="shared" si="42"/>
        <v>#DIV/0!</v>
      </c>
      <c r="J73" s="169" t="e">
        <f t="shared" si="43"/>
        <v>#DIV/0!</v>
      </c>
      <c r="K73" s="195" t="e">
        <f t="shared" si="44"/>
        <v>#DIV/0!</v>
      </c>
      <c r="L73" s="429"/>
      <c r="M73" s="196" t="e">
        <f>RANK(K73, K$87:$K$101)</f>
        <v>#DIV/0!</v>
      </c>
      <c r="N73" s="423"/>
      <c r="O73" s="423"/>
      <c r="P73" s="197"/>
      <c r="Q73" s="169"/>
      <c r="R73" s="195"/>
      <c r="S73" s="197" t="e">
        <f t="shared" si="45"/>
        <v>#N/A</v>
      </c>
      <c r="T73" s="432"/>
      <c r="U73" s="197"/>
      <c r="V73" s="169"/>
      <c r="W73" s="195"/>
      <c r="X73" s="197" t="e">
        <f t="shared" si="46"/>
        <v>#N/A</v>
      </c>
      <c r="Y73" s="432"/>
      <c r="Z73" s="197"/>
      <c r="AA73" s="169"/>
      <c r="AB73" s="195"/>
      <c r="AC73" s="197" t="e">
        <f t="shared" si="47"/>
        <v>#N/A</v>
      </c>
      <c r="AD73" s="432"/>
      <c r="AE73" s="197"/>
      <c r="AF73" s="169"/>
      <c r="AG73" s="195"/>
      <c r="AH73" s="197" t="e">
        <f t="shared" si="48"/>
        <v>#N/A</v>
      </c>
      <c r="AI73" s="432"/>
      <c r="AJ73" s="197"/>
      <c r="AK73" s="169"/>
      <c r="AL73" s="195"/>
      <c r="AM73" s="197" t="e">
        <f t="shared" si="49"/>
        <v>#N/A</v>
      </c>
      <c r="AN73" s="432"/>
      <c r="AO73" s="197"/>
      <c r="AP73" s="169"/>
      <c r="AQ73" s="195"/>
      <c r="AR73" s="197" t="e">
        <f t="shared" si="50"/>
        <v>#N/A</v>
      </c>
      <c r="AS73" s="432"/>
      <c r="AT73" s="197"/>
      <c r="AU73" s="169"/>
      <c r="AV73" s="195"/>
      <c r="AW73" s="197" t="e">
        <f t="shared" si="51"/>
        <v>#N/A</v>
      </c>
      <c r="AX73" s="432"/>
    </row>
    <row r="74" spans="2:50">
      <c r="B74" s="422"/>
      <c r="C74" s="197">
        <v>8</v>
      </c>
      <c r="D74" s="197"/>
      <c r="E74" s="197"/>
      <c r="F74" s="197"/>
      <c r="G74" s="197"/>
      <c r="H74" s="429"/>
      <c r="I74" s="169"/>
      <c r="J74" s="169"/>
      <c r="K74" s="195"/>
      <c r="L74" s="429"/>
      <c r="M74" s="196" t="e">
        <f>RANK(K74, K$87:$K$101)</f>
        <v>#DIV/0!</v>
      </c>
      <c r="N74" s="423"/>
      <c r="O74" s="423"/>
      <c r="P74" s="197"/>
      <c r="Q74" s="169"/>
      <c r="R74" s="195"/>
      <c r="S74" s="197" t="e">
        <f t="shared" si="45"/>
        <v>#N/A</v>
      </c>
      <c r="T74" s="432"/>
      <c r="U74" s="197"/>
      <c r="V74" s="169"/>
      <c r="W74" s="195"/>
      <c r="X74" s="197" t="e">
        <f t="shared" si="46"/>
        <v>#N/A</v>
      </c>
      <c r="Y74" s="432"/>
      <c r="Z74" s="197"/>
      <c r="AA74" s="169"/>
      <c r="AB74" s="195"/>
      <c r="AC74" s="197" t="e">
        <f t="shared" si="47"/>
        <v>#N/A</v>
      </c>
      <c r="AD74" s="432"/>
      <c r="AE74" s="197"/>
      <c r="AF74" s="169"/>
      <c r="AG74" s="195"/>
      <c r="AH74" s="197" t="e">
        <f t="shared" si="48"/>
        <v>#N/A</v>
      </c>
      <c r="AI74" s="432"/>
      <c r="AJ74" s="197"/>
      <c r="AK74" s="169"/>
      <c r="AL74" s="195"/>
      <c r="AM74" s="197" t="e">
        <f t="shared" si="49"/>
        <v>#N/A</v>
      </c>
      <c r="AN74" s="432"/>
      <c r="AO74" s="197"/>
      <c r="AP74" s="169"/>
      <c r="AQ74" s="195"/>
      <c r="AR74" s="197" t="e">
        <f t="shared" si="50"/>
        <v>#N/A</v>
      </c>
      <c r="AS74" s="432"/>
      <c r="AT74" s="197"/>
      <c r="AU74" s="169"/>
      <c r="AV74" s="195"/>
      <c r="AW74" s="197" t="e">
        <f t="shared" si="51"/>
        <v>#N/A</v>
      </c>
      <c r="AX74" s="432"/>
    </row>
    <row r="75" spans="2:50">
      <c r="B75" s="422"/>
      <c r="C75" s="197">
        <v>9</v>
      </c>
      <c r="D75" s="197"/>
      <c r="E75" s="197"/>
      <c r="F75" s="197"/>
      <c r="G75" s="197"/>
      <c r="H75" s="429"/>
      <c r="I75" s="169"/>
      <c r="J75" s="169"/>
      <c r="K75" s="195"/>
      <c r="L75" s="429"/>
      <c r="M75" s="196" t="e">
        <f>RANK(K75, K$87:$K$101)</f>
        <v>#DIV/0!</v>
      </c>
      <c r="N75" s="423"/>
      <c r="O75" s="423"/>
      <c r="P75" s="197"/>
      <c r="Q75" s="169"/>
      <c r="R75" s="195"/>
      <c r="S75" s="197" t="e">
        <f t="shared" si="45"/>
        <v>#N/A</v>
      </c>
      <c r="T75" s="432"/>
      <c r="U75" s="197"/>
      <c r="V75" s="169"/>
      <c r="W75" s="195"/>
      <c r="X75" s="197" t="e">
        <f t="shared" si="46"/>
        <v>#N/A</v>
      </c>
      <c r="Y75" s="432"/>
      <c r="Z75" s="197"/>
      <c r="AA75" s="169"/>
      <c r="AB75" s="195"/>
      <c r="AC75" s="197" t="e">
        <f t="shared" si="47"/>
        <v>#N/A</v>
      </c>
      <c r="AD75" s="432"/>
      <c r="AE75" s="197"/>
      <c r="AF75" s="169"/>
      <c r="AG75" s="195"/>
      <c r="AH75" s="197" t="e">
        <f t="shared" si="48"/>
        <v>#N/A</v>
      </c>
      <c r="AI75" s="432"/>
      <c r="AJ75" s="197"/>
      <c r="AK75" s="169"/>
      <c r="AL75" s="195"/>
      <c r="AM75" s="197" t="e">
        <f t="shared" si="49"/>
        <v>#N/A</v>
      </c>
      <c r="AN75" s="432"/>
      <c r="AO75" s="197"/>
      <c r="AP75" s="169"/>
      <c r="AQ75" s="195"/>
      <c r="AR75" s="197" t="e">
        <f t="shared" si="50"/>
        <v>#N/A</v>
      </c>
      <c r="AS75" s="432"/>
      <c r="AT75" s="197"/>
      <c r="AU75" s="169"/>
      <c r="AV75" s="195"/>
      <c r="AW75" s="197" t="e">
        <f t="shared" si="51"/>
        <v>#N/A</v>
      </c>
      <c r="AX75" s="432"/>
    </row>
    <row r="76" spans="2:50">
      <c r="B76" s="422"/>
      <c r="C76" s="197">
        <v>10</v>
      </c>
      <c r="D76" s="197"/>
      <c r="E76" s="197"/>
      <c r="F76" s="197"/>
      <c r="G76" s="197"/>
      <c r="H76" s="429"/>
      <c r="I76" s="169"/>
      <c r="J76" s="169"/>
      <c r="K76" s="195"/>
      <c r="L76" s="429"/>
      <c r="M76" s="196" t="e">
        <f>RANK(K76, K$87:$K$101)</f>
        <v>#DIV/0!</v>
      </c>
      <c r="N76" s="423"/>
      <c r="O76" s="423"/>
      <c r="P76" s="197"/>
      <c r="Q76" s="169"/>
      <c r="R76" s="195"/>
      <c r="S76" s="197" t="e">
        <f t="shared" si="45"/>
        <v>#N/A</v>
      </c>
      <c r="T76" s="432"/>
      <c r="U76" s="197"/>
      <c r="V76" s="169"/>
      <c r="W76" s="195"/>
      <c r="X76" s="197" t="e">
        <f t="shared" si="46"/>
        <v>#N/A</v>
      </c>
      <c r="Y76" s="432"/>
      <c r="Z76" s="197"/>
      <c r="AA76" s="169"/>
      <c r="AB76" s="195"/>
      <c r="AC76" s="197" t="e">
        <f t="shared" si="47"/>
        <v>#N/A</v>
      </c>
      <c r="AD76" s="432"/>
      <c r="AE76" s="197"/>
      <c r="AF76" s="169"/>
      <c r="AG76" s="195"/>
      <c r="AH76" s="197" t="e">
        <f t="shared" si="48"/>
        <v>#N/A</v>
      </c>
      <c r="AI76" s="432"/>
      <c r="AJ76" s="197"/>
      <c r="AK76" s="169"/>
      <c r="AL76" s="195"/>
      <c r="AM76" s="197" t="e">
        <f t="shared" si="49"/>
        <v>#N/A</v>
      </c>
      <c r="AN76" s="432"/>
      <c r="AO76" s="197"/>
      <c r="AP76" s="169"/>
      <c r="AQ76" s="195"/>
      <c r="AR76" s="197" t="e">
        <f t="shared" si="50"/>
        <v>#N/A</v>
      </c>
      <c r="AS76" s="432"/>
      <c r="AT76" s="197"/>
      <c r="AU76" s="169"/>
      <c r="AV76" s="195"/>
      <c r="AW76" s="197" t="e">
        <f t="shared" si="51"/>
        <v>#N/A</v>
      </c>
      <c r="AX76" s="432"/>
    </row>
    <row r="77" spans="2:50">
      <c r="B77" s="422"/>
      <c r="C77" s="197">
        <v>11</v>
      </c>
      <c r="D77" s="197"/>
      <c r="E77" s="197"/>
      <c r="F77" s="197"/>
      <c r="G77" s="197"/>
      <c r="H77" s="429"/>
      <c r="I77" s="197"/>
      <c r="J77" s="197"/>
      <c r="K77" s="197"/>
      <c r="L77" s="429"/>
      <c r="M77" s="196" t="e">
        <f>RANK(K77, K$87:$K$101)</f>
        <v>#DIV/0!</v>
      </c>
      <c r="N77" s="423"/>
      <c r="O77" s="423"/>
      <c r="P77" s="197"/>
      <c r="Q77" s="197"/>
      <c r="R77" s="197"/>
      <c r="S77" s="197" t="e">
        <f t="shared" si="45"/>
        <v>#N/A</v>
      </c>
      <c r="T77" s="432"/>
      <c r="U77" s="197"/>
      <c r="V77" s="197"/>
      <c r="W77" s="197"/>
      <c r="X77" s="197" t="e">
        <f t="shared" si="46"/>
        <v>#N/A</v>
      </c>
      <c r="Y77" s="432"/>
      <c r="Z77" s="197"/>
      <c r="AA77" s="197"/>
      <c r="AB77" s="197"/>
      <c r="AC77" s="197" t="e">
        <f t="shared" si="47"/>
        <v>#N/A</v>
      </c>
      <c r="AD77" s="432"/>
      <c r="AE77" s="197"/>
      <c r="AF77" s="197"/>
      <c r="AG77" s="197"/>
      <c r="AH77" s="197" t="e">
        <f t="shared" si="48"/>
        <v>#N/A</v>
      </c>
      <c r="AI77" s="432"/>
      <c r="AJ77" s="197"/>
      <c r="AK77" s="197"/>
      <c r="AL77" s="197"/>
      <c r="AM77" s="197" t="e">
        <f t="shared" si="49"/>
        <v>#N/A</v>
      </c>
      <c r="AN77" s="432"/>
      <c r="AO77" s="197"/>
      <c r="AP77" s="197"/>
      <c r="AQ77" s="197"/>
      <c r="AR77" s="197" t="e">
        <f t="shared" si="50"/>
        <v>#N/A</v>
      </c>
      <c r="AS77" s="432"/>
      <c r="AT77" s="197"/>
      <c r="AU77" s="197"/>
      <c r="AV77" s="197"/>
      <c r="AW77" s="197" t="e">
        <f t="shared" si="51"/>
        <v>#N/A</v>
      </c>
      <c r="AX77" s="432"/>
    </row>
    <row r="78" spans="2:50">
      <c r="B78" s="422"/>
      <c r="C78" s="197">
        <v>12</v>
      </c>
      <c r="D78" s="197"/>
      <c r="E78" s="197"/>
      <c r="F78" s="197"/>
      <c r="G78" s="197"/>
      <c r="H78" s="429"/>
      <c r="I78" s="197"/>
      <c r="J78" s="197"/>
      <c r="K78" s="197"/>
      <c r="L78" s="429"/>
      <c r="M78" s="196" t="e">
        <f>RANK(K78, K$87:$K$101)</f>
        <v>#DIV/0!</v>
      </c>
      <c r="N78" s="423"/>
      <c r="O78" s="423"/>
      <c r="P78" s="197"/>
      <c r="Q78" s="197"/>
      <c r="R78" s="197"/>
      <c r="S78" s="197" t="e">
        <f t="shared" si="45"/>
        <v>#N/A</v>
      </c>
      <c r="T78" s="432"/>
      <c r="U78" s="197"/>
      <c r="V78" s="197"/>
      <c r="W78" s="197"/>
      <c r="X78" s="197" t="e">
        <f t="shared" si="46"/>
        <v>#N/A</v>
      </c>
      <c r="Y78" s="432"/>
      <c r="Z78" s="197"/>
      <c r="AA78" s="197"/>
      <c r="AB78" s="197"/>
      <c r="AC78" s="197" t="e">
        <f t="shared" si="47"/>
        <v>#N/A</v>
      </c>
      <c r="AD78" s="432"/>
      <c r="AE78" s="197"/>
      <c r="AF78" s="197"/>
      <c r="AG78" s="197"/>
      <c r="AH78" s="197" t="e">
        <f t="shared" si="48"/>
        <v>#N/A</v>
      </c>
      <c r="AI78" s="432"/>
      <c r="AJ78" s="197"/>
      <c r="AK78" s="197"/>
      <c r="AL78" s="197"/>
      <c r="AM78" s="197" t="e">
        <f t="shared" si="49"/>
        <v>#N/A</v>
      </c>
      <c r="AN78" s="432"/>
      <c r="AO78" s="197"/>
      <c r="AP78" s="197"/>
      <c r="AQ78" s="197"/>
      <c r="AR78" s="197" t="e">
        <f t="shared" si="50"/>
        <v>#N/A</v>
      </c>
      <c r="AS78" s="432"/>
      <c r="AT78" s="197"/>
      <c r="AU78" s="197"/>
      <c r="AV78" s="197"/>
      <c r="AW78" s="197" t="e">
        <f t="shared" si="51"/>
        <v>#N/A</v>
      </c>
      <c r="AX78" s="432"/>
    </row>
    <row r="79" spans="2:50">
      <c r="B79" s="422"/>
      <c r="C79" s="197">
        <v>13</v>
      </c>
      <c r="D79" s="197"/>
      <c r="E79" s="197"/>
      <c r="F79" s="197"/>
      <c r="G79" s="197"/>
      <c r="H79" s="429"/>
      <c r="I79" s="197"/>
      <c r="J79" s="197"/>
      <c r="K79" s="197"/>
      <c r="L79" s="429"/>
      <c r="M79" s="196" t="e">
        <f>RANK(K79, K$87:$K$101)</f>
        <v>#DIV/0!</v>
      </c>
      <c r="N79" s="423"/>
      <c r="O79" s="423"/>
      <c r="P79" s="197"/>
      <c r="Q79" s="197"/>
      <c r="R79" s="197"/>
      <c r="S79" s="197" t="e">
        <f t="shared" si="45"/>
        <v>#N/A</v>
      </c>
      <c r="T79" s="432"/>
      <c r="U79" s="197"/>
      <c r="V79" s="197"/>
      <c r="W79" s="197"/>
      <c r="X79" s="197" t="e">
        <f t="shared" si="46"/>
        <v>#N/A</v>
      </c>
      <c r="Y79" s="432"/>
      <c r="Z79" s="197"/>
      <c r="AA79" s="197"/>
      <c r="AB79" s="197"/>
      <c r="AC79" s="197" t="e">
        <f t="shared" si="47"/>
        <v>#N/A</v>
      </c>
      <c r="AD79" s="432"/>
      <c r="AE79" s="197"/>
      <c r="AF79" s="197"/>
      <c r="AG79" s="197"/>
      <c r="AH79" s="197" t="e">
        <f t="shared" si="48"/>
        <v>#N/A</v>
      </c>
      <c r="AI79" s="432"/>
      <c r="AJ79" s="197"/>
      <c r="AK79" s="197"/>
      <c r="AL79" s="197"/>
      <c r="AM79" s="197" t="e">
        <f t="shared" si="49"/>
        <v>#N/A</v>
      </c>
      <c r="AN79" s="432"/>
      <c r="AO79" s="197"/>
      <c r="AP79" s="197"/>
      <c r="AQ79" s="197"/>
      <c r="AR79" s="197" t="e">
        <f t="shared" si="50"/>
        <v>#N/A</v>
      </c>
      <c r="AS79" s="432"/>
      <c r="AT79" s="197"/>
      <c r="AU79" s="197"/>
      <c r="AV79" s="197"/>
      <c r="AW79" s="197" t="e">
        <f t="shared" si="51"/>
        <v>#N/A</v>
      </c>
      <c r="AX79" s="432"/>
    </row>
    <row r="80" spans="2:50">
      <c r="B80" s="422"/>
      <c r="C80" s="197">
        <v>14</v>
      </c>
      <c r="D80" s="197"/>
      <c r="E80" s="197"/>
      <c r="F80" s="197"/>
      <c r="G80" s="197"/>
      <c r="H80" s="429"/>
      <c r="I80" s="197"/>
      <c r="J80" s="197"/>
      <c r="K80" s="197"/>
      <c r="L80" s="429"/>
      <c r="M80" s="196" t="e">
        <f>RANK(K80, K$87:$K$101)</f>
        <v>#DIV/0!</v>
      </c>
      <c r="N80" s="423"/>
      <c r="O80" s="423"/>
      <c r="P80" s="197"/>
      <c r="Q80" s="197"/>
      <c r="R80" s="197"/>
      <c r="S80" s="197" t="e">
        <f t="shared" si="45"/>
        <v>#N/A</v>
      </c>
      <c r="T80" s="432"/>
      <c r="U80" s="197"/>
      <c r="V80" s="197"/>
      <c r="W80" s="197"/>
      <c r="X80" s="197" t="e">
        <f t="shared" si="46"/>
        <v>#N/A</v>
      </c>
      <c r="Y80" s="432"/>
      <c r="Z80" s="197"/>
      <c r="AA80" s="197"/>
      <c r="AB80" s="197"/>
      <c r="AC80" s="197" t="e">
        <f t="shared" si="47"/>
        <v>#N/A</v>
      </c>
      <c r="AD80" s="432"/>
      <c r="AE80" s="197"/>
      <c r="AF80" s="197"/>
      <c r="AG80" s="197"/>
      <c r="AH80" s="197" t="e">
        <f t="shared" si="48"/>
        <v>#N/A</v>
      </c>
      <c r="AI80" s="432"/>
      <c r="AJ80" s="197"/>
      <c r="AK80" s="197"/>
      <c r="AL80" s="197"/>
      <c r="AM80" s="197" t="e">
        <f t="shared" si="49"/>
        <v>#N/A</v>
      </c>
      <c r="AN80" s="432"/>
      <c r="AO80" s="197"/>
      <c r="AP80" s="197"/>
      <c r="AQ80" s="197"/>
      <c r="AR80" s="197" t="e">
        <f t="shared" si="50"/>
        <v>#N/A</v>
      </c>
      <c r="AS80" s="432"/>
      <c r="AT80" s="197"/>
      <c r="AU80" s="197"/>
      <c r="AV80" s="197"/>
      <c r="AW80" s="197" t="e">
        <f t="shared" si="51"/>
        <v>#N/A</v>
      </c>
      <c r="AX80" s="432"/>
    </row>
    <row r="81" spans="2:50">
      <c r="B81" s="422"/>
      <c r="C81" s="197">
        <v>15</v>
      </c>
      <c r="D81" s="197"/>
      <c r="E81" s="197"/>
      <c r="F81" s="197"/>
      <c r="G81" s="197"/>
      <c r="H81" s="430"/>
      <c r="I81" s="197"/>
      <c r="J81" s="197"/>
      <c r="K81" s="197"/>
      <c r="L81" s="430"/>
      <c r="M81" s="169" t="e">
        <f>RANK(K81, K$87:$K$101)</f>
        <v>#DIV/0!</v>
      </c>
      <c r="N81" s="423"/>
      <c r="O81" s="423"/>
      <c r="P81" s="197"/>
      <c r="Q81" s="197"/>
      <c r="R81" s="197"/>
      <c r="S81" s="197" t="e">
        <f t="shared" si="45"/>
        <v>#N/A</v>
      </c>
      <c r="T81" s="432"/>
      <c r="U81" s="197"/>
      <c r="V81" s="197"/>
      <c r="W81" s="197"/>
      <c r="X81" s="197" t="e">
        <f t="shared" si="46"/>
        <v>#N/A</v>
      </c>
      <c r="Y81" s="432"/>
      <c r="Z81" s="197"/>
      <c r="AA81" s="197"/>
      <c r="AB81" s="197"/>
      <c r="AC81" s="197" t="e">
        <f t="shared" si="47"/>
        <v>#N/A</v>
      </c>
      <c r="AD81" s="432"/>
      <c r="AE81" s="197"/>
      <c r="AF81" s="197"/>
      <c r="AG81" s="197"/>
      <c r="AH81" s="197" t="e">
        <f t="shared" si="48"/>
        <v>#N/A</v>
      </c>
      <c r="AI81" s="432"/>
      <c r="AJ81" s="197"/>
      <c r="AK81" s="197"/>
      <c r="AL81" s="197"/>
      <c r="AM81" s="197" t="e">
        <f t="shared" si="49"/>
        <v>#N/A</v>
      </c>
      <c r="AN81" s="432"/>
      <c r="AO81" s="197"/>
      <c r="AP81" s="197"/>
      <c r="AQ81" s="197"/>
      <c r="AR81" s="197" t="e">
        <f t="shared" si="50"/>
        <v>#N/A</v>
      </c>
      <c r="AS81" s="432"/>
      <c r="AT81" s="197"/>
      <c r="AU81" s="197"/>
      <c r="AV81" s="197"/>
      <c r="AW81" s="197" t="e">
        <f t="shared" si="51"/>
        <v>#N/A</v>
      </c>
      <c r="AX81" s="432"/>
    </row>
    <row r="82" spans="2:50" ht="15.75">
      <c r="B82" s="396" t="s">
        <v>202</v>
      </c>
      <c r="C82" s="427"/>
      <c r="D82" s="427"/>
      <c r="E82" s="427"/>
      <c r="F82" s="427"/>
      <c r="G82" s="427"/>
      <c r="H82" s="427"/>
      <c r="I82" s="201"/>
      <c r="J82" s="201"/>
      <c r="K82" s="201"/>
      <c r="L82" s="201"/>
      <c r="M82" s="200"/>
      <c r="N82" s="401" t="s">
        <v>203</v>
      </c>
      <c r="O82" s="401" t="s">
        <v>150</v>
      </c>
      <c r="P82" s="421">
        <f>P62+7</f>
        <v>45923</v>
      </c>
      <c r="Q82" s="422"/>
      <c r="R82" s="422"/>
      <c r="S82" s="422"/>
      <c r="T82" s="422"/>
      <c r="U82" s="416">
        <f>P82+1</f>
        <v>45924</v>
      </c>
      <c r="V82" s="417"/>
      <c r="W82" s="417"/>
      <c r="X82" s="417"/>
      <c r="Y82" s="418"/>
      <c r="Z82" s="416">
        <f>U82+1</f>
        <v>45925</v>
      </c>
      <c r="AA82" s="417"/>
      <c r="AB82" s="417"/>
      <c r="AC82" s="417"/>
      <c r="AD82" s="418"/>
      <c r="AE82" s="416">
        <f t="shared" ref="AE82" si="52">Z82+1</f>
        <v>45926</v>
      </c>
      <c r="AF82" s="417"/>
      <c r="AG82" s="417"/>
      <c r="AH82" s="417"/>
      <c r="AI82" s="418"/>
      <c r="AJ82" s="416">
        <f t="shared" ref="AJ82" si="53">AE82+1</f>
        <v>45927</v>
      </c>
      <c r="AK82" s="417"/>
      <c r="AL82" s="417"/>
      <c r="AM82" s="417"/>
      <c r="AN82" s="418"/>
      <c r="AO82" s="416">
        <f t="shared" ref="AO82" si="54">AJ82+1</f>
        <v>45928</v>
      </c>
      <c r="AP82" s="417"/>
      <c r="AQ82" s="417"/>
      <c r="AR82" s="417"/>
      <c r="AS82" s="418"/>
      <c r="AT82" s="416">
        <f t="shared" ref="AT82" si="55">AO82+1</f>
        <v>45929</v>
      </c>
      <c r="AU82" s="417"/>
      <c r="AV82" s="417"/>
      <c r="AW82" s="417"/>
      <c r="AX82" s="418"/>
    </row>
    <row r="83" spans="2:50" ht="15.75">
      <c r="B83" s="426"/>
      <c r="C83" s="426"/>
      <c r="D83" s="426"/>
      <c r="E83" s="426"/>
      <c r="F83" s="426"/>
      <c r="G83" s="426"/>
      <c r="H83" s="426"/>
      <c r="I83" s="199"/>
      <c r="J83" s="199"/>
      <c r="K83" s="199"/>
      <c r="L83" s="199"/>
      <c r="M83" s="194"/>
      <c r="N83" s="403"/>
      <c r="O83" s="403"/>
      <c r="P83" s="421" t="s">
        <v>204</v>
      </c>
      <c r="Q83" s="422"/>
      <c r="R83" s="422"/>
      <c r="S83" s="422"/>
      <c r="T83" s="422"/>
      <c r="U83" s="421" t="s">
        <v>205</v>
      </c>
      <c r="V83" s="422"/>
      <c r="W83" s="422"/>
      <c r="X83" s="422"/>
      <c r="Y83" s="422"/>
      <c r="Z83" s="421" t="s">
        <v>206</v>
      </c>
      <c r="AA83" s="422"/>
      <c r="AB83" s="422"/>
      <c r="AC83" s="422"/>
      <c r="AD83" s="422"/>
      <c r="AE83" s="421" t="s">
        <v>207</v>
      </c>
      <c r="AF83" s="422"/>
      <c r="AG83" s="422"/>
      <c r="AH83" s="422"/>
      <c r="AI83" s="422"/>
      <c r="AJ83" s="421" t="s">
        <v>208</v>
      </c>
      <c r="AK83" s="422"/>
      <c r="AL83" s="422"/>
      <c r="AM83" s="422"/>
      <c r="AN83" s="422"/>
      <c r="AO83" s="421" t="s">
        <v>157</v>
      </c>
      <c r="AP83" s="422"/>
      <c r="AQ83" s="422"/>
      <c r="AR83" s="422"/>
      <c r="AS83" s="422"/>
      <c r="AT83" s="421" t="s">
        <v>209</v>
      </c>
      <c r="AU83" s="422"/>
      <c r="AV83" s="422"/>
      <c r="AW83" s="422"/>
      <c r="AX83" s="422"/>
    </row>
    <row r="84" spans="2:50">
      <c r="B84" s="423" t="s">
        <v>210</v>
      </c>
      <c r="C84" s="423" t="s">
        <v>211</v>
      </c>
      <c r="D84" s="423"/>
      <c r="E84" s="423" t="s">
        <v>212</v>
      </c>
      <c r="F84" s="423"/>
      <c r="G84" s="423"/>
      <c r="H84" s="404" t="s">
        <v>213</v>
      </c>
      <c r="I84" s="423" t="s">
        <v>214</v>
      </c>
      <c r="J84" s="423"/>
      <c r="K84" s="423"/>
      <c r="L84" s="404" t="s">
        <v>213</v>
      </c>
      <c r="M84" s="401" t="s">
        <v>215</v>
      </c>
      <c r="N84" s="423"/>
      <c r="O84" s="423" t="s">
        <v>216</v>
      </c>
      <c r="P84" s="413" t="s">
        <v>217</v>
      </c>
      <c r="Q84" s="414"/>
      <c r="R84" s="414"/>
      <c r="S84" s="415"/>
      <c r="T84" s="423" t="s">
        <v>213</v>
      </c>
      <c r="U84" s="413" t="s">
        <v>217</v>
      </c>
      <c r="V84" s="414"/>
      <c r="W84" s="414"/>
      <c r="X84" s="415"/>
      <c r="Y84" s="423" t="s">
        <v>213</v>
      </c>
      <c r="Z84" s="413" t="s">
        <v>217</v>
      </c>
      <c r="AA84" s="414"/>
      <c r="AB84" s="414"/>
      <c r="AC84" s="415"/>
      <c r="AD84" s="423" t="s">
        <v>213</v>
      </c>
      <c r="AE84" s="413" t="s">
        <v>217</v>
      </c>
      <c r="AF84" s="414"/>
      <c r="AG84" s="414"/>
      <c r="AH84" s="415"/>
      <c r="AI84" s="423" t="s">
        <v>213</v>
      </c>
      <c r="AJ84" s="413" t="s">
        <v>217</v>
      </c>
      <c r="AK84" s="414"/>
      <c r="AL84" s="414"/>
      <c r="AM84" s="415"/>
      <c r="AN84" s="423" t="s">
        <v>213</v>
      </c>
      <c r="AO84" s="413" t="s">
        <v>217</v>
      </c>
      <c r="AP84" s="414"/>
      <c r="AQ84" s="414"/>
      <c r="AR84" s="415"/>
      <c r="AS84" s="423" t="s">
        <v>213</v>
      </c>
      <c r="AT84" s="413" t="s">
        <v>217</v>
      </c>
      <c r="AU84" s="414"/>
      <c r="AV84" s="414"/>
      <c r="AW84" s="415"/>
      <c r="AX84" s="423" t="s">
        <v>213</v>
      </c>
    </row>
    <row r="85" spans="2:50">
      <c r="B85" s="423"/>
      <c r="C85" s="423"/>
      <c r="D85" s="423"/>
      <c r="E85" s="423" t="s">
        <v>218</v>
      </c>
      <c r="F85" s="423"/>
      <c r="G85" s="423"/>
      <c r="H85" s="406"/>
      <c r="I85" s="423" t="s">
        <v>218</v>
      </c>
      <c r="J85" s="423"/>
      <c r="K85" s="423"/>
      <c r="L85" s="406"/>
      <c r="M85" s="402"/>
      <c r="N85" s="423"/>
      <c r="O85" s="423"/>
      <c r="P85" s="413" t="s">
        <v>219</v>
      </c>
      <c r="Q85" s="414"/>
      <c r="R85" s="414"/>
      <c r="S85" s="415"/>
      <c r="T85" s="423"/>
      <c r="U85" s="413" t="s">
        <v>219</v>
      </c>
      <c r="V85" s="414"/>
      <c r="W85" s="414"/>
      <c r="X85" s="415"/>
      <c r="Y85" s="423"/>
      <c r="Z85" s="413" t="s">
        <v>219</v>
      </c>
      <c r="AA85" s="414"/>
      <c r="AB85" s="414"/>
      <c r="AC85" s="415"/>
      <c r="AD85" s="423"/>
      <c r="AE85" s="413" t="s">
        <v>219</v>
      </c>
      <c r="AF85" s="414"/>
      <c r="AG85" s="414"/>
      <c r="AH85" s="415"/>
      <c r="AI85" s="423"/>
      <c r="AJ85" s="413" t="s">
        <v>219</v>
      </c>
      <c r="AK85" s="414"/>
      <c r="AL85" s="414"/>
      <c r="AM85" s="415"/>
      <c r="AN85" s="423"/>
      <c r="AO85" s="413" t="s">
        <v>219</v>
      </c>
      <c r="AP85" s="414"/>
      <c r="AQ85" s="414"/>
      <c r="AR85" s="415"/>
      <c r="AS85" s="423"/>
      <c r="AT85" s="413" t="s">
        <v>219</v>
      </c>
      <c r="AU85" s="414"/>
      <c r="AV85" s="414"/>
      <c r="AW85" s="415"/>
      <c r="AX85" s="423"/>
    </row>
    <row r="86" spans="2:50">
      <c r="B86" s="423"/>
      <c r="C86" s="423"/>
      <c r="D86" s="423"/>
      <c r="E86" s="297" t="s">
        <v>220</v>
      </c>
      <c r="F86" s="297" t="s">
        <v>221</v>
      </c>
      <c r="G86" s="297" t="s">
        <v>222</v>
      </c>
      <c r="H86" s="408"/>
      <c r="I86" s="297" t="s">
        <v>220</v>
      </c>
      <c r="J86" s="297" t="s">
        <v>221</v>
      </c>
      <c r="K86" s="297" t="s">
        <v>222</v>
      </c>
      <c r="L86" s="408"/>
      <c r="M86" s="403"/>
      <c r="N86" s="423"/>
      <c r="O86" s="423"/>
      <c r="P86" s="297" t="s">
        <v>220</v>
      </c>
      <c r="Q86" s="297" t="s">
        <v>221</v>
      </c>
      <c r="R86" s="297" t="s">
        <v>222</v>
      </c>
      <c r="S86" s="297" t="s">
        <v>215</v>
      </c>
      <c r="T86" s="423"/>
      <c r="U86" s="297" t="s">
        <v>220</v>
      </c>
      <c r="V86" s="297" t="s">
        <v>221</v>
      </c>
      <c r="W86" s="297" t="s">
        <v>222</v>
      </c>
      <c r="X86" s="297" t="s">
        <v>215</v>
      </c>
      <c r="Y86" s="423"/>
      <c r="Z86" s="297" t="s">
        <v>220</v>
      </c>
      <c r="AA86" s="297" t="s">
        <v>221</v>
      </c>
      <c r="AB86" s="297" t="s">
        <v>222</v>
      </c>
      <c r="AC86" s="297" t="s">
        <v>215</v>
      </c>
      <c r="AD86" s="423"/>
      <c r="AE86" s="297" t="s">
        <v>220</v>
      </c>
      <c r="AF86" s="297" t="s">
        <v>221</v>
      </c>
      <c r="AG86" s="297" t="s">
        <v>222</v>
      </c>
      <c r="AH86" s="297" t="s">
        <v>215</v>
      </c>
      <c r="AI86" s="423"/>
      <c r="AJ86" s="297" t="s">
        <v>220</v>
      </c>
      <c r="AK86" s="297" t="s">
        <v>221</v>
      </c>
      <c r="AL86" s="297" t="s">
        <v>222</v>
      </c>
      <c r="AM86" s="297" t="s">
        <v>215</v>
      </c>
      <c r="AN86" s="423"/>
      <c r="AO86" s="297" t="s">
        <v>220</v>
      </c>
      <c r="AP86" s="297" t="s">
        <v>221</v>
      </c>
      <c r="AQ86" s="297" t="s">
        <v>222</v>
      </c>
      <c r="AR86" s="297" t="s">
        <v>215</v>
      </c>
      <c r="AS86" s="423"/>
      <c r="AT86" s="297" t="s">
        <v>220</v>
      </c>
      <c r="AU86" s="297" t="s">
        <v>221</v>
      </c>
      <c r="AV86" s="297" t="s">
        <v>222</v>
      </c>
      <c r="AW86" s="297" t="s">
        <v>215</v>
      </c>
      <c r="AX86" s="423"/>
    </row>
    <row r="87" spans="2:50">
      <c r="B87" s="431" t="s">
        <v>247</v>
      </c>
      <c r="C87" s="197">
        <v>1</v>
      </c>
      <c r="D87" s="197"/>
      <c r="E87" s="197"/>
      <c r="F87" s="197"/>
      <c r="G87" s="197"/>
      <c r="H87" s="428" t="e">
        <f>AVERAGE(G87:G101)</f>
        <v>#DIV/0!</v>
      </c>
      <c r="I87" s="169" t="e">
        <f>AVERAGE(P87,U87,Z87,AE87,AJ87,AO87,AT87)</f>
        <v>#DIV/0!</v>
      </c>
      <c r="J87" s="169" t="e">
        <f>AVERAGE(Q87,V87,AA87,AF87,AK87,AP87,AU87)</f>
        <v>#DIV/0!</v>
      </c>
      <c r="K87" s="195" t="e">
        <f>AVERAGE(R87,W87,AB87,AG87,AL87,AQ87,AV87)</f>
        <v>#DIV/0!</v>
      </c>
      <c r="L87" s="428" t="str">
        <f>IFERROR(AVERAGE(K87:K101),"-")</f>
        <v>-</v>
      </c>
      <c r="M87" s="196" t="e">
        <f>RANK(K87, K$87:$K$101)</f>
        <v>#DIV/0!</v>
      </c>
      <c r="N87" s="423"/>
      <c r="O87" s="423"/>
      <c r="P87" s="197"/>
      <c r="Q87" s="169"/>
      <c r="R87" s="195"/>
      <c r="S87" s="197" t="e">
        <f>RANK(R87, R$87:R$101)</f>
        <v>#N/A</v>
      </c>
      <c r="T87" s="432" t="e">
        <f>AVERAGE(R87:R101)</f>
        <v>#DIV/0!</v>
      </c>
      <c r="U87" s="197"/>
      <c r="V87" s="169"/>
      <c r="W87" s="195"/>
      <c r="X87" s="197" t="e">
        <f>RANK(W87, W$87:W$101)</f>
        <v>#N/A</v>
      </c>
      <c r="Y87" s="432" t="e">
        <f>AVERAGE(W87:W101)</f>
        <v>#DIV/0!</v>
      </c>
      <c r="Z87" s="197"/>
      <c r="AA87" s="169"/>
      <c r="AB87" s="195"/>
      <c r="AC87" s="197" t="e">
        <f>RANK(AB87, AB$87:AB$101)</f>
        <v>#N/A</v>
      </c>
      <c r="AD87" s="432" t="e">
        <f>AVERAGE(AB87:AB101)</f>
        <v>#DIV/0!</v>
      </c>
      <c r="AE87" s="197"/>
      <c r="AF87" s="169"/>
      <c r="AG87" s="195"/>
      <c r="AH87" s="197" t="e">
        <f>RANK(AG87, AG$87:AG$101)</f>
        <v>#N/A</v>
      </c>
      <c r="AI87" s="432" t="e">
        <f>AVERAGE(AG87:AG101)</f>
        <v>#DIV/0!</v>
      </c>
      <c r="AJ87" s="197"/>
      <c r="AK87" s="169"/>
      <c r="AL87" s="195"/>
      <c r="AM87" s="197" t="e">
        <f>RANK(AL87, AL$87:AL$101)</f>
        <v>#N/A</v>
      </c>
      <c r="AN87" s="432" t="e">
        <f>AVERAGE(AL87:AL101)</f>
        <v>#DIV/0!</v>
      </c>
      <c r="AO87" s="197"/>
      <c r="AP87" s="169"/>
      <c r="AQ87" s="195"/>
      <c r="AR87" s="197" t="e">
        <f>RANK(AQ87, AQ$87:AQ$101)</f>
        <v>#N/A</v>
      </c>
      <c r="AS87" s="432" t="e">
        <f>AVERAGE(AQ87:AQ101)</f>
        <v>#DIV/0!</v>
      </c>
      <c r="AT87" s="197"/>
      <c r="AU87" s="169"/>
      <c r="AV87" s="195"/>
      <c r="AW87" s="197" t="e">
        <f>RANK(AV87, AV$87:AV$101)</f>
        <v>#N/A</v>
      </c>
      <c r="AX87" s="432" t="e">
        <f>AVERAGE(AV87:AV101)</f>
        <v>#DIV/0!</v>
      </c>
    </row>
    <row r="88" spans="2:50">
      <c r="B88" s="422"/>
      <c r="C88" s="197">
        <v>2</v>
      </c>
      <c r="D88" s="197"/>
      <c r="E88" s="197"/>
      <c r="F88" s="197"/>
      <c r="G88" s="197"/>
      <c r="H88" s="429"/>
      <c r="I88" s="169" t="e">
        <f t="shared" ref="I88:I93" si="56">AVERAGE(P88,U88,Z88,AE88,AJ88,AO88,AT88)</f>
        <v>#DIV/0!</v>
      </c>
      <c r="J88" s="169" t="e">
        <f t="shared" ref="J88:J93" si="57">AVERAGE(Q88,V88,AA88,AF88,AK88,AP88,AU88)</f>
        <v>#DIV/0!</v>
      </c>
      <c r="K88" s="195" t="e">
        <f t="shared" ref="K88:K93" si="58">AVERAGE(R88,W88,AB88,AG88,AL88,AQ88,AV88)</f>
        <v>#DIV/0!</v>
      </c>
      <c r="L88" s="429"/>
      <c r="M88" s="196" t="e">
        <f>RANK(K88, K$87:$K$101)</f>
        <v>#DIV/0!</v>
      </c>
      <c r="N88" s="423"/>
      <c r="O88" s="423"/>
      <c r="P88" s="197"/>
      <c r="Q88" s="169"/>
      <c r="R88" s="195"/>
      <c r="S88" s="197" t="e">
        <f t="shared" ref="S88:S101" si="59">RANK(R88, R$87:R$101)</f>
        <v>#N/A</v>
      </c>
      <c r="T88" s="432"/>
      <c r="U88" s="197"/>
      <c r="V88" s="169"/>
      <c r="W88" s="195"/>
      <c r="X88" s="197" t="e">
        <f t="shared" ref="X88:X101" si="60">RANK(W88, W$87:W$101)</f>
        <v>#N/A</v>
      </c>
      <c r="Y88" s="432"/>
      <c r="Z88" s="197"/>
      <c r="AA88" s="169"/>
      <c r="AB88" s="195"/>
      <c r="AC88" s="197" t="e">
        <f t="shared" ref="AC88:AC101" si="61">RANK(AB88, AB$87:AB$101)</f>
        <v>#N/A</v>
      </c>
      <c r="AD88" s="432"/>
      <c r="AE88" s="197"/>
      <c r="AF88" s="169"/>
      <c r="AG88" s="195"/>
      <c r="AH88" s="197" t="e">
        <f t="shared" ref="AH88:AH101" si="62">RANK(AG88, AG$87:AG$101)</f>
        <v>#N/A</v>
      </c>
      <c r="AI88" s="432"/>
      <c r="AJ88" s="197"/>
      <c r="AK88" s="169"/>
      <c r="AL88" s="195"/>
      <c r="AM88" s="197" t="e">
        <f t="shared" ref="AM88:AM101" si="63">RANK(AL88, AL$87:AL$101)</f>
        <v>#N/A</v>
      </c>
      <c r="AN88" s="432"/>
      <c r="AO88" s="197"/>
      <c r="AP88" s="169"/>
      <c r="AQ88" s="195"/>
      <c r="AR88" s="197" t="e">
        <f t="shared" ref="AR88:AR101" si="64">RANK(AQ88, AQ$87:AQ$101)</f>
        <v>#N/A</v>
      </c>
      <c r="AS88" s="432"/>
      <c r="AT88" s="197"/>
      <c r="AU88" s="169"/>
      <c r="AV88" s="195"/>
      <c r="AW88" s="197" t="e">
        <f t="shared" ref="AW88:AW101" si="65">RANK(AV88, AV$87:AV$101)</f>
        <v>#N/A</v>
      </c>
      <c r="AX88" s="432"/>
    </row>
    <row r="89" spans="2:50">
      <c r="B89" s="422"/>
      <c r="C89" s="197">
        <v>3</v>
      </c>
      <c r="D89" s="197"/>
      <c r="E89" s="197"/>
      <c r="F89" s="197"/>
      <c r="G89" s="197"/>
      <c r="H89" s="429"/>
      <c r="I89" s="169" t="e">
        <f t="shared" si="56"/>
        <v>#DIV/0!</v>
      </c>
      <c r="J89" s="169" t="e">
        <f t="shared" si="57"/>
        <v>#DIV/0!</v>
      </c>
      <c r="K89" s="195" t="e">
        <f t="shared" si="58"/>
        <v>#DIV/0!</v>
      </c>
      <c r="L89" s="429"/>
      <c r="M89" s="196" t="e">
        <f>RANK(K89, K$87:$K$101)</f>
        <v>#DIV/0!</v>
      </c>
      <c r="N89" s="423"/>
      <c r="O89" s="423"/>
      <c r="P89" s="197"/>
      <c r="Q89" s="169"/>
      <c r="R89" s="195"/>
      <c r="S89" s="197" t="e">
        <f t="shared" si="59"/>
        <v>#N/A</v>
      </c>
      <c r="T89" s="432"/>
      <c r="U89" s="197"/>
      <c r="V89" s="169"/>
      <c r="W89" s="195"/>
      <c r="X89" s="197" t="e">
        <f t="shared" si="60"/>
        <v>#N/A</v>
      </c>
      <c r="Y89" s="432"/>
      <c r="Z89" s="197"/>
      <c r="AA89" s="169"/>
      <c r="AB89" s="195"/>
      <c r="AC89" s="197" t="e">
        <f t="shared" si="61"/>
        <v>#N/A</v>
      </c>
      <c r="AD89" s="432"/>
      <c r="AE89" s="197"/>
      <c r="AF89" s="169"/>
      <c r="AG89" s="195"/>
      <c r="AH89" s="197" t="e">
        <f t="shared" si="62"/>
        <v>#N/A</v>
      </c>
      <c r="AI89" s="432"/>
      <c r="AJ89" s="197"/>
      <c r="AK89" s="169"/>
      <c r="AL89" s="195"/>
      <c r="AM89" s="197" t="e">
        <f t="shared" si="63"/>
        <v>#N/A</v>
      </c>
      <c r="AN89" s="432"/>
      <c r="AO89" s="197"/>
      <c r="AP89" s="169"/>
      <c r="AQ89" s="195"/>
      <c r="AR89" s="197" t="e">
        <f t="shared" si="64"/>
        <v>#N/A</v>
      </c>
      <c r="AS89" s="432"/>
      <c r="AT89" s="197"/>
      <c r="AU89" s="169"/>
      <c r="AV89" s="195"/>
      <c r="AW89" s="197" t="e">
        <f t="shared" si="65"/>
        <v>#N/A</v>
      </c>
      <c r="AX89" s="432"/>
    </row>
    <row r="90" spans="2:50">
      <c r="B90" s="422"/>
      <c r="C90" s="197">
        <v>4</v>
      </c>
      <c r="D90" s="197"/>
      <c r="E90" s="197"/>
      <c r="F90" s="197"/>
      <c r="G90" s="197"/>
      <c r="H90" s="429"/>
      <c r="I90" s="169" t="e">
        <f t="shared" si="56"/>
        <v>#DIV/0!</v>
      </c>
      <c r="J90" s="169" t="e">
        <f t="shared" si="57"/>
        <v>#DIV/0!</v>
      </c>
      <c r="K90" s="195" t="e">
        <f t="shared" si="58"/>
        <v>#DIV/0!</v>
      </c>
      <c r="L90" s="429"/>
      <c r="M90" s="196" t="e">
        <f>RANK(K90, K$87:$K$101)</f>
        <v>#DIV/0!</v>
      </c>
      <c r="N90" s="423"/>
      <c r="O90" s="423"/>
      <c r="P90" s="197"/>
      <c r="Q90" s="169"/>
      <c r="R90" s="195"/>
      <c r="S90" s="197" t="e">
        <f t="shared" si="59"/>
        <v>#N/A</v>
      </c>
      <c r="T90" s="432"/>
      <c r="U90" s="197"/>
      <c r="V90" s="169"/>
      <c r="W90" s="195"/>
      <c r="X90" s="197" t="e">
        <f t="shared" si="60"/>
        <v>#N/A</v>
      </c>
      <c r="Y90" s="432"/>
      <c r="Z90" s="197"/>
      <c r="AA90" s="169"/>
      <c r="AB90" s="195"/>
      <c r="AC90" s="197" t="e">
        <f t="shared" si="61"/>
        <v>#N/A</v>
      </c>
      <c r="AD90" s="432"/>
      <c r="AE90" s="197"/>
      <c r="AF90" s="169"/>
      <c r="AG90" s="195"/>
      <c r="AH90" s="197" t="e">
        <f t="shared" si="62"/>
        <v>#N/A</v>
      </c>
      <c r="AI90" s="432"/>
      <c r="AJ90" s="197"/>
      <c r="AK90" s="169"/>
      <c r="AL90" s="195"/>
      <c r="AM90" s="197" t="e">
        <f t="shared" si="63"/>
        <v>#N/A</v>
      </c>
      <c r="AN90" s="432"/>
      <c r="AO90" s="197"/>
      <c r="AP90" s="169"/>
      <c r="AQ90" s="195"/>
      <c r="AR90" s="197" t="e">
        <f t="shared" si="64"/>
        <v>#N/A</v>
      </c>
      <c r="AS90" s="432"/>
      <c r="AT90" s="197"/>
      <c r="AU90" s="169"/>
      <c r="AV90" s="195"/>
      <c r="AW90" s="197" t="e">
        <f t="shared" si="65"/>
        <v>#N/A</v>
      </c>
      <c r="AX90" s="432"/>
    </row>
    <row r="91" spans="2:50">
      <c r="B91" s="422"/>
      <c r="C91" s="197">
        <v>5</v>
      </c>
      <c r="D91" s="197"/>
      <c r="E91" s="197"/>
      <c r="F91" s="197"/>
      <c r="G91" s="197"/>
      <c r="H91" s="429"/>
      <c r="I91" s="169" t="e">
        <f t="shared" si="56"/>
        <v>#DIV/0!</v>
      </c>
      <c r="J91" s="169" t="e">
        <f t="shared" si="57"/>
        <v>#DIV/0!</v>
      </c>
      <c r="K91" s="195" t="e">
        <f t="shared" si="58"/>
        <v>#DIV/0!</v>
      </c>
      <c r="L91" s="429"/>
      <c r="M91" s="196" t="e">
        <f>RANK(K91, K$87:$K$101)</f>
        <v>#DIV/0!</v>
      </c>
      <c r="N91" s="423"/>
      <c r="O91" s="423"/>
      <c r="P91" s="197"/>
      <c r="Q91" s="169"/>
      <c r="R91" s="195"/>
      <c r="S91" s="197" t="e">
        <f t="shared" si="59"/>
        <v>#N/A</v>
      </c>
      <c r="T91" s="432"/>
      <c r="U91" s="197"/>
      <c r="V91" s="169"/>
      <c r="W91" s="195"/>
      <c r="X91" s="197" t="e">
        <f t="shared" si="60"/>
        <v>#N/A</v>
      </c>
      <c r="Y91" s="432"/>
      <c r="Z91" s="197"/>
      <c r="AA91" s="169"/>
      <c r="AB91" s="195"/>
      <c r="AC91" s="197" t="e">
        <f t="shared" si="61"/>
        <v>#N/A</v>
      </c>
      <c r="AD91" s="432"/>
      <c r="AE91" s="197"/>
      <c r="AF91" s="169"/>
      <c r="AG91" s="195"/>
      <c r="AH91" s="197" t="e">
        <f t="shared" si="62"/>
        <v>#N/A</v>
      </c>
      <c r="AI91" s="432"/>
      <c r="AJ91" s="197"/>
      <c r="AK91" s="169"/>
      <c r="AL91" s="195"/>
      <c r="AM91" s="197" t="e">
        <f t="shared" si="63"/>
        <v>#N/A</v>
      </c>
      <c r="AN91" s="432"/>
      <c r="AO91" s="197"/>
      <c r="AP91" s="169"/>
      <c r="AQ91" s="195"/>
      <c r="AR91" s="197" t="e">
        <f t="shared" si="64"/>
        <v>#N/A</v>
      </c>
      <c r="AS91" s="432"/>
      <c r="AT91" s="197"/>
      <c r="AU91" s="169"/>
      <c r="AV91" s="195"/>
      <c r="AW91" s="197" t="e">
        <f t="shared" si="65"/>
        <v>#N/A</v>
      </c>
      <c r="AX91" s="432"/>
    </row>
    <row r="92" spans="2:50">
      <c r="B92" s="422"/>
      <c r="C92" s="197">
        <v>6</v>
      </c>
      <c r="D92" s="197"/>
      <c r="E92" s="197"/>
      <c r="F92" s="197"/>
      <c r="G92" s="197"/>
      <c r="H92" s="429"/>
      <c r="I92" s="169" t="e">
        <f t="shared" si="56"/>
        <v>#DIV/0!</v>
      </c>
      <c r="J92" s="169" t="e">
        <f t="shared" si="57"/>
        <v>#DIV/0!</v>
      </c>
      <c r="K92" s="195" t="e">
        <f t="shared" si="58"/>
        <v>#DIV/0!</v>
      </c>
      <c r="L92" s="429"/>
      <c r="M92" s="196" t="e">
        <f>RANK(K92, K$87:$K$101)</f>
        <v>#DIV/0!</v>
      </c>
      <c r="N92" s="423"/>
      <c r="O92" s="423"/>
      <c r="P92" s="197"/>
      <c r="Q92" s="169"/>
      <c r="R92" s="195"/>
      <c r="S92" s="197" t="e">
        <f t="shared" si="59"/>
        <v>#N/A</v>
      </c>
      <c r="T92" s="432"/>
      <c r="U92" s="197"/>
      <c r="V92" s="169"/>
      <c r="W92" s="195"/>
      <c r="X92" s="197" t="e">
        <f t="shared" si="60"/>
        <v>#N/A</v>
      </c>
      <c r="Y92" s="432"/>
      <c r="Z92" s="197"/>
      <c r="AA92" s="169"/>
      <c r="AB92" s="195"/>
      <c r="AC92" s="197" t="e">
        <f t="shared" si="61"/>
        <v>#N/A</v>
      </c>
      <c r="AD92" s="432"/>
      <c r="AE92" s="197"/>
      <c r="AF92" s="169"/>
      <c r="AG92" s="195"/>
      <c r="AH92" s="197" t="e">
        <f t="shared" si="62"/>
        <v>#N/A</v>
      </c>
      <c r="AI92" s="432"/>
      <c r="AJ92" s="197"/>
      <c r="AK92" s="169"/>
      <c r="AL92" s="195"/>
      <c r="AM92" s="197" t="e">
        <f t="shared" si="63"/>
        <v>#N/A</v>
      </c>
      <c r="AN92" s="432"/>
      <c r="AO92" s="197"/>
      <c r="AP92" s="169"/>
      <c r="AQ92" s="195"/>
      <c r="AR92" s="197" t="e">
        <f t="shared" si="64"/>
        <v>#N/A</v>
      </c>
      <c r="AS92" s="432"/>
      <c r="AT92" s="197"/>
      <c r="AU92" s="169"/>
      <c r="AV92" s="195"/>
      <c r="AW92" s="197" t="e">
        <f t="shared" si="65"/>
        <v>#N/A</v>
      </c>
      <c r="AX92" s="432"/>
    </row>
    <row r="93" spans="2:50">
      <c r="B93" s="422"/>
      <c r="C93" s="197">
        <v>7</v>
      </c>
      <c r="D93" s="197"/>
      <c r="E93" s="197"/>
      <c r="F93" s="197"/>
      <c r="G93" s="197"/>
      <c r="H93" s="429"/>
      <c r="I93" s="169" t="e">
        <f t="shared" si="56"/>
        <v>#DIV/0!</v>
      </c>
      <c r="J93" s="169" t="e">
        <f t="shared" si="57"/>
        <v>#DIV/0!</v>
      </c>
      <c r="K93" s="195" t="e">
        <f t="shared" si="58"/>
        <v>#DIV/0!</v>
      </c>
      <c r="L93" s="429"/>
      <c r="M93" s="196" t="e">
        <f>RANK(K93, K$87:$K$101)</f>
        <v>#DIV/0!</v>
      </c>
      <c r="N93" s="423"/>
      <c r="O93" s="423"/>
      <c r="P93" s="197"/>
      <c r="Q93" s="169"/>
      <c r="R93" s="195"/>
      <c r="S93" s="197" t="e">
        <f t="shared" si="59"/>
        <v>#N/A</v>
      </c>
      <c r="T93" s="432"/>
      <c r="U93" s="197"/>
      <c r="V93" s="169"/>
      <c r="W93" s="195"/>
      <c r="X93" s="197" t="e">
        <f t="shared" si="60"/>
        <v>#N/A</v>
      </c>
      <c r="Y93" s="432"/>
      <c r="Z93" s="197"/>
      <c r="AA93" s="169"/>
      <c r="AB93" s="195"/>
      <c r="AC93" s="197" t="e">
        <f t="shared" si="61"/>
        <v>#N/A</v>
      </c>
      <c r="AD93" s="432"/>
      <c r="AE93" s="197"/>
      <c r="AF93" s="169"/>
      <c r="AG93" s="195"/>
      <c r="AH93" s="197" t="e">
        <f t="shared" si="62"/>
        <v>#N/A</v>
      </c>
      <c r="AI93" s="432"/>
      <c r="AJ93" s="197"/>
      <c r="AK93" s="169"/>
      <c r="AL93" s="195"/>
      <c r="AM93" s="197" t="e">
        <f t="shared" si="63"/>
        <v>#N/A</v>
      </c>
      <c r="AN93" s="432"/>
      <c r="AO93" s="197"/>
      <c r="AP93" s="169"/>
      <c r="AQ93" s="195"/>
      <c r="AR93" s="197" t="e">
        <f t="shared" si="64"/>
        <v>#N/A</v>
      </c>
      <c r="AS93" s="432"/>
      <c r="AT93" s="197"/>
      <c r="AU93" s="169"/>
      <c r="AV93" s="195"/>
      <c r="AW93" s="197" t="e">
        <f t="shared" si="65"/>
        <v>#N/A</v>
      </c>
      <c r="AX93" s="432"/>
    </row>
    <row r="94" spans="2:50">
      <c r="B94" s="422"/>
      <c r="C94" s="197">
        <v>8</v>
      </c>
      <c r="D94" s="197"/>
      <c r="E94" s="197"/>
      <c r="F94" s="197"/>
      <c r="G94" s="197"/>
      <c r="H94" s="429"/>
      <c r="I94" s="169"/>
      <c r="J94" s="169"/>
      <c r="K94" s="195"/>
      <c r="L94" s="429"/>
      <c r="M94" s="196" t="e">
        <f>RANK(K94, K$87:$K$101)</f>
        <v>#DIV/0!</v>
      </c>
      <c r="N94" s="423"/>
      <c r="O94" s="423"/>
      <c r="P94" s="197"/>
      <c r="Q94" s="169"/>
      <c r="R94" s="195"/>
      <c r="S94" s="197" t="e">
        <f t="shared" si="59"/>
        <v>#N/A</v>
      </c>
      <c r="T94" s="432"/>
      <c r="U94" s="197"/>
      <c r="V94" s="169"/>
      <c r="W94" s="195"/>
      <c r="X94" s="197" t="e">
        <f t="shared" si="60"/>
        <v>#N/A</v>
      </c>
      <c r="Y94" s="432"/>
      <c r="Z94" s="197"/>
      <c r="AA94" s="169"/>
      <c r="AB94" s="195"/>
      <c r="AC94" s="197" t="e">
        <f t="shared" si="61"/>
        <v>#N/A</v>
      </c>
      <c r="AD94" s="432"/>
      <c r="AE94" s="197"/>
      <c r="AF94" s="169"/>
      <c r="AG94" s="195"/>
      <c r="AH94" s="197" t="e">
        <f t="shared" si="62"/>
        <v>#N/A</v>
      </c>
      <c r="AI94" s="432"/>
      <c r="AJ94" s="197"/>
      <c r="AK94" s="169"/>
      <c r="AL94" s="195"/>
      <c r="AM94" s="197" t="e">
        <f t="shared" si="63"/>
        <v>#N/A</v>
      </c>
      <c r="AN94" s="432"/>
      <c r="AO94" s="197"/>
      <c r="AP94" s="169"/>
      <c r="AQ94" s="195"/>
      <c r="AR94" s="197" t="e">
        <f t="shared" si="64"/>
        <v>#N/A</v>
      </c>
      <c r="AS94" s="432"/>
      <c r="AT94" s="197"/>
      <c r="AU94" s="169"/>
      <c r="AV94" s="195"/>
      <c r="AW94" s="197" t="e">
        <f t="shared" si="65"/>
        <v>#N/A</v>
      </c>
      <c r="AX94" s="432"/>
    </row>
    <row r="95" spans="2:50">
      <c r="B95" s="422"/>
      <c r="C95" s="197">
        <v>9</v>
      </c>
      <c r="D95" s="197"/>
      <c r="E95" s="197"/>
      <c r="F95" s="197"/>
      <c r="G95" s="197"/>
      <c r="H95" s="429"/>
      <c r="I95" s="169"/>
      <c r="J95" s="169"/>
      <c r="K95" s="195"/>
      <c r="L95" s="429"/>
      <c r="M95" s="196" t="e">
        <f>RANK(K95, K$87:$K$101)</f>
        <v>#DIV/0!</v>
      </c>
      <c r="N95" s="423"/>
      <c r="O95" s="423"/>
      <c r="P95" s="197"/>
      <c r="Q95" s="169"/>
      <c r="R95" s="195"/>
      <c r="S95" s="197" t="e">
        <f t="shared" si="59"/>
        <v>#N/A</v>
      </c>
      <c r="T95" s="432"/>
      <c r="U95" s="197"/>
      <c r="V95" s="169"/>
      <c r="W95" s="195"/>
      <c r="X95" s="197" t="e">
        <f t="shared" si="60"/>
        <v>#N/A</v>
      </c>
      <c r="Y95" s="432"/>
      <c r="Z95" s="197"/>
      <c r="AA95" s="169"/>
      <c r="AB95" s="195"/>
      <c r="AC95" s="197" t="e">
        <f t="shared" si="61"/>
        <v>#N/A</v>
      </c>
      <c r="AD95" s="432"/>
      <c r="AE95" s="197"/>
      <c r="AF95" s="169"/>
      <c r="AG95" s="195"/>
      <c r="AH95" s="197" t="e">
        <f t="shared" si="62"/>
        <v>#N/A</v>
      </c>
      <c r="AI95" s="432"/>
      <c r="AJ95" s="197"/>
      <c r="AK95" s="169"/>
      <c r="AL95" s="195"/>
      <c r="AM95" s="197" t="e">
        <f t="shared" si="63"/>
        <v>#N/A</v>
      </c>
      <c r="AN95" s="432"/>
      <c r="AO95" s="197"/>
      <c r="AP95" s="169"/>
      <c r="AQ95" s="195"/>
      <c r="AR95" s="197" t="e">
        <f t="shared" si="64"/>
        <v>#N/A</v>
      </c>
      <c r="AS95" s="432"/>
      <c r="AT95" s="197"/>
      <c r="AU95" s="169"/>
      <c r="AV95" s="195"/>
      <c r="AW95" s="197" t="e">
        <f t="shared" si="65"/>
        <v>#N/A</v>
      </c>
      <c r="AX95" s="432"/>
    </row>
    <row r="96" spans="2:50">
      <c r="B96" s="422"/>
      <c r="C96" s="197">
        <v>10</v>
      </c>
      <c r="D96" s="197"/>
      <c r="E96" s="197"/>
      <c r="F96" s="197"/>
      <c r="G96" s="197"/>
      <c r="H96" s="429"/>
      <c r="I96" s="169"/>
      <c r="J96" s="169"/>
      <c r="K96" s="195"/>
      <c r="L96" s="429"/>
      <c r="M96" s="196" t="e">
        <f>RANK(K96, K$87:$K$101)</f>
        <v>#DIV/0!</v>
      </c>
      <c r="N96" s="423"/>
      <c r="O96" s="423"/>
      <c r="P96" s="197"/>
      <c r="Q96" s="169"/>
      <c r="R96" s="195"/>
      <c r="S96" s="197" t="e">
        <f t="shared" si="59"/>
        <v>#N/A</v>
      </c>
      <c r="T96" s="432"/>
      <c r="U96" s="197"/>
      <c r="V96" s="169"/>
      <c r="W96" s="195"/>
      <c r="X96" s="197" t="e">
        <f t="shared" si="60"/>
        <v>#N/A</v>
      </c>
      <c r="Y96" s="432"/>
      <c r="Z96" s="197"/>
      <c r="AA96" s="169"/>
      <c r="AB96" s="195"/>
      <c r="AC96" s="197" t="e">
        <f t="shared" si="61"/>
        <v>#N/A</v>
      </c>
      <c r="AD96" s="432"/>
      <c r="AE96" s="197"/>
      <c r="AF96" s="169"/>
      <c r="AG96" s="195"/>
      <c r="AH96" s="197" t="e">
        <f t="shared" si="62"/>
        <v>#N/A</v>
      </c>
      <c r="AI96" s="432"/>
      <c r="AJ96" s="197"/>
      <c r="AK96" s="169"/>
      <c r="AL96" s="195"/>
      <c r="AM96" s="197" t="e">
        <f t="shared" si="63"/>
        <v>#N/A</v>
      </c>
      <c r="AN96" s="432"/>
      <c r="AO96" s="197"/>
      <c r="AP96" s="169"/>
      <c r="AQ96" s="195"/>
      <c r="AR96" s="197" t="e">
        <f t="shared" si="64"/>
        <v>#N/A</v>
      </c>
      <c r="AS96" s="432"/>
      <c r="AT96" s="197"/>
      <c r="AU96" s="169"/>
      <c r="AV96" s="195"/>
      <c r="AW96" s="197" t="e">
        <f t="shared" si="65"/>
        <v>#N/A</v>
      </c>
      <c r="AX96" s="432"/>
    </row>
    <row r="97" spans="2:50">
      <c r="B97" s="422"/>
      <c r="C97" s="197">
        <v>11</v>
      </c>
      <c r="D97" s="197"/>
      <c r="E97" s="197"/>
      <c r="F97" s="197"/>
      <c r="G97" s="197"/>
      <c r="H97" s="429"/>
      <c r="I97" s="197"/>
      <c r="J97" s="197"/>
      <c r="K97" s="197"/>
      <c r="L97" s="429"/>
      <c r="M97" s="196" t="e">
        <f>RANK(K97, K$87:$K$101)</f>
        <v>#DIV/0!</v>
      </c>
      <c r="N97" s="423"/>
      <c r="O97" s="423"/>
      <c r="P97" s="197"/>
      <c r="Q97" s="197"/>
      <c r="R97" s="197"/>
      <c r="S97" s="197" t="e">
        <f t="shared" si="59"/>
        <v>#N/A</v>
      </c>
      <c r="T97" s="432"/>
      <c r="U97" s="197"/>
      <c r="V97" s="197"/>
      <c r="W97" s="197"/>
      <c r="X97" s="197" t="e">
        <f t="shared" si="60"/>
        <v>#N/A</v>
      </c>
      <c r="Y97" s="432"/>
      <c r="Z97" s="197"/>
      <c r="AA97" s="197"/>
      <c r="AB97" s="197"/>
      <c r="AC97" s="197" t="e">
        <f t="shared" si="61"/>
        <v>#N/A</v>
      </c>
      <c r="AD97" s="432"/>
      <c r="AE97" s="197"/>
      <c r="AF97" s="197"/>
      <c r="AG97" s="197"/>
      <c r="AH97" s="197" t="e">
        <f t="shared" si="62"/>
        <v>#N/A</v>
      </c>
      <c r="AI97" s="432"/>
      <c r="AJ97" s="197"/>
      <c r="AK97" s="197"/>
      <c r="AL97" s="197"/>
      <c r="AM97" s="197" t="e">
        <f t="shared" si="63"/>
        <v>#N/A</v>
      </c>
      <c r="AN97" s="432"/>
      <c r="AO97" s="197"/>
      <c r="AP97" s="197"/>
      <c r="AQ97" s="197"/>
      <c r="AR97" s="197" t="e">
        <f t="shared" si="64"/>
        <v>#N/A</v>
      </c>
      <c r="AS97" s="432"/>
      <c r="AT97" s="197"/>
      <c r="AU97" s="197"/>
      <c r="AV97" s="197"/>
      <c r="AW97" s="197" t="e">
        <f t="shared" si="65"/>
        <v>#N/A</v>
      </c>
      <c r="AX97" s="432"/>
    </row>
    <row r="98" spans="2:50">
      <c r="B98" s="422"/>
      <c r="C98" s="197">
        <v>12</v>
      </c>
      <c r="D98" s="197"/>
      <c r="E98" s="197"/>
      <c r="F98" s="197"/>
      <c r="G98" s="197"/>
      <c r="H98" s="429"/>
      <c r="I98" s="197"/>
      <c r="J98" s="197"/>
      <c r="K98" s="197"/>
      <c r="L98" s="429"/>
      <c r="M98" s="196" t="e">
        <f>RANK(K98, K$87:$K$101)</f>
        <v>#DIV/0!</v>
      </c>
      <c r="N98" s="423"/>
      <c r="O98" s="423"/>
      <c r="P98" s="197"/>
      <c r="Q98" s="197"/>
      <c r="R98" s="197"/>
      <c r="S98" s="197" t="e">
        <f t="shared" si="59"/>
        <v>#N/A</v>
      </c>
      <c r="T98" s="432"/>
      <c r="U98" s="197"/>
      <c r="V98" s="197"/>
      <c r="W98" s="197"/>
      <c r="X98" s="197" t="e">
        <f t="shared" si="60"/>
        <v>#N/A</v>
      </c>
      <c r="Y98" s="432"/>
      <c r="Z98" s="197"/>
      <c r="AA98" s="197"/>
      <c r="AB98" s="197"/>
      <c r="AC98" s="197" t="e">
        <f t="shared" si="61"/>
        <v>#N/A</v>
      </c>
      <c r="AD98" s="432"/>
      <c r="AE98" s="197"/>
      <c r="AF98" s="197"/>
      <c r="AG98" s="197"/>
      <c r="AH98" s="197" t="e">
        <f t="shared" si="62"/>
        <v>#N/A</v>
      </c>
      <c r="AI98" s="432"/>
      <c r="AJ98" s="197"/>
      <c r="AK98" s="197"/>
      <c r="AL98" s="197"/>
      <c r="AM98" s="197" t="e">
        <f t="shared" si="63"/>
        <v>#N/A</v>
      </c>
      <c r="AN98" s="432"/>
      <c r="AO98" s="197"/>
      <c r="AP98" s="197"/>
      <c r="AQ98" s="197"/>
      <c r="AR98" s="197" t="e">
        <f t="shared" si="64"/>
        <v>#N/A</v>
      </c>
      <c r="AS98" s="432"/>
      <c r="AT98" s="197"/>
      <c r="AU98" s="197"/>
      <c r="AV98" s="197"/>
      <c r="AW98" s="197" t="e">
        <f t="shared" si="65"/>
        <v>#N/A</v>
      </c>
      <c r="AX98" s="432"/>
    </row>
    <row r="99" spans="2:50">
      <c r="B99" s="422"/>
      <c r="C99" s="197">
        <v>13</v>
      </c>
      <c r="D99" s="197"/>
      <c r="E99" s="197"/>
      <c r="F99" s="197"/>
      <c r="G99" s="197"/>
      <c r="H99" s="429"/>
      <c r="I99" s="197"/>
      <c r="J99" s="197"/>
      <c r="K99" s="197"/>
      <c r="L99" s="429"/>
      <c r="M99" s="196" t="e">
        <f>RANK(K99, K$87:$K$101)</f>
        <v>#DIV/0!</v>
      </c>
      <c r="N99" s="423"/>
      <c r="O99" s="423"/>
      <c r="P99" s="197"/>
      <c r="Q99" s="197"/>
      <c r="R99" s="197"/>
      <c r="S99" s="197" t="e">
        <f t="shared" si="59"/>
        <v>#N/A</v>
      </c>
      <c r="T99" s="432"/>
      <c r="U99" s="197"/>
      <c r="V99" s="197"/>
      <c r="W99" s="197"/>
      <c r="X99" s="197" t="e">
        <f t="shared" si="60"/>
        <v>#N/A</v>
      </c>
      <c r="Y99" s="432"/>
      <c r="Z99" s="197"/>
      <c r="AA99" s="197"/>
      <c r="AB99" s="197"/>
      <c r="AC99" s="197" t="e">
        <f t="shared" si="61"/>
        <v>#N/A</v>
      </c>
      <c r="AD99" s="432"/>
      <c r="AE99" s="197"/>
      <c r="AF99" s="197"/>
      <c r="AG99" s="197"/>
      <c r="AH99" s="197" t="e">
        <f t="shared" si="62"/>
        <v>#N/A</v>
      </c>
      <c r="AI99" s="432"/>
      <c r="AJ99" s="197"/>
      <c r="AK99" s="197"/>
      <c r="AL99" s="197"/>
      <c r="AM99" s="197" t="e">
        <f t="shared" si="63"/>
        <v>#N/A</v>
      </c>
      <c r="AN99" s="432"/>
      <c r="AO99" s="197"/>
      <c r="AP99" s="197"/>
      <c r="AQ99" s="197"/>
      <c r="AR99" s="197" t="e">
        <f t="shared" si="64"/>
        <v>#N/A</v>
      </c>
      <c r="AS99" s="432"/>
      <c r="AT99" s="197"/>
      <c r="AU99" s="197"/>
      <c r="AV99" s="197"/>
      <c r="AW99" s="197" t="e">
        <f t="shared" si="65"/>
        <v>#N/A</v>
      </c>
      <c r="AX99" s="432"/>
    </row>
    <row r="100" spans="2:50">
      <c r="B100" s="422"/>
      <c r="C100" s="197">
        <v>14</v>
      </c>
      <c r="D100" s="197"/>
      <c r="E100" s="197"/>
      <c r="F100" s="197"/>
      <c r="G100" s="197"/>
      <c r="H100" s="429"/>
      <c r="I100" s="197"/>
      <c r="J100" s="197"/>
      <c r="K100" s="197"/>
      <c r="L100" s="429"/>
      <c r="M100" s="196" t="e">
        <f>RANK(K100, K$87:$K$101)</f>
        <v>#DIV/0!</v>
      </c>
      <c r="N100" s="423"/>
      <c r="O100" s="423"/>
      <c r="P100" s="197"/>
      <c r="Q100" s="197"/>
      <c r="R100" s="197"/>
      <c r="S100" s="197" t="e">
        <f t="shared" si="59"/>
        <v>#N/A</v>
      </c>
      <c r="T100" s="432"/>
      <c r="U100" s="197"/>
      <c r="V100" s="197"/>
      <c r="W100" s="197"/>
      <c r="X100" s="197" t="e">
        <f t="shared" si="60"/>
        <v>#N/A</v>
      </c>
      <c r="Y100" s="432"/>
      <c r="Z100" s="197"/>
      <c r="AA100" s="197"/>
      <c r="AB100" s="197"/>
      <c r="AC100" s="197" t="e">
        <f t="shared" si="61"/>
        <v>#N/A</v>
      </c>
      <c r="AD100" s="432"/>
      <c r="AE100" s="197"/>
      <c r="AF100" s="197"/>
      <c r="AG100" s="197"/>
      <c r="AH100" s="197" t="e">
        <f t="shared" si="62"/>
        <v>#N/A</v>
      </c>
      <c r="AI100" s="432"/>
      <c r="AJ100" s="197"/>
      <c r="AK100" s="197"/>
      <c r="AL100" s="197"/>
      <c r="AM100" s="197" t="e">
        <f t="shared" si="63"/>
        <v>#N/A</v>
      </c>
      <c r="AN100" s="432"/>
      <c r="AO100" s="197"/>
      <c r="AP100" s="197"/>
      <c r="AQ100" s="197"/>
      <c r="AR100" s="197" t="e">
        <f t="shared" si="64"/>
        <v>#N/A</v>
      </c>
      <c r="AS100" s="432"/>
      <c r="AT100" s="197"/>
      <c r="AU100" s="197"/>
      <c r="AV100" s="197"/>
      <c r="AW100" s="197" t="e">
        <f t="shared" si="65"/>
        <v>#N/A</v>
      </c>
      <c r="AX100" s="432"/>
    </row>
    <row r="101" spans="2:50">
      <c r="B101" s="422"/>
      <c r="C101" s="197">
        <v>15</v>
      </c>
      <c r="D101" s="197"/>
      <c r="E101" s="197"/>
      <c r="F101" s="197"/>
      <c r="G101" s="197"/>
      <c r="H101" s="430"/>
      <c r="I101" s="197"/>
      <c r="J101" s="197"/>
      <c r="K101" s="197"/>
      <c r="L101" s="430"/>
      <c r="M101" s="169" t="e">
        <f>RANK(K101, K$87:$K$101)</f>
        <v>#DIV/0!</v>
      </c>
      <c r="N101" s="423"/>
      <c r="O101" s="423"/>
      <c r="P101" s="197"/>
      <c r="Q101" s="197"/>
      <c r="R101" s="197"/>
      <c r="S101" s="197" t="e">
        <f t="shared" si="59"/>
        <v>#N/A</v>
      </c>
      <c r="T101" s="432"/>
      <c r="U101" s="197"/>
      <c r="V101" s="197"/>
      <c r="W101" s="197"/>
      <c r="X101" s="197" t="e">
        <f t="shared" si="60"/>
        <v>#N/A</v>
      </c>
      <c r="Y101" s="432"/>
      <c r="Z101" s="197"/>
      <c r="AA101" s="197"/>
      <c r="AB101" s="197"/>
      <c r="AC101" s="197" t="e">
        <f t="shared" si="61"/>
        <v>#N/A</v>
      </c>
      <c r="AD101" s="432"/>
      <c r="AE101" s="197"/>
      <c r="AF101" s="197"/>
      <c r="AG101" s="197"/>
      <c r="AH101" s="197" t="e">
        <f t="shared" si="62"/>
        <v>#N/A</v>
      </c>
      <c r="AI101" s="432"/>
      <c r="AJ101" s="197"/>
      <c r="AK101" s="197"/>
      <c r="AL101" s="197"/>
      <c r="AM101" s="197" t="e">
        <f t="shared" si="63"/>
        <v>#N/A</v>
      </c>
      <c r="AN101" s="432"/>
      <c r="AO101" s="197"/>
      <c r="AP101" s="197"/>
      <c r="AQ101" s="197"/>
      <c r="AR101" s="197" t="e">
        <f t="shared" si="64"/>
        <v>#N/A</v>
      </c>
      <c r="AS101" s="432"/>
      <c r="AT101" s="197"/>
      <c r="AU101" s="197"/>
      <c r="AV101" s="197"/>
      <c r="AW101" s="197" t="e">
        <f t="shared" si="65"/>
        <v>#N/A</v>
      </c>
      <c r="AX101" s="432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101"/>
  <sheetViews>
    <sheetView zoomScale="85" zoomScaleNormal="85" workbookViewId="0">
      <pane xSplit="15" topLeftCell="P1" activePane="topRight" state="frozen"/>
      <selection pane="topRight" activeCell="M47" sqref="M47:M56"/>
      <selection sqref="A1:L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15" t="s">
        <v>246</v>
      </c>
      <c r="C1" s="102">
        <f>AVERAGE(L7,L27,L47,L67,L87)</f>
        <v>251.93838427567371</v>
      </c>
    </row>
    <row r="2" spans="1:50" ht="15.75">
      <c r="A2" s="79"/>
      <c r="B2" s="396" t="s">
        <v>202</v>
      </c>
      <c r="C2" s="396"/>
      <c r="D2" s="396"/>
      <c r="E2" s="396"/>
      <c r="F2" s="396"/>
      <c r="G2" s="396"/>
      <c r="H2" s="396"/>
      <c r="I2" s="198"/>
      <c r="J2" s="198"/>
      <c r="K2" s="198"/>
      <c r="L2" s="198"/>
      <c r="M2" s="193"/>
      <c r="N2" s="401" t="s">
        <v>203</v>
      </c>
      <c r="O2" s="401" t="s">
        <v>150</v>
      </c>
      <c r="P2" s="416">
        <v>45895</v>
      </c>
      <c r="Q2" s="417"/>
      <c r="R2" s="417"/>
      <c r="S2" s="417"/>
      <c r="T2" s="418"/>
      <c r="U2" s="421">
        <f>P2+1</f>
        <v>45896</v>
      </c>
      <c r="V2" s="422"/>
      <c r="W2" s="422"/>
      <c r="X2" s="422"/>
      <c r="Y2" s="422"/>
      <c r="Z2" s="421">
        <f>U2+1</f>
        <v>45897</v>
      </c>
      <c r="AA2" s="422"/>
      <c r="AB2" s="422"/>
      <c r="AC2" s="422"/>
      <c r="AD2" s="422"/>
      <c r="AE2" s="421">
        <f>Z2+1</f>
        <v>45898</v>
      </c>
      <c r="AF2" s="422"/>
      <c r="AG2" s="422"/>
      <c r="AH2" s="422"/>
      <c r="AI2" s="422"/>
      <c r="AJ2" s="421">
        <f>AE2+1</f>
        <v>45899</v>
      </c>
      <c r="AK2" s="422"/>
      <c r="AL2" s="422"/>
      <c r="AM2" s="422"/>
      <c r="AN2" s="422"/>
      <c r="AO2" s="421">
        <f>AJ2+1</f>
        <v>45900</v>
      </c>
      <c r="AP2" s="422"/>
      <c r="AQ2" s="422"/>
      <c r="AR2" s="422"/>
      <c r="AS2" s="422"/>
      <c r="AT2" s="421">
        <f>AO2+1</f>
        <v>45901</v>
      </c>
      <c r="AU2" s="422"/>
      <c r="AV2" s="422"/>
      <c r="AW2" s="422"/>
      <c r="AX2" s="422"/>
    </row>
    <row r="3" spans="1:50" ht="15.75">
      <c r="A3" s="79"/>
      <c r="B3" s="397"/>
      <c r="C3" s="397"/>
      <c r="D3" s="397"/>
      <c r="E3" s="397"/>
      <c r="F3" s="397"/>
      <c r="G3" s="397"/>
      <c r="H3" s="397"/>
      <c r="I3" s="199"/>
      <c r="J3" s="199"/>
      <c r="K3" s="199"/>
      <c r="L3" s="199"/>
      <c r="M3" s="194"/>
      <c r="N3" s="403"/>
      <c r="O3" s="403"/>
      <c r="P3" s="416" t="s">
        <v>204</v>
      </c>
      <c r="Q3" s="417"/>
      <c r="R3" s="417"/>
      <c r="S3" s="417"/>
      <c r="T3" s="418"/>
      <c r="U3" s="416" t="s">
        <v>205</v>
      </c>
      <c r="V3" s="417"/>
      <c r="W3" s="417"/>
      <c r="X3" s="417"/>
      <c r="Y3" s="418"/>
      <c r="Z3" s="416" t="s">
        <v>206</v>
      </c>
      <c r="AA3" s="417"/>
      <c r="AB3" s="417"/>
      <c r="AC3" s="417"/>
      <c r="AD3" s="418"/>
      <c r="AE3" s="416" t="s">
        <v>207</v>
      </c>
      <c r="AF3" s="417"/>
      <c r="AG3" s="417"/>
      <c r="AH3" s="417"/>
      <c r="AI3" s="418"/>
      <c r="AJ3" s="416" t="s">
        <v>208</v>
      </c>
      <c r="AK3" s="417"/>
      <c r="AL3" s="417"/>
      <c r="AM3" s="417"/>
      <c r="AN3" s="418"/>
      <c r="AO3" s="416" t="s">
        <v>157</v>
      </c>
      <c r="AP3" s="417"/>
      <c r="AQ3" s="417"/>
      <c r="AR3" s="417"/>
      <c r="AS3" s="418"/>
      <c r="AT3" s="416" t="s">
        <v>209</v>
      </c>
      <c r="AU3" s="417"/>
      <c r="AV3" s="417"/>
      <c r="AW3" s="417"/>
      <c r="AX3" s="418"/>
    </row>
    <row r="4" spans="1:50">
      <c r="A4" s="79"/>
      <c r="B4" s="423" t="s">
        <v>210</v>
      </c>
      <c r="C4" s="423" t="s">
        <v>211</v>
      </c>
      <c r="D4" s="423"/>
      <c r="E4" s="423" t="s">
        <v>212</v>
      </c>
      <c r="F4" s="423"/>
      <c r="G4" s="423"/>
      <c r="H4" s="404" t="s">
        <v>213</v>
      </c>
      <c r="I4" s="423" t="s">
        <v>214</v>
      </c>
      <c r="J4" s="423"/>
      <c r="K4" s="423"/>
      <c r="L4" s="404" t="s">
        <v>213</v>
      </c>
      <c r="M4" s="401" t="s">
        <v>215</v>
      </c>
      <c r="N4" s="423"/>
      <c r="O4" s="423" t="s">
        <v>216</v>
      </c>
      <c r="P4" s="413" t="s">
        <v>217</v>
      </c>
      <c r="Q4" s="414"/>
      <c r="R4" s="414"/>
      <c r="S4" s="415"/>
      <c r="T4" s="423" t="s">
        <v>213</v>
      </c>
      <c r="U4" s="413" t="s">
        <v>217</v>
      </c>
      <c r="V4" s="414"/>
      <c r="W4" s="414"/>
      <c r="X4" s="415"/>
      <c r="Y4" s="423" t="s">
        <v>213</v>
      </c>
      <c r="Z4" s="413" t="s">
        <v>217</v>
      </c>
      <c r="AA4" s="414"/>
      <c r="AB4" s="414"/>
      <c r="AC4" s="415"/>
      <c r="AD4" s="423" t="s">
        <v>213</v>
      </c>
      <c r="AE4" s="413" t="s">
        <v>217</v>
      </c>
      <c r="AF4" s="414"/>
      <c r="AG4" s="414"/>
      <c r="AH4" s="415"/>
      <c r="AI4" s="423" t="s">
        <v>213</v>
      </c>
      <c r="AJ4" s="413" t="s">
        <v>217</v>
      </c>
      <c r="AK4" s="414"/>
      <c r="AL4" s="414"/>
      <c r="AM4" s="415"/>
      <c r="AN4" s="423" t="s">
        <v>213</v>
      </c>
      <c r="AO4" s="413" t="s">
        <v>217</v>
      </c>
      <c r="AP4" s="414"/>
      <c r="AQ4" s="414"/>
      <c r="AR4" s="415"/>
      <c r="AS4" s="423" t="s">
        <v>213</v>
      </c>
      <c r="AT4" s="413" t="s">
        <v>217</v>
      </c>
      <c r="AU4" s="414"/>
      <c r="AV4" s="414"/>
      <c r="AW4" s="415"/>
      <c r="AX4" s="423" t="s">
        <v>213</v>
      </c>
    </row>
    <row r="5" spans="1:50">
      <c r="A5" s="79"/>
      <c r="B5" s="423"/>
      <c r="C5" s="423"/>
      <c r="D5" s="423"/>
      <c r="E5" s="423" t="s">
        <v>218</v>
      </c>
      <c r="F5" s="423"/>
      <c r="G5" s="423"/>
      <c r="H5" s="406"/>
      <c r="I5" s="423" t="s">
        <v>218</v>
      </c>
      <c r="J5" s="423"/>
      <c r="K5" s="423"/>
      <c r="L5" s="406"/>
      <c r="M5" s="402"/>
      <c r="N5" s="423"/>
      <c r="O5" s="423"/>
      <c r="P5" s="413" t="s">
        <v>219</v>
      </c>
      <c r="Q5" s="414"/>
      <c r="R5" s="414"/>
      <c r="S5" s="415"/>
      <c r="T5" s="423"/>
      <c r="U5" s="413" t="s">
        <v>219</v>
      </c>
      <c r="V5" s="414"/>
      <c r="W5" s="414"/>
      <c r="X5" s="415"/>
      <c r="Y5" s="423"/>
      <c r="Z5" s="413" t="s">
        <v>219</v>
      </c>
      <c r="AA5" s="414"/>
      <c r="AB5" s="414"/>
      <c r="AC5" s="415"/>
      <c r="AD5" s="423"/>
      <c r="AE5" s="413" t="s">
        <v>219</v>
      </c>
      <c r="AF5" s="414"/>
      <c r="AG5" s="414"/>
      <c r="AH5" s="415"/>
      <c r="AI5" s="423"/>
      <c r="AJ5" s="413" t="s">
        <v>219</v>
      </c>
      <c r="AK5" s="414"/>
      <c r="AL5" s="414"/>
      <c r="AM5" s="415"/>
      <c r="AN5" s="423"/>
      <c r="AO5" s="413" t="s">
        <v>219</v>
      </c>
      <c r="AP5" s="414"/>
      <c r="AQ5" s="414"/>
      <c r="AR5" s="415"/>
      <c r="AS5" s="423"/>
      <c r="AT5" s="413" t="s">
        <v>219</v>
      </c>
      <c r="AU5" s="414"/>
      <c r="AV5" s="414"/>
      <c r="AW5" s="415"/>
      <c r="AX5" s="423"/>
    </row>
    <row r="6" spans="1:50">
      <c r="A6" s="77"/>
      <c r="B6" s="423"/>
      <c r="C6" s="423"/>
      <c r="D6" s="423"/>
      <c r="E6" s="297" t="s">
        <v>220</v>
      </c>
      <c r="F6" s="297" t="s">
        <v>221</v>
      </c>
      <c r="G6" s="297" t="s">
        <v>222</v>
      </c>
      <c r="H6" s="408"/>
      <c r="I6" s="297" t="s">
        <v>220</v>
      </c>
      <c r="J6" s="297" t="s">
        <v>221</v>
      </c>
      <c r="K6" s="297" t="s">
        <v>222</v>
      </c>
      <c r="L6" s="408"/>
      <c r="M6" s="403"/>
      <c r="N6" s="423"/>
      <c r="O6" s="423"/>
      <c r="P6" s="297" t="s">
        <v>220</v>
      </c>
      <c r="Q6" s="297" t="s">
        <v>221</v>
      </c>
      <c r="R6" s="297" t="s">
        <v>222</v>
      </c>
      <c r="S6" s="297" t="s">
        <v>215</v>
      </c>
      <c r="T6" s="423"/>
      <c r="U6" s="297" t="s">
        <v>220</v>
      </c>
      <c r="V6" s="297" t="s">
        <v>221</v>
      </c>
      <c r="W6" s="297" t="s">
        <v>222</v>
      </c>
      <c r="X6" s="297" t="s">
        <v>215</v>
      </c>
      <c r="Y6" s="423"/>
      <c r="Z6" s="297" t="s">
        <v>220</v>
      </c>
      <c r="AA6" s="297" t="s">
        <v>221</v>
      </c>
      <c r="AB6" s="297" t="s">
        <v>222</v>
      </c>
      <c r="AC6" s="297" t="s">
        <v>215</v>
      </c>
      <c r="AD6" s="423"/>
      <c r="AE6" s="297" t="s">
        <v>220</v>
      </c>
      <c r="AF6" s="297" t="s">
        <v>221</v>
      </c>
      <c r="AG6" s="297" t="s">
        <v>222</v>
      </c>
      <c r="AH6" s="297" t="s">
        <v>215</v>
      </c>
      <c r="AI6" s="423"/>
      <c r="AJ6" s="297" t="s">
        <v>220</v>
      </c>
      <c r="AK6" s="297" t="s">
        <v>221</v>
      </c>
      <c r="AL6" s="297" t="s">
        <v>222</v>
      </c>
      <c r="AM6" s="297" t="s">
        <v>215</v>
      </c>
      <c r="AN6" s="423"/>
      <c r="AO6" s="297" t="s">
        <v>220</v>
      </c>
      <c r="AP6" s="297" t="s">
        <v>221</v>
      </c>
      <c r="AQ6" s="297" t="s">
        <v>222</v>
      </c>
      <c r="AR6" s="297" t="s">
        <v>215</v>
      </c>
      <c r="AS6" s="423"/>
      <c r="AT6" s="297" t="s">
        <v>220</v>
      </c>
      <c r="AU6" s="297" t="s">
        <v>221</v>
      </c>
      <c r="AV6" s="297" t="s">
        <v>222</v>
      </c>
      <c r="AW6" s="297" t="s">
        <v>215</v>
      </c>
      <c r="AX6" s="423"/>
    </row>
    <row r="7" spans="1:50">
      <c r="A7" s="79"/>
      <c r="B7" s="431" t="s">
        <v>256</v>
      </c>
      <c r="C7" s="197">
        <v>1</v>
      </c>
      <c r="D7" s="225" t="s">
        <v>257</v>
      </c>
      <c r="E7" s="169">
        <v>4</v>
      </c>
      <c r="F7" s="197">
        <v>2000</v>
      </c>
      <c r="G7" s="195">
        <v>500</v>
      </c>
      <c r="H7" s="428">
        <f>AVERAGE(G7:G21)</f>
        <v>283.6489898989899</v>
      </c>
      <c r="I7" s="169">
        <f>AVERAGE(P7,U7,Z7,AE7,AJ7,AO7,AT7)</f>
        <v>4.1428571428571432</v>
      </c>
      <c r="J7" s="169">
        <f>AVERAGE(Q7,V7,AA7,AF7,AK7,AP7,AU7)</f>
        <v>1862.1344537815105</v>
      </c>
      <c r="K7" s="195">
        <f>AVERAGE(R7,W7,AB7,AG7,AL7,AQ7,AV7)</f>
        <v>452.55742296918709</v>
      </c>
      <c r="L7" s="428">
        <f>IFERROR(AVERAGE(K7:K21),"-")</f>
        <v>249.26805571889889</v>
      </c>
      <c r="M7" s="196">
        <f>RANK(K7, K$7:$K$21)</f>
        <v>1</v>
      </c>
      <c r="N7" s="423"/>
      <c r="O7" s="423"/>
      <c r="P7" s="169">
        <v>5</v>
      </c>
      <c r="Q7" s="169">
        <v>1816.6666666666652</v>
      </c>
      <c r="R7" s="169">
        <v>363.33333333333303</v>
      </c>
      <c r="S7" s="197">
        <f t="shared" ref="S7:S21" si="0">RANK(R7, R$7:R$21)</f>
        <v>3</v>
      </c>
      <c r="T7" s="432">
        <f>AVERAGE(R7:R21)</f>
        <v>233.52913586922696</v>
      </c>
      <c r="U7" s="169">
        <v>4</v>
      </c>
      <c r="V7" s="169">
        <v>1842.3529411764682</v>
      </c>
      <c r="W7" s="169">
        <v>460.58823529411706</v>
      </c>
      <c r="X7" s="197">
        <f t="shared" ref="X7:X21" si="1">RANK(W7, W$7:W$21)</f>
        <v>1</v>
      </c>
      <c r="Y7" s="432">
        <f>AVERAGE(W7:W21)</f>
        <v>252.08228396776136</v>
      </c>
      <c r="Z7" s="169">
        <v>4</v>
      </c>
      <c r="AA7" s="169">
        <v>1817.6470588235272</v>
      </c>
      <c r="AB7" s="169">
        <v>454.41176470588181</v>
      </c>
      <c r="AC7" s="197">
        <f t="shared" ref="AC7:AC21" si="2">RANK(AB7, AB$7:AB$21)</f>
        <v>2</v>
      </c>
      <c r="AD7" s="432">
        <f>AVERAGE(AB7:AB21)</f>
        <v>251.73073223730324</v>
      </c>
      <c r="AE7" s="169">
        <v>4</v>
      </c>
      <c r="AF7" s="169">
        <v>1891.9999999999966</v>
      </c>
      <c r="AG7" s="169">
        <v>472.99999999999915</v>
      </c>
      <c r="AH7" s="197">
        <f t="shared" ref="AH7:AH21" si="3">RANK(AG7, AG$7:AG$21)</f>
        <v>1</v>
      </c>
      <c r="AI7" s="432">
        <f>AVERAGE(AG7:AG21)</f>
        <v>251.37675520518738</v>
      </c>
      <c r="AJ7" s="169">
        <v>4</v>
      </c>
      <c r="AK7" s="169">
        <v>1833.3333333333319</v>
      </c>
      <c r="AL7" s="169">
        <v>458.33333333333297</v>
      </c>
      <c r="AM7" s="197">
        <f t="shared" ref="AM7:AM21" si="4">RANK(AL7, AL$7:AL$21)</f>
        <v>1</v>
      </c>
      <c r="AN7" s="432">
        <f>AVERAGE(AL7:AL21)</f>
        <v>250.08599002058764</v>
      </c>
      <c r="AO7" s="169">
        <v>4</v>
      </c>
      <c r="AP7" s="169">
        <v>1948.2352941176448</v>
      </c>
      <c r="AQ7" s="169">
        <v>487.0588235294112</v>
      </c>
      <c r="AR7" s="197">
        <f t="shared" ref="AR7:AR21" si="5">RANK(AQ7, AQ$7:AQ$21)</f>
        <v>1</v>
      </c>
      <c r="AS7" s="432">
        <f>AVERAGE(AQ7:AQ21)</f>
        <v>255.87062122798656</v>
      </c>
      <c r="AT7" s="169">
        <v>4</v>
      </c>
      <c r="AU7" s="169">
        <v>1884.7058823529387</v>
      </c>
      <c r="AV7" s="169">
        <v>471.17647058823468</v>
      </c>
      <c r="AW7" s="197">
        <f t="shared" ref="AW7:AW21" si="6">RANK(AV7, AV$7:AV$21)</f>
        <v>1</v>
      </c>
      <c r="AX7" s="432">
        <f>AVERAGE(AV7:AV21)</f>
        <v>250.20087150423888</v>
      </c>
    </row>
    <row r="8" spans="1:50" ht="15" customHeight="1">
      <c r="A8" s="79"/>
      <c r="B8" s="422"/>
      <c r="C8" s="197">
        <v>2</v>
      </c>
      <c r="D8" s="225" t="s">
        <v>258</v>
      </c>
      <c r="E8" s="169">
        <v>4</v>
      </c>
      <c r="F8" s="197">
        <v>2000</v>
      </c>
      <c r="G8" s="195">
        <v>500</v>
      </c>
      <c r="H8" s="429"/>
      <c r="I8" s="169">
        <f t="shared" ref="I8:K16" si="7">AVERAGE(P8,U8,Z8,AE8,AJ8,AO8,AT8)</f>
        <v>4.1428571428571432</v>
      </c>
      <c r="J8" s="169">
        <f t="shared" si="7"/>
        <v>1852.8897611676225</v>
      </c>
      <c r="K8" s="195">
        <f t="shared" si="7"/>
        <v>450.07065457761991</v>
      </c>
      <c r="L8" s="429"/>
      <c r="M8" s="196">
        <f>RANK(K8, K$7:$K$21)</f>
        <v>2</v>
      </c>
      <c r="N8" s="423"/>
      <c r="O8" s="423"/>
      <c r="P8" s="169">
        <v>5</v>
      </c>
      <c r="Q8" s="169">
        <v>1841.2499999999975</v>
      </c>
      <c r="R8" s="169">
        <v>368.24999999999949</v>
      </c>
      <c r="S8" s="197">
        <f t="shared" si="0"/>
        <v>2</v>
      </c>
      <c r="T8" s="432"/>
      <c r="U8" s="169">
        <v>4</v>
      </c>
      <c r="V8" s="169">
        <v>1818.7499999999977</v>
      </c>
      <c r="W8" s="169">
        <v>454.68749999999943</v>
      </c>
      <c r="X8" s="197">
        <f t="shared" si="1"/>
        <v>3</v>
      </c>
      <c r="Y8" s="432"/>
      <c r="Z8" s="169">
        <v>4</v>
      </c>
      <c r="AA8" s="169">
        <v>1897.4999999999975</v>
      </c>
      <c r="AB8" s="169">
        <v>474.37499999999937</v>
      </c>
      <c r="AC8" s="197">
        <f t="shared" si="2"/>
        <v>1</v>
      </c>
      <c r="AD8" s="432"/>
      <c r="AE8" s="169">
        <v>4</v>
      </c>
      <c r="AF8" s="169">
        <v>1844.9999999999975</v>
      </c>
      <c r="AG8" s="169">
        <v>461.24999999999937</v>
      </c>
      <c r="AH8" s="197">
        <f t="shared" si="3"/>
        <v>2</v>
      </c>
      <c r="AI8" s="432"/>
      <c r="AJ8" s="169">
        <v>4</v>
      </c>
      <c r="AK8" s="169">
        <v>1818.7499999999977</v>
      </c>
      <c r="AL8" s="169">
        <v>454.68749999999943</v>
      </c>
      <c r="AM8" s="197">
        <f t="shared" si="4"/>
        <v>2</v>
      </c>
      <c r="AN8" s="432"/>
      <c r="AO8" s="169">
        <v>4</v>
      </c>
      <c r="AP8" s="169">
        <v>1895.2941176470563</v>
      </c>
      <c r="AQ8" s="169">
        <v>473.82352941176407</v>
      </c>
      <c r="AR8" s="197">
        <f t="shared" si="5"/>
        <v>2</v>
      </c>
      <c r="AS8" s="432"/>
      <c r="AT8" s="169">
        <v>4</v>
      </c>
      <c r="AU8" s="169">
        <v>1853.6842105263142</v>
      </c>
      <c r="AV8" s="169">
        <v>463.42105263157856</v>
      </c>
      <c r="AW8" s="197">
        <f t="shared" si="6"/>
        <v>2</v>
      </c>
      <c r="AX8" s="432"/>
    </row>
    <row r="9" spans="1:50">
      <c r="A9" s="79"/>
      <c r="B9" s="422"/>
      <c r="C9" s="197">
        <v>3</v>
      </c>
      <c r="D9" s="225" t="s">
        <v>259</v>
      </c>
      <c r="E9" s="169">
        <v>4</v>
      </c>
      <c r="F9" s="197">
        <v>2000</v>
      </c>
      <c r="G9" s="195">
        <v>500</v>
      </c>
      <c r="H9" s="429"/>
      <c r="I9" s="169">
        <f t="shared" si="7"/>
        <v>5</v>
      </c>
      <c r="J9" s="169">
        <f t="shared" si="7"/>
        <v>2210.7822480464847</v>
      </c>
      <c r="K9" s="195">
        <f t="shared" si="7"/>
        <v>442.15644960929694</v>
      </c>
      <c r="L9" s="429"/>
      <c r="M9" s="196">
        <f>RANK(K9, K$7:$K$21)</f>
        <v>3</v>
      </c>
      <c r="N9" s="423"/>
      <c r="O9" s="423"/>
      <c r="P9" s="169">
        <v>5</v>
      </c>
      <c r="Q9" s="169">
        <v>2198.4000000000005</v>
      </c>
      <c r="R9" s="169">
        <v>439.68000000000012</v>
      </c>
      <c r="S9" s="197">
        <f t="shared" si="0"/>
        <v>1</v>
      </c>
      <c r="T9" s="432"/>
      <c r="U9" s="169">
        <v>5</v>
      </c>
      <c r="V9" s="169">
        <v>2274.782608695652</v>
      </c>
      <c r="W9" s="169">
        <v>454.95652173913038</v>
      </c>
      <c r="X9" s="197">
        <f t="shared" si="1"/>
        <v>2</v>
      </c>
      <c r="Y9" s="432"/>
      <c r="Z9" s="169">
        <v>5</v>
      </c>
      <c r="AA9" s="169">
        <v>2178.260869565217</v>
      </c>
      <c r="AB9" s="169">
        <v>435.65217391304338</v>
      </c>
      <c r="AC9" s="197">
        <f t="shared" si="2"/>
        <v>3</v>
      </c>
      <c r="AD9" s="432"/>
      <c r="AE9" s="169">
        <v>5</v>
      </c>
      <c r="AF9" s="169">
        <v>2195.0000000000005</v>
      </c>
      <c r="AG9" s="169">
        <v>439.00000000000011</v>
      </c>
      <c r="AH9" s="197">
        <f t="shared" si="3"/>
        <v>3</v>
      </c>
      <c r="AI9" s="432"/>
      <c r="AJ9" s="169">
        <v>5</v>
      </c>
      <c r="AK9" s="169">
        <v>2220.0000000000014</v>
      </c>
      <c r="AL9" s="169">
        <v>444.00000000000028</v>
      </c>
      <c r="AM9" s="197">
        <f t="shared" si="4"/>
        <v>3</v>
      </c>
      <c r="AN9" s="432"/>
      <c r="AO9" s="169">
        <v>5</v>
      </c>
      <c r="AP9" s="169">
        <v>2264.5161290322603</v>
      </c>
      <c r="AQ9" s="169">
        <v>452.90322580645204</v>
      </c>
      <c r="AR9" s="197">
        <f t="shared" si="5"/>
        <v>3</v>
      </c>
      <c r="AS9" s="432"/>
      <c r="AT9" s="169">
        <v>5</v>
      </c>
      <c r="AU9" s="169">
        <v>2144.5161290322603</v>
      </c>
      <c r="AV9" s="169">
        <v>428.90322580645204</v>
      </c>
      <c r="AW9" s="197">
        <f t="shared" si="6"/>
        <v>3</v>
      </c>
      <c r="AX9" s="432"/>
    </row>
    <row r="10" spans="1:50">
      <c r="A10" s="79"/>
      <c r="B10" s="422"/>
      <c r="C10" s="197">
        <v>4</v>
      </c>
      <c r="D10" s="225" t="s">
        <v>260</v>
      </c>
      <c r="E10" s="169">
        <v>12</v>
      </c>
      <c r="F10" s="197">
        <v>2250</v>
      </c>
      <c r="G10" s="195">
        <v>187.5</v>
      </c>
      <c r="H10" s="429"/>
      <c r="I10" s="169">
        <f t="shared" si="7"/>
        <v>12</v>
      </c>
      <c r="J10" s="169">
        <f t="shared" si="7"/>
        <v>1965.9679556174447</v>
      </c>
      <c r="K10" s="195">
        <f t="shared" si="7"/>
        <v>163.83066296812038</v>
      </c>
      <c r="L10" s="429"/>
      <c r="M10" s="196">
        <f>RANK(K10, K$7:$K$21)</f>
        <v>8</v>
      </c>
      <c r="N10" s="423"/>
      <c r="O10" s="423"/>
      <c r="P10" s="169">
        <v>12</v>
      </c>
      <c r="Q10" s="169">
        <v>2012.4590163934429</v>
      </c>
      <c r="R10" s="169">
        <v>167.70491803278691</v>
      </c>
      <c r="S10" s="197">
        <f t="shared" si="0"/>
        <v>7</v>
      </c>
      <c r="T10" s="432"/>
      <c r="U10" s="169">
        <v>12</v>
      </c>
      <c r="V10" s="169">
        <v>1925.6249999999995</v>
      </c>
      <c r="W10" s="169">
        <v>160.46874999999997</v>
      </c>
      <c r="X10" s="197">
        <f t="shared" si="1"/>
        <v>8</v>
      </c>
      <c r="Y10" s="432"/>
      <c r="Z10" s="169">
        <v>12</v>
      </c>
      <c r="AA10" s="169">
        <v>2008.4745762711866</v>
      </c>
      <c r="AB10" s="169">
        <v>167.37288135593221</v>
      </c>
      <c r="AC10" s="197">
        <f t="shared" si="2"/>
        <v>7</v>
      </c>
      <c r="AD10" s="432"/>
      <c r="AE10" s="169">
        <v>12</v>
      </c>
      <c r="AF10" s="169">
        <v>1910.6896551724139</v>
      </c>
      <c r="AG10" s="169">
        <v>159.22413793103451</v>
      </c>
      <c r="AH10" s="197">
        <f t="shared" si="3"/>
        <v>8</v>
      </c>
      <c r="AI10" s="432"/>
      <c r="AJ10" s="169">
        <v>12</v>
      </c>
      <c r="AK10" s="169">
        <v>1975.9322033898306</v>
      </c>
      <c r="AL10" s="169">
        <v>164.66101694915255</v>
      </c>
      <c r="AM10" s="197">
        <f t="shared" si="4"/>
        <v>7</v>
      </c>
      <c r="AN10" s="432"/>
      <c r="AO10" s="169">
        <v>12</v>
      </c>
      <c r="AP10" s="169">
        <v>1999.1666666666656</v>
      </c>
      <c r="AQ10" s="169">
        <v>166.59722222222214</v>
      </c>
      <c r="AR10" s="197">
        <f t="shared" si="5"/>
        <v>7</v>
      </c>
      <c r="AS10" s="432"/>
      <c r="AT10" s="169">
        <v>12</v>
      </c>
      <c r="AU10" s="169">
        <v>1929.428571428572</v>
      </c>
      <c r="AV10" s="169">
        <v>160.78571428571433</v>
      </c>
      <c r="AW10" s="197">
        <f t="shared" si="6"/>
        <v>8</v>
      </c>
      <c r="AX10" s="432"/>
    </row>
    <row r="11" spans="1:50">
      <c r="A11" s="79"/>
      <c r="B11" s="422"/>
      <c r="C11" s="197">
        <v>5</v>
      </c>
      <c r="D11" s="225" t="s">
        <v>261</v>
      </c>
      <c r="E11" s="169">
        <v>12</v>
      </c>
      <c r="F11" s="197">
        <v>2250</v>
      </c>
      <c r="G11" s="195">
        <v>187.5</v>
      </c>
      <c r="H11" s="429"/>
      <c r="I11" s="169">
        <f t="shared" si="7"/>
        <v>12</v>
      </c>
      <c r="J11" s="169">
        <f t="shared" si="7"/>
        <v>1970.3153683477224</v>
      </c>
      <c r="K11" s="195">
        <f t="shared" si="7"/>
        <v>164.19294736231021</v>
      </c>
      <c r="L11" s="429"/>
      <c r="M11" s="196">
        <f>RANK(K11, K$7:$K$21)</f>
        <v>7</v>
      </c>
      <c r="N11" s="423"/>
      <c r="O11" s="423"/>
      <c r="P11" s="169">
        <v>12</v>
      </c>
      <c r="Q11" s="169">
        <v>1952.0689655172409</v>
      </c>
      <c r="R11" s="169">
        <v>162.6724137931034</v>
      </c>
      <c r="S11" s="197">
        <f t="shared" si="0"/>
        <v>8</v>
      </c>
      <c r="T11" s="432"/>
      <c r="U11" s="169">
        <v>12</v>
      </c>
      <c r="V11" s="169">
        <v>2003.6697247706418</v>
      </c>
      <c r="W11" s="169">
        <v>166.97247706422016</v>
      </c>
      <c r="X11" s="197">
        <f t="shared" si="1"/>
        <v>7</v>
      </c>
      <c r="Y11" s="432"/>
      <c r="Z11" s="169">
        <v>12</v>
      </c>
      <c r="AA11" s="169">
        <v>1982.3529411764705</v>
      </c>
      <c r="AB11" s="169">
        <v>165.19607843137254</v>
      </c>
      <c r="AC11" s="197">
        <f t="shared" si="2"/>
        <v>8</v>
      </c>
      <c r="AD11" s="432"/>
      <c r="AE11" s="169">
        <v>12</v>
      </c>
      <c r="AF11" s="169">
        <v>2000.454545454546</v>
      </c>
      <c r="AG11" s="169">
        <v>166.7045454545455</v>
      </c>
      <c r="AH11" s="197">
        <f t="shared" si="3"/>
        <v>7</v>
      </c>
      <c r="AI11" s="432"/>
      <c r="AJ11" s="169">
        <v>12</v>
      </c>
      <c r="AK11" s="169">
        <v>1971.5151515151508</v>
      </c>
      <c r="AL11" s="169">
        <v>164.29292929292924</v>
      </c>
      <c r="AM11" s="197">
        <f t="shared" si="4"/>
        <v>8</v>
      </c>
      <c r="AN11" s="432"/>
      <c r="AO11" s="169">
        <v>12</v>
      </c>
      <c r="AP11" s="169">
        <v>1943.9062500000005</v>
      </c>
      <c r="AQ11" s="169">
        <v>161.99218750000003</v>
      </c>
      <c r="AR11" s="197">
        <f t="shared" si="5"/>
        <v>8</v>
      </c>
      <c r="AS11" s="432"/>
      <c r="AT11" s="169">
        <v>12</v>
      </c>
      <c r="AU11" s="169">
        <v>1938.2400000000071</v>
      </c>
      <c r="AV11" s="169">
        <v>161.52000000000058</v>
      </c>
      <c r="AW11" s="197">
        <f t="shared" si="6"/>
        <v>7</v>
      </c>
      <c r="AX11" s="432"/>
    </row>
    <row r="12" spans="1:50">
      <c r="A12" s="79"/>
      <c r="B12" s="422"/>
      <c r="C12" s="197">
        <v>6</v>
      </c>
      <c r="D12" s="225" t="s">
        <v>262</v>
      </c>
      <c r="E12" s="169">
        <v>11</v>
      </c>
      <c r="F12" s="197">
        <v>2250</v>
      </c>
      <c r="G12" s="195">
        <v>204.54545454545453</v>
      </c>
      <c r="H12" s="429"/>
      <c r="I12" s="169">
        <f t="shared" si="7"/>
        <v>11</v>
      </c>
      <c r="J12" s="169">
        <f t="shared" si="7"/>
        <v>1971.7671995670396</v>
      </c>
      <c r="K12" s="195">
        <f t="shared" si="7"/>
        <v>179.25156359700358</v>
      </c>
      <c r="L12" s="429"/>
      <c r="M12" s="196">
        <f>RANK(K12, K$7:$K$21)</f>
        <v>6</v>
      </c>
      <c r="N12" s="423"/>
      <c r="O12" s="423"/>
      <c r="P12" s="169">
        <v>11</v>
      </c>
      <c r="Q12" s="169">
        <v>2017.4999999999995</v>
      </c>
      <c r="R12" s="169">
        <v>183.40909090909088</v>
      </c>
      <c r="S12" s="197">
        <f t="shared" si="0"/>
        <v>6</v>
      </c>
      <c r="T12" s="432"/>
      <c r="U12" s="169">
        <v>11</v>
      </c>
      <c r="V12" s="169">
        <v>2000.8163265306125</v>
      </c>
      <c r="W12" s="169">
        <v>181.89239332096477</v>
      </c>
      <c r="X12" s="197">
        <f t="shared" si="1"/>
        <v>6</v>
      </c>
      <c r="Y12" s="432"/>
      <c r="Z12" s="169">
        <v>11</v>
      </c>
      <c r="AA12" s="169">
        <v>1948.484848484849</v>
      </c>
      <c r="AB12" s="169">
        <v>177.13498622589535</v>
      </c>
      <c r="AC12" s="197">
        <f t="shared" si="2"/>
        <v>6</v>
      </c>
      <c r="AD12" s="432"/>
      <c r="AE12" s="169">
        <v>11</v>
      </c>
      <c r="AF12" s="169">
        <v>1973.6470588235293</v>
      </c>
      <c r="AG12" s="169">
        <v>179.42245989304811</v>
      </c>
      <c r="AH12" s="197">
        <f t="shared" si="3"/>
        <v>6</v>
      </c>
      <c r="AI12" s="432"/>
      <c r="AJ12" s="169">
        <v>11</v>
      </c>
      <c r="AK12" s="169">
        <v>1959.782608695652</v>
      </c>
      <c r="AL12" s="169">
        <v>178.16205533596838</v>
      </c>
      <c r="AM12" s="197">
        <f t="shared" si="4"/>
        <v>6</v>
      </c>
      <c r="AN12" s="432"/>
      <c r="AO12" s="169">
        <v>11</v>
      </c>
      <c r="AP12" s="169">
        <v>1953.9344262295076</v>
      </c>
      <c r="AQ12" s="169">
        <v>177.63040238450068</v>
      </c>
      <c r="AR12" s="197">
        <f t="shared" si="5"/>
        <v>6</v>
      </c>
      <c r="AS12" s="432"/>
      <c r="AT12" s="169">
        <v>11</v>
      </c>
      <c r="AU12" s="169">
        <v>1948.2051282051284</v>
      </c>
      <c r="AV12" s="169">
        <v>177.10955710955713</v>
      </c>
      <c r="AW12" s="197">
        <f t="shared" si="6"/>
        <v>6</v>
      </c>
      <c r="AX12" s="432"/>
    </row>
    <row r="13" spans="1:50">
      <c r="A13" s="79"/>
      <c r="B13" s="422"/>
      <c r="C13" s="197">
        <v>7</v>
      </c>
      <c r="D13" s="225" t="s">
        <v>263</v>
      </c>
      <c r="E13" s="169">
        <v>12</v>
      </c>
      <c r="F13" s="197">
        <v>2250</v>
      </c>
      <c r="G13" s="195">
        <v>187.5</v>
      </c>
      <c r="H13" s="429"/>
      <c r="I13" s="169">
        <f t="shared" si="7"/>
        <v>12</v>
      </c>
      <c r="J13" s="169">
        <f t="shared" si="7"/>
        <v>1672.9567882359386</v>
      </c>
      <c r="K13" s="195">
        <f t="shared" si="7"/>
        <v>139.41306568632822</v>
      </c>
      <c r="L13" s="429"/>
      <c r="M13" s="196">
        <f>RANK(K13, K$7:$K$21)</f>
        <v>9</v>
      </c>
      <c r="N13" s="423"/>
      <c r="O13" s="423"/>
      <c r="P13" s="169">
        <v>12</v>
      </c>
      <c r="Q13" s="169">
        <v>1705.5555555555566</v>
      </c>
      <c r="R13" s="169">
        <v>142.1296296296297</v>
      </c>
      <c r="S13" s="197">
        <f t="shared" si="0"/>
        <v>9</v>
      </c>
      <c r="T13" s="432"/>
      <c r="U13" s="169">
        <v>12</v>
      </c>
      <c r="V13" s="169">
        <v>1677.7358490566048</v>
      </c>
      <c r="W13" s="169">
        <v>139.81132075471706</v>
      </c>
      <c r="X13" s="197">
        <f t="shared" si="1"/>
        <v>9</v>
      </c>
      <c r="Y13" s="432"/>
      <c r="Z13" s="169">
        <v>12</v>
      </c>
      <c r="AA13" s="169">
        <v>1677.7777777777785</v>
      </c>
      <c r="AB13" s="169">
        <v>139.81481481481487</v>
      </c>
      <c r="AC13" s="197">
        <f t="shared" si="2"/>
        <v>9</v>
      </c>
      <c r="AD13" s="432"/>
      <c r="AE13" s="169">
        <v>12</v>
      </c>
      <c r="AF13" s="169">
        <v>1680</v>
      </c>
      <c r="AG13" s="169">
        <v>140</v>
      </c>
      <c r="AH13" s="197">
        <f t="shared" si="3"/>
        <v>9</v>
      </c>
      <c r="AI13" s="432"/>
      <c r="AJ13" s="169">
        <v>12</v>
      </c>
      <c r="AK13" s="169">
        <v>1668.9795918367354</v>
      </c>
      <c r="AL13" s="169">
        <v>139.08163265306129</v>
      </c>
      <c r="AM13" s="197">
        <f t="shared" si="4"/>
        <v>9</v>
      </c>
      <c r="AN13" s="432"/>
      <c r="AO13" s="169">
        <v>12</v>
      </c>
      <c r="AP13" s="169">
        <v>1658.2758620689644</v>
      </c>
      <c r="AQ13" s="169">
        <v>138.18965517241369</v>
      </c>
      <c r="AR13" s="197">
        <f t="shared" si="5"/>
        <v>9</v>
      </c>
      <c r="AS13" s="432"/>
      <c r="AT13" s="169">
        <v>12</v>
      </c>
      <c r="AU13" s="169">
        <v>1642.3728813559314</v>
      </c>
      <c r="AV13" s="169">
        <v>136.86440677966095</v>
      </c>
      <c r="AW13" s="197">
        <f t="shared" si="6"/>
        <v>9</v>
      </c>
      <c r="AX13" s="432"/>
    </row>
    <row r="14" spans="1:50">
      <c r="A14" s="79"/>
      <c r="B14" s="422"/>
      <c r="C14" s="197">
        <v>8</v>
      </c>
      <c r="D14" s="225" t="s">
        <v>264</v>
      </c>
      <c r="E14" s="169">
        <v>9</v>
      </c>
      <c r="F14" s="197">
        <v>2250</v>
      </c>
      <c r="G14" s="195">
        <v>250</v>
      </c>
      <c r="H14" s="429"/>
      <c r="I14" s="169">
        <f t="shared" si="7"/>
        <v>9</v>
      </c>
      <c r="J14" s="169">
        <f t="shared" si="7"/>
        <v>1657.1517362189627</v>
      </c>
      <c r="K14" s="195">
        <f t="shared" si="7"/>
        <v>184.12797069099585</v>
      </c>
      <c r="L14" s="429"/>
      <c r="M14" s="196">
        <f>RANK(K14, K$7:$K$21)</f>
        <v>5</v>
      </c>
      <c r="N14" s="423"/>
      <c r="O14" s="423"/>
      <c r="P14" s="169">
        <v>9</v>
      </c>
      <c r="Q14" s="169">
        <v>1681.714285714284</v>
      </c>
      <c r="R14" s="169">
        <v>186.85714285714266</v>
      </c>
      <c r="S14" s="197">
        <f t="shared" si="0"/>
        <v>5</v>
      </c>
      <c r="T14" s="432"/>
      <c r="U14" s="169">
        <v>9</v>
      </c>
      <c r="V14" s="169">
        <v>1643.3333333333321</v>
      </c>
      <c r="W14" s="169">
        <v>182.59259259259247</v>
      </c>
      <c r="X14" s="197">
        <f t="shared" si="1"/>
        <v>5</v>
      </c>
      <c r="Y14" s="432"/>
      <c r="Z14" s="169">
        <v>9</v>
      </c>
      <c r="AA14" s="169">
        <v>1687.0588235294097</v>
      </c>
      <c r="AB14" s="169">
        <v>187.45098039215662</v>
      </c>
      <c r="AC14" s="197">
        <f t="shared" si="2"/>
        <v>5</v>
      </c>
      <c r="AD14" s="432"/>
      <c r="AE14" s="169">
        <v>9</v>
      </c>
      <c r="AF14" s="169">
        <v>1674.5454545454563</v>
      </c>
      <c r="AG14" s="169">
        <v>186.06060606060626</v>
      </c>
      <c r="AH14" s="197">
        <f t="shared" si="3"/>
        <v>5</v>
      </c>
      <c r="AI14" s="432"/>
      <c r="AJ14" s="169">
        <v>9</v>
      </c>
      <c r="AK14" s="169">
        <v>1658.3333333333321</v>
      </c>
      <c r="AL14" s="169">
        <v>184.25925925925912</v>
      </c>
      <c r="AM14" s="197">
        <f t="shared" si="4"/>
        <v>5</v>
      </c>
      <c r="AN14" s="432"/>
      <c r="AO14" s="169">
        <v>9</v>
      </c>
      <c r="AP14" s="169">
        <v>1623.0769230769254</v>
      </c>
      <c r="AQ14" s="169">
        <v>180.3418803418806</v>
      </c>
      <c r="AR14" s="197">
        <f t="shared" si="5"/>
        <v>5</v>
      </c>
      <c r="AS14" s="432"/>
      <c r="AT14" s="169">
        <v>9</v>
      </c>
      <c r="AU14" s="169">
        <v>1631.9999999999993</v>
      </c>
      <c r="AV14" s="169">
        <v>181.33333333333326</v>
      </c>
      <c r="AW14" s="197">
        <f t="shared" si="6"/>
        <v>5</v>
      </c>
      <c r="AX14" s="432"/>
    </row>
    <row r="15" spans="1:50">
      <c r="A15" s="79"/>
      <c r="B15" s="422"/>
      <c r="C15" s="197">
        <v>9</v>
      </c>
      <c r="D15" s="225" t="s">
        <v>265</v>
      </c>
      <c r="E15" s="169">
        <v>9</v>
      </c>
      <c r="F15" s="197">
        <v>2250</v>
      </c>
      <c r="G15" s="195">
        <v>250</v>
      </c>
      <c r="H15" s="429"/>
      <c r="I15" s="169">
        <f t="shared" si="7"/>
        <v>9</v>
      </c>
      <c r="J15" s="169">
        <f t="shared" si="7"/>
        <v>1991.5435450165735</v>
      </c>
      <c r="K15" s="195">
        <f t="shared" si="7"/>
        <v>221.28261611295264</v>
      </c>
      <c r="L15" s="429"/>
      <c r="M15" s="196">
        <f>RANK(K15, K$7:$K$21)</f>
        <v>4</v>
      </c>
      <c r="N15" s="423"/>
      <c r="O15" s="423"/>
      <c r="P15" s="169">
        <v>9</v>
      </c>
      <c r="Q15" s="169">
        <v>2030.7142857142869</v>
      </c>
      <c r="R15" s="169">
        <v>225.63492063492077</v>
      </c>
      <c r="S15" s="197">
        <f t="shared" si="0"/>
        <v>4</v>
      </c>
      <c r="T15" s="432"/>
      <c r="U15" s="169">
        <v>9</v>
      </c>
      <c r="V15" s="169">
        <v>2016.4285714285709</v>
      </c>
      <c r="W15" s="169">
        <v>224.04761904761898</v>
      </c>
      <c r="X15" s="197">
        <f t="shared" si="1"/>
        <v>4</v>
      </c>
      <c r="Y15" s="432"/>
      <c r="Z15" s="169">
        <v>9</v>
      </c>
      <c r="AA15" s="169">
        <v>1975.7647058823543</v>
      </c>
      <c r="AB15" s="169">
        <v>219.52941176470603</v>
      </c>
      <c r="AC15" s="197">
        <f t="shared" si="2"/>
        <v>4</v>
      </c>
      <c r="AD15" s="432"/>
      <c r="AE15" s="169">
        <v>9</v>
      </c>
      <c r="AF15" s="169">
        <v>1923.7037037037046</v>
      </c>
      <c r="AG15" s="169">
        <v>213.74485596707828</v>
      </c>
      <c r="AH15" s="197">
        <f t="shared" si="3"/>
        <v>4</v>
      </c>
      <c r="AI15" s="432"/>
      <c r="AJ15" s="169">
        <v>9</v>
      </c>
      <c r="AK15" s="169">
        <v>1960.0000000000011</v>
      </c>
      <c r="AL15" s="169">
        <v>217.77777777777791</v>
      </c>
      <c r="AM15" s="197">
        <f t="shared" si="4"/>
        <v>4</v>
      </c>
      <c r="AN15" s="432"/>
      <c r="AO15" s="169">
        <v>9</v>
      </c>
      <c r="AP15" s="169">
        <v>2009.677419354839</v>
      </c>
      <c r="AQ15" s="169">
        <v>223.29749103942655</v>
      </c>
      <c r="AR15" s="197">
        <f t="shared" si="5"/>
        <v>4</v>
      </c>
      <c r="AS15" s="432"/>
      <c r="AT15" s="169">
        <v>9</v>
      </c>
      <c r="AU15" s="169">
        <v>2024.5161290322585</v>
      </c>
      <c r="AV15" s="169">
        <v>224.94623655913983</v>
      </c>
      <c r="AW15" s="197">
        <f t="shared" si="6"/>
        <v>4</v>
      </c>
      <c r="AX15" s="432"/>
    </row>
    <row r="16" spans="1:50">
      <c r="A16" s="79"/>
      <c r="B16" s="422"/>
      <c r="C16" s="197">
        <v>10</v>
      </c>
      <c r="D16" s="225" t="s">
        <v>266</v>
      </c>
      <c r="E16" s="169">
        <v>18</v>
      </c>
      <c r="F16" s="197">
        <v>1250</v>
      </c>
      <c r="G16" s="195">
        <v>69.444444444444443</v>
      </c>
      <c r="H16" s="429"/>
      <c r="I16" s="169">
        <f t="shared" si="7"/>
        <v>13</v>
      </c>
      <c r="J16" s="169">
        <f t="shared" si="7"/>
        <v>1245.3636469972607</v>
      </c>
      <c r="K16" s="195">
        <f t="shared" si="7"/>
        <v>95.797203615173899</v>
      </c>
      <c r="L16" s="429"/>
      <c r="M16" s="196">
        <f>RANK(K16, K$7:$K$21)</f>
        <v>10</v>
      </c>
      <c r="N16" s="423"/>
      <c r="O16" s="423"/>
      <c r="P16" s="169">
        <v>13</v>
      </c>
      <c r="Q16" s="169">
        <v>1243.0588235294126</v>
      </c>
      <c r="R16" s="169">
        <v>95.619909502262516</v>
      </c>
      <c r="S16" s="197">
        <f t="shared" si="0"/>
        <v>10</v>
      </c>
      <c r="T16" s="432"/>
      <c r="U16" s="169">
        <v>13</v>
      </c>
      <c r="V16" s="169">
        <v>1232.4705882352948</v>
      </c>
      <c r="W16" s="169">
        <v>94.805429864253455</v>
      </c>
      <c r="X16" s="197">
        <f t="shared" si="1"/>
        <v>10</v>
      </c>
      <c r="Y16" s="432"/>
      <c r="Z16" s="169">
        <v>13</v>
      </c>
      <c r="AA16" s="169">
        <v>1252.8000000000006</v>
      </c>
      <c r="AB16" s="169">
        <v>96.369230769230825</v>
      </c>
      <c r="AC16" s="197">
        <f t="shared" si="2"/>
        <v>10</v>
      </c>
      <c r="AD16" s="432"/>
      <c r="AE16" s="169">
        <v>13</v>
      </c>
      <c r="AF16" s="169">
        <v>1239.6923076923081</v>
      </c>
      <c r="AG16" s="169">
        <v>95.36094674556216</v>
      </c>
      <c r="AH16" s="197">
        <f t="shared" si="3"/>
        <v>10</v>
      </c>
      <c r="AI16" s="432"/>
      <c r="AJ16" s="169">
        <v>13</v>
      </c>
      <c r="AK16" s="169">
        <v>1242.8571428571436</v>
      </c>
      <c r="AL16" s="169">
        <v>95.604395604395663</v>
      </c>
      <c r="AM16" s="197">
        <f t="shared" si="4"/>
        <v>10</v>
      </c>
      <c r="AN16" s="432"/>
      <c r="AO16" s="169">
        <v>13</v>
      </c>
      <c r="AP16" s="169">
        <v>1259.3333333333333</v>
      </c>
      <c r="AQ16" s="169">
        <v>96.871794871794862</v>
      </c>
      <c r="AR16" s="197">
        <f t="shared" si="5"/>
        <v>10</v>
      </c>
      <c r="AS16" s="432"/>
      <c r="AT16" s="169">
        <v>13</v>
      </c>
      <c r="AU16" s="169">
        <v>1247.3333333333333</v>
      </c>
      <c r="AV16" s="169">
        <v>95.948717948717942</v>
      </c>
      <c r="AW16" s="197">
        <f t="shared" si="6"/>
        <v>10</v>
      </c>
      <c r="AX16" s="432"/>
    </row>
    <row r="17" spans="2:50">
      <c r="B17" s="422"/>
      <c r="C17" s="197">
        <v>11</v>
      </c>
      <c r="D17" s="225"/>
      <c r="E17" s="169"/>
      <c r="F17" s="197"/>
      <c r="G17" s="195"/>
      <c r="H17" s="429"/>
      <c r="I17" s="197"/>
      <c r="J17" s="197"/>
      <c r="K17" s="197"/>
      <c r="L17" s="429"/>
      <c r="M17" s="196" t="e">
        <f>RANK(K17, K$7:$K$21)</f>
        <v>#N/A</v>
      </c>
      <c r="N17" s="423"/>
      <c r="O17" s="423"/>
      <c r="P17" s="169"/>
      <c r="Q17" s="169"/>
      <c r="R17" s="169"/>
      <c r="S17" s="197" t="e">
        <f t="shared" si="0"/>
        <v>#N/A</v>
      </c>
      <c r="T17" s="432"/>
      <c r="U17" s="169"/>
      <c r="V17" s="169"/>
      <c r="W17" s="169"/>
      <c r="X17" s="197" t="e">
        <f t="shared" si="1"/>
        <v>#N/A</v>
      </c>
      <c r="Y17" s="432"/>
      <c r="Z17" s="169"/>
      <c r="AA17" s="169"/>
      <c r="AB17" s="195"/>
      <c r="AC17" s="197" t="e">
        <f t="shared" si="2"/>
        <v>#N/A</v>
      </c>
      <c r="AD17" s="432"/>
      <c r="AE17" s="169"/>
      <c r="AF17" s="169"/>
      <c r="AG17" s="195"/>
      <c r="AH17" s="197" t="e">
        <f t="shared" si="3"/>
        <v>#N/A</v>
      </c>
      <c r="AI17" s="432"/>
      <c r="AJ17" s="169"/>
      <c r="AK17" s="169"/>
      <c r="AL17" s="195"/>
      <c r="AM17" s="197" t="e">
        <f t="shared" si="4"/>
        <v>#N/A</v>
      </c>
      <c r="AN17" s="432"/>
      <c r="AO17" s="169"/>
      <c r="AP17" s="169"/>
      <c r="AQ17" s="195"/>
      <c r="AR17" s="197" t="e">
        <f t="shared" si="5"/>
        <v>#N/A</v>
      </c>
      <c r="AS17" s="432"/>
      <c r="AT17" s="169"/>
      <c r="AU17" s="169"/>
      <c r="AV17" s="195"/>
      <c r="AW17" s="197" t="e">
        <f t="shared" si="6"/>
        <v>#N/A</v>
      </c>
      <c r="AX17" s="432"/>
    </row>
    <row r="18" spans="2:50">
      <c r="B18" s="422"/>
      <c r="C18" s="197">
        <v>12</v>
      </c>
      <c r="D18" s="225"/>
      <c r="E18" s="169"/>
      <c r="F18" s="197"/>
      <c r="G18" s="195"/>
      <c r="H18" s="429"/>
      <c r="I18" s="197"/>
      <c r="J18" s="197"/>
      <c r="K18" s="197"/>
      <c r="L18" s="429"/>
      <c r="M18" s="196" t="e">
        <f>RANK(K18, K$7:$K$21)</f>
        <v>#N/A</v>
      </c>
      <c r="N18" s="423"/>
      <c r="O18" s="423"/>
      <c r="P18" s="169"/>
      <c r="Q18" s="169"/>
      <c r="R18" s="169"/>
      <c r="S18" s="197" t="e">
        <f t="shared" si="0"/>
        <v>#N/A</v>
      </c>
      <c r="T18" s="432"/>
      <c r="U18" s="169"/>
      <c r="V18" s="169"/>
      <c r="W18" s="169"/>
      <c r="X18" s="197" t="e">
        <f t="shared" si="1"/>
        <v>#N/A</v>
      </c>
      <c r="Y18" s="432"/>
      <c r="Z18" s="169"/>
      <c r="AA18" s="169"/>
      <c r="AB18" s="195"/>
      <c r="AC18" s="197" t="e">
        <f t="shared" si="2"/>
        <v>#N/A</v>
      </c>
      <c r="AD18" s="432"/>
      <c r="AE18" s="169"/>
      <c r="AF18" s="169"/>
      <c r="AG18" s="195"/>
      <c r="AH18" s="197" t="e">
        <f t="shared" si="3"/>
        <v>#N/A</v>
      </c>
      <c r="AI18" s="432"/>
      <c r="AJ18" s="169"/>
      <c r="AK18" s="169"/>
      <c r="AL18" s="195"/>
      <c r="AM18" s="197" t="e">
        <f t="shared" si="4"/>
        <v>#N/A</v>
      </c>
      <c r="AN18" s="432"/>
      <c r="AO18" s="169"/>
      <c r="AP18" s="169"/>
      <c r="AQ18" s="195"/>
      <c r="AR18" s="197" t="e">
        <f t="shared" si="5"/>
        <v>#N/A</v>
      </c>
      <c r="AS18" s="432"/>
      <c r="AT18" s="169"/>
      <c r="AU18" s="169"/>
      <c r="AV18" s="195"/>
      <c r="AW18" s="197" t="e">
        <f t="shared" si="6"/>
        <v>#N/A</v>
      </c>
      <c r="AX18" s="432"/>
    </row>
    <row r="19" spans="2:50">
      <c r="B19" s="422"/>
      <c r="C19" s="197">
        <v>13</v>
      </c>
      <c r="D19" s="225"/>
      <c r="E19" s="169"/>
      <c r="F19" s="197"/>
      <c r="G19" s="195"/>
      <c r="H19" s="429"/>
      <c r="I19" s="197"/>
      <c r="J19" s="197"/>
      <c r="K19" s="197"/>
      <c r="L19" s="429"/>
      <c r="M19" s="196" t="e">
        <f>RANK(K19, K$7:$K$21)</f>
        <v>#N/A</v>
      </c>
      <c r="N19" s="423"/>
      <c r="O19" s="423"/>
      <c r="P19" s="169"/>
      <c r="Q19" s="169"/>
      <c r="R19" s="195"/>
      <c r="S19" s="197" t="e">
        <f t="shared" si="0"/>
        <v>#N/A</v>
      </c>
      <c r="T19" s="432"/>
      <c r="U19" s="169"/>
      <c r="V19" s="169"/>
      <c r="W19" s="169"/>
      <c r="X19" s="197" t="e">
        <f t="shared" si="1"/>
        <v>#N/A</v>
      </c>
      <c r="Y19" s="432"/>
      <c r="Z19" s="169"/>
      <c r="AA19" s="169"/>
      <c r="AB19" s="195"/>
      <c r="AC19" s="197" t="e">
        <f t="shared" si="2"/>
        <v>#N/A</v>
      </c>
      <c r="AD19" s="432"/>
      <c r="AE19" s="169"/>
      <c r="AF19" s="169"/>
      <c r="AG19" s="195"/>
      <c r="AH19" s="197" t="e">
        <f t="shared" si="3"/>
        <v>#N/A</v>
      </c>
      <c r="AI19" s="432"/>
      <c r="AJ19" s="169"/>
      <c r="AK19" s="169"/>
      <c r="AL19" s="195"/>
      <c r="AM19" s="197" t="e">
        <f t="shared" si="4"/>
        <v>#N/A</v>
      </c>
      <c r="AN19" s="432"/>
      <c r="AO19" s="169"/>
      <c r="AP19" s="169"/>
      <c r="AQ19" s="195"/>
      <c r="AR19" s="197" t="e">
        <f t="shared" si="5"/>
        <v>#N/A</v>
      </c>
      <c r="AS19" s="432"/>
      <c r="AT19" s="169"/>
      <c r="AU19" s="169"/>
      <c r="AV19" s="195"/>
      <c r="AW19" s="197" t="e">
        <f t="shared" si="6"/>
        <v>#N/A</v>
      </c>
      <c r="AX19" s="432"/>
    </row>
    <row r="20" spans="2:50">
      <c r="B20" s="422"/>
      <c r="C20" s="197">
        <v>14</v>
      </c>
      <c r="D20" s="225"/>
      <c r="E20" s="169"/>
      <c r="F20" s="197"/>
      <c r="G20" s="195"/>
      <c r="H20" s="429"/>
      <c r="I20" s="197"/>
      <c r="J20" s="197"/>
      <c r="K20" s="197"/>
      <c r="L20" s="429"/>
      <c r="M20" s="196" t="e">
        <f>RANK(K20, K$7:$K$21)</f>
        <v>#N/A</v>
      </c>
      <c r="N20" s="423"/>
      <c r="O20" s="423"/>
      <c r="P20" s="169"/>
      <c r="Q20" s="169"/>
      <c r="R20" s="195"/>
      <c r="S20" s="197" t="e">
        <f t="shared" si="0"/>
        <v>#N/A</v>
      </c>
      <c r="T20" s="432"/>
      <c r="U20" s="169"/>
      <c r="V20" s="169"/>
      <c r="W20" s="169"/>
      <c r="X20" s="197" t="e">
        <f t="shared" si="1"/>
        <v>#N/A</v>
      </c>
      <c r="Y20" s="432"/>
      <c r="Z20" s="169"/>
      <c r="AA20" s="169"/>
      <c r="AB20" s="195"/>
      <c r="AC20" s="197" t="e">
        <f t="shared" si="2"/>
        <v>#N/A</v>
      </c>
      <c r="AD20" s="432"/>
      <c r="AE20" s="169"/>
      <c r="AF20" s="169"/>
      <c r="AG20" s="195"/>
      <c r="AH20" s="197" t="e">
        <f t="shared" si="3"/>
        <v>#N/A</v>
      </c>
      <c r="AI20" s="432"/>
      <c r="AJ20" s="169"/>
      <c r="AK20" s="169"/>
      <c r="AL20" s="195"/>
      <c r="AM20" s="197" t="e">
        <f t="shared" si="4"/>
        <v>#N/A</v>
      </c>
      <c r="AN20" s="432"/>
      <c r="AO20" s="169"/>
      <c r="AP20" s="169"/>
      <c r="AQ20" s="195"/>
      <c r="AR20" s="197" t="e">
        <f t="shared" si="5"/>
        <v>#N/A</v>
      </c>
      <c r="AS20" s="432"/>
      <c r="AT20" s="169"/>
      <c r="AU20" s="169"/>
      <c r="AV20" s="195"/>
      <c r="AW20" s="197" t="e">
        <f t="shared" si="6"/>
        <v>#N/A</v>
      </c>
      <c r="AX20" s="432"/>
    </row>
    <row r="21" spans="2:50">
      <c r="B21" s="422"/>
      <c r="C21" s="197">
        <v>15</v>
      </c>
      <c r="D21" s="225"/>
      <c r="E21" s="169"/>
      <c r="F21" s="197"/>
      <c r="G21" s="195"/>
      <c r="H21" s="430"/>
      <c r="I21" s="197"/>
      <c r="J21" s="197"/>
      <c r="K21" s="197"/>
      <c r="L21" s="430"/>
      <c r="M21" s="169" t="e">
        <f>RANK(K21, K$7:$K$21)</f>
        <v>#N/A</v>
      </c>
      <c r="N21" s="423"/>
      <c r="O21" s="423"/>
      <c r="P21" s="169"/>
      <c r="Q21" s="169"/>
      <c r="R21" s="195"/>
      <c r="S21" s="197" t="e">
        <f t="shared" si="0"/>
        <v>#N/A</v>
      </c>
      <c r="T21" s="432"/>
      <c r="U21" s="169"/>
      <c r="V21" s="169"/>
      <c r="W21" s="169"/>
      <c r="X21" s="197" t="e">
        <f t="shared" si="1"/>
        <v>#N/A</v>
      </c>
      <c r="Y21" s="432"/>
      <c r="Z21" s="169"/>
      <c r="AA21" s="169"/>
      <c r="AB21" s="195"/>
      <c r="AC21" s="197" t="e">
        <f t="shared" si="2"/>
        <v>#N/A</v>
      </c>
      <c r="AD21" s="432"/>
      <c r="AE21" s="169"/>
      <c r="AF21" s="169"/>
      <c r="AG21" s="195"/>
      <c r="AH21" s="197" t="e">
        <f t="shared" si="3"/>
        <v>#N/A</v>
      </c>
      <c r="AI21" s="432"/>
      <c r="AJ21" s="169"/>
      <c r="AK21" s="169"/>
      <c r="AL21" s="195"/>
      <c r="AM21" s="197" t="e">
        <f t="shared" si="4"/>
        <v>#N/A</v>
      </c>
      <c r="AN21" s="432"/>
      <c r="AO21" s="169"/>
      <c r="AP21" s="169"/>
      <c r="AQ21" s="195"/>
      <c r="AR21" s="197" t="e">
        <f t="shared" si="5"/>
        <v>#N/A</v>
      </c>
      <c r="AS21" s="432"/>
      <c r="AT21" s="169"/>
      <c r="AU21" s="169"/>
      <c r="AV21" s="195"/>
      <c r="AW21" s="197" t="e">
        <f t="shared" si="6"/>
        <v>#N/A</v>
      </c>
      <c r="AX21" s="432"/>
    </row>
    <row r="22" spans="2:50" ht="15.75">
      <c r="B22" s="424" t="s">
        <v>202</v>
      </c>
      <c r="C22" s="425"/>
      <c r="D22" s="425"/>
      <c r="E22" s="425"/>
      <c r="F22" s="425"/>
      <c r="G22" s="425"/>
      <c r="H22" s="425"/>
      <c r="I22" s="198"/>
      <c r="J22" s="198"/>
      <c r="K22" s="198"/>
      <c r="L22" s="198"/>
      <c r="M22" s="193"/>
      <c r="N22" s="401" t="s">
        <v>203</v>
      </c>
      <c r="O22" s="401" t="s">
        <v>150</v>
      </c>
      <c r="P22" s="419">
        <f>AT2+1</f>
        <v>45902</v>
      </c>
      <c r="Q22" s="420"/>
      <c r="R22" s="420"/>
      <c r="S22" s="420"/>
      <c r="T22" s="420"/>
      <c r="U22" s="421">
        <f>P22+1</f>
        <v>45903</v>
      </c>
      <c r="V22" s="422"/>
      <c r="W22" s="422"/>
      <c r="X22" s="422"/>
      <c r="Y22" s="422"/>
      <c r="Z22" s="421">
        <f>U22+1</f>
        <v>45904</v>
      </c>
      <c r="AA22" s="422"/>
      <c r="AB22" s="422"/>
      <c r="AC22" s="422"/>
      <c r="AD22" s="422"/>
      <c r="AE22" s="421">
        <f>Z22+1</f>
        <v>45905</v>
      </c>
      <c r="AF22" s="422"/>
      <c r="AG22" s="422"/>
      <c r="AH22" s="422"/>
      <c r="AI22" s="422"/>
      <c r="AJ22" s="421">
        <f>AE22+1</f>
        <v>45906</v>
      </c>
      <c r="AK22" s="422"/>
      <c r="AL22" s="422"/>
      <c r="AM22" s="422"/>
      <c r="AN22" s="422"/>
      <c r="AO22" s="421">
        <f>AJ22+1</f>
        <v>45907</v>
      </c>
      <c r="AP22" s="422"/>
      <c r="AQ22" s="422"/>
      <c r="AR22" s="422"/>
      <c r="AS22" s="422"/>
      <c r="AT22" s="421">
        <f>AO22+1</f>
        <v>45908</v>
      </c>
      <c r="AU22" s="422"/>
      <c r="AV22" s="422"/>
      <c r="AW22" s="422"/>
      <c r="AX22" s="422"/>
    </row>
    <row r="23" spans="2:50" ht="15.75">
      <c r="B23" s="426"/>
      <c r="C23" s="426"/>
      <c r="D23" s="426"/>
      <c r="E23" s="426"/>
      <c r="F23" s="426"/>
      <c r="G23" s="426"/>
      <c r="H23" s="426"/>
      <c r="I23" s="199"/>
      <c r="J23" s="199"/>
      <c r="K23" s="199"/>
      <c r="L23" s="199"/>
      <c r="M23" s="194"/>
      <c r="N23" s="403"/>
      <c r="O23" s="403"/>
      <c r="P23" s="421" t="s">
        <v>204</v>
      </c>
      <c r="Q23" s="422"/>
      <c r="R23" s="422"/>
      <c r="S23" s="422"/>
      <c r="T23" s="422"/>
      <c r="U23" s="421" t="s">
        <v>205</v>
      </c>
      <c r="V23" s="422"/>
      <c r="W23" s="422"/>
      <c r="X23" s="422"/>
      <c r="Y23" s="422"/>
      <c r="Z23" s="421" t="s">
        <v>206</v>
      </c>
      <c r="AA23" s="422"/>
      <c r="AB23" s="422"/>
      <c r="AC23" s="422"/>
      <c r="AD23" s="422"/>
      <c r="AE23" s="421" t="s">
        <v>207</v>
      </c>
      <c r="AF23" s="422"/>
      <c r="AG23" s="422"/>
      <c r="AH23" s="422"/>
      <c r="AI23" s="422"/>
      <c r="AJ23" s="421" t="s">
        <v>208</v>
      </c>
      <c r="AK23" s="422"/>
      <c r="AL23" s="422"/>
      <c r="AM23" s="422"/>
      <c r="AN23" s="422"/>
      <c r="AO23" s="421" t="s">
        <v>157</v>
      </c>
      <c r="AP23" s="422"/>
      <c r="AQ23" s="422"/>
      <c r="AR23" s="422"/>
      <c r="AS23" s="422"/>
      <c r="AT23" s="421" t="s">
        <v>209</v>
      </c>
      <c r="AU23" s="422"/>
      <c r="AV23" s="422"/>
      <c r="AW23" s="422"/>
      <c r="AX23" s="422"/>
    </row>
    <row r="24" spans="2:50">
      <c r="B24" s="423" t="s">
        <v>210</v>
      </c>
      <c r="C24" s="423" t="s">
        <v>211</v>
      </c>
      <c r="D24" s="423"/>
      <c r="E24" s="423" t="s">
        <v>212</v>
      </c>
      <c r="F24" s="423"/>
      <c r="G24" s="423"/>
      <c r="H24" s="404" t="s">
        <v>213</v>
      </c>
      <c r="I24" s="423" t="s">
        <v>214</v>
      </c>
      <c r="J24" s="423"/>
      <c r="K24" s="423"/>
      <c r="L24" s="404" t="s">
        <v>213</v>
      </c>
      <c r="M24" s="401" t="s">
        <v>215</v>
      </c>
      <c r="N24" s="423"/>
      <c r="O24" s="423" t="s">
        <v>216</v>
      </c>
      <c r="P24" s="413" t="s">
        <v>217</v>
      </c>
      <c r="Q24" s="414"/>
      <c r="R24" s="414"/>
      <c r="S24" s="415"/>
      <c r="T24" s="423" t="s">
        <v>213</v>
      </c>
      <c r="U24" s="413" t="s">
        <v>217</v>
      </c>
      <c r="V24" s="414"/>
      <c r="W24" s="414"/>
      <c r="X24" s="415"/>
      <c r="Y24" s="423" t="s">
        <v>213</v>
      </c>
      <c r="Z24" s="413" t="s">
        <v>217</v>
      </c>
      <c r="AA24" s="414"/>
      <c r="AB24" s="414"/>
      <c r="AC24" s="415"/>
      <c r="AD24" s="423" t="s">
        <v>213</v>
      </c>
      <c r="AE24" s="413" t="s">
        <v>217</v>
      </c>
      <c r="AF24" s="414"/>
      <c r="AG24" s="414"/>
      <c r="AH24" s="415"/>
      <c r="AI24" s="423" t="s">
        <v>213</v>
      </c>
      <c r="AJ24" s="413" t="s">
        <v>217</v>
      </c>
      <c r="AK24" s="414"/>
      <c r="AL24" s="414"/>
      <c r="AM24" s="415"/>
      <c r="AN24" s="423" t="s">
        <v>213</v>
      </c>
      <c r="AO24" s="413" t="s">
        <v>217</v>
      </c>
      <c r="AP24" s="414"/>
      <c r="AQ24" s="414"/>
      <c r="AR24" s="415"/>
      <c r="AS24" s="423" t="s">
        <v>213</v>
      </c>
      <c r="AT24" s="413" t="s">
        <v>217</v>
      </c>
      <c r="AU24" s="414"/>
      <c r="AV24" s="414"/>
      <c r="AW24" s="415"/>
      <c r="AX24" s="423" t="s">
        <v>213</v>
      </c>
    </row>
    <row r="25" spans="2:50">
      <c r="B25" s="423"/>
      <c r="C25" s="423"/>
      <c r="D25" s="423"/>
      <c r="E25" s="423" t="s">
        <v>218</v>
      </c>
      <c r="F25" s="423"/>
      <c r="G25" s="423"/>
      <c r="H25" s="406"/>
      <c r="I25" s="423" t="s">
        <v>218</v>
      </c>
      <c r="J25" s="423"/>
      <c r="K25" s="423"/>
      <c r="L25" s="406"/>
      <c r="M25" s="402"/>
      <c r="N25" s="423"/>
      <c r="O25" s="423"/>
      <c r="P25" s="413" t="s">
        <v>219</v>
      </c>
      <c r="Q25" s="414"/>
      <c r="R25" s="414"/>
      <c r="S25" s="415"/>
      <c r="T25" s="423"/>
      <c r="U25" s="413" t="s">
        <v>219</v>
      </c>
      <c r="V25" s="414"/>
      <c r="W25" s="414"/>
      <c r="X25" s="415"/>
      <c r="Y25" s="423"/>
      <c r="Z25" s="413" t="s">
        <v>219</v>
      </c>
      <c r="AA25" s="414"/>
      <c r="AB25" s="414"/>
      <c r="AC25" s="415"/>
      <c r="AD25" s="423"/>
      <c r="AE25" s="413" t="s">
        <v>219</v>
      </c>
      <c r="AF25" s="414"/>
      <c r="AG25" s="414"/>
      <c r="AH25" s="415"/>
      <c r="AI25" s="423"/>
      <c r="AJ25" s="413" t="s">
        <v>219</v>
      </c>
      <c r="AK25" s="414"/>
      <c r="AL25" s="414"/>
      <c r="AM25" s="415"/>
      <c r="AN25" s="423"/>
      <c r="AO25" s="413" t="s">
        <v>219</v>
      </c>
      <c r="AP25" s="414"/>
      <c r="AQ25" s="414"/>
      <c r="AR25" s="415"/>
      <c r="AS25" s="423"/>
      <c r="AT25" s="413" t="s">
        <v>219</v>
      </c>
      <c r="AU25" s="414"/>
      <c r="AV25" s="414"/>
      <c r="AW25" s="415"/>
      <c r="AX25" s="423"/>
    </row>
    <row r="26" spans="2:50">
      <c r="B26" s="423"/>
      <c r="C26" s="423"/>
      <c r="D26" s="423"/>
      <c r="E26" s="297" t="s">
        <v>220</v>
      </c>
      <c r="F26" s="297" t="s">
        <v>221</v>
      </c>
      <c r="G26" s="297" t="s">
        <v>222</v>
      </c>
      <c r="H26" s="408"/>
      <c r="I26" s="297" t="s">
        <v>220</v>
      </c>
      <c r="J26" s="297" t="s">
        <v>221</v>
      </c>
      <c r="K26" s="297" t="s">
        <v>222</v>
      </c>
      <c r="L26" s="408"/>
      <c r="M26" s="403"/>
      <c r="N26" s="423"/>
      <c r="O26" s="423"/>
      <c r="P26" s="297" t="s">
        <v>220</v>
      </c>
      <c r="Q26" s="297" t="s">
        <v>221</v>
      </c>
      <c r="R26" s="297" t="s">
        <v>222</v>
      </c>
      <c r="S26" s="297" t="s">
        <v>215</v>
      </c>
      <c r="T26" s="423"/>
      <c r="U26" s="297" t="s">
        <v>220</v>
      </c>
      <c r="V26" s="297" t="s">
        <v>221</v>
      </c>
      <c r="W26" s="297" t="s">
        <v>222</v>
      </c>
      <c r="X26" s="297" t="s">
        <v>215</v>
      </c>
      <c r="Y26" s="423"/>
      <c r="Z26" s="297" t="s">
        <v>220</v>
      </c>
      <c r="AA26" s="297" t="s">
        <v>221</v>
      </c>
      <c r="AB26" s="297" t="s">
        <v>222</v>
      </c>
      <c r="AC26" s="297" t="s">
        <v>215</v>
      </c>
      <c r="AD26" s="423"/>
      <c r="AE26" s="297" t="s">
        <v>220</v>
      </c>
      <c r="AF26" s="297" t="s">
        <v>221</v>
      </c>
      <c r="AG26" s="297" t="s">
        <v>222</v>
      </c>
      <c r="AH26" s="297" t="s">
        <v>215</v>
      </c>
      <c r="AI26" s="423"/>
      <c r="AJ26" s="297" t="s">
        <v>220</v>
      </c>
      <c r="AK26" s="297" t="s">
        <v>221</v>
      </c>
      <c r="AL26" s="297" t="s">
        <v>222</v>
      </c>
      <c r="AM26" s="297" t="s">
        <v>215</v>
      </c>
      <c r="AN26" s="423"/>
      <c r="AO26" s="297" t="s">
        <v>220</v>
      </c>
      <c r="AP26" s="297" t="s">
        <v>221</v>
      </c>
      <c r="AQ26" s="297" t="s">
        <v>222</v>
      </c>
      <c r="AR26" s="297" t="s">
        <v>215</v>
      </c>
      <c r="AS26" s="423"/>
      <c r="AT26" s="297" t="s">
        <v>220</v>
      </c>
      <c r="AU26" s="297" t="s">
        <v>221</v>
      </c>
      <c r="AV26" s="297" t="s">
        <v>222</v>
      </c>
      <c r="AW26" s="297" t="s">
        <v>215</v>
      </c>
      <c r="AX26" s="423"/>
    </row>
    <row r="27" spans="2:50">
      <c r="B27" s="431" t="s">
        <v>256</v>
      </c>
      <c r="C27" s="197">
        <v>1</v>
      </c>
      <c r="D27" s="225" t="s">
        <v>257</v>
      </c>
      <c r="E27" s="169">
        <v>4</v>
      </c>
      <c r="F27" s="197">
        <v>2000</v>
      </c>
      <c r="G27" s="195">
        <v>500</v>
      </c>
      <c r="H27" s="428">
        <f>AVERAGE(G27:G41)</f>
        <v>283.6489898989899</v>
      </c>
      <c r="I27" s="169">
        <f>AVERAGE(P27,U27,Z27,AE27,AJ27,AO27,AT27)</f>
        <v>4.7142857142857144</v>
      </c>
      <c r="J27" s="169">
        <f>AVERAGE(Q27,V27,AA27,AF27,AK27,AP27,AU27)</f>
        <v>2123.0447178871514</v>
      </c>
      <c r="K27" s="195">
        <f>AVERAGE(R27,W27,AB27,AG27,AL27,AQ27,AV27)</f>
        <v>455.66934273709415</v>
      </c>
      <c r="L27" s="428">
        <f>IFERROR(AVERAGE(K27:K41),"-")</f>
        <v>259.10520310272989</v>
      </c>
      <c r="M27" s="196">
        <f>RANK(K27, K$27:$K$41)</f>
        <v>3</v>
      </c>
      <c r="N27" s="423"/>
      <c r="O27" s="423"/>
      <c r="P27" s="169">
        <v>5</v>
      </c>
      <c r="Q27" s="169">
        <v>2089.4117647058797</v>
      </c>
      <c r="R27" s="169">
        <v>417.88235294117595</v>
      </c>
      <c r="S27" s="197">
        <f t="shared" ref="S27:S41" si="8">RANK(R27, R$27:R$41)</f>
        <v>3</v>
      </c>
      <c r="T27" s="432">
        <f>AVERAGE(R27:R41)</f>
        <v>246.92551404047131</v>
      </c>
      <c r="U27" s="169">
        <v>5</v>
      </c>
      <c r="V27" s="169">
        <v>2107.058823529409</v>
      </c>
      <c r="W27" s="169">
        <v>421.41176470588181</v>
      </c>
      <c r="X27" s="197">
        <f t="shared" ref="X27:X41" si="9">RANK(W27, W$27:W$41)</f>
        <v>3</v>
      </c>
      <c r="Y27" s="432">
        <f>AVERAGE(W27:W41)</f>
        <v>250.45999674303948</v>
      </c>
      <c r="Z27" s="169">
        <v>5</v>
      </c>
      <c r="AA27" s="169">
        <v>2163.5294117647031</v>
      </c>
      <c r="AB27" s="169">
        <v>432.70588235294065</v>
      </c>
      <c r="AC27" s="197">
        <f t="shared" ref="AC27:AC41" si="10">RANK(AB27, AB$27:AB$41)</f>
        <v>1</v>
      </c>
      <c r="AD27" s="432">
        <f>AVERAGE(AB27:AB41)</f>
        <v>251.06028056372088</v>
      </c>
      <c r="AE27" s="169">
        <v>5</v>
      </c>
      <c r="AF27" s="169">
        <v>2095.7142857142812</v>
      </c>
      <c r="AG27" s="169">
        <v>419.14285714285626</v>
      </c>
      <c r="AH27" s="197">
        <f t="shared" ref="AH27:AH41" si="11">RANK(AG27, AG$27:AG$41)</f>
        <v>2</v>
      </c>
      <c r="AI27" s="432">
        <f>AVERAGE(AG27:AG41)</f>
        <v>247.89014787792613</v>
      </c>
      <c r="AJ27" s="169">
        <v>5</v>
      </c>
      <c r="AK27" s="169">
        <v>2057.1428571428528</v>
      </c>
      <c r="AL27" s="169">
        <v>411.42857142857054</v>
      </c>
      <c r="AM27" s="197">
        <f t="shared" ref="AM27:AM41" si="12">RANK(AL27, AL$27:AL$41)</f>
        <v>3</v>
      </c>
      <c r="AN27" s="432">
        <f>AVERAGE(AL27:AL41)</f>
        <v>248.24703052336855</v>
      </c>
      <c r="AO27" s="169">
        <v>4</v>
      </c>
      <c r="AP27" s="169">
        <v>2184.7058823529383</v>
      </c>
      <c r="AQ27" s="169">
        <v>546.17647058823457</v>
      </c>
      <c r="AR27" s="197">
        <f t="shared" ref="AR27:AR41" si="13">RANK(AQ27, AQ$27:AQ$41)</f>
        <v>1</v>
      </c>
      <c r="AS27" s="432">
        <f>AVERAGE(AQ27:AQ41)</f>
        <v>285.2928111454969</v>
      </c>
      <c r="AT27" s="169">
        <v>4</v>
      </c>
      <c r="AU27" s="169">
        <v>2163.7499999999968</v>
      </c>
      <c r="AV27" s="169">
        <v>540.9374999999992</v>
      </c>
      <c r="AW27" s="197">
        <f t="shared" ref="AW27:AW41" si="14">RANK(AV27, AV$27:AV$41)</f>
        <v>2</v>
      </c>
      <c r="AX27" s="432">
        <f>AVERAGE(AV27:AV41)</f>
        <v>283.86064082508614</v>
      </c>
    </row>
    <row r="28" spans="2:50">
      <c r="B28" s="422"/>
      <c r="C28" s="197">
        <v>2</v>
      </c>
      <c r="D28" s="225" t="s">
        <v>258</v>
      </c>
      <c r="E28" s="169">
        <v>4</v>
      </c>
      <c r="F28" s="197">
        <v>2000</v>
      </c>
      <c r="G28" s="195">
        <v>500</v>
      </c>
      <c r="H28" s="429"/>
      <c r="I28" s="169">
        <f t="shared" ref="I28:I36" si="15">AVERAGE(P28,U28,Z28,AE28,AJ28,AO28,AT28)</f>
        <v>4.7142857142857144</v>
      </c>
      <c r="J28" s="169">
        <f t="shared" ref="J28:J36" si="16">AVERAGE(Q28,V28,AA28,AF28,AK28,AP28,AU28)</f>
        <v>2135.3589435774275</v>
      </c>
      <c r="K28" s="195">
        <f t="shared" ref="K28:K36" si="17">AVERAGE(R28,W28,AB28,AG28,AL28,AQ28,AV28)</f>
        <v>457.87851140456121</v>
      </c>
      <c r="L28" s="429"/>
      <c r="M28" s="196">
        <f>RANK(K28, K$27:$K$41)</f>
        <v>2</v>
      </c>
      <c r="N28" s="423"/>
      <c r="O28" s="423"/>
      <c r="P28" s="169">
        <v>5</v>
      </c>
      <c r="Q28" s="169">
        <v>2089.9999999999986</v>
      </c>
      <c r="R28" s="169">
        <v>417.99999999999972</v>
      </c>
      <c r="S28" s="197">
        <f t="shared" si="8"/>
        <v>2</v>
      </c>
      <c r="T28" s="432"/>
      <c r="U28" s="169">
        <v>5</v>
      </c>
      <c r="V28" s="169">
        <v>2175.9999999999959</v>
      </c>
      <c r="W28" s="169">
        <v>435.19999999999919</v>
      </c>
      <c r="X28" s="197">
        <f t="shared" si="9"/>
        <v>2</v>
      </c>
      <c r="Y28" s="432"/>
      <c r="Z28" s="169">
        <v>5</v>
      </c>
      <c r="AA28" s="169">
        <v>2159.9999999999973</v>
      </c>
      <c r="AB28" s="169">
        <v>431.99999999999943</v>
      </c>
      <c r="AC28" s="197">
        <f t="shared" si="10"/>
        <v>2</v>
      </c>
      <c r="AD28" s="432"/>
      <c r="AE28" s="169">
        <v>5</v>
      </c>
      <c r="AF28" s="169">
        <v>2091.428571428567</v>
      </c>
      <c r="AG28" s="169">
        <v>418.28571428571342</v>
      </c>
      <c r="AH28" s="197">
        <f t="shared" si="11"/>
        <v>3</v>
      </c>
      <c r="AI28" s="432"/>
      <c r="AJ28" s="169">
        <v>5</v>
      </c>
      <c r="AK28" s="169">
        <v>2117.1428571428523</v>
      </c>
      <c r="AL28" s="169">
        <v>423.42857142857048</v>
      </c>
      <c r="AM28" s="197">
        <f t="shared" si="12"/>
        <v>2</v>
      </c>
      <c r="AN28" s="432"/>
      <c r="AO28" s="169">
        <v>4</v>
      </c>
      <c r="AP28" s="169">
        <v>2174.1176470588207</v>
      </c>
      <c r="AQ28" s="169">
        <v>543.52941176470517</v>
      </c>
      <c r="AR28" s="197">
        <f t="shared" si="13"/>
        <v>2</v>
      </c>
      <c r="AS28" s="432"/>
      <c r="AT28" s="169">
        <v>4</v>
      </c>
      <c r="AU28" s="169">
        <v>2138.8235294117621</v>
      </c>
      <c r="AV28" s="169">
        <v>534.70588235294053</v>
      </c>
      <c r="AW28" s="197">
        <f t="shared" si="14"/>
        <v>3</v>
      </c>
      <c r="AX28" s="432"/>
    </row>
    <row r="29" spans="2:50">
      <c r="B29" s="422"/>
      <c r="C29" s="197">
        <v>3</v>
      </c>
      <c r="D29" s="225" t="s">
        <v>259</v>
      </c>
      <c r="E29" s="169">
        <v>4</v>
      </c>
      <c r="F29" s="197">
        <v>2000</v>
      </c>
      <c r="G29" s="195">
        <v>500</v>
      </c>
      <c r="H29" s="429"/>
      <c r="I29" s="169">
        <f t="shared" si="15"/>
        <v>4.7142857142857144</v>
      </c>
      <c r="J29" s="169">
        <f t="shared" si="16"/>
        <v>2159.7142038086145</v>
      </c>
      <c r="K29" s="195">
        <f t="shared" si="17"/>
        <v>462.93773872090662</v>
      </c>
      <c r="L29" s="429"/>
      <c r="M29" s="196">
        <f>RANK(K29, K$27:$K$41)</f>
        <v>1</v>
      </c>
      <c r="N29" s="423"/>
      <c r="O29" s="423"/>
      <c r="P29" s="169">
        <v>5</v>
      </c>
      <c r="Q29" s="169">
        <v>2118.4615384615395</v>
      </c>
      <c r="R29" s="169">
        <v>423.69230769230791</v>
      </c>
      <c r="S29" s="197">
        <f t="shared" si="8"/>
        <v>1</v>
      </c>
      <c r="T29" s="432"/>
      <c r="U29" s="169">
        <v>5</v>
      </c>
      <c r="V29" s="169">
        <v>2191.2000000000007</v>
      </c>
      <c r="W29" s="169">
        <v>438.24000000000012</v>
      </c>
      <c r="X29" s="197">
        <f t="shared" si="9"/>
        <v>1</v>
      </c>
      <c r="Y29" s="432"/>
      <c r="Z29" s="169">
        <v>5</v>
      </c>
      <c r="AA29" s="169">
        <v>2138.4000000000005</v>
      </c>
      <c r="AB29" s="169">
        <v>427.68000000000012</v>
      </c>
      <c r="AC29" s="197">
        <f t="shared" si="10"/>
        <v>3</v>
      </c>
      <c r="AD29" s="432"/>
      <c r="AE29" s="169">
        <v>5</v>
      </c>
      <c r="AF29" s="169">
        <v>2175.6521739130435</v>
      </c>
      <c r="AG29" s="169">
        <v>435.13043478260869</v>
      </c>
      <c r="AH29" s="197">
        <f t="shared" si="11"/>
        <v>1</v>
      </c>
      <c r="AI29" s="432"/>
      <c r="AJ29" s="169">
        <v>5</v>
      </c>
      <c r="AK29" s="169">
        <v>2155.0000000000009</v>
      </c>
      <c r="AL29" s="169">
        <v>431.00000000000017</v>
      </c>
      <c r="AM29" s="197">
        <f t="shared" si="12"/>
        <v>1</v>
      </c>
      <c r="AN29" s="432"/>
      <c r="AO29" s="169">
        <v>4</v>
      </c>
      <c r="AP29" s="169">
        <v>2149.285714285716</v>
      </c>
      <c r="AQ29" s="169">
        <v>537.32142857142901</v>
      </c>
      <c r="AR29" s="197">
        <f t="shared" si="13"/>
        <v>3</v>
      </c>
      <c r="AS29" s="432"/>
      <c r="AT29" s="169">
        <v>4</v>
      </c>
      <c r="AU29" s="169">
        <v>2190.0000000000018</v>
      </c>
      <c r="AV29" s="169">
        <v>547.50000000000045</v>
      </c>
      <c r="AW29" s="197">
        <f t="shared" si="14"/>
        <v>1</v>
      </c>
      <c r="AX29" s="432"/>
    </row>
    <row r="30" spans="2:50">
      <c r="B30" s="422"/>
      <c r="C30" s="197">
        <v>4</v>
      </c>
      <c r="D30" s="225" t="s">
        <v>260</v>
      </c>
      <c r="E30" s="169">
        <v>12</v>
      </c>
      <c r="F30" s="197">
        <v>2250</v>
      </c>
      <c r="G30" s="195">
        <v>187.5</v>
      </c>
      <c r="H30" s="429"/>
      <c r="I30" s="169">
        <f t="shared" si="15"/>
        <v>12</v>
      </c>
      <c r="J30" s="169">
        <f t="shared" si="16"/>
        <v>1966.7990029466491</v>
      </c>
      <c r="K30" s="195">
        <f t="shared" si="17"/>
        <v>163.89991691222073</v>
      </c>
      <c r="L30" s="429"/>
      <c r="M30" s="196">
        <f>RANK(K30, K$27:$K$41)</f>
        <v>9</v>
      </c>
      <c r="N30" s="423"/>
      <c r="O30" s="423"/>
      <c r="P30" s="169">
        <v>12</v>
      </c>
      <c r="Q30" s="169">
        <v>1976.4705882352939</v>
      </c>
      <c r="R30" s="169">
        <v>164.70588235294116</v>
      </c>
      <c r="S30" s="197">
        <f t="shared" si="8"/>
        <v>8</v>
      </c>
      <c r="T30" s="432"/>
      <c r="U30" s="169">
        <v>12</v>
      </c>
      <c r="V30" s="169">
        <v>1966.5671641791046</v>
      </c>
      <c r="W30" s="169">
        <v>163.88059701492537</v>
      </c>
      <c r="X30" s="197">
        <f t="shared" si="9"/>
        <v>9</v>
      </c>
      <c r="Y30" s="432"/>
      <c r="Z30" s="169">
        <v>12</v>
      </c>
      <c r="AA30" s="169">
        <v>1936.8749999999995</v>
      </c>
      <c r="AB30" s="169">
        <v>161.40624999999997</v>
      </c>
      <c r="AC30" s="197">
        <f t="shared" si="10"/>
        <v>9</v>
      </c>
      <c r="AD30" s="432"/>
      <c r="AE30" s="169">
        <v>12</v>
      </c>
      <c r="AF30" s="169">
        <v>1963.9285714285713</v>
      </c>
      <c r="AG30" s="169">
        <v>163.66071428571428</v>
      </c>
      <c r="AH30" s="197">
        <f t="shared" si="11"/>
        <v>8</v>
      </c>
      <c r="AI30" s="432"/>
      <c r="AJ30" s="169">
        <v>12</v>
      </c>
      <c r="AK30" s="169">
        <v>1997.8947368421054</v>
      </c>
      <c r="AL30" s="169">
        <v>166.49122807017545</v>
      </c>
      <c r="AM30" s="197">
        <f t="shared" si="12"/>
        <v>8</v>
      </c>
      <c r="AN30" s="432"/>
      <c r="AO30" s="169">
        <v>12</v>
      </c>
      <c r="AP30" s="169">
        <v>1934.0259740259739</v>
      </c>
      <c r="AQ30" s="169">
        <v>161.16883116883116</v>
      </c>
      <c r="AR30" s="197">
        <f t="shared" si="13"/>
        <v>9</v>
      </c>
      <c r="AS30" s="432"/>
      <c r="AT30" s="169">
        <v>12</v>
      </c>
      <c r="AU30" s="169">
        <v>1991.8309859154936</v>
      </c>
      <c r="AV30" s="169">
        <v>165.98591549295779</v>
      </c>
      <c r="AW30" s="197">
        <f t="shared" si="14"/>
        <v>8</v>
      </c>
      <c r="AX30" s="432"/>
    </row>
    <row r="31" spans="2:50">
      <c r="B31" s="422"/>
      <c r="C31" s="197">
        <v>5</v>
      </c>
      <c r="D31" s="225" t="s">
        <v>261</v>
      </c>
      <c r="E31" s="169">
        <v>12</v>
      </c>
      <c r="F31" s="197">
        <v>2250</v>
      </c>
      <c r="G31" s="195">
        <v>187.5</v>
      </c>
      <c r="H31" s="429"/>
      <c r="I31" s="169">
        <f t="shared" si="15"/>
        <v>11.857142857142858</v>
      </c>
      <c r="J31" s="169">
        <f t="shared" si="16"/>
        <v>2049.5839076069674</v>
      </c>
      <c r="K31" s="195">
        <f t="shared" si="17"/>
        <v>172.88523905382741</v>
      </c>
      <c r="L31" s="429"/>
      <c r="M31" s="196">
        <f>RANK(K31, K$27:$K$41)</f>
        <v>7</v>
      </c>
      <c r="N31" s="423"/>
      <c r="O31" s="423"/>
      <c r="P31" s="169">
        <v>12</v>
      </c>
      <c r="Q31" s="169">
        <v>2060.7079646017701</v>
      </c>
      <c r="R31" s="169">
        <v>171.72566371681418</v>
      </c>
      <c r="S31" s="197">
        <f t="shared" si="8"/>
        <v>7</v>
      </c>
      <c r="T31" s="432"/>
      <c r="U31" s="169">
        <v>12</v>
      </c>
      <c r="V31" s="169">
        <v>2052.3364485981306</v>
      </c>
      <c r="W31" s="169">
        <v>171.02803738317755</v>
      </c>
      <c r="X31" s="197">
        <f t="shared" si="9"/>
        <v>7</v>
      </c>
      <c r="Y31" s="432"/>
      <c r="Z31" s="169">
        <v>12</v>
      </c>
      <c r="AA31" s="169">
        <v>2039.3939393939397</v>
      </c>
      <c r="AB31" s="169">
        <v>169.94949494949498</v>
      </c>
      <c r="AC31" s="197">
        <f t="shared" si="10"/>
        <v>7</v>
      </c>
      <c r="AD31" s="432"/>
      <c r="AE31" s="169">
        <v>12</v>
      </c>
      <c r="AF31" s="169">
        <v>2114.6341463414637</v>
      </c>
      <c r="AG31" s="169">
        <v>176.21951219512198</v>
      </c>
      <c r="AH31" s="197">
        <f t="shared" si="11"/>
        <v>7</v>
      </c>
      <c r="AI31" s="432"/>
      <c r="AJ31" s="169">
        <v>12</v>
      </c>
      <c r="AK31" s="169">
        <v>2103.3707865168531</v>
      </c>
      <c r="AL31" s="169">
        <v>175.28089887640442</v>
      </c>
      <c r="AM31" s="197">
        <f t="shared" si="12"/>
        <v>7</v>
      </c>
      <c r="AN31" s="432"/>
      <c r="AO31" s="169">
        <v>12</v>
      </c>
      <c r="AP31" s="169">
        <v>2048.6440677966098</v>
      </c>
      <c r="AQ31" s="169">
        <v>170.72033898305082</v>
      </c>
      <c r="AR31" s="197">
        <f t="shared" si="13"/>
        <v>7</v>
      </c>
      <c r="AS31" s="432"/>
      <c r="AT31" s="169">
        <v>11</v>
      </c>
      <c r="AU31" s="169">
        <v>1928.0000000000068</v>
      </c>
      <c r="AV31" s="169">
        <v>175.27272727272791</v>
      </c>
      <c r="AW31" s="197">
        <f t="shared" si="14"/>
        <v>7</v>
      </c>
      <c r="AX31" s="432"/>
    </row>
    <row r="32" spans="2:50">
      <c r="B32" s="422"/>
      <c r="C32" s="197">
        <v>6</v>
      </c>
      <c r="D32" s="225" t="s">
        <v>262</v>
      </c>
      <c r="E32" s="169">
        <v>11</v>
      </c>
      <c r="F32" s="197">
        <v>2250</v>
      </c>
      <c r="G32" s="195">
        <v>204.54545454545453</v>
      </c>
      <c r="H32" s="429"/>
      <c r="I32" s="169">
        <f t="shared" si="15"/>
        <v>11</v>
      </c>
      <c r="J32" s="169">
        <f t="shared" si="16"/>
        <v>1973.5138616639931</v>
      </c>
      <c r="K32" s="195">
        <f t="shared" si="17"/>
        <v>179.41035106036298</v>
      </c>
      <c r="L32" s="429"/>
      <c r="M32" s="196">
        <f>RANK(K32, K$27:$K$41)</f>
        <v>6</v>
      </c>
      <c r="N32" s="423"/>
      <c r="O32" s="423"/>
      <c r="P32" s="169">
        <v>11</v>
      </c>
      <c r="Q32" s="169">
        <v>1958.7272727272725</v>
      </c>
      <c r="R32" s="169">
        <v>178.06611570247932</v>
      </c>
      <c r="S32" s="197">
        <f t="shared" si="8"/>
        <v>6</v>
      </c>
      <c r="T32" s="432"/>
      <c r="U32" s="169">
        <v>11</v>
      </c>
      <c r="V32" s="169">
        <v>1947.4285714285709</v>
      </c>
      <c r="W32" s="169">
        <v>177.03896103896099</v>
      </c>
      <c r="X32" s="197">
        <f t="shared" si="9"/>
        <v>6</v>
      </c>
      <c r="Y32" s="432"/>
      <c r="Z32" s="169">
        <v>11</v>
      </c>
      <c r="AA32" s="169">
        <v>2018.7500000000005</v>
      </c>
      <c r="AB32" s="169">
        <v>183.52272727272731</v>
      </c>
      <c r="AC32" s="197">
        <f t="shared" si="10"/>
        <v>6</v>
      </c>
      <c r="AD32" s="432"/>
      <c r="AE32" s="169">
        <v>11</v>
      </c>
      <c r="AF32" s="169">
        <v>1954.2857142857138</v>
      </c>
      <c r="AG32" s="169">
        <v>177.66233766233762</v>
      </c>
      <c r="AH32" s="197">
        <f t="shared" si="11"/>
        <v>6</v>
      </c>
      <c r="AI32" s="432"/>
      <c r="AJ32" s="169">
        <v>11</v>
      </c>
      <c r="AK32" s="169">
        <v>1977.9775280898878</v>
      </c>
      <c r="AL32" s="169">
        <v>179.81613891726252</v>
      </c>
      <c r="AM32" s="197">
        <f t="shared" si="12"/>
        <v>6</v>
      </c>
      <c r="AN32" s="432"/>
      <c r="AO32" s="169">
        <v>11</v>
      </c>
      <c r="AP32" s="169">
        <v>2027.339449541284</v>
      </c>
      <c r="AQ32" s="169">
        <v>184.30358632193492</v>
      </c>
      <c r="AR32" s="197">
        <f t="shared" si="13"/>
        <v>6</v>
      </c>
      <c r="AS32" s="432"/>
      <c r="AT32" s="169">
        <v>11</v>
      </c>
      <c r="AU32" s="169">
        <v>1930.0884955752215</v>
      </c>
      <c r="AV32" s="169">
        <v>175.46259050683832</v>
      </c>
      <c r="AW32" s="197">
        <f t="shared" si="14"/>
        <v>6</v>
      </c>
      <c r="AX32" s="432"/>
    </row>
    <row r="33" spans="2:50">
      <c r="B33" s="422"/>
      <c r="C33" s="197">
        <v>7</v>
      </c>
      <c r="D33" s="225" t="s">
        <v>263</v>
      </c>
      <c r="E33" s="169">
        <v>12</v>
      </c>
      <c r="F33" s="197">
        <v>2250</v>
      </c>
      <c r="G33" s="195">
        <v>187.5</v>
      </c>
      <c r="H33" s="429"/>
      <c r="I33" s="169">
        <f t="shared" si="15"/>
        <v>12</v>
      </c>
      <c r="J33" s="169">
        <f t="shared" si="16"/>
        <v>1972.2216612187626</v>
      </c>
      <c r="K33" s="195">
        <f t="shared" si="17"/>
        <v>164.35180510156357</v>
      </c>
      <c r="L33" s="429"/>
      <c r="M33" s="196">
        <f>RANK(K33, K$27:$K$41)</f>
        <v>8</v>
      </c>
      <c r="N33" s="423"/>
      <c r="O33" s="423"/>
      <c r="P33" s="169">
        <v>12</v>
      </c>
      <c r="Q33" s="169">
        <v>1945.3846153846164</v>
      </c>
      <c r="R33" s="169">
        <v>162.1153846153847</v>
      </c>
      <c r="S33" s="197">
        <f t="shared" si="8"/>
        <v>9</v>
      </c>
      <c r="T33" s="432"/>
      <c r="U33" s="169">
        <v>12</v>
      </c>
      <c r="V33" s="169">
        <v>1987.5000000000005</v>
      </c>
      <c r="W33" s="169">
        <v>165.62500000000003</v>
      </c>
      <c r="X33" s="197">
        <f t="shared" si="9"/>
        <v>8</v>
      </c>
      <c r="Y33" s="432"/>
      <c r="Z33" s="169">
        <v>12</v>
      </c>
      <c r="AA33" s="169">
        <v>2004</v>
      </c>
      <c r="AB33" s="169">
        <v>167</v>
      </c>
      <c r="AC33" s="197">
        <f t="shared" si="10"/>
        <v>8</v>
      </c>
      <c r="AD33" s="432"/>
      <c r="AE33" s="169">
        <v>12</v>
      </c>
      <c r="AF33" s="169">
        <v>1936.4999999999995</v>
      </c>
      <c r="AG33" s="169">
        <v>161.37499999999997</v>
      </c>
      <c r="AH33" s="197">
        <f t="shared" si="11"/>
        <v>9</v>
      </c>
      <c r="AI33" s="432"/>
      <c r="AJ33" s="169">
        <v>12</v>
      </c>
      <c r="AK33" s="169">
        <v>1987.317073170731</v>
      </c>
      <c r="AL33" s="169">
        <v>165.6097560975609</v>
      </c>
      <c r="AM33" s="197">
        <f t="shared" si="12"/>
        <v>9</v>
      </c>
      <c r="AN33" s="432"/>
      <c r="AO33" s="169">
        <v>12</v>
      </c>
      <c r="AP33" s="169">
        <v>1983.6734693877556</v>
      </c>
      <c r="AQ33" s="169">
        <v>165.30612244897964</v>
      </c>
      <c r="AR33" s="197">
        <f t="shared" si="13"/>
        <v>8</v>
      </c>
      <c r="AS33" s="432"/>
      <c r="AT33" s="169">
        <v>12</v>
      </c>
      <c r="AU33" s="169">
        <v>1961.1764705882363</v>
      </c>
      <c r="AV33" s="169">
        <v>163.4313725490197</v>
      </c>
      <c r="AW33" s="197">
        <f t="shared" si="14"/>
        <v>9</v>
      </c>
      <c r="AX33" s="432"/>
    </row>
    <row r="34" spans="2:50">
      <c r="B34" s="422"/>
      <c r="C34" s="197">
        <v>8</v>
      </c>
      <c r="D34" s="225" t="s">
        <v>264</v>
      </c>
      <c r="E34" s="169">
        <v>9</v>
      </c>
      <c r="F34" s="197">
        <v>2250</v>
      </c>
      <c r="G34" s="195">
        <v>250</v>
      </c>
      <c r="H34" s="429"/>
      <c r="I34" s="169">
        <f t="shared" si="15"/>
        <v>9</v>
      </c>
      <c r="J34" s="169">
        <f t="shared" si="16"/>
        <v>1963.4973398450295</v>
      </c>
      <c r="K34" s="195">
        <f t="shared" si="17"/>
        <v>218.16637109389217</v>
      </c>
      <c r="L34" s="429"/>
      <c r="M34" s="196">
        <f>RANK(K34, K$27:$K$41)</f>
        <v>5</v>
      </c>
      <c r="N34" s="423"/>
      <c r="O34" s="423"/>
      <c r="P34" s="169">
        <v>9</v>
      </c>
      <c r="Q34" s="169">
        <v>1957.0588235294142</v>
      </c>
      <c r="R34" s="169">
        <v>217.45098039215713</v>
      </c>
      <c r="S34" s="197">
        <f t="shared" si="8"/>
        <v>5</v>
      </c>
      <c r="T34" s="432"/>
      <c r="U34" s="169">
        <v>9</v>
      </c>
      <c r="V34" s="169">
        <v>1970.625000000002</v>
      </c>
      <c r="W34" s="169">
        <v>218.95833333333357</v>
      </c>
      <c r="X34" s="197">
        <f t="shared" si="9"/>
        <v>4</v>
      </c>
      <c r="Y34" s="432"/>
      <c r="Z34" s="169">
        <v>9</v>
      </c>
      <c r="AA34" s="169">
        <v>1974.5454545454566</v>
      </c>
      <c r="AB34" s="169">
        <v>219.3939393939396</v>
      </c>
      <c r="AC34" s="197">
        <f t="shared" si="10"/>
        <v>5</v>
      </c>
      <c r="AD34" s="432"/>
      <c r="AE34" s="169">
        <v>9</v>
      </c>
      <c r="AF34" s="169">
        <v>1930.7142857142871</v>
      </c>
      <c r="AG34" s="169">
        <v>214.52380952380969</v>
      </c>
      <c r="AH34" s="197">
        <f t="shared" si="11"/>
        <v>5</v>
      </c>
      <c r="AI34" s="432"/>
      <c r="AJ34" s="169">
        <v>9</v>
      </c>
      <c r="AK34" s="169">
        <v>1952.1428571428587</v>
      </c>
      <c r="AL34" s="169">
        <v>216.90476190476207</v>
      </c>
      <c r="AM34" s="197">
        <f t="shared" si="12"/>
        <v>4</v>
      </c>
      <c r="AN34" s="432"/>
      <c r="AO34" s="169">
        <v>9</v>
      </c>
      <c r="AP34" s="169">
        <v>2000.5714285714264</v>
      </c>
      <c r="AQ34" s="169">
        <v>222.28571428571405</v>
      </c>
      <c r="AR34" s="197">
        <f t="shared" si="13"/>
        <v>5</v>
      </c>
      <c r="AS34" s="432"/>
      <c r="AT34" s="169">
        <v>9</v>
      </c>
      <c r="AU34" s="169">
        <v>1958.8235294117621</v>
      </c>
      <c r="AV34" s="169">
        <v>217.64705882352914</v>
      </c>
      <c r="AW34" s="197">
        <f t="shared" si="14"/>
        <v>5</v>
      </c>
      <c r="AX34" s="432"/>
    </row>
    <row r="35" spans="2:50">
      <c r="B35" s="422"/>
      <c r="C35" s="197">
        <v>9</v>
      </c>
      <c r="D35" s="225" t="s">
        <v>265</v>
      </c>
      <c r="E35" s="169">
        <v>9</v>
      </c>
      <c r="F35" s="197">
        <v>2250</v>
      </c>
      <c r="G35" s="195">
        <v>250</v>
      </c>
      <c r="H35" s="429"/>
      <c r="I35" s="169">
        <f t="shared" si="15"/>
        <v>9</v>
      </c>
      <c r="J35" s="169">
        <f t="shared" si="16"/>
        <v>1983.7510526814171</v>
      </c>
      <c r="K35" s="195">
        <f t="shared" si="17"/>
        <v>220.4167836312686</v>
      </c>
      <c r="L35" s="429"/>
      <c r="M35" s="196">
        <f>RANK(K35, K$27:$K$41)</f>
        <v>4</v>
      </c>
      <c r="N35" s="423"/>
      <c r="O35" s="423"/>
      <c r="P35" s="169">
        <v>9</v>
      </c>
      <c r="Q35" s="169">
        <v>1975.6250000000005</v>
      </c>
      <c r="R35" s="169">
        <v>219.51388888888894</v>
      </c>
      <c r="S35" s="197">
        <f t="shared" si="8"/>
        <v>4</v>
      </c>
      <c r="T35" s="432"/>
      <c r="U35" s="169">
        <v>9</v>
      </c>
      <c r="V35" s="169">
        <v>1969.2631578947357</v>
      </c>
      <c r="W35" s="169">
        <v>218.80701754385953</v>
      </c>
      <c r="X35" s="197">
        <f t="shared" si="9"/>
        <v>5</v>
      </c>
      <c r="Y35" s="432"/>
      <c r="Z35" s="169">
        <v>9</v>
      </c>
      <c r="AA35" s="169">
        <v>1977.9775280898857</v>
      </c>
      <c r="AB35" s="169">
        <v>219.77528089887619</v>
      </c>
      <c r="AC35" s="197">
        <f t="shared" si="10"/>
        <v>4</v>
      </c>
      <c r="AD35" s="432"/>
      <c r="AE35" s="169">
        <v>9</v>
      </c>
      <c r="AF35" s="169">
        <v>1979.9999999999986</v>
      </c>
      <c r="AG35" s="169">
        <v>219.99999999999986</v>
      </c>
      <c r="AH35" s="197">
        <f t="shared" si="11"/>
        <v>4</v>
      </c>
      <c r="AI35" s="432"/>
      <c r="AJ35" s="169">
        <v>9</v>
      </c>
      <c r="AK35" s="169">
        <v>1947.9999999999993</v>
      </c>
      <c r="AL35" s="169">
        <v>216.44444444444437</v>
      </c>
      <c r="AM35" s="197">
        <f t="shared" si="12"/>
        <v>5</v>
      </c>
      <c r="AN35" s="432"/>
      <c r="AO35" s="169">
        <v>9</v>
      </c>
      <c r="AP35" s="169">
        <v>2031.1363636363635</v>
      </c>
      <c r="AQ35" s="169">
        <v>225.68181818181816</v>
      </c>
      <c r="AR35" s="197">
        <f t="shared" si="13"/>
        <v>4</v>
      </c>
      <c r="AS35" s="432"/>
      <c r="AT35" s="169">
        <v>9</v>
      </c>
      <c r="AU35" s="169">
        <v>2004.2553191489367</v>
      </c>
      <c r="AV35" s="169">
        <v>222.69503546099295</v>
      </c>
      <c r="AW35" s="197">
        <f t="shared" si="14"/>
        <v>4</v>
      </c>
      <c r="AX35" s="432"/>
    </row>
    <row r="36" spans="2:50">
      <c r="B36" s="422"/>
      <c r="C36" s="197">
        <v>10</v>
      </c>
      <c r="D36" s="225" t="s">
        <v>266</v>
      </c>
      <c r="E36" s="169">
        <v>18</v>
      </c>
      <c r="F36" s="197">
        <v>1250</v>
      </c>
      <c r="G36" s="195">
        <v>69.444444444444443</v>
      </c>
      <c r="H36" s="429"/>
      <c r="I36" s="169">
        <f t="shared" si="15"/>
        <v>13</v>
      </c>
      <c r="J36" s="169">
        <f t="shared" si="16"/>
        <v>1240.667627050821</v>
      </c>
      <c r="K36" s="195">
        <f t="shared" si="17"/>
        <v>95.435971311601605</v>
      </c>
      <c r="L36" s="429"/>
      <c r="M36" s="196">
        <f>RANK(K36, K$27:$K$41)</f>
        <v>10</v>
      </c>
      <c r="N36" s="423"/>
      <c r="O36" s="423"/>
      <c r="P36" s="169">
        <v>13</v>
      </c>
      <c r="Q36" s="169">
        <v>1249.3333333333335</v>
      </c>
      <c r="R36" s="169">
        <v>96.102564102564116</v>
      </c>
      <c r="S36" s="197">
        <f t="shared" si="8"/>
        <v>10</v>
      </c>
      <c r="T36" s="432"/>
      <c r="U36" s="169">
        <v>13</v>
      </c>
      <c r="V36" s="169">
        <v>1227.3333333333333</v>
      </c>
      <c r="W36" s="169">
        <v>94.410256410256409</v>
      </c>
      <c r="X36" s="197">
        <f t="shared" si="9"/>
        <v>10</v>
      </c>
      <c r="Y36" s="432"/>
      <c r="Z36" s="169">
        <v>13</v>
      </c>
      <c r="AA36" s="169">
        <v>1263.2000000000005</v>
      </c>
      <c r="AB36" s="169">
        <v>97.169230769230808</v>
      </c>
      <c r="AC36" s="197">
        <f t="shared" si="10"/>
        <v>10</v>
      </c>
      <c r="AD36" s="432"/>
      <c r="AE36" s="169">
        <v>13</v>
      </c>
      <c r="AF36" s="169">
        <v>1207.7142857142865</v>
      </c>
      <c r="AG36" s="169">
        <v>92.901098901098962</v>
      </c>
      <c r="AH36" s="197">
        <f t="shared" si="11"/>
        <v>10</v>
      </c>
      <c r="AI36" s="432"/>
      <c r="AJ36" s="169">
        <v>13</v>
      </c>
      <c r="AK36" s="169">
        <v>1248.8571428571436</v>
      </c>
      <c r="AL36" s="169">
        <v>96.065934065934115</v>
      </c>
      <c r="AM36" s="197">
        <f t="shared" si="12"/>
        <v>10</v>
      </c>
      <c r="AN36" s="432"/>
      <c r="AO36" s="169">
        <v>13</v>
      </c>
      <c r="AP36" s="169">
        <v>1253.6470588235302</v>
      </c>
      <c r="AQ36" s="169">
        <v>96.434389140271549</v>
      </c>
      <c r="AR36" s="197">
        <f t="shared" si="13"/>
        <v>10</v>
      </c>
      <c r="AS36" s="432"/>
      <c r="AT36" s="169">
        <v>13</v>
      </c>
      <c r="AU36" s="169">
        <v>1234.5882352941185</v>
      </c>
      <c r="AV36" s="169">
        <v>94.968325791855264</v>
      </c>
      <c r="AW36" s="197">
        <f t="shared" si="14"/>
        <v>10</v>
      </c>
      <c r="AX36" s="432"/>
    </row>
    <row r="37" spans="2:50">
      <c r="B37" s="422"/>
      <c r="C37" s="197">
        <v>11</v>
      </c>
      <c r="D37" s="225"/>
      <c r="E37" s="169"/>
      <c r="F37" s="197"/>
      <c r="G37" s="195"/>
      <c r="H37" s="429"/>
      <c r="I37" s="197"/>
      <c r="J37" s="197"/>
      <c r="K37" s="197"/>
      <c r="L37" s="429"/>
      <c r="M37" s="196" t="e">
        <f>RANK(K37, K$27:$K$41)</f>
        <v>#N/A</v>
      </c>
      <c r="N37" s="423"/>
      <c r="O37" s="423"/>
      <c r="P37" s="169"/>
      <c r="Q37" s="169"/>
      <c r="R37" s="169"/>
      <c r="S37" s="197" t="e">
        <f t="shared" si="8"/>
        <v>#N/A</v>
      </c>
      <c r="T37" s="432"/>
      <c r="U37" s="169"/>
      <c r="V37" s="169"/>
      <c r="W37" s="169"/>
      <c r="X37" s="197" t="e">
        <f t="shared" si="9"/>
        <v>#N/A</v>
      </c>
      <c r="Y37" s="432"/>
      <c r="Z37" s="169"/>
      <c r="AA37" s="169"/>
      <c r="AB37" s="169"/>
      <c r="AC37" s="197" t="e">
        <f t="shared" si="10"/>
        <v>#N/A</v>
      </c>
      <c r="AD37" s="432"/>
      <c r="AE37" s="169"/>
      <c r="AF37" s="169"/>
      <c r="AG37" s="169"/>
      <c r="AH37" s="197" t="e">
        <f t="shared" si="11"/>
        <v>#N/A</v>
      </c>
      <c r="AI37" s="432"/>
      <c r="AJ37" s="169"/>
      <c r="AK37" s="169"/>
      <c r="AL37" s="169"/>
      <c r="AM37" s="197" t="e">
        <f t="shared" si="12"/>
        <v>#N/A</v>
      </c>
      <c r="AN37" s="432"/>
      <c r="AO37" s="169"/>
      <c r="AP37" s="169"/>
      <c r="AQ37" s="169"/>
      <c r="AR37" s="197" t="e">
        <f t="shared" si="13"/>
        <v>#N/A</v>
      </c>
      <c r="AS37" s="432"/>
      <c r="AT37" s="169"/>
      <c r="AU37" s="169"/>
      <c r="AV37" s="195"/>
      <c r="AW37" s="197" t="e">
        <f t="shared" si="14"/>
        <v>#N/A</v>
      </c>
      <c r="AX37" s="432"/>
    </row>
    <row r="38" spans="2:50">
      <c r="B38" s="422"/>
      <c r="C38" s="197">
        <v>12</v>
      </c>
      <c r="D38" s="225"/>
      <c r="E38" s="169"/>
      <c r="F38" s="197"/>
      <c r="G38" s="195"/>
      <c r="H38" s="429"/>
      <c r="I38" s="197"/>
      <c r="J38" s="197"/>
      <c r="K38" s="197"/>
      <c r="L38" s="429"/>
      <c r="M38" s="196" t="e">
        <f>RANK(K38, K$27:$K$41)</f>
        <v>#N/A</v>
      </c>
      <c r="N38" s="423"/>
      <c r="O38" s="423"/>
      <c r="P38" s="169"/>
      <c r="Q38" s="169"/>
      <c r="R38" s="169"/>
      <c r="S38" s="197" t="e">
        <f t="shared" si="8"/>
        <v>#N/A</v>
      </c>
      <c r="T38" s="432"/>
      <c r="U38" s="169"/>
      <c r="V38" s="169"/>
      <c r="W38" s="169"/>
      <c r="X38" s="197" t="e">
        <f t="shared" si="9"/>
        <v>#N/A</v>
      </c>
      <c r="Y38" s="432"/>
      <c r="Z38" s="169"/>
      <c r="AA38" s="169"/>
      <c r="AB38" s="169"/>
      <c r="AC38" s="197" t="e">
        <f t="shared" si="10"/>
        <v>#N/A</v>
      </c>
      <c r="AD38" s="432"/>
      <c r="AE38" s="169"/>
      <c r="AF38" s="169"/>
      <c r="AG38" s="169"/>
      <c r="AH38" s="197" t="e">
        <f t="shared" si="11"/>
        <v>#N/A</v>
      </c>
      <c r="AI38" s="432"/>
      <c r="AJ38" s="169"/>
      <c r="AK38" s="169"/>
      <c r="AL38" s="169"/>
      <c r="AM38" s="197" t="e">
        <f t="shared" si="12"/>
        <v>#N/A</v>
      </c>
      <c r="AN38" s="432"/>
      <c r="AO38" s="169"/>
      <c r="AP38" s="169"/>
      <c r="AQ38" s="169"/>
      <c r="AR38" s="197" t="e">
        <f t="shared" si="13"/>
        <v>#N/A</v>
      </c>
      <c r="AS38" s="432"/>
      <c r="AT38" s="169"/>
      <c r="AU38" s="169"/>
      <c r="AV38" s="195"/>
      <c r="AW38" s="197" t="e">
        <f t="shared" si="14"/>
        <v>#N/A</v>
      </c>
      <c r="AX38" s="432"/>
    </row>
    <row r="39" spans="2:50">
      <c r="B39" s="422"/>
      <c r="C39" s="197">
        <v>13</v>
      </c>
      <c r="D39" s="225"/>
      <c r="E39" s="169"/>
      <c r="F39" s="197"/>
      <c r="G39" s="195"/>
      <c r="H39" s="429"/>
      <c r="I39" s="197"/>
      <c r="J39" s="197"/>
      <c r="K39" s="197"/>
      <c r="L39" s="429"/>
      <c r="M39" s="196" t="e">
        <f>RANK(K39, K$27:$K$41)</f>
        <v>#N/A</v>
      </c>
      <c r="N39" s="423"/>
      <c r="O39" s="423"/>
      <c r="P39" s="169"/>
      <c r="Q39" s="169"/>
      <c r="R39" s="169"/>
      <c r="S39" s="197" t="e">
        <f t="shared" si="8"/>
        <v>#N/A</v>
      </c>
      <c r="T39" s="432"/>
      <c r="U39" s="169"/>
      <c r="V39" s="169"/>
      <c r="W39" s="169"/>
      <c r="X39" s="197" t="e">
        <f t="shared" si="9"/>
        <v>#N/A</v>
      </c>
      <c r="Y39" s="432"/>
      <c r="Z39" s="169"/>
      <c r="AA39" s="169"/>
      <c r="AB39" s="169"/>
      <c r="AC39" s="197" t="e">
        <f t="shared" si="10"/>
        <v>#N/A</v>
      </c>
      <c r="AD39" s="432"/>
      <c r="AE39" s="169"/>
      <c r="AF39" s="169"/>
      <c r="AG39" s="169"/>
      <c r="AH39" s="197" t="e">
        <f t="shared" si="11"/>
        <v>#N/A</v>
      </c>
      <c r="AI39" s="432"/>
      <c r="AJ39" s="169"/>
      <c r="AK39" s="169"/>
      <c r="AL39" s="169"/>
      <c r="AM39" s="197" t="e">
        <f t="shared" si="12"/>
        <v>#N/A</v>
      </c>
      <c r="AN39" s="432"/>
      <c r="AO39" s="169"/>
      <c r="AP39" s="169"/>
      <c r="AQ39" s="169"/>
      <c r="AR39" s="197" t="e">
        <f t="shared" si="13"/>
        <v>#N/A</v>
      </c>
      <c r="AS39" s="432"/>
      <c r="AT39" s="169"/>
      <c r="AU39" s="169"/>
      <c r="AV39" s="195"/>
      <c r="AW39" s="197" t="e">
        <f t="shared" si="14"/>
        <v>#N/A</v>
      </c>
      <c r="AX39" s="432"/>
    </row>
    <row r="40" spans="2:50">
      <c r="B40" s="422"/>
      <c r="C40" s="197">
        <v>14</v>
      </c>
      <c r="D40" s="225"/>
      <c r="E40" s="169"/>
      <c r="F40" s="197"/>
      <c r="G40" s="195"/>
      <c r="H40" s="429"/>
      <c r="I40" s="197"/>
      <c r="J40" s="197"/>
      <c r="K40" s="197"/>
      <c r="L40" s="429"/>
      <c r="M40" s="196" t="e">
        <f>RANK(K40, K$27:$K$41)</f>
        <v>#N/A</v>
      </c>
      <c r="N40" s="423"/>
      <c r="O40" s="423"/>
      <c r="P40" s="169"/>
      <c r="Q40" s="169"/>
      <c r="R40" s="169"/>
      <c r="S40" s="197" t="e">
        <f t="shared" si="8"/>
        <v>#N/A</v>
      </c>
      <c r="T40" s="432"/>
      <c r="U40" s="169"/>
      <c r="V40" s="169"/>
      <c r="W40" s="169"/>
      <c r="X40" s="197" t="e">
        <f t="shared" si="9"/>
        <v>#N/A</v>
      </c>
      <c r="Y40" s="432"/>
      <c r="Z40" s="169"/>
      <c r="AA40" s="169"/>
      <c r="AB40" s="169"/>
      <c r="AC40" s="197" t="e">
        <f t="shared" si="10"/>
        <v>#N/A</v>
      </c>
      <c r="AD40" s="432"/>
      <c r="AE40" s="169"/>
      <c r="AF40" s="169"/>
      <c r="AG40" s="169"/>
      <c r="AH40" s="197" t="e">
        <f t="shared" si="11"/>
        <v>#N/A</v>
      </c>
      <c r="AI40" s="432"/>
      <c r="AJ40" s="169"/>
      <c r="AK40" s="169"/>
      <c r="AL40" s="169"/>
      <c r="AM40" s="197" t="e">
        <f t="shared" si="12"/>
        <v>#N/A</v>
      </c>
      <c r="AN40" s="432"/>
      <c r="AO40" s="169"/>
      <c r="AP40" s="169"/>
      <c r="AQ40" s="169"/>
      <c r="AR40" s="197" t="e">
        <f t="shared" si="13"/>
        <v>#N/A</v>
      </c>
      <c r="AS40" s="432"/>
      <c r="AT40" s="169"/>
      <c r="AU40" s="169"/>
      <c r="AV40" s="195"/>
      <c r="AW40" s="197" t="e">
        <f t="shared" si="14"/>
        <v>#N/A</v>
      </c>
      <c r="AX40" s="432"/>
    </row>
    <row r="41" spans="2:50">
      <c r="B41" s="422"/>
      <c r="C41" s="197">
        <v>15</v>
      </c>
      <c r="D41" s="225"/>
      <c r="E41" s="169"/>
      <c r="F41" s="197"/>
      <c r="G41" s="195"/>
      <c r="H41" s="430"/>
      <c r="I41" s="197"/>
      <c r="J41" s="197"/>
      <c r="K41" s="197"/>
      <c r="L41" s="430"/>
      <c r="M41" s="169" t="e">
        <f>RANK(K41, K$27:$K$41)</f>
        <v>#N/A</v>
      </c>
      <c r="N41" s="423"/>
      <c r="O41" s="423"/>
      <c r="P41" s="169"/>
      <c r="Q41" s="169"/>
      <c r="R41" s="169"/>
      <c r="S41" s="197" t="e">
        <f t="shared" si="8"/>
        <v>#N/A</v>
      </c>
      <c r="T41" s="432"/>
      <c r="U41" s="169"/>
      <c r="V41" s="169"/>
      <c r="W41" s="169"/>
      <c r="X41" s="197" t="e">
        <f t="shared" si="9"/>
        <v>#N/A</v>
      </c>
      <c r="Y41" s="432"/>
      <c r="Z41" s="169"/>
      <c r="AA41" s="169"/>
      <c r="AB41" s="169"/>
      <c r="AC41" s="197" t="e">
        <f t="shared" si="10"/>
        <v>#N/A</v>
      </c>
      <c r="AD41" s="432"/>
      <c r="AE41" s="169"/>
      <c r="AF41" s="169"/>
      <c r="AG41" s="169"/>
      <c r="AH41" s="197" t="e">
        <f t="shared" si="11"/>
        <v>#N/A</v>
      </c>
      <c r="AI41" s="432"/>
      <c r="AJ41" s="169"/>
      <c r="AK41" s="169"/>
      <c r="AL41" s="169"/>
      <c r="AM41" s="197" t="e">
        <f t="shared" si="12"/>
        <v>#N/A</v>
      </c>
      <c r="AN41" s="432"/>
      <c r="AO41" s="169"/>
      <c r="AP41" s="169"/>
      <c r="AQ41" s="169"/>
      <c r="AR41" s="197" t="e">
        <f t="shared" si="13"/>
        <v>#N/A</v>
      </c>
      <c r="AS41" s="432"/>
      <c r="AT41" s="169"/>
      <c r="AU41" s="169"/>
      <c r="AV41" s="195"/>
      <c r="AW41" s="197" t="e">
        <f t="shared" si="14"/>
        <v>#N/A</v>
      </c>
      <c r="AX41" s="432"/>
    </row>
    <row r="42" spans="2:50" ht="15.75">
      <c r="B42" s="424" t="s">
        <v>202</v>
      </c>
      <c r="C42" s="425"/>
      <c r="D42" s="425"/>
      <c r="E42" s="425"/>
      <c r="F42" s="425"/>
      <c r="G42" s="425"/>
      <c r="H42" s="425"/>
      <c r="I42" s="201"/>
      <c r="J42" s="198"/>
      <c r="K42" s="201"/>
      <c r="L42" s="201"/>
      <c r="M42" s="193"/>
      <c r="N42" s="401" t="s">
        <v>203</v>
      </c>
      <c r="O42" s="401" t="s">
        <v>150</v>
      </c>
      <c r="P42" s="421">
        <f>P22+7</f>
        <v>45909</v>
      </c>
      <c r="Q42" s="422"/>
      <c r="R42" s="422"/>
      <c r="S42" s="422"/>
      <c r="T42" s="422"/>
      <c r="U42" s="416">
        <f>P42+1</f>
        <v>45910</v>
      </c>
      <c r="V42" s="417"/>
      <c r="W42" s="417"/>
      <c r="X42" s="417"/>
      <c r="Y42" s="418"/>
      <c r="Z42" s="416">
        <f>U42+1</f>
        <v>45911</v>
      </c>
      <c r="AA42" s="417"/>
      <c r="AB42" s="417"/>
      <c r="AC42" s="417"/>
      <c r="AD42" s="418"/>
      <c r="AE42" s="416">
        <f t="shared" ref="AE42" si="18">Z42+1</f>
        <v>45912</v>
      </c>
      <c r="AF42" s="417"/>
      <c r="AG42" s="417"/>
      <c r="AH42" s="417"/>
      <c r="AI42" s="418"/>
      <c r="AJ42" s="416">
        <f t="shared" ref="AJ42" si="19">AE42+1</f>
        <v>45913</v>
      </c>
      <c r="AK42" s="417"/>
      <c r="AL42" s="417"/>
      <c r="AM42" s="417"/>
      <c r="AN42" s="418"/>
      <c r="AO42" s="416">
        <f t="shared" ref="AO42" si="20">AJ42+1</f>
        <v>45914</v>
      </c>
      <c r="AP42" s="417"/>
      <c r="AQ42" s="417"/>
      <c r="AR42" s="417"/>
      <c r="AS42" s="418"/>
      <c r="AT42" s="416">
        <f t="shared" ref="AT42" si="21">AO42+1</f>
        <v>45915</v>
      </c>
      <c r="AU42" s="417"/>
      <c r="AV42" s="417"/>
      <c r="AW42" s="417"/>
      <c r="AX42" s="418"/>
    </row>
    <row r="43" spans="2:50" ht="15.75">
      <c r="B43" s="426"/>
      <c r="C43" s="426"/>
      <c r="D43" s="426"/>
      <c r="E43" s="426"/>
      <c r="F43" s="426"/>
      <c r="G43" s="426"/>
      <c r="H43" s="426"/>
      <c r="I43" s="199"/>
      <c r="J43" s="199"/>
      <c r="K43" s="199"/>
      <c r="L43" s="199"/>
      <c r="M43" s="194"/>
      <c r="N43" s="403"/>
      <c r="O43" s="403"/>
      <c r="P43" s="421" t="s">
        <v>204</v>
      </c>
      <c r="Q43" s="422"/>
      <c r="R43" s="422"/>
      <c r="S43" s="422"/>
      <c r="T43" s="422"/>
      <c r="U43" s="421" t="s">
        <v>205</v>
      </c>
      <c r="V43" s="422"/>
      <c r="W43" s="422"/>
      <c r="X43" s="422"/>
      <c r="Y43" s="422"/>
      <c r="Z43" s="421" t="s">
        <v>206</v>
      </c>
      <c r="AA43" s="422"/>
      <c r="AB43" s="422"/>
      <c r="AC43" s="422"/>
      <c r="AD43" s="422"/>
      <c r="AE43" s="421" t="s">
        <v>207</v>
      </c>
      <c r="AF43" s="422"/>
      <c r="AG43" s="422"/>
      <c r="AH43" s="422"/>
      <c r="AI43" s="422"/>
      <c r="AJ43" s="421" t="s">
        <v>208</v>
      </c>
      <c r="AK43" s="422"/>
      <c r="AL43" s="422"/>
      <c r="AM43" s="422"/>
      <c r="AN43" s="422"/>
      <c r="AO43" s="421" t="s">
        <v>157</v>
      </c>
      <c r="AP43" s="422"/>
      <c r="AQ43" s="422"/>
      <c r="AR43" s="422"/>
      <c r="AS43" s="422"/>
      <c r="AT43" s="421" t="s">
        <v>209</v>
      </c>
      <c r="AU43" s="422"/>
      <c r="AV43" s="422"/>
      <c r="AW43" s="422"/>
      <c r="AX43" s="422"/>
    </row>
    <row r="44" spans="2:50">
      <c r="B44" s="423" t="s">
        <v>210</v>
      </c>
      <c r="C44" s="423" t="s">
        <v>211</v>
      </c>
      <c r="D44" s="423"/>
      <c r="E44" s="423" t="s">
        <v>212</v>
      </c>
      <c r="F44" s="423"/>
      <c r="G44" s="423"/>
      <c r="H44" s="404" t="s">
        <v>213</v>
      </c>
      <c r="I44" s="423" t="s">
        <v>214</v>
      </c>
      <c r="J44" s="423"/>
      <c r="K44" s="423"/>
      <c r="L44" s="404" t="s">
        <v>213</v>
      </c>
      <c r="M44" s="401" t="s">
        <v>215</v>
      </c>
      <c r="N44" s="423"/>
      <c r="O44" s="423" t="s">
        <v>216</v>
      </c>
      <c r="P44" s="413" t="s">
        <v>217</v>
      </c>
      <c r="Q44" s="414"/>
      <c r="R44" s="414"/>
      <c r="S44" s="415"/>
      <c r="T44" s="423" t="s">
        <v>213</v>
      </c>
      <c r="U44" s="413" t="s">
        <v>217</v>
      </c>
      <c r="V44" s="414"/>
      <c r="W44" s="414"/>
      <c r="X44" s="415"/>
      <c r="Y44" s="423" t="s">
        <v>213</v>
      </c>
      <c r="Z44" s="413" t="s">
        <v>217</v>
      </c>
      <c r="AA44" s="414"/>
      <c r="AB44" s="414"/>
      <c r="AC44" s="415"/>
      <c r="AD44" s="423" t="s">
        <v>213</v>
      </c>
      <c r="AE44" s="413" t="s">
        <v>217</v>
      </c>
      <c r="AF44" s="414"/>
      <c r="AG44" s="414"/>
      <c r="AH44" s="415"/>
      <c r="AI44" s="423" t="s">
        <v>213</v>
      </c>
      <c r="AJ44" s="413" t="s">
        <v>217</v>
      </c>
      <c r="AK44" s="414"/>
      <c r="AL44" s="414"/>
      <c r="AM44" s="415"/>
      <c r="AN44" s="423" t="s">
        <v>213</v>
      </c>
      <c r="AO44" s="413" t="s">
        <v>217</v>
      </c>
      <c r="AP44" s="414"/>
      <c r="AQ44" s="414"/>
      <c r="AR44" s="415"/>
      <c r="AS44" s="423" t="s">
        <v>213</v>
      </c>
      <c r="AT44" s="413" t="s">
        <v>217</v>
      </c>
      <c r="AU44" s="414"/>
      <c r="AV44" s="414"/>
      <c r="AW44" s="415"/>
      <c r="AX44" s="423" t="s">
        <v>213</v>
      </c>
    </row>
    <row r="45" spans="2:50">
      <c r="B45" s="423"/>
      <c r="C45" s="423"/>
      <c r="D45" s="423"/>
      <c r="E45" s="423" t="s">
        <v>218</v>
      </c>
      <c r="F45" s="423"/>
      <c r="G45" s="423"/>
      <c r="H45" s="406"/>
      <c r="I45" s="423" t="s">
        <v>218</v>
      </c>
      <c r="J45" s="423"/>
      <c r="K45" s="423"/>
      <c r="L45" s="406"/>
      <c r="M45" s="402"/>
      <c r="N45" s="423"/>
      <c r="O45" s="423"/>
      <c r="P45" s="413" t="s">
        <v>219</v>
      </c>
      <c r="Q45" s="414"/>
      <c r="R45" s="414"/>
      <c r="S45" s="415"/>
      <c r="T45" s="423"/>
      <c r="U45" s="413" t="s">
        <v>219</v>
      </c>
      <c r="V45" s="414"/>
      <c r="W45" s="414"/>
      <c r="X45" s="415"/>
      <c r="Y45" s="423"/>
      <c r="Z45" s="413" t="s">
        <v>219</v>
      </c>
      <c r="AA45" s="414"/>
      <c r="AB45" s="414"/>
      <c r="AC45" s="415"/>
      <c r="AD45" s="423"/>
      <c r="AE45" s="413" t="s">
        <v>219</v>
      </c>
      <c r="AF45" s="414"/>
      <c r="AG45" s="414"/>
      <c r="AH45" s="415"/>
      <c r="AI45" s="423"/>
      <c r="AJ45" s="413" t="s">
        <v>219</v>
      </c>
      <c r="AK45" s="414"/>
      <c r="AL45" s="414"/>
      <c r="AM45" s="415"/>
      <c r="AN45" s="423"/>
      <c r="AO45" s="413" t="s">
        <v>219</v>
      </c>
      <c r="AP45" s="414"/>
      <c r="AQ45" s="414"/>
      <c r="AR45" s="415"/>
      <c r="AS45" s="423"/>
      <c r="AT45" s="413" t="s">
        <v>219</v>
      </c>
      <c r="AU45" s="414"/>
      <c r="AV45" s="414"/>
      <c r="AW45" s="415"/>
      <c r="AX45" s="423"/>
    </row>
    <row r="46" spans="2:50">
      <c r="B46" s="423"/>
      <c r="C46" s="423"/>
      <c r="D46" s="423"/>
      <c r="E46" s="297" t="s">
        <v>220</v>
      </c>
      <c r="F46" s="297" t="s">
        <v>221</v>
      </c>
      <c r="G46" s="297" t="s">
        <v>222</v>
      </c>
      <c r="H46" s="408"/>
      <c r="I46" s="297" t="s">
        <v>220</v>
      </c>
      <c r="J46" s="297" t="s">
        <v>221</v>
      </c>
      <c r="K46" s="297" t="s">
        <v>222</v>
      </c>
      <c r="L46" s="408"/>
      <c r="M46" s="403"/>
      <c r="N46" s="423"/>
      <c r="O46" s="423"/>
      <c r="P46" s="297" t="s">
        <v>220</v>
      </c>
      <c r="Q46" s="297" t="s">
        <v>221</v>
      </c>
      <c r="R46" s="297" t="s">
        <v>222</v>
      </c>
      <c r="S46" s="297" t="s">
        <v>215</v>
      </c>
      <c r="T46" s="423"/>
      <c r="U46" s="297" t="s">
        <v>220</v>
      </c>
      <c r="V46" s="297" t="s">
        <v>221</v>
      </c>
      <c r="W46" s="297" t="s">
        <v>222</v>
      </c>
      <c r="X46" s="297" t="s">
        <v>215</v>
      </c>
      <c r="Y46" s="423"/>
      <c r="Z46" s="297" t="s">
        <v>220</v>
      </c>
      <c r="AA46" s="297" t="s">
        <v>221</v>
      </c>
      <c r="AB46" s="297" t="s">
        <v>222</v>
      </c>
      <c r="AC46" s="297" t="s">
        <v>215</v>
      </c>
      <c r="AD46" s="423"/>
      <c r="AE46" s="297" t="s">
        <v>220</v>
      </c>
      <c r="AF46" s="297" t="s">
        <v>221</v>
      </c>
      <c r="AG46" s="297" t="s">
        <v>222</v>
      </c>
      <c r="AH46" s="297" t="s">
        <v>215</v>
      </c>
      <c r="AI46" s="423"/>
      <c r="AJ46" s="297" t="s">
        <v>220</v>
      </c>
      <c r="AK46" s="297" t="s">
        <v>221</v>
      </c>
      <c r="AL46" s="297" t="s">
        <v>222</v>
      </c>
      <c r="AM46" s="297" t="s">
        <v>215</v>
      </c>
      <c r="AN46" s="423"/>
      <c r="AO46" s="297" t="s">
        <v>220</v>
      </c>
      <c r="AP46" s="297" t="s">
        <v>221</v>
      </c>
      <c r="AQ46" s="297" t="s">
        <v>222</v>
      </c>
      <c r="AR46" s="297" t="s">
        <v>215</v>
      </c>
      <c r="AS46" s="423"/>
      <c r="AT46" s="297" t="s">
        <v>220</v>
      </c>
      <c r="AU46" s="297" t="s">
        <v>221</v>
      </c>
      <c r="AV46" s="297" t="s">
        <v>222</v>
      </c>
      <c r="AW46" s="297" t="s">
        <v>215</v>
      </c>
      <c r="AX46" s="423"/>
    </row>
    <row r="47" spans="2:50">
      <c r="B47" s="431" t="s">
        <v>256</v>
      </c>
      <c r="C47" s="197">
        <v>1</v>
      </c>
      <c r="D47" s="225" t="s">
        <v>257</v>
      </c>
      <c r="E47" s="169">
        <v>4</v>
      </c>
      <c r="F47" s="197">
        <v>2000</v>
      </c>
      <c r="G47" s="195">
        <v>500</v>
      </c>
      <c r="H47" s="428">
        <f>AVERAGE(G47:G61)</f>
        <v>277.71122766122761</v>
      </c>
      <c r="I47" s="169">
        <f>AVERAGE(P47,U47,Z47,AE47,AJ47,AO47,AT47)</f>
        <v>5</v>
      </c>
      <c r="J47" s="169">
        <f>AVERAGE(Q47,V47,AA47,AF47,AK47,AP47,AU47)</f>
        <v>2131.1292517006773</v>
      </c>
      <c r="K47" s="195">
        <f>AVERAGE(R47,W47,AB47,AG47,AL47,AQ47,AV47)</f>
        <v>426.22585034013554</v>
      </c>
      <c r="L47" s="428">
        <f>IFERROR(AVERAGE(K47:K61),"-")</f>
        <v>247.44189400539238</v>
      </c>
      <c r="M47" s="196">
        <f>RANK(K47, K$47:$K$61)</f>
        <v>2</v>
      </c>
      <c r="N47" s="423"/>
      <c r="O47" s="423"/>
      <c r="P47" s="169">
        <v>5</v>
      </c>
      <c r="Q47" s="169">
        <v>2152.4999999999968</v>
      </c>
      <c r="R47" s="169">
        <v>430.49999999999937</v>
      </c>
      <c r="S47" s="197">
        <f>RANK(R47, R$47:R$61)</f>
        <v>1</v>
      </c>
      <c r="T47" s="432">
        <f>AVERAGE(R47:R61)</f>
        <v>250.73488156537991</v>
      </c>
      <c r="U47" s="169">
        <v>5</v>
      </c>
      <c r="V47" s="169">
        <v>2083.3333333333317</v>
      </c>
      <c r="W47" s="169">
        <v>416.66666666666634</v>
      </c>
      <c r="X47" s="197">
        <f>RANK(W47, W$47:W$61)</f>
        <v>3</v>
      </c>
      <c r="Y47" s="432">
        <f>AVERAGE(W47:W61)</f>
        <v>248.48872653694715</v>
      </c>
      <c r="Z47" s="169">
        <v>5</v>
      </c>
      <c r="AA47" s="169">
        <v>2167.4999999999968</v>
      </c>
      <c r="AB47" s="169">
        <v>433.49999999999937</v>
      </c>
      <c r="AC47" s="197">
        <f>RANK(AB47, AB$47:AB$61)</f>
        <v>2</v>
      </c>
      <c r="AD47" s="432">
        <f>AVERAGE(AB47:AB61)</f>
        <v>250.46836210081869</v>
      </c>
      <c r="AE47" s="169">
        <v>5</v>
      </c>
      <c r="AF47" s="169">
        <v>2168.5714285714239</v>
      </c>
      <c r="AG47" s="169">
        <v>433.71428571428476</v>
      </c>
      <c r="AH47" s="197">
        <f>RANK(AG47, AG$47:AG$61)</f>
        <v>1</v>
      </c>
      <c r="AI47" s="432">
        <f>AVERAGE(AG47:AG61)</f>
        <v>246.8015932924186</v>
      </c>
      <c r="AJ47" s="169">
        <v>5</v>
      </c>
      <c r="AK47" s="169">
        <v>2115.9999999999959</v>
      </c>
      <c r="AL47" s="169">
        <v>423.19999999999919</v>
      </c>
      <c r="AM47" s="197">
        <f>RANK(AL47, AL$47:AL$61)</f>
        <v>3</v>
      </c>
      <c r="AN47" s="432">
        <f>AVERAGE(AL47:AL61)</f>
        <v>245.05957851878802</v>
      </c>
      <c r="AO47" s="169">
        <v>5</v>
      </c>
      <c r="AP47" s="169">
        <v>2123.3333333333317</v>
      </c>
      <c r="AQ47" s="169">
        <v>424.66666666666634</v>
      </c>
      <c r="AR47" s="197">
        <f>RANK(AQ47, AQ$47:AQ$61)</f>
        <v>3</v>
      </c>
      <c r="AS47" s="432">
        <f>AVERAGE(AQ47:AQ61)</f>
        <v>245.19190534317099</v>
      </c>
      <c r="AT47" s="169">
        <v>5</v>
      </c>
      <c r="AU47" s="169">
        <v>2106.6666666666652</v>
      </c>
      <c r="AV47" s="169">
        <v>421.33333333333303</v>
      </c>
      <c r="AW47" s="197">
        <f>RANK(AV47, AV$47:AV$61)</f>
        <v>2</v>
      </c>
      <c r="AX47" s="432">
        <f>AVERAGE(AV47:AV61)</f>
        <v>245.34821068022325</v>
      </c>
    </row>
    <row r="48" spans="2:50">
      <c r="B48" s="422"/>
      <c r="C48" s="197">
        <v>2</v>
      </c>
      <c r="D48" s="225" t="s">
        <v>258</v>
      </c>
      <c r="E48" s="169">
        <v>4</v>
      </c>
      <c r="F48" s="197">
        <v>2000</v>
      </c>
      <c r="G48" s="195">
        <v>500</v>
      </c>
      <c r="H48" s="429"/>
      <c r="I48" s="169">
        <f t="shared" ref="I48:I56" si="22">AVERAGE(P48,U48,Z48,AE48,AJ48,AO48,AT48)</f>
        <v>5</v>
      </c>
      <c r="J48" s="169">
        <f t="shared" ref="J48:J56" si="23">AVERAGE(Q48,V48,AA48,AF48,AK48,AP48,AU48)</f>
        <v>2128.8800520208051</v>
      </c>
      <c r="K48" s="195">
        <f t="shared" ref="K48:K56" si="24">AVERAGE(R48,W48,AB48,AG48,AL48,AQ48,AV48)</f>
        <v>425.77601040416101</v>
      </c>
      <c r="L48" s="429"/>
      <c r="M48" s="196">
        <f>RANK(K48, K$47:$K$61)</f>
        <v>3</v>
      </c>
      <c r="N48" s="423"/>
      <c r="O48" s="423"/>
      <c r="P48" s="169">
        <v>5</v>
      </c>
      <c r="Q48" s="169">
        <v>2117.6470588235265</v>
      </c>
      <c r="R48" s="169">
        <v>423.52941176470529</v>
      </c>
      <c r="S48" s="197">
        <f t="shared" ref="S48:S61" si="25">RANK(R48, R$47:R$61)</f>
        <v>3</v>
      </c>
      <c r="T48" s="432"/>
      <c r="U48" s="169">
        <v>5</v>
      </c>
      <c r="V48" s="169">
        <v>2121.1764705882329</v>
      </c>
      <c r="W48" s="169">
        <v>424.23529411764656</v>
      </c>
      <c r="X48" s="197">
        <f t="shared" ref="X48:X61" si="26">RANK(W48, W$47:W$61)</f>
        <v>2</v>
      </c>
      <c r="Y48" s="432"/>
      <c r="Z48" s="169">
        <v>5</v>
      </c>
      <c r="AA48" s="169">
        <v>2156.2499999999968</v>
      </c>
      <c r="AB48" s="169">
        <v>431.24999999999937</v>
      </c>
      <c r="AC48" s="197">
        <f t="shared" ref="AC48:AC61" si="27">RANK(AB48, AB$47:AB$61)</f>
        <v>3</v>
      </c>
      <c r="AD48" s="432"/>
      <c r="AE48" s="169">
        <v>5</v>
      </c>
      <c r="AF48" s="169">
        <v>2125.7142857142812</v>
      </c>
      <c r="AG48" s="169">
        <v>425.14285714285626</v>
      </c>
      <c r="AH48" s="197">
        <f t="shared" ref="AH48:AH61" si="28">RANK(AG48, AG$47:AG$61)</f>
        <v>2</v>
      </c>
      <c r="AI48" s="432"/>
      <c r="AJ48" s="169">
        <v>5</v>
      </c>
      <c r="AK48" s="169">
        <v>2159.9999999999964</v>
      </c>
      <c r="AL48" s="169">
        <v>431.99999999999926</v>
      </c>
      <c r="AM48" s="197">
        <f t="shared" ref="AM48:AM61" si="29">RANK(AL48, AL$47:AL$61)</f>
        <v>1</v>
      </c>
      <c r="AN48" s="432"/>
      <c r="AO48" s="169">
        <v>5</v>
      </c>
      <c r="AP48" s="169">
        <v>2124.7058823529383</v>
      </c>
      <c r="AQ48" s="169">
        <v>424.94117647058766</v>
      </c>
      <c r="AR48" s="197">
        <f t="shared" ref="AR48:AR61" si="30">RANK(AQ48, AQ$47:AQ$61)</f>
        <v>2</v>
      </c>
      <c r="AS48" s="432"/>
      <c r="AT48" s="169">
        <v>5</v>
      </c>
      <c r="AU48" s="169">
        <v>2096.6666666666647</v>
      </c>
      <c r="AV48" s="169">
        <v>419.33333333333292</v>
      </c>
      <c r="AW48" s="197">
        <f t="shared" ref="AW48:AW61" si="31">RANK(AV48, AV$47:AV$61)</f>
        <v>3</v>
      </c>
      <c r="AX48" s="432"/>
    </row>
    <row r="49" spans="2:50">
      <c r="B49" s="422"/>
      <c r="C49" s="197">
        <v>3</v>
      </c>
      <c r="D49" s="225" t="s">
        <v>259</v>
      </c>
      <c r="E49" s="169">
        <v>4</v>
      </c>
      <c r="F49" s="197">
        <v>2000</v>
      </c>
      <c r="G49" s="195">
        <v>500</v>
      </c>
      <c r="H49" s="429"/>
      <c r="I49" s="169">
        <f t="shared" si="22"/>
        <v>5</v>
      </c>
      <c r="J49" s="169">
        <f t="shared" si="23"/>
        <v>2143.1127674258119</v>
      </c>
      <c r="K49" s="195">
        <f t="shared" si="24"/>
        <v>428.62255348516237</v>
      </c>
      <c r="L49" s="429"/>
      <c r="M49" s="196">
        <f>RANK(K49, K$47:$K$61)</f>
        <v>1</v>
      </c>
      <c r="N49" s="423"/>
      <c r="O49" s="423"/>
      <c r="P49" s="169">
        <v>5</v>
      </c>
      <c r="Q49" s="169">
        <v>2131.1111111111122</v>
      </c>
      <c r="R49" s="169">
        <v>426.22222222222246</v>
      </c>
      <c r="S49" s="197">
        <f t="shared" si="25"/>
        <v>2</v>
      </c>
      <c r="T49" s="432"/>
      <c r="U49" s="169">
        <v>5</v>
      </c>
      <c r="V49" s="169">
        <v>2130.0000000000014</v>
      </c>
      <c r="W49" s="169">
        <v>426.00000000000028</v>
      </c>
      <c r="X49" s="197">
        <f t="shared" si="26"/>
        <v>1</v>
      </c>
      <c r="Y49" s="432"/>
      <c r="Z49" s="169">
        <v>5</v>
      </c>
      <c r="AA49" s="169">
        <v>2193.6000000000004</v>
      </c>
      <c r="AB49" s="169">
        <v>438.72000000000008</v>
      </c>
      <c r="AC49" s="197">
        <f t="shared" si="27"/>
        <v>1</v>
      </c>
      <c r="AD49" s="432"/>
      <c r="AE49" s="169">
        <v>5</v>
      </c>
      <c r="AF49" s="169">
        <v>2123.478260869565</v>
      </c>
      <c r="AG49" s="169">
        <v>424.695652173913</v>
      </c>
      <c r="AH49" s="197">
        <f t="shared" si="28"/>
        <v>3</v>
      </c>
      <c r="AI49" s="432"/>
      <c r="AJ49" s="169">
        <v>5</v>
      </c>
      <c r="AK49" s="169">
        <v>2133.6000000000004</v>
      </c>
      <c r="AL49" s="169">
        <v>426.72000000000008</v>
      </c>
      <c r="AM49" s="197">
        <f t="shared" si="29"/>
        <v>2</v>
      </c>
      <c r="AN49" s="432"/>
      <c r="AO49" s="169">
        <v>5</v>
      </c>
      <c r="AP49" s="169">
        <v>2140.7142857142876</v>
      </c>
      <c r="AQ49" s="169">
        <v>428.14285714285751</v>
      </c>
      <c r="AR49" s="197">
        <f t="shared" si="30"/>
        <v>1</v>
      </c>
      <c r="AS49" s="432"/>
      <c r="AT49" s="169">
        <v>5</v>
      </c>
      <c r="AU49" s="169">
        <v>2149.285714285716</v>
      </c>
      <c r="AV49" s="169">
        <v>429.85714285714323</v>
      </c>
      <c r="AW49" s="197">
        <f t="shared" si="31"/>
        <v>1</v>
      </c>
      <c r="AX49" s="432"/>
    </row>
    <row r="50" spans="2:50">
      <c r="B50" s="422"/>
      <c r="C50" s="197">
        <v>4</v>
      </c>
      <c r="D50" s="225" t="s">
        <v>260</v>
      </c>
      <c r="E50" s="169">
        <v>12</v>
      </c>
      <c r="F50" s="197">
        <v>2250</v>
      </c>
      <c r="G50" s="195">
        <v>187.5</v>
      </c>
      <c r="H50" s="429"/>
      <c r="I50" s="169">
        <f t="shared" si="22"/>
        <v>12</v>
      </c>
      <c r="J50" s="169">
        <f t="shared" si="23"/>
        <v>1973.1405871662571</v>
      </c>
      <c r="K50" s="195">
        <f t="shared" si="24"/>
        <v>164.42838226385473</v>
      </c>
      <c r="L50" s="429"/>
      <c r="M50" s="196">
        <f>RANK(K50, K$47:$K$61)</f>
        <v>8</v>
      </c>
      <c r="N50" s="423"/>
      <c r="O50" s="423"/>
      <c r="P50" s="169">
        <v>12</v>
      </c>
      <c r="Q50" s="169">
        <v>1954.5454545454547</v>
      </c>
      <c r="R50" s="169">
        <v>162.8787878787879</v>
      </c>
      <c r="S50" s="197">
        <f t="shared" si="25"/>
        <v>8</v>
      </c>
      <c r="T50" s="432"/>
      <c r="U50" s="169">
        <v>12</v>
      </c>
      <c r="V50" s="169">
        <v>1987.1641791044776</v>
      </c>
      <c r="W50" s="169">
        <v>165.59701492537314</v>
      </c>
      <c r="X50" s="197">
        <f t="shared" si="26"/>
        <v>9</v>
      </c>
      <c r="Y50" s="432"/>
      <c r="Z50" s="169">
        <v>12</v>
      </c>
      <c r="AA50" s="169">
        <v>2003.2258064516136</v>
      </c>
      <c r="AB50" s="169">
        <v>166.9354838709678</v>
      </c>
      <c r="AC50" s="197">
        <f t="shared" si="27"/>
        <v>8</v>
      </c>
      <c r="AD50" s="432"/>
      <c r="AE50" s="169">
        <v>12</v>
      </c>
      <c r="AF50" s="169">
        <v>1914.7368421052631</v>
      </c>
      <c r="AG50" s="169">
        <v>159.56140350877192</v>
      </c>
      <c r="AH50" s="197">
        <f t="shared" si="28"/>
        <v>9</v>
      </c>
      <c r="AI50" s="432"/>
      <c r="AJ50" s="169">
        <v>12</v>
      </c>
      <c r="AK50" s="169">
        <v>1960.6451612903231</v>
      </c>
      <c r="AL50" s="169">
        <v>163.38709677419359</v>
      </c>
      <c r="AM50" s="197">
        <f t="shared" si="29"/>
        <v>8</v>
      </c>
      <c r="AN50" s="432"/>
      <c r="AO50" s="169">
        <v>12</v>
      </c>
      <c r="AP50" s="169">
        <v>1987.4999999999991</v>
      </c>
      <c r="AQ50" s="169">
        <v>165.62499999999991</v>
      </c>
      <c r="AR50" s="197">
        <f t="shared" si="30"/>
        <v>8</v>
      </c>
      <c r="AS50" s="432"/>
      <c r="AT50" s="169">
        <v>12</v>
      </c>
      <c r="AU50" s="169">
        <v>2004.1666666666658</v>
      </c>
      <c r="AV50" s="169">
        <v>167.01388888888883</v>
      </c>
      <c r="AW50" s="197">
        <f t="shared" si="31"/>
        <v>8</v>
      </c>
      <c r="AX50" s="432"/>
    </row>
    <row r="51" spans="2:50">
      <c r="B51" s="422"/>
      <c r="C51" s="197">
        <v>5</v>
      </c>
      <c r="D51" s="225" t="s">
        <v>261</v>
      </c>
      <c r="E51" s="169">
        <v>11</v>
      </c>
      <c r="F51" s="197">
        <v>2118</v>
      </c>
      <c r="G51" s="195">
        <v>192.54545454545453</v>
      </c>
      <c r="H51" s="429"/>
      <c r="I51" s="169">
        <f t="shared" si="22"/>
        <v>11.714285714285714</v>
      </c>
      <c r="J51" s="169">
        <f t="shared" si="23"/>
        <v>2075.2770872777296</v>
      </c>
      <c r="K51" s="195">
        <f t="shared" si="24"/>
        <v>177.3553416887286</v>
      </c>
      <c r="L51" s="429"/>
      <c r="M51" s="196">
        <f>RANK(K51, K$47:$K$61)</f>
        <v>7</v>
      </c>
      <c r="N51" s="423"/>
      <c r="O51" s="423"/>
      <c r="P51" s="169">
        <v>11</v>
      </c>
      <c r="Q51" s="169">
        <v>2078.7272727272803</v>
      </c>
      <c r="R51" s="169">
        <v>188.97520661157094</v>
      </c>
      <c r="S51" s="197">
        <f t="shared" si="25"/>
        <v>6</v>
      </c>
      <c r="T51" s="432"/>
      <c r="U51" s="169">
        <v>11</v>
      </c>
      <c r="V51" s="169">
        <v>2001.2727272727343</v>
      </c>
      <c r="W51" s="169">
        <v>181.9338842975213</v>
      </c>
      <c r="X51" s="197">
        <f t="shared" si="26"/>
        <v>6</v>
      </c>
      <c r="Y51" s="432"/>
      <c r="Z51" s="169">
        <v>12</v>
      </c>
      <c r="AA51" s="169">
        <v>2120.6249999999995</v>
      </c>
      <c r="AB51" s="169">
        <v>176.71874999999997</v>
      </c>
      <c r="AC51" s="197">
        <f t="shared" si="27"/>
        <v>7</v>
      </c>
      <c r="AD51" s="432"/>
      <c r="AE51" s="169">
        <v>12</v>
      </c>
      <c r="AF51" s="169">
        <v>2039.3181818181824</v>
      </c>
      <c r="AG51" s="169">
        <v>169.94318181818187</v>
      </c>
      <c r="AH51" s="197">
        <f t="shared" si="28"/>
        <v>7</v>
      </c>
      <c r="AI51" s="432"/>
      <c r="AJ51" s="169">
        <v>12</v>
      </c>
      <c r="AK51" s="169">
        <v>2120.6666666666656</v>
      </c>
      <c r="AL51" s="169">
        <v>176.72222222222214</v>
      </c>
      <c r="AM51" s="197">
        <f t="shared" si="29"/>
        <v>7</v>
      </c>
      <c r="AN51" s="432"/>
      <c r="AO51" s="169">
        <v>12</v>
      </c>
      <c r="AP51" s="169">
        <v>2064.7368421052624</v>
      </c>
      <c r="AQ51" s="169">
        <v>172.06140350877186</v>
      </c>
      <c r="AR51" s="197">
        <f t="shared" si="30"/>
        <v>7</v>
      </c>
      <c r="AS51" s="432"/>
      <c r="AT51" s="169">
        <v>12</v>
      </c>
      <c r="AU51" s="169">
        <v>2101.5929203539813</v>
      </c>
      <c r="AV51" s="169">
        <v>175.13274336283177</v>
      </c>
      <c r="AW51" s="197">
        <f t="shared" si="31"/>
        <v>7</v>
      </c>
      <c r="AX51" s="432"/>
    </row>
    <row r="52" spans="2:50">
      <c r="B52" s="422"/>
      <c r="C52" s="197">
        <v>6</v>
      </c>
      <c r="D52" s="225" t="s">
        <v>262</v>
      </c>
      <c r="E52" s="169">
        <v>11</v>
      </c>
      <c r="F52" s="197">
        <v>2250</v>
      </c>
      <c r="G52" s="195">
        <v>204.54545454545453</v>
      </c>
      <c r="H52" s="429"/>
      <c r="I52" s="169">
        <f t="shared" si="22"/>
        <v>11</v>
      </c>
      <c r="J52" s="169">
        <f t="shared" si="23"/>
        <v>1969.3354980357333</v>
      </c>
      <c r="K52" s="195">
        <f t="shared" si="24"/>
        <v>179.03049982143034</v>
      </c>
      <c r="L52" s="429"/>
      <c r="M52" s="196">
        <f>RANK(K52, K$47:$K$61)</f>
        <v>6</v>
      </c>
      <c r="N52" s="423"/>
      <c r="O52" s="423"/>
      <c r="P52" s="169">
        <v>11</v>
      </c>
      <c r="Q52" s="169">
        <v>1938.7155963302748</v>
      </c>
      <c r="R52" s="169">
        <v>176.24687239366133</v>
      </c>
      <c r="S52" s="197">
        <f t="shared" si="25"/>
        <v>7</v>
      </c>
      <c r="T52" s="432"/>
      <c r="U52" s="169">
        <v>11</v>
      </c>
      <c r="V52" s="169">
        <v>1943.2075471698108</v>
      </c>
      <c r="W52" s="169">
        <v>176.65523156089191</v>
      </c>
      <c r="X52" s="197">
        <f t="shared" si="26"/>
        <v>7</v>
      </c>
      <c r="Y52" s="432"/>
      <c r="Z52" s="169">
        <v>11</v>
      </c>
      <c r="AA52" s="169">
        <v>1978.7755102040824</v>
      </c>
      <c r="AB52" s="169">
        <v>179.88868274582566</v>
      </c>
      <c r="AC52" s="197">
        <f t="shared" si="27"/>
        <v>6</v>
      </c>
      <c r="AD52" s="432"/>
      <c r="AE52" s="169">
        <v>11</v>
      </c>
      <c r="AF52" s="169">
        <v>2003.571428571428</v>
      </c>
      <c r="AG52" s="169">
        <v>182.14285714285708</v>
      </c>
      <c r="AH52" s="197">
        <f t="shared" si="28"/>
        <v>6</v>
      </c>
      <c r="AI52" s="432"/>
      <c r="AJ52" s="169">
        <v>11</v>
      </c>
      <c r="AK52" s="169">
        <v>1972.6666666666667</v>
      </c>
      <c r="AL52" s="169">
        <v>179.33333333333334</v>
      </c>
      <c r="AM52" s="197">
        <f t="shared" si="29"/>
        <v>6</v>
      </c>
      <c r="AN52" s="432"/>
      <c r="AO52" s="169">
        <v>11</v>
      </c>
      <c r="AP52" s="169">
        <v>1978.9380530973453</v>
      </c>
      <c r="AQ52" s="169">
        <v>179.90345937248594</v>
      </c>
      <c r="AR52" s="197">
        <f t="shared" si="30"/>
        <v>6</v>
      </c>
      <c r="AS52" s="432"/>
      <c r="AT52" s="169">
        <v>11</v>
      </c>
      <c r="AU52" s="169">
        <v>1969.4736842105265</v>
      </c>
      <c r="AV52" s="169">
        <v>179.04306220095694</v>
      </c>
      <c r="AW52" s="197">
        <f t="shared" si="31"/>
        <v>6</v>
      </c>
      <c r="AX52" s="432"/>
    </row>
    <row r="53" spans="2:50">
      <c r="B53" s="422"/>
      <c r="C53" s="197">
        <v>7</v>
      </c>
      <c r="D53" s="225" t="s">
        <v>263</v>
      </c>
      <c r="E53" s="169">
        <v>13</v>
      </c>
      <c r="F53" s="197">
        <v>2250</v>
      </c>
      <c r="G53" s="195">
        <v>173.07692307692307</v>
      </c>
      <c r="H53" s="429"/>
      <c r="I53" s="169">
        <f t="shared" si="22"/>
        <v>12</v>
      </c>
      <c r="J53" s="169">
        <f t="shared" si="23"/>
        <v>1970.8651532968438</v>
      </c>
      <c r="K53" s="195">
        <f t="shared" si="24"/>
        <v>164.23876277473701</v>
      </c>
      <c r="L53" s="429"/>
      <c r="M53" s="196">
        <f>RANK(K53, K$47:$K$61)</f>
        <v>9</v>
      </c>
      <c r="N53" s="423"/>
      <c r="O53" s="423"/>
      <c r="P53" s="169">
        <v>12</v>
      </c>
      <c r="Q53" s="169">
        <v>1954.1176470588246</v>
      </c>
      <c r="R53" s="169">
        <v>162.84313725490205</v>
      </c>
      <c r="S53" s="197">
        <f t="shared" si="25"/>
        <v>9</v>
      </c>
      <c r="T53" s="432"/>
      <c r="U53" s="169">
        <v>12</v>
      </c>
      <c r="V53" s="169">
        <v>2006.8085106382982</v>
      </c>
      <c r="W53" s="169">
        <v>167.23404255319153</v>
      </c>
      <c r="X53" s="197">
        <f t="shared" si="26"/>
        <v>8</v>
      </c>
      <c r="Y53" s="432"/>
      <c r="Z53" s="169">
        <v>12</v>
      </c>
      <c r="AA53" s="169">
        <v>1950</v>
      </c>
      <c r="AB53" s="169">
        <v>162.5</v>
      </c>
      <c r="AC53" s="197">
        <f t="shared" si="27"/>
        <v>9</v>
      </c>
      <c r="AD53" s="432"/>
      <c r="AE53" s="169">
        <v>12</v>
      </c>
      <c r="AF53" s="169">
        <v>1993.1707317073162</v>
      </c>
      <c r="AG53" s="169">
        <v>166.0975609756097</v>
      </c>
      <c r="AH53" s="197">
        <f t="shared" si="28"/>
        <v>8</v>
      </c>
      <c r="AI53" s="432"/>
      <c r="AJ53" s="169">
        <v>12</v>
      </c>
      <c r="AK53" s="169">
        <v>1917.1428571428564</v>
      </c>
      <c r="AL53" s="169">
        <v>159.7619047619047</v>
      </c>
      <c r="AM53" s="197">
        <f t="shared" si="29"/>
        <v>9</v>
      </c>
      <c r="AN53" s="432"/>
      <c r="AO53" s="169">
        <v>12</v>
      </c>
      <c r="AP53" s="169">
        <v>1974.0000000000007</v>
      </c>
      <c r="AQ53" s="169">
        <v>164.50000000000006</v>
      </c>
      <c r="AR53" s="197">
        <f t="shared" si="30"/>
        <v>9</v>
      </c>
      <c r="AS53" s="432"/>
      <c r="AT53" s="169">
        <v>12</v>
      </c>
      <c r="AU53" s="169">
        <v>2000.8163265306125</v>
      </c>
      <c r="AV53" s="169">
        <v>166.73469387755105</v>
      </c>
      <c r="AW53" s="197">
        <f t="shared" si="31"/>
        <v>9</v>
      </c>
      <c r="AX53" s="432"/>
    </row>
    <row r="54" spans="2:50">
      <c r="B54" s="422"/>
      <c r="C54" s="197">
        <v>8</v>
      </c>
      <c r="D54" s="225" t="s">
        <v>264</v>
      </c>
      <c r="E54" s="169">
        <v>10</v>
      </c>
      <c r="F54" s="197">
        <v>2250</v>
      </c>
      <c r="G54" s="195">
        <v>225</v>
      </c>
      <c r="H54" s="429"/>
      <c r="I54" s="169">
        <f t="shared" si="22"/>
        <v>9.7142857142857135</v>
      </c>
      <c r="J54" s="169">
        <f t="shared" si="23"/>
        <v>1962.8838535414161</v>
      </c>
      <c r="K54" s="195">
        <f t="shared" si="24"/>
        <v>202.48726490596235</v>
      </c>
      <c r="L54" s="429"/>
      <c r="M54" s="196">
        <f>RANK(K54, K$47:$K$61)</f>
        <v>5</v>
      </c>
      <c r="N54" s="423"/>
      <c r="O54" s="423"/>
      <c r="P54" s="169">
        <v>9</v>
      </c>
      <c r="Q54" s="169">
        <v>1976.4705882352919</v>
      </c>
      <c r="R54" s="169">
        <v>219.60784313725466</v>
      </c>
      <c r="S54" s="197">
        <f t="shared" si="25"/>
        <v>4</v>
      </c>
      <c r="T54" s="432"/>
      <c r="U54" s="169">
        <v>9</v>
      </c>
      <c r="V54" s="169">
        <v>1928.8235294117621</v>
      </c>
      <c r="W54" s="169">
        <v>214.31372549019579</v>
      </c>
      <c r="X54" s="197">
        <f t="shared" si="26"/>
        <v>5</v>
      </c>
      <c r="Y54" s="432"/>
      <c r="Z54" s="169">
        <v>10</v>
      </c>
      <c r="AA54" s="169">
        <v>2034.000000000002</v>
      </c>
      <c r="AB54" s="169">
        <v>203.4000000000002</v>
      </c>
      <c r="AC54" s="197">
        <f t="shared" si="27"/>
        <v>5</v>
      </c>
      <c r="AD54" s="432"/>
      <c r="AE54" s="169">
        <v>10</v>
      </c>
      <c r="AF54" s="169">
        <v>1912.0000000000018</v>
      </c>
      <c r="AG54" s="169">
        <v>191.20000000000019</v>
      </c>
      <c r="AH54" s="197">
        <f t="shared" si="28"/>
        <v>5</v>
      </c>
      <c r="AI54" s="432"/>
      <c r="AJ54" s="169">
        <v>10</v>
      </c>
      <c r="AK54" s="169">
        <v>1953.750000000002</v>
      </c>
      <c r="AL54" s="169">
        <v>195.3750000000002</v>
      </c>
      <c r="AM54" s="197">
        <f t="shared" si="29"/>
        <v>5</v>
      </c>
      <c r="AN54" s="432"/>
      <c r="AO54" s="169">
        <v>10</v>
      </c>
      <c r="AP54" s="169">
        <v>1949.9999999999982</v>
      </c>
      <c r="AQ54" s="169">
        <v>194.99999999999983</v>
      </c>
      <c r="AR54" s="197">
        <f t="shared" si="30"/>
        <v>5</v>
      </c>
      <c r="AS54" s="432"/>
      <c r="AT54" s="169">
        <v>10</v>
      </c>
      <c r="AU54" s="169">
        <v>1985.1428571428553</v>
      </c>
      <c r="AV54" s="169">
        <v>198.51428571428553</v>
      </c>
      <c r="AW54" s="197">
        <f t="shared" si="31"/>
        <v>5</v>
      </c>
      <c r="AX54" s="432"/>
    </row>
    <row r="55" spans="2:50">
      <c r="B55" s="422"/>
      <c r="C55" s="197">
        <v>9</v>
      </c>
      <c r="D55" s="225" t="s">
        <v>265</v>
      </c>
      <c r="E55" s="169">
        <v>10</v>
      </c>
      <c r="F55" s="197">
        <v>2250</v>
      </c>
      <c r="G55" s="195">
        <v>225</v>
      </c>
      <c r="H55" s="429"/>
      <c r="I55" s="169">
        <f t="shared" si="22"/>
        <v>9.4285714285714288</v>
      </c>
      <c r="J55" s="169">
        <f t="shared" si="23"/>
        <v>1986.0702190284389</v>
      </c>
      <c r="K55" s="195">
        <f t="shared" si="24"/>
        <v>211.17528568925951</v>
      </c>
      <c r="L55" s="429"/>
      <c r="M55" s="196">
        <f>RANK(K55, K$47:$K$61)</f>
        <v>4</v>
      </c>
      <c r="N55" s="423"/>
      <c r="O55" s="423"/>
      <c r="P55" s="169">
        <v>9</v>
      </c>
      <c r="Q55" s="169">
        <v>1962.061855670102</v>
      </c>
      <c r="R55" s="169">
        <v>218.00687285223356</v>
      </c>
      <c r="S55" s="197">
        <f t="shared" si="25"/>
        <v>5</v>
      </c>
      <c r="T55" s="432"/>
      <c r="U55" s="169">
        <v>9</v>
      </c>
      <c r="V55" s="169">
        <v>1968.1249999999989</v>
      </c>
      <c r="W55" s="169">
        <v>218.68055555555543</v>
      </c>
      <c r="X55" s="197">
        <f t="shared" si="26"/>
        <v>4</v>
      </c>
      <c r="Y55" s="432"/>
      <c r="Z55" s="169">
        <v>9</v>
      </c>
      <c r="AA55" s="169">
        <v>1976.5517241379325</v>
      </c>
      <c r="AB55" s="169">
        <v>219.61685823754806</v>
      </c>
      <c r="AC55" s="197">
        <f t="shared" si="27"/>
        <v>4</v>
      </c>
      <c r="AD55" s="432"/>
      <c r="AE55" s="169">
        <v>9</v>
      </c>
      <c r="AF55" s="169">
        <v>2011.2676056338009</v>
      </c>
      <c r="AG55" s="169">
        <v>223.47417840375567</v>
      </c>
      <c r="AH55" s="197">
        <f t="shared" si="28"/>
        <v>4</v>
      </c>
      <c r="AI55" s="432"/>
      <c r="AJ55" s="169">
        <v>10</v>
      </c>
      <c r="AK55" s="169">
        <v>1981.6216216216224</v>
      </c>
      <c r="AL55" s="169">
        <v>198.16216216216225</v>
      </c>
      <c r="AM55" s="197">
        <f t="shared" si="29"/>
        <v>4</v>
      </c>
      <c r="AN55" s="432"/>
      <c r="AO55" s="169">
        <v>10</v>
      </c>
      <c r="AP55" s="169">
        <v>2016.1290322580649</v>
      </c>
      <c r="AQ55" s="169">
        <v>201.61290322580649</v>
      </c>
      <c r="AR55" s="197">
        <f t="shared" si="30"/>
        <v>4</v>
      </c>
      <c r="AS55" s="432"/>
      <c r="AT55" s="169">
        <v>10</v>
      </c>
      <c r="AU55" s="169">
        <v>1986.7346938775515</v>
      </c>
      <c r="AV55" s="169">
        <v>198.67346938775515</v>
      </c>
      <c r="AW55" s="197">
        <f t="shared" si="31"/>
        <v>4</v>
      </c>
      <c r="AX55" s="432"/>
    </row>
    <row r="56" spans="2:50">
      <c r="B56" s="422"/>
      <c r="C56" s="197">
        <v>10</v>
      </c>
      <c r="D56" s="225" t="s">
        <v>266</v>
      </c>
      <c r="E56" s="169">
        <v>18</v>
      </c>
      <c r="F56" s="197">
        <v>1250</v>
      </c>
      <c r="G56" s="195">
        <v>69.444444444444443</v>
      </c>
      <c r="H56" s="429"/>
      <c r="I56" s="169">
        <f t="shared" si="22"/>
        <v>13</v>
      </c>
      <c r="J56" s="169">
        <f t="shared" si="23"/>
        <v>1236.0268528464021</v>
      </c>
      <c r="K56" s="195">
        <f t="shared" si="24"/>
        <v>95.078988680492458</v>
      </c>
      <c r="L56" s="429"/>
      <c r="M56" s="196">
        <f>RANK(K56, K$47:$K$61)</f>
        <v>10</v>
      </c>
      <c r="N56" s="423"/>
      <c r="O56" s="423"/>
      <c r="P56" s="169">
        <v>13</v>
      </c>
      <c r="Q56" s="169">
        <v>1281.0000000000007</v>
      </c>
      <c r="R56" s="169">
        <v>98.53846153846159</v>
      </c>
      <c r="S56" s="197">
        <f t="shared" si="25"/>
        <v>10</v>
      </c>
      <c r="T56" s="432"/>
      <c r="U56" s="169">
        <v>13</v>
      </c>
      <c r="V56" s="169">
        <v>1216.4210526315792</v>
      </c>
      <c r="W56" s="169">
        <v>93.57085020242917</v>
      </c>
      <c r="X56" s="197">
        <f t="shared" si="26"/>
        <v>10</v>
      </c>
      <c r="Y56" s="432"/>
      <c r="Z56" s="169">
        <v>13</v>
      </c>
      <c r="AA56" s="169">
        <v>1198</v>
      </c>
      <c r="AB56" s="169">
        <v>92.15384615384616</v>
      </c>
      <c r="AC56" s="197">
        <f t="shared" si="27"/>
        <v>10</v>
      </c>
      <c r="AD56" s="432"/>
      <c r="AE56" s="169">
        <v>13</v>
      </c>
      <c r="AF56" s="169">
        <v>1196.5714285714291</v>
      </c>
      <c r="AG56" s="169">
        <v>92.043956043956086</v>
      </c>
      <c r="AH56" s="197">
        <f t="shared" si="28"/>
        <v>10</v>
      </c>
      <c r="AI56" s="432"/>
      <c r="AJ56" s="169">
        <v>13</v>
      </c>
      <c r="AK56" s="169">
        <v>1247.142857142858</v>
      </c>
      <c r="AL56" s="169">
        <v>95.934065934065998</v>
      </c>
      <c r="AM56" s="197">
        <f t="shared" si="29"/>
        <v>10</v>
      </c>
      <c r="AN56" s="432"/>
      <c r="AO56" s="169">
        <v>13</v>
      </c>
      <c r="AP56" s="169">
        <v>1241.0526315789475</v>
      </c>
      <c r="AQ56" s="169">
        <v>95.465587044534431</v>
      </c>
      <c r="AR56" s="197">
        <f t="shared" si="30"/>
        <v>10</v>
      </c>
      <c r="AS56" s="432"/>
      <c r="AT56" s="169">
        <v>13</v>
      </c>
      <c r="AU56" s="169">
        <v>1272</v>
      </c>
      <c r="AV56" s="169">
        <v>97.84615384615384</v>
      </c>
      <c r="AW56" s="197">
        <f t="shared" si="31"/>
        <v>10</v>
      </c>
      <c r="AX56" s="432"/>
    </row>
    <row r="57" spans="2:50">
      <c r="B57" s="422"/>
      <c r="C57" s="197">
        <v>11</v>
      </c>
      <c r="D57" s="225"/>
      <c r="E57" s="169"/>
      <c r="F57" s="197"/>
      <c r="G57" s="195"/>
      <c r="H57" s="429"/>
      <c r="I57" s="197"/>
      <c r="J57" s="197"/>
      <c r="K57" s="197"/>
      <c r="L57" s="429"/>
      <c r="M57" s="196" t="e">
        <f>RANK(K57, K$87:$K$101)</f>
        <v>#DIV/0!</v>
      </c>
      <c r="N57" s="423"/>
      <c r="O57" s="423"/>
      <c r="P57" s="169"/>
      <c r="Q57" s="169"/>
      <c r="R57" s="169"/>
      <c r="S57" s="197" t="e">
        <f t="shared" si="25"/>
        <v>#N/A</v>
      </c>
      <c r="T57" s="432"/>
      <c r="U57" s="169"/>
      <c r="V57" s="169"/>
      <c r="W57" s="169"/>
      <c r="X57" s="197" t="e">
        <f t="shared" si="26"/>
        <v>#N/A</v>
      </c>
      <c r="Y57" s="432"/>
      <c r="Z57" s="169"/>
      <c r="AA57" s="169"/>
      <c r="AB57" s="169"/>
      <c r="AC57" s="197" t="e">
        <f t="shared" si="27"/>
        <v>#N/A</v>
      </c>
      <c r="AD57" s="432"/>
      <c r="AE57" s="169"/>
      <c r="AF57" s="169"/>
      <c r="AG57" s="169"/>
      <c r="AH57" s="197" t="e">
        <f t="shared" si="28"/>
        <v>#N/A</v>
      </c>
      <c r="AI57" s="432"/>
      <c r="AJ57" s="169"/>
      <c r="AK57" s="169"/>
      <c r="AL57" s="169"/>
      <c r="AM57" s="197" t="e">
        <f t="shared" si="29"/>
        <v>#N/A</v>
      </c>
      <c r="AN57" s="432"/>
      <c r="AO57" s="169"/>
      <c r="AP57" s="169"/>
      <c r="AQ57" s="169"/>
      <c r="AR57" s="197" t="e">
        <f t="shared" si="30"/>
        <v>#N/A</v>
      </c>
      <c r="AS57" s="432"/>
      <c r="AT57" s="169"/>
      <c r="AU57" s="169"/>
      <c r="AV57" s="169"/>
      <c r="AW57" s="197" t="e">
        <f t="shared" si="31"/>
        <v>#N/A</v>
      </c>
      <c r="AX57" s="432"/>
    </row>
    <row r="58" spans="2:50">
      <c r="B58" s="422"/>
      <c r="C58" s="197">
        <v>12</v>
      </c>
      <c r="D58" s="225"/>
      <c r="E58" s="169"/>
      <c r="F58" s="197"/>
      <c r="G58" s="195"/>
      <c r="H58" s="429"/>
      <c r="I58" s="197"/>
      <c r="J58" s="197"/>
      <c r="K58" s="197"/>
      <c r="L58" s="429"/>
      <c r="M58" s="196" t="e">
        <f>RANK(K58, K$87:$K$101)</f>
        <v>#DIV/0!</v>
      </c>
      <c r="N58" s="423"/>
      <c r="O58" s="423"/>
      <c r="P58" s="169"/>
      <c r="Q58" s="169"/>
      <c r="R58" s="169"/>
      <c r="S58" s="197" t="e">
        <f t="shared" si="25"/>
        <v>#N/A</v>
      </c>
      <c r="T58" s="432"/>
      <c r="U58" s="169"/>
      <c r="V58" s="169"/>
      <c r="W58" s="169"/>
      <c r="X58" s="197" t="e">
        <f t="shared" si="26"/>
        <v>#N/A</v>
      </c>
      <c r="Y58" s="432"/>
      <c r="Z58" s="169"/>
      <c r="AA58" s="169"/>
      <c r="AB58" s="169"/>
      <c r="AC58" s="197" t="e">
        <f t="shared" si="27"/>
        <v>#N/A</v>
      </c>
      <c r="AD58" s="432"/>
      <c r="AE58" s="169"/>
      <c r="AF58" s="169"/>
      <c r="AG58" s="169"/>
      <c r="AH58" s="197" t="e">
        <f t="shared" si="28"/>
        <v>#N/A</v>
      </c>
      <c r="AI58" s="432"/>
      <c r="AJ58" s="169"/>
      <c r="AK58" s="169"/>
      <c r="AL58" s="169"/>
      <c r="AM58" s="197" t="e">
        <f t="shared" si="29"/>
        <v>#N/A</v>
      </c>
      <c r="AN58" s="432"/>
      <c r="AO58" s="169"/>
      <c r="AP58" s="169"/>
      <c r="AQ58" s="169"/>
      <c r="AR58" s="197" t="e">
        <f t="shared" si="30"/>
        <v>#N/A</v>
      </c>
      <c r="AS58" s="432"/>
      <c r="AT58" s="169"/>
      <c r="AU58" s="169"/>
      <c r="AV58" s="169"/>
      <c r="AW58" s="197" t="e">
        <f t="shared" si="31"/>
        <v>#N/A</v>
      </c>
      <c r="AX58" s="432"/>
    </row>
    <row r="59" spans="2:50">
      <c r="B59" s="422"/>
      <c r="C59" s="197">
        <v>13</v>
      </c>
      <c r="D59" s="225"/>
      <c r="E59" s="169"/>
      <c r="F59" s="197"/>
      <c r="G59" s="195"/>
      <c r="H59" s="429"/>
      <c r="I59" s="197"/>
      <c r="J59" s="197"/>
      <c r="K59" s="197"/>
      <c r="L59" s="429"/>
      <c r="M59" s="196" t="e">
        <f>RANK(K59, K$87:$K$101)</f>
        <v>#DIV/0!</v>
      </c>
      <c r="N59" s="423"/>
      <c r="O59" s="423"/>
      <c r="P59" s="169"/>
      <c r="Q59" s="169"/>
      <c r="R59" s="169"/>
      <c r="S59" s="197" t="e">
        <f t="shared" si="25"/>
        <v>#N/A</v>
      </c>
      <c r="T59" s="432"/>
      <c r="U59" s="169"/>
      <c r="V59" s="169"/>
      <c r="W59" s="169"/>
      <c r="X59" s="197" t="e">
        <f t="shared" si="26"/>
        <v>#N/A</v>
      </c>
      <c r="Y59" s="432"/>
      <c r="Z59" s="169"/>
      <c r="AA59" s="169"/>
      <c r="AB59" s="169"/>
      <c r="AC59" s="197" t="e">
        <f t="shared" si="27"/>
        <v>#N/A</v>
      </c>
      <c r="AD59" s="432"/>
      <c r="AE59" s="169"/>
      <c r="AF59" s="169"/>
      <c r="AG59" s="169"/>
      <c r="AH59" s="197" t="e">
        <f t="shared" si="28"/>
        <v>#N/A</v>
      </c>
      <c r="AI59" s="432"/>
      <c r="AJ59" s="169"/>
      <c r="AK59" s="169"/>
      <c r="AL59" s="169"/>
      <c r="AM59" s="197" t="e">
        <f t="shared" si="29"/>
        <v>#N/A</v>
      </c>
      <c r="AN59" s="432"/>
      <c r="AO59" s="169"/>
      <c r="AP59" s="169"/>
      <c r="AQ59" s="169"/>
      <c r="AR59" s="197" t="e">
        <f t="shared" si="30"/>
        <v>#N/A</v>
      </c>
      <c r="AS59" s="432"/>
      <c r="AT59" s="169"/>
      <c r="AU59" s="169"/>
      <c r="AV59" s="169"/>
      <c r="AW59" s="197" t="e">
        <f t="shared" si="31"/>
        <v>#N/A</v>
      </c>
      <c r="AX59" s="432"/>
    </row>
    <row r="60" spans="2:50">
      <c r="B60" s="422"/>
      <c r="C60" s="197">
        <v>14</v>
      </c>
      <c r="D60" s="225"/>
      <c r="E60" s="169"/>
      <c r="F60" s="197"/>
      <c r="G60" s="195"/>
      <c r="H60" s="429"/>
      <c r="I60" s="197"/>
      <c r="J60" s="197"/>
      <c r="K60" s="197"/>
      <c r="L60" s="429"/>
      <c r="M60" s="196" t="e">
        <f>RANK(K60, K$87:$K$101)</f>
        <v>#DIV/0!</v>
      </c>
      <c r="N60" s="423"/>
      <c r="O60" s="423"/>
      <c r="P60" s="169"/>
      <c r="Q60" s="169"/>
      <c r="R60" s="169"/>
      <c r="S60" s="197" t="e">
        <f t="shared" si="25"/>
        <v>#N/A</v>
      </c>
      <c r="T60" s="432"/>
      <c r="U60" s="169"/>
      <c r="V60" s="169"/>
      <c r="W60" s="169"/>
      <c r="X60" s="197" t="e">
        <f t="shared" si="26"/>
        <v>#N/A</v>
      </c>
      <c r="Y60" s="432"/>
      <c r="Z60" s="169"/>
      <c r="AA60" s="169"/>
      <c r="AB60" s="169"/>
      <c r="AC60" s="197" t="e">
        <f t="shared" si="27"/>
        <v>#N/A</v>
      </c>
      <c r="AD60" s="432"/>
      <c r="AE60" s="169"/>
      <c r="AF60" s="169"/>
      <c r="AG60" s="169"/>
      <c r="AH60" s="197" t="e">
        <f t="shared" si="28"/>
        <v>#N/A</v>
      </c>
      <c r="AI60" s="432"/>
      <c r="AJ60" s="169"/>
      <c r="AK60" s="169"/>
      <c r="AL60" s="169"/>
      <c r="AM60" s="197" t="e">
        <f t="shared" si="29"/>
        <v>#N/A</v>
      </c>
      <c r="AN60" s="432"/>
      <c r="AO60" s="169"/>
      <c r="AP60" s="169"/>
      <c r="AQ60" s="169"/>
      <c r="AR60" s="197" t="e">
        <f t="shared" si="30"/>
        <v>#N/A</v>
      </c>
      <c r="AS60" s="432"/>
      <c r="AT60" s="169"/>
      <c r="AU60" s="169"/>
      <c r="AV60" s="169"/>
      <c r="AW60" s="197" t="e">
        <f t="shared" si="31"/>
        <v>#N/A</v>
      </c>
      <c r="AX60" s="432"/>
    </row>
    <row r="61" spans="2:50">
      <c r="B61" s="422"/>
      <c r="C61" s="197">
        <v>15</v>
      </c>
      <c r="D61" s="225"/>
      <c r="E61" s="169"/>
      <c r="F61" s="197"/>
      <c r="G61" s="195"/>
      <c r="H61" s="430"/>
      <c r="I61" s="197"/>
      <c r="J61" s="197"/>
      <c r="K61" s="197"/>
      <c r="L61" s="430"/>
      <c r="M61" s="169" t="e">
        <f>RANK(K61, K$87:$K$101)</f>
        <v>#DIV/0!</v>
      </c>
      <c r="N61" s="423"/>
      <c r="O61" s="423"/>
      <c r="P61" s="169"/>
      <c r="Q61" s="169"/>
      <c r="R61" s="169"/>
      <c r="S61" s="197" t="e">
        <f t="shared" si="25"/>
        <v>#N/A</v>
      </c>
      <c r="T61" s="432"/>
      <c r="U61" s="169"/>
      <c r="V61" s="169"/>
      <c r="W61" s="169"/>
      <c r="X61" s="197" t="e">
        <f t="shared" si="26"/>
        <v>#N/A</v>
      </c>
      <c r="Y61" s="432"/>
      <c r="Z61" s="169"/>
      <c r="AA61" s="169"/>
      <c r="AB61" s="169"/>
      <c r="AC61" s="197" t="e">
        <f t="shared" si="27"/>
        <v>#N/A</v>
      </c>
      <c r="AD61" s="432"/>
      <c r="AE61" s="169"/>
      <c r="AF61" s="169"/>
      <c r="AG61" s="169"/>
      <c r="AH61" s="197" t="e">
        <f t="shared" si="28"/>
        <v>#N/A</v>
      </c>
      <c r="AI61" s="432"/>
      <c r="AJ61" s="169"/>
      <c r="AK61" s="169"/>
      <c r="AL61" s="169"/>
      <c r="AM61" s="197" t="e">
        <f t="shared" si="29"/>
        <v>#N/A</v>
      </c>
      <c r="AN61" s="432"/>
      <c r="AO61" s="169"/>
      <c r="AP61" s="169"/>
      <c r="AQ61" s="169"/>
      <c r="AR61" s="197" t="e">
        <f t="shared" si="30"/>
        <v>#N/A</v>
      </c>
      <c r="AS61" s="432"/>
      <c r="AT61" s="169"/>
      <c r="AU61" s="169"/>
      <c r="AV61" s="169"/>
      <c r="AW61" s="197" t="e">
        <f t="shared" si="31"/>
        <v>#N/A</v>
      </c>
      <c r="AX61" s="432"/>
    </row>
    <row r="62" spans="2:50" ht="15.75">
      <c r="B62" s="396" t="s">
        <v>202</v>
      </c>
      <c r="C62" s="427"/>
      <c r="D62" s="427"/>
      <c r="E62" s="427"/>
      <c r="F62" s="427"/>
      <c r="G62" s="427"/>
      <c r="H62" s="427"/>
      <c r="I62" s="201"/>
      <c r="J62" s="201"/>
      <c r="K62" s="201"/>
      <c r="L62" s="201"/>
      <c r="M62" s="200"/>
      <c r="N62" s="401" t="s">
        <v>203</v>
      </c>
      <c r="O62" s="401" t="s">
        <v>150</v>
      </c>
      <c r="P62" s="421">
        <f>P42+7</f>
        <v>45916</v>
      </c>
      <c r="Q62" s="422"/>
      <c r="R62" s="422"/>
      <c r="S62" s="422"/>
      <c r="T62" s="422"/>
      <c r="U62" s="416">
        <f>P62+1</f>
        <v>45917</v>
      </c>
      <c r="V62" s="417"/>
      <c r="W62" s="417"/>
      <c r="X62" s="417"/>
      <c r="Y62" s="418"/>
      <c r="Z62" s="416">
        <f>U62+1</f>
        <v>45918</v>
      </c>
      <c r="AA62" s="417"/>
      <c r="AB62" s="417"/>
      <c r="AC62" s="417"/>
      <c r="AD62" s="418"/>
      <c r="AE62" s="416">
        <f t="shared" ref="AE62" si="32">Z62+1</f>
        <v>45919</v>
      </c>
      <c r="AF62" s="417"/>
      <c r="AG62" s="417"/>
      <c r="AH62" s="417"/>
      <c r="AI62" s="418"/>
      <c r="AJ62" s="416">
        <f t="shared" ref="AJ62" si="33">AE62+1</f>
        <v>45920</v>
      </c>
      <c r="AK62" s="417"/>
      <c r="AL62" s="417"/>
      <c r="AM62" s="417"/>
      <c r="AN62" s="418"/>
      <c r="AO62" s="416">
        <f t="shared" ref="AO62" si="34">AJ62+1</f>
        <v>45921</v>
      </c>
      <c r="AP62" s="417"/>
      <c r="AQ62" s="417"/>
      <c r="AR62" s="417"/>
      <c r="AS62" s="418"/>
      <c r="AT62" s="416">
        <f t="shared" ref="AT62" si="35">AO62+1</f>
        <v>45922</v>
      </c>
      <c r="AU62" s="417"/>
      <c r="AV62" s="417"/>
      <c r="AW62" s="417"/>
      <c r="AX62" s="418"/>
    </row>
    <row r="63" spans="2:50" ht="15.75">
      <c r="B63" s="426"/>
      <c r="C63" s="426"/>
      <c r="D63" s="426"/>
      <c r="E63" s="426"/>
      <c r="F63" s="426"/>
      <c r="G63" s="426"/>
      <c r="H63" s="426"/>
      <c r="I63" s="199"/>
      <c r="J63" s="199"/>
      <c r="K63" s="199"/>
      <c r="L63" s="199"/>
      <c r="M63" s="194"/>
      <c r="N63" s="403"/>
      <c r="O63" s="403"/>
      <c r="P63" s="421" t="s">
        <v>204</v>
      </c>
      <c r="Q63" s="422"/>
      <c r="R63" s="422"/>
      <c r="S63" s="422"/>
      <c r="T63" s="422"/>
      <c r="U63" s="421" t="s">
        <v>205</v>
      </c>
      <c r="V63" s="422"/>
      <c r="W63" s="422"/>
      <c r="X63" s="422"/>
      <c r="Y63" s="422"/>
      <c r="Z63" s="421" t="s">
        <v>206</v>
      </c>
      <c r="AA63" s="422"/>
      <c r="AB63" s="422"/>
      <c r="AC63" s="422"/>
      <c r="AD63" s="422"/>
      <c r="AE63" s="421" t="s">
        <v>207</v>
      </c>
      <c r="AF63" s="422"/>
      <c r="AG63" s="422"/>
      <c r="AH63" s="422"/>
      <c r="AI63" s="422"/>
      <c r="AJ63" s="421" t="s">
        <v>208</v>
      </c>
      <c r="AK63" s="422"/>
      <c r="AL63" s="422"/>
      <c r="AM63" s="422"/>
      <c r="AN63" s="422"/>
      <c r="AO63" s="421" t="s">
        <v>157</v>
      </c>
      <c r="AP63" s="422"/>
      <c r="AQ63" s="422"/>
      <c r="AR63" s="422"/>
      <c r="AS63" s="422"/>
      <c r="AT63" s="421" t="s">
        <v>209</v>
      </c>
      <c r="AU63" s="422"/>
      <c r="AV63" s="422"/>
      <c r="AW63" s="422"/>
      <c r="AX63" s="422"/>
    </row>
    <row r="64" spans="2:50">
      <c r="B64" s="423" t="s">
        <v>210</v>
      </c>
      <c r="C64" s="423" t="s">
        <v>211</v>
      </c>
      <c r="D64" s="423"/>
      <c r="E64" s="423" t="s">
        <v>212</v>
      </c>
      <c r="F64" s="423"/>
      <c r="G64" s="423"/>
      <c r="H64" s="404" t="s">
        <v>213</v>
      </c>
      <c r="I64" s="423" t="s">
        <v>214</v>
      </c>
      <c r="J64" s="423"/>
      <c r="K64" s="423"/>
      <c r="L64" s="404" t="s">
        <v>213</v>
      </c>
      <c r="M64" s="401" t="s">
        <v>215</v>
      </c>
      <c r="N64" s="423"/>
      <c r="O64" s="423" t="s">
        <v>216</v>
      </c>
      <c r="P64" s="413" t="s">
        <v>217</v>
      </c>
      <c r="Q64" s="414"/>
      <c r="R64" s="414"/>
      <c r="S64" s="415"/>
      <c r="T64" s="423" t="s">
        <v>213</v>
      </c>
      <c r="U64" s="413" t="s">
        <v>217</v>
      </c>
      <c r="V64" s="414"/>
      <c r="W64" s="414"/>
      <c r="X64" s="415"/>
      <c r="Y64" s="423" t="s">
        <v>213</v>
      </c>
      <c r="Z64" s="413" t="s">
        <v>217</v>
      </c>
      <c r="AA64" s="414"/>
      <c r="AB64" s="414"/>
      <c r="AC64" s="415"/>
      <c r="AD64" s="423" t="s">
        <v>213</v>
      </c>
      <c r="AE64" s="413" t="s">
        <v>217</v>
      </c>
      <c r="AF64" s="414"/>
      <c r="AG64" s="414"/>
      <c r="AH64" s="415"/>
      <c r="AI64" s="423" t="s">
        <v>213</v>
      </c>
      <c r="AJ64" s="413" t="s">
        <v>217</v>
      </c>
      <c r="AK64" s="414"/>
      <c r="AL64" s="414"/>
      <c r="AM64" s="415"/>
      <c r="AN64" s="423" t="s">
        <v>213</v>
      </c>
      <c r="AO64" s="413" t="s">
        <v>217</v>
      </c>
      <c r="AP64" s="414"/>
      <c r="AQ64" s="414"/>
      <c r="AR64" s="415"/>
      <c r="AS64" s="423" t="s">
        <v>213</v>
      </c>
      <c r="AT64" s="413" t="s">
        <v>217</v>
      </c>
      <c r="AU64" s="414"/>
      <c r="AV64" s="414"/>
      <c r="AW64" s="415"/>
      <c r="AX64" s="423" t="s">
        <v>213</v>
      </c>
    </row>
    <row r="65" spans="2:50">
      <c r="B65" s="423"/>
      <c r="C65" s="423"/>
      <c r="D65" s="423"/>
      <c r="E65" s="423" t="s">
        <v>218</v>
      </c>
      <c r="F65" s="423"/>
      <c r="G65" s="423"/>
      <c r="H65" s="406"/>
      <c r="I65" s="423" t="s">
        <v>218</v>
      </c>
      <c r="J65" s="423"/>
      <c r="K65" s="423"/>
      <c r="L65" s="406"/>
      <c r="M65" s="402"/>
      <c r="N65" s="423"/>
      <c r="O65" s="423"/>
      <c r="P65" s="413" t="s">
        <v>219</v>
      </c>
      <c r="Q65" s="414"/>
      <c r="R65" s="414"/>
      <c r="S65" s="415"/>
      <c r="T65" s="423"/>
      <c r="U65" s="413" t="s">
        <v>219</v>
      </c>
      <c r="V65" s="414"/>
      <c r="W65" s="414"/>
      <c r="X65" s="415"/>
      <c r="Y65" s="423"/>
      <c r="Z65" s="413" t="s">
        <v>219</v>
      </c>
      <c r="AA65" s="414"/>
      <c r="AB65" s="414"/>
      <c r="AC65" s="415"/>
      <c r="AD65" s="423"/>
      <c r="AE65" s="413" t="s">
        <v>219</v>
      </c>
      <c r="AF65" s="414"/>
      <c r="AG65" s="414"/>
      <c r="AH65" s="415"/>
      <c r="AI65" s="423"/>
      <c r="AJ65" s="413" t="s">
        <v>219</v>
      </c>
      <c r="AK65" s="414"/>
      <c r="AL65" s="414"/>
      <c r="AM65" s="415"/>
      <c r="AN65" s="423"/>
      <c r="AO65" s="413" t="s">
        <v>219</v>
      </c>
      <c r="AP65" s="414"/>
      <c r="AQ65" s="414"/>
      <c r="AR65" s="415"/>
      <c r="AS65" s="423"/>
      <c r="AT65" s="413" t="s">
        <v>219</v>
      </c>
      <c r="AU65" s="414"/>
      <c r="AV65" s="414"/>
      <c r="AW65" s="415"/>
      <c r="AX65" s="423"/>
    </row>
    <row r="66" spans="2:50">
      <c r="B66" s="423"/>
      <c r="C66" s="423"/>
      <c r="D66" s="423"/>
      <c r="E66" s="297" t="s">
        <v>220</v>
      </c>
      <c r="F66" s="297" t="s">
        <v>221</v>
      </c>
      <c r="G66" s="297" t="s">
        <v>222</v>
      </c>
      <c r="H66" s="408"/>
      <c r="I66" s="297" t="s">
        <v>220</v>
      </c>
      <c r="J66" s="297" t="s">
        <v>221</v>
      </c>
      <c r="K66" s="297" t="s">
        <v>222</v>
      </c>
      <c r="L66" s="408"/>
      <c r="M66" s="403"/>
      <c r="N66" s="423"/>
      <c r="O66" s="423"/>
      <c r="P66" s="297" t="s">
        <v>220</v>
      </c>
      <c r="Q66" s="297" t="s">
        <v>221</v>
      </c>
      <c r="R66" s="297" t="s">
        <v>222</v>
      </c>
      <c r="S66" s="297" t="s">
        <v>215</v>
      </c>
      <c r="T66" s="423"/>
      <c r="U66" s="297" t="s">
        <v>220</v>
      </c>
      <c r="V66" s="297" t="s">
        <v>221</v>
      </c>
      <c r="W66" s="297" t="s">
        <v>222</v>
      </c>
      <c r="X66" s="297" t="s">
        <v>215</v>
      </c>
      <c r="Y66" s="423"/>
      <c r="Z66" s="297" t="s">
        <v>220</v>
      </c>
      <c r="AA66" s="297" t="s">
        <v>221</v>
      </c>
      <c r="AB66" s="297" t="s">
        <v>222</v>
      </c>
      <c r="AC66" s="297" t="s">
        <v>215</v>
      </c>
      <c r="AD66" s="423"/>
      <c r="AE66" s="297" t="s">
        <v>220</v>
      </c>
      <c r="AF66" s="297" t="s">
        <v>221</v>
      </c>
      <c r="AG66" s="297" t="s">
        <v>222</v>
      </c>
      <c r="AH66" s="297" t="s">
        <v>215</v>
      </c>
      <c r="AI66" s="423"/>
      <c r="AJ66" s="297" t="s">
        <v>220</v>
      </c>
      <c r="AK66" s="297" t="s">
        <v>221</v>
      </c>
      <c r="AL66" s="297" t="s">
        <v>222</v>
      </c>
      <c r="AM66" s="297" t="s">
        <v>215</v>
      </c>
      <c r="AN66" s="423"/>
      <c r="AO66" s="297" t="s">
        <v>220</v>
      </c>
      <c r="AP66" s="297" t="s">
        <v>221</v>
      </c>
      <c r="AQ66" s="297" t="s">
        <v>222</v>
      </c>
      <c r="AR66" s="297" t="s">
        <v>215</v>
      </c>
      <c r="AS66" s="423"/>
      <c r="AT66" s="297" t="s">
        <v>220</v>
      </c>
      <c r="AU66" s="297" t="s">
        <v>221</v>
      </c>
      <c r="AV66" s="297" t="s">
        <v>222</v>
      </c>
      <c r="AW66" s="297" t="s">
        <v>215</v>
      </c>
      <c r="AX66" s="423"/>
    </row>
    <row r="67" spans="2:50">
      <c r="B67" s="431" t="s">
        <v>256</v>
      </c>
      <c r="C67" s="197">
        <v>1</v>
      </c>
      <c r="D67" s="225"/>
      <c r="E67" s="169"/>
      <c r="F67" s="197"/>
      <c r="G67" s="195"/>
      <c r="H67" s="428" t="e">
        <f>AVERAGE(G67:G81)</f>
        <v>#DIV/0!</v>
      </c>
      <c r="I67" s="169" t="e">
        <f>AVERAGE(P67,U67,Z67,AE67,AJ67,AO67,AT67)</f>
        <v>#DIV/0!</v>
      </c>
      <c r="J67" s="169" t="e">
        <f>AVERAGE(Q67,V67,AA67,AF67,AK67,AP67,AU67)</f>
        <v>#DIV/0!</v>
      </c>
      <c r="K67" s="195" t="e">
        <f>AVERAGE(R67,W67,AB67,AG67,AL67,AQ67,AV67)</f>
        <v>#DIV/0!</v>
      </c>
      <c r="L67" s="428" t="str">
        <f>IFERROR(AVERAGE(K67:K81),"-")</f>
        <v>-</v>
      </c>
      <c r="M67" s="196" t="e">
        <f>RANK(K67, K$87:$K$101)</f>
        <v>#DIV/0!</v>
      </c>
      <c r="N67" s="423"/>
      <c r="O67" s="423"/>
      <c r="P67" s="169"/>
      <c r="Q67" s="169"/>
      <c r="R67" s="169"/>
      <c r="S67" s="197" t="e">
        <f>RANK(R67, R$87:R$101)</f>
        <v>#N/A</v>
      </c>
      <c r="T67" s="432" t="e">
        <f>AVERAGE(R67:R81)</f>
        <v>#DIV/0!</v>
      </c>
      <c r="U67" s="169"/>
      <c r="V67" s="169"/>
      <c r="W67" s="169"/>
      <c r="X67" s="197" t="e">
        <f>RANK(W67, W$87:W$101)</f>
        <v>#N/A</v>
      </c>
      <c r="Y67" s="432" t="e">
        <f>AVERAGE(W67:W81)</f>
        <v>#DIV/0!</v>
      </c>
      <c r="Z67" s="169"/>
      <c r="AA67" s="169"/>
      <c r="AB67" s="169"/>
      <c r="AC67" s="197" t="e">
        <f>RANK(AB67, AB$87:AB$101)</f>
        <v>#N/A</v>
      </c>
      <c r="AD67" s="432" t="e">
        <f>AVERAGE(AB67:AB81)</f>
        <v>#DIV/0!</v>
      </c>
      <c r="AE67" s="169"/>
      <c r="AF67" s="169"/>
      <c r="AG67" s="169"/>
      <c r="AH67" s="197" t="e">
        <f>RANK(AG67, AG$87:AG$101)</f>
        <v>#N/A</v>
      </c>
      <c r="AI67" s="432" t="e">
        <f>AVERAGE(AG67:AG81)</f>
        <v>#DIV/0!</v>
      </c>
      <c r="AJ67" s="169"/>
      <c r="AK67" s="169"/>
      <c r="AL67" s="169"/>
      <c r="AM67" s="197" t="e">
        <f>RANK(AL67, AL$87:AL$101)</f>
        <v>#N/A</v>
      </c>
      <c r="AN67" s="432" t="e">
        <f>AVERAGE(AL67:AL81)</f>
        <v>#DIV/0!</v>
      </c>
      <c r="AO67" s="169"/>
      <c r="AP67" s="169"/>
      <c r="AQ67" s="169"/>
      <c r="AR67" s="197" t="e">
        <f>RANK(AQ67, AQ$87:AQ$101)</f>
        <v>#N/A</v>
      </c>
      <c r="AS67" s="432" t="e">
        <f>AVERAGE(AQ67:AQ81)</f>
        <v>#DIV/0!</v>
      </c>
      <c r="AT67" s="169"/>
      <c r="AU67" s="169"/>
      <c r="AV67" s="169"/>
      <c r="AW67" s="197" t="e">
        <f>RANK(AV67, AV$87:AV$101)</f>
        <v>#N/A</v>
      </c>
      <c r="AX67" s="432" t="e">
        <f>AVERAGE(AV67:AV81)</f>
        <v>#DIV/0!</v>
      </c>
    </row>
    <row r="68" spans="2:50">
      <c r="B68" s="422"/>
      <c r="C68" s="197">
        <v>2</v>
      </c>
      <c r="D68" s="225"/>
      <c r="E68" s="169"/>
      <c r="F68" s="197"/>
      <c r="G68" s="195"/>
      <c r="H68" s="429"/>
      <c r="I68" s="169" t="e">
        <f t="shared" ref="I68:I76" si="36">AVERAGE(P68,U68,Z68,AE68,AJ68,AO68,AT68)</f>
        <v>#DIV/0!</v>
      </c>
      <c r="J68" s="169" t="e">
        <f t="shared" ref="J68:J76" si="37">AVERAGE(Q68,V68,AA68,AF68,AK68,AP68,AU68)</f>
        <v>#DIV/0!</v>
      </c>
      <c r="K68" s="195" t="e">
        <f t="shared" ref="K68:K76" si="38">AVERAGE(R68,W68,AB68,AG68,AL68,AQ68,AV68)</f>
        <v>#DIV/0!</v>
      </c>
      <c r="L68" s="429"/>
      <c r="M68" s="196" t="e">
        <f>RANK(K68, K$87:$K$101)</f>
        <v>#DIV/0!</v>
      </c>
      <c r="N68" s="423"/>
      <c r="O68" s="423"/>
      <c r="P68" s="169"/>
      <c r="Q68" s="169"/>
      <c r="R68" s="169"/>
      <c r="S68" s="197" t="e">
        <f t="shared" ref="S68:S81" si="39">RANK(R68, R$87:R$101)</f>
        <v>#N/A</v>
      </c>
      <c r="T68" s="432"/>
      <c r="U68" s="169"/>
      <c r="V68" s="169"/>
      <c r="W68" s="169"/>
      <c r="X68" s="197" t="e">
        <f t="shared" ref="X68:X81" si="40">RANK(W68, W$87:W$101)</f>
        <v>#N/A</v>
      </c>
      <c r="Y68" s="432"/>
      <c r="Z68" s="169"/>
      <c r="AA68" s="169"/>
      <c r="AB68" s="169"/>
      <c r="AC68" s="197" t="e">
        <f t="shared" ref="AC68:AC81" si="41">RANK(AB68, AB$87:AB$101)</f>
        <v>#N/A</v>
      </c>
      <c r="AD68" s="432"/>
      <c r="AE68" s="169"/>
      <c r="AF68" s="169"/>
      <c r="AG68" s="169"/>
      <c r="AH68" s="197" t="e">
        <f t="shared" ref="AH68:AH81" si="42">RANK(AG68, AG$87:AG$101)</f>
        <v>#N/A</v>
      </c>
      <c r="AI68" s="432"/>
      <c r="AJ68" s="169"/>
      <c r="AK68" s="169"/>
      <c r="AL68" s="169"/>
      <c r="AM68" s="197" t="e">
        <f t="shared" ref="AM68:AM81" si="43">RANK(AL68, AL$87:AL$101)</f>
        <v>#N/A</v>
      </c>
      <c r="AN68" s="432"/>
      <c r="AO68" s="169"/>
      <c r="AP68" s="169"/>
      <c r="AQ68" s="169"/>
      <c r="AR68" s="197" t="e">
        <f t="shared" ref="AR68:AR81" si="44">RANK(AQ68, AQ$87:AQ$101)</f>
        <v>#N/A</v>
      </c>
      <c r="AS68" s="432"/>
      <c r="AT68" s="169"/>
      <c r="AU68" s="169"/>
      <c r="AV68" s="169"/>
      <c r="AW68" s="197" t="e">
        <f t="shared" ref="AW68:AW81" si="45">RANK(AV68, AV$87:AV$101)</f>
        <v>#N/A</v>
      </c>
      <c r="AX68" s="432"/>
    </row>
    <row r="69" spans="2:50">
      <c r="B69" s="422"/>
      <c r="C69" s="197">
        <v>3</v>
      </c>
      <c r="D69" s="225"/>
      <c r="E69" s="169"/>
      <c r="F69" s="197"/>
      <c r="G69" s="195"/>
      <c r="H69" s="429"/>
      <c r="I69" s="169" t="e">
        <f t="shared" si="36"/>
        <v>#DIV/0!</v>
      </c>
      <c r="J69" s="169" t="e">
        <f t="shared" si="37"/>
        <v>#DIV/0!</v>
      </c>
      <c r="K69" s="195" t="e">
        <f t="shared" si="38"/>
        <v>#DIV/0!</v>
      </c>
      <c r="L69" s="429"/>
      <c r="M69" s="196" t="e">
        <f>RANK(K69, K$87:$K$101)</f>
        <v>#DIV/0!</v>
      </c>
      <c r="N69" s="423"/>
      <c r="O69" s="423"/>
      <c r="P69" s="169"/>
      <c r="Q69" s="169"/>
      <c r="R69" s="169"/>
      <c r="S69" s="197" t="e">
        <f t="shared" si="39"/>
        <v>#N/A</v>
      </c>
      <c r="T69" s="432"/>
      <c r="U69" s="169"/>
      <c r="V69" s="169"/>
      <c r="W69" s="169"/>
      <c r="X69" s="197" t="e">
        <f t="shared" si="40"/>
        <v>#N/A</v>
      </c>
      <c r="Y69" s="432"/>
      <c r="Z69" s="169"/>
      <c r="AA69" s="169"/>
      <c r="AB69" s="169"/>
      <c r="AC69" s="197" t="e">
        <f t="shared" si="41"/>
        <v>#N/A</v>
      </c>
      <c r="AD69" s="432"/>
      <c r="AE69" s="169"/>
      <c r="AF69" s="169"/>
      <c r="AG69" s="169"/>
      <c r="AH69" s="197" t="e">
        <f t="shared" si="42"/>
        <v>#N/A</v>
      </c>
      <c r="AI69" s="432"/>
      <c r="AJ69" s="169"/>
      <c r="AK69" s="169"/>
      <c r="AL69" s="169"/>
      <c r="AM69" s="197" t="e">
        <f t="shared" si="43"/>
        <v>#N/A</v>
      </c>
      <c r="AN69" s="432"/>
      <c r="AO69" s="169"/>
      <c r="AP69" s="169"/>
      <c r="AQ69" s="169"/>
      <c r="AR69" s="197" t="e">
        <f t="shared" si="44"/>
        <v>#N/A</v>
      </c>
      <c r="AS69" s="432"/>
      <c r="AT69" s="169"/>
      <c r="AU69" s="169"/>
      <c r="AV69" s="169"/>
      <c r="AW69" s="197" t="e">
        <f t="shared" si="45"/>
        <v>#N/A</v>
      </c>
      <c r="AX69" s="432"/>
    </row>
    <row r="70" spans="2:50">
      <c r="B70" s="422"/>
      <c r="C70" s="197">
        <v>4</v>
      </c>
      <c r="D70" s="225"/>
      <c r="E70" s="169"/>
      <c r="F70" s="197"/>
      <c r="G70" s="195"/>
      <c r="H70" s="429"/>
      <c r="I70" s="169" t="e">
        <f t="shared" si="36"/>
        <v>#DIV/0!</v>
      </c>
      <c r="J70" s="169" t="e">
        <f t="shared" si="37"/>
        <v>#DIV/0!</v>
      </c>
      <c r="K70" s="195" t="e">
        <f t="shared" si="38"/>
        <v>#DIV/0!</v>
      </c>
      <c r="L70" s="429"/>
      <c r="M70" s="196" t="e">
        <f>RANK(K70, K$87:$K$101)</f>
        <v>#DIV/0!</v>
      </c>
      <c r="N70" s="423"/>
      <c r="O70" s="423"/>
      <c r="P70" s="169"/>
      <c r="Q70" s="169"/>
      <c r="R70" s="169"/>
      <c r="S70" s="197" t="e">
        <f t="shared" si="39"/>
        <v>#N/A</v>
      </c>
      <c r="T70" s="432"/>
      <c r="U70" s="169"/>
      <c r="V70" s="169"/>
      <c r="W70" s="169"/>
      <c r="X70" s="197" t="e">
        <f t="shared" si="40"/>
        <v>#N/A</v>
      </c>
      <c r="Y70" s="432"/>
      <c r="Z70" s="169"/>
      <c r="AA70" s="169"/>
      <c r="AB70" s="169"/>
      <c r="AC70" s="197" t="e">
        <f t="shared" si="41"/>
        <v>#N/A</v>
      </c>
      <c r="AD70" s="432"/>
      <c r="AE70" s="169"/>
      <c r="AF70" s="169"/>
      <c r="AG70" s="169"/>
      <c r="AH70" s="197" t="e">
        <f t="shared" si="42"/>
        <v>#N/A</v>
      </c>
      <c r="AI70" s="432"/>
      <c r="AJ70" s="169"/>
      <c r="AK70" s="169"/>
      <c r="AL70" s="169"/>
      <c r="AM70" s="197" t="e">
        <f t="shared" si="43"/>
        <v>#N/A</v>
      </c>
      <c r="AN70" s="432"/>
      <c r="AO70" s="169"/>
      <c r="AP70" s="169"/>
      <c r="AQ70" s="169"/>
      <c r="AR70" s="197" t="e">
        <f t="shared" si="44"/>
        <v>#N/A</v>
      </c>
      <c r="AS70" s="432"/>
      <c r="AT70" s="169"/>
      <c r="AU70" s="169"/>
      <c r="AV70" s="169"/>
      <c r="AW70" s="197" t="e">
        <f t="shared" si="45"/>
        <v>#N/A</v>
      </c>
      <c r="AX70" s="432"/>
    </row>
    <row r="71" spans="2:50">
      <c r="B71" s="422"/>
      <c r="C71" s="197">
        <v>5</v>
      </c>
      <c r="D71" s="225"/>
      <c r="E71" s="169"/>
      <c r="F71" s="197"/>
      <c r="G71" s="195"/>
      <c r="H71" s="429"/>
      <c r="I71" s="169" t="e">
        <f t="shared" si="36"/>
        <v>#DIV/0!</v>
      </c>
      <c r="J71" s="169" t="e">
        <f t="shared" si="37"/>
        <v>#DIV/0!</v>
      </c>
      <c r="K71" s="195" t="e">
        <f t="shared" si="38"/>
        <v>#DIV/0!</v>
      </c>
      <c r="L71" s="429"/>
      <c r="M71" s="196" t="e">
        <f>RANK(K71, K$87:$K$101)</f>
        <v>#DIV/0!</v>
      </c>
      <c r="N71" s="423"/>
      <c r="O71" s="423"/>
      <c r="P71" s="169"/>
      <c r="Q71" s="169"/>
      <c r="R71" s="169"/>
      <c r="S71" s="197" t="e">
        <f t="shared" si="39"/>
        <v>#N/A</v>
      </c>
      <c r="T71" s="432"/>
      <c r="U71" s="169"/>
      <c r="V71" s="169"/>
      <c r="W71" s="169"/>
      <c r="X71" s="197" t="e">
        <f t="shared" si="40"/>
        <v>#N/A</v>
      </c>
      <c r="Y71" s="432"/>
      <c r="Z71" s="169"/>
      <c r="AA71" s="169"/>
      <c r="AB71" s="169"/>
      <c r="AC71" s="197" t="e">
        <f t="shared" si="41"/>
        <v>#N/A</v>
      </c>
      <c r="AD71" s="432"/>
      <c r="AE71" s="169"/>
      <c r="AF71" s="169"/>
      <c r="AG71" s="169"/>
      <c r="AH71" s="197" t="e">
        <f t="shared" si="42"/>
        <v>#N/A</v>
      </c>
      <c r="AI71" s="432"/>
      <c r="AJ71" s="169"/>
      <c r="AK71" s="169"/>
      <c r="AL71" s="169"/>
      <c r="AM71" s="197" t="e">
        <f t="shared" si="43"/>
        <v>#N/A</v>
      </c>
      <c r="AN71" s="432"/>
      <c r="AO71" s="169"/>
      <c r="AP71" s="169"/>
      <c r="AQ71" s="169"/>
      <c r="AR71" s="197" t="e">
        <f t="shared" si="44"/>
        <v>#N/A</v>
      </c>
      <c r="AS71" s="432"/>
      <c r="AT71" s="169"/>
      <c r="AU71" s="169"/>
      <c r="AV71" s="169"/>
      <c r="AW71" s="197" t="e">
        <f t="shared" si="45"/>
        <v>#N/A</v>
      </c>
      <c r="AX71" s="432"/>
    </row>
    <row r="72" spans="2:50">
      <c r="B72" s="422"/>
      <c r="C72" s="197">
        <v>6</v>
      </c>
      <c r="D72" s="225"/>
      <c r="E72" s="169"/>
      <c r="F72" s="197"/>
      <c r="G72" s="195"/>
      <c r="H72" s="429"/>
      <c r="I72" s="169" t="e">
        <f t="shared" si="36"/>
        <v>#DIV/0!</v>
      </c>
      <c r="J72" s="169" t="e">
        <f t="shared" si="37"/>
        <v>#DIV/0!</v>
      </c>
      <c r="K72" s="195" t="e">
        <f t="shared" si="38"/>
        <v>#DIV/0!</v>
      </c>
      <c r="L72" s="429"/>
      <c r="M72" s="196" t="e">
        <f>RANK(K72, K$87:$K$101)</f>
        <v>#DIV/0!</v>
      </c>
      <c r="N72" s="423"/>
      <c r="O72" s="423"/>
      <c r="P72" s="169"/>
      <c r="Q72" s="169"/>
      <c r="R72" s="169"/>
      <c r="S72" s="197" t="e">
        <f t="shared" si="39"/>
        <v>#N/A</v>
      </c>
      <c r="T72" s="432"/>
      <c r="U72" s="169"/>
      <c r="V72" s="169"/>
      <c r="W72" s="169"/>
      <c r="X72" s="197" t="e">
        <f t="shared" si="40"/>
        <v>#N/A</v>
      </c>
      <c r="Y72" s="432"/>
      <c r="Z72" s="169"/>
      <c r="AA72" s="169"/>
      <c r="AB72" s="169"/>
      <c r="AC72" s="197" t="e">
        <f t="shared" si="41"/>
        <v>#N/A</v>
      </c>
      <c r="AD72" s="432"/>
      <c r="AE72" s="169"/>
      <c r="AF72" s="169"/>
      <c r="AG72" s="169"/>
      <c r="AH72" s="197" t="e">
        <f t="shared" si="42"/>
        <v>#N/A</v>
      </c>
      <c r="AI72" s="432"/>
      <c r="AJ72" s="169"/>
      <c r="AK72" s="169"/>
      <c r="AL72" s="169"/>
      <c r="AM72" s="197" t="e">
        <f t="shared" si="43"/>
        <v>#N/A</v>
      </c>
      <c r="AN72" s="432"/>
      <c r="AO72" s="169"/>
      <c r="AP72" s="169"/>
      <c r="AQ72" s="169"/>
      <c r="AR72" s="197" t="e">
        <f t="shared" si="44"/>
        <v>#N/A</v>
      </c>
      <c r="AS72" s="432"/>
      <c r="AT72" s="169"/>
      <c r="AU72" s="169"/>
      <c r="AV72" s="169"/>
      <c r="AW72" s="197" t="e">
        <f t="shared" si="45"/>
        <v>#N/A</v>
      </c>
      <c r="AX72" s="432"/>
    </row>
    <row r="73" spans="2:50">
      <c r="B73" s="422"/>
      <c r="C73" s="197">
        <v>7</v>
      </c>
      <c r="D73" s="225"/>
      <c r="E73" s="169"/>
      <c r="F73" s="197"/>
      <c r="G73" s="195"/>
      <c r="H73" s="429"/>
      <c r="I73" s="169" t="e">
        <f t="shared" si="36"/>
        <v>#DIV/0!</v>
      </c>
      <c r="J73" s="169" t="e">
        <f t="shared" si="37"/>
        <v>#DIV/0!</v>
      </c>
      <c r="K73" s="195" t="e">
        <f t="shared" si="38"/>
        <v>#DIV/0!</v>
      </c>
      <c r="L73" s="429"/>
      <c r="M73" s="196" t="e">
        <f>RANK(K73, K$87:$K$101)</f>
        <v>#DIV/0!</v>
      </c>
      <c r="N73" s="423"/>
      <c r="O73" s="423"/>
      <c r="P73" s="169"/>
      <c r="Q73" s="169"/>
      <c r="R73" s="169"/>
      <c r="S73" s="197" t="e">
        <f t="shared" si="39"/>
        <v>#N/A</v>
      </c>
      <c r="T73" s="432"/>
      <c r="U73" s="169"/>
      <c r="V73" s="169"/>
      <c r="W73" s="169"/>
      <c r="X73" s="197" t="e">
        <f t="shared" si="40"/>
        <v>#N/A</v>
      </c>
      <c r="Y73" s="432"/>
      <c r="Z73" s="169"/>
      <c r="AA73" s="169"/>
      <c r="AB73" s="169"/>
      <c r="AC73" s="197" t="e">
        <f t="shared" si="41"/>
        <v>#N/A</v>
      </c>
      <c r="AD73" s="432"/>
      <c r="AE73" s="169"/>
      <c r="AF73" s="169"/>
      <c r="AG73" s="169"/>
      <c r="AH73" s="197" t="e">
        <f t="shared" si="42"/>
        <v>#N/A</v>
      </c>
      <c r="AI73" s="432"/>
      <c r="AJ73" s="169"/>
      <c r="AK73" s="169"/>
      <c r="AL73" s="169"/>
      <c r="AM73" s="197" t="e">
        <f t="shared" si="43"/>
        <v>#N/A</v>
      </c>
      <c r="AN73" s="432"/>
      <c r="AO73" s="169"/>
      <c r="AP73" s="169"/>
      <c r="AQ73" s="169"/>
      <c r="AR73" s="197" t="e">
        <f t="shared" si="44"/>
        <v>#N/A</v>
      </c>
      <c r="AS73" s="432"/>
      <c r="AT73" s="169"/>
      <c r="AU73" s="169"/>
      <c r="AV73" s="169"/>
      <c r="AW73" s="197" t="e">
        <f t="shared" si="45"/>
        <v>#N/A</v>
      </c>
      <c r="AX73" s="432"/>
    </row>
    <row r="74" spans="2:50">
      <c r="B74" s="422"/>
      <c r="C74" s="197">
        <v>8</v>
      </c>
      <c r="D74" s="225"/>
      <c r="E74" s="169"/>
      <c r="F74" s="197"/>
      <c r="G74" s="195"/>
      <c r="H74" s="429"/>
      <c r="I74" s="169" t="e">
        <f t="shared" si="36"/>
        <v>#DIV/0!</v>
      </c>
      <c r="J74" s="169" t="e">
        <f t="shared" si="37"/>
        <v>#DIV/0!</v>
      </c>
      <c r="K74" s="195" t="e">
        <f t="shared" si="38"/>
        <v>#DIV/0!</v>
      </c>
      <c r="L74" s="429"/>
      <c r="M74" s="196" t="e">
        <f>RANK(K74, K$87:$K$101)</f>
        <v>#DIV/0!</v>
      </c>
      <c r="N74" s="423"/>
      <c r="O74" s="423"/>
      <c r="P74" s="169"/>
      <c r="Q74" s="169"/>
      <c r="R74" s="169"/>
      <c r="S74" s="197" t="e">
        <f t="shared" si="39"/>
        <v>#N/A</v>
      </c>
      <c r="T74" s="432"/>
      <c r="U74" s="169"/>
      <c r="V74" s="169"/>
      <c r="W74" s="169"/>
      <c r="X74" s="197" t="e">
        <f t="shared" si="40"/>
        <v>#N/A</v>
      </c>
      <c r="Y74" s="432"/>
      <c r="Z74" s="169"/>
      <c r="AA74" s="169"/>
      <c r="AB74" s="169"/>
      <c r="AC74" s="197" t="e">
        <f t="shared" si="41"/>
        <v>#N/A</v>
      </c>
      <c r="AD74" s="432"/>
      <c r="AE74" s="169"/>
      <c r="AF74" s="169"/>
      <c r="AG74" s="169"/>
      <c r="AH74" s="197" t="e">
        <f t="shared" si="42"/>
        <v>#N/A</v>
      </c>
      <c r="AI74" s="432"/>
      <c r="AJ74" s="169"/>
      <c r="AK74" s="169"/>
      <c r="AL74" s="169"/>
      <c r="AM74" s="197" t="e">
        <f t="shared" si="43"/>
        <v>#N/A</v>
      </c>
      <c r="AN74" s="432"/>
      <c r="AO74" s="169"/>
      <c r="AP74" s="169"/>
      <c r="AQ74" s="169"/>
      <c r="AR74" s="197" t="e">
        <f t="shared" si="44"/>
        <v>#N/A</v>
      </c>
      <c r="AS74" s="432"/>
      <c r="AT74" s="169"/>
      <c r="AU74" s="169"/>
      <c r="AV74" s="169"/>
      <c r="AW74" s="197" t="e">
        <f t="shared" si="45"/>
        <v>#N/A</v>
      </c>
      <c r="AX74" s="432"/>
    </row>
    <row r="75" spans="2:50">
      <c r="B75" s="422"/>
      <c r="C75" s="197">
        <v>9</v>
      </c>
      <c r="D75" s="225"/>
      <c r="E75" s="169"/>
      <c r="F75" s="197"/>
      <c r="G75" s="195"/>
      <c r="H75" s="429"/>
      <c r="I75" s="169" t="e">
        <f t="shared" si="36"/>
        <v>#DIV/0!</v>
      </c>
      <c r="J75" s="169" t="e">
        <f t="shared" si="37"/>
        <v>#DIV/0!</v>
      </c>
      <c r="K75" s="195" t="e">
        <f t="shared" si="38"/>
        <v>#DIV/0!</v>
      </c>
      <c r="L75" s="429"/>
      <c r="M75" s="196" t="e">
        <f>RANK(K75, K$87:$K$101)</f>
        <v>#DIV/0!</v>
      </c>
      <c r="N75" s="423"/>
      <c r="O75" s="423"/>
      <c r="P75" s="169"/>
      <c r="Q75" s="169"/>
      <c r="R75" s="169"/>
      <c r="S75" s="197" t="e">
        <f t="shared" si="39"/>
        <v>#N/A</v>
      </c>
      <c r="T75" s="432"/>
      <c r="U75" s="169"/>
      <c r="V75" s="169"/>
      <c r="W75" s="169"/>
      <c r="X75" s="197" t="e">
        <f t="shared" si="40"/>
        <v>#N/A</v>
      </c>
      <c r="Y75" s="432"/>
      <c r="Z75" s="169"/>
      <c r="AA75" s="169"/>
      <c r="AB75" s="169"/>
      <c r="AC75" s="197" t="e">
        <f t="shared" si="41"/>
        <v>#N/A</v>
      </c>
      <c r="AD75" s="432"/>
      <c r="AE75" s="169"/>
      <c r="AF75" s="169"/>
      <c r="AG75" s="169"/>
      <c r="AH75" s="197" t="e">
        <f t="shared" si="42"/>
        <v>#N/A</v>
      </c>
      <c r="AI75" s="432"/>
      <c r="AJ75" s="169"/>
      <c r="AK75" s="169"/>
      <c r="AL75" s="169"/>
      <c r="AM75" s="197" t="e">
        <f t="shared" si="43"/>
        <v>#N/A</v>
      </c>
      <c r="AN75" s="432"/>
      <c r="AO75" s="169"/>
      <c r="AP75" s="169"/>
      <c r="AQ75" s="169"/>
      <c r="AR75" s="197" t="e">
        <f t="shared" si="44"/>
        <v>#N/A</v>
      </c>
      <c r="AS75" s="432"/>
      <c r="AT75" s="169"/>
      <c r="AU75" s="169"/>
      <c r="AV75" s="169"/>
      <c r="AW75" s="197" t="e">
        <f t="shared" si="45"/>
        <v>#N/A</v>
      </c>
      <c r="AX75" s="432"/>
    </row>
    <row r="76" spans="2:50">
      <c r="B76" s="422"/>
      <c r="C76" s="197">
        <v>10</v>
      </c>
      <c r="D76" s="225"/>
      <c r="E76" s="169"/>
      <c r="F76" s="197"/>
      <c r="G76" s="195"/>
      <c r="H76" s="429"/>
      <c r="I76" s="169" t="e">
        <f t="shared" si="36"/>
        <v>#DIV/0!</v>
      </c>
      <c r="J76" s="169" t="e">
        <f t="shared" si="37"/>
        <v>#DIV/0!</v>
      </c>
      <c r="K76" s="195" t="e">
        <f t="shared" si="38"/>
        <v>#DIV/0!</v>
      </c>
      <c r="L76" s="429"/>
      <c r="M76" s="196" t="e">
        <f>RANK(K76, K$87:$K$101)</f>
        <v>#DIV/0!</v>
      </c>
      <c r="N76" s="423"/>
      <c r="O76" s="423"/>
      <c r="P76" s="169"/>
      <c r="Q76" s="169"/>
      <c r="R76" s="169"/>
      <c r="S76" s="197" t="e">
        <f t="shared" si="39"/>
        <v>#N/A</v>
      </c>
      <c r="T76" s="432"/>
      <c r="U76" s="169"/>
      <c r="V76" s="169"/>
      <c r="W76" s="169"/>
      <c r="X76" s="197" t="e">
        <f t="shared" si="40"/>
        <v>#N/A</v>
      </c>
      <c r="Y76" s="432"/>
      <c r="Z76" s="169"/>
      <c r="AA76" s="169"/>
      <c r="AB76" s="169"/>
      <c r="AC76" s="197" t="e">
        <f t="shared" si="41"/>
        <v>#N/A</v>
      </c>
      <c r="AD76" s="432"/>
      <c r="AE76" s="169"/>
      <c r="AF76" s="169"/>
      <c r="AG76" s="169"/>
      <c r="AH76" s="197" t="e">
        <f t="shared" si="42"/>
        <v>#N/A</v>
      </c>
      <c r="AI76" s="432"/>
      <c r="AJ76" s="169"/>
      <c r="AK76" s="169"/>
      <c r="AL76" s="169"/>
      <c r="AM76" s="197" t="e">
        <f t="shared" si="43"/>
        <v>#N/A</v>
      </c>
      <c r="AN76" s="432"/>
      <c r="AO76" s="169"/>
      <c r="AP76" s="169"/>
      <c r="AQ76" s="169"/>
      <c r="AR76" s="197" t="e">
        <f t="shared" si="44"/>
        <v>#N/A</v>
      </c>
      <c r="AS76" s="432"/>
      <c r="AT76" s="169"/>
      <c r="AU76" s="169"/>
      <c r="AV76" s="169"/>
      <c r="AW76" s="197" t="e">
        <f t="shared" si="45"/>
        <v>#N/A</v>
      </c>
      <c r="AX76" s="432"/>
    </row>
    <row r="77" spans="2:50">
      <c r="B77" s="422"/>
      <c r="C77" s="197">
        <v>11</v>
      </c>
      <c r="D77" s="225"/>
      <c r="E77" s="169"/>
      <c r="F77" s="197"/>
      <c r="G77" s="195"/>
      <c r="H77" s="429"/>
      <c r="I77" s="197"/>
      <c r="J77" s="197"/>
      <c r="K77" s="197"/>
      <c r="L77" s="429"/>
      <c r="M77" s="196" t="e">
        <f>RANK(K77, K$87:$K$101)</f>
        <v>#DIV/0!</v>
      </c>
      <c r="N77" s="423"/>
      <c r="O77" s="423"/>
      <c r="P77" s="169"/>
      <c r="Q77" s="169"/>
      <c r="R77" s="169"/>
      <c r="S77" s="197" t="e">
        <f t="shared" si="39"/>
        <v>#N/A</v>
      </c>
      <c r="T77" s="432"/>
      <c r="U77" s="169"/>
      <c r="V77" s="169"/>
      <c r="W77" s="169"/>
      <c r="X77" s="197" t="e">
        <f t="shared" si="40"/>
        <v>#N/A</v>
      </c>
      <c r="Y77" s="432"/>
      <c r="Z77" s="169"/>
      <c r="AA77" s="169"/>
      <c r="AB77" s="169"/>
      <c r="AC77" s="197" t="e">
        <f t="shared" si="41"/>
        <v>#N/A</v>
      </c>
      <c r="AD77" s="432"/>
      <c r="AE77" s="169"/>
      <c r="AF77" s="169"/>
      <c r="AG77" s="169"/>
      <c r="AH77" s="197" t="e">
        <f t="shared" si="42"/>
        <v>#N/A</v>
      </c>
      <c r="AI77" s="432"/>
      <c r="AJ77" s="169"/>
      <c r="AK77" s="169"/>
      <c r="AL77" s="169"/>
      <c r="AM77" s="197" t="e">
        <f t="shared" si="43"/>
        <v>#N/A</v>
      </c>
      <c r="AN77" s="432"/>
      <c r="AO77" s="169"/>
      <c r="AP77" s="169"/>
      <c r="AQ77" s="169"/>
      <c r="AR77" s="197" t="e">
        <f t="shared" si="44"/>
        <v>#N/A</v>
      </c>
      <c r="AS77" s="432"/>
      <c r="AT77" s="169"/>
      <c r="AU77" s="169"/>
      <c r="AV77" s="195"/>
      <c r="AW77" s="197" t="e">
        <f t="shared" si="45"/>
        <v>#N/A</v>
      </c>
      <c r="AX77" s="432"/>
    </row>
    <row r="78" spans="2:50">
      <c r="B78" s="422"/>
      <c r="C78" s="197">
        <v>12</v>
      </c>
      <c r="D78" s="225"/>
      <c r="E78" s="169"/>
      <c r="F78" s="197"/>
      <c r="G78" s="195"/>
      <c r="H78" s="429"/>
      <c r="I78" s="197"/>
      <c r="J78" s="197"/>
      <c r="K78" s="197"/>
      <c r="L78" s="429"/>
      <c r="M78" s="196" t="e">
        <f>RANK(K78, K$87:$K$101)</f>
        <v>#DIV/0!</v>
      </c>
      <c r="N78" s="423"/>
      <c r="O78" s="423"/>
      <c r="P78" s="169"/>
      <c r="Q78" s="169"/>
      <c r="R78" s="169"/>
      <c r="S78" s="197" t="e">
        <f t="shared" si="39"/>
        <v>#N/A</v>
      </c>
      <c r="T78" s="432"/>
      <c r="U78" s="169"/>
      <c r="V78" s="169"/>
      <c r="W78" s="169"/>
      <c r="X78" s="197" t="e">
        <f t="shared" si="40"/>
        <v>#N/A</v>
      </c>
      <c r="Y78" s="432"/>
      <c r="Z78" s="169"/>
      <c r="AA78" s="169"/>
      <c r="AB78" s="169"/>
      <c r="AC78" s="197" t="e">
        <f t="shared" si="41"/>
        <v>#N/A</v>
      </c>
      <c r="AD78" s="432"/>
      <c r="AE78" s="169"/>
      <c r="AF78" s="169"/>
      <c r="AG78" s="169"/>
      <c r="AH78" s="197" t="e">
        <f t="shared" si="42"/>
        <v>#N/A</v>
      </c>
      <c r="AI78" s="432"/>
      <c r="AJ78" s="169"/>
      <c r="AK78" s="169"/>
      <c r="AL78" s="169"/>
      <c r="AM78" s="197" t="e">
        <f t="shared" si="43"/>
        <v>#N/A</v>
      </c>
      <c r="AN78" s="432"/>
      <c r="AO78" s="169"/>
      <c r="AP78" s="169"/>
      <c r="AQ78" s="169"/>
      <c r="AR78" s="197" t="e">
        <f t="shared" si="44"/>
        <v>#N/A</v>
      </c>
      <c r="AS78" s="432"/>
      <c r="AT78" s="169"/>
      <c r="AU78" s="169"/>
      <c r="AV78" s="195"/>
      <c r="AW78" s="197" t="e">
        <f t="shared" si="45"/>
        <v>#N/A</v>
      </c>
      <c r="AX78" s="432"/>
    </row>
    <row r="79" spans="2:50">
      <c r="B79" s="422"/>
      <c r="C79" s="197">
        <v>13</v>
      </c>
      <c r="D79" s="225"/>
      <c r="E79" s="169"/>
      <c r="F79" s="197"/>
      <c r="G79" s="195"/>
      <c r="H79" s="429"/>
      <c r="I79" s="197"/>
      <c r="J79" s="197"/>
      <c r="K79" s="197"/>
      <c r="L79" s="429"/>
      <c r="M79" s="196" t="e">
        <f>RANK(K79, K$87:$K$101)</f>
        <v>#DIV/0!</v>
      </c>
      <c r="N79" s="423"/>
      <c r="O79" s="423"/>
      <c r="P79" s="169"/>
      <c r="Q79" s="169"/>
      <c r="R79" s="169"/>
      <c r="S79" s="197" t="e">
        <f t="shared" si="39"/>
        <v>#N/A</v>
      </c>
      <c r="T79" s="432"/>
      <c r="U79" s="169"/>
      <c r="V79" s="169"/>
      <c r="W79" s="169"/>
      <c r="X79" s="197" t="e">
        <f t="shared" si="40"/>
        <v>#N/A</v>
      </c>
      <c r="Y79" s="432"/>
      <c r="Z79" s="169"/>
      <c r="AA79" s="169"/>
      <c r="AB79" s="169"/>
      <c r="AC79" s="197" t="e">
        <f t="shared" si="41"/>
        <v>#N/A</v>
      </c>
      <c r="AD79" s="432"/>
      <c r="AE79" s="169"/>
      <c r="AF79" s="169"/>
      <c r="AG79" s="169"/>
      <c r="AH79" s="197" t="e">
        <f t="shared" si="42"/>
        <v>#N/A</v>
      </c>
      <c r="AI79" s="432"/>
      <c r="AJ79" s="169"/>
      <c r="AK79" s="169"/>
      <c r="AL79" s="169"/>
      <c r="AM79" s="197" t="e">
        <f t="shared" si="43"/>
        <v>#N/A</v>
      </c>
      <c r="AN79" s="432"/>
      <c r="AO79" s="169"/>
      <c r="AP79" s="169"/>
      <c r="AQ79" s="169"/>
      <c r="AR79" s="197" t="e">
        <f t="shared" si="44"/>
        <v>#N/A</v>
      </c>
      <c r="AS79" s="432"/>
      <c r="AT79" s="169"/>
      <c r="AU79" s="169"/>
      <c r="AV79" s="195"/>
      <c r="AW79" s="197" t="e">
        <f t="shared" si="45"/>
        <v>#N/A</v>
      </c>
      <c r="AX79" s="432"/>
    </row>
    <row r="80" spans="2:50">
      <c r="B80" s="422"/>
      <c r="C80" s="197">
        <v>14</v>
      </c>
      <c r="D80" s="225"/>
      <c r="E80" s="169"/>
      <c r="F80" s="197"/>
      <c r="G80" s="195"/>
      <c r="H80" s="429"/>
      <c r="I80" s="197"/>
      <c r="J80" s="197"/>
      <c r="K80" s="197"/>
      <c r="L80" s="429"/>
      <c r="M80" s="196" t="e">
        <f>RANK(K80, K$87:$K$101)</f>
        <v>#DIV/0!</v>
      </c>
      <c r="N80" s="423"/>
      <c r="O80" s="423"/>
      <c r="P80" s="169"/>
      <c r="Q80" s="169"/>
      <c r="R80" s="169"/>
      <c r="S80" s="197" t="e">
        <f t="shared" si="39"/>
        <v>#N/A</v>
      </c>
      <c r="T80" s="432"/>
      <c r="U80" s="169"/>
      <c r="V80" s="169"/>
      <c r="W80" s="169"/>
      <c r="X80" s="197" t="e">
        <f t="shared" si="40"/>
        <v>#N/A</v>
      </c>
      <c r="Y80" s="432"/>
      <c r="Z80" s="169"/>
      <c r="AA80" s="169"/>
      <c r="AB80" s="169"/>
      <c r="AC80" s="197" t="e">
        <f t="shared" si="41"/>
        <v>#N/A</v>
      </c>
      <c r="AD80" s="432"/>
      <c r="AE80" s="169"/>
      <c r="AF80" s="169"/>
      <c r="AG80" s="169"/>
      <c r="AH80" s="197" t="e">
        <f t="shared" si="42"/>
        <v>#N/A</v>
      </c>
      <c r="AI80" s="432"/>
      <c r="AJ80" s="169"/>
      <c r="AK80" s="169"/>
      <c r="AL80" s="169"/>
      <c r="AM80" s="197" t="e">
        <f t="shared" si="43"/>
        <v>#N/A</v>
      </c>
      <c r="AN80" s="432"/>
      <c r="AO80" s="169"/>
      <c r="AP80" s="169"/>
      <c r="AQ80" s="169"/>
      <c r="AR80" s="197" t="e">
        <f t="shared" si="44"/>
        <v>#N/A</v>
      </c>
      <c r="AS80" s="432"/>
      <c r="AT80" s="169"/>
      <c r="AU80" s="169"/>
      <c r="AV80" s="195"/>
      <c r="AW80" s="197" t="e">
        <f t="shared" si="45"/>
        <v>#N/A</v>
      </c>
      <c r="AX80" s="432"/>
    </row>
    <row r="81" spans="2:50">
      <c r="B81" s="422"/>
      <c r="C81" s="197">
        <v>15</v>
      </c>
      <c r="D81" s="225"/>
      <c r="E81" s="169"/>
      <c r="F81" s="197"/>
      <c r="G81" s="195"/>
      <c r="H81" s="430"/>
      <c r="I81" s="197"/>
      <c r="J81" s="197"/>
      <c r="K81" s="197"/>
      <c r="L81" s="430"/>
      <c r="M81" s="169" t="e">
        <f>RANK(K81, K$87:$K$101)</f>
        <v>#DIV/0!</v>
      </c>
      <c r="N81" s="423"/>
      <c r="O81" s="423"/>
      <c r="P81" s="169"/>
      <c r="Q81" s="169"/>
      <c r="R81" s="169"/>
      <c r="S81" s="197" t="e">
        <f t="shared" si="39"/>
        <v>#N/A</v>
      </c>
      <c r="T81" s="432"/>
      <c r="U81" s="169"/>
      <c r="V81" s="169"/>
      <c r="W81" s="169"/>
      <c r="X81" s="197" t="e">
        <f t="shared" si="40"/>
        <v>#N/A</v>
      </c>
      <c r="Y81" s="432"/>
      <c r="Z81" s="169"/>
      <c r="AA81" s="169"/>
      <c r="AB81" s="169"/>
      <c r="AC81" s="197" t="e">
        <f t="shared" si="41"/>
        <v>#N/A</v>
      </c>
      <c r="AD81" s="432"/>
      <c r="AE81" s="169"/>
      <c r="AF81" s="169"/>
      <c r="AG81" s="169"/>
      <c r="AH81" s="197" t="e">
        <f t="shared" si="42"/>
        <v>#N/A</v>
      </c>
      <c r="AI81" s="432"/>
      <c r="AJ81" s="169"/>
      <c r="AK81" s="169"/>
      <c r="AL81" s="169"/>
      <c r="AM81" s="197" t="e">
        <f t="shared" si="43"/>
        <v>#N/A</v>
      </c>
      <c r="AN81" s="432"/>
      <c r="AO81" s="169"/>
      <c r="AP81" s="169"/>
      <c r="AQ81" s="169"/>
      <c r="AR81" s="197" t="e">
        <f t="shared" si="44"/>
        <v>#N/A</v>
      </c>
      <c r="AS81" s="432"/>
      <c r="AT81" s="169"/>
      <c r="AU81" s="169"/>
      <c r="AV81" s="195"/>
      <c r="AW81" s="197" t="e">
        <f t="shared" si="45"/>
        <v>#N/A</v>
      </c>
      <c r="AX81" s="432"/>
    </row>
    <row r="82" spans="2:50" ht="15.75">
      <c r="B82" s="396" t="s">
        <v>202</v>
      </c>
      <c r="C82" s="427"/>
      <c r="D82" s="427"/>
      <c r="E82" s="427"/>
      <c r="F82" s="427"/>
      <c r="G82" s="427"/>
      <c r="H82" s="427"/>
      <c r="I82" s="201"/>
      <c r="J82" s="201"/>
      <c r="K82" s="201"/>
      <c r="L82" s="201"/>
      <c r="M82" s="200"/>
      <c r="N82" s="401" t="s">
        <v>203</v>
      </c>
      <c r="O82" s="401" t="s">
        <v>150</v>
      </c>
      <c r="P82" s="421">
        <f>P62+7</f>
        <v>45923</v>
      </c>
      <c r="Q82" s="422"/>
      <c r="R82" s="422"/>
      <c r="S82" s="422"/>
      <c r="T82" s="422"/>
      <c r="U82" s="416">
        <f>P82+1</f>
        <v>45924</v>
      </c>
      <c r="V82" s="417"/>
      <c r="W82" s="417"/>
      <c r="X82" s="417"/>
      <c r="Y82" s="418"/>
      <c r="Z82" s="416">
        <f>U82+1</f>
        <v>45925</v>
      </c>
      <c r="AA82" s="417"/>
      <c r="AB82" s="417"/>
      <c r="AC82" s="417"/>
      <c r="AD82" s="418"/>
      <c r="AE82" s="416">
        <f t="shared" ref="AE82" si="46">Z82+1</f>
        <v>45926</v>
      </c>
      <c r="AF82" s="417"/>
      <c r="AG82" s="417"/>
      <c r="AH82" s="417"/>
      <c r="AI82" s="418"/>
      <c r="AJ82" s="416">
        <f t="shared" ref="AJ82" si="47">AE82+1</f>
        <v>45927</v>
      </c>
      <c r="AK82" s="417"/>
      <c r="AL82" s="417"/>
      <c r="AM82" s="417"/>
      <c r="AN82" s="418"/>
      <c r="AO82" s="416">
        <f t="shared" ref="AO82" si="48">AJ82+1</f>
        <v>45928</v>
      </c>
      <c r="AP82" s="417"/>
      <c r="AQ82" s="417"/>
      <c r="AR82" s="417"/>
      <c r="AS82" s="418"/>
      <c r="AT82" s="416">
        <f t="shared" ref="AT82" si="49">AO82+1</f>
        <v>45929</v>
      </c>
      <c r="AU82" s="417"/>
      <c r="AV82" s="417"/>
      <c r="AW82" s="417"/>
      <c r="AX82" s="418"/>
    </row>
    <row r="83" spans="2:50" ht="15.75">
      <c r="B83" s="426"/>
      <c r="C83" s="426"/>
      <c r="D83" s="426"/>
      <c r="E83" s="426"/>
      <c r="F83" s="426"/>
      <c r="G83" s="426"/>
      <c r="H83" s="426"/>
      <c r="I83" s="199"/>
      <c r="J83" s="199"/>
      <c r="K83" s="199"/>
      <c r="L83" s="199"/>
      <c r="M83" s="194"/>
      <c r="N83" s="403"/>
      <c r="O83" s="403"/>
      <c r="P83" s="421" t="s">
        <v>204</v>
      </c>
      <c r="Q83" s="422"/>
      <c r="R83" s="422"/>
      <c r="S83" s="422"/>
      <c r="T83" s="422"/>
      <c r="U83" s="421" t="s">
        <v>205</v>
      </c>
      <c r="V83" s="422"/>
      <c r="W83" s="422"/>
      <c r="X83" s="422"/>
      <c r="Y83" s="422"/>
      <c r="Z83" s="421" t="s">
        <v>206</v>
      </c>
      <c r="AA83" s="422"/>
      <c r="AB83" s="422"/>
      <c r="AC83" s="422"/>
      <c r="AD83" s="422"/>
      <c r="AE83" s="421" t="s">
        <v>207</v>
      </c>
      <c r="AF83" s="422"/>
      <c r="AG83" s="422"/>
      <c r="AH83" s="422"/>
      <c r="AI83" s="422"/>
      <c r="AJ83" s="421" t="s">
        <v>208</v>
      </c>
      <c r="AK83" s="422"/>
      <c r="AL83" s="422"/>
      <c r="AM83" s="422"/>
      <c r="AN83" s="422"/>
      <c r="AO83" s="421" t="s">
        <v>157</v>
      </c>
      <c r="AP83" s="422"/>
      <c r="AQ83" s="422"/>
      <c r="AR83" s="422"/>
      <c r="AS83" s="422"/>
      <c r="AT83" s="421" t="s">
        <v>209</v>
      </c>
      <c r="AU83" s="422"/>
      <c r="AV83" s="422"/>
      <c r="AW83" s="422"/>
      <c r="AX83" s="422"/>
    </row>
    <row r="84" spans="2:50">
      <c r="B84" s="423" t="s">
        <v>210</v>
      </c>
      <c r="C84" s="423" t="s">
        <v>211</v>
      </c>
      <c r="D84" s="423"/>
      <c r="E84" s="423" t="s">
        <v>212</v>
      </c>
      <c r="F84" s="423"/>
      <c r="G84" s="423"/>
      <c r="H84" s="404" t="s">
        <v>213</v>
      </c>
      <c r="I84" s="423" t="s">
        <v>214</v>
      </c>
      <c r="J84" s="423"/>
      <c r="K84" s="423"/>
      <c r="L84" s="404" t="s">
        <v>213</v>
      </c>
      <c r="M84" s="401" t="s">
        <v>215</v>
      </c>
      <c r="N84" s="423"/>
      <c r="O84" s="423" t="s">
        <v>216</v>
      </c>
      <c r="P84" s="413" t="s">
        <v>217</v>
      </c>
      <c r="Q84" s="414"/>
      <c r="R84" s="414"/>
      <c r="S84" s="415"/>
      <c r="T84" s="423" t="s">
        <v>213</v>
      </c>
      <c r="U84" s="413" t="s">
        <v>217</v>
      </c>
      <c r="V84" s="414"/>
      <c r="W84" s="414"/>
      <c r="X84" s="415"/>
      <c r="Y84" s="423" t="s">
        <v>213</v>
      </c>
      <c r="Z84" s="413" t="s">
        <v>217</v>
      </c>
      <c r="AA84" s="414"/>
      <c r="AB84" s="414"/>
      <c r="AC84" s="415"/>
      <c r="AD84" s="423" t="s">
        <v>213</v>
      </c>
      <c r="AE84" s="413" t="s">
        <v>217</v>
      </c>
      <c r="AF84" s="414"/>
      <c r="AG84" s="414"/>
      <c r="AH84" s="415"/>
      <c r="AI84" s="423" t="s">
        <v>213</v>
      </c>
      <c r="AJ84" s="413" t="s">
        <v>217</v>
      </c>
      <c r="AK84" s="414"/>
      <c r="AL84" s="414"/>
      <c r="AM84" s="415"/>
      <c r="AN84" s="423" t="s">
        <v>213</v>
      </c>
      <c r="AO84" s="413" t="s">
        <v>217</v>
      </c>
      <c r="AP84" s="414"/>
      <c r="AQ84" s="414"/>
      <c r="AR84" s="415"/>
      <c r="AS84" s="423" t="s">
        <v>213</v>
      </c>
      <c r="AT84" s="413" t="s">
        <v>217</v>
      </c>
      <c r="AU84" s="414"/>
      <c r="AV84" s="414"/>
      <c r="AW84" s="415"/>
      <c r="AX84" s="423" t="s">
        <v>213</v>
      </c>
    </row>
    <row r="85" spans="2:50">
      <c r="B85" s="423"/>
      <c r="C85" s="423"/>
      <c r="D85" s="423"/>
      <c r="E85" s="423" t="s">
        <v>218</v>
      </c>
      <c r="F85" s="423"/>
      <c r="G85" s="423"/>
      <c r="H85" s="406"/>
      <c r="I85" s="423" t="s">
        <v>218</v>
      </c>
      <c r="J85" s="423"/>
      <c r="K85" s="423"/>
      <c r="L85" s="406"/>
      <c r="M85" s="402"/>
      <c r="N85" s="423"/>
      <c r="O85" s="423"/>
      <c r="P85" s="413" t="s">
        <v>219</v>
      </c>
      <c r="Q85" s="414"/>
      <c r="R85" s="414"/>
      <c r="S85" s="415"/>
      <c r="T85" s="423"/>
      <c r="U85" s="413" t="s">
        <v>219</v>
      </c>
      <c r="V85" s="414"/>
      <c r="W85" s="414"/>
      <c r="X85" s="415"/>
      <c r="Y85" s="423"/>
      <c r="Z85" s="413" t="s">
        <v>219</v>
      </c>
      <c r="AA85" s="414"/>
      <c r="AB85" s="414"/>
      <c r="AC85" s="415"/>
      <c r="AD85" s="423"/>
      <c r="AE85" s="413" t="s">
        <v>219</v>
      </c>
      <c r="AF85" s="414"/>
      <c r="AG85" s="414"/>
      <c r="AH85" s="415"/>
      <c r="AI85" s="423"/>
      <c r="AJ85" s="413" t="s">
        <v>219</v>
      </c>
      <c r="AK85" s="414"/>
      <c r="AL85" s="414"/>
      <c r="AM85" s="415"/>
      <c r="AN85" s="423"/>
      <c r="AO85" s="413" t="s">
        <v>219</v>
      </c>
      <c r="AP85" s="414"/>
      <c r="AQ85" s="414"/>
      <c r="AR85" s="415"/>
      <c r="AS85" s="423"/>
      <c r="AT85" s="413" t="s">
        <v>219</v>
      </c>
      <c r="AU85" s="414"/>
      <c r="AV85" s="414"/>
      <c r="AW85" s="415"/>
      <c r="AX85" s="423"/>
    </row>
    <row r="86" spans="2:50">
      <c r="B86" s="423"/>
      <c r="C86" s="423"/>
      <c r="D86" s="423"/>
      <c r="E86" s="297" t="s">
        <v>220</v>
      </c>
      <c r="F86" s="297" t="s">
        <v>221</v>
      </c>
      <c r="G86" s="297" t="s">
        <v>222</v>
      </c>
      <c r="H86" s="408"/>
      <c r="I86" s="297" t="s">
        <v>220</v>
      </c>
      <c r="J86" s="297" t="s">
        <v>221</v>
      </c>
      <c r="K86" s="297" t="s">
        <v>222</v>
      </c>
      <c r="L86" s="408"/>
      <c r="M86" s="403"/>
      <c r="N86" s="423"/>
      <c r="O86" s="423"/>
      <c r="P86" s="297" t="s">
        <v>220</v>
      </c>
      <c r="Q86" s="297" t="s">
        <v>221</v>
      </c>
      <c r="R86" s="297" t="s">
        <v>222</v>
      </c>
      <c r="S86" s="297" t="s">
        <v>215</v>
      </c>
      <c r="T86" s="423"/>
      <c r="U86" s="297" t="s">
        <v>220</v>
      </c>
      <c r="V86" s="297" t="s">
        <v>221</v>
      </c>
      <c r="W86" s="297" t="s">
        <v>222</v>
      </c>
      <c r="X86" s="297" t="s">
        <v>215</v>
      </c>
      <c r="Y86" s="423"/>
      <c r="Z86" s="297" t="s">
        <v>220</v>
      </c>
      <c r="AA86" s="297" t="s">
        <v>221</v>
      </c>
      <c r="AB86" s="297" t="s">
        <v>222</v>
      </c>
      <c r="AC86" s="297" t="s">
        <v>215</v>
      </c>
      <c r="AD86" s="423"/>
      <c r="AE86" s="297" t="s">
        <v>220</v>
      </c>
      <c r="AF86" s="297" t="s">
        <v>221</v>
      </c>
      <c r="AG86" s="297" t="s">
        <v>222</v>
      </c>
      <c r="AH86" s="297" t="s">
        <v>215</v>
      </c>
      <c r="AI86" s="423"/>
      <c r="AJ86" s="297" t="s">
        <v>220</v>
      </c>
      <c r="AK86" s="297" t="s">
        <v>221</v>
      </c>
      <c r="AL86" s="297" t="s">
        <v>222</v>
      </c>
      <c r="AM86" s="297" t="s">
        <v>215</v>
      </c>
      <c r="AN86" s="423"/>
      <c r="AO86" s="297" t="s">
        <v>220</v>
      </c>
      <c r="AP86" s="297" t="s">
        <v>221</v>
      </c>
      <c r="AQ86" s="297" t="s">
        <v>222</v>
      </c>
      <c r="AR86" s="297" t="s">
        <v>215</v>
      </c>
      <c r="AS86" s="423"/>
      <c r="AT86" s="297" t="s">
        <v>220</v>
      </c>
      <c r="AU86" s="297" t="s">
        <v>221</v>
      </c>
      <c r="AV86" s="297" t="s">
        <v>222</v>
      </c>
      <c r="AW86" s="297" t="s">
        <v>215</v>
      </c>
      <c r="AX86" s="423"/>
    </row>
    <row r="87" spans="2:50">
      <c r="B87" s="431" t="s">
        <v>256</v>
      </c>
      <c r="C87" s="197">
        <v>1</v>
      </c>
      <c r="D87" s="225"/>
      <c r="E87" s="169"/>
      <c r="F87" s="197"/>
      <c r="G87" s="195"/>
      <c r="H87" s="428" t="e">
        <f>AVERAGE(G87:G101)</f>
        <v>#DIV/0!</v>
      </c>
      <c r="I87" s="169" t="e">
        <f>AVERAGE(P87,U87,Z87,AE87,AJ87,AO87,AT87)</f>
        <v>#DIV/0!</v>
      </c>
      <c r="J87" s="169" t="e">
        <f>AVERAGE(Q87,V87,AA87,AF87,AK87,AP87,AU87)</f>
        <v>#DIV/0!</v>
      </c>
      <c r="K87" s="195" t="e">
        <f>AVERAGE(R87,W87,AB87,AG87,AL87,AQ87,AV87)</f>
        <v>#DIV/0!</v>
      </c>
      <c r="L87" s="428" t="str">
        <f>IFERROR(AVERAGE(K87:K101),"-")</f>
        <v>-</v>
      </c>
      <c r="M87" s="196" t="e">
        <f>RANK(K87, K$87:$K$101)</f>
        <v>#DIV/0!</v>
      </c>
      <c r="N87" s="423"/>
      <c r="O87" s="423"/>
      <c r="P87" s="169"/>
      <c r="Q87" s="169"/>
      <c r="R87" s="169"/>
      <c r="S87" s="197" t="e">
        <f>RANK(R87, R$87:R$101)</f>
        <v>#N/A</v>
      </c>
      <c r="T87" s="432" t="e">
        <f>AVERAGE(R87:R101)</f>
        <v>#DIV/0!</v>
      </c>
      <c r="U87" s="169"/>
      <c r="V87" s="169"/>
      <c r="W87" s="169"/>
      <c r="X87" s="197" t="e">
        <f>RANK(W87, W$87:W$101)</f>
        <v>#N/A</v>
      </c>
      <c r="Y87" s="432" t="e">
        <f>AVERAGE(W87:W101)</f>
        <v>#DIV/0!</v>
      </c>
      <c r="Z87" s="169"/>
      <c r="AA87" s="169"/>
      <c r="AB87" s="169"/>
      <c r="AC87" s="197" t="e">
        <f>RANK(AB87, AB$87:AB$101)</f>
        <v>#N/A</v>
      </c>
      <c r="AD87" s="432" t="e">
        <f>AVERAGE(AB87:AB101)</f>
        <v>#DIV/0!</v>
      </c>
      <c r="AE87" s="169"/>
      <c r="AF87" s="169"/>
      <c r="AG87" s="169"/>
      <c r="AH87" s="197" t="e">
        <f>RANK(AG87, AG$87:AG$101)</f>
        <v>#N/A</v>
      </c>
      <c r="AI87" s="432" t="e">
        <f>AVERAGE(AG87:AG101)</f>
        <v>#DIV/0!</v>
      </c>
      <c r="AJ87" s="169"/>
      <c r="AK87" s="169"/>
      <c r="AL87" s="169"/>
      <c r="AM87" s="197" t="e">
        <f>RANK(AL87, AL$87:AL$101)</f>
        <v>#N/A</v>
      </c>
      <c r="AN87" s="432" t="e">
        <f>AVERAGE(AL87:AL101)</f>
        <v>#DIV/0!</v>
      </c>
      <c r="AO87" s="169"/>
      <c r="AP87" s="169"/>
      <c r="AQ87" s="169"/>
      <c r="AR87" s="197" t="e">
        <f>RANK(AQ87, AQ$87:AQ$101)</f>
        <v>#N/A</v>
      </c>
      <c r="AS87" s="432" t="e">
        <f>AVERAGE(AQ87:AQ101)</f>
        <v>#DIV/0!</v>
      </c>
      <c r="AT87" s="169"/>
      <c r="AU87" s="169"/>
      <c r="AV87" s="169"/>
      <c r="AW87" s="197" t="e">
        <f>RANK(AV87, AV$87:AV$101)</f>
        <v>#N/A</v>
      </c>
      <c r="AX87" s="432" t="e">
        <f>AVERAGE(AV87:AV101)</f>
        <v>#DIV/0!</v>
      </c>
    </row>
    <row r="88" spans="2:50">
      <c r="B88" s="422"/>
      <c r="C88" s="197">
        <v>2</v>
      </c>
      <c r="D88" s="225"/>
      <c r="E88" s="169"/>
      <c r="F88" s="197"/>
      <c r="G88" s="195"/>
      <c r="H88" s="429"/>
      <c r="I88" s="169" t="e">
        <f t="shared" ref="I88:K96" si="50">AVERAGE(P88,U88,Z88,AE88,AJ88,AO88,AT88)</f>
        <v>#DIV/0!</v>
      </c>
      <c r="J88" s="169" t="e">
        <f t="shared" si="50"/>
        <v>#DIV/0!</v>
      </c>
      <c r="K88" s="195" t="e">
        <f t="shared" si="50"/>
        <v>#DIV/0!</v>
      </c>
      <c r="L88" s="429"/>
      <c r="M88" s="196" t="e">
        <f>RANK(K88, K$87:$K$101)</f>
        <v>#DIV/0!</v>
      </c>
      <c r="N88" s="423"/>
      <c r="O88" s="423"/>
      <c r="P88" s="169"/>
      <c r="Q88" s="169"/>
      <c r="R88" s="169"/>
      <c r="S88" s="197" t="e">
        <f t="shared" ref="S88:S101" si="51">RANK(R88, R$87:R$101)</f>
        <v>#N/A</v>
      </c>
      <c r="T88" s="432"/>
      <c r="U88" s="169"/>
      <c r="V88" s="169"/>
      <c r="W88" s="169"/>
      <c r="X88" s="197" t="e">
        <f t="shared" ref="X88:X101" si="52">RANK(W88, W$87:W$101)</f>
        <v>#N/A</v>
      </c>
      <c r="Y88" s="432"/>
      <c r="Z88" s="169"/>
      <c r="AA88" s="169"/>
      <c r="AB88" s="169"/>
      <c r="AC88" s="197" t="e">
        <f t="shared" ref="AC88:AC101" si="53">RANK(AB88, AB$87:AB$101)</f>
        <v>#N/A</v>
      </c>
      <c r="AD88" s="432"/>
      <c r="AE88" s="169"/>
      <c r="AF88" s="169"/>
      <c r="AG88" s="169"/>
      <c r="AH88" s="197" t="e">
        <f t="shared" ref="AH88:AH101" si="54">RANK(AG88, AG$87:AG$101)</f>
        <v>#N/A</v>
      </c>
      <c r="AI88" s="432"/>
      <c r="AJ88" s="169"/>
      <c r="AK88" s="169"/>
      <c r="AL88" s="169"/>
      <c r="AM88" s="197" t="e">
        <f t="shared" ref="AM88:AM101" si="55">RANK(AL88, AL$87:AL$101)</f>
        <v>#N/A</v>
      </c>
      <c r="AN88" s="432"/>
      <c r="AO88" s="169"/>
      <c r="AP88" s="169"/>
      <c r="AQ88" s="169"/>
      <c r="AR88" s="197" t="e">
        <f t="shared" ref="AR88:AR101" si="56">RANK(AQ88, AQ$87:AQ$101)</f>
        <v>#N/A</v>
      </c>
      <c r="AS88" s="432"/>
      <c r="AT88" s="169"/>
      <c r="AU88" s="169"/>
      <c r="AV88" s="169"/>
      <c r="AW88" s="197" t="e">
        <f t="shared" ref="AW88:AW101" si="57">RANK(AV88, AV$87:AV$101)</f>
        <v>#N/A</v>
      </c>
      <c r="AX88" s="432"/>
    </row>
    <row r="89" spans="2:50">
      <c r="B89" s="422"/>
      <c r="C89" s="197">
        <v>3</v>
      </c>
      <c r="D89" s="225"/>
      <c r="E89" s="169"/>
      <c r="F89" s="197"/>
      <c r="G89" s="195"/>
      <c r="H89" s="429"/>
      <c r="I89" s="169" t="e">
        <f t="shared" si="50"/>
        <v>#DIV/0!</v>
      </c>
      <c r="J89" s="169" t="e">
        <f t="shared" si="50"/>
        <v>#DIV/0!</v>
      </c>
      <c r="K89" s="195" t="e">
        <f t="shared" si="50"/>
        <v>#DIV/0!</v>
      </c>
      <c r="L89" s="429"/>
      <c r="M89" s="196" t="e">
        <f>RANK(K89, K$87:$K$101)</f>
        <v>#DIV/0!</v>
      </c>
      <c r="N89" s="423"/>
      <c r="O89" s="423"/>
      <c r="P89" s="169"/>
      <c r="Q89" s="169"/>
      <c r="R89" s="169"/>
      <c r="S89" s="197" t="e">
        <f t="shared" si="51"/>
        <v>#N/A</v>
      </c>
      <c r="T89" s="432"/>
      <c r="U89" s="169"/>
      <c r="V89" s="169"/>
      <c r="W89" s="169"/>
      <c r="X89" s="197" t="e">
        <f t="shared" si="52"/>
        <v>#N/A</v>
      </c>
      <c r="Y89" s="432"/>
      <c r="Z89" s="169"/>
      <c r="AA89" s="169"/>
      <c r="AB89" s="169"/>
      <c r="AC89" s="197" t="e">
        <f t="shared" si="53"/>
        <v>#N/A</v>
      </c>
      <c r="AD89" s="432"/>
      <c r="AE89" s="169"/>
      <c r="AF89" s="169"/>
      <c r="AG89" s="169"/>
      <c r="AH89" s="197" t="e">
        <f t="shared" si="54"/>
        <v>#N/A</v>
      </c>
      <c r="AI89" s="432"/>
      <c r="AJ89" s="169"/>
      <c r="AK89" s="169"/>
      <c r="AL89" s="169"/>
      <c r="AM89" s="197" t="e">
        <f t="shared" si="55"/>
        <v>#N/A</v>
      </c>
      <c r="AN89" s="432"/>
      <c r="AO89" s="169"/>
      <c r="AP89" s="169"/>
      <c r="AQ89" s="169"/>
      <c r="AR89" s="197" t="e">
        <f t="shared" si="56"/>
        <v>#N/A</v>
      </c>
      <c r="AS89" s="432"/>
      <c r="AT89" s="169"/>
      <c r="AU89" s="169"/>
      <c r="AV89" s="169"/>
      <c r="AW89" s="197" t="e">
        <f t="shared" si="57"/>
        <v>#N/A</v>
      </c>
      <c r="AX89" s="432"/>
    </row>
    <row r="90" spans="2:50">
      <c r="B90" s="422"/>
      <c r="C90" s="197">
        <v>4</v>
      </c>
      <c r="D90" s="225"/>
      <c r="E90" s="169"/>
      <c r="F90" s="197"/>
      <c r="G90" s="195"/>
      <c r="H90" s="429"/>
      <c r="I90" s="169" t="e">
        <f t="shared" si="50"/>
        <v>#DIV/0!</v>
      </c>
      <c r="J90" s="169" t="e">
        <f t="shared" si="50"/>
        <v>#DIV/0!</v>
      </c>
      <c r="K90" s="195" t="e">
        <f t="shared" si="50"/>
        <v>#DIV/0!</v>
      </c>
      <c r="L90" s="429"/>
      <c r="M90" s="196" t="e">
        <f>RANK(K90, K$87:$K$101)</f>
        <v>#DIV/0!</v>
      </c>
      <c r="N90" s="423"/>
      <c r="O90" s="423"/>
      <c r="P90" s="169"/>
      <c r="Q90" s="169"/>
      <c r="R90" s="169"/>
      <c r="S90" s="197" t="e">
        <f t="shared" si="51"/>
        <v>#N/A</v>
      </c>
      <c r="T90" s="432"/>
      <c r="U90" s="169"/>
      <c r="V90" s="169"/>
      <c r="W90" s="169"/>
      <c r="X90" s="197" t="e">
        <f t="shared" si="52"/>
        <v>#N/A</v>
      </c>
      <c r="Y90" s="432"/>
      <c r="Z90" s="169"/>
      <c r="AA90" s="169"/>
      <c r="AB90" s="169"/>
      <c r="AC90" s="197" t="e">
        <f t="shared" si="53"/>
        <v>#N/A</v>
      </c>
      <c r="AD90" s="432"/>
      <c r="AE90" s="169"/>
      <c r="AF90" s="169"/>
      <c r="AG90" s="169"/>
      <c r="AH90" s="197" t="e">
        <f t="shared" si="54"/>
        <v>#N/A</v>
      </c>
      <c r="AI90" s="432"/>
      <c r="AJ90" s="169"/>
      <c r="AK90" s="169"/>
      <c r="AL90" s="169"/>
      <c r="AM90" s="197" t="e">
        <f t="shared" si="55"/>
        <v>#N/A</v>
      </c>
      <c r="AN90" s="432"/>
      <c r="AO90" s="169"/>
      <c r="AP90" s="169"/>
      <c r="AQ90" s="169"/>
      <c r="AR90" s="197" t="e">
        <f t="shared" si="56"/>
        <v>#N/A</v>
      </c>
      <c r="AS90" s="432"/>
      <c r="AT90" s="169"/>
      <c r="AU90" s="169"/>
      <c r="AV90" s="169"/>
      <c r="AW90" s="197" t="e">
        <f t="shared" si="57"/>
        <v>#N/A</v>
      </c>
      <c r="AX90" s="432"/>
    </row>
    <row r="91" spans="2:50">
      <c r="B91" s="422"/>
      <c r="C91" s="197">
        <v>5</v>
      </c>
      <c r="D91" s="225"/>
      <c r="E91" s="169"/>
      <c r="F91" s="197"/>
      <c r="G91" s="195"/>
      <c r="H91" s="429"/>
      <c r="I91" s="169" t="e">
        <f t="shared" si="50"/>
        <v>#DIV/0!</v>
      </c>
      <c r="J91" s="169" t="e">
        <f t="shared" si="50"/>
        <v>#DIV/0!</v>
      </c>
      <c r="K91" s="195" t="e">
        <f t="shared" si="50"/>
        <v>#DIV/0!</v>
      </c>
      <c r="L91" s="429"/>
      <c r="M91" s="196" t="e">
        <f>RANK(K91, K$87:$K$101)</f>
        <v>#DIV/0!</v>
      </c>
      <c r="N91" s="423"/>
      <c r="O91" s="423"/>
      <c r="P91" s="169"/>
      <c r="Q91" s="169"/>
      <c r="R91" s="169"/>
      <c r="S91" s="197" t="e">
        <f t="shared" si="51"/>
        <v>#N/A</v>
      </c>
      <c r="T91" s="432"/>
      <c r="U91" s="169"/>
      <c r="V91" s="169"/>
      <c r="W91" s="169"/>
      <c r="X91" s="197" t="e">
        <f t="shared" si="52"/>
        <v>#N/A</v>
      </c>
      <c r="Y91" s="432"/>
      <c r="Z91" s="169"/>
      <c r="AA91" s="169"/>
      <c r="AB91" s="169"/>
      <c r="AC91" s="197" t="e">
        <f t="shared" si="53"/>
        <v>#N/A</v>
      </c>
      <c r="AD91" s="432"/>
      <c r="AE91" s="169"/>
      <c r="AF91" s="169"/>
      <c r="AG91" s="169"/>
      <c r="AH91" s="197" t="e">
        <f t="shared" si="54"/>
        <v>#N/A</v>
      </c>
      <c r="AI91" s="432"/>
      <c r="AJ91" s="169"/>
      <c r="AK91" s="169"/>
      <c r="AL91" s="169"/>
      <c r="AM91" s="197" t="e">
        <f t="shared" si="55"/>
        <v>#N/A</v>
      </c>
      <c r="AN91" s="432"/>
      <c r="AO91" s="169"/>
      <c r="AP91" s="169"/>
      <c r="AQ91" s="169"/>
      <c r="AR91" s="197" t="e">
        <f t="shared" si="56"/>
        <v>#N/A</v>
      </c>
      <c r="AS91" s="432"/>
      <c r="AT91" s="169"/>
      <c r="AU91" s="169"/>
      <c r="AV91" s="169"/>
      <c r="AW91" s="197" t="e">
        <f t="shared" si="57"/>
        <v>#N/A</v>
      </c>
      <c r="AX91" s="432"/>
    </row>
    <row r="92" spans="2:50">
      <c r="B92" s="422"/>
      <c r="C92" s="197">
        <v>6</v>
      </c>
      <c r="D92" s="225"/>
      <c r="E92" s="169"/>
      <c r="F92" s="197"/>
      <c r="G92" s="195"/>
      <c r="H92" s="429"/>
      <c r="I92" s="169" t="e">
        <f t="shared" si="50"/>
        <v>#DIV/0!</v>
      </c>
      <c r="J92" s="169" t="e">
        <f t="shared" si="50"/>
        <v>#DIV/0!</v>
      </c>
      <c r="K92" s="195" t="e">
        <f t="shared" si="50"/>
        <v>#DIV/0!</v>
      </c>
      <c r="L92" s="429"/>
      <c r="M92" s="196" t="e">
        <f>RANK(K92, K$87:$K$101)</f>
        <v>#DIV/0!</v>
      </c>
      <c r="N92" s="423"/>
      <c r="O92" s="423"/>
      <c r="P92" s="169"/>
      <c r="Q92" s="169"/>
      <c r="R92" s="169"/>
      <c r="S92" s="197" t="e">
        <f t="shared" si="51"/>
        <v>#N/A</v>
      </c>
      <c r="T92" s="432"/>
      <c r="U92" s="169"/>
      <c r="V92" s="169"/>
      <c r="W92" s="169"/>
      <c r="X92" s="197" t="e">
        <f t="shared" si="52"/>
        <v>#N/A</v>
      </c>
      <c r="Y92" s="432"/>
      <c r="Z92" s="169"/>
      <c r="AA92" s="169"/>
      <c r="AB92" s="169"/>
      <c r="AC92" s="197" t="e">
        <f t="shared" si="53"/>
        <v>#N/A</v>
      </c>
      <c r="AD92" s="432"/>
      <c r="AE92" s="169"/>
      <c r="AF92" s="169"/>
      <c r="AG92" s="169"/>
      <c r="AH92" s="197" t="e">
        <f t="shared" si="54"/>
        <v>#N/A</v>
      </c>
      <c r="AI92" s="432"/>
      <c r="AJ92" s="169"/>
      <c r="AK92" s="169"/>
      <c r="AL92" s="169"/>
      <c r="AM92" s="197" t="e">
        <f t="shared" si="55"/>
        <v>#N/A</v>
      </c>
      <c r="AN92" s="432"/>
      <c r="AO92" s="169"/>
      <c r="AP92" s="169"/>
      <c r="AQ92" s="169"/>
      <c r="AR92" s="197" t="e">
        <f t="shared" si="56"/>
        <v>#N/A</v>
      </c>
      <c r="AS92" s="432"/>
      <c r="AT92" s="169"/>
      <c r="AU92" s="169"/>
      <c r="AV92" s="169"/>
      <c r="AW92" s="197" t="e">
        <f t="shared" si="57"/>
        <v>#N/A</v>
      </c>
      <c r="AX92" s="432"/>
    </row>
    <row r="93" spans="2:50">
      <c r="B93" s="422"/>
      <c r="C93" s="197">
        <v>7</v>
      </c>
      <c r="D93" s="225"/>
      <c r="E93" s="169"/>
      <c r="F93" s="197"/>
      <c r="G93" s="195"/>
      <c r="H93" s="429"/>
      <c r="I93" s="169" t="e">
        <f t="shared" si="50"/>
        <v>#DIV/0!</v>
      </c>
      <c r="J93" s="169" t="e">
        <f t="shared" si="50"/>
        <v>#DIV/0!</v>
      </c>
      <c r="K93" s="195" t="e">
        <f t="shared" si="50"/>
        <v>#DIV/0!</v>
      </c>
      <c r="L93" s="429"/>
      <c r="M93" s="196" t="e">
        <f>RANK(K93, K$87:$K$101)</f>
        <v>#DIV/0!</v>
      </c>
      <c r="N93" s="423"/>
      <c r="O93" s="423"/>
      <c r="P93" s="169"/>
      <c r="Q93" s="169"/>
      <c r="R93" s="169"/>
      <c r="S93" s="197" t="e">
        <f t="shared" si="51"/>
        <v>#N/A</v>
      </c>
      <c r="T93" s="432"/>
      <c r="U93" s="169"/>
      <c r="V93" s="169"/>
      <c r="W93" s="169"/>
      <c r="X93" s="197" t="e">
        <f t="shared" si="52"/>
        <v>#N/A</v>
      </c>
      <c r="Y93" s="432"/>
      <c r="Z93" s="169"/>
      <c r="AA93" s="169"/>
      <c r="AB93" s="169"/>
      <c r="AC93" s="197" t="e">
        <f t="shared" si="53"/>
        <v>#N/A</v>
      </c>
      <c r="AD93" s="432"/>
      <c r="AE93" s="169"/>
      <c r="AF93" s="169"/>
      <c r="AG93" s="169"/>
      <c r="AH93" s="197" t="e">
        <f t="shared" si="54"/>
        <v>#N/A</v>
      </c>
      <c r="AI93" s="432"/>
      <c r="AJ93" s="169"/>
      <c r="AK93" s="169"/>
      <c r="AL93" s="169"/>
      <c r="AM93" s="197" t="e">
        <f t="shared" si="55"/>
        <v>#N/A</v>
      </c>
      <c r="AN93" s="432"/>
      <c r="AO93" s="169"/>
      <c r="AP93" s="169"/>
      <c r="AQ93" s="169"/>
      <c r="AR93" s="197" t="e">
        <f t="shared" si="56"/>
        <v>#N/A</v>
      </c>
      <c r="AS93" s="432"/>
      <c r="AT93" s="169"/>
      <c r="AU93" s="169"/>
      <c r="AV93" s="169"/>
      <c r="AW93" s="197" t="e">
        <f t="shared" si="57"/>
        <v>#N/A</v>
      </c>
      <c r="AX93" s="432"/>
    </row>
    <row r="94" spans="2:50">
      <c r="B94" s="422"/>
      <c r="C94" s="197">
        <v>8</v>
      </c>
      <c r="D94" s="225"/>
      <c r="E94" s="169"/>
      <c r="F94" s="197"/>
      <c r="G94" s="195"/>
      <c r="H94" s="429"/>
      <c r="I94" s="169" t="e">
        <f t="shared" si="50"/>
        <v>#DIV/0!</v>
      </c>
      <c r="J94" s="169" t="e">
        <f t="shared" si="50"/>
        <v>#DIV/0!</v>
      </c>
      <c r="K94" s="195" t="e">
        <f t="shared" si="50"/>
        <v>#DIV/0!</v>
      </c>
      <c r="L94" s="429"/>
      <c r="M94" s="196" t="e">
        <f>RANK(K94, K$87:$K$101)</f>
        <v>#DIV/0!</v>
      </c>
      <c r="N94" s="423"/>
      <c r="O94" s="423"/>
      <c r="P94" s="169"/>
      <c r="Q94" s="169"/>
      <c r="R94" s="169"/>
      <c r="S94" s="197" t="e">
        <f t="shared" si="51"/>
        <v>#N/A</v>
      </c>
      <c r="T94" s="432"/>
      <c r="U94" s="169"/>
      <c r="V94" s="169"/>
      <c r="W94" s="169"/>
      <c r="X94" s="197" t="e">
        <f t="shared" si="52"/>
        <v>#N/A</v>
      </c>
      <c r="Y94" s="432"/>
      <c r="Z94" s="169"/>
      <c r="AA94" s="169"/>
      <c r="AB94" s="169"/>
      <c r="AC94" s="197" t="e">
        <f t="shared" si="53"/>
        <v>#N/A</v>
      </c>
      <c r="AD94" s="432"/>
      <c r="AE94" s="169"/>
      <c r="AF94" s="169"/>
      <c r="AG94" s="169"/>
      <c r="AH94" s="197" t="e">
        <f t="shared" si="54"/>
        <v>#N/A</v>
      </c>
      <c r="AI94" s="432"/>
      <c r="AJ94" s="169"/>
      <c r="AK94" s="169"/>
      <c r="AL94" s="169"/>
      <c r="AM94" s="197" t="e">
        <f t="shared" si="55"/>
        <v>#N/A</v>
      </c>
      <c r="AN94" s="432"/>
      <c r="AO94" s="169"/>
      <c r="AP94" s="169"/>
      <c r="AQ94" s="169"/>
      <c r="AR94" s="197" t="e">
        <f t="shared" si="56"/>
        <v>#N/A</v>
      </c>
      <c r="AS94" s="432"/>
      <c r="AT94" s="169"/>
      <c r="AU94" s="169"/>
      <c r="AV94" s="169"/>
      <c r="AW94" s="197" t="e">
        <f t="shared" si="57"/>
        <v>#N/A</v>
      </c>
      <c r="AX94" s="432"/>
    </row>
    <row r="95" spans="2:50">
      <c r="B95" s="422"/>
      <c r="C95" s="197">
        <v>9</v>
      </c>
      <c r="D95" s="225"/>
      <c r="E95" s="169"/>
      <c r="F95" s="197"/>
      <c r="G95" s="195"/>
      <c r="H95" s="429"/>
      <c r="I95" s="169" t="e">
        <f t="shared" si="50"/>
        <v>#DIV/0!</v>
      </c>
      <c r="J95" s="169" t="e">
        <f t="shared" si="50"/>
        <v>#DIV/0!</v>
      </c>
      <c r="K95" s="195" t="e">
        <f t="shared" si="50"/>
        <v>#DIV/0!</v>
      </c>
      <c r="L95" s="429"/>
      <c r="M95" s="196" t="e">
        <f>RANK(K95, K$87:$K$101)</f>
        <v>#DIV/0!</v>
      </c>
      <c r="N95" s="423"/>
      <c r="O95" s="423"/>
      <c r="P95" s="169"/>
      <c r="Q95" s="169"/>
      <c r="R95" s="169"/>
      <c r="S95" s="197" t="e">
        <f t="shared" si="51"/>
        <v>#N/A</v>
      </c>
      <c r="T95" s="432"/>
      <c r="U95" s="169"/>
      <c r="V95" s="169"/>
      <c r="W95" s="169"/>
      <c r="X95" s="197" t="e">
        <f t="shared" si="52"/>
        <v>#N/A</v>
      </c>
      <c r="Y95" s="432"/>
      <c r="Z95" s="169"/>
      <c r="AA95" s="169"/>
      <c r="AB95" s="169"/>
      <c r="AC95" s="197" t="e">
        <f t="shared" si="53"/>
        <v>#N/A</v>
      </c>
      <c r="AD95" s="432"/>
      <c r="AE95" s="169"/>
      <c r="AF95" s="169"/>
      <c r="AG95" s="169"/>
      <c r="AH95" s="197" t="e">
        <f t="shared" si="54"/>
        <v>#N/A</v>
      </c>
      <c r="AI95" s="432"/>
      <c r="AJ95" s="169"/>
      <c r="AK95" s="169"/>
      <c r="AL95" s="169"/>
      <c r="AM95" s="197" t="e">
        <f t="shared" si="55"/>
        <v>#N/A</v>
      </c>
      <c r="AN95" s="432"/>
      <c r="AO95" s="169"/>
      <c r="AP95" s="169"/>
      <c r="AQ95" s="169"/>
      <c r="AR95" s="197" t="e">
        <f t="shared" si="56"/>
        <v>#N/A</v>
      </c>
      <c r="AS95" s="432"/>
      <c r="AT95" s="169"/>
      <c r="AU95" s="169"/>
      <c r="AV95" s="169"/>
      <c r="AW95" s="197" t="e">
        <f t="shared" si="57"/>
        <v>#N/A</v>
      </c>
      <c r="AX95" s="432"/>
    </row>
    <row r="96" spans="2:50">
      <c r="B96" s="422"/>
      <c r="C96" s="197">
        <v>10</v>
      </c>
      <c r="D96" s="225"/>
      <c r="E96" s="169"/>
      <c r="F96" s="197"/>
      <c r="G96" s="195"/>
      <c r="H96" s="429"/>
      <c r="I96" s="169" t="e">
        <f t="shared" si="50"/>
        <v>#DIV/0!</v>
      </c>
      <c r="J96" s="169" t="e">
        <f t="shared" si="50"/>
        <v>#DIV/0!</v>
      </c>
      <c r="K96" s="195" t="e">
        <f t="shared" si="50"/>
        <v>#DIV/0!</v>
      </c>
      <c r="L96" s="429"/>
      <c r="M96" s="196" t="e">
        <f>RANK(K96, K$87:$K$101)</f>
        <v>#DIV/0!</v>
      </c>
      <c r="N96" s="423"/>
      <c r="O96" s="423"/>
      <c r="P96" s="169"/>
      <c r="Q96" s="169"/>
      <c r="R96" s="169"/>
      <c r="S96" s="197" t="e">
        <f t="shared" si="51"/>
        <v>#N/A</v>
      </c>
      <c r="T96" s="432"/>
      <c r="U96" s="169"/>
      <c r="V96" s="169"/>
      <c r="W96" s="169"/>
      <c r="X96" s="197" t="e">
        <f t="shared" si="52"/>
        <v>#N/A</v>
      </c>
      <c r="Y96" s="432"/>
      <c r="Z96" s="169"/>
      <c r="AA96" s="169"/>
      <c r="AB96" s="169"/>
      <c r="AC96" s="197" t="e">
        <f t="shared" si="53"/>
        <v>#N/A</v>
      </c>
      <c r="AD96" s="432"/>
      <c r="AE96" s="169"/>
      <c r="AF96" s="169"/>
      <c r="AG96" s="169"/>
      <c r="AH96" s="197" t="e">
        <f t="shared" si="54"/>
        <v>#N/A</v>
      </c>
      <c r="AI96" s="432"/>
      <c r="AJ96" s="169"/>
      <c r="AK96" s="169"/>
      <c r="AL96" s="169"/>
      <c r="AM96" s="197" t="e">
        <f t="shared" si="55"/>
        <v>#N/A</v>
      </c>
      <c r="AN96" s="432"/>
      <c r="AO96" s="169"/>
      <c r="AP96" s="169"/>
      <c r="AQ96" s="169"/>
      <c r="AR96" s="197" t="e">
        <f t="shared" si="56"/>
        <v>#N/A</v>
      </c>
      <c r="AS96" s="432"/>
      <c r="AT96" s="169"/>
      <c r="AU96" s="169"/>
      <c r="AV96" s="169"/>
      <c r="AW96" s="197" t="e">
        <f t="shared" si="57"/>
        <v>#N/A</v>
      </c>
      <c r="AX96" s="432"/>
    </row>
    <row r="97" spans="2:50">
      <c r="B97" s="422"/>
      <c r="C97" s="197">
        <v>11</v>
      </c>
      <c r="D97" s="225"/>
      <c r="E97" s="169"/>
      <c r="F97" s="197"/>
      <c r="G97" s="195"/>
      <c r="H97" s="429"/>
      <c r="I97" s="197"/>
      <c r="J97" s="197"/>
      <c r="K97" s="197"/>
      <c r="L97" s="429"/>
      <c r="M97" s="196" t="e">
        <f>RANK(K97, K$87:$K$101)</f>
        <v>#DIV/0!</v>
      </c>
      <c r="N97" s="423"/>
      <c r="O97" s="423"/>
      <c r="P97" s="169"/>
      <c r="Q97" s="169"/>
      <c r="R97" s="169"/>
      <c r="S97" s="197" t="e">
        <f t="shared" si="51"/>
        <v>#N/A</v>
      </c>
      <c r="T97" s="432"/>
      <c r="U97" s="169"/>
      <c r="V97" s="169"/>
      <c r="W97" s="169"/>
      <c r="X97" s="197" t="e">
        <f t="shared" si="52"/>
        <v>#N/A</v>
      </c>
      <c r="Y97" s="432"/>
      <c r="Z97" s="169"/>
      <c r="AA97" s="169"/>
      <c r="AB97" s="169"/>
      <c r="AC97" s="197" t="e">
        <f t="shared" si="53"/>
        <v>#N/A</v>
      </c>
      <c r="AD97" s="432"/>
      <c r="AE97" s="169"/>
      <c r="AF97" s="169"/>
      <c r="AG97" s="169"/>
      <c r="AH97" s="197" t="e">
        <f t="shared" si="54"/>
        <v>#N/A</v>
      </c>
      <c r="AI97" s="432"/>
      <c r="AJ97" s="169"/>
      <c r="AK97" s="169"/>
      <c r="AL97" s="169"/>
      <c r="AM97" s="197" t="e">
        <f t="shared" si="55"/>
        <v>#N/A</v>
      </c>
      <c r="AN97" s="432"/>
      <c r="AO97" s="169"/>
      <c r="AP97" s="169"/>
      <c r="AQ97" s="169"/>
      <c r="AR97" s="197" t="e">
        <f t="shared" si="56"/>
        <v>#N/A</v>
      </c>
      <c r="AS97" s="432"/>
      <c r="AT97" s="169"/>
      <c r="AU97" s="169"/>
      <c r="AV97" s="195"/>
      <c r="AW97" s="197" t="e">
        <f t="shared" si="57"/>
        <v>#N/A</v>
      </c>
      <c r="AX97" s="432"/>
    </row>
    <row r="98" spans="2:50">
      <c r="B98" s="422"/>
      <c r="C98" s="197">
        <v>12</v>
      </c>
      <c r="D98" s="225"/>
      <c r="E98" s="169"/>
      <c r="F98" s="197"/>
      <c r="G98" s="195"/>
      <c r="H98" s="429"/>
      <c r="I98" s="197"/>
      <c r="J98" s="197"/>
      <c r="K98" s="197"/>
      <c r="L98" s="429"/>
      <c r="M98" s="196" t="e">
        <f>RANK(K98, K$87:$K$101)</f>
        <v>#DIV/0!</v>
      </c>
      <c r="N98" s="423"/>
      <c r="O98" s="423"/>
      <c r="P98" s="169"/>
      <c r="Q98" s="169"/>
      <c r="R98" s="169"/>
      <c r="S98" s="197" t="e">
        <f t="shared" si="51"/>
        <v>#N/A</v>
      </c>
      <c r="T98" s="432"/>
      <c r="U98" s="169"/>
      <c r="V98" s="169"/>
      <c r="W98" s="169"/>
      <c r="X98" s="197" t="e">
        <f t="shared" si="52"/>
        <v>#N/A</v>
      </c>
      <c r="Y98" s="432"/>
      <c r="Z98" s="169"/>
      <c r="AA98" s="169"/>
      <c r="AB98" s="169"/>
      <c r="AC98" s="197" t="e">
        <f t="shared" si="53"/>
        <v>#N/A</v>
      </c>
      <c r="AD98" s="432"/>
      <c r="AE98" s="169"/>
      <c r="AF98" s="169"/>
      <c r="AG98" s="169"/>
      <c r="AH98" s="197" t="e">
        <f t="shared" si="54"/>
        <v>#N/A</v>
      </c>
      <c r="AI98" s="432"/>
      <c r="AJ98" s="169"/>
      <c r="AK98" s="169"/>
      <c r="AL98" s="169"/>
      <c r="AM98" s="197" t="e">
        <f t="shared" si="55"/>
        <v>#N/A</v>
      </c>
      <c r="AN98" s="432"/>
      <c r="AO98" s="169"/>
      <c r="AP98" s="169"/>
      <c r="AQ98" s="169"/>
      <c r="AR98" s="197" t="e">
        <f t="shared" si="56"/>
        <v>#N/A</v>
      </c>
      <c r="AS98" s="432"/>
      <c r="AT98" s="169"/>
      <c r="AU98" s="169"/>
      <c r="AV98" s="195"/>
      <c r="AW98" s="197" t="e">
        <f t="shared" si="57"/>
        <v>#N/A</v>
      </c>
      <c r="AX98" s="432"/>
    </row>
    <row r="99" spans="2:50">
      <c r="B99" s="422"/>
      <c r="C99" s="197">
        <v>13</v>
      </c>
      <c r="D99" s="225"/>
      <c r="E99" s="169"/>
      <c r="F99" s="197"/>
      <c r="G99" s="195"/>
      <c r="H99" s="429"/>
      <c r="I99" s="197"/>
      <c r="J99" s="197"/>
      <c r="K99" s="197"/>
      <c r="L99" s="429"/>
      <c r="M99" s="196" t="e">
        <f>RANK(K99, K$87:$K$101)</f>
        <v>#DIV/0!</v>
      </c>
      <c r="N99" s="423"/>
      <c r="O99" s="423"/>
      <c r="P99" s="169"/>
      <c r="Q99" s="169"/>
      <c r="R99" s="169"/>
      <c r="S99" s="197" t="e">
        <f t="shared" si="51"/>
        <v>#N/A</v>
      </c>
      <c r="T99" s="432"/>
      <c r="U99" s="169"/>
      <c r="V99" s="169"/>
      <c r="W99" s="169"/>
      <c r="X99" s="197" t="e">
        <f t="shared" si="52"/>
        <v>#N/A</v>
      </c>
      <c r="Y99" s="432"/>
      <c r="Z99" s="169"/>
      <c r="AA99" s="169"/>
      <c r="AB99" s="169"/>
      <c r="AC99" s="197" t="e">
        <f t="shared" si="53"/>
        <v>#N/A</v>
      </c>
      <c r="AD99" s="432"/>
      <c r="AE99" s="169"/>
      <c r="AF99" s="169"/>
      <c r="AG99" s="169"/>
      <c r="AH99" s="197" t="e">
        <f t="shared" si="54"/>
        <v>#N/A</v>
      </c>
      <c r="AI99" s="432"/>
      <c r="AJ99" s="169"/>
      <c r="AK99" s="169"/>
      <c r="AL99" s="169"/>
      <c r="AM99" s="197" t="e">
        <f t="shared" si="55"/>
        <v>#N/A</v>
      </c>
      <c r="AN99" s="432"/>
      <c r="AO99" s="169"/>
      <c r="AP99" s="169"/>
      <c r="AQ99" s="169"/>
      <c r="AR99" s="197" t="e">
        <f t="shared" si="56"/>
        <v>#N/A</v>
      </c>
      <c r="AS99" s="432"/>
      <c r="AT99" s="169"/>
      <c r="AU99" s="169"/>
      <c r="AV99" s="195"/>
      <c r="AW99" s="197" t="e">
        <f t="shared" si="57"/>
        <v>#N/A</v>
      </c>
      <c r="AX99" s="432"/>
    </row>
    <row r="100" spans="2:50">
      <c r="B100" s="422"/>
      <c r="C100" s="197">
        <v>14</v>
      </c>
      <c r="D100" s="225"/>
      <c r="E100" s="169"/>
      <c r="F100" s="197"/>
      <c r="G100" s="195"/>
      <c r="H100" s="429"/>
      <c r="I100" s="197"/>
      <c r="J100" s="197"/>
      <c r="K100" s="197"/>
      <c r="L100" s="429"/>
      <c r="M100" s="196" t="e">
        <f>RANK(K100, K$87:$K$101)</f>
        <v>#DIV/0!</v>
      </c>
      <c r="N100" s="423"/>
      <c r="O100" s="423"/>
      <c r="P100" s="169"/>
      <c r="Q100" s="169"/>
      <c r="R100" s="169"/>
      <c r="S100" s="197" t="e">
        <f t="shared" si="51"/>
        <v>#N/A</v>
      </c>
      <c r="T100" s="432"/>
      <c r="U100" s="169"/>
      <c r="V100" s="169"/>
      <c r="W100" s="169"/>
      <c r="X100" s="197" t="e">
        <f t="shared" si="52"/>
        <v>#N/A</v>
      </c>
      <c r="Y100" s="432"/>
      <c r="Z100" s="169"/>
      <c r="AA100" s="169"/>
      <c r="AB100" s="169"/>
      <c r="AC100" s="197" t="e">
        <f t="shared" si="53"/>
        <v>#N/A</v>
      </c>
      <c r="AD100" s="432"/>
      <c r="AE100" s="169"/>
      <c r="AF100" s="169"/>
      <c r="AG100" s="169"/>
      <c r="AH100" s="197" t="e">
        <f t="shared" si="54"/>
        <v>#N/A</v>
      </c>
      <c r="AI100" s="432"/>
      <c r="AJ100" s="169"/>
      <c r="AK100" s="169"/>
      <c r="AL100" s="169"/>
      <c r="AM100" s="197" t="e">
        <f t="shared" si="55"/>
        <v>#N/A</v>
      </c>
      <c r="AN100" s="432"/>
      <c r="AO100" s="169"/>
      <c r="AP100" s="169"/>
      <c r="AQ100" s="169"/>
      <c r="AR100" s="197" t="e">
        <f t="shared" si="56"/>
        <v>#N/A</v>
      </c>
      <c r="AS100" s="432"/>
      <c r="AT100" s="169"/>
      <c r="AU100" s="169"/>
      <c r="AV100" s="195"/>
      <c r="AW100" s="197" t="e">
        <f t="shared" si="57"/>
        <v>#N/A</v>
      </c>
      <c r="AX100" s="432"/>
    </row>
    <row r="101" spans="2:50">
      <c r="B101" s="422"/>
      <c r="C101" s="197">
        <v>15</v>
      </c>
      <c r="D101" s="225"/>
      <c r="E101" s="169"/>
      <c r="F101" s="197"/>
      <c r="G101" s="195"/>
      <c r="H101" s="430"/>
      <c r="I101" s="197"/>
      <c r="J101" s="197"/>
      <c r="K101" s="197"/>
      <c r="L101" s="430"/>
      <c r="M101" s="169" t="e">
        <f>RANK(K101, K$87:$K$101)</f>
        <v>#DIV/0!</v>
      </c>
      <c r="N101" s="423"/>
      <c r="O101" s="423"/>
      <c r="P101" s="169"/>
      <c r="Q101" s="169"/>
      <c r="R101" s="169"/>
      <c r="S101" s="197" t="e">
        <f t="shared" si="51"/>
        <v>#N/A</v>
      </c>
      <c r="T101" s="432"/>
      <c r="U101" s="169"/>
      <c r="V101" s="169"/>
      <c r="W101" s="169"/>
      <c r="X101" s="197" t="e">
        <f t="shared" si="52"/>
        <v>#N/A</v>
      </c>
      <c r="Y101" s="432"/>
      <c r="Z101" s="169"/>
      <c r="AA101" s="169"/>
      <c r="AB101" s="169"/>
      <c r="AC101" s="197" t="e">
        <f t="shared" si="53"/>
        <v>#N/A</v>
      </c>
      <c r="AD101" s="432"/>
      <c r="AE101" s="169"/>
      <c r="AF101" s="169"/>
      <c r="AG101" s="169"/>
      <c r="AH101" s="197" t="e">
        <f t="shared" si="54"/>
        <v>#N/A</v>
      </c>
      <c r="AI101" s="432"/>
      <c r="AJ101" s="169"/>
      <c r="AK101" s="169"/>
      <c r="AL101" s="169"/>
      <c r="AM101" s="197" t="e">
        <f t="shared" si="55"/>
        <v>#N/A</v>
      </c>
      <c r="AN101" s="432"/>
      <c r="AO101" s="169"/>
      <c r="AP101" s="169"/>
      <c r="AQ101" s="169"/>
      <c r="AR101" s="197" t="e">
        <f t="shared" si="56"/>
        <v>#N/A</v>
      </c>
      <c r="AS101" s="432"/>
      <c r="AT101" s="169"/>
      <c r="AU101" s="169"/>
      <c r="AV101" s="195"/>
      <c r="AW101" s="197" t="e">
        <f t="shared" si="57"/>
        <v>#N/A</v>
      </c>
      <c r="AX101" s="432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101"/>
  <sheetViews>
    <sheetView topLeftCell="A22" zoomScale="50" zoomScaleNormal="50" workbookViewId="0">
      <pane xSplit="15" topLeftCell="S1" activePane="topRight" state="frozen"/>
      <selection pane="topRight" activeCell="AU30" sqref="AU30"/>
      <selection sqref="A1:L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15" t="s">
        <v>246</v>
      </c>
      <c r="C1" s="216">
        <f>AVERAGE(L7,L27,L47,L67,L87)</f>
        <v>109.06373626373625</v>
      </c>
    </row>
    <row r="2" spans="1:50" ht="15.75">
      <c r="A2" s="79"/>
      <c r="B2" s="396" t="s">
        <v>202</v>
      </c>
      <c r="C2" s="396"/>
      <c r="D2" s="396"/>
      <c r="E2" s="396"/>
      <c r="F2" s="396"/>
      <c r="G2" s="396"/>
      <c r="H2" s="396"/>
      <c r="I2" s="198"/>
      <c r="J2" s="198"/>
      <c r="K2" s="198"/>
      <c r="L2" s="198"/>
      <c r="M2" s="193"/>
      <c r="N2" s="401" t="s">
        <v>203</v>
      </c>
      <c r="O2" s="401" t="s">
        <v>150</v>
      </c>
      <c r="P2" s="416">
        <v>45895</v>
      </c>
      <c r="Q2" s="417"/>
      <c r="R2" s="417"/>
      <c r="S2" s="417"/>
      <c r="T2" s="418"/>
      <c r="U2" s="421">
        <f>P2+1</f>
        <v>45896</v>
      </c>
      <c r="V2" s="422"/>
      <c r="W2" s="422"/>
      <c r="X2" s="422"/>
      <c r="Y2" s="422"/>
      <c r="Z2" s="421">
        <f>U2+1</f>
        <v>45897</v>
      </c>
      <c r="AA2" s="422"/>
      <c r="AB2" s="422"/>
      <c r="AC2" s="422"/>
      <c r="AD2" s="422"/>
      <c r="AE2" s="421">
        <f>Z2+1</f>
        <v>45898</v>
      </c>
      <c r="AF2" s="422"/>
      <c r="AG2" s="422"/>
      <c r="AH2" s="422"/>
      <c r="AI2" s="422"/>
      <c r="AJ2" s="421">
        <f>AE2+1</f>
        <v>45899</v>
      </c>
      <c r="AK2" s="422"/>
      <c r="AL2" s="422"/>
      <c r="AM2" s="422"/>
      <c r="AN2" s="422"/>
      <c r="AO2" s="421">
        <f>AJ2+1</f>
        <v>45900</v>
      </c>
      <c r="AP2" s="422"/>
      <c r="AQ2" s="422"/>
      <c r="AR2" s="422"/>
      <c r="AS2" s="422"/>
      <c r="AT2" s="421">
        <f>AO2+1</f>
        <v>45901</v>
      </c>
      <c r="AU2" s="422"/>
      <c r="AV2" s="422"/>
      <c r="AW2" s="422"/>
      <c r="AX2" s="422"/>
    </row>
    <row r="3" spans="1:50" ht="15.75">
      <c r="A3" s="79"/>
      <c r="B3" s="397"/>
      <c r="C3" s="397"/>
      <c r="D3" s="397"/>
      <c r="E3" s="397"/>
      <c r="F3" s="397"/>
      <c r="G3" s="397"/>
      <c r="H3" s="397"/>
      <c r="I3" s="199"/>
      <c r="J3" s="199"/>
      <c r="K3" s="199"/>
      <c r="L3" s="199"/>
      <c r="M3" s="194"/>
      <c r="N3" s="403"/>
      <c r="O3" s="403"/>
      <c r="P3" s="416" t="s">
        <v>204</v>
      </c>
      <c r="Q3" s="417"/>
      <c r="R3" s="417"/>
      <c r="S3" s="417"/>
      <c r="T3" s="418"/>
      <c r="U3" s="416" t="s">
        <v>205</v>
      </c>
      <c r="V3" s="417"/>
      <c r="W3" s="417"/>
      <c r="X3" s="417"/>
      <c r="Y3" s="418"/>
      <c r="Z3" s="416" t="s">
        <v>206</v>
      </c>
      <c r="AA3" s="417"/>
      <c r="AB3" s="417"/>
      <c r="AC3" s="417"/>
      <c r="AD3" s="418"/>
      <c r="AE3" s="416" t="s">
        <v>207</v>
      </c>
      <c r="AF3" s="417"/>
      <c r="AG3" s="417"/>
      <c r="AH3" s="417"/>
      <c r="AI3" s="418"/>
      <c r="AJ3" s="416" t="s">
        <v>208</v>
      </c>
      <c r="AK3" s="417"/>
      <c r="AL3" s="417"/>
      <c r="AM3" s="417"/>
      <c r="AN3" s="418"/>
      <c r="AO3" s="416" t="s">
        <v>157</v>
      </c>
      <c r="AP3" s="417"/>
      <c r="AQ3" s="417"/>
      <c r="AR3" s="417"/>
      <c r="AS3" s="418"/>
      <c r="AT3" s="416" t="s">
        <v>209</v>
      </c>
      <c r="AU3" s="417"/>
      <c r="AV3" s="417"/>
      <c r="AW3" s="417"/>
      <c r="AX3" s="418"/>
    </row>
    <row r="4" spans="1:50">
      <c r="A4" s="79"/>
      <c r="B4" s="423" t="s">
        <v>210</v>
      </c>
      <c r="C4" s="423" t="s">
        <v>211</v>
      </c>
      <c r="D4" s="423"/>
      <c r="E4" s="423" t="s">
        <v>212</v>
      </c>
      <c r="F4" s="423"/>
      <c r="G4" s="423"/>
      <c r="H4" s="404" t="s">
        <v>213</v>
      </c>
      <c r="I4" s="423" t="s">
        <v>214</v>
      </c>
      <c r="J4" s="423"/>
      <c r="K4" s="423"/>
      <c r="L4" s="404" t="s">
        <v>213</v>
      </c>
      <c r="M4" s="401" t="s">
        <v>215</v>
      </c>
      <c r="N4" s="423"/>
      <c r="O4" s="423" t="s">
        <v>216</v>
      </c>
      <c r="P4" s="413" t="s">
        <v>217</v>
      </c>
      <c r="Q4" s="414"/>
      <c r="R4" s="414"/>
      <c r="S4" s="415"/>
      <c r="T4" s="423" t="s">
        <v>213</v>
      </c>
      <c r="U4" s="413" t="s">
        <v>217</v>
      </c>
      <c r="V4" s="414"/>
      <c r="W4" s="414"/>
      <c r="X4" s="415"/>
      <c r="Y4" s="423" t="s">
        <v>213</v>
      </c>
      <c r="Z4" s="413" t="s">
        <v>217</v>
      </c>
      <c r="AA4" s="414"/>
      <c r="AB4" s="414"/>
      <c r="AC4" s="415"/>
      <c r="AD4" s="423" t="s">
        <v>213</v>
      </c>
      <c r="AE4" s="413" t="s">
        <v>217</v>
      </c>
      <c r="AF4" s="414"/>
      <c r="AG4" s="414"/>
      <c r="AH4" s="415"/>
      <c r="AI4" s="423" t="s">
        <v>213</v>
      </c>
      <c r="AJ4" s="413" t="s">
        <v>217</v>
      </c>
      <c r="AK4" s="414"/>
      <c r="AL4" s="414"/>
      <c r="AM4" s="415"/>
      <c r="AN4" s="423" t="s">
        <v>213</v>
      </c>
      <c r="AO4" s="413" t="s">
        <v>217</v>
      </c>
      <c r="AP4" s="414"/>
      <c r="AQ4" s="414"/>
      <c r="AR4" s="415"/>
      <c r="AS4" s="423" t="s">
        <v>213</v>
      </c>
      <c r="AT4" s="413" t="s">
        <v>217</v>
      </c>
      <c r="AU4" s="414"/>
      <c r="AV4" s="414"/>
      <c r="AW4" s="415"/>
      <c r="AX4" s="423" t="s">
        <v>213</v>
      </c>
    </row>
    <row r="5" spans="1:50">
      <c r="A5" s="79"/>
      <c r="B5" s="423"/>
      <c r="C5" s="423"/>
      <c r="D5" s="423"/>
      <c r="E5" s="423" t="s">
        <v>218</v>
      </c>
      <c r="F5" s="423"/>
      <c r="G5" s="423"/>
      <c r="H5" s="406"/>
      <c r="I5" s="423" t="s">
        <v>218</v>
      </c>
      <c r="J5" s="423"/>
      <c r="K5" s="423"/>
      <c r="L5" s="406"/>
      <c r="M5" s="402"/>
      <c r="N5" s="423"/>
      <c r="O5" s="423"/>
      <c r="P5" s="413" t="s">
        <v>219</v>
      </c>
      <c r="Q5" s="414"/>
      <c r="R5" s="414"/>
      <c r="S5" s="415"/>
      <c r="T5" s="423"/>
      <c r="U5" s="413" t="s">
        <v>219</v>
      </c>
      <c r="V5" s="414"/>
      <c r="W5" s="414"/>
      <c r="X5" s="415"/>
      <c r="Y5" s="423"/>
      <c r="Z5" s="413" t="s">
        <v>219</v>
      </c>
      <c r="AA5" s="414"/>
      <c r="AB5" s="414"/>
      <c r="AC5" s="415"/>
      <c r="AD5" s="423"/>
      <c r="AE5" s="413" t="s">
        <v>219</v>
      </c>
      <c r="AF5" s="414"/>
      <c r="AG5" s="414"/>
      <c r="AH5" s="415"/>
      <c r="AI5" s="423"/>
      <c r="AJ5" s="413" t="s">
        <v>219</v>
      </c>
      <c r="AK5" s="414"/>
      <c r="AL5" s="414"/>
      <c r="AM5" s="415"/>
      <c r="AN5" s="423"/>
      <c r="AO5" s="413" t="s">
        <v>219</v>
      </c>
      <c r="AP5" s="414"/>
      <c r="AQ5" s="414"/>
      <c r="AR5" s="415"/>
      <c r="AS5" s="423"/>
      <c r="AT5" s="413" t="s">
        <v>219</v>
      </c>
      <c r="AU5" s="414"/>
      <c r="AV5" s="414"/>
      <c r="AW5" s="415"/>
      <c r="AX5" s="423"/>
    </row>
    <row r="6" spans="1:50">
      <c r="A6" s="77"/>
      <c r="B6" s="423"/>
      <c r="C6" s="423"/>
      <c r="D6" s="423"/>
      <c r="E6" s="297" t="s">
        <v>220</v>
      </c>
      <c r="F6" s="297" t="s">
        <v>221</v>
      </c>
      <c r="G6" s="297" t="s">
        <v>222</v>
      </c>
      <c r="H6" s="408"/>
      <c r="I6" s="297" t="s">
        <v>220</v>
      </c>
      <c r="J6" s="297" t="s">
        <v>221</v>
      </c>
      <c r="K6" s="297" t="s">
        <v>222</v>
      </c>
      <c r="L6" s="408"/>
      <c r="M6" s="403"/>
      <c r="N6" s="423"/>
      <c r="O6" s="423"/>
      <c r="P6" s="297" t="s">
        <v>220</v>
      </c>
      <c r="Q6" s="297" t="s">
        <v>221</v>
      </c>
      <c r="R6" s="297" t="s">
        <v>222</v>
      </c>
      <c r="S6" s="297" t="s">
        <v>215</v>
      </c>
      <c r="T6" s="423"/>
      <c r="U6" s="297" t="s">
        <v>220</v>
      </c>
      <c r="V6" s="297" t="s">
        <v>221</v>
      </c>
      <c r="W6" s="297" t="s">
        <v>222</v>
      </c>
      <c r="X6" s="297" t="s">
        <v>215</v>
      </c>
      <c r="Y6" s="423"/>
      <c r="Z6" s="297" t="s">
        <v>220</v>
      </c>
      <c r="AA6" s="297" t="s">
        <v>221</v>
      </c>
      <c r="AB6" s="297" t="s">
        <v>222</v>
      </c>
      <c r="AC6" s="297" t="s">
        <v>215</v>
      </c>
      <c r="AD6" s="423"/>
      <c r="AE6" s="297" t="s">
        <v>220</v>
      </c>
      <c r="AF6" s="297" t="s">
        <v>221</v>
      </c>
      <c r="AG6" s="297" t="s">
        <v>222</v>
      </c>
      <c r="AH6" s="297" t="s">
        <v>215</v>
      </c>
      <c r="AI6" s="423"/>
      <c r="AJ6" s="297" t="s">
        <v>220</v>
      </c>
      <c r="AK6" s="297" t="s">
        <v>221</v>
      </c>
      <c r="AL6" s="297" t="s">
        <v>222</v>
      </c>
      <c r="AM6" s="297" t="s">
        <v>215</v>
      </c>
      <c r="AN6" s="423"/>
      <c r="AO6" s="297" t="s">
        <v>220</v>
      </c>
      <c r="AP6" s="297" t="s">
        <v>221</v>
      </c>
      <c r="AQ6" s="297" t="s">
        <v>222</v>
      </c>
      <c r="AR6" s="297" t="s">
        <v>215</v>
      </c>
      <c r="AS6" s="423"/>
      <c r="AT6" s="297" t="s">
        <v>220</v>
      </c>
      <c r="AU6" s="297" t="s">
        <v>221</v>
      </c>
      <c r="AV6" s="297" t="s">
        <v>222</v>
      </c>
      <c r="AW6" s="297" t="s">
        <v>215</v>
      </c>
      <c r="AX6" s="423"/>
    </row>
    <row r="7" spans="1:50">
      <c r="A7" s="79"/>
      <c r="B7" s="423" t="s">
        <v>267</v>
      </c>
      <c r="C7" s="197">
        <v>1</v>
      </c>
      <c r="D7" s="225" t="s">
        <v>268</v>
      </c>
      <c r="E7" s="169">
        <v>13</v>
      </c>
      <c r="F7" s="197">
        <v>1607.9999999999993</v>
      </c>
      <c r="G7" s="195">
        <v>123.69230769230764</v>
      </c>
      <c r="H7" s="428">
        <f>AVERAGE(G7:G21)</f>
        <v>123.69230769230764</v>
      </c>
      <c r="I7" s="169">
        <f>AVERAGE(P7,U7,Z7,AE7,AJ7,AO7,AT7)</f>
        <v>13</v>
      </c>
      <c r="J7" s="169">
        <f>AVERAGE(Q7,V7,AA7,AF7,AK7,AP7,AU7)</f>
        <v>1336.4285714285693</v>
      </c>
      <c r="K7" s="195">
        <f>AVERAGE(R7,W7,AB7,AG7,AL7,AQ7,AV7)</f>
        <v>102.80219780219761</v>
      </c>
      <c r="L7" s="428">
        <f>IFERROR(AVERAGE(K7:K21),"-")</f>
        <v>102.80219780219761</v>
      </c>
      <c r="M7" s="196">
        <f>RANK(K7, K$7:$K$21)</f>
        <v>1</v>
      </c>
      <c r="N7" s="423"/>
      <c r="O7" s="423"/>
      <c r="P7" s="197">
        <v>13</v>
      </c>
      <c r="Q7" s="169">
        <v>1319.9999999999995</v>
      </c>
      <c r="R7" s="195">
        <v>101.5384615384615</v>
      </c>
      <c r="S7" s="197">
        <f t="shared" ref="S7:S21" si="0">RANK(R7, R$7:R$21)</f>
        <v>1</v>
      </c>
      <c r="T7" s="432">
        <f>AVERAGE(R7:R21)</f>
        <v>101.5384615384615</v>
      </c>
      <c r="U7" s="197">
        <v>13</v>
      </c>
      <c r="V7" s="169">
        <v>1244.9999999999945</v>
      </c>
      <c r="W7" s="195">
        <v>95.769230769230347</v>
      </c>
      <c r="X7" s="197">
        <f t="shared" ref="X7:X21" si="1">RANK(W7, W$7:W$21)</f>
        <v>1</v>
      </c>
      <c r="Y7" s="432">
        <f>AVERAGE(W7:W21)</f>
        <v>95.769230769230347</v>
      </c>
      <c r="Z7" s="197">
        <v>13</v>
      </c>
      <c r="AA7" s="169">
        <v>1256.9999999999943</v>
      </c>
      <c r="AB7" s="195">
        <v>96.692307692307253</v>
      </c>
      <c r="AC7" s="197">
        <f t="shared" ref="AC7:AC21" si="2">RANK(AB7, AB$7:AB$21)</f>
        <v>1</v>
      </c>
      <c r="AD7" s="432">
        <f>AVERAGE(AB7:AB21)</f>
        <v>96.692307692307253</v>
      </c>
      <c r="AE7" s="197">
        <v>13</v>
      </c>
      <c r="AF7" s="169">
        <v>1587.999999999997</v>
      </c>
      <c r="AG7" s="195">
        <v>122.15384615384593</v>
      </c>
      <c r="AH7" s="197">
        <f t="shared" ref="AH7:AH21" si="3">RANK(AG7, AG$7:AG$21)</f>
        <v>1</v>
      </c>
      <c r="AI7" s="432">
        <f>AVERAGE(AG7:AG21)</f>
        <v>122.15384615384593</v>
      </c>
      <c r="AJ7" s="197">
        <v>13</v>
      </c>
      <c r="AK7" s="169">
        <v>1307.9999999999995</v>
      </c>
      <c r="AL7" s="195">
        <v>100.61538461538458</v>
      </c>
      <c r="AM7" s="197">
        <f t="shared" ref="AM7:AM21" si="4">RANK(AL7, AL$7:AL$21)</f>
        <v>1</v>
      </c>
      <c r="AN7" s="432">
        <f>AVERAGE(AL7:AL21)</f>
        <v>100.61538461538458</v>
      </c>
      <c r="AO7" s="197">
        <v>13</v>
      </c>
      <c r="AP7" s="169">
        <v>1373.9999999999995</v>
      </c>
      <c r="AQ7" s="195">
        <v>105.69230769230765</v>
      </c>
      <c r="AR7" s="197">
        <f t="shared" ref="AR7:AR21" si="5">RANK(AQ7, AQ$7:AQ$21)</f>
        <v>1</v>
      </c>
      <c r="AS7" s="432">
        <f>AVERAGE(AQ7:AQ21)</f>
        <v>105.69230769230765</v>
      </c>
      <c r="AT7" s="197">
        <v>13</v>
      </c>
      <c r="AU7" s="169">
        <v>1262.9999999999995</v>
      </c>
      <c r="AV7" s="195">
        <v>97.153846153846118</v>
      </c>
      <c r="AW7" s="197">
        <f t="shared" ref="AW7:AW21" si="6">RANK(AV7, AV$7:AV$21)</f>
        <v>1</v>
      </c>
      <c r="AX7" s="432">
        <f>AVERAGE(AV7:AV21)</f>
        <v>97.153846153846118</v>
      </c>
    </row>
    <row r="8" spans="1:50" ht="15" customHeight="1">
      <c r="A8" s="79"/>
      <c r="B8" s="422"/>
      <c r="C8" s="197">
        <v>2</v>
      </c>
      <c r="D8" s="225"/>
      <c r="E8" s="169"/>
      <c r="F8" s="197"/>
      <c r="G8" s="195"/>
      <c r="H8" s="429"/>
      <c r="I8" s="169"/>
      <c r="J8" s="169"/>
      <c r="K8" s="195"/>
      <c r="L8" s="429"/>
      <c r="M8" s="196" t="e">
        <f>RANK(K8, K$7:$K$21)</f>
        <v>#N/A</v>
      </c>
      <c r="N8" s="423"/>
      <c r="O8" s="423"/>
      <c r="P8" s="197"/>
      <c r="Q8" s="197"/>
      <c r="R8" s="197"/>
      <c r="S8" s="197" t="e">
        <f t="shared" si="0"/>
        <v>#N/A</v>
      </c>
      <c r="T8" s="432"/>
      <c r="U8" s="197"/>
      <c r="V8" s="197"/>
      <c r="W8" s="197"/>
      <c r="X8" s="197" t="e">
        <f t="shared" si="1"/>
        <v>#N/A</v>
      </c>
      <c r="Y8" s="432"/>
      <c r="Z8" s="197"/>
      <c r="AA8" s="197"/>
      <c r="AB8" s="197"/>
      <c r="AC8" s="197" t="e">
        <f t="shared" si="2"/>
        <v>#N/A</v>
      </c>
      <c r="AD8" s="432"/>
      <c r="AE8" s="197"/>
      <c r="AF8" s="197"/>
      <c r="AG8" s="197"/>
      <c r="AH8" s="197" t="e">
        <f t="shared" si="3"/>
        <v>#N/A</v>
      </c>
      <c r="AI8" s="432"/>
      <c r="AJ8" s="197"/>
      <c r="AK8" s="197"/>
      <c r="AL8" s="197"/>
      <c r="AM8" s="197" t="e">
        <f t="shared" si="4"/>
        <v>#N/A</v>
      </c>
      <c r="AN8" s="432"/>
      <c r="AO8" s="197"/>
      <c r="AP8" s="197"/>
      <c r="AQ8" s="197"/>
      <c r="AR8" s="197" t="e">
        <f t="shared" si="5"/>
        <v>#N/A</v>
      </c>
      <c r="AS8" s="432"/>
      <c r="AT8" s="197"/>
      <c r="AU8" s="197"/>
      <c r="AV8" s="197"/>
      <c r="AW8" s="197" t="e">
        <f t="shared" si="6"/>
        <v>#N/A</v>
      </c>
      <c r="AX8" s="432"/>
    </row>
    <row r="9" spans="1:50">
      <c r="A9" s="79"/>
      <c r="B9" s="422"/>
      <c r="C9" s="197">
        <v>3</v>
      </c>
      <c r="D9" s="225"/>
      <c r="E9" s="169"/>
      <c r="F9" s="197"/>
      <c r="G9" s="195"/>
      <c r="H9" s="429"/>
      <c r="I9" s="169"/>
      <c r="J9" s="169"/>
      <c r="K9" s="195"/>
      <c r="L9" s="429"/>
      <c r="M9" s="196" t="e">
        <f>RANK(K9, K$7:$K$21)</f>
        <v>#N/A</v>
      </c>
      <c r="N9" s="423"/>
      <c r="O9" s="423"/>
      <c r="P9" s="197"/>
      <c r="Q9" s="197"/>
      <c r="R9" s="197"/>
      <c r="S9" s="197" t="e">
        <f t="shared" si="0"/>
        <v>#N/A</v>
      </c>
      <c r="T9" s="432"/>
      <c r="U9" s="197"/>
      <c r="V9" s="197"/>
      <c r="W9" s="197"/>
      <c r="X9" s="197" t="e">
        <f t="shared" si="1"/>
        <v>#N/A</v>
      </c>
      <c r="Y9" s="432"/>
      <c r="Z9" s="197"/>
      <c r="AA9" s="197"/>
      <c r="AB9" s="197"/>
      <c r="AC9" s="197" t="e">
        <f t="shared" si="2"/>
        <v>#N/A</v>
      </c>
      <c r="AD9" s="432"/>
      <c r="AE9" s="197"/>
      <c r="AF9" s="197"/>
      <c r="AG9" s="197"/>
      <c r="AH9" s="197" t="e">
        <f t="shared" si="3"/>
        <v>#N/A</v>
      </c>
      <c r="AI9" s="432"/>
      <c r="AJ9" s="197"/>
      <c r="AK9" s="197"/>
      <c r="AL9" s="197"/>
      <c r="AM9" s="197" t="e">
        <f t="shared" si="4"/>
        <v>#N/A</v>
      </c>
      <c r="AN9" s="432"/>
      <c r="AO9" s="197"/>
      <c r="AP9" s="197"/>
      <c r="AQ9" s="197"/>
      <c r="AR9" s="197" t="e">
        <f t="shared" si="5"/>
        <v>#N/A</v>
      </c>
      <c r="AS9" s="432"/>
      <c r="AT9" s="197"/>
      <c r="AU9" s="197"/>
      <c r="AV9" s="197"/>
      <c r="AW9" s="197" t="e">
        <f t="shared" si="6"/>
        <v>#N/A</v>
      </c>
      <c r="AX9" s="432"/>
    </row>
    <row r="10" spans="1:50">
      <c r="A10" s="79"/>
      <c r="B10" s="422"/>
      <c r="C10" s="197">
        <v>4</v>
      </c>
      <c r="D10" s="225"/>
      <c r="E10" s="169"/>
      <c r="F10" s="197"/>
      <c r="G10" s="195"/>
      <c r="H10" s="429"/>
      <c r="I10" s="169"/>
      <c r="J10" s="169"/>
      <c r="K10" s="195"/>
      <c r="L10" s="429"/>
      <c r="M10" s="196" t="e">
        <f>RANK(K10, K$7:$K$21)</f>
        <v>#N/A</v>
      </c>
      <c r="N10" s="423"/>
      <c r="O10" s="423"/>
      <c r="P10" s="197"/>
      <c r="Q10" s="197"/>
      <c r="R10" s="197"/>
      <c r="S10" s="197" t="e">
        <f t="shared" si="0"/>
        <v>#N/A</v>
      </c>
      <c r="T10" s="432"/>
      <c r="U10" s="197"/>
      <c r="V10" s="197"/>
      <c r="W10" s="197"/>
      <c r="X10" s="197" t="e">
        <f t="shared" si="1"/>
        <v>#N/A</v>
      </c>
      <c r="Y10" s="432"/>
      <c r="Z10" s="197"/>
      <c r="AA10" s="197"/>
      <c r="AB10" s="197"/>
      <c r="AC10" s="197" t="e">
        <f t="shared" si="2"/>
        <v>#N/A</v>
      </c>
      <c r="AD10" s="432"/>
      <c r="AE10" s="197"/>
      <c r="AF10" s="197"/>
      <c r="AG10" s="197"/>
      <c r="AH10" s="197" t="e">
        <f t="shared" si="3"/>
        <v>#N/A</v>
      </c>
      <c r="AI10" s="432"/>
      <c r="AJ10" s="197"/>
      <c r="AK10" s="197"/>
      <c r="AL10" s="197"/>
      <c r="AM10" s="197" t="e">
        <f t="shared" si="4"/>
        <v>#N/A</v>
      </c>
      <c r="AN10" s="432"/>
      <c r="AO10" s="197"/>
      <c r="AP10" s="197"/>
      <c r="AQ10" s="197"/>
      <c r="AR10" s="197" t="e">
        <f t="shared" si="5"/>
        <v>#N/A</v>
      </c>
      <c r="AS10" s="432"/>
      <c r="AT10" s="197"/>
      <c r="AU10" s="197"/>
      <c r="AV10" s="197"/>
      <c r="AW10" s="197" t="e">
        <f t="shared" si="6"/>
        <v>#N/A</v>
      </c>
      <c r="AX10" s="432"/>
    </row>
    <row r="11" spans="1:50">
      <c r="A11" s="79"/>
      <c r="B11" s="422"/>
      <c r="C11" s="197">
        <v>5</v>
      </c>
      <c r="D11" s="225"/>
      <c r="E11" s="169"/>
      <c r="F11" s="197"/>
      <c r="G11" s="195"/>
      <c r="H11" s="429"/>
      <c r="I11" s="169"/>
      <c r="J11" s="169"/>
      <c r="K11" s="195"/>
      <c r="L11" s="429"/>
      <c r="M11" s="196" t="e">
        <f>RANK(K11, K$7:$K$21)</f>
        <v>#N/A</v>
      </c>
      <c r="N11" s="423"/>
      <c r="O11" s="423"/>
      <c r="P11" s="197"/>
      <c r="Q11" s="197"/>
      <c r="R11" s="197"/>
      <c r="S11" s="197" t="e">
        <f t="shared" si="0"/>
        <v>#N/A</v>
      </c>
      <c r="T11" s="432"/>
      <c r="U11" s="197"/>
      <c r="V11" s="197"/>
      <c r="W11" s="197"/>
      <c r="X11" s="197" t="e">
        <f t="shared" si="1"/>
        <v>#N/A</v>
      </c>
      <c r="Y11" s="432"/>
      <c r="Z11" s="197"/>
      <c r="AA11" s="197"/>
      <c r="AB11" s="197"/>
      <c r="AC11" s="197" t="e">
        <f t="shared" si="2"/>
        <v>#N/A</v>
      </c>
      <c r="AD11" s="432"/>
      <c r="AE11" s="197"/>
      <c r="AF11" s="197"/>
      <c r="AG11" s="197"/>
      <c r="AH11" s="197" t="e">
        <f t="shared" si="3"/>
        <v>#N/A</v>
      </c>
      <c r="AI11" s="432"/>
      <c r="AJ11" s="197"/>
      <c r="AK11" s="197"/>
      <c r="AL11" s="197"/>
      <c r="AM11" s="197" t="e">
        <f t="shared" si="4"/>
        <v>#N/A</v>
      </c>
      <c r="AN11" s="432"/>
      <c r="AO11" s="197"/>
      <c r="AP11" s="197"/>
      <c r="AQ11" s="197"/>
      <c r="AR11" s="197" t="e">
        <f t="shared" si="5"/>
        <v>#N/A</v>
      </c>
      <c r="AS11" s="432"/>
      <c r="AT11" s="197"/>
      <c r="AU11" s="197"/>
      <c r="AV11" s="197"/>
      <c r="AW11" s="197" t="e">
        <f t="shared" si="6"/>
        <v>#N/A</v>
      </c>
      <c r="AX11" s="432"/>
    </row>
    <row r="12" spans="1:50">
      <c r="A12" s="79"/>
      <c r="B12" s="422"/>
      <c r="C12" s="197">
        <v>6</v>
      </c>
      <c r="D12" s="225"/>
      <c r="E12" s="169"/>
      <c r="F12" s="197"/>
      <c r="G12" s="195"/>
      <c r="H12" s="429"/>
      <c r="I12" s="169"/>
      <c r="J12" s="169"/>
      <c r="K12" s="195"/>
      <c r="L12" s="429"/>
      <c r="M12" s="196" t="e">
        <f>RANK(K12, K$7:$K$21)</f>
        <v>#N/A</v>
      </c>
      <c r="N12" s="423"/>
      <c r="O12" s="423"/>
      <c r="P12" s="197"/>
      <c r="Q12" s="197"/>
      <c r="R12" s="197"/>
      <c r="S12" s="197" t="e">
        <f t="shared" si="0"/>
        <v>#N/A</v>
      </c>
      <c r="T12" s="432"/>
      <c r="U12" s="197"/>
      <c r="V12" s="197"/>
      <c r="W12" s="197"/>
      <c r="X12" s="197" t="e">
        <f t="shared" si="1"/>
        <v>#N/A</v>
      </c>
      <c r="Y12" s="432"/>
      <c r="Z12" s="197"/>
      <c r="AA12" s="197"/>
      <c r="AB12" s="197"/>
      <c r="AC12" s="197" t="e">
        <f t="shared" si="2"/>
        <v>#N/A</v>
      </c>
      <c r="AD12" s="432"/>
      <c r="AE12" s="197"/>
      <c r="AF12" s="197"/>
      <c r="AG12" s="197"/>
      <c r="AH12" s="197" t="e">
        <f t="shared" si="3"/>
        <v>#N/A</v>
      </c>
      <c r="AI12" s="432"/>
      <c r="AJ12" s="197"/>
      <c r="AK12" s="197"/>
      <c r="AL12" s="197"/>
      <c r="AM12" s="197" t="e">
        <f t="shared" si="4"/>
        <v>#N/A</v>
      </c>
      <c r="AN12" s="432"/>
      <c r="AO12" s="197"/>
      <c r="AP12" s="197"/>
      <c r="AQ12" s="197"/>
      <c r="AR12" s="197" t="e">
        <f t="shared" si="5"/>
        <v>#N/A</v>
      </c>
      <c r="AS12" s="432"/>
      <c r="AT12" s="197"/>
      <c r="AU12" s="197"/>
      <c r="AV12" s="197"/>
      <c r="AW12" s="197" t="e">
        <f t="shared" si="6"/>
        <v>#N/A</v>
      </c>
      <c r="AX12" s="432"/>
    </row>
    <row r="13" spans="1:50">
      <c r="A13" s="79"/>
      <c r="B13" s="422"/>
      <c r="C13" s="197">
        <v>7</v>
      </c>
      <c r="D13" s="225"/>
      <c r="E13" s="169"/>
      <c r="F13" s="197"/>
      <c r="G13" s="195"/>
      <c r="H13" s="429"/>
      <c r="I13" s="169"/>
      <c r="J13" s="169"/>
      <c r="K13" s="195"/>
      <c r="L13" s="429"/>
      <c r="M13" s="196" t="e">
        <f>RANK(K13, K$7:$K$21)</f>
        <v>#N/A</v>
      </c>
      <c r="N13" s="423"/>
      <c r="O13" s="423"/>
      <c r="P13" s="197"/>
      <c r="Q13" s="197"/>
      <c r="R13" s="197"/>
      <c r="S13" s="197" t="e">
        <f t="shared" si="0"/>
        <v>#N/A</v>
      </c>
      <c r="T13" s="432"/>
      <c r="U13" s="197"/>
      <c r="V13" s="197"/>
      <c r="W13" s="197"/>
      <c r="X13" s="197" t="e">
        <f t="shared" si="1"/>
        <v>#N/A</v>
      </c>
      <c r="Y13" s="432"/>
      <c r="Z13" s="197"/>
      <c r="AA13" s="197"/>
      <c r="AB13" s="197"/>
      <c r="AC13" s="197" t="e">
        <f t="shared" si="2"/>
        <v>#N/A</v>
      </c>
      <c r="AD13" s="432"/>
      <c r="AE13" s="197"/>
      <c r="AF13" s="197"/>
      <c r="AG13" s="197"/>
      <c r="AH13" s="197" t="e">
        <f t="shared" si="3"/>
        <v>#N/A</v>
      </c>
      <c r="AI13" s="432"/>
      <c r="AJ13" s="197"/>
      <c r="AK13" s="197"/>
      <c r="AL13" s="197"/>
      <c r="AM13" s="197" t="e">
        <f t="shared" si="4"/>
        <v>#N/A</v>
      </c>
      <c r="AN13" s="432"/>
      <c r="AO13" s="197"/>
      <c r="AP13" s="197"/>
      <c r="AQ13" s="197"/>
      <c r="AR13" s="197" t="e">
        <f t="shared" si="5"/>
        <v>#N/A</v>
      </c>
      <c r="AS13" s="432"/>
      <c r="AT13" s="197"/>
      <c r="AU13" s="197"/>
      <c r="AV13" s="197"/>
      <c r="AW13" s="197" t="e">
        <f t="shared" si="6"/>
        <v>#N/A</v>
      </c>
      <c r="AX13" s="432"/>
    </row>
    <row r="14" spans="1:50">
      <c r="A14" s="79"/>
      <c r="B14" s="422"/>
      <c r="C14" s="197">
        <v>8</v>
      </c>
      <c r="D14" s="225"/>
      <c r="E14" s="169"/>
      <c r="F14" s="197"/>
      <c r="G14" s="195"/>
      <c r="H14" s="429"/>
      <c r="I14" s="169"/>
      <c r="J14" s="169"/>
      <c r="K14" s="195"/>
      <c r="L14" s="429"/>
      <c r="M14" s="196" t="e">
        <f>RANK(K14, K$7:$K$21)</f>
        <v>#N/A</v>
      </c>
      <c r="N14" s="423"/>
      <c r="O14" s="423"/>
      <c r="P14" s="197"/>
      <c r="Q14" s="197"/>
      <c r="R14" s="197"/>
      <c r="S14" s="197" t="e">
        <f t="shared" si="0"/>
        <v>#N/A</v>
      </c>
      <c r="T14" s="432"/>
      <c r="U14" s="197"/>
      <c r="V14" s="197"/>
      <c r="W14" s="197"/>
      <c r="X14" s="197" t="e">
        <f t="shared" si="1"/>
        <v>#N/A</v>
      </c>
      <c r="Y14" s="432"/>
      <c r="Z14" s="197"/>
      <c r="AA14" s="197"/>
      <c r="AB14" s="197"/>
      <c r="AC14" s="197" t="e">
        <f t="shared" si="2"/>
        <v>#N/A</v>
      </c>
      <c r="AD14" s="432"/>
      <c r="AE14" s="197"/>
      <c r="AF14" s="197"/>
      <c r="AG14" s="197"/>
      <c r="AH14" s="197" t="e">
        <f t="shared" si="3"/>
        <v>#N/A</v>
      </c>
      <c r="AI14" s="432"/>
      <c r="AJ14" s="197"/>
      <c r="AK14" s="197"/>
      <c r="AL14" s="197"/>
      <c r="AM14" s="197" t="e">
        <f t="shared" si="4"/>
        <v>#N/A</v>
      </c>
      <c r="AN14" s="432"/>
      <c r="AO14" s="197"/>
      <c r="AP14" s="197"/>
      <c r="AQ14" s="197"/>
      <c r="AR14" s="197" t="e">
        <f t="shared" si="5"/>
        <v>#N/A</v>
      </c>
      <c r="AS14" s="432"/>
      <c r="AT14" s="197"/>
      <c r="AU14" s="197"/>
      <c r="AV14" s="197"/>
      <c r="AW14" s="197" t="e">
        <f t="shared" si="6"/>
        <v>#N/A</v>
      </c>
      <c r="AX14" s="432"/>
    </row>
    <row r="15" spans="1:50">
      <c r="A15" s="79"/>
      <c r="B15" s="422"/>
      <c r="C15" s="197">
        <v>9</v>
      </c>
      <c r="D15" s="225"/>
      <c r="E15" s="169"/>
      <c r="F15" s="197"/>
      <c r="G15" s="195"/>
      <c r="H15" s="429"/>
      <c r="I15" s="169"/>
      <c r="J15" s="169"/>
      <c r="K15" s="195"/>
      <c r="L15" s="429"/>
      <c r="M15" s="196" t="e">
        <f>RANK(K15, K$7:$K$21)</f>
        <v>#N/A</v>
      </c>
      <c r="N15" s="423"/>
      <c r="O15" s="423"/>
      <c r="P15" s="197"/>
      <c r="Q15" s="197"/>
      <c r="R15" s="197"/>
      <c r="S15" s="197" t="e">
        <f t="shared" si="0"/>
        <v>#N/A</v>
      </c>
      <c r="T15" s="432"/>
      <c r="U15" s="197"/>
      <c r="V15" s="197"/>
      <c r="W15" s="197"/>
      <c r="X15" s="197" t="e">
        <f t="shared" si="1"/>
        <v>#N/A</v>
      </c>
      <c r="Y15" s="432"/>
      <c r="Z15" s="197"/>
      <c r="AA15" s="197"/>
      <c r="AB15" s="197"/>
      <c r="AC15" s="197" t="e">
        <f t="shared" si="2"/>
        <v>#N/A</v>
      </c>
      <c r="AD15" s="432"/>
      <c r="AE15" s="197"/>
      <c r="AF15" s="197"/>
      <c r="AG15" s="197"/>
      <c r="AH15" s="197" t="e">
        <f t="shared" si="3"/>
        <v>#N/A</v>
      </c>
      <c r="AI15" s="432"/>
      <c r="AJ15" s="197"/>
      <c r="AK15" s="197"/>
      <c r="AL15" s="197"/>
      <c r="AM15" s="197" t="e">
        <f t="shared" si="4"/>
        <v>#N/A</v>
      </c>
      <c r="AN15" s="432"/>
      <c r="AO15" s="197"/>
      <c r="AP15" s="197"/>
      <c r="AQ15" s="197"/>
      <c r="AR15" s="197" t="e">
        <f t="shared" si="5"/>
        <v>#N/A</v>
      </c>
      <c r="AS15" s="432"/>
      <c r="AT15" s="197"/>
      <c r="AU15" s="197"/>
      <c r="AV15" s="197"/>
      <c r="AW15" s="197" t="e">
        <f t="shared" si="6"/>
        <v>#N/A</v>
      </c>
      <c r="AX15" s="432"/>
    </row>
    <row r="16" spans="1:50">
      <c r="A16" s="79"/>
      <c r="B16" s="422"/>
      <c r="C16" s="197">
        <v>10</v>
      </c>
      <c r="D16" s="225"/>
      <c r="E16" s="169"/>
      <c r="F16" s="197"/>
      <c r="G16" s="195"/>
      <c r="H16" s="429"/>
      <c r="I16" s="169"/>
      <c r="J16" s="169"/>
      <c r="K16" s="195"/>
      <c r="L16" s="429"/>
      <c r="M16" s="196" t="e">
        <f>RANK(K16, K$7:$K$21)</f>
        <v>#N/A</v>
      </c>
      <c r="N16" s="423"/>
      <c r="O16" s="423"/>
      <c r="P16" s="197"/>
      <c r="Q16" s="197"/>
      <c r="R16" s="197"/>
      <c r="S16" s="197" t="e">
        <f t="shared" si="0"/>
        <v>#N/A</v>
      </c>
      <c r="T16" s="432"/>
      <c r="U16" s="197"/>
      <c r="V16" s="197"/>
      <c r="W16" s="197"/>
      <c r="X16" s="197" t="e">
        <f t="shared" si="1"/>
        <v>#N/A</v>
      </c>
      <c r="Y16" s="432"/>
      <c r="Z16" s="197"/>
      <c r="AA16" s="197"/>
      <c r="AB16" s="197"/>
      <c r="AC16" s="197" t="e">
        <f t="shared" si="2"/>
        <v>#N/A</v>
      </c>
      <c r="AD16" s="432"/>
      <c r="AE16" s="197"/>
      <c r="AF16" s="197"/>
      <c r="AG16" s="197"/>
      <c r="AH16" s="197" t="e">
        <f t="shared" si="3"/>
        <v>#N/A</v>
      </c>
      <c r="AI16" s="432"/>
      <c r="AJ16" s="197"/>
      <c r="AK16" s="197"/>
      <c r="AL16" s="197"/>
      <c r="AM16" s="197" t="e">
        <f t="shared" si="4"/>
        <v>#N/A</v>
      </c>
      <c r="AN16" s="432"/>
      <c r="AO16" s="197"/>
      <c r="AP16" s="197"/>
      <c r="AQ16" s="197"/>
      <c r="AR16" s="197" t="e">
        <f t="shared" si="5"/>
        <v>#N/A</v>
      </c>
      <c r="AS16" s="432"/>
      <c r="AT16" s="197"/>
      <c r="AU16" s="197"/>
      <c r="AV16" s="197"/>
      <c r="AW16" s="197" t="e">
        <f t="shared" si="6"/>
        <v>#N/A</v>
      </c>
      <c r="AX16" s="432"/>
    </row>
    <row r="17" spans="2:50">
      <c r="B17" s="422"/>
      <c r="C17" s="197">
        <v>11</v>
      </c>
      <c r="D17" s="225"/>
      <c r="E17" s="169"/>
      <c r="F17" s="197"/>
      <c r="G17" s="195"/>
      <c r="H17" s="429"/>
      <c r="I17" s="197"/>
      <c r="J17" s="197"/>
      <c r="K17" s="197"/>
      <c r="L17" s="429"/>
      <c r="M17" s="196" t="e">
        <f>RANK(K17, K$7:$K$21)</f>
        <v>#N/A</v>
      </c>
      <c r="N17" s="423"/>
      <c r="O17" s="423"/>
      <c r="P17" s="197"/>
      <c r="Q17" s="197"/>
      <c r="R17" s="197"/>
      <c r="S17" s="197" t="e">
        <f t="shared" si="0"/>
        <v>#N/A</v>
      </c>
      <c r="T17" s="432"/>
      <c r="U17" s="197"/>
      <c r="V17" s="197"/>
      <c r="W17" s="197"/>
      <c r="X17" s="197" t="e">
        <f t="shared" si="1"/>
        <v>#N/A</v>
      </c>
      <c r="Y17" s="432"/>
      <c r="Z17" s="197"/>
      <c r="AA17" s="197"/>
      <c r="AB17" s="197"/>
      <c r="AC17" s="197" t="e">
        <f t="shared" si="2"/>
        <v>#N/A</v>
      </c>
      <c r="AD17" s="432"/>
      <c r="AE17" s="197"/>
      <c r="AF17" s="197"/>
      <c r="AG17" s="197"/>
      <c r="AH17" s="197" t="e">
        <f t="shared" si="3"/>
        <v>#N/A</v>
      </c>
      <c r="AI17" s="432"/>
      <c r="AJ17" s="197"/>
      <c r="AK17" s="197"/>
      <c r="AL17" s="197"/>
      <c r="AM17" s="197" t="e">
        <f t="shared" si="4"/>
        <v>#N/A</v>
      </c>
      <c r="AN17" s="432"/>
      <c r="AO17" s="197"/>
      <c r="AP17" s="197"/>
      <c r="AQ17" s="197"/>
      <c r="AR17" s="197" t="e">
        <f t="shared" si="5"/>
        <v>#N/A</v>
      </c>
      <c r="AS17" s="432"/>
      <c r="AT17" s="197"/>
      <c r="AU17" s="197"/>
      <c r="AV17" s="197"/>
      <c r="AW17" s="197" t="e">
        <f t="shared" si="6"/>
        <v>#N/A</v>
      </c>
      <c r="AX17" s="432"/>
    </row>
    <row r="18" spans="2:50">
      <c r="B18" s="422"/>
      <c r="C18" s="197">
        <v>12</v>
      </c>
      <c r="D18" s="225"/>
      <c r="E18" s="169"/>
      <c r="F18" s="197"/>
      <c r="G18" s="195"/>
      <c r="H18" s="429"/>
      <c r="I18" s="197"/>
      <c r="J18" s="197"/>
      <c r="K18" s="197"/>
      <c r="L18" s="429"/>
      <c r="M18" s="196" t="e">
        <f>RANK(K18, K$7:$K$21)</f>
        <v>#N/A</v>
      </c>
      <c r="N18" s="423"/>
      <c r="O18" s="423"/>
      <c r="P18" s="197"/>
      <c r="Q18" s="197"/>
      <c r="R18" s="197"/>
      <c r="S18" s="197" t="e">
        <f t="shared" si="0"/>
        <v>#N/A</v>
      </c>
      <c r="T18" s="432"/>
      <c r="U18" s="197"/>
      <c r="V18" s="197"/>
      <c r="W18" s="197"/>
      <c r="X18" s="197" t="e">
        <f t="shared" si="1"/>
        <v>#N/A</v>
      </c>
      <c r="Y18" s="432"/>
      <c r="Z18" s="197"/>
      <c r="AA18" s="197"/>
      <c r="AB18" s="197"/>
      <c r="AC18" s="197" t="e">
        <f t="shared" si="2"/>
        <v>#N/A</v>
      </c>
      <c r="AD18" s="432"/>
      <c r="AE18" s="197"/>
      <c r="AF18" s="197"/>
      <c r="AG18" s="197"/>
      <c r="AH18" s="197" t="e">
        <f t="shared" si="3"/>
        <v>#N/A</v>
      </c>
      <c r="AI18" s="432"/>
      <c r="AJ18" s="197"/>
      <c r="AK18" s="197"/>
      <c r="AL18" s="197"/>
      <c r="AM18" s="197" t="e">
        <f t="shared" si="4"/>
        <v>#N/A</v>
      </c>
      <c r="AN18" s="432"/>
      <c r="AO18" s="197"/>
      <c r="AP18" s="197"/>
      <c r="AQ18" s="197"/>
      <c r="AR18" s="197" t="e">
        <f t="shared" si="5"/>
        <v>#N/A</v>
      </c>
      <c r="AS18" s="432"/>
      <c r="AT18" s="197"/>
      <c r="AU18" s="197"/>
      <c r="AV18" s="197"/>
      <c r="AW18" s="197" t="e">
        <f t="shared" si="6"/>
        <v>#N/A</v>
      </c>
      <c r="AX18" s="432"/>
    </row>
    <row r="19" spans="2:50">
      <c r="B19" s="422"/>
      <c r="C19" s="197">
        <v>13</v>
      </c>
      <c r="D19" s="225"/>
      <c r="E19" s="169"/>
      <c r="F19" s="197"/>
      <c r="G19" s="195"/>
      <c r="H19" s="429"/>
      <c r="I19" s="197"/>
      <c r="J19" s="197"/>
      <c r="K19" s="197"/>
      <c r="L19" s="429"/>
      <c r="M19" s="196" t="e">
        <f>RANK(K19, K$7:$K$21)</f>
        <v>#N/A</v>
      </c>
      <c r="N19" s="423"/>
      <c r="O19" s="423"/>
      <c r="P19" s="197"/>
      <c r="Q19" s="197"/>
      <c r="R19" s="197"/>
      <c r="S19" s="197" t="e">
        <f t="shared" si="0"/>
        <v>#N/A</v>
      </c>
      <c r="T19" s="432"/>
      <c r="U19" s="197"/>
      <c r="V19" s="197"/>
      <c r="W19" s="197"/>
      <c r="X19" s="197" t="e">
        <f t="shared" si="1"/>
        <v>#N/A</v>
      </c>
      <c r="Y19" s="432"/>
      <c r="Z19" s="197"/>
      <c r="AA19" s="197"/>
      <c r="AB19" s="197"/>
      <c r="AC19" s="197" t="e">
        <f t="shared" si="2"/>
        <v>#N/A</v>
      </c>
      <c r="AD19" s="432"/>
      <c r="AE19" s="197"/>
      <c r="AF19" s="197"/>
      <c r="AG19" s="197"/>
      <c r="AH19" s="197" t="e">
        <f t="shared" si="3"/>
        <v>#N/A</v>
      </c>
      <c r="AI19" s="432"/>
      <c r="AJ19" s="197"/>
      <c r="AK19" s="197"/>
      <c r="AL19" s="197"/>
      <c r="AM19" s="197" t="e">
        <f t="shared" si="4"/>
        <v>#N/A</v>
      </c>
      <c r="AN19" s="432"/>
      <c r="AO19" s="197"/>
      <c r="AP19" s="197"/>
      <c r="AQ19" s="197"/>
      <c r="AR19" s="197" t="e">
        <f t="shared" si="5"/>
        <v>#N/A</v>
      </c>
      <c r="AS19" s="432"/>
      <c r="AT19" s="197"/>
      <c r="AU19" s="197"/>
      <c r="AV19" s="197"/>
      <c r="AW19" s="197" t="e">
        <f t="shared" si="6"/>
        <v>#N/A</v>
      </c>
      <c r="AX19" s="432"/>
    </row>
    <row r="20" spans="2:50">
      <c r="B20" s="422"/>
      <c r="C20" s="197">
        <v>14</v>
      </c>
      <c r="D20" s="225"/>
      <c r="E20" s="169"/>
      <c r="F20" s="197"/>
      <c r="G20" s="195"/>
      <c r="H20" s="429"/>
      <c r="I20" s="197"/>
      <c r="J20" s="197"/>
      <c r="K20" s="197"/>
      <c r="L20" s="429"/>
      <c r="M20" s="196" t="e">
        <f>RANK(K20, K$7:$K$21)</f>
        <v>#N/A</v>
      </c>
      <c r="N20" s="423"/>
      <c r="O20" s="423"/>
      <c r="P20" s="197"/>
      <c r="Q20" s="197"/>
      <c r="R20" s="197"/>
      <c r="S20" s="197" t="e">
        <f t="shared" si="0"/>
        <v>#N/A</v>
      </c>
      <c r="T20" s="432"/>
      <c r="U20" s="197"/>
      <c r="V20" s="197"/>
      <c r="W20" s="197"/>
      <c r="X20" s="197" t="e">
        <f t="shared" si="1"/>
        <v>#N/A</v>
      </c>
      <c r="Y20" s="432"/>
      <c r="Z20" s="197"/>
      <c r="AA20" s="197"/>
      <c r="AB20" s="197"/>
      <c r="AC20" s="197" t="e">
        <f t="shared" si="2"/>
        <v>#N/A</v>
      </c>
      <c r="AD20" s="432"/>
      <c r="AE20" s="197"/>
      <c r="AF20" s="197"/>
      <c r="AG20" s="197"/>
      <c r="AH20" s="197" t="e">
        <f t="shared" si="3"/>
        <v>#N/A</v>
      </c>
      <c r="AI20" s="432"/>
      <c r="AJ20" s="197"/>
      <c r="AK20" s="197"/>
      <c r="AL20" s="197"/>
      <c r="AM20" s="197" t="e">
        <f t="shared" si="4"/>
        <v>#N/A</v>
      </c>
      <c r="AN20" s="432"/>
      <c r="AO20" s="197"/>
      <c r="AP20" s="197"/>
      <c r="AQ20" s="197"/>
      <c r="AR20" s="197" t="e">
        <f t="shared" si="5"/>
        <v>#N/A</v>
      </c>
      <c r="AS20" s="432"/>
      <c r="AT20" s="197"/>
      <c r="AU20" s="197"/>
      <c r="AV20" s="197"/>
      <c r="AW20" s="197" t="e">
        <f t="shared" si="6"/>
        <v>#N/A</v>
      </c>
      <c r="AX20" s="432"/>
    </row>
    <row r="21" spans="2:50">
      <c r="B21" s="422"/>
      <c r="C21" s="197">
        <v>15</v>
      </c>
      <c r="D21" s="225"/>
      <c r="E21" s="169"/>
      <c r="F21" s="197"/>
      <c r="G21" s="195"/>
      <c r="H21" s="430"/>
      <c r="I21" s="197"/>
      <c r="J21" s="197"/>
      <c r="K21" s="197"/>
      <c r="L21" s="430"/>
      <c r="M21" s="169" t="e">
        <f>RANK(K21, K$7:$K$21)</f>
        <v>#N/A</v>
      </c>
      <c r="N21" s="423"/>
      <c r="O21" s="423"/>
      <c r="P21" s="197"/>
      <c r="Q21" s="197"/>
      <c r="R21" s="197"/>
      <c r="S21" s="197" t="e">
        <f t="shared" si="0"/>
        <v>#N/A</v>
      </c>
      <c r="T21" s="432"/>
      <c r="U21" s="197"/>
      <c r="V21" s="197"/>
      <c r="W21" s="197"/>
      <c r="X21" s="197" t="e">
        <f t="shared" si="1"/>
        <v>#N/A</v>
      </c>
      <c r="Y21" s="432"/>
      <c r="Z21" s="197"/>
      <c r="AA21" s="197"/>
      <c r="AB21" s="197"/>
      <c r="AC21" s="197" t="e">
        <f t="shared" si="2"/>
        <v>#N/A</v>
      </c>
      <c r="AD21" s="432"/>
      <c r="AE21" s="197"/>
      <c r="AF21" s="197"/>
      <c r="AG21" s="197"/>
      <c r="AH21" s="197" t="e">
        <f t="shared" si="3"/>
        <v>#N/A</v>
      </c>
      <c r="AI21" s="432"/>
      <c r="AJ21" s="197"/>
      <c r="AK21" s="197"/>
      <c r="AL21" s="197"/>
      <c r="AM21" s="197" t="e">
        <f t="shared" si="4"/>
        <v>#N/A</v>
      </c>
      <c r="AN21" s="432"/>
      <c r="AO21" s="197"/>
      <c r="AP21" s="197"/>
      <c r="AQ21" s="197"/>
      <c r="AR21" s="197" t="e">
        <f t="shared" si="5"/>
        <v>#N/A</v>
      </c>
      <c r="AS21" s="432"/>
      <c r="AT21" s="197"/>
      <c r="AU21" s="197"/>
      <c r="AV21" s="197"/>
      <c r="AW21" s="197" t="e">
        <f t="shared" si="6"/>
        <v>#N/A</v>
      </c>
      <c r="AX21" s="432"/>
    </row>
    <row r="22" spans="2:50" ht="15.75">
      <c r="B22" s="424" t="s">
        <v>202</v>
      </c>
      <c r="C22" s="425"/>
      <c r="D22" s="425"/>
      <c r="E22" s="425"/>
      <c r="F22" s="425"/>
      <c r="G22" s="425"/>
      <c r="H22" s="425"/>
      <c r="I22" s="198"/>
      <c r="J22" s="198"/>
      <c r="K22" s="198"/>
      <c r="L22" s="198"/>
      <c r="M22" s="193"/>
      <c r="N22" s="401" t="s">
        <v>203</v>
      </c>
      <c r="O22" s="401" t="s">
        <v>150</v>
      </c>
      <c r="P22" s="419">
        <f>AT2+1</f>
        <v>45902</v>
      </c>
      <c r="Q22" s="420"/>
      <c r="R22" s="420"/>
      <c r="S22" s="420"/>
      <c r="T22" s="420"/>
      <c r="U22" s="421">
        <f>P22+1</f>
        <v>45903</v>
      </c>
      <c r="V22" s="422"/>
      <c r="W22" s="422"/>
      <c r="X22" s="422"/>
      <c r="Y22" s="422"/>
      <c r="Z22" s="421">
        <f>U22+1</f>
        <v>45904</v>
      </c>
      <c r="AA22" s="422"/>
      <c r="AB22" s="422"/>
      <c r="AC22" s="422"/>
      <c r="AD22" s="422"/>
      <c r="AE22" s="421">
        <f>Z22+1</f>
        <v>45905</v>
      </c>
      <c r="AF22" s="422"/>
      <c r="AG22" s="422"/>
      <c r="AH22" s="422"/>
      <c r="AI22" s="422"/>
      <c r="AJ22" s="421">
        <f>AE22+1</f>
        <v>45906</v>
      </c>
      <c r="AK22" s="422"/>
      <c r="AL22" s="422"/>
      <c r="AM22" s="422"/>
      <c r="AN22" s="422"/>
      <c r="AO22" s="421">
        <f>AJ22+1</f>
        <v>45907</v>
      </c>
      <c r="AP22" s="422"/>
      <c r="AQ22" s="422"/>
      <c r="AR22" s="422"/>
      <c r="AS22" s="422"/>
      <c r="AT22" s="421">
        <f>AO22+1</f>
        <v>45908</v>
      </c>
      <c r="AU22" s="422"/>
      <c r="AV22" s="422"/>
      <c r="AW22" s="422"/>
      <c r="AX22" s="422"/>
    </row>
    <row r="23" spans="2:50" ht="15.75">
      <c r="B23" s="426"/>
      <c r="C23" s="426"/>
      <c r="D23" s="426"/>
      <c r="E23" s="426"/>
      <c r="F23" s="426"/>
      <c r="G23" s="426"/>
      <c r="H23" s="426"/>
      <c r="I23" s="199"/>
      <c r="J23" s="199"/>
      <c r="K23" s="199"/>
      <c r="L23" s="199"/>
      <c r="M23" s="194"/>
      <c r="N23" s="403"/>
      <c r="O23" s="403"/>
      <c r="P23" s="421" t="s">
        <v>204</v>
      </c>
      <c r="Q23" s="422"/>
      <c r="R23" s="422"/>
      <c r="S23" s="422"/>
      <c r="T23" s="422"/>
      <c r="U23" s="421" t="s">
        <v>205</v>
      </c>
      <c r="V23" s="422"/>
      <c r="W23" s="422"/>
      <c r="X23" s="422"/>
      <c r="Y23" s="422"/>
      <c r="Z23" s="421" t="s">
        <v>206</v>
      </c>
      <c r="AA23" s="422"/>
      <c r="AB23" s="422"/>
      <c r="AC23" s="422"/>
      <c r="AD23" s="422"/>
      <c r="AE23" s="421" t="s">
        <v>207</v>
      </c>
      <c r="AF23" s="422"/>
      <c r="AG23" s="422"/>
      <c r="AH23" s="422"/>
      <c r="AI23" s="422"/>
      <c r="AJ23" s="421" t="s">
        <v>208</v>
      </c>
      <c r="AK23" s="422"/>
      <c r="AL23" s="422"/>
      <c r="AM23" s="422"/>
      <c r="AN23" s="422"/>
      <c r="AO23" s="421" t="s">
        <v>157</v>
      </c>
      <c r="AP23" s="422"/>
      <c r="AQ23" s="422"/>
      <c r="AR23" s="422"/>
      <c r="AS23" s="422"/>
      <c r="AT23" s="421" t="s">
        <v>209</v>
      </c>
      <c r="AU23" s="422"/>
      <c r="AV23" s="422"/>
      <c r="AW23" s="422"/>
      <c r="AX23" s="422"/>
    </row>
    <row r="24" spans="2:50">
      <c r="B24" s="423" t="s">
        <v>210</v>
      </c>
      <c r="C24" s="423" t="s">
        <v>211</v>
      </c>
      <c r="D24" s="423"/>
      <c r="E24" s="423" t="s">
        <v>212</v>
      </c>
      <c r="F24" s="423"/>
      <c r="G24" s="423"/>
      <c r="H24" s="404" t="s">
        <v>213</v>
      </c>
      <c r="I24" s="423" t="s">
        <v>214</v>
      </c>
      <c r="J24" s="423"/>
      <c r="K24" s="423"/>
      <c r="L24" s="404" t="s">
        <v>213</v>
      </c>
      <c r="M24" s="401" t="s">
        <v>215</v>
      </c>
      <c r="N24" s="423"/>
      <c r="O24" s="423" t="s">
        <v>216</v>
      </c>
      <c r="P24" s="413" t="s">
        <v>217</v>
      </c>
      <c r="Q24" s="414"/>
      <c r="R24" s="414"/>
      <c r="S24" s="415"/>
      <c r="T24" s="423" t="s">
        <v>213</v>
      </c>
      <c r="U24" s="413" t="s">
        <v>217</v>
      </c>
      <c r="V24" s="414"/>
      <c r="W24" s="414"/>
      <c r="X24" s="415"/>
      <c r="Y24" s="423" t="s">
        <v>213</v>
      </c>
      <c r="Z24" s="413" t="s">
        <v>217</v>
      </c>
      <c r="AA24" s="414"/>
      <c r="AB24" s="414"/>
      <c r="AC24" s="415"/>
      <c r="AD24" s="423" t="s">
        <v>213</v>
      </c>
      <c r="AE24" s="413" t="s">
        <v>217</v>
      </c>
      <c r="AF24" s="414"/>
      <c r="AG24" s="414"/>
      <c r="AH24" s="415"/>
      <c r="AI24" s="423" t="s">
        <v>213</v>
      </c>
      <c r="AJ24" s="413" t="s">
        <v>217</v>
      </c>
      <c r="AK24" s="414"/>
      <c r="AL24" s="414"/>
      <c r="AM24" s="415"/>
      <c r="AN24" s="423" t="s">
        <v>213</v>
      </c>
      <c r="AO24" s="413" t="s">
        <v>217</v>
      </c>
      <c r="AP24" s="414"/>
      <c r="AQ24" s="414"/>
      <c r="AR24" s="415"/>
      <c r="AS24" s="423" t="s">
        <v>213</v>
      </c>
      <c r="AT24" s="413" t="s">
        <v>217</v>
      </c>
      <c r="AU24" s="414"/>
      <c r="AV24" s="414"/>
      <c r="AW24" s="415"/>
      <c r="AX24" s="423" t="s">
        <v>213</v>
      </c>
    </row>
    <row r="25" spans="2:50">
      <c r="B25" s="423"/>
      <c r="C25" s="423"/>
      <c r="D25" s="423"/>
      <c r="E25" s="423" t="s">
        <v>218</v>
      </c>
      <c r="F25" s="423"/>
      <c r="G25" s="423"/>
      <c r="H25" s="406"/>
      <c r="I25" s="423" t="s">
        <v>218</v>
      </c>
      <c r="J25" s="423"/>
      <c r="K25" s="423"/>
      <c r="L25" s="406"/>
      <c r="M25" s="402"/>
      <c r="N25" s="423"/>
      <c r="O25" s="423"/>
      <c r="P25" s="413" t="s">
        <v>219</v>
      </c>
      <c r="Q25" s="414"/>
      <c r="R25" s="414"/>
      <c r="S25" s="415"/>
      <c r="T25" s="423"/>
      <c r="U25" s="413" t="s">
        <v>219</v>
      </c>
      <c r="V25" s="414"/>
      <c r="W25" s="414"/>
      <c r="X25" s="415"/>
      <c r="Y25" s="423"/>
      <c r="Z25" s="413" t="s">
        <v>219</v>
      </c>
      <c r="AA25" s="414"/>
      <c r="AB25" s="414"/>
      <c r="AC25" s="415"/>
      <c r="AD25" s="423"/>
      <c r="AE25" s="413" t="s">
        <v>219</v>
      </c>
      <c r="AF25" s="414"/>
      <c r="AG25" s="414"/>
      <c r="AH25" s="415"/>
      <c r="AI25" s="423"/>
      <c r="AJ25" s="413" t="s">
        <v>219</v>
      </c>
      <c r="AK25" s="414"/>
      <c r="AL25" s="414"/>
      <c r="AM25" s="415"/>
      <c r="AN25" s="423"/>
      <c r="AO25" s="413" t="s">
        <v>219</v>
      </c>
      <c r="AP25" s="414"/>
      <c r="AQ25" s="414"/>
      <c r="AR25" s="415"/>
      <c r="AS25" s="423"/>
      <c r="AT25" s="413" t="s">
        <v>219</v>
      </c>
      <c r="AU25" s="414"/>
      <c r="AV25" s="414"/>
      <c r="AW25" s="415"/>
      <c r="AX25" s="423"/>
    </row>
    <row r="26" spans="2:50">
      <c r="B26" s="423"/>
      <c r="C26" s="423"/>
      <c r="D26" s="423"/>
      <c r="E26" s="297" t="s">
        <v>220</v>
      </c>
      <c r="F26" s="297" t="s">
        <v>221</v>
      </c>
      <c r="G26" s="297" t="s">
        <v>222</v>
      </c>
      <c r="H26" s="408"/>
      <c r="I26" s="297" t="s">
        <v>220</v>
      </c>
      <c r="J26" s="297" t="s">
        <v>221</v>
      </c>
      <c r="K26" s="297" t="s">
        <v>222</v>
      </c>
      <c r="L26" s="408"/>
      <c r="M26" s="403"/>
      <c r="N26" s="423"/>
      <c r="O26" s="423"/>
      <c r="P26" s="297" t="s">
        <v>220</v>
      </c>
      <c r="Q26" s="297" t="s">
        <v>221</v>
      </c>
      <c r="R26" s="297" t="s">
        <v>222</v>
      </c>
      <c r="S26" s="297" t="s">
        <v>215</v>
      </c>
      <c r="T26" s="423"/>
      <c r="U26" s="297" t="s">
        <v>220</v>
      </c>
      <c r="V26" s="297" t="s">
        <v>221</v>
      </c>
      <c r="W26" s="297" t="s">
        <v>222</v>
      </c>
      <c r="X26" s="297" t="s">
        <v>215</v>
      </c>
      <c r="Y26" s="423"/>
      <c r="Z26" s="297" t="s">
        <v>220</v>
      </c>
      <c r="AA26" s="297" t="s">
        <v>221</v>
      </c>
      <c r="AB26" s="297" t="s">
        <v>222</v>
      </c>
      <c r="AC26" s="297" t="s">
        <v>215</v>
      </c>
      <c r="AD26" s="423"/>
      <c r="AE26" s="297" t="s">
        <v>220</v>
      </c>
      <c r="AF26" s="297" t="s">
        <v>221</v>
      </c>
      <c r="AG26" s="297" t="s">
        <v>222</v>
      </c>
      <c r="AH26" s="297" t="s">
        <v>215</v>
      </c>
      <c r="AI26" s="423"/>
      <c r="AJ26" s="297" t="s">
        <v>220</v>
      </c>
      <c r="AK26" s="297" t="s">
        <v>221</v>
      </c>
      <c r="AL26" s="297" t="s">
        <v>222</v>
      </c>
      <c r="AM26" s="297" t="s">
        <v>215</v>
      </c>
      <c r="AN26" s="423"/>
      <c r="AO26" s="297" t="s">
        <v>220</v>
      </c>
      <c r="AP26" s="297" t="s">
        <v>221</v>
      </c>
      <c r="AQ26" s="297" t="s">
        <v>222</v>
      </c>
      <c r="AR26" s="297" t="s">
        <v>215</v>
      </c>
      <c r="AS26" s="423"/>
      <c r="AT26" s="297" t="s">
        <v>220</v>
      </c>
      <c r="AU26" s="297" t="s">
        <v>221</v>
      </c>
      <c r="AV26" s="297" t="s">
        <v>222</v>
      </c>
      <c r="AW26" s="297" t="s">
        <v>215</v>
      </c>
      <c r="AX26" s="423"/>
    </row>
    <row r="27" spans="2:50">
      <c r="B27" s="423" t="s">
        <v>267</v>
      </c>
      <c r="C27" s="197">
        <v>1</v>
      </c>
      <c r="D27" s="225" t="s">
        <v>268</v>
      </c>
      <c r="E27" s="169">
        <v>13</v>
      </c>
      <c r="F27" s="197">
        <v>1607.9999999999993</v>
      </c>
      <c r="G27" s="195">
        <v>123.69230769230764</v>
      </c>
      <c r="H27" s="428">
        <f>AVERAGE(G27:G41)</f>
        <v>123.69230769230764</v>
      </c>
      <c r="I27" s="169">
        <f>AVERAGE(P27,U27,Z27,AE27,AJ27,AO27,AT27)</f>
        <v>13</v>
      </c>
      <c r="J27" s="169">
        <f>AVERAGE(Q27,V27,AA27,AF27,AK27,AP27,AU27)</f>
        <v>1368.2000000000005</v>
      </c>
      <c r="K27" s="195">
        <f>AVERAGE(R27,W27,AB27,AG27,AL27,AQ27,AV27)</f>
        <v>105.24615384615387</v>
      </c>
      <c r="L27" s="428">
        <f>IFERROR(AVERAGE(K27:K41),"-")</f>
        <v>105.24615384615387</v>
      </c>
      <c r="M27" s="196">
        <f>RANK(K27, K$27:$K$41)</f>
        <v>1</v>
      </c>
      <c r="N27" s="423"/>
      <c r="O27" s="423"/>
      <c r="P27" s="197">
        <v>13</v>
      </c>
      <c r="Q27" s="169">
        <v>1386.000000000005</v>
      </c>
      <c r="R27" s="195">
        <v>106.615384615385</v>
      </c>
      <c r="S27" s="197">
        <f t="shared" ref="S27:S41" si="7">RANK(R27, R$27:R$41)</f>
        <v>1</v>
      </c>
      <c r="T27" s="432">
        <f>AVERAGE(R27:R41)</f>
        <v>106.615384615385</v>
      </c>
      <c r="U27" s="197">
        <v>13</v>
      </c>
      <c r="V27" s="169">
        <v>1295.9999999999943</v>
      </c>
      <c r="W27" s="195">
        <v>99.692307692307253</v>
      </c>
      <c r="X27" s="197">
        <f t="shared" ref="X27:X41" si="8">RANK(W27, W$27:W$41)</f>
        <v>1</v>
      </c>
      <c r="Y27" s="432">
        <f>AVERAGE(W27:W41)</f>
        <v>99.692307692307253</v>
      </c>
      <c r="Z27" s="197">
        <v>13</v>
      </c>
      <c r="AA27" s="169">
        <v>1265.9999999999995</v>
      </c>
      <c r="AB27" s="195">
        <v>97.384615384615344</v>
      </c>
      <c r="AC27" s="197">
        <f t="shared" ref="AC27:AC41" si="9">RANK(AB27, AB$27:AB$41)</f>
        <v>1</v>
      </c>
      <c r="AD27" s="432">
        <f>AVERAGE(AB27:AB41)</f>
        <v>97.384615384615344</v>
      </c>
      <c r="AE27" s="197">
        <v>13</v>
      </c>
      <c r="AF27" s="169">
        <v>1484.0000000000052</v>
      </c>
      <c r="AG27" s="195">
        <v>114.15384615384656</v>
      </c>
      <c r="AH27" s="197">
        <f t="shared" ref="AH27:AH41" si="10">RANK(AG27, AG$27:AG$41)</f>
        <v>1</v>
      </c>
      <c r="AI27" s="432">
        <f>AVERAGE(AG27:AG41)</f>
        <v>114.15384615384656</v>
      </c>
      <c r="AJ27" s="197">
        <v>13</v>
      </c>
      <c r="AK27" s="169">
        <v>1223.9999999999995</v>
      </c>
      <c r="AL27" s="195">
        <v>94.153846153846118</v>
      </c>
      <c r="AM27" s="197">
        <f t="shared" ref="AM27:AM41" si="11">RANK(AL27, AL$27:AL$41)</f>
        <v>1</v>
      </c>
      <c r="AN27" s="432">
        <f>AVERAGE(AL27:AL41)</f>
        <v>94.153846153846118</v>
      </c>
      <c r="AO27" s="197">
        <v>13</v>
      </c>
      <c r="AP27" s="169">
        <v>1346.4000000000003</v>
      </c>
      <c r="AQ27" s="195">
        <v>103.5692307692308</v>
      </c>
      <c r="AR27" s="197">
        <f t="shared" ref="AR27:AR41" si="12">RANK(AQ27, AQ$27:AQ$41)</f>
        <v>1</v>
      </c>
      <c r="AS27" s="432">
        <f>AVERAGE(AQ27:AQ41)</f>
        <v>103.5692307692308</v>
      </c>
      <c r="AT27" s="197">
        <v>13</v>
      </c>
      <c r="AU27" s="169">
        <v>1574.9999999999993</v>
      </c>
      <c r="AV27" s="195">
        <v>121.1538461538461</v>
      </c>
      <c r="AW27" s="197">
        <f t="shared" ref="AW27:AW41" si="13">RANK(AV27, AV$27:AV$41)</f>
        <v>1</v>
      </c>
      <c r="AX27" s="432">
        <f>AVERAGE(AV27:AV41)</f>
        <v>121.1538461538461</v>
      </c>
    </row>
    <row r="28" spans="2:50">
      <c r="B28" s="422"/>
      <c r="C28" s="197">
        <v>2</v>
      </c>
      <c r="D28" s="225"/>
      <c r="E28" s="169"/>
      <c r="F28" s="197"/>
      <c r="G28" s="195"/>
      <c r="H28" s="429"/>
      <c r="I28" s="169"/>
      <c r="J28" s="169"/>
      <c r="K28" s="195"/>
      <c r="L28" s="429"/>
      <c r="M28" s="196" t="e">
        <f>RANK(K28, K$27:$K$41)</f>
        <v>#N/A</v>
      </c>
      <c r="N28" s="423"/>
      <c r="O28" s="423"/>
      <c r="P28" s="197"/>
      <c r="Q28" s="197"/>
      <c r="R28" s="197"/>
      <c r="S28" s="197" t="e">
        <f t="shared" si="7"/>
        <v>#N/A</v>
      </c>
      <c r="T28" s="432"/>
      <c r="U28" s="197"/>
      <c r="V28" s="197"/>
      <c r="W28" s="197"/>
      <c r="X28" s="197" t="e">
        <f t="shared" si="8"/>
        <v>#N/A</v>
      </c>
      <c r="Y28" s="432"/>
      <c r="Z28" s="197"/>
      <c r="AA28" s="197"/>
      <c r="AB28" s="197"/>
      <c r="AC28" s="197" t="e">
        <f t="shared" si="9"/>
        <v>#N/A</v>
      </c>
      <c r="AD28" s="432"/>
      <c r="AE28" s="197"/>
      <c r="AF28" s="197"/>
      <c r="AG28" s="197"/>
      <c r="AH28" s="197" t="e">
        <f t="shared" si="10"/>
        <v>#N/A</v>
      </c>
      <c r="AI28" s="432"/>
      <c r="AJ28" s="197"/>
      <c r="AK28" s="197"/>
      <c r="AL28" s="197"/>
      <c r="AM28" s="197" t="e">
        <f t="shared" si="11"/>
        <v>#N/A</v>
      </c>
      <c r="AN28" s="432"/>
      <c r="AO28" s="197"/>
      <c r="AP28" s="197"/>
      <c r="AQ28" s="197"/>
      <c r="AR28" s="197" t="e">
        <f t="shared" si="12"/>
        <v>#N/A</v>
      </c>
      <c r="AS28" s="432"/>
      <c r="AT28" s="197"/>
      <c r="AU28" s="197"/>
      <c r="AV28" s="197"/>
      <c r="AW28" s="197" t="e">
        <f t="shared" si="13"/>
        <v>#N/A</v>
      </c>
      <c r="AX28" s="432"/>
    </row>
    <row r="29" spans="2:50">
      <c r="B29" s="422"/>
      <c r="C29" s="197">
        <v>3</v>
      </c>
      <c r="D29" s="225"/>
      <c r="E29" s="169"/>
      <c r="F29" s="197"/>
      <c r="G29" s="195"/>
      <c r="H29" s="429"/>
      <c r="I29" s="169"/>
      <c r="J29" s="169"/>
      <c r="K29" s="195"/>
      <c r="L29" s="429"/>
      <c r="M29" s="196" t="e">
        <f>RANK(K29, K$27:$K$41)</f>
        <v>#N/A</v>
      </c>
      <c r="N29" s="423"/>
      <c r="O29" s="423"/>
      <c r="P29" s="197"/>
      <c r="Q29" s="197"/>
      <c r="R29" s="197"/>
      <c r="S29" s="197" t="e">
        <f t="shared" si="7"/>
        <v>#N/A</v>
      </c>
      <c r="T29" s="432"/>
      <c r="U29" s="197"/>
      <c r="V29" s="197"/>
      <c r="W29" s="197"/>
      <c r="X29" s="197" t="e">
        <f t="shared" si="8"/>
        <v>#N/A</v>
      </c>
      <c r="Y29" s="432"/>
      <c r="Z29" s="197"/>
      <c r="AA29" s="197"/>
      <c r="AB29" s="197"/>
      <c r="AC29" s="197" t="e">
        <f t="shared" si="9"/>
        <v>#N/A</v>
      </c>
      <c r="AD29" s="432"/>
      <c r="AE29" s="197"/>
      <c r="AF29" s="197"/>
      <c r="AG29" s="197"/>
      <c r="AH29" s="197" t="e">
        <f t="shared" si="10"/>
        <v>#N/A</v>
      </c>
      <c r="AI29" s="432"/>
      <c r="AJ29" s="197"/>
      <c r="AK29" s="197"/>
      <c r="AL29" s="197"/>
      <c r="AM29" s="197" t="e">
        <f t="shared" si="11"/>
        <v>#N/A</v>
      </c>
      <c r="AN29" s="432"/>
      <c r="AO29" s="197"/>
      <c r="AP29" s="197"/>
      <c r="AQ29" s="197"/>
      <c r="AR29" s="197" t="e">
        <f t="shared" si="12"/>
        <v>#N/A</v>
      </c>
      <c r="AS29" s="432"/>
      <c r="AT29" s="197"/>
      <c r="AU29" s="197"/>
      <c r="AV29" s="197"/>
      <c r="AW29" s="197" t="e">
        <f t="shared" si="13"/>
        <v>#N/A</v>
      </c>
      <c r="AX29" s="432"/>
    </row>
    <row r="30" spans="2:50">
      <c r="B30" s="422"/>
      <c r="C30" s="197">
        <v>4</v>
      </c>
      <c r="D30" s="225"/>
      <c r="E30" s="169"/>
      <c r="F30" s="197"/>
      <c r="G30" s="195"/>
      <c r="H30" s="429"/>
      <c r="I30" s="169"/>
      <c r="J30" s="169"/>
      <c r="K30" s="195"/>
      <c r="L30" s="429"/>
      <c r="M30" s="196" t="e">
        <f>RANK(K30, K$27:$K$41)</f>
        <v>#N/A</v>
      </c>
      <c r="N30" s="423"/>
      <c r="O30" s="423"/>
      <c r="P30" s="197"/>
      <c r="Q30" s="197"/>
      <c r="R30" s="197"/>
      <c r="S30" s="197" t="e">
        <f t="shared" si="7"/>
        <v>#N/A</v>
      </c>
      <c r="T30" s="432"/>
      <c r="U30" s="197"/>
      <c r="V30" s="197"/>
      <c r="W30" s="197"/>
      <c r="X30" s="197" t="e">
        <f t="shared" si="8"/>
        <v>#N/A</v>
      </c>
      <c r="Y30" s="432"/>
      <c r="Z30" s="197"/>
      <c r="AA30" s="197"/>
      <c r="AB30" s="197"/>
      <c r="AC30" s="197" t="e">
        <f t="shared" si="9"/>
        <v>#N/A</v>
      </c>
      <c r="AD30" s="432"/>
      <c r="AE30" s="197"/>
      <c r="AF30" s="197"/>
      <c r="AG30" s="197"/>
      <c r="AH30" s="197" t="e">
        <f t="shared" si="10"/>
        <v>#N/A</v>
      </c>
      <c r="AI30" s="432"/>
      <c r="AJ30" s="197"/>
      <c r="AK30" s="197"/>
      <c r="AL30" s="197"/>
      <c r="AM30" s="197" t="e">
        <f t="shared" si="11"/>
        <v>#N/A</v>
      </c>
      <c r="AN30" s="432"/>
      <c r="AO30" s="197"/>
      <c r="AP30" s="197"/>
      <c r="AQ30" s="197"/>
      <c r="AR30" s="197" t="e">
        <f t="shared" si="12"/>
        <v>#N/A</v>
      </c>
      <c r="AS30" s="432"/>
      <c r="AT30" s="197"/>
      <c r="AU30" s="197"/>
      <c r="AV30" s="197"/>
      <c r="AW30" s="197" t="e">
        <f t="shared" si="13"/>
        <v>#N/A</v>
      </c>
      <c r="AX30" s="432"/>
    </row>
    <row r="31" spans="2:50">
      <c r="B31" s="422"/>
      <c r="C31" s="197">
        <v>5</v>
      </c>
      <c r="D31" s="225"/>
      <c r="E31" s="169"/>
      <c r="F31" s="197"/>
      <c r="G31" s="195"/>
      <c r="H31" s="429"/>
      <c r="I31" s="169"/>
      <c r="J31" s="169"/>
      <c r="K31" s="195"/>
      <c r="L31" s="429"/>
      <c r="M31" s="196" t="e">
        <f>RANK(K31, K$27:$K$41)</f>
        <v>#N/A</v>
      </c>
      <c r="N31" s="423"/>
      <c r="O31" s="423"/>
      <c r="P31" s="197"/>
      <c r="Q31" s="197"/>
      <c r="R31" s="197"/>
      <c r="S31" s="197" t="e">
        <f t="shared" si="7"/>
        <v>#N/A</v>
      </c>
      <c r="T31" s="432"/>
      <c r="U31" s="197"/>
      <c r="V31" s="197"/>
      <c r="W31" s="197"/>
      <c r="X31" s="197" t="e">
        <f t="shared" si="8"/>
        <v>#N/A</v>
      </c>
      <c r="Y31" s="432"/>
      <c r="Z31" s="197"/>
      <c r="AA31" s="197"/>
      <c r="AB31" s="197"/>
      <c r="AC31" s="197" t="e">
        <f t="shared" si="9"/>
        <v>#N/A</v>
      </c>
      <c r="AD31" s="432"/>
      <c r="AE31" s="197"/>
      <c r="AF31" s="197"/>
      <c r="AG31" s="197"/>
      <c r="AH31" s="197" t="e">
        <f t="shared" si="10"/>
        <v>#N/A</v>
      </c>
      <c r="AI31" s="432"/>
      <c r="AJ31" s="197"/>
      <c r="AK31" s="197"/>
      <c r="AL31" s="197"/>
      <c r="AM31" s="197" t="e">
        <f t="shared" si="11"/>
        <v>#N/A</v>
      </c>
      <c r="AN31" s="432"/>
      <c r="AO31" s="197"/>
      <c r="AP31" s="197"/>
      <c r="AQ31" s="197"/>
      <c r="AR31" s="197" t="e">
        <f t="shared" si="12"/>
        <v>#N/A</v>
      </c>
      <c r="AS31" s="432"/>
      <c r="AT31" s="197"/>
      <c r="AU31" s="197"/>
      <c r="AV31" s="197"/>
      <c r="AW31" s="197" t="e">
        <f t="shared" si="13"/>
        <v>#N/A</v>
      </c>
      <c r="AX31" s="432"/>
    </row>
    <row r="32" spans="2:50">
      <c r="B32" s="422"/>
      <c r="C32" s="197">
        <v>6</v>
      </c>
      <c r="D32" s="225"/>
      <c r="E32" s="169"/>
      <c r="F32" s="197"/>
      <c r="G32" s="195"/>
      <c r="H32" s="429"/>
      <c r="I32" s="169"/>
      <c r="J32" s="169"/>
      <c r="K32" s="195"/>
      <c r="L32" s="429"/>
      <c r="M32" s="196" t="e">
        <f>RANK(K32, K$27:$K$41)</f>
        <v>#N/A</v>
      </c>
      <c r="N32" s="423"/>
      <c r="O32" s="423"/>
      <c r="P32" s="197"/>
      <c r="Q32" s="197"/>
      <c r="R32" s="197"/>
      <c r="S32" s="197" t="e">
        <f t="shared" si="7"/>
        <v>#N/A</v>
      </c>
      <c r="T32" s="432"/>
      <c r="U32" s="197"/>
      <c r="V32" s="197"/>
      <c r="W32" s="197"/>
      <c r="X32" s="197" t="e">
        <f t="shared" si="8"/>
        <v>#N/A</v>
      </c>
      <c r="Y32" s="432"/>
      <c r="Z32" s="197"/>
      <c r="AA32" s="197"/>
      <c r="AB32" s="197"/>
      <c r="AC32" s="197" t="e">
        <f t="shared" si="9"/>
        <v>#N/A</v>
      </c>
      <c r="AD32" s="432"/>
      <c r="AE32" s="197"/>
      <c r="AF32" s="197"/>
      <c r="AG32" s="197"/>
      <c r="AH32" s="197" t="e">
        <f t="shared" si="10"/>
        <v>#N/A</v>
      </c>
      <c r="AI32" s="432"/>
      <c r="AJ32" s="197"/>
      <c r="AK32" s="197"/>
      <c r="AL32" s="197"/>
      <c r="AM32" s="197" t="e">
        <f t="shared" si="11"/>
        <v>#N/A</v>
      </c>
      <c r="AN32" s="432"/>
      <c r="AO32" s="197"/>
      <c r="AP32" s="197"/>
      <c r="AQ32" s="197"/>
      <c r="AR32" s="197" t="e">
        <f t="shared" si="12"/>
        <v>#N/A</v>
      </c>
      <c r="AS32" s="432"/>
      <c r="AT32" s="197"/>
      <c r="AU32" s="197"/>
      <c r="AV32" s="197"/>
      <c r="AW32" s="197" t="e">
        <f t="shared" si="13"/>
        <v>#N/A</v>
      </c>
      <c r="AX32" s="432"/>
    </row>
    <row r="33" spans="2:50">
      <c r="B33" s="422"/>
      <c r="C33" s="197">
        <v>7</v>
      </c>
      <c r="D33" s="225"/>
      <c r="E33" s="169"/>
      <c r="F33" s="197"/>
      <c r="G33" s="195"/>
      <c r="H33" s="429"/>
      <c r="I33" s="169"/>
      <c r="J33" s="169"/>
      <c r="K33" s="195"/>
      <c r="L33" s="429"/>
      <c r="M33" s="196" t="e">
        <f>RANK(K33, K$27:$K$41)</f>
        <v>#N/A</v>
      </c>
      <c r="N33" s="423"/>
      <c r="O33" s="423"/>
      <c r="P33" s="197"/>
      <c r="Q33" s="197"/>
      <c r="R33" s="197"/>
      <c r="S33" s="197" t="e">
        <f t="shared" si="7"/>
        <v>#N/A</v>
      </c>
      <c r="T33" s="432"/>
      <c r="U33" s="197"/>
      <c r="V33" s="197"/>
      <c r="W33" s="197"/>
      <c r="X33" s="197" t="e">
        <f t="shared" si="8"/>
        <v>#N/A</v>
      </c>
      <c r="Y33" s="432"/>
      <c r="Z33" s="197"/>
      <c r="AA33" s="197"/>
      <c r="AB33" s="197"/>
      <c r="AC33" s="197" t="e">
        <f t="shared" si="9"/>
        <v>#N/A</v>
      </c>
      <c r="AD33" s="432"/>
      <c r="AE33" s="197"/>
      <c r="AF33" s="197"/>
      <c r="AG33" s="197"/>
      <c r="AH33" s="197" t="e">
        <f t="shared" si="10"/>
        <v>#N/A</v>
      </c>
      <c r="AI33" s="432"/>
      <c r="AJ33" s="197"/>
      <c r="AK33" s="197"/>
      <c r="AL33" s="197"/>
      <c r="AM33" s="197" t="e">
        <f t="shared" si="11"/>
        <v>#N/A</v>
      </c>
      <c r="AN33" s="432"/>
      <c r="AO33" s="197"/>
      <c r="AP33" s="197"/>
      <c r="AQ33" s="197"/>
      <c r="AR33" s="197" t="e">
        <f t="shared" si="12"/>
        <v>#N/A</v>
      </c>
      <c r="AS33" s="432"/>
      <c r="AT33" s="197"/>
      <c r="AU33" s="197"/>
      <c r="AV33" s="197"/>
      <c r="AW33" s="197" t="e">
        <f t="shared" si="13"/>
        <v>#N/A</v>
      </c>
      <c r="AX33" s="432"/>
    </row>
    <row r="34" spans="2:50">
      <c r="B34" s="422"/>
      <c r="C34" s="197">
        <v>8</v>
      </c>
      <c r="D34" s="225"/>
      <c r="E34" s="169"/>
      <c r="F34" s="197"/>
      <c r="G34" s="195"/>
      <c r="H34" s="429"/>
      <c r="I34" s="169"/>
      <c r="J34" s="169"/>
      <c r="K34" s="195"/>
      <c r="L34" s="429"/>
      <c r="M34" s="196" t="e">
        <f>RANK(K34, K$27:$K$41)</f>
        <v>#N/A</v>
      </c>
      <c r="N34" s="423"/>
      <c r="O34" s="423"/>
      <c r="P34" s="197"/>
      <c r="Q34" s="197"/>
      <c r="R34" s="197"/>
      <c r="S34" s="197" t="e">
        <f t="shared" si="7"/>
        <v>#N/A</v>
      </c>
      <c r="T34" s="432"/>
      <c r="U34" s="197"/>
      <c r="V34" s="197"/>
      <c r="W34" s="197"/>
      <c r="X34" s="197" t="e">
        <f t="shared" si="8"/>
        <v>#N/A</v>
      </c>
      <c r="Y34" s="432"/>
      <c r="Z34" s="197"/>
      <c r="AA34" s="197"/>
      <c r="AB34" s="197"/>
      <c r="AC34" s="197" t="e">
        <f t="shared" si="9"/>
        <v>#N/A</v>
      </c>
      <c r="AD34" s="432"/>
      <c r="AE34" s="197"/>
      <c r="AF34" s="197"/>
      <c r="AG34" s="197"/>
      <c r="AH34" s="197" t="e">
        <f t="shared" si="10"/>
        <v>#N/A</v>
      </c>
      <c r="AI34" s="432"/>
      <c r="AJ34" s="197"/>
      <c r="AK34" s="197"/>
      <c r="AL34" s="197"/>
      <c r="AM34" s="197" t="e">
        <f t="shared" si="11"/>
        <v>#N/A</v>
      </c>
      <c r="AN34" s="432"/>
      <c r="AO34" s="197"/>
      <c r="AP34" s="197"/>
      <c r="AQ34" s="197"/>
      <c r="AR34" s="197" t="e">
        <f t="shared" si="12"/>
        <v>#N/A</v>
      </c>
      <c r="AS34" s="432"/>
      <c r="AT34" s="197"/>
      <c r="AU34" s="197"/>
      <c r="AV34" s="197"/>
      <c r="AW34" s="197" t="e">
        <f t="shared" si="13"/>
        <v>#N/A</v>
      </c>
      <c r="AX34" s="432"/>
    </row>
    <row r="35" spans="2:50">
      <c r="B35" s="422"/>
      <c r="C35" s="197">
        <v>9</v>
      </c>
      <c r="D35" s="225"/>
      <c r="E35" s="169"/>
      <c r="F35" s="197"/>
      <c r="G35" s="195"/>
      <c r="H35" s="429"/>
      <c r="I35" s="169"/>
      <c r="J35" s="169"/>
      <c r="K35" s="195"/>
      <c r="L35" s="429"/>
      <c r="M35" s="196" t="e">
        <f>RANK(K35, K$27:$K$41)</f>
        <v>#N/A</v>
      </c>
      <c r="N35" s="423"/>
      <c r="O35" s="423"/>
      <c r="P35" s="197"/>
      <c r="Q35" s="197"/>
      <c r="R35" s="197"/>
      <c r="S35" s="197" t="e">
        <f t="shared" si="7"/>
        <v>#N/A</v>
      </c>
      <c r="T35" s="432"/>
      <c r="U35" s="197"/>
      <c r="V35" s="197"/>
      <c r="W35" s="197"/>
      <c r="X35" s="197" t="e">
        <f t="shared" si="8"/>
        <v>#N/A</v>
      </c>
      <c r="Y35" s="432"/>
      <c r="Z35" s="197"/>
      <c r="AA35" s="197"/>
      <c r="AB35" s="197"/>
      <c r="AC35" s="197" t="e">
        <f t="shared" si="9"/>
        <v>#N/A</v>
      </c>
      <c r="AD35" s="432"/>
      <c r="AE35" s="197"/>
      <c r="AF35" s="197"/>
      <c r="AG35" s="197"/>
      <c r="AH35" s="197" t="e">
        <f t="shared" si="10"/>
        <v>#N/A</v>
      </c>
      <c r="AI35" s="432"/>
      <c r="AJ35" s="197"/>
      <c r="AK35" s="197"/>
      <c r="AL35" s="197"/>
      <c r="AM35" s="197" t="e">
        <f t="shared" si="11"/>
        <v>#N/A</v>
      </c>
      <c r="AN35" s="432"/>
      <c r="AO35" s="197"/>
      <c r="AP35" s="197"/>
      <c r="AQ35" s="197"/>
      <c r="AR35" s="197" t="e">
        <f t="shared" si="12"/>
        <v>#N/A</v>
      </c>
      <c r="AS35" s="432"/>
      <c r="AT35" s="197"/>
      <c r="AU35" s="197"/>
      <c r="AV35" s="197"/>
      <c r="AW35" s="197" t="e">
        <f t="shared" si="13"/>
        <v>#N/A</v>
      </c>
      <c r="AX35" s="432"/>
    </row>
    <row r="36" spans="2:50">
      <c r="B36" s="422"/>
      <c r="C36" s="197">
        <v>10</v>
      </c>
      <c r="D36" s="225"/>
      <c r="E36" s="169"/>
      <c r="F36" s="197"/>
      <c r="G36" s="195"/>
      <c r="H36" s="429"/>
      <c r="I36" s="169"/>
      <c r="J36" s="169"/>
      <c r="K36" s="195"/>
      <c r="L36" s="429"/>
      <c r="M36" s="196" t="e">
        <f>RANK(K36, K$27:$K$41)</f>
        <v>#N/A</v>
      </c>
      <c r="N36" s="423"/>
      <c r="O36" s="423"/>
      <c r="P36" s="197"/>
      <c r="Q36" s="197"/>
      <c r="R36" s="197"/>
      <c r="S36" s="197" t="e">
        <f t="shared" si="7"/>
        <v>#N/A</v>
      </c>
      <c r="T36" s="432"/>
      <c r="U36" s="197"/>
      <c r="V36" s="197"/>
      <c r="W36" s="197"/>
      <c r="X36" s="197" t="e">
        <f t="shared" si="8"/>
        <v>#N/A</v>
      </c>
      <c r="Y36" s="432"/>
      <c r="Z36" s="197"/>
      <c r="AA36" s="197"/>
      <c r="AB36" s="197"/>
      <c r="AC36" s="197" t="e">
        <f t="shared" si="9"/>
        <v>#N/A</v>
      </c>
      <c r="AD36" s="432"/>
      <c r="AE36" s="197"/>
      <c r="AF36" s="197"/>
      <c r="AG36" s="197"/>
      <c r="AH36" s="197" t="e">
        <f t="shared" si="10"/>
        <v>#N/A</v>
      </c>
      <c r="AI36" s="432"/>
      <c r="AJ36" s="197"/>
      <c r="AK36" s="197"/>
      <c r="AL36" s="197"/>
      <c r="AM36" s="197" t="e">
        <f t="shared" si="11"/>
        <v>#N/A</v>
      </c>
      <c r="AN36" s="432"/>
      <c r="AO36" s="197"/>
      <c r="AP36" s="197"/>
      <c r="AQ36" s="197"/>
      <c r="AR36" s="197" t="e">
        <f t="shared" si="12"/>
        <v>#N/A</v>
      </c>
      <c r="AS36" s="432"/>
      <c r="AT36" s="197"/>
      <c r="AU36" s="197"/>
      <c r="AV36" s="197"/>
      <c r="AW36" s="197" t="e">
        <f t="shared" si="13"/>
        <v>#N/A</v>
      </c>
      <c r="AX36" s="432"/>
    </row>
    <row r="37" spans="2:50">
      <c r="B37" s="422"/>
      <c r="C37" s="197">
        <v>11</v>
      </c>
      <c r="D37" s="225"/>
      <c r="E37" s="169"/>
      <c r="F37" s="197"/>
      <c r="G37" s="195"/>
      <c r="H37" s="429"/>
      <c r="I37" s="197"/>
      <c r="J37" s="197"/>
      <c r="K37" s="197"/>
      <c r="L37" s="429"/>
      <c r="M37" s="196" t="e">
        <f>RANK(K37, K$27:$K$41)</f>
        <v>#N/A</v>
      </c>
      <c r="N37" s="423"/>
      <c r="O37" s="423"/>
      <c r="P37" s="197"/>
      <c r="Q37" s="197"/>
      <c r="R37" s="197"/>
      <c r="S37" s="197" t="e">
        <f t="shared" si="7"/>
        <v>#N/A</v>
      </c>
      <c r="T37" s="432"/>
      <c r="U37" s="197"/>
      <c r="V37" s="197"/>
      <c r="W37" s="197"/>
      <c r="X37" s="197" t="e">
        <f t="shared" si="8"/>
        <v>#N/A</v>
      </c>
      <c r="Y37" s="432"/>
      <c r="Z37" s="197"/>
      <c r="AA37" s="197"/>
      <c r="AB37" s="197"/>
      <c r="AC37" s="197" t="e">
        <f t="shared" si="9"/>
        <v>#N/A</v>
      </c>
      <c r="AD37" s="432"/>
      <c r="AE37" s="197"/>
      <c r="AF37" s="197"/>
      <c r="AG37" s="197"/>
      <c r="AH37" s="197" t="e">
        <f t="shared" si="10"/>
        <v>#N/A</v>
      </c>
      <c r="AI37" s="432"/>
      <c r="AJ37" s="197"/>
      <c r="AK37" s="197"/>
      <c r="AL37" s="197"/>
      <c r="AM37" s="197" t="e">
        <f t="shared" si="11"/>
        <v>#N/A</v>
      </c>
      <c r="AN37" s="432"/>
      <c r="AO37" s="197"/>
      <c r="AP37" s="197"/>
      <c r="AQ37" s="197"/>
      <c r="AR37" s="197" t="e">
        <f t="shared" si="12"/>
        <v>#N/A</v>
      </c>
      <c r="AS37" s="432"/>
      <c r="AT37" s="197"/>
      <c r="AU37" s="197"/>
      <c r="AV37" s="197"/>
      <c r="AW37" s="197" t="e">
        <f t="shared" si="13"/>
        <v>#N/A</v>
      </c>
      <c r="AX37" s="432"/>
    </row>
    <row r="38" spans="2:50">
      <c r="B38" s="422"/>
      <c r="C38" s="197">
        <v>12</v>
      </c>
      <c r="D38" s="225"/>
      <c r="E38" s="169"/>
      <c r="F38" s="197"/>
      <c r="G38" s="195"/>
      <c r="H38" s="429"/>
      <c r="I38" s="197"/>
      <c r="J38" s="197"/>
      <c r="K38" s="197"/>
      <c r="L38" s="429"/>
      <c r="M38" s="196" t="e">
        <f>RANK(K38, K$27:$K$41)</f>
        <v>#N/A</v>
      </c>
      <c r="N38" s="423"/>
      <c r="O38" s="423"/>
      <c r="P38" s="197"/>
      <c r="Q38" s="197"/>
      <c r="R38" s="197"/>
      <c r="S38" s="197" t="e">
        <f t="shared" si="7"/>
        <v>#N/A</v>
      </c>
      <c r="T38" s="432"/>
      <c r="U38" s="197"/>
      <c r="V38" s="197"/>
      <c r="W38" s="197"/>
      <c r="X38" s="197" t="e">
        <f t="shared" si="8"/>
        <v>#N/A</v>
      </c>
      <c r="Y38" s="432"/>
      <c r="Z38" s="197"/>
      <c r="AA38" s="197"/>
      <c r="AB38" s="197"/>
      <c r="AC38" s="197" t="e">
        <f t="shared" si="9"/>
        <v>#N/A</v>
      </c>
      <c r="AD38" s="432"/>
      <c r="AE38" s="197"/>
      <c r="AF38" s="197"/>
      <c r="AG38" s="197"/>
      <c r="AH38" s="197" t="e">
        <f t="shared" si="10"/>
        <v>#N/A</v>
      </c>
      <c r="AI38" s="432"/>
      <c r="AJ38" s="197"/>
      <c r="AK38" s="197"/>
      <c r="AL38" s="197"/>
      <c r="AM38" s="197" t="e">
        <f t="shared" si="11"/>
        <v>#N/A</v>
      </c>
      <c r="AN38" s="432"/>
      <c r="AO38" s="197"/>
      <c r="AP38" s="197"/>
      <c r="AQ38" s="197"/>
      <c r="AR38" s="197" t="e">
        <f t="shared" si="12"/>
        <v>#N/A</v>
      </c>
      <c r="AS38" s="432"/>
      <c r="AT38" s="197"/>
      <c r="AU38" s="197"/>
      <c r="AV38" s="197"/>
      <c r="AW38" s="197" t="e">
        <f t="shared" si="13"/>
        <v>#N/A</v>
      </c>
      <c r="AX38" s="432"/>
    </row>
    <row r="39" spans="2:50">
      <c r="B39" s="422"/>
      <c r="C39" s="197">
        <v>13</v>
      </c>
      <c r="D39" s="225"/>
      <c r="E39" s="169"/>
      <c r="F39" s="197"/>
      <c r="G39" s="195"/>
      <c r="H39" s="429"/>
      <c r="I39" s="197"/>
      <c r="J39" s="197"/>
      <c r="K39" s="197"/>
      <c r="L39" s="429"/>
      <c r="M39" s="196" t="e">
        <f>RANK(K39, K$27:$K$41)</f>
        <v>#N/A</v>
      </c>
      <c r="N39" s="423"/>
      <c r="O39" s="423"/>
      <c r="P39" s="197"/>
      <c r="Q39" s="197"/>
      <c r="R39" s="197"/>
      <c r="S39" s="197" t="e">
        <f t="shared" si="7"/>
        <v>#N/A</v>
      </c>
      <c r="T39" s="432"/>
      <c r="U39" s="197"/>
      <c r="V39" s="197"/>
      <c r="W39" s="197"/>
      <c r="X39" s="197" t="e">
        <f t="shared" si="8"/>
        <v>#N/A</v>
      </c>
      <c r="Y39" s="432"/>
      <c r="Z39" s="197"/>
      <c r="AA39" s="197"/>
      <c r="AB39" s="197"/>
      <c r="AC39" s="197" t="e">
        <f t="shared" si="9"/>
        <v>#N/A</v>
      </c>
      <c r="AD39" s="432"/>
      <c r="AE39" s="197"/>
      <c r="AF39" s="197"/>
      <c r="AG39" s="197"/>
      <c r="AH39" s="197" t="e">
        <f t="shared" si="10"/>
        <v>#N/A</v>
      </c>
      <c r="AI39" s="432"/>
      <c r="AJ39" s="197"/>
      <c r="AK39" s="197"/>
      <c r="AL39" s="197"/>
      <c r="AM39" s="197" t="e">
        <f t="shared" si="11"/>
        <v>#N/A</v>
      </c>
      <c r="AN39" s="432"/>
      <c r="AO39" s="197"/>
      <c r="AP39" s="197"/>
      <c r="AQ39" s="197"/>
      <c r="AR39" s="197" t="e">
        <f t="shared" si="12"/>
        <v>#N/A</v>
      </c>
      <c r="AS39" s="432"/>
      <c r="AT39" s="197"/>
      <c r="AU39" s="197"/>
      <c r="AV39" s="197"/>
      <c r="AW39" s="197" t="e">
        <f t="shared" si="13"/>
        <v>#N/A</v>
      </c>
      <c r="AX39" s="432"/>
    </row>
    <row r="40" spans="2:50">
      <c r="B40" s="422"/>
      <c r="C40" s="197">
        <v>14</v>
      </c>
      <c r="D40" s="225"/>
      <c r="E40" s="169"/>
      <c r="F40" s="197"/>
      <c r="G40" s="195"/>
      <c r="H40" s="429"/>
      <c r="I40" s="197"/>
      <c r="J40" s="197"/>
      <c r="K40" s="197"/>
      <c r="L40" s="429"/>
      <c r="M40" s="196" t="e">
        <f>RANK(K40, K$27:$K$41)</f>
        <v>#N/A</v>
      </c>
      <c r="N40" s="423"/>
      <c r="O40" s="423"/>
      <c r="P40" s="197"/>
      <c r="Q40" s="197"/>
      <c r="R40" s="197"/>
      <c r="S40" s="197" t="e">
        <f t="shared" si="7"/>
        <v>#N/A</v>
      </c>
      <c r="T40" s="432"/>
      <c r="U40" s="197"/>
      <c r="V40" s="197"/>
      <c r="W40" s="197"/>
      <c r="X40" s="197" t="e">
        <f t="shared" si="8"/>
        <v>#N/A</v>
      </c>
      <c r="Y40" s="432"/>
      <c r="Z40" s="197"/>
      <c r="AA40" s="197"/>
      <c r="AB40" s="197"/>
      <c r="AC40" s="197" t="e">
        <f t="shared" si="9"/>
        <v>#N/A</v>
      </c>
      <c r="AD40" s="432"/>
      <c r="AE40" s="197"/>
      <c r="AF40" s="197"/>
      <c r="AG40" s="197"/>
      <c r="AH40" s="197" t="e">
        <f t="shared" si="10"/>
        <v>#N/A</v>
      </c>
      <c r="AI40" s="432"/>
      <c r="AJ40" s="197"/>
      <c r="AK40" s="197"/>
      <c r="AL40" s="197"/>
      <c r="AM40" s="197" t="e">
        <f t="shared" si="11"/>
        <v>#N/A</v>
      </c>
      <c r="AN40" s="432"/>
      <c r="AO40" s="197"/>
      <c r="AP40" s="197"/>
      <c r="AQ40" s="197"/>
      <c r="AR40" s="197" t="e">
        <f t="shared" si="12"/>
        <v>#N/A</v>
      </c>
      <c r="AS40" s="432"/>
      <c r="AT40" s="197"/>
      <c r="AU40" s="197"/>
      <c r="AV40" s="197"/>
      <c r="AW40" s="197" t="e">
        <f t="shared" si="13"/>
        <v>#N/A</v>
      </c>
      <c r="AX40" s="432"/>
    </row>
    <row r="41" spans="2:50">
      <c r="B41" s="422"/>
      <c r="C41" s="197">
        <v>15</v>
      </c>
      <c r="D41" s="225"/>
      <c r="E41" s="169"/>
      <c r="F41" s="197"/>
      <c r="G41" s="195"/>
      <c r="H41" s="430"/>
      <c r="I41" s="197"/>
      <c r="J41" s="197"/>
      <c r="K41" s="197"/>
      <c r="L41" s="430"/>
      <c r="M41" s="169" t="e">
        <f>RANK(K41, K$27:$K$41)</f>
        <v>#N/A</v>
      </c>
      <c r="N41" s="423"/>
      <c r="O41" s="423"/>
      <c r="P41" s="197"/>
      <c r="Q41" s="197"/>
      <c r="R41" s="197"/>
      <c r="S41" s="197" t="e">
        <f t="shared" si="7"/>
        <v>#N/A</v>
      </c>
      <c r="T41" s="432"/>
      <c r="U41" s="197"/>
      <c r="V41" s="197"/>
      <c r="W41" s="197"/>
      <c r="X41" s="197" t="e">
        <f t="shared" si="8"/>
        <v>#N/A</v>
      </c>
      <c r="Y41" s="432"/>
      <c r="Z41" s="197"/>
      <c r="AA41" s="197"/>
      <c r="AB41" s="197"/>
      <c r="AC41" s="197" t="e">
        <f t="shared" si="9"/>
        <v>#N/A</v>
      </c>
      <c r="AD41" s="432"/>
      <c r="AE41" s="197"/>
      <c r="AF41" s="197"/>
      <c r="AG41" s="197"/>
      <c r="AH41" s="197" t="e">
        <f t="shared" si="10"/>
        <v>#N/A</v>
      </c>
      <c r="AI41" s="432"/>
      <c r="AJ41" s="197"/>
      <c r="AK41" s="197"/>
      <c r="AL41" s="197"/>
      <c r="AM41" s="197" t="e">
        <f t="shared" si="11"/>
        <v>#N/A</v>
      </c>
      <c r="AN41" s="432"/>
      <c r="AO41" s="197"/>
      <c r="AP41" s="197"/>
      <c r="AQ41" s="197"/>
      <c r="AR41" s="197" t="e">
        <f t="shared" si="12"/>
        <v>#N/A</v>
      </c>
      <c r="AS41" s="432"/>
      <c r="AT41" s="197"/>
      <c r="AU41" s="197"/>
      <c r="AV41" s="197"/>
      <c r="AW41" s="197" t="e">
        <f t="shared" si="13"/>
        <v>#N/A</v>
      </c>
      <c r="AX41" s="432"/>
    </row>
    <row r="42" spans="2:50" ht="15.75">
      <c r="B42" s="424" t="s">
        <v>202</v>
      </c>
      <c r="C42" s="425"/>
      <c r="D42" s="425"/>
      <c r="E42" s="425"/>
      <c r="F42" s="425"/>
      <c r="G42" s="425"/>
      <c r="H42" s="425"/>
      <c r="I42" s="201"/>
      <c r="J42" s="198"/>
      <c r="K42" s="201"/>
      <c r="L42" s="201"/>
      <c r="M42" s="193"/>
      <c r="N42" s="401" t="s">
        <v>203</v>
      </c>
      <c r="O42" s="401" t="s">
        <v>150</v>
      </c>
      <c r="P42" s="421">
        <f>P22+7</f>
        <v>45909</v>
      </c>
      <c r="Q42" s="422"/>
      <c r="R42" s="422"/>
      <c r="S42" s="422"/>
      <c r="T42" s="422"/>
      <c r="U42" s="416">
        <f>P42+1</f>
        <v>45910</v>
      </c>
      <c r="V42" s="417"/>
      <c r="W42" s="417"/>
      <c r="X42" s="417"/>
      <c r="Y42" s="418"/>
      <c r="Z42" s="416">
        <f>U42+1</f>
        <v>45911</v>
      </c>
      <c r="AA42" s="417"/>
      <c r="AB42" s="417"/>
      <c r="AC42" s="417"/>
      <c r="AD42" s="418"/>
      <c r="AE42" s="416">
        <f t="shared" ref="AE42" si="14">Z42+1</f>
        <v>45912</v>
      </c>
      <c r="AF42" s="417"/>
      <c r="AG42" s="417"/>
      <c r="AH42" s="417"/>
      <c r="AI42" s="418"/>
      <c r="AJ42" s="416">
        <f t="shared" ref="AJ42" si="15">AE42+1</f>
        <v>45913</v>
      </c>
      <c r="AK42" s="417"/>
      <c r="AL42" s="417"/>
      <c r="AM42" s="417"/>
      <c r="AN42" s="418"/>
      <c r="AO42" s="416">
        <f t="shared" ref="AO42" si="16">AJ42+1</f>
        <v>45914</v>
      </c>
      <c r="AP42" s="417"/>
      <c r="AQ42" s="417"/>
      <c r="AR42" s="417"/>
      <c r="AS42" s="418"/>
      <c r="AT42" s="416">
        <f t="shared" ref="AT42" si="17">AO42+1</f>
        <v>45915</v>
      </c>
      <c r="AU42" s="417"/>
      <c r="AV42" s="417"/>
      <c r="AW42" s="417"/>
      <c r="AX42" s="418"/>
    </row>
    <row r="43" spans="2:50" ht="15.75">
      <c r="B43" s="426"/>
      <c r="C43" s="426"/>
      <c r="D43" s="426"/>
      <c r="E43" s="426"/>
      <c r="F43" s="426"/>
      <c r="G43" s="426"/>
      <c r="H43" s="426"/>
      <c r="I43" s="199"/>
      <c r="J43" s="199"/>
      <c r="K43" s="199"/>
      <c r="L43" s="199"/>
      <c r="M43" s="194"/>
      <c r="N43" s="403"/>
      <c r="O43" s="403"/>
      <c r="P43" s="421" t="s">
        <v>204</v>
      </c>
      <c r="Q43" s="422"/>
      <c r="R43" s="422"/>
      <c r="S43" s="422"/>
      <c r="T43" s="422"/>
      <c r="U43" s="421" t="s">
        <v>205</v>
      </c>
      <c r="V43" s="422"/>
      <c r="W43" s="422"/>
      <c r="X43" s="422"/>
      <c r="Y43" s="422"/>
      <c r="Z43" s="421" t="s">
        <v>206</v>
      </c>
      <c r="AA43" s="422"/>
      <c r="AB43" s="422"/>
      <c r="AC43" s="422"/>
      <c r="AD43" s="422"/>
      <c r="AE43" s="421" t="s">
        <v>207</v>
      </c>
      <c r="AF43" s="422"/>
      <c r="AG43" s="422"/>
      <c r="AH43" s="422"/>
      <c r="AI43" s="422"/>
      <c r="AJ43" s="421" t="s">
        <v>208</v>
      </c>
      <c r="AK43" s="422"/>
      <c r="AL43" s="422"/>
      <c r="AM43" s="422"/>
      <c r="AN43" s="422"/>
      <c r="AO43" s="421" t="s">
        <v>157</v>
      </c>
      <c r="AP43" s="422"/>
      <c r="AQ43" s="422"/>
      <c r="AR43" s="422"/>
      <c r="AS43" s="422"/>
      <c r="AT43" s="421" t="s">
        <v>209</v>
      </c>
      <c r="AU43" s="422"/>
      <c r="AV43" s="422"/>
      <c r="AW43" s="422"/>
      <c r="AX43" s="422"/>
    </row>
    <row r="44" spans="2:50">
      <c r="B44" s="423" t="s">
        <v>210</v>
      </c>
      <c r="C44" s="423" t="s">
        <v>211</v>
      </c>
      <c r="D44" s="423"/>
      <c r="E44" s="423" t="s">
        <v>212</v>
      </c>
      <c r="F44" s="423"/>
      <c r="G44" s="423"/>
      <c r="H44" s="404" t="s">
        <v>213</v>
      </c>
      <c r="I44" s="423" t="s">
        <v>214</v>
      </c>
      <c r="J44" s="423"/>
      <c r="K44" s="423"/>
      <c r="L44" s="404" t="s">
        <v>213</v>
      </c>
      <c r="M44" s="401" t="s">
        <v>215</v>
      </c>
      <c r="N44" s="423"/>
      <c r="O44" s="423" t="s">
        <v>216</v>
      </c>
      <c r="P44" s="413" t="s">
        <v>217</v>
      </c>
      <c r="Q44" s="414"/>
      <c r="R44" s="414"/>
      <c r="S44" s="415"/>
      <c r="T44" s="423" t="s">
        <v>213</v>
      </c>
      <c r="U44" s="413" t="s">
        <v>217</v>
      </c>
      <c r="V44" s="414"/>
      <c r="W44" s="414"/>
      <c r="X44" s="415"/>
      <c r="Y44" s="423" t="s">
        <v>213</v>
      </c>
      <c r="Z44" s="413" t="s">
        <v>217</v>
      </c>
      <c r="AA44" s="414"/>
      <c r="AB44" s="414"/>
      <c r="AC44" s="415"/>
      <c r="AD44" s="423" t="s">
        <v>213</v>
      </c>
      <c r="AE44" s="413" t="s">
        <v>217</v>
      </c>
      <c r="AF44" s="414"/>
      <c r="AG44" s="414"/>
      <c r="AH44" s="415"/>
      <c r="AI44" s="423" t="s">
        <v>213</v>
      </c>
      <c r="AJ44" s="413" t="s">
        <v>217</v>
      </c>
      <c r="AK44" s="414"/>
      <c r="AL44" s="414"/>
      <c r="AM44" s="415"/>
      <c r="AN44" s="423" t="s">
        <v>213</v>
      </c>
      <c r="AO44" s="413" t="s">
        <v>217</v>
      </c>
      <c r="AP44" s="414"/>
      <c r="AQ44" s="414"/>
      <c r="AR44" s="415"/>
      <c r="AS44" s="423" t="s">
        <v>213</v>
      </c>
      <c r="AT44" s="413" t="s">
        <v>217</v>
      </c>
      <c r="AU44" s="414"/>
      <c r="AV44" s="414"/>
      <c r="AW44" s="415"/>
      <c r="AX44" s="423" t="s">
        <v>213</v>
      </c>
    </row>
    <row r="45" spans="2:50">
      <c r="B45" s="423"/>
      <c r="C45" s="423"/>
      <c r="D45" s="423"/>
      <c r="E45" s="423" t="s">
        <v>218</v>
      </c>
      <c r="F45" s="423"/>
      <c r="G45" s="423"/>
      <c r="H45" s="406"/>
      <c r="I45" s="423" t="s">
        <v>218</v>
      </c>
      <c r="J45" s="423"/>
      <c r="K45" s="423"/>
      <c r="L45" s="406"/>
      <c r="M45" s="402"/>
      <c r="N45" s="423"/>
      <c r="O45" s="423"/>
      <c r="P45" s="413" t="s">
        <v>219</v>
      </c>
      <c r="Q45" s="414"/>
      <c r="R45" s="414"/>
      <c r="S45" s="415"/>
      <c r="T45" s="423"/>
      <c r="U45" s="413" t="s">
        <v>219</v>
      </c>
      <c r="V45" s="414"/>
      <c r="W45" s="414"/>
      <c r="X45" s="415"/>
      <c r="Y45" s="423"/>
      <c r="Z45" s="413" t="s">
        <v>219</v>
      </c>
      <c r="AA45" s="414"/>
      <c r="AB45" s="414"/>
      <c r="AC45" s="415"/>
      <c r="AD45" s="423"/>
      <c r="AE45" s="413" t="s">
        <v>219</v>
      </c>
      <c r="AF45" s="414"/>
      <c r="AG45" s="414"/>
      <c r="AH45" s="415"/>
      <c r="AI45" s="423"/>
      <c r="AJ45" s="413" t="s">
        <v>219</v>
      </c>
      <c r="AK45" s="414"/>
      <c r="AL45" s="414"/>
      <c r="AM45" s="415"/>
      <c r="AN45" s="423"/>
      <c r="AO45" s="413" t="s">
        <v>219</v>
      </c>
      <c r="AP45" s="414"/>
      <c r="AQ45" s="414"/>
      <c r="AR45" s="415"/>
      <c r="AS45" s="423"/>
      <c r="AT45" s="413" t="s">
        <v>219</v>
      </c>
      <c r="AU45" s="414"/>
      <c r="AV45" s="414"/>
      <c r="AW45" s="415"/>
      <c r="AX45" s="423"/>
    </row>
    <row r="46" spans="2:50">
      <c r="B46" s="423"/>
      <c r="C46" s="423"/>
      <c r="D46" s="423"/>
      <c r="E46" s="297" t="s">
        <v>220</v>
      </c>
      <c r="F46" s="297" t="s">
        <v>221</v>
      </c>
      <c r="G46" s="297" t="s">
        <v>222</v>
      </c>
      <c r="H46" s="408"/>
      <c r="I46" s="297" t="s">
        <v>220</v>
      </c>
      <c r="J46" s="297" t="s">
        <v>221</v>
      </c>
      <c r="K46" s="297" t="s">
        <v>222</v>
      </c>
      <c r="L46" s="408"/>
      <c r="M46" s="403"/>
      <c r="N46" s="423"/>
      <c r="O46" s="423"/>
      <c r="P46" s="297" t="s">
        <v>220</v>
      </c>
      <c r="Q46" s="297" t="s">
        <v>221</v>
      </c>
      <c r="R46" s="297" t="s">
        <v>222</v>
      </c>
      <c r="S46" s="297" t="s">
        <v>215</v>
      </c>
      <c r="T46" s="423"/>
      <c r="U46" s="297" t="s">
        <v>220</v>
      </c>
      <c r="V46" s="297" t="s">
        <v>221</v>
      </c>
      <c r="W46" s="297" t="s">
        <v>222</v>
      </c>
      <c r="X46" s="297" t="s">
        <v>215</v>
      </c>
      <c r="Y46" s="423"/>
      <c r="Z46" s="297" t="s">
        <v>220</v>
      </c>
      <c r="AA46" s="297" t="s">
        <v>221</v>
      </c>
      <c r="AB46" s="297" t="s">
        <v>222</v>
      </c>
      <c r="AC46" s="297" t="s">
        <v>215</v>
      </c>
      <c r="AD46" s="423"/>
      <c r="AE46" s="297" t="s">
        <v>220</v>
      </c>
      <c r="AF46" s="297" t="s">
        <v>221</v>
      </c>
      <c r="AG46" s="297" t="s">
        <v>222</v>
      </c>
      <c r="AH46" s="297" t="s">
        <v>215</v>
      </c>
      <c r="AI46" s="423"/>
      <c r="AJ46" s="297" t="s">
        <v>220</v>
      </c>
      <c r="AK46" s="297" t="s">
        <v>221</v>
      </c>
      <c r="AL46" s="297" t="s">
        <v>222</v>
      </c>
      <c r="AM46" s="297" t="s">
        <v>215</v>
      </c>
      <c r="AN46" s="423"/>
      <c r="AO46" s="297" t="s">
        <v>220</v>
      </c>
      <c r="AP46" s="297" t="s">
        <v>221</v>
      </c>
      <c r="AQ46" s="297" t="s">
        <v>222</v>
      </c>
      <c r="AR46" s="297" t="s">
        <v>215</v>
      </c>
      <c r="AS46" s="423"/>
      <c r="AT46" s="297" t="s">
        <v>220</v>
      </c>
      <c r="AU46" s="297" t="s">
        <v>221</v>
      </c>
      <c r="AV46" s="297" t="s">
        <v>222</v>
      </c>
      <c r="AW46" s="297" t="s">
        <v>215</v>
      </c>
      <c r="AX46" s="423"/>
    </row>
    <row r="47" spans="2:50">
      <c r="B47" s="423" t="s">
        <v>267</v>
      </c>
      <c r="C47" s="197">
        <v>1</v>
      </c>
      <c r="D47" s="225" t="s">
        <v>268</v>
      </c>
      <c r="E47" s="169">
        <v>13</v>
      </c>
      <c r="F47" s="197">
        <v>1607.9999999999993</v>
      </c>
      <c r="G47" s="195">
        <v>123.69230769230764</v>
      </c>
      <c r="H47" s="428">
        <f>AVERAGE(G47:G61)</f>
        <v>123.69230769230764</v>
      </c>
      <c r="I47" s="169">
        <f>AVERAGE(P47,U47,Z47,AE47,AJ47,AO47,AT47)</f>
        <v>12.666666666666666</v>
      </c>
      <c r="J47" s="169">
        <f>AVERAGE(Q47,V47,AA47,AF47,AK47,AP47,AU47)</f>
        <v>1512.5714285714296</v>
      </c>
      <c r="K47" s="195">
        <f>AVERAGE(R47,W47,AB47,AG47,AL47,AQ47,AV47)</f>
        <v>119.14285714285722</v>
      </c>
      <c r="L47" s="428">
        <f>IFERROR(AVERAGE(K47:K61),"-")</f>
        <v>119.14285714285722</v>
      </c>
      <c r="M47" s="196" t="e">
        <f>RANK(K47, K$87:$K$101)</f>
        <v>#DIV/0!</v>
      </c>
      <c r="N47" s="423"/>
      <c r="O47" s="423"/>
      <c r="P47" s="321" t="s">
        <v>269</v>
      </c>
      <c r="Q47" s="169">
        <f>'[1]（５-4）品群別人時生產性（4℃-壽司手卷)'!Q47</f>
        <v>1412.9999999999993</v>
      </c>
      <c r="R47" s="195">
        <f>'[1]（５-4）品群別人時生產性（4℃-壽司手卷)'!R47</f>
        <v>108.69230769230764</v>
      </c>
      <c r="S47" s="197">
        <f>RANK(R47, R$47:R$61)</f>
        <v>1</v>
      </c>
      <c r="T47" s="432">
        <f>AVERAGE(R47:R61)</f>
        <v>108.69230769230764</v>
      </c>
      <c r="U47" s="197">
        <v>12</v>
      </c>
      <c r="V47" s="169">
        <v>1572.0000000000055</v>
      </c>
      <c r="W47" s="195">
        <v>131.00000000000045</v>
      </c>
      <c r="X47" s="197">
        <f>RANK(W47, W$47:W$61)</f>
        <v>1</v>
      </c>
      <c r="Y47" s="432">
        <f>AVERAGE(W47:W61)</f>
        <v>131.00000000000045</v>
      </c>
      <c r="Z47" s="197">
        <v>12</v>
      </c>
      <c r="AA47" s="169">
        <v>1476.0000000000052</v>
      </c>
      <c r="AB47" s="195">
        <v>123.00000000000044</v>
      </c>
      <c r="AC47" s="197">
        <f>RANK(AB47, AB$47:AB$61)</f>
        <v>1</v>
      </c>
      <c r="AD47" s="432">
        <f>AVERAGE(AB47:AB61)</f>
        <v>123.00000000000044</v>
      </c>
      <c r="AE47" s="197">
        <v>13</v>
      </c>
      <c r="AF47" s="169">
        <v>1527.9999999999973</v>
      </c>
      <c r="AG47" s="195">
        <v>117.53846153846133</v>
      </c>
      <c r="AH47" s="197">
        <f>RANK(AG47, AG$47:AG$61)</f>
        <v>1</v>
      </c>
      <c r="AI47" s="432">
        <f>AVERAGE(AG47:AG61)</f>
        <v>117.53846153846133</v>
      </c>
      <c r="AJ47" s="197">
        <v>13</v>
      </c>
      <c r="AK47" s="169">
        <v>1412.9999999999936</v>
      </c>
      <c r="AL47" s="195">
        <v>108.6923076923072</v>
      </c>
      <c r="AM47" s="197">
        <f>RANK(AL47, AL$47:AL$61)</f>
        <v>1</v>
      </c>
      <c r="AN47" s="432">
        <f>AVERAGE(AL47:AL61)</f>
        <v>108.6923076923072</v>
      </c>
      <c r="AO47" s="197">
        <v>13</v>
      </c>
      <c r="AP47" s="169">
        <v>1569.0000000000057</v>
      </c>
      <c r="AQ47" s="195">
        <v>120.69230769230813</v>
      </c>
      <c r="AR47" s="197">
        <f>RANK(AQ47, AQ$47:AQ$61)</f>
        <v>1</v>
      </c>
      <c r="AS47" s="432">
        <f>AVERAGE(AQ47:AQ61)</f>
        <v>120.69230769230813</v>
      </c>
      <c r="AT47" s="197">
        <v>13</v>
      </c>
      <c r="AU47" s="169">
        <v>1616.9999999999995</v>
      </c>
      <c r="AV47" s="195">
        <v>124.38461538461534</v>
      </c>
      <c r="AW47" s="197">
        <f>RANK(AV47, AV$47:AV$61)</f>
        <v>1</v>
      </c>
      <c r="AX47" s="432">
        <f>AVERAGE(AV47:AV61)</f>
        <v>124.38461538461534</v>
      </c>
    </row>
    <row r="48" spans="2:50">
      <c r="B48" s="422"/>
      <c r="C48" s="197">
        <v>2</v>
      </c>
      <c r="D48" s="225"/>
      <c r="E48" s="169"/>
      <c r="F48" s="197"/>
      <c r="G48" s="195"/>
      <c r="H48" s="429"/>
      <c r="I48" s="169"/>
      <c r="J48" s="169"/>
      <c r="K48" s="195"/>
      <c r="L48" s="429"/>
      <c r="M48" s="196" t="e">
        <f>RANK(K48, K$87:$K$101)</f>
        <v>#DIV/0!</v>
      </c>
      <c r="N48" s="423"/>
      <c r="O48" s="423"/>
      <c r="P48" s="197"/>
      <c r="Q48" s="197"/>
      <c r="R48" s="197"/>
      <c r="S48" s="197" t="e">
        <f t="shared" ref="S48:S61" si="18">RANK(R48, R$47:R$61)</f>
        <v>#N/A</v>
      </c>
      <c r="T48" s="432"/>
      <c r="U48" s="197"/>
      <c r="V48" s="197"/>
      <c r="W48" s="197"/>
      <c r="X48" s="197" t="e">
        <f t="shared" ref="X48:X61" si="19">RANK(W48, W$47:W$61)</f>
        <v>#N/A</v>
      </c>
      <c r="Y48" s="432"/>
      <c r="Z48" s="197"/>
      <c r="AA48" s="197"/>
      <c r="AB48" s="197"/>
      <c r="AC48" s="197" t="e">
        <f t="shared" ref="AC48:AC61" si="20">RANK(AB48, AB$47:AB$61)</f>
        <v>#N/A</v>
      </c>
      <c r="AD48" s="432"/>
      <c r="AE48" s="197"/>
      <c r="AF48" s="197"/>
      <c r="AG48" s="197"/>
      <c r="AH48" s="197" t="e">
        <f t="shared" ref="AH48:AH61" si="21">RANK(AG48, AG$47:AG$61)</f>
        <v>#N/A</v>
      </c>
      <c r="AI48" s="432"/>
      <c r="AJ48" s="197"/>
      <c r="AK48" s="197"/>
      <c r="AL48" s="197"/>
      <c r="AM48" s="197" t="e">
        <f t="shared" ref="AM48:AM61" si="22">RANK(AL48, AL$47:AL$61)</f>
        <v>#N/A</v>
      </c>
      <c r="AN48" s="432"/>
      <c r="AO48" s="197"/>
      <c r="AP48" s="197"/>
      <c r="AQ48" s="197"/>
      <c r="AR48" s="197" t="e">
        <f t="shared" ref="AR48:AR61" si="23">RANK(AQ48, AQ$47:AQ$61)</f>
        <v>#N/A</v>
      </c>
      <c r="AS48" s="432"/>
      <c r="AT48" s="197"/>
      <c r="AU48" s="197"/>
      <c r="AV48" s="197"/>
      <c r="AW48" s="197" t="e">
        <f t="shared" ref="AW48:AW61" si="24">RANK(AV48, AV$47:AV$61)</f>
        <v>#N/A</v>
      </c>
      <c r="AX48" s="432"/>
    </row>
    <row r="49" spans="2:50">
      <c r="B49" s="422"/>
      <c r="C49" s="197">
        <v>3</v>
      </c>
      <c r="D49" s="225"/>
      <c r="E49" s="169"/>
      <c r="F49" s="197"/>
      <c r="G49" s="195"/>
      <c r="H49" s="429"/>
      <c r="I49" s="169"/>
      <c r="J49" s="169"/>
      <c r="K49" s="195"/>
      <c r="L49" s="429"/>
      <c r="M49" s="196" t="e">
        <f>RANK(K49, K$87:$K$101)</f>
        <v>#DIV/0!</v>
      </c>
      <c r="N49" s="423"/>
      <c r="O49" s="423"/>
      <c r="P49" s="197"/>
      <c r="Q49" s="197"/>
      <c r="R49" s="197"/>
      <c r="S49" s="197" t="e">
        <f t="shared" si="18"/>
        <v>#N/A</v>
      </c>
      <c r="T49" s="432"/>
      <c r="U49" s="197"/>
      <c r="V49" s="197"/>
      <c r="W49" s="197"/>
      <c r="X49" s="197" t="e">
        <f t="shared" si="19"/>
        <v>#N/A</v>
      </c>
      <c r="Y49" s="432"/>
      <c r="Z49" s="197"/>
      <c r="AA49" s="197"/>
      <c r="AB49" s="197"/>
      <c r="AC49" s="197" t="e">
        <f t="shared" si="20"/>
        <v>#N/A</v>
      </c>
      <c r="AD49" s="432"/>
      <c r="AE49" s="197"/>
      <c r="AF49" s="197"/>
      <c r="AG49" s="197"/>
      <c r="AH49" s="197" t="e">
        <f t="shared" si="21"/>
        <v>#N/A</v>
      </c>
      <c r="AI49" s="432"/>
      <c r="AJ49" s="197"/>
      <c r="AK49" s="197"/>
      <c r="AL49" s="197"/>
      <c r="AM49" s="197" t="e">
        <f t="shared" si="22"/>
        <v>#N/A</v>
      </c>
      <c r="AN49" s="432"/>
      <c r="AO49" s="197"/>
      <c r="AP49" s="197"/>
      <c r="AQ49" s="197"/>
      <c r="AR49" s="197" t="e">
        <f t="shared" si="23"/>
        <v>#N/A</v>
      </c>
      <c r="AS49" s="432"/>
      <c r="AT49" s="197"/>
      <c r="AU49" s="197"/>
      <c r="AV49" s="197"/>
      <c r="AW49" s="197" t="e">
        <f t="shared" si="24"/>
        <v>#N/A</v>
      </c>
      <c r="AX49" s="432"/>
    </row>
    <row r="50" spans="2:50">
      <c r="B50" s="422"/>
      <c r="C50" s="197">
        <v>4</v>
      </c>
      <c r="D50" s="225"/>
      <c r="E50" s="169"/>
      <c r="F50" s="197"/>
      <c r="G50" s="195"/>
      <c r="H50" s="429"/>
      <c r="I50" s="169"/>
      <c r="J50" s="169"/>
      <c r="K50" s="195"/>
      <c r="L50" s="429"/>
      <c r="M50" s="196" t="e">
        <f>RANK(K50, K$87:$K$101)</f>
        <v>#DIV/0!</v>
      </c>
      <c r="N50" s="423"/>
      <c r="O50" s="423"/>
      <c r="P50" s="197"/>
      <c r="Q50" s="197"/>
      <c r="R50" s="197"/>
      <c r="S50" s="197" t="e">
        <f t="shared" si="18"/>
        <v>#N/A</v>
      </c>
      <c r="T50" s="432"/>
      <c r="U50" s="197"/>
      <c r="V50" s="197"/>
      <c r="W50" s="197"/>
      <c r="X50" s="197" t="e">
        <f t="shared" si="19"/>
        <v>#N/A</v>
      </c>
      <c r="Y50" s="432"/>
      <c r="Z50" s="197"/>
      <c r="AA50" s="197"/>
      <c r="AB50" s="197"/>
      <c r="AC50" s="197" t="e">
        <f t="shared" si="20"/>
        <v>#N/A</v>
      </c>
      <c r="AD50" s="432"/>
      <c r="AE50" s="197"/>
      <c r="AF50" s="197"/>
      <c r="AG50" s="197"/>
      <c r="AH50" s="197" t="e">
        <f t="shared" si="21"/>
        <v>#N/A</v>
      </c>
      <c r="AI50" s="432"/>
      <c r="AJ50" s="197"/>
      <c r="AK50" s="197"/>
      <c r="AL50" s="197"/>
      <c r="AM50" s="197" t="e">
        <f t="shared" si="22"/>
        <v>#N/A</v>
      </c>
      <c r="AN50" s="432"/>
      <c r="AO50" s="197"/>
      <c r="AP50" s="197"/>
      <c r="AQ50" s="197"/>
      <c r="AR50" s="197" t="e">
        <f t="shared" si="23"/>
        <v>#N/A</v>
      </c>
      <c r="AS50" s="432"/>
      <c r="AT50" s="197"/>
      <c r="AU50" s="197"/>
      <c r="AV50" s="197"/>
      <c r="AW50" s="197" t="e">
        <f t="shared" si="24"/>
        <v>#N/A</v>
      </c>
      <c r="AX50" s="432"/>
    </row>
    <row r="51" spans="2:50">
      <c r="B51" s="422"/>
      <c r="C51" s="197">
        <v>5</v>
      </c>
      <c r="D51" s="225"/>
      <c r="E51" s="169"/>
      <c r="F51" s="197"/>
      <c r="G51" s="195"/>
      <c r="H51" s="429"/>
      <c r="I51" s="169"/>
      <c r="J51" s="169"/>
      <c r="K51" s="195"/>
      <c r="L51" s="429"/>
      <c r="M51" s="196" t="e">
        <f>RANK(K51, K$87:$K$101)</f>
        <v>#DIV/0!</v>
      </c>
      <c r="N51" s="423"/>
      <c r="O51" s="423"/>
      <c r="P51" s="197"/>
      <c r="Q51" s="197"/>
      <c r="R51" s="197"/>
      <c r="S51" s="197" t="e">
        <f t="shared" si="18"/>
        <v>#N/A</v>
      </c>
      <c r="T51" s="432"/>
      <c r="U51" s="197"/>
      <c r="V51" s="197"/>
      <c r="W51" s="197"/>
      <c r="X51" s="197" t="e">
        <f t="shared" si="19"/>
        <v>#N/A</v>
      </c>
      <c r="Y51" s="432"/>
      <c r="Z51" s="197"/>
      <c r="AA51" s="197"/>
      <c r="AB51" s="197"/>
      <c r="AC51" s="197" t="e">
        <f t="shared" si="20"/>
        <v>#N/A</v>
      </c>
      <c r="AD51" s="432"/>
      <c r="AE51" s="197"/>
      <c r="AF51" s="197"/>
      <c r="AG51" s="197"/>
      <c r="AH51" s="197" t="e">
        <f t="shared" si="21"/>
        <v>#N/A</v>
      </c>
      <c r="AI51" s="432"/>
      <c r="AJ51" s="197"/>
      <c r="AK51" s="197"/>
      <c r="AL51" s="197"/>
      <c r="AM51" s="197" t="e">
        <f t="shared" si="22"/>
        <v>#N/A</v>
      </c>
      <c r="AN51" s="432"/>
      <c r="AO51" s="197"/>
      <c r="AP51" s="197"/>
      <c r="AQ51" s="197"/>
      <c r="AR51" s="197" t="e">
        <f t="shared" si="23"/>
        <v>#N/A</v>
      </c>
      <c r="AS51" s="432"/>
      <c r="AT51" s="197"/>
      <c r="AU51" s="197"/>
      <c r="AV51" s="197"/>
      <c r="AW51" s="197" t="e">
        <f t="shared" si="24"/>
        <v>#N/A</v>
      </c>
      <c r="AX51" s="432"/>
    </row>
    <row r="52" spans="2:50">
      <c r="B52" s="422"/>
      <c r="C52" s="197">
        <v>6</v>
      </c>
      <c r="D52" s="225"/>
      <c r="E52" s="169"/>
      <c r="F52" s="197"/>
      <c r="G52" s="195"/>
      <c r="H52" s="429"/>
      <c r="I52" s="169"/>
      <c r="J52" s="169"/>
      <c r="K52" s="195"/>
      <c r="L52" s="429"/>
      <c r="M52" s="196" t="e">
        <f>RANK(K52, K$87:$K$101)</f>
        <v>#DIV/0!</v>
      </c>
      <c r="N52" s="423"/>
      <c r="O52" s="423"/>
      <c r="P52" s="197"/>
      <c r="Q52" s="197"/>
      <c r="R52" s="197"/>
      <c r="S52" s="197" t="e">
        <f t="shared" si="18"/>
        <v>#N/A</v>
      </c>
      <c r="T52" s="432"/>
      <c r="U52" s="197"/>
      <c r="V52" s="197"/>
      <c r="W52" s="197"/>
      <c r="X52" s="197" t="e">
        <f t="shared" si="19"/>
        <v>#N/A</v>
      </c>
      <c r="Y52" s="432"/>
      <c r="Z52" s="197"/>
      <c r="AA52" s="197"/>
      <c r="AB52" s="197"/>
      <c r="AC52" s="197" t="e">
        <f t="shared" si="20"/>
        <v>#N/A</v>
      </c>
      <c r="AD52" s="432"/>
      <c r="AE52" s="197"/>
      <c r="AF52" s="197"/>
      <c r="AG52" s="197"/>
      <c r="AH52" s="197" t="e">
        <f t="shared" si="21"/>
        <v>#N/A</v>
      </c>
      <c r="AI52" s="432"/>
      <c r="AJ52" s="197"/>
      <c r="AK52" s="197"/>
      <c r="AL52" s="197"/>
      <c r="AM52" s="197" t="e">
        <f t="shared" si="22"/>
        <v>#N/A</v>
      </c>
      <c r="AN52" s="432"/>
      <c r="AO52" s="197"/>
      <c r="AP52" s="197"/>
      <c r="AQ52" s="197"/>
      <c r="AR52" s="197" t="e">
        <f t="shared" si="23"/>
        <v>#N/A</v>
      </c>
      <c r="AS52" s="432"/>
      <c r="AT52" s="197"/>
      <c r="AU52" s="197"/>
      <c r="AV52" s="197"/>
      <c r="AW52" s="197" t="e">
        <f t="shared" si="24"/>
        <v>#N/A</v>
      </c>
      <c r="AX52" s="432"/>
    </row>
    <row r="53" spans="2:50">
      <c r="B53" s="422"/>
      <c r="C53" s="197">
        <v>7</v>
      </c>
      <c r="D53" s="225"/>
      <c r="E53" s="169"/>
      <c r="F53" s="197"/>
      <c r="G53" s="195"/>
      <c r="H53" s="429"/>
      <c r="I53" s="169"/>
      <c r="J53" s="169"/>
      <c r="K53" s="195"/>
      <c r="L53" s="429"/>
      <c r="M53" s="196" t="e">
        <f>RANK(K53, K$87:$K$101)</f>
        <v>#DIV/0!</v>
      </c>
      <c r="N53" s="423"/>
      <c r="O53" s="423"/>
      <c r="P53" s="197"/>
      <c r="Q53" s="197"/>
      <c r="R53" s="197"/>
      <c r="S53" s="197" t="e">
        <f t="shared" si="18"/>
        <v>#N/A</v>
      </c>
      <c r="T53" s="432"/>
      <c r="U53" s="197"/>
      <c r="V53" s="197"/>
      <c r="W53" s="197"/>
      <c r="X53" s="197" t="e">
        <f t="shared" si="19"/>
        <v>#N/A</v>
      </c>
      <c r="Y53" s="432"/>
      <c r="Z53" s="197"/>
      <c r="AA53" s="197"/>
      <c r="AB53" s="197"/>
      <c r="AC53" s="197" t="e">
        <f t="shared" si="20"/>
        <v>#N/A</v>
      </c>
      <c r="AD53" s="432"/>
      <c r="AE53" s="197"/>
      <c r="AF53" s="197"/>
      <c r="AG53" s="197"/>
      <c r="AH53" s="197" t="e">
        <f t="shared" si="21"/>
        <v>#N/A</v>
      </c>
      <c r="AI53" s="432"/>
      <c r="AJ53" s="197"/>
      <c r="AK53" s="197"/>
      <c r="AL53" s="197"/>
      <c r="AM53" s="197" t="e">
        <f t="shared" si="22"/>
        <v>#N/A</v>
      </c>
      <c r="AN53" s="432"/>
      <c r="AO53" s="197"/>
      <c r="AP53" s="197"/>
      <c r="AQ53" s="197"/>
      <c r="AR53" s="197" t="e">
        <f t="shared" si="23"/>
        <v>#N/A</v>
      </c>
      <c r="AS53" s="432"/>
      <c r="AT53" s="197"/>
      <c r="AU53" s="197"/>
      <c r="AV53" s="197"/>
      <c r="AW53" s="197" t="e">
        <f t="shared" si="24"/>
        <v>#N/A</v>
      </c>
      <c r="AX53" s="432"/>
    </row>
    <row r="54" spans="2:50">
      <c r="B54" s="422"/>
      <c r="C54" s="197">
        <v>8</v>
      </c>
      <c r="D54" s="225"/>
      <c r="E54" s="169"/>
      <c r="F54" s="197"/>
      <c r="G54" s="195"/>
      <c r="H54" s="429"/>
      <c r="I54" s="169"/>
      <c r="J54" s="169"/>
      <c r="K54" s="195"/>
      <c r="L54" s="429"/>
      <c r="M54" s="196" t="e">
        <f>RANK(K54, K$87:$K$101)</f>
        <v>#DIV/0!</v>
      </c>
      <c r="N54" s="423"/>
      <c r="O54" s="423"/>
      <c r="P54" s="197"/>
      <c r="Q54" s="197"/>
      <c r="R54" s="197"/>
      <c r="S54" s="197" t="e">
        <f t="shared" si="18"/>
        <v>#N/A</v>
      </c>
      <c r="T54" s="432"/>
      <c r="U54" s="197"/>
      <c r="V54" s="197"/>
      <c r="W54" s="197"/>
      <c r="X54" s="197" t="e">
        <f t="shared" si="19"/>
        <v>#N/A</v>
      </c>
      <c r="Y54" s="432"/>
      <c r="Z54" s="197"/>
      <c r="AA54" s="197"/>
      <c r="AB54" s="197"/>
      <c r="AC54" s="197" t="e">
        <f t="shared" si="20"/>
        <v>#N/A</v>
      </c>
      <c r="AD54" s="432"/>
      <c r="AE54" s="197"/>
      <c r="AF54" s="197"/>
      <c r="AG54" s="197"/>
      <c r="AH54" s="197" t="e">
        <f t="shared" si="21"/>
        <v>#N/A</v>
      </c>
      <c r="AI54" s="432"/>
      <c r="AJ54" s="197"/>
      <c r="AK54" s="197"/>
      <c r="AL54" s="197"/>
      <c r="AM54" s="197" t="e">
        <f t="shared" si="22"/>
        <v>#N/A</v>
      </c>
      <c r="AN54" s="432"/>
      <c r="AO54" s="197"/>
      <c r="AP54" s="197"/>
      <c r="AQ54" s="197"/>
      <c r="AR54" s="197" t="e">
        <f t="shared" si="23"/>
        <v>#N/A</v>
      </c>
      <c r="AS54" s="432"/>
      <c r="AT54" s="197"/>
      <c r="AU54" s="197"/>
      <c r="AV54" s="197"/>
      <c r="AW54" s="197" t="e">
        <f t="shared" si="24"/>
        <v>#N/A</v>
      </c>
      <c r="AX54" s="432"/>
    </row>
    <row r="55" spans="2:50">
      <c r="B55" s="422"/>
      <c r="C55" s="197">
        <v>9</v>
      </c>
      <c r="D55" s="225"/>
      <c r="E55" s="169"/>
      <c r="F55" s="197"/>
      <c r="G55" s="195"/>
      <c r="H55" s="429"/>
      <c r="I55" s="169"/>
      <c r="J55" s="169"/>
      <c r="K55" s="195"/>
      <c r="L55" s="429"/>
      <c r="M55" s="196" t="e">
        <f>RANK(K55, K$87:$K$101)</f>
        <v>#DIV/0!</v>
      </c>
      <c r="N55" s="423"/>
      <c r="O55" s="423"/>
      <c r="P55" s="197"/>
      <c r="Q55" s="197"/>
      <c r="R55" s="197"/>
      <c r="S55" s="197" t="e">
        <f t="shared" si="18"/>
        <v>#N/A</v>
      </c>
      <c r="T55" s="432"/>
      <c r="U55" s="197"/>
      <c r="V55" s="197"/>
      <c r="W55" s="197"/>
      <c r="X55" s="197" t="e">
        <f t="shared" si="19"/>
        <v>#N/A</v>
      </c>
      <c r="Y55" s="432"/>
      <c r="Z55" s="197"/>
      <c r="AA55" s="197"/>
      <c r="AB55" s="197"/>
      <c r="AC55" s="197" t="e">
        <f t="shared" si="20"/>
        <v>#N/A</v>
      </c>
      <c r="AD55" s="432"/>
      <c r="AE55" s="197"/>
      <c r="AF55" s="197"/>
      <c r="AG55" s="197"/>
      <c r="AH55" s="197" t="e">
        <f t="shared" si="21"/>
        <v>#N/A</v>
      </c>
      <c r="AI55" s="432"/>
      <c r="AJ55" s="197"/>
      <c r="AK55" s="197"/>
      <c r="AL55" s="197"/>
      <c r="AM55" s="197" t="e">
        <f t="shared" si="22"/>
        <v>#N/A</v>
      </c>
      <c r="AN55" s="432"/>
      <c r="AO55" s="197"/>
      <c r="AP55" s="197"/>
      <c r="AQ55" s="197"/>
      <c r="AR55" s="197" t="e">
        <f t="shared" si="23"/>
        <v>#N/A</v>
      </c>
      <c r="AS55" s="432"/>
      <c r="AT55" s="197"/>
      <c r="AU55" s="197"/>
      <c r="AV55" s="197"/>
      <c r="AW55" s="197" t="e">
        <f t="shared" si="24"/>
        <v>#N/A</v>
      </c>
      <c r="AX55" s="432"/>
    </row>
    <row r="56" spans="2:50">
      <c r="B56" s="422"/>
      <c r="C56" s="197">
        <v>10</v>
      </c>
      <c r="D56" s="225"/>
      <c r="E56" s="169"/>
      <c r="F56" s="197"/>
      <c r="G56" s="195"/>
      <c r="H56" s="429"/>
      <c r="I56" s="169"/>
      <c r="J56" s="169"/>
      <c r="K56" s="195"/>
      <c r="L56" s="429"/>
      <c r="M56" s="196" t="e">
        <f>RANK(K56, K$87:$K$101)</f>
        <v>#DIV/0!</v>
      </c>
      <c r="N56" s="423"/>
      <c r="O56" s="423"/>
      <c r="P56" s="197"/>
      <c r="Q56" s="197"/>
      <c r="R56" s="197"/>
      <c r="S56" s="197" t="e">
        <f t="shared" si="18"/>
        <v>#N/A</v>
      </c>
      <c r="T56" s="432"/>
      <c r="U56" s="197"/>
      <c r="V56" s="197"/>
      <c r="W56" s="197"/>
      <c r="X56" s="197" t="e">
        <f t="shared" si="19"/>
        <v>#N/A</v>
      </c>
      <c r="Y56" s="432"/>
      <c r="Z56" s="197"/>
      <c r="AA56" s="197"/>
      <c r="AB56" s="197"/>
      <c r="AC56" s="197" t="e">
        <f t="shared" si="20"/>
        <v>#N/A</v>
      </c>
      <c r="AD56" s="432"/>
      <c r="AE56" s="197"/>
      <c r="AF56" s="197"/>
      <c r="AG56" s="197"/>
      <c r="AH56" s="197" t="e">
        <f t="shared" si="21"/>
        <v>#N/A</v>
      </c>
      <c r="AI56" s="432"/>
      <c r="AJ56" s="197"/>
      <c r="AK56" s="197"/>
      <c r="AL56" s="197"/>
      <c r="AM56" s="197" t="e">
        <f t="shared" si="22"/>
        <v>#N/A</v>
      </c>
      <c r="AN56" s="432"/>
      <c r="AO56" s="197"/>
      <c r="AP56" s="197"/>
      <c r="AQ56" s="197"/>
      <c r="AR56" s="197" t="e">
        <f t="shared" si="23"/>
        <v>#N/A</v>
      </c>
      <c r="AS56" s="432"/>
      <c r="AT56" s="197"/>
      <c r="AU56" s="197"/>
      <c r="AV56" s="197"/>
      <c r="AW56" s="197" t="e">
        <f t="shared" si="24"/>
        <v>#N/A</v>
      </c>
      <c r="AX56" s="432"/>
    </row>
    <row r="57" spans="2:50">
      <c r="B57" s="422"/>
      <c r="C57" s="197">
        <v>11</v>
      </c>
      <c r="D57" s="225"/>
      <c r="E57" s="169"/>
      <c r="F57" s="197"/>
      <c r="G57" s="195"/>
      <c r="H57" s="429"/>
      <c r="I57" s="197"/>
      <c r="J57" s="197"/>
      <c r="K57" s="197"/>
      <c r="L57" s="429"/>
      <c r="M57" s="196" t="e">
        <f>RANK(K57, K$87:$K$101)</f>
        <v>#DIV/0!</v>
      </c>
      <c r="N57" s="423"/>
      <c r="O57" s="423"/>
      <c r="P57" s="197"/>
      <c r="Q57" s="197"/>
      <c r="R57" s="197"/>
      <c r="S57" s="197" t="e">
        <f t="shared" si="18"/>
        <v>#N/A</v>
      </c>
      <c r="T57" s="432"/>
      <c r="U57" s="197"/>
      <c r="V57" s="197"/>
      <c r="W57" s="197"/>
      <c r="X57" s="197" t="e">
        <f t="shared" si="19"/>
        <v>#N/A</v>
      </c>
      <c r="Y57" s="432"/>
      <c r="Z57" s="197"/>
      <c r="AA57" s="197"/>
      <c r="AB57" s="197"/>
      <c r="AC57" s="197" t="e">
        <f t="shared" si="20"/>
        <v>#N/A</v>
      </c>
      <c r="AD57" s="432"/>
      <c r="AE57" s="197"/>
      <c r="AF57" s="197"/>
      <c r="AG57" s="197"/>
      <c r="AH57" s="197" t="e">
        <f t="shared" si="21"/>
        <v>#N/A</v>
      </c>
      <c r="AI57" s="432"/>
      <c r="AJ57" s="197"/>
      <c r="AK57" s="197"/>
      <c r="AL57" s="197"/>
      <c r="AM57" s="197" t="e">
        <f t="shared" si="22"/>
        <v>#N/A</v>
      </c>
      <c r="AN57" s="432"/>
      <c r="AO57" s="197"/>
      <c r="AP57" s="197"/>
      <c r="AQ57" s="197"/>
      <c r="AR57" s="197" t="e">
        <f t="shared" si="23"/>
        <v>#N/A</v>
      </c>
      <c r="AS57" s="432"/>
      <c r="AT57" s="197"/>
      <c r="AU57" s="197"/>
      <c r="AV57" s="197"/>
      <c r="AW57" s="197" t="e">
        <f t="shared" si="24"/>
        <v>#N/A</v>
      </c>
      <c r="AX57" s="432"/>
    </row>
    <row r="58" spans="2:50">
      <c r="B58" s="422"/>
      <c r="C58" s="197">
        <v>12</v>
      </c>
      <c r="D58" s="225"/>
      <c r="E58" s="169"/>
      <c r="F58" s="197"/>
      <c r="G58" s="195"/>
      <c r="H58" s="429"/>
      <c r="I58" s="197"/>
      <c r="J58" s="197"/>
      <c r="K58" s="197"/>
      <c r="L58" s="429"/>
      <c r="M58" s="196" t="e">
        <f>RANK(K58, K$87:$K$101)</f>
        <v>#DIV/0!</v>
      </c>
      <c r="N58" s="423"/>
      <c r="O58" s="423"/>
      <c r="P58" s="197"/>
      <c r="Q58" s="197"/>
      <c r="R58" s="197"/>
      <c r="S58" s="197" t="e">
        <f t="shared" si="18"/>
        <v>#N/A</v>
      </c>
      <c r="T58" s="432"/>
      <c r="U58" s="197"/>
      <c r="V58" s="197"/>
      <c r="W58" s="197"/>
      <c r="X58" s="197" t="e">
        <f t="shared" si="19"/>
        <v>#N/A</v>
      </c>
      <c r="Y58" s="432"/>
      <c r="Z58" s="197"/>
      <c r="AA58" s="197"/>
      <c r="AB58" s="197"/>
      <c r="AC58" s="197" t="e">
        <f t="shared" si="20"/>
        <v>#N/A</v>
      </c>
      <c r="AD58" s="432"/>
      <c r="AE58" s="197"/>
      <c r="AF58" s="197"/>
      <c r="AG58" s="197"/>
      <c r="AH58" s="197" t="e">
        <f t="shared" si="21"/>
        <v>#N/A</v>
      </c>
      <c r="AI58" s="432"/>
      <c r="AJ58" s="197"/>
      <c r="AK58" s="197"/>
      <c r="AL58" s="197"/>
      <c r="AM58" s="197" t="e">
        <f t="shared" si="22"/>
        <v>#N/A</v>
      </c>
      <c r="AN58" s="432"/>
      <c r="AO58" s="197"/>
      <c r="AP58" s="197"/>
      <c r="AQ58" s="197"/>
      <c r="AR58" s="197" t="e">
        <f t="shared" si="23"/>
        <v>#N/A</v>
      </c>
      <c r="AS58" s="432"/>
      <c r="AT58" s="197"/>
      <c r="AU58" s="197"/>
      <c r="AV58" s="197"/>
      <c r="AW58" s="197" t="e">
        <f t="shared" si="24"/>
        <v>#N/A</v>
      </c>
      <c r="AX58" s="432"/>
    </row>
    <row r="59" spans="2:50">
      <c r="B59" s="422"/>
      <c r="C59" s="197">
        <v>13</v>
      </c>
      <c r="D59" s="225"/>
      <c r="E59" s="169"/>
      <c r="F59" s="197"/>
      <c r="G59" s="195"/>
      <c r="H59" s="429"/>
      <c r="I59" s="197"/>
      <c r="J59" s="197"/>
      <c r="K59" s="197"/>
      <c r="L59" s="429"/>
      <c r="M59" s="196" t="e">
        <f>RANK(K59, K$87:$K$101)</f>
        <v>#DIV/0!</v>
      </c>
      <c r="N59" s="423"/>
      <c r="O59" s="423"/>
      <c r="P59" s="197"/>
      <c r="Q59" s="197"/>
      <c r="R59" s="197"/>
      <c r="S59" s="197" t="e">
        <f t="shared" si="18"/>
        <v>#N/A</v>
      </c>
      <c r="T59" s="432"/>
      <c r="U59" s="197"/>
      <c r="V59" s="197"/>
      <c r="W59" s="197"/>
      <c r="X59" s="197" t="e">
        <f t="shared" si="19"/>
        <v>#N/A</v>
      </c>
      <c r="Y59" s="432"/>
      <c r="Z59" s="197"/>
      <c r="AA59" s="197"/>
      <c r="AB59" s="197"/>
      <c r="AC59" s="197" t="e">
        <f t="shared" si="20"/>
        <v>#N/A</v>
      </c>
      <c r="AD59" s="432"/>
      <c r="AE59" s="197"/>
      <c r="AF59" s="197"/>
      <c r="AG59" s="197"/>
      <c r="AH59" s="197" t="e">
        <f t="shared" si="21"/>
        <v>#N/A</v>
      </c>
      <c r="AI59" s="432"/>
      <c r="AJ59" s="197"/>
      <c r="AK59" s="197"/>
      <c r="AL59" s="197"/>
      <c r="AM59" s="197" t="e">
        <f t="shared" si="22"/>
        <v>#N/A</v>
      </c>
      <c r="AN59" s="432"/>
      <c r="AO59" s="197"/>
      <c r="AP59" s="197"/>
      <c r="AQ59" s="197"/>
      <c r="AR59" s="197" t="e">
        <f t="shared" si="23"/>
        <v>#N/A</v>
      </c>
      <c r="AS59" s="432"/>
      <c r="AT59" s="197"/>
      <c r="AU59" s="197"/>
      <c r="AV59" s="197"/>
      <c r="AW59" s="197" t="e">
        <f t="shared" si="24"/>
        <v>#N/A</v>
      </c>
      <c r="AX59" s="432"/>
    </row>
    <row r="60" spans="2:50">
      <c r="B60" s="422"/>
      <c r="C60" s="197">
        <v>14</v>
      </c>
      <c r="D60" s="225"/>
      <c r="E60" s="169"/>
      <c r="F60" s="197"/>
      <c r="G60" s="195"/>
      <c r="H60" s="429"/>
      <c r="I60" s="197"/>
      <c r="J60" s="197"/>
      <c r="K60" s="197"/>
      <c r="L60" s="429"/>
      <c r="M60" s="196" t="e">
        <f>RANK(K60, K$87:$K$101)</f>
        <v>#DIV/0!</v>
      </c>
      <c r="N60" s="423"/>
      <c r="O60" s="423"/>
      <c r="P60" s="197"/>
      <c r="Q60" s="197"/>
      <c r="R60" s="197"/>
      <c r="S60" s="197" t="e">
        <f t="shared" si="18"/>
        <v>#N/A</v>
      </c>
      <c r="T60" s="432"/>
      <c r="U60" s="197"/>
      <c r="V60" s="197"/>
      <c r="W60" s="197"/>
      <c r="X60" s="197" t="e">
        <f t="shared" si="19"/>
        <v>#N/A</v>
      </c>
      <c r="Y60" s="432"/>
      <c r="Z60" s="197"/>
      <c r="AA60" s="197"/>
      <c r="AB60" s="197"/>
      <c r="AC60" s="197" t="e">
        <f t="shared" si="20"/>
        <v>#N/A</v>
      </c>
      <c r="AD60" s="432"/>
      <c r="AE60" s="197"/>
      <c r="AF60" s="197"/>
      <c r="AG60" s="197"/>
      <c r="AH60" s="197" t="e">
        <f t="shared" si="21"/>
        <v>#N/A</v>
      </c>
      <c r="AI60" s="432"/>
      <c r="AJ60" s="197"/>
      <c r="AK60" s="197"/>
      <c r="AL60" s="197"/>
      <c r="AM60" s="197" t="e">
        <f t="shared" si="22"/>
        <v>#N/A</v>
      </c>
      <c r="AN60" s="432"/>
      <c r="AO60" s="197"/>
      <c r="AP60" s="197"/>
      <c r="AQ60" s="197"/>
      <c r="AR60" s="197" t="e">
        <f t="shared" si="23"/>
        <v>#N/A</v>
      </c>
      <c r="AS60" s="432"/>
      <c r="AT60" s="197"/>
      <c r="AU60" s="197"/>
      <c r="AV60" s="197"/>
      <c r="AW60" s="197" t="e">
        <f t="shared" si="24"/>
        <v>#N/A</v>
      </c>
      <c r="AX60" s="432"/>
    </row>
    <row r="61" spans="2:50">
      <c r="B61" s="422"/>
      <c r="C61" s="197">
        <v>15</v>
      </c>
      <c r="D61" s="225"/>
      <c r="E61" s="169"/>
      <c r="F61" s="197"/>
      <c r="G61" s="195"/>
      <c r="H61" s="430"/>
      <c r="I61" s="197"/>
      <c r="J61" s="197"/>
      <c r="K61" s="197"/>
      <c r="L61" s="430"/>
      <c r="M61" s="169" t="e">
        <f>RANK(K61, K$87:$K$101)</f>
        <v>#DIV/0!</v>
      </c>
      <c r="N61" s="423"/>
      <c r="O61" s="423"/>
      <c r="P61" s="197"/>
      <c r="Q61" s="197"/>
      <c r="R61" s="197"/>
      <c r="S61" s="197" t="e">
        <f t="shared" si="18"/>
        <v>#N/A</v>
      </c>
      <c r="T61" s="432"/>
      <c r="U61" s="197"/>
      <c r="V61" s="197"/>
      <c r="W61" s="197"/>
      <c r="X61" s="197" t="e">
        <f t="shared" si="19"/>
        <v>#N/A</v>
      </c>
      <c r="Y61" s="432"/>
      <c r="Z61" s="197"/>
      <c r="AA61" s="197"/>
      <c r="AB61" s="197"/>
      <c r="AC61" s="197" t="e">
        <f t="shared" si="20"/>
        <v>#N/A</v>
      </c>
      <c r="AD61" s="432"/>
      <c r="AE61" s="197"/>
      <c r="AF61" s="197"/>
      <c r="AG61" s="197"/>
      <c r="AH61" s="197" t="e">
        <f t="shared" si="21"/>
        <v>#N/A</v>
      </c>
      <c r="AI61" s="432"/>
      <c r="AJ61" s="197"/>
      <c r="AK61" s="197"/>
      <c r="AL61" s="197"/>
      <c r="AM61" s="197" t="e">
        <f t="shared" si="22"/>
        <v>#N/A</v>
      </c>
      <c r="AN61" s="432"/>
      <c r="AO61" s="197"/>
      <c r="AP61" s="197"/>
      <c r="AQ61" s="197"/>
      <c r="AR61" s="197" t="e">
        <f t="shared" si="23"/>
        <v>#N/A</v>
      </c>
      <c r="AS61" s="432"/>
      <c r="AT61" s="197"/>
      <c r="AU61" s="197"/>
      <c r="AV61" s="197"/>
      <c r="AW61" s="197" t="e">
        <f t="shared" si="24"/>
        <v>#N/A</v>
      </c>
      <c r="AX61" s="432"/>
    </row>
    <row r="62" spans="2:50" ht="15.75">
      <c r="B62" s="396" t="s">
        <v>202</v>
      </c>
      <c r="C62" s="427"/>
      <c r="D62" s="427"/>
      <c r="E62" s="427"/>
      <c r="F62" s="427"/>
      <c r="G62" s="427"/>
      <c r="H62" s="427"/>
      <c r="I62" s="201"/>
      <c r="J62" s="201"/>
      <c r="K62" s="201"/>
      <c r="L62" s="201"/>
      <c r="M62" s="200"/>
      <c r="N62" s="401" t="s">
        <v>203</v>
      </c>
      <c r="O62" s="401" t="s">
        <v>150</v>
      </c>
      <c r="P62" s="421">
        <f>P42+7</f>
        <v>45916</v>
      </c>
      <c r="Q62" s="422"/>
      <c r="R62" s="422"/>
      <c r="S62" s="422"/>
      <c r="T62" s="422"/>
      <c r="U62" s="416">
        <f>P62+1</f>
        <v>45917</v>
      </c>
      <c r="V62" s="417"/>
      <c r="W62" s="417"/>
      <c r="X62" s="417"/>
      <c r="Y62" s="418"/>
      <c r="Z62" s="416">
        <f>U62+1</f>
        <v>45918</v>
      </c>
      <c r="AA62" s="417"/>
      <c r="AB62" s="417"/>
      <c r="AC62" s="417"/>
      <c r="AD62" s="418"/>
      <c r="AE62" s="416">
        <f t="shared" ref="AE62" si="25">Z62+1</f>
        <v>45919</v>
      </c>
      <c r="AF62" s="417"/>
      <c r="AG62" s="417"/>
      <c r="AH62" s="417"/>
      <c r="AI62" s="418"/>
      <c r="AJ62" s="416">
        <f t="shared" ref="AJ62" si="26">AE62+1</f>
        <v>45920</v>
      </c>
      <c r="AK62" s="417"/>
      <c r="AL62" s="417"/>
      <c r="AM62" s="417"/>
      <c r="AN62" s="418"/>
      <c r="AO62" s="416">
        <f t="shared" ref="AO62" si="27">AJ62+1</f>
        <v>45921</v>
      </c>
      <c r="AP62" s="417"/>
      <c r="AQ62" s="417"/>
      <c r="AR62" s="417"/>
      <c r="AS62" s="418"/>
      <c r="AT62" s="416">
        <f t="shared" ref="AT62" si="28">AO62+1</f>
        <v>45922</v>
      </c>
      <c r="AU62" s="417"/>
      <c r="AV62" s="417"/>
      <c r="AW62" s="417"/>
      <c r="AX62" s="418"/>
    </row>
    <row r="63" spans="2:50" ht="15.75">
      <c r="B63" s="426"/>
      <c r="C63" s="426"/>
      <c r="D63" s="426"/>
      <c r="E63" s="426"/>
      <c r="F63" s="426"/>
      <c r="G63" s="426"/>
      <c r="H63" s="426"/>
      <c r="I63" s="199"/>
      <c r="J63" s="199"/>
      <c r="K63" s="199"/>
      <c r="L63" s="199"/>
      <c r="M63" s="194"/>
      <c r="N63" s="403"/>
      <c r="O63" s="403"/>
      <c r="P63" s="421" t="s">
        <v>204</v>
      </c>
      <c r="Q63" s="422"/>
      <c r="R63" s="422"/>
      <c r="S63" s="422"/>
      <c r="T63" s="422"/>
      <c r="U63" s="421" t="s">
        <v>205</v>
      </c>
      <c r="V63" s="422"/>
      <c r="W63" s="422"/>
      <c r="X63" s="422"/>
      <c r="Y63" s="422"/>
      <c r="Z63" s="421" t="s">
        <v>206</v>
      </c>
      <c r="AA63" s="422"/>
      <c r="AB63" s="422"/>
      <c r="AC63" s="422"/>
      <c r="AD63" s="422"/>
      <c r="AE63" s="421" t="s">
        <v>207</v>
      </c>
      <c r="AF63" s="422"/>
      <c r="AG63" s="422"/>
      <c r="AH63" s="422"/>
      <c r="AI63" s="422"/>
      <c r="AJ63" s="421" t="s">
        <v>208</v>
      </c>
      <c r="AK63" s="422"/>
      <c r="AL63" s="422"/>
      <c r="AM63" s="422"/>
      <c r="AN63" s="422"/>
      <c r="AO63" s="421" t="s">
        <v>157</v>
      </c>
      <c r="AP63" s="422"/>
      <c r="AQ63" s="422"/>
      <c r="AR63" s="422"/>
      <c r="AS63" s="422"/>
      <c r="AT63" s="421" t="s">
        <v>209</v>
      </c>
      <c r="AU63" s="422"/>
      <c r="AV63" s="422"/>
      <c r="AW63" s="422"/>
      <c r="AX63" s="422"/>
    </row>
    <row r="64" spans="2:50">
      <c r="B64" s="423" t="s">
        <v>210</v>
      </c>
      <c r="C64" s="423" t="s">
        <v>211</v>
      </c>
      <c r="D64" s="423"/>
      <c r="E64" s="423" t="s">
        <v>212</v>
      </c>
      <c r="F64" s="423"/>
      <c r="G64" s="423"/>
      <c r="H64" s="404" t="s">
        <v>213</v>
      </c>
      <c r="I64" s="423" t="s">
        <v>214</v>
      </c>
      <c r="J64" s="423"/>
      <c r="K64" s="423"/>
      <c r="L64" s="404" t="s">
        <v>213</v>
      </c>
      <c r="M64" s="401" t="s">
        <v>215</v>
      </c>
      <c r="N64" s="423"/>
      <c r="O64" s="423" t="s">
        <v>216</v>
      </c>
      <c r="P64" s="413" t="s">
        <v>217</v>
      </c>
      <c r="Q64" s="414"/>
      <c r="R64" s="414"/>
      <c r="S64" s="415"/>
      <c r="T64" s="423" t="s">
        <v>213</v>
      </c>
      <c r="U64" s="413" t="s">
        <v>217</v>
      </c>
      <c r="V64" s="414"/>
      <c r="W64" s="414"/>
      <c r="X64" s="415"/>
      <c r="Y64" s="423" t="s">
        <v>213</v>
      </c>
      <c r="Z64" s="413" t="s">
        <v>217</v>
      </c>
      <c r="AA64" s="414"/>
      <c r="AB64" s="414"/>
      <c r="AC64" s="415"/>
      <c r="AD64" s="423" t="s">
        <v>213</v>
      </c>
      <c r="AE64" s="413" t="s">
        <v>217</v>
      </c>
      <c r="AF64" s="414"/>
      <c r="AG64" s="414"/>
      <c r="AH64" s="415"/>
      <c r="AI64" s="423" t="s">
        <v>213</v>
      </c>
      <c r="AJ64" s="413" t="s">
        <v>217</v>
      </c>
      <c r="AK64" s="414"/>
      <c r="AL64" s="414"/>
      <c r="AM64" s="415"/>
      <c r="AN64" s="423" t="s">
        <v>213</v>
      </c>
      <c r="AO64" s="413" t="s">
        <v>217</v>
      </c>
      <c r="AP64" s="414"/>
      <c r="AQ64" s="414"/>
      <c r="AR64" s="415"/>
      <c r="AS64" s="423" t="s">
        <v>213</v>
      </c>
      <c r="AT64" s="413" t="s">
        <v>217</v>
      </c>
      <c r="AU64" s="414"/>
      <c r="AV64" s="414"/>
      <c r="AW64" s="415"/>
      <c r="AX64" s="423" t="s">
        <v>213</v>
      </c>
    </row>
    <row r="65" spans="2:50">
      <c r="B65" s="423"/>
      <c r="C65" s="423"/>
      <c r="D65" s="423"/>
      <c r="E65" s="423" t="s">
        <v>218</v>
      </c>
      <c r="F65" s="423"/>
      <c r="G65" s="423"/>
      <c r="H65" s="406"/>
      <c r="I65" s="423" t="s">
        <v>218</v>
      </c>
      <c r="J65" s="423"/>
      <c r="K65" s="423"/>
      <c r="L65" s="406"/>
      <c r="M65" s="402"/>
      <c r="N65" s="423"/>
      <c r="O65" s="423"/>
      <c r="P65" s="413" t="s">
        <v>219</v>
      </c>
      <c r="Q65" s="414"/>
      <c r="R65" s="414"/>
      <c r="S65" s="415"/>
      <c r="T65" s="423"/>
      <c r="U65" s="413" t="s">
        <v>219</v>
      </c>
      <c r="V65" s="414"/>
      <c r="W65" s="414"/>
      <c r="X65" s="415"/>
      <c r="Y65" s="423"/>
      <c r="Z65" s="413" t="s">
        <v>219</v>
      </c>
      <c r="AA65" s="414"/>
      <c r="AB65" s="414"/>
      <c r="AC65" s="415"/>
      <c r="AD65" s="423"/>
      <c r="AE65" s="413" t="s">
        <v>219</v>
      </c>
      <c r="AF65" s="414"/>
      <c r="AG65" s="414"/>
      <c r="AH65" s="415"/>
      <c r="AI65" s="423"/>
      <c r="AJ65" s="413" t="s">
        <v>219</v>
      </c>
      <c r="AK65" s="414"/>
      <c r="AL65" s="414"/>
      <c r="AM65" s="415"/>
      <c r="AN65" s="423"/>
      <c r="AO65" s="413" t="s">
        <v>219</v>
      </c>
      <c r="AP65" s="414"/>
      <c r="AQ65" s="414"/>
      <c r="AR65" s="415"/>
      <c r="AS65" s="423"/>
      <c r="AT65" s="413" t="s">
        <v>219</v>
      </c>
      <c r="AU65" s="414"/>
      <c r="AV65" s="414"/>
      <c r="AW65" s="415"/>
      <c r="AX65" s="423"/>
    </row>
    <row r="66" spans="2:50">
      <c r="B66" s="423"/>
      <c r="C66" s="423"/>
      <c r="D66" s="423"/>
      <c r="E66" s="297" t="s">
        <v>220</v>
      </c>
      <c r="F66" s="297" t="s">
        <v>221</v>
      </c>
      <c r="G66" s="297" t="s">
        <v>222</v>
      </c>
      <c r="H66" s="408"/>
      <c r="I66" s="297" t="s">
        <v>220</v>
      </c>
      <c r="J66" s="297" t="s">
        <v>221</v>
      </c>
      <c r="K66" s="297" t="s">
        <v>222</v>
      </c>
      <c r="L66" s="408"/>
      <c r="M66" s="403"/>
      <c r="N66" s="423"/>
      <c r="O66" s="423"/>
      <c r="P66" s="297" t="s">
        <v>220</v>
      </c>
      <c r="Q66" s="297" t="s">
        <v>221</v>
      </c>
      <c r="R66" s="297" t="s">
        <v>222</v>
      </c>
      <c r="S66" s="297" t="s">
        <v>215</v>
      </c>
      <c r="T66" s="423"/>
      <c r="U66" s="297" t="s">
        <v>220</v>
      </c>
      <c r="V66" s="297" t="s">
        <v>221</v>
      </c>
      <c r="W66" s="297" t="s">
        <v>222</v>
      </c>
      <c r="X66" s="297" t="s">
        <v>215</v>
      </c>
      <c r="Y66" s="423"/>
      <c r="Z66" s="297" t="s">
        <v>220</v>
      </c>
      <c r="AA66" s="297" t="s">
        <v>221</v>
      </c>
      <c r="AB66" s="297" t="s">
        <v>222</v>
      </c>
      <c r="AC66" s="297" t="s">
        <v>215</v>
      </c>
      <c r="AD66" s="423"/>
      <c r="AE66" s="297" t="s">
        <v>220</v>
      </c>
      <c r="AF66" s="297" t="s">
        <v>221</v>
      </c>
      <c r="AG66" s="297" t="s">
        <v>222</v>
      </c>
      <c r="AH66" s="297" t="s">
        <v>215</v>
      </c>
      <c r="AI66" s="423"/>
      <c r="AJ66" s="297" t="s">
        <v>220</v>
      </c>
      <c r="AK66" s="297" t="s">
        <v>221</v>
      </c>
      <c r="AL66" s="297" t="s">
        <v>222</v>
      </c>
      <c r="AM66" s="297" t="s">
        <v>215</v>
      </c>
      <c r="AN66" s="423"/>
      <c r="AO66" s="297" t="s">
        <v>220</v>
      </c>
      <c r="AP66" s="297" t="s">
        <v>221</v>
      </c>
      <c r="AQ66" s="297" t="s">
        <v>222</v>
      </c>
      <c r="AR66" s="297" t="s">
        <v>215</v>
      </c>
      <c r="AS66" s="423"/>
      <c r="AT66" s="297" t="s">
        <v>220</v>
      </c>
      <c r="AU66" s="297" t="s">
        <v>221</v>
      </c>
      <c r="AV66" s="297" t="s">
        <v>222</v>
      </c>
      <c r="AW66" s="297" t="s">
        <v>215</v>
      </c>
      <c r="AX66" s="423"/>
    </row>
    <row r="67" spans="2:50">
      <c r="B67" s="423" t="s">
        <v>267</v>
      </c>
      <c r="C67" s="197">
        <v>1</v>
      </c>
      <c r="D67" s="225"/>
      <c r="E67" s="169"/>
      <c r="F67" s="197"/>
      <c r="G67" s="195">
        <v>123.69230769230764</v>
      </c>
      <c r="H67" s="428">
        <f>AVERAGE(G67:G81)</f>
        <v>123.69230769230764</v>
      </c>
      <c r="I67" s="169" t="e">
        <f>AVERAGE(P67,U67,Z67,AE67,AJ67,AO67,AT67)</f>
        <v>#DIV/0!</v>
      </c>
      <c r="J67" s="169" t="e">
        <f>AVERAGE(Q67,V67,AA67,AF67,AK67,AP67,AU67)</f>
        <v>#DIV/0!</v>
      </c>
      <c r="K67" s="195" t="e">
        <f>AVERAGE(R67,W67,AB67,AG67,AL67,AQ67,AV67)</f>
        <v>#DIV/0!</v>
      </c>
      <c r="L67" s="428" t="str">
        <f>IFERROR(AVERAGE(K67:K81),"-")</f>
        <v>-</v>
      </c>
      <c r="M67" s="196" t="e">
        <f>RANK(K67, K$87:$K$101)</f>
        <v>#DIV/0!</v>
      </c>
      <c r="N67" s="423"/>
      <c r="O67" s="423"/>
      <c r="P67" s="197"/>
      <c r="Q67" s="169"/>
      <c r="R67" s="195"/>
      <c r="S67" s="197" t="e">
        <f>RANK(R67, R$87:R$101)</f>
        <v>#N/A</v>
      </c>
      <c r="T67" s="432" t="e">
        <f>AVERAGE(R67:R81)</f>
        <v>#DIV/0!</v>
      </c>
      <c r="U67" s="197"/>
      <c r="V67" s="169"/>
      <c r="W67" s="195"/>
      <c r="X67" s="197" t="e">
        <f>RANK(W67, W$87:W$101)</f>
        <v>#N/A</v>
      </c>
      <c r="Y67" s="432" t="e">
        <f>AVERAGE(W67:W81)</f>
        <v>#DIV/0!</v>
      </c>
      <c r="Z67" s="197"/>
      <c r="AA67" s="169"/>
      <c r="AB67" s="195"/>
      <c r="AC67" s="197" t="e">
        <f>RANK(AB67, AB$87:AB$101)</f>
        <v>#N/A</v>
      </c>
      <c r="AD67" s="432" t="e">
        <f>AVERAGE(AB67:AB81)</f>
        <v>#DIV/0!</v>
      </c>
      <c r="AE67" s="197"/>
      <c r="AF67" s="169"/>
      <c r="AG67" s="195"/>
      <c r="AH67" s="197" t="e">
        <f>RANK(AG67, AG$87:AG$101)</f>
        <v>#N/A</v>
      </c>
      <c r="AI67" s="432" t="e">
        <f>AVERAGE(AG67:AG81)</f>
        <v>#DIV/0!</v>
      </c>
      <c r="AJ67" s="197"/>
      <c r="AK67" s="169"/>
      <c r="AL67" s="195"/>
      <c r="AM67" s="197" t="e">
        <f>RANK(AL67, AL$87:AL$101)</f>
        <v>#N/A</v>
      </c>
      <c r="AN67" s="432" t="e">
        <f>AVERAGE(AL67:AL81)</f>
        <v>#DIV/0!</v>
      </c>
      <c r="AO67" s="197"/>
      <c r="AP67" s="169"/>
      <c r="AQ67" s="195"/>
      <c r="AR67" s="197" t="e">
        <f>RANK(AQ67, AQ$87:AQ$101)</f>
        <v>#N/A</v>
      </c>
      <c r="AS67" s="432" t="e">
        <f>AVERAGE(AQ67:AQ81)</f>
        <v>#DIV/0!</v>
      </c>
      <c r="AT67" s="197"/>
      <c r="AU67" s="169"/>
      <c r="AV67" s="195"/>
      <c r="AW67" s="197" t="e">
        <f>RANK(AV67, AV$87:AV$101)</f>
        <v>#N/A</v>
      </c>
      <c r="AX67" s="432" t="e">
        <f>AVERAGE(AV67:AV81)</f>
        <v>#DIV/0!</v>
      </c>
    </row>
    <row r="68" spans="2:50">
      <c r="B68" s="422"/>
      <c r="C68" s="197">
        <v>2</v>
      </c>
      <c r="D68" s="225"/>
      <c r="E68" s="169"/>
      <c r="F68" s="197"/>
      <c r="G68" s="195"/>
      <c r="H68" s="429"/>
      <c r="I68" s="169"/>
      <c r="J68" s="169"/>
      <c r="K68" s="195"/>
      <c r="L68" s="429"/>
      <c r="M68" s="196" t="e">
        <f>RANK(K68, K$87:$K$101)</f>
        <v>#DIV/0!</v>
      </c>
      <c r="N68" s="423"/>
      <c r="O68" s="423"/>
      <c r="P68" s="197"/>
      <c r="Q68" s="197"/>
      <c r="R68" s="197"/>
      <c r="S68" s="197" t="e">
        <f t="shared" ref="S68:S81" si="29">RANK(R68, R$87:R$101)</f>
        <v>#N/A</v>
      </c>
      <c r="T68" s="432"/>
      <c r="U68" s="197"/>
      <c r="V68" s="197"/>
      <c r="W68" s="197"/>
      <c r="X68" s="197" t="e">
        <f t="shared" ref="X68:X81" si="30">RANK(W68, W$87:W$101)</f>
        <v>#N/A</v>
      </c>
      <c r="Y68" s="432"/>
      <c r="Z68" s="197"/>
      <c r="AA68" s="197"/>
      <c r="AB68" s="197"/>
      <c r="AC68" s="197" t="e">
        <f t="shared" ref="AC68:AC81" si="31">RANK(AB68, AB$87:AB$101)</f>
        <v>#N/A</v>
      </c>
      <c r="AD68" s="432"/>
      <c r="AE68" s="197"/>
      <c r="AF68" s="197"/>
      <c r="AG68" s="197"/>
      <c r="AH68" s="197" t="e">
        <f t="shared" ref="AH68:AH81" si="32">RANK(AG68, AG$87:AG$101)</f>
        <v>#N/A</v>
      </c>
      <c r="AI68" s="432"/>
      <c r="AJ68" s="197"/>
      <c r="AK68" s="197"/>
      <c r="AL68" s="197"/>
      <c r="AM68" s="197" t="e">
        <f t="shared" ref="AM68:AM81" si="33">RANK(AL68, AL$87:AL$101)</f>
        <v>#N/A</v>
      </c>
      <c r="AN68" s="432"/>
      <c r="AO68" s="197"/>
      <c r="AP68" s="197"/>
      <c r="AQ68" s="197"/>
      <c r="AR68" s="197" t="e">
        <f t="shared" ref="AR68:AR81" si="34">RANK(AQ68, AQ$87:AQ$101)</f>
        <v>#N/A</v>
      </c>
      <c r="AS68" s="432"/>
      <c r="AT68" s="197"/>
      <c r="AU68" s="197"/>
      <c r="AV68" s="197"/>
      <c r="AW68" s="197" t="e">
        <f t="shared" ref="AW68:AW81" si="35">RANK(AV68, AV$87:AV$101)</f>
        <v>#N/A</v>
      </c>
      <c r="AX68" s="432"/>
    </row>
    <row r="69" spans="2:50">
      <c r="B69" s="422"/>
      <c r="C69" s="197">
        <v>3</v>
      </c>
      <c r="D69" s="225"/>
      <c r="E69" s="169"/>
      <c r="F69" s="197"/>
      <c r="G69" s="195"/>
      <c r="H69" s="429"/>
      <c r="I69" s="169"/>
      <c r="J69" s="169"/>
      <c r="K69" s="195"/>
      <c r="L69" s="429"/>
      <c r="M69" s="196" t="e">
        <f>RANK(K69, K$87:$K$101)</f>
        <v>#DIV/0!</v>
      </c>
      <c r="N69" s="423"/>
      <c r="O69" s="423"/>
      <c r="P69" s="197"/>
      <c r="Q69" s="197"/>
      <c r="R69" s="197"/>
      <c r="S69" s="197" t="e">
        <f t="shared" si="29"/>
        <v>#N/A</v>
      </c>
      <c r="T69" s="432"/>
      <c r="U69" s="197"/>
      <c r="V69" s="197"/>
      <c r="W69" s="197"/>
      <c r="X69" s="197" t="e">
        <f t="shared" si="30"/>
        <v>#N/A</v>
      </c>
      <c r="Y69" s="432"/>
      <c r="Z69" s="197"/>
      <c r="AA69" s="197"/>
      <c r="AB69" s="197"/>
      <c r="AC69" s="197" t="e">
        <f t="shared" si="31"/>
        <v>#N/A</v>
      </c>
      <c r="AD69" s="432"/>
      <c r="AE69" s="197"/>
      <c r="AF69" s="197"/>
      <c r="AG69" s="197"/>
      <c r="AH69" s="197" t="e">
        <f t="shared" si="32"/>
        <v>#N/A</v>
      </c>
      <c r="AI69" s="432"/>
      <c r="AJ69" s="197"/>
      <c r="AK69" s="197"/>
      <c r="AL69" s="197"/>
      <c r="AM69" s="197" t="e">
        <f t="shared" si="33"/>
        <v>#N/A</v>
      </c>
      <c r="AN69" s="432"/>
      <c r="AO69" s="197"/>
      <c r="AP69" s="197"/>
      <c r="AQ69" s="197"/>
      <c r="AR69" s="197" t="e">
        <f t="shared" si="34"/>
        <v>#N/A</v>
      </c>
      <c r="AS69" s="432"/>
      <c r="AT69" s="197"/>
      <c r="AU69" s="197"/>
      <c r="AV69" s="197"/>
      <c r="AW69" s="197" t="e">
        <f t="shared" si="35"/>
        <v>#N/A</v>
      </c>
      <c r="AX69" s="432"/>
    </row>
    <row r="70" spans="2:50">
      <c r="B70" s="422"/>
      <c r="C70" s="197">
        <v>4</v>
      </c>
      <c r="D70" s="225"/>
      <c r="E70" s="169"/>
      <c r="F70" s="197"/>
      <c r="G70" s="195"/>
      <c r="H70" s="429"/>
      <c r="I70" s="169"/>
      <c r="J70" s="169"/>
      <c r="K70" s="195"/>
      <c r="L70" s="429"/>
      <c r="M70" s="196" t="e">
        <f>RANK(K70, K$87:$K$101)</f>
        <v>#DIV/0!</v>
      </c>
      <c r="N70" s="423"/>
      <c r="O70" s="423"/>
      <c r="P70" s="197"/>
      <c r="Q70" s="197"/>
      <c r="R70" s="197"/>
      <c r="S70" s="197" t="e">
        <f t="shared" si="29"/>
        <v>#N/A</v>
      </c>
      <c r="T70" s="432"/>
      <c r="U70" s="197"/>
      <c r="V70" s="197"/>
      <c r="W70" s="197"/>
      <c r="X70" s="197" t="e">
        <f t="shared" si="30"/>
        <v>#N/A</v>
      </c>
      <c r="Y70" s="432"/>
      <c r="Z70" s="197"/>
      <c r="AA70" s="197"/>
      <c r="AB70" s="197"/>
      <c r="AC70" s="197" t="e">
        <f t="shared" si="31"/>
        <v>#N/A</v>
      </c>
      <c r="AD70" s="432"/>
      <c r="AE70" s="197"/>
      <c r="AF70" s="197"/>
      <c r="AG70" s="197"/>
      <c r="AH70" s="197" t="e">
        <f t="shared" si="32"/>
        <v>#N/A</v>
      </c>
      <c r="AI70" s="432"/>
      <c r="AJ70" s="197"/>
      <c r="AK70" s="197"/>
      <c r="AL70" s="197"/>
      <c r="AM70" s="197" t="e">
        <f t="shared" si="33"/>
        <v>#N/A</v>
      </c>
      <c r="AN70" s="432"/>
      <c r="AO70" s="197"/>
      <c r="AP70" s="197"/>
      <c r="AQ70" s="197"/>
      <c r="AR70" s="197" t="e">
        <f t="shared" si="34"/>
        <v>#N/A</v>
      </c>
      <c r="AS70" s="432"/>
      <c r="AT70" s="197"/>
      <c r="AU70" s="197"/>
      <c r="AV70" s="197"/>
      <c r="AW70" s="197" t="e">
        <f t="shared" si="35"/>
        <v>#N/A</v>
      </c>
      <c r="AX70" s="432"/>
    </row>
    <row r="71" spans="2:50">
      <c r="B71" s="422"/>
      <c r="C71" s="197">
        <v>5</v>
      </c>
      <c r="D71" s="225"/>
      <c r="E71" s="169"/>
      <c r="F71" s="197"/>
      <c r="G71" s="195"/>
      <c r="H71" s="429"/>
      <c r="I71" s="169"/>
      <c r="J71" s="169"/>
      <c r="K71" s="195"/>
      <c r="L71" s="429"/>
      <c r="M71" s="196" t="e">
        <f>RANK(K71, K$87:$K$101)</f>
        <v>#DIV/0!</v>
      </c>
      <c r="N71" s="423"/>
      <c r="O71" s="423"/>
      <c r="P71" s="197"/>
      <c r="Q71" s="197"/>
      <c r="R71" s="197"/>
      <c r="S71" s="197" t="e">
        <f t="shared" si="29"/>
        <v>#N/A</v>
      </c>
      <c r="T71" s="432"/>
      <c r="U71" s="197"/>
      <c r="V71" s="197"/>
      <c r="W71" s="197"/>
      <c r="X71" s="197" t="e">
        <f t="shared" si="30"/>
        <v>#N/A</v>
      </c>
      <c r="Y71" s="432"/>
      <c r="Z71" s="197"/>
      <c r="AA71" s="197"/>
      <c r="AB71" s="197"/>
      <c r="AC71" s="197" t="e">
        <f t="shared" si="31"/>
        <v>#N/A</v>
      </c>
      <c r="AD71" s="432"/>
      <c r="AE71" s="197"/>
      <c r="AF71" s="197"/>
      <c r="AG71" s="197"/>
      <c r="AH71" s="197" t="e">
        <f t="shared" si="32"/>
        <v>#N/A</v>
      </c>
      <c r="AI71" s="432"/>
      <c r="AJ71" s="197"/>
      <c r="AK71" s="197"/>
      <c r="AL71" s="197"/>
      <c r="AM71" s="197" t="e">
        <f t="shared" si="33"/>
        <v>#N/A</v>
      </c>
      <c r="AN71" s="432"/>
      <c r="AO71" s="197"/>
      <c r="AP71" s="197"/>
      <c r="AQ71" s="197"/>
      <c r="AR71" s="197" t="e">
        <f t="shared" si="34"/>
        <v>#N/A</v>
      </c>
      <c r="AS71" s="432"/>
      <c r="AT71" s="197"/>
      <c r="AU71" s="197"/>
      <c r="AV71" s="197"/>
      <c r="AW71" s="197" t="e">
        <f t="shared" si="35"/>
        <v>#N/A</v>
      </c>
      <c r="AX71" s="432"/>
    </row>
    <row r="72" spans="2:50">
      <c r="B72" s="422"/>
      <c r="C72" s="197">
        <v>6</v>
      </c>
      <c r="D72" s="225"/>
      <c r="E72" s="169"/>
      <c r="F72" s="197"/>
      <c r="G72" s="195"/>
      <c r="H72" s="429"/>
      <c r="I72" s="169"/>
      <c r="J72" s="169"/>
      <c r="K72" s="195"/>
      <c r="L72" s="429"/>
      <c r="M72" s="196" t="e">
        <f>RANK(K72, K$87:$K$101)</f>
        <v>#DIV/0!</v>
      </c>
      <c r="N72" s="423"/>
      <c r="O72" s="423"/>
      <c r="P72" s="197"/>
      <c r="Q72" s="197"/>
      <c r="R72" s="197"/>
      <c r="S72" s="197" t="e">
        <f t="shared" si="29"/>
        <v>#N/A</v>
      </c>
      <c r="T72" s="432"/>
      <c r="U72" s="197"/>
      <c r="V72" s="197"/>
      <c r="W72" s="197"/>
      <c r="X72" s="197" t="e">
        <f t="shared" si="30"/>
        <v>#N/A</v>
      </c>
      <c r="Y72" s="432"/>
      <c r="Z72" s="197"/>
      <c r="AA72" s="197"/>
      <c r="AB72" s="197"/>
      <c r="AC72" s="197" t="e">
        <f t="shared" si="31"/>
        <v>#N/A</v>
      </c>
      <c r="AD72" s="432"/>
      <c r="AE72" s="197"/>
      <c r="AF72" s="197"/>
      <c r="AG72" s="197"/>
      <c r="AH72" s="197" t="e">
        <f t="shared" si="32"/>
        <v>#N/A</v>
      </c>
      <c r="AI72" s="432"/>
      <c r="AJ72" s="197"/>
      <c r="AK72" s="197"/>
      <c r="AL72" s="197"/>
      <c r="AM72" s="197" t="e">
        <f t="shared" si="33"/>
        <v>#N/A</v>
      </c>
      <c r="AN72" s="432"/>
      <c r="AO72" s="197"/>
      <c r="AP72" s="197"/>
      <c r="AQ72" s="197"/>
      <c r="AR72" s="197" t="e">
        <f t="shared" si="34"/>
        <v>#N/A</v>
      </c>
      <c r="AS72" s="432"/>
      <c r="AT72" s="197"/>
      <c r="AU72" s="197"/>
      <c r="AV72" s="197"/>
      <c r="AW72" s="197" t="e">
        <f t="shared" si="35"/>
        <v>#N/A</v>
      </c>
      <c r="AX72" s="432"/>
    </row>
    <row r="73" spans="2:50">
      <c r="B73" s="422"/>
      <c r="C73" s="197">
        <v>7</v>
      </c>
      <c r="D73" s="225"/>
      <c r="E73" s="169"/>
      <c r="F73" s="197"/>
      <c r="G73" s="195"/>
      <c r="H73" s="429"/>
      <c r="I73" s="169"/>
      <c r="J73" s="169"/>
      <c r="K73" s="195"/>
      <c r="L73" s="429"/>
      <c r="M73" s="196" t="e">
        <f>RANK(K73, K$87:$K$101)</f>
        <v>#DIV/0!</v>
      </c>
      <c r="N73" s="423"/>
      <c r="O73" s="423"/>
      <c r="P73" s="197"/>
      <c r="Q73" s="197"/>
      <c r="R73" s="197"/>
      <c r="S73" s="197" t="e">
        <f t="shared" si="29"/>
        <v>#N/A</v>
      </c>
      <c r="T73" s="432"/>
      <c r="U73" s="197"/>
      <c r="V73" s="197"/>
      <c r="W73" s="197"/>
      <c r="X73" s="197" t="e">
        <f t="shared" si="30"/>
        <v>#N/A</v>
      </c>
      <c r="Y73" s="432"/>
      <c r="Z73" s="197"/>
      <c r="AA73" s="197"/>
      <c r="AB73" s="197"/>
      <c r="AC73" s="197" t="e">
        <f t="shared" si="31"/>
        <v>#N/A</v>
      </c>
      <c r="AD73" s="432"/>
      <c r="AE73" s="197"/>
      <c r="AF73" s="197"/>
      <c r="AG73" s="197"/>
      <c r="AH73" s="197" t="e">
        <f t="shared" si="32"/>
        <v>#N/A</v>
      </c>
      <c r="AI73" s="432"/>
      <c r="AJ73" s="197"/>
      <c r="AK73" s="197"/>
      <c r="AL73" s="197"/>
      <c r="AM73" s="197" t="e">
        <f t="shared" si="33"/>
        <v>#N/A</v>
      </c>
      <c r="AN73" s="432"/>
      <c r="AO73" s="197"/>
      <c r="AP73" s="197"/>
      <c r="AQ73" s="197"/>
      <c r="AR73" s="197" t="e">
        <f t="shared" si="34"/>
        <v>#N/A</v>
      </c>
      <c r="AS73" s="432"/>
      <c r="AT73" s="197"/>
      <c r="AU73" s="197"/>
      <c r="AV73" s="197"/>
      <c r="AW73" s="197" t="e">
        <f t="shared" si="35"/>
        <v>#N/A</v>
      </c>
      <c r="AX73" s="432"/>
    </row>
    <row r="74" spans="2:50">
      <c r="B74" s="422"/>
      <c r="C74" s="197">
        <v>8</v>
      </c>
      <c r="D74" s="225"/>
      <c r="E74" s="169"/>
      <c r="F74" s="197"/>
      <c r="G74" s="195"/>
      <c r="H74" s="429"/>
      <c r="I74" s="169"/>
      <c r="J74" s="169"/>
      <c r="K74" s="195"/>
      <c r="L74" s="429"/>
      <c r="M74" s="196" t="e">
        <f>RANK(K74, K$87:$K$101)</f>
        <v>#DIV/0!</v>
      </c>
      <c r="N74" s="423"/>
      <c r="O74" s="423"/>
      <c r="P74" s="197"/>
      <c r="Q74" s="197"/>
      <c r="R74" s="197"/>
      <c r="S74" s="197" t="e">
        <f t="shared" si="29"/>
        <v>#N/A</v>
      </c>
      <c r="T74" s="432"/>
      <c r="U74" s="197"/>
      <c r="V74" s="197"/>
      <c r="W74" s="197"/>
      <c r="X74" s="197" t="e">
        <f t="shared" si="30"/>
        <v>#N/A</v>
      </c>
      <c r="Y74" s="432"/>
      <c r="Z74" s="197"/>
      <c r="AA74" s="197"/>
      <c r="AB74" s="197"/>
      <c r="AC74" s="197" t="e">
        <f t="shared" si="31"/>
        <v>#N/A</v>
      </c>
      <c r="AD74" s="432"/>
      <c r="AE74" s="197"/>
      <c r="AF74" s="197"/>
      <c r="AG74" s="197"/>
      <c r="AH74" s="197" t="e">
        <f t="shared" si="32"/>
        <v>#N/A</v>
      </c>
      <c r="AI74" s="432"/>
      <c r="AJ74" s="197"/>
      <c r="AK74" s="197"/>
      <c r="AL74" s="197"/>
      <c r="AM74" s="197" t="e">
        <f t="shared" si="33"/>
        <v>#N/A</v>
      </c>
      <c r="AN74" s="432"/>
      <c r="AO74" s="197"/>
      <c r="AP74" s="197"/>
      <c r="AQ74" s="197"/>
      <c r="AR74" s="197" t="e">
        <f t="shared" si="34"/>
        <v>#N/A</v>
      </c>
      <c r="AS74" s="432"/>
      <c r="AT74" s="197"/>
      <c r="AU74" s="197"/>
      <c r="AV74" s="197"/>
      <c r="AW74" s="197" t="e">
        <f t="shared" si="35"/>
        <v>#N/A</v>
      </c>
      <c r="AX74" s="432"/>
    </row>
    <row r="75" spans="2:50">
      <c r="B75" s="422"/>
      <c r="C75" s="197">
        <v>9</v>
      </c>
      <c r="D75" s="225"/>
      <c r="E75" s="169"/>
      <c r="F75" s="197"/>
      <c r="G75" s="195"/>
      <c r="H75" s="429"/>
      <c r="I75" s="169"/>
      <c r="J75" s="169"/>
      <c r="K75" s="195"/>
      <c r="L75" s="429"/>
      <c r="M75" s="196" t="e">
        <f>RANK(K75, K$87:$K$101)</f>
        <v>#DIV/0!</v>
      </c>
      <c r="N75" s="423"/>
      <c r="O75" s="423"/>
      <c r="P75" s="197"/>
      <c r="Q75" s="197"/>
      <c r="R75" s="197"/>
      <c r="S75" s="197" t="e">
        <f t="shared" si="29"/>
        <v>#N/A</v>
      </c>
      <c r="T75" s="432"/>
      <c r="U75" s="197"/>
      <c r="V75" s="197"/>
      <c r="W75" s="197"/>
      <c r="X75" s="197" t="e">
        <f t="shared" si="30"/>
        <v>#N/A</v>
      </c>
      <c r="Y75" s="432"/>
      <c r="Z75" s="197"/>
      <c r="AA75" s="197"/>
      <c r="AB75" s="197"/>
      <c r="AC75" s="197" t="e">
        <f t="shared" si="31"/>
        <v>#N/A</v>
      </c>
      <c r="AD75" s="432"/>
      <c r="AE75" s="197"/>
      <c r="AF75" s="197"/>
      <c r="AG75" s="197"/>
      <c r="AH75" s="197" t="e">
        <f t="shared" si="32"/>
        <v>#N/A</v>
      </c>
      <c r="AI75" s="432"/>
      <c r="AJ75" s="197"/>
      <c r="AK75" s="197"/>
      <c r="AL75" s="197"/>
      <c r="AM75" s="197" t="e">
        <f t="shared" si="33"/>
        <v>#N/A</v>
      </c>
      <c r="AN75" s="432"/>
      <c r="AO75" s="197"/>
      <c r="AP75" s="197"/>
      <c r="AQ75" s="197"/>
      <c r="AR75" s="197" t="e">
        <f t="shared" si="34"/>
        <v>#N/A</v>
      </c>
      <c r="AS75" s="432"/>
      <c r="AT75" s="197"/>
      <c r="AU75" s="197"/>
      <c r="AV75" s="197"/>
      <c r="AW75" s="197" t="e">
        <f t="shared" si="35"/>
        <v>#N/A</v>
      </c>
      <c r="AX75" s="432"/>
    </row>
    <row r="76" spans="2:50">
      <c r="B76" s="422"/>
      <c r="C76" s="197">
        <v>10</v>
      </c>
      <c r="D76" s="225"/>
      <c r="E76" s="169"/>
      <c r="F76" s="197"/>
      <c r="G76" s="195"/>
      <c r="H76" s="429"/>
      <c r="I76" s="169"/>
      <c r="J76" s="169"/>
      <c r="K76" s="195"/>
      <c r="L76" s="429"/>
      <c r="M76" s="196" t="e">
        <f>RANK(K76, K$87:$K$101)</f>
        <v>#DIV/0!</v>
      </c>
      <c r="N76" s="423"/>
      <c r="O76" s="423"/>
      <c r="P76" s="197"/>
      <c r="Q76" s="197"/>
      <c r="R76" s="197"/>
      <c r="S76" s="197" t="e">
        <f t="shared" si="29"/>
        <v>#N/A</v>
      </c>
      <c r="T76" s="432"/>
      <c r="U76" s="197"/>
      <c r="V76" s="197"/>
      <c r="W76" s="197"/>
      <c r="X76" s="197" t="e">
        <f t="shared" si="30"/>
        <v>#N/A</v>
      </c>
      <c r="Y76" s="432"/>
      <c r="Z76" s="197"/>
      <c r="AA76" s="197"/>
      <c r="AB76" s="197"/>
      <c r="AC76" s="197" t="e">
        <f t="shared" si="31"/>
        <v>#N/A</v>
      </c>
      <c r="AD76" s="432"/>
      <c r="AE76" s="197"/>
      <c r="AF76" s="197"/>
      <c r="AG76" s="197"/>
      <c r="AH76" s="197" t="e">
        <f t="shared" si="32"/>
        <v>#N/A</v>
      </c>
      <c r="AI76" s="432"/>
      <c r="AJ76" s="197"/>
      <c r="AK76" s="197"/>
      <c r="AL76" s="197"/>
      <c r="AM76" s="197" t="e">
        <f t="shared" si="33"/>
        <v>#N/A</v>
      </c>
      <c r="AN76" s="432"/>
      <c r="AO76" s="197"/>
      <c r="AP76" s="197"/>
      <c r="AQ76" s="197"/>
      <c r="AR76" s="197" t="e">
        <f t="shared" si="34"/>
        <v>#N/A</v>
      </c>
      <c r="AS76" s="432"/>
      <c r="AT76" s="197"/>
      <c r="AU76" s="197"/>
      <c r="AV76" s="197"/>
      <c r="AW76" s="197" t="e">
        <f t="shared" si="35"/>
        <v>#N/A</v>
      </c>
      <c r="AX76" s="432"/>
    </row>
    <row r="77" spans="2:50">
      <c r="B77" s="422"/>
      <c r="C77" s="197">
        <v>11</v>
      </c>
      <c r="D77" s="225"/>
      <c r="E77" s="169"/>
      <c r="F77" s="197"/>
      <c r="G77" s="195"/>
      <c r="H77" s="429"/>
      <c r="I77" s="197"/>
      <c r="J77" s="197"/>
      <c r="K77" s="197"/>
      <c r="L77" s="429"/>
      <c r="M77" s="196" t="e">
        <f>RANK(K77, K$87:$K$101)</f>
        <v>#DIV/0!</v>
      </c>
      <c r="N77" s="423"/>
      <c r="O77" s="423"/>
      <c r="P77" s="197"/>
      <c r="Q77" s="197"/>
      <c r="R77" s="197"/>
      <c r="S77" s="197" t="e">
        <f t="shared" si="29"/>
        <v>#N/A</v>
      </c>
      <c r="T77" s="432"/>
      <c r="U77" s="197"/>
      <c r="V77" s="197"/>
      <c r="W77" s="197"/>
      <c r="X77" s="197" t="e">
        <f t="shared" si="30"/>
        <v>#N/A</v>
      </c>
      <c r="Y77" s="432"/>
      <c r="Z77" s="197"/>
      <c r="AA77" s="197"/>
      <c r="AB77" s="197"/>
      <c r="AC77" s="197" t="e">
        <f t="shared" si="31"/>
        <v>#N/A</v>
      </c>
      <c r="AD77" s="432"/>
      <c r="AE77" s="197"/>
      <c r="AF77" s="197"/>
      <c r="AG77" s="197"/>
      <c r="AH77" s="197" t="e">
        <f t="shared" si="32"/>
        <v>#N/A</v>
      </c>
      <c r="AI77" s="432"/>
      <c r="AJ77" s="197"/>
      <c r="AK77" s="197"/>
      <c r="AL77" s="197"/>
      <c r="AM77" s="197" t="e">
        <f t="shared" si="33"/>
        <v>#N/A</v>
      </c>
      <c r="AN77" s="432"/>
      <c r="AO77" s="197"/>
      <c r="AP77" s="197"/>
      <c r="AQ77" s="197"/>
      <c r="AR77" s="197" t="e">
        <f t="shared" si="34"/>
        <v>#N/A</v>
      </c>
      <c r="AS77" s="432"/>
      <c r="AT77" s="197"/>
      <c r="AU77" s="197"/>
      <c r="AV77" s="197"/>
      <c r="AW77" s="197" t="e">
        <f t="shared" si="35"/>
        <v>#N/A</v>
      </c>
      <c r="AX77" s="432"/>
    </row>
    <row r="78" spans="2:50">
      <c r="B78" s="422"/>
      <c r="C78" s="197">
        <v>12</v>
      </c>
      <c r="D78" s="225"/>
      <c r="E78" s="169"/>
      <c r="F78" s="197"/>
      <c r="G78" s="195"/>
      <c r="H78" s="429"/>
      <c r="I78" s="197"/>
      <c r="J78" s="197"/>
      <c r="K78" s="197"/>
      <c r="L78" s="429"/>
      <c r="M78" s="196" t="e">
        <f>RANK(K78, K$87:$K$101)</f>
        <v>#DIV/0!</v>
      </c>
      <c r="N78" s="423"/>
      <c r="O78" s="423"/>
      <c r="P78" s="197"/>
      <c r="Q78" s="197"/>
      <c r="R78" s="197"/>
      <c r="S78" s="197" t="e">
        <f t="shared" si="29"/>
        <v>#N/A</v>
      </c>
      <c r="T78" s="432"/>
      <c r="U78" s="197"/>
      <c r="V78" s="197"/>
      <c r="W78" s="197"/>
      <c r="X78" s="197" t="e">
        <f t="shared" si="30"/>
        <v>#N/A</v>
      </c>
      <c r="Y78" s="432"/>
      <c r="Z78" s="197"/>
      <c r="AA78" s="197"/>
      <c r="AB78" s="197"/>
      <c r="AC78" s="197" t="e">
        <f t="shared" si="31"/>
        <v>#N/A</v>
      </c>
      <c r="AD78" s="432"/>
      <c r="AE78" s="197"/>
      <c r="AF78" s="197"/>
      <c r="AG78" s="197"/>
      <c r="AH78" s="197" t="e">
        <f t="shared" si="32"/>
        <v>#N/A</v>
      </c>
      <c r="AI78" s="432"/>
      <c r="AJ78" s="197"/>
      <c r="AK78" s="197"/>
      <c r="AL78" s="197"/>
      <c r="AM78" s="197" t="e">
        <f t="shared" si="33"/>
        <v>#N/A</v>
      </c>
      <c r="AN78" s="432"/>
      <c r="AO78" s="197"/>
      <c r="AP78" s="197"/>
      <c r="AQ78" s="197"/>
      <c r="AR78" s="197" t="e">
        <f t="shared" si="34"/>
        <v>#N/A</v>
      </c>
      <c r="AS78" s="432"/>
      <c r="AT78" s="197"/>
      <c r="AU78" s="197"/>
      <c r="AV78" s="197"/>
      <c r="AW78" s="197" t="e">
        <f t="shared" si="35"/>
        <v>#N/A</v>
      </c>
      <c r="AX78" s="432"/>
    </row>
    <row r="79" spans="2:50">
      <c r="B79" s="422"/>
      <c r="C79" s="197">
        <v>13</v>
      </c>
      <c r="D79" s="225"/>
      <c r="E79" s="169"/>
      <c r="F79" s="197"/>
      <c r="G79" s="195"/>
      <c r="H79" s="429"/>
      <c r="I79" s="197"/>
      <c r="J79" s="197"/>
      <c r="K79" s="197"/>
      <c r="L79" s="429"/>
      <c r="M79" s="196" t="e">
        <f>RANK(K79, K$87:$K$101)</f>
        <v>#DIV/0!</v>
      </c>
      <c r="N79" s="423"/>
      <c r="O79" s="423"/>
      <c r="P79" s="197"/>
      <c r="Q79" s="197"/>
      <c r="R79" s="197"/>
      <c r="S79" s="197" t="e">
        <f t="shared" si="29"/>
        <v>#N/A</v>
      </c>
      <c r="T79" s="432"/>
      <c r="U79" s="197"/>
      <c r="V79" s="197"/>
      <c r="W79" s="197"/>
      <c r="X79" s="197" t="e">
        <f t="shared" si="30"/>
        <v>#N/A</v>
      </c>
      <c r="Y79" s="432"/>
      <c r="Z79" s="197"/>
      <c r="AA79" s="197"/>
      <c r="AB79" s="197"/>
      <c r="AC79" s="197" t="e">
        <f t="shared" si="31"/>
        <v>#N/A</v>
      </c>
      <c r="AD79" s="432"/>
      <c r="AE79" s="197"/>
      <c r="AF79" s="197"/>
      <c r="AG79" s="197"/>
      <c r="AH79" s="197" t="e">
        <f t="shared" si="32"/>
        <v>#N/A</v>
      </c>
      <c r="AI79" s="432"/>
      <c r="AJ79" s="197"/>
      <c r="AK79" s="197"/>
      <c r="AL79" s="197"/>
      <c r="AM79" s="197" t="e">
        <f t="shared" si="33"/>
        <v>#N/A</v>
      </c>
      <c r="AN79" s="432"/>
      <c r="AO79" s="197"/>
      <c r="AP79" s="197"/>
      <c r="AQ79" s="197"/>
      <c r="AR79" s="197" t="e">
        <f t="shared" si="34"/>
        <v>#N/A</v>
      </c>
      <c r="AS79" s="432"/>
      <c r="AT79" s="197"/>
      <c r="AU79" s="197"/>
      <c r="AV79" s="197"/>
      <c r="AW79" s="197" t="e">
        <f t="shared" si="35"/>
        <v>#N/A</v>
      </c>
      <c r="AX79" s="432"/>
    </row>
    <row r="80" spans="2:50">
      <c r="B80" s="422"/>
      <c r="C80" s="197">
        <v>14</v>
      </c>
      <c r="D80" s="225"/>
      <c r="E80" s="169"/>
      <c r="F80" s="197"/>
      <c r="G80" s="195"/>
      <c r="H80" s="429"/>
      <c r="I80" s="197"/>
      <c r="J80" s="197"/>
      <c r="K80" s="197"/>
      <c r="L80" s="429"/>
      <c r="M80" s="196" t="e">
        <f>RANK(K80, K$87:$K$101)</f>
        <v>#DIV/0!</v>
      </c>
      <c r="N80" s="423"/>
      <c r="O80" s="423"/>
      <c r="P80" s="197"/>
      <c r="Q80" s="197"/>
      <c r="R80" s="197"/>
      <c r="S80" s="197" t="e">
        <f t="shared" si="29"/>
        <v>#N/A</v>
      </c>
      <c r="T80" s="432"/>
      <c r="U80" s="197"/>
      <c r="V80" s="197"/>
      <c r="W80" s="197"/>
      <c r="X80" s="197" t="e">
        <f t="shared" si="30"/>
        <v>#N/A</v>
      </c>
      <c r="Y80" s="432"/>
      <c r="Z80" s="197"/>
      <c r="AA80" s="197"/>
      <c r="AB80" s="197"/>
      <c r="AC80" s="197" t="e">
        <f t="shared" si="31"/>
        <v>#N/A</v>
      </c>
      <c r="AD80" s="432"/>
      <c r="AE80" s="197"/>
      <c r="AF80" s="197"/>
      <c r="AG80" s="197"/>
      <c r="AH80" s="197" t="e">
        <f t="shared" si="32"/>
        <v>#N/A</v>
      </c>
      <c r="AI80" s="432"/>
      <c r="AJ80" s="197"/>
      <c r="AK80" s="197"/>
      <c r="AL80" s="197"/>
      <c r="AM80" s="197" t="e">
        <f t="shared" si="33"/>
        <v>#N/A</v>
      </c>
      <c r="AN80" s="432"/>
      <c r="AO80" s="197"/>
      <c r="AP80" s="197"/>
      <c r="AQ80" s="197"/>
      <c r="AR80" s="197" t="e">
        <f t="shared" si="34"/>
        <v>#N/A</v>
      </c>
      <c r="AS80" s="432"/>
      <c r="AT80" s="197"/>
      <c r="AU80" s="197"/>
      <c r="AV80" s="197"/>
      <c r="AW80" s="197" t="e">
        <f t="shared" si="35"/>
        <v>#N/A</v>
      </c>
      <c r="AX80" s="432"/>
    </row>
    <row r="81" spans="2:50">
      <c r="B81" s="422"/>
      <c r="C81" s="197">
        <v>15</v>
      </c>
      <c r="D81" s="225"/>
      <c r="E81" s="169"/>
      <c r="F81" s="197"/>
      <c r="G81" s="195"/>
      <c r="H81" s="430"/>
      <c r="I81" s="197"/>
      <c r="J81" s="197"/>
      <c r="K81" s="197"/>
      <c r="L81" s="430"/>
      <c r="M81" s="169" t="e">
        <f>RANK(K81, K$87:$K$101)</f>
        <v>#DIV/0!</v>
      </c>
      <c r="N81" s="423"/>
      <c r="O81" s="423"/>
      <c r="P81" s="197"/>
      <c r="Q81" s="197"/>
      <c r="R81" s="197"/>
      <c r="S81" s="197" t="e">
        <f t="shared" si="29"/>
        <v>#N/A</v>
      </c>
      <c r="T81" s="432"/>
      <c r="U81" s="197"/>
      <c r="V81" s="197"/>
      <c r="W81" s="197"/>
      <c r="X81" s="197" t="e">
        <f t="shared" si="30"/>
        <v>#N/A</v>
      </c>
      <c r="Y81" s="432"/>
      <c r="Z81" s="197"/>
      <c r="AA81" s="197"/>
      <c r="AB81" s="197"/>
      <c r="AC81" s="197" t="e">
        <f t="shared" si="31"/>
        <v>#N/A</v>
      </c>
      <c r="AD81" s="432"/>
      <c r="AE81" s="197"/>
      <c r="AF81" s="197"/>
      <c r="AG81" s="197"/>
      <c r="AH81" s="197" t="e">
        <f t="shared" si="32"/>
        <v>#N/A</v>
      </c>
      <c r="AI81" s="432"/>
      <c r="AJ81" s="197"/>
      <c r="AK81" s="197"/>
      <c r="AL81" s="197"/>
      <c r="AM81" s="197" t="e">
        <f t="shared" si="33"/>
        <v>#N/A</v>
      </c>
      <c r="AN81" s="432"/>
      <c r="AO81" s="197"/>
      <c r="AP81" s="197"/>
      <c r="AQ81" s="197"/>
      <c r="AR81" s="197" t="e">
        <f t="shared" si="34"/>
        <v>#N/A</v>
      </c>
      <c r="AS81" s="432"/>
      <c r="AT81" s="197"/>
      <c r="AU81" s="197"/>
      <c r="AV81" s="197"/>
      <c r="AW81" s="197" t="e">
        <f t="shared" si="35"/>
        <v>#N/A</v>
      </c>
      <c r="AX81" s="432"/>
    </row>
    <row r="82" spans="2:50" ht="15.75">
      <c r="B82" s="396" t="s">
        <v>202</v>
      </c>
      <c r="C82" s="427"/>
      <c r="D82" s="427"/>
      <c r="E82" s="427"/>
      <c r="F82" s="427"/>
      <c r="G82" s="427"/>
      <c r="H82" s="427"/>
      <c r="I82" s="201"/>
      <c r="J82" s="201"/>
      <c r="K82" s="201"/>
      <c r="L82" s="201"/>
      <c r="M82" s="200"/>
      <c r="N82" s="401" t="s">
        <v>203</v>
      </c>
      <c r="O82" s="401" t="s">
        <v>150</v>
      </c>
      <c r="P82" s="421">
        <f>P62+7</f>
        <v>45923</v>
      </c>
      <c r="Q82" s="422"/>
      <c r="R82" s="422"/>
      <c r="S82" s="422"/>
      <c r="T82" s="422"/>
      <c r="U82" s="416">
        <f>P82+1</f>
        <v>45924</v>
      </c>
      <c r="V82" s="417"/>
      <c r="W82" s="417"/>
      <c r="X82" s="417"/>
      <c r="Y82" s="418"/>
      <c r="Z82" s="416">
        <f>U82+1</f>
        <v>45925</v>
      </c>
      <c r="AA82" s="417"/>
      <c r="AB82" s="417"/>
      <c r="AC82" s="417"/>
      <c r="AD82" s="418"/>
      <c r="AE82" s="416">
        <f t="shared" ref="AE82" si="36">Z82+1</f>
        <v>45926</v>
      </c>
      <c r="AF82" s="417"/>
      <c r="AG82" s="417"/>
      <c r="AH82" s="417"/>
      <c r="AI82" s="418"/>
      <c r="AJ82" s="416">
        <f t="shared" ref="AJ82" si="37">AE82+1</f>
        <v>45927</v>
      </c>
      <c r="AK82" s="417"/>
      <c r="AL82" s="417"/>
      <c r="AM82" s="417"/>
      <c r="AN82" s="418"/>
      <c r="AO82" s="416">
        <f t="shared" ref="AO82" si="38">AJ82+1</f>
        <v>45928</v>
      </c>
      <c r="AP82" s="417"/>
      <c r="AQ82" s="417"/>
      <c r="AR82" s="417"/>
      <c r="AS82" s="418"/>
      <c r="AT82" s="416">
        <f t="shared" ref="AT82" si="39">AO82+1</f>
        <v>45929</v>
      </c>
      <c r="AU82" s="417"/>
      <c r="AV82" s="417"/>
      <c r="AW82" s="417"/>
      <c r="AX82" s="418"/>
    </row>
    <row r="83" spans="2:50" ht="15.75">
      <c r="B83" s="426"/>
      <c r="C83" s="426"/>
      <c r="D83" s="426"/>
      <c r="E83" s="426"/>
      <c r="F83" s="426"/>
      <c r="G83" s="426"/>
      <c r="H83" s="426"/>
      <c r="I83" s="199"/>
      <c r="J83" s="199"/>
      <c r="K83" s="199"/>
      <c r="L83" s="199"/>
      <c r="M83" s="194"/>
      <c r="N83" s="403"/>
      <c r="O83" s="403"/>
      <c r="P83" s="421" t="s">
        <v>204</v>
      </c>
      <c r="Q83" s="422"/>
      <c r="R83" s="422"/>
      <c r="S83" s="422"/>
      <c r="T83" s="422"/>
      <c r="U83" s="421" t="s">
        <v>205</v>
      </c>
      <c r="V83" s="422"/>
      <c r="W83" s="422"/>
      <c r="X83" s="422"/>
      <c r="Y83" s="422"/>
      <c r="Z83" s="421" t="s">
        <v>206</v>
      </c>
      <c r="AA83" s="422"/>
      <c r="AB83" s="422"/>
      <c r="AC83" s="422"/>
      <c r="AD83" s="422"/>
      <c r="AE83" s="421" t="s">
        <v>207</v>
      </c>
      <c r="AF83" s="422"/>
      <c r="AG83" s="422"/>
      <c r="AH83" s="422"/>
      <c r="AI83" s="422"/>
      <c r="AJ83" s="421" t="s">
        <v>208</v>
      </c>
      <c r="AK83" s="422"/>
      <c r="AL83" s="422"/>
      <c r="AM83" s="422"/>
      <c r="AN83" s="422"/>
      <c r="AO83" s="421" t="s">
        <v>157</v>
      </c>
      <c r="AP83" s="422"/>
      <c r="AQ83" s="422"/>
      <c r="AR83" s="422"/>
      <c r="AS83" s="422"/>
      <c r="AT83" s="421" t="s">
        <v>209</v>
      </c>
      <c r="AU83" s="422"/>
      <c r="AV83" s="422"/>
      <c r="AW83" s="422"/>
      <c r="AX83" s="422"/>
    </row>
    <row r="84" spans="2:50">
      <c r="B84" s="423" t="s">
        <v>210</v>
      </c>
      <c r="C84" s="423" t="s">
        <v>211</v>
      </c>
      <c r="D84" s="423"/>
      <c r="E84" s="423" t="s">
        <v>212</v>
      </c>
      <c r="F84" s="423"/>
      <c r="G84" s="423"/>
      <c r="H84" s="404" t="s">
        <v>213</v>
      </c>
      <c r="I84" s="423" t="s">
        <v>214</v>
      </c>
      <c r="J84" s="423"/>
      <c r="K84" s="423"/>
      <c r="L84" s="404" t="s">
        <v>213</v>
      </c>
      <c r="M84" s="401" t="s">
        <v>215</v>
      </c>
      <c r="N84" s="423"/>
      <c r="O84" s="423" t="s">
        <v>216</v>
      </c>
      <c r="P84" s="413" t="s">
        <v>217</v>
      </c>
      <c r="Q84" s="414"/>
      <c r="R84" s="414"/>
      <c r="S84" s="415"/>
      <c r="T84" s="423" t="s">
        <v>213</v>
      </c>
      <c r="U84" s="413" t="s">
        <v>217</v>
      </c>
      <c r="V84" s="414"/>
      <c r="W84" s="414"/>
      <c r="X84" s="415"/>
      <c r="Y84" s="423" t="s">
        <v>213</v>
      </c>
      <c r="Z84" s="413" t="s">
        <v>217</v>
      </c>
      <c r="AA84" s="414"/>
      <c r="AB84" s="414"/>
      <c r="AC84" s="415"/>
      <c r="AD84" s="423" t="s">
        <v>213</v>
      </c>
      <c r="AE84" s="413" t="s">
        <v>217</v>
      </c>
      <c r="AF84" s="414"/>
      <c r="AG84" s="414"/>
      <c r="AH84" s="415"/>
      <c r="AI84" s="423" t="s">
        <v>213</v>
      </c>
      <c r="AJ84" s="413" t="s">
        <v>217</v>
      </c>
      <c r="AK84" s="414"/>
      <c r="AL84" s="414"/>
      <c r="AM84" s="415"/>
      <c r="AN84" s="423" t="s">
        <v>213</v>
      </c>
      <c r="AO84" s="413" t="s">
        <v>217</v>
      </c>
      <c r="AP84" s="414"/>
      <c r="AQ84" s="414"/>
      <c r="AR84" s="415"/>
      <c r="AS84" s="423" t="s">
        <v>213</v>
      </c>
      <c r="AT84" s="413" t="s">
        <v>217</v>
      </c>
      <c r="AU84" s="414"/>
      <c r="AV84" s="414"/>
      <c r="AW84" s="415"/>
      <c r="AX84" s="423" t="s">
        <v>213</v>
      </c>
    </row>
    <row r="85" spans="2:50">
      <c r="B85" s="423"/>
      <c r="C85" s="423"/>
      <c r="D85" s="423"/>
      <c r="E85" s="423" t="s">
        <v>218</v>
      </c>
      <c r="F85" s="423"/>
      <c r="G85" s="423"/>
      <c r="H85" s="406"/>
      <c r="I85" s="423" t="s">
        <v>218</v>
      </c>
      <c r="J85" s="423"/>
      <c r="K85" s="423"/>
      <c r="L85" s="406"/>
      <c r="M85" s="402"/>
      <c r="N85" s="423"/>
      <c r="O85" s="423"/>
      <c r="P85" s="413" t="s">
        <v>219</v>
      </c>
      <c r="Q85" s="414"/>
      <c r="R85" s="414"/>
      <c r="S85" s="415"/>
      <c r="T85" s="423"/>
      <c r="U85" s="413" t="s">
        <v>219</v>
      </c>
      <c r="V85" s="414"/>
      <c r="W85" s="414"/>
      <c r="X85" s="415"/>
      <c r="Y85" s="423"/>
      <c r="Z85" s="413" t="s">
        <v>219</v>
      </c>
      <c r="AA85" s="414"/>
      <c r="AB85" s="414"/>
      <c r="AC85" s="415"/>
      <c r="AD85" s="423"/>
      <c r="AE85" s="413" t="s">
        <v>219</v>
      </c>
      <c r="AF85" s="414"/>
      <c r="AG85" s="414"/>
      <c r="AH85" s="415"/>
      <c r="AI85" s="423"/>
      <c r="AJ85" s="413" t="s">
        <v>219</v>
      </c>
      <c r="AK85" s="414"/>
      <c r="AL85" s="414"/>
      <c r="AM85" s="415"/>
      <c r="AN85" s="423"/>
      <c r="AO85" s="413" t="s">
        <v>219</v>
      </c>
      <c r="AP85" s="414"/>
      <c r="AQ85" s="414"/>
      <c r="AR85" s="415"/>
      <c r="AS85" s="423"/>
      <c r="AT85" s="413" t="s">
        <v>219</v>
      </c>
      <c r="AU85" s="414"/>
      <c r="AV85" s="414"/>
      <c r="AW85" s="415"/>
      <c r="AX85" s="423"/>
    </row>
    <row r="86" spans="2:50">
      <c r="B86" s="423"/>
      <c r="C86" s="423"/>
      <c r="D86" s="423"/>
      <c r="E86" s="297" t="s">
        <v>220</v>
      </c>
      <c r="F86" s="297" t="s">
        <v>221</v>
      </c>
      <c r="G86" s="297" t="s">
        <v>222</v>
      </c>
      <c r="H86" s="408"/>
      <c r="I86" s="297" t="s">
        <v>220</v>
      </c>
      <c r="J86" s="297" t="s">
        <v>221</v>
      </c>
      <c r="K86" s="297" t="s">
        <v>222</v>
      </c>
      <c r="L86" s="408"/>
      <c r="M86" s="403"/>
      <c r="N86" s="423"/>
      <c r="O86" s="423"/>
      <c r="P86" s="297" t="s">
        <v>220</v>
      </c>
      <c r="Q86" s="297" t="s">
        <v>221</v>
      </c>
      <c r="R86" s="297" t="s">
        <v>222</v>
      </c>
      <c r="S86" s="297" t="s">
        <v>215</v>
      </c>
      <c r="T86" s="423"/>
      <c r="U86" s="297" t="s">
        <v>220</v>
      </c>
      <c r="V86" s="297" t="s">
        <v>221</v>
      </c>
      <c r="W86" s="297" t="s">
        <v>222</v>
      </c>
      <c r="X86" s="297" t="s">
        <v>215</v>
      </c>
      <c r="Y86" s="423"/>
      <c r="Z86" s="297" t="s">
        <v>220</v>
      </c>
      <c r="AA86" s="297" t="s">
        <v>221</v>
      </c>
      <c r="AB86" s="297" t="s">
        <v>222</v>
      </c>
      <c r="AC86" s="297" t="s">
        <v>215</v>
      </c>
      <c r="AD86" s="423"/>
      <c r="AE86" s="297" t="s">
        <v>220</v>
      </c>
      <c r="AF86" s="297" t="s">
        <v>221</v>
      </c>
      <c r="AG86" s="297" t="s">
        <v>222</v>
      </c>
      <c r="AH86" s="297" t="s">
        <v>215</v>
      </c>
      <c r="AI86" s="423"/>
      <c r="AJ86" s="297" t="s">
        <v>220</v>
      </c>
      <c r="AK86" s="297" t="s">
        <v>221</v>
      </c>
      <c r="AL86" s="297" t="s">
        <v>222</v>
      </c>
      <c r="AM86" s="297" t="s">
        <v>215</v>
      </c>
      <c r="AN86" s="423"/>
      <c r="AO86" s="297" t="s">
        <v>220</v>
      </c>
      <c r="AP86" s="297" t="s">
        <v>221</v>
      </c>
      <c r="AQ86" s="297" t="s">
        <v>222</v>
      </c>
      <c r="AR86" s="297" t="s">
        <v>215</v>
      </c>
      <c r="AS86" s="423"/>
      <c r="AT86" s="297" t="s">
        <v>220</v>
      </c>
      <c r="AU86" s="297" t="s">
        <v>221</v>
      </c>
      <c r="AV86" s="297" t="s">
        <v>222</v>
      </c>
      <c r="AW86" s="297" t="s">
        <v>215</v>
      </c>
      <c r="AX86" s="423"/>
    </row>
    <row r="87" spans="2:50">
      <c r="B87" s="423" t="s">
        <v>267</v>
      </c>
      <c r="C87" s="197">
        <v>1</v>
      </c>
      <c r="D87" s="225"/>
      <c r="E87" s="169"/>
      <c r="F87" s="197"/>
      <c r="G87" s="195">
        <v>123.69230769230764</v>
      </c>
      <c r="H87" s="428">
        <f>AVERAGE(G87:G101)</f>
        <v>123.69230769230764</v>
      </c>
      <c r="I87" s="169" t="e">
        <f>AVERAGE(P87,U87,Z87,AE87,AJ87,AO87,AT87)</f>
        <v>#DIV/0!</v>
      </c>
      <c r="J87" s="169" t="e">
        <f>AVERAGE(Q87,V87,AA87,AF87,AK87,AP87,AU87)</f>
        <v>#DIV/0!</v>
      </c>
      <c r="K87" s="195" t="e">
        <f>AVERAGE(R87,W87,AB87,AG87,AL87,AQ87,AV87)</f>
        <v>#DIV/0!</v>
      </c>
      <c r="L87" s="428" t="str">
        <f>IFERROR(AVERAGE(K87:K101),"-")</f>
        <v>-</v>
      </c>
      <c r="M87" s="196" t="e">
        <f>RANK(K87, K$87:$K$101)</f>
        <v>#DIV/0!</v>
      </c>
      <c r="N87" s="423"/>
      <c r="O87" s="423"/>
      <c r="P87" s="197"/>
      <c r="Q87" s="169"/>
      <c r="R87" s="195"/>
      <c r="S87" s="197" t="e">
        <f>RANK(R87, R$87:R$101)</f>
        <v>#N/A</v>
      </c>
      <c r="T87" s="432" t="e">
        <f>AVERAGE(R87:R101)</f>
        <v>#DIV/0!</v>
      </c>
      <c r="U87" s="197"/>
      <c r="V87" s="169"/>
      <c r="W87" s="195"/>
      <c r="X87" s="197" t="e">
        <f>RANK(W87, W$87:W$101)</f>
        <v>#N/A</v>
      </c>
      <c r="Y87" s="432" t="e">
        <f>AVERAGE(W87:W101)</f>
        <v>#DIV/0!</v>
      </c>
      <c r="Z87" s="197"/>
      <c r="AA87" s="169"/>
      <c r="AB87" s="195"/>
      <c r="AC87" s="197" t="e">
        <f>RANK(AB87, AB$87:AB$101)</f>
        <v>#N/A</v>
      </c>
      <c r="AD87" s="432" t="e">
        <f>AVERAGE(AB87:AB101)</f>
        <v>#DIV/0!</v>
      </c>
      <c r="AE87" s="197"/>
      <c r="AF87" s="169"/>
      <c r="AG87" s="195"/>
      <c r="AH87" s="197" t="e">
        <f>RANK(AG87, AG$87:AG$101)</f>
        <v>#N/A</v>
      </c>
      <c r="AI87" s="432" t="e">
        <f>AVERAGE(AG87:AG101)</f>
        <v>#DIV/0!</v>
      </c>
      <c r="AJ87" s="197"/>
      <c r="AK87" s="169"/>
      <c r="AL87" s="195"/>
      <c r="AM87" s="197" t="e">
        <f>RANK(AL87, AL$87:AL$101)</f>
        <v>#N/A</v>
      </c>
      <c r="AN87" s="432" t="e">
        <f>AVERAGE(AL87:AL101)</f>
        <v>#DIV/0!</v>
      </c>
      <c r="AO87" s="197"/>
      <c r="AP87" s="169"/>
      <c r="AQ87" s="195"/>
      <c r="AR87" s="197" t="e">
        <f>RANK(AQ87, AQ$87:AQ$101)</f>
        <v>#N/A</v>
      </c>
      <c r="AS87" s="432" t="e">
        <f>AVERAGE(AQ87:AQ101)</f>
        <v>#DIV/0!</v>
      </c>
      <c r="AT87" s="197"/>
      <c r="AU87" s="169"/>
      <c r="AV87" s="195"/>
      <c r="AW87" s="197" t="e">
        <f>RANK(AV87, AV$87:AV$101)</f>
        <v>#N/A</v>
      </c>
      <c r="AX87" s="432" t="e">
        <f>AVERAGE(AV87:AV101)</f>
        <v>#DIV/0!</v>
      </c>
    </row>
    <row r="88" spans="2:50">
      <c r="B88" s="422"/>
      <c r="C88" s="197">
        <v>2</v>
      </c>
      <c r="D88" s="225"/>
      <c r="E88" s="169"/>
      <c r="F88" s="197"/>
      <c r="G88" s="195"/>
      <c r="H88" s="429"/>
      <c r="I88" s="169"/>
      <c r="J88" s="169"/>
      <c r="K88" s="195"/>
      <c r="L88" s="429"/>
      <c r="M88" s="196" t="e">
        <f>RANK(K88, K$87:$K$101)</f>
        <v>#DIV/0!</v>
      </c>
      <c r="N88" s="423"/>
      <c r="O88" s="423"/>
      <c r="P88" s="197"/>
      <c r="Q88" s="197"/>
      <c r="R88" s="197"/>
      <c r="S88" s="197" t="e">
        <f t="shared" ref="S88:S101" si="40">RANK(R88, R$87:R$101)</f>
        <v>#N/A</v>
      </c>
      <c r="T88" s="432"/>
      <c r="U88" s="197"/>
      <c r="V88" s="197"/>
      <c r="W88" s="197"/>
      <c r="X88" s="197" t="e">
        <f t="shared" ref="X88:X101" si="41">RANK(W88, W$87:W$101)</f>
        <v>#N/A</v>
      </c>
      <c r="Y88" s="432"/>
      <c r="Z88" s="197"/>
      <c r="AA88" s="197"/>
      <c r="AB88" s="197"/>
      <c r="AC88" s="197" t="e">
        <f t="shared" ref="AC88:AC101" si="42">RANK(AB88, AB$87:AB$101)</f>
        <v>#N/A</v>
      </c>
      <c r="AD88" s="432"/>
      <c r="AE88" s="197"/>
      <c r="AF88" s="197"/>
      <c r="AG88" s="197"/>
      <c r="AH88" s="197" t="e">
        <f t="shared" ref="AH88:AH101" si="43">RANK(AG88, AG$87:AG$101)</f>
        <v>#N/A</v>
      </c>
      <c r="AI88" s="432"/>
      <c r="AJ88" s="197"/>
      <c r="AK88" s="197"/>
      <c r="AL88" s="197"/>
      <c r="AM88" s="197" t="e">
        <f t="shared" ref="AM88:AM101" si="44">RANK(AL88, AL$87:AL$101)</f>
        <v>#N/A</v>
      </c>
      <c r="AN88" s="432"/>
      <c r="AO88" s="197"/>
      <c r="AP88" s="197"/>
      <c r="AQ88" s="197"/>
      <c r="AR88" s="197" t="e">
        <f t="shared" ref="AR88:AR101" si="45">RANK(AQ88, AQ$87:AQ$101)</f>
        <v>#N/A</v>
      </c>
      <c r="AS88" s="432"/>
      <c r="AT88" s="197"/>
      <c r="AU88" s="197"/>
      <c r="AV88" s="197"/>
      <c r="AW88" s="197" t="e">
        <f t="shared" ref="AW88:AW101" si="46">RANK(AV88, AV$87:AV$101)</f>
        <v>#N/A</v>
      </c>
      <c r="AX88" s="432"/>
    </row>
    <row r="89" spans="2:50">
      <c r="B89" s="422"/>
      <c r="C89" s="197">
        <v>3</v>
      </c>
      <c r="D89" s="225"/>
      <c r="E89" s="169"/>
      <c r="F89" s="197"/>
      <c r="G89" s="195"/>
      <c r="H89" s="429"/>
      <c r="I89" s="169"/>
      <c r="J89" s="169"/>
      <c r="K89" s="195"/>
      <c r="L89" s="429"/>
      <c r="M89" s="196" t="e">
        <f>RANK(K89, K$87:$K$101)</f>
        <v>#DIV/0!</v>
      </c>
      <c r="N89" s="423"/>
      <c r="O89" s="423"/>
      <c r="P89" s="197"/>
      <c r="Q89" s="197"/>
      <c r="R89" s="197"/>
      <c r="S89" s="197" t="e">
        <f t="shared" si="40"/>
        <v>#N/A</v>
      </c>
      <c r="T89" s="432"/>
      <c r="U89" s="197"/>
      <c r="V89" s="197"/>
      <c r="W89" s="197"/>
      <c r="X89" s="197" t="e">
        <f t="shared" si="41"/>
        <v>#N/A</v>
      </c>
      <c r="Y89" s="432"/>
      <c r="Z89" s="197"/>
      <c r="AA89" s="197"/>
      <c r="AB89" s="197"/>
      <c r="AC89" s="197" t="e">
        <f t="shared" si="42"/>
        <v>#N/A</v>
      </c>
      <c r="AD89" s="432"/>
      <c r="AE89" s="197"/>
      <c r="AF89" s="197"/>
      <c r="AG89" s="197"/>
      <c r="AH89" s="197" t="e">
        <f t="shared" si="43"/>
        <v>#N/A</v>
      </c>
      <c r="AI89" s="432"/>
      <c r="AJ89" s="197"/>
      <c r="AK89" s="197"/>
      <c r="AL89" s="197"/>
      <c r="AM89" s="197" t="e">
        <f t="shared" si="44"/>
        <v>#N/A</v>
      </c>
      <c r="AN89" s="432"/>
      <c r="AO89" s="197"/>
      <c r="AP89" s="197"/>
      <c r="AQ89" s="197"/>
      <c r="AR89" s="197" t="e">
        <f t="shared" si="45"/>
        <v>#N/A</v>
      </c>
      <c r="AS89" s="432"/>
      <c r="AT89" s="197"/>
      <c r="AU89" s="197"/>
      <c r="AV89" s="197"/>
      <c r="AW89" s="197" t="e">
        <f t="shared" si="46"/>
        <v>#N/A</v>
      </c>
      <c r="AX89" s="432"/>
    </row>
    <row r="90" spans="2:50">
      <c r="B90" s="422"/>
      <c r="C90" s="197">
        <v>4</v>
      </c>
      <c r="D90" s="225"/>
      <c r="E90" s="169"/>
      <c r="F90" s="197"/>
      <c r="G90" s="195"/>
      <c r="H90" s="429"/>
      <c r="I90" s="169"/>
      <c r="J90" s="169"/>
      <c r="K90" s="195"/>
      <c r="L90" s="429"/>
      <c r="M90" s="196" t="e">
        <f>RANK(K90, K$87:$K$101)</f>
        <v>#DIV/0!</v>
      </c>
      <c r="N90" s="423"/>
      <c r="O90" s="423"/>
      <c r="P90" s="197"/>
      <c r="Q90" s="197"/>
      <c r="R90" s="197"/>
      <c r="S90" s="197" t="e">
        <f t="shared" si="40"/>
        <v>#N/A</v>
      </c>
      <c r="T90" s="432"/>
      <c r="U90" s="197"/>
      <c r="V90" s="197"/>
      <c r="W90" s="197"/>
      <c r="X90" s="197" t="e">
        <f t="shared" si="41"/>
        <v>#N/A</v>
      </c>
      <c r="Y90" s="432"/>
      <c r="Z90" s="197"/>
      <c r="AA90" s="197"/>
      <c r="AB90" s="197"/>
      <c r="AC90" s="197" t="e">
        <f t="shared" si="42"/>
        <v>#N/A</v>
      </c>
      <c r="AD90" s="432"/>
      <c r="AE90" s="197"/>
      <c r="AF90" s="197"/>
      <c r="AG90" s="197"/>
      <c r="AH90" s="197" t="e">
        <f t="shared" si="43"/>
        <v>#N/A</v>
      </c>
      <c r="AI90" s="432"/>
      <c r="AJ90" s="197"/>
      <c r="AK90" s="197"/>
      <c r="AL90" s="197"/>
      <c r="AM90" s="197" t="e">
        <f t="shared" si="44"/>
        <v>#N/A</v>
      </c>
      <c r="AN90" s="432"/>
      <c r="AO90" s="197"/>
      <c r="AP90" s="197"/>
      <c r="AQ90" s="197"/>
      <c r="AR90" s="197" t="e">
        <f t="shared" si="45"/>
        <v>#N/A</v>
      </c>
      <c r="AS90" s="432"/>
      <c r="AT90" s="197"/>
      <c r="AU90" s="197"/>
      <c r="AV90" s="197"/>
      <c r="AW90" s="197" t="e">
        <f t="shared" si="46"/>
        <v>#N/A</v>
      </c>
      <c r="AX90" s="432"/>
    </row>
    <row r="91" spans="2:50">
      <c r="B91" s="422"/>
      <c r="C91" s="197">
        <v>5</v>
      </c>
      <c r="D91" s="225"/>
      <c r="E91" s="169"/>
      <c r="F91" s="197"/>
      <c r="G91" s="195"/>
      <c r="H91" s="429"/>
      <c r="I91" s="169"/>
      <c r="J91" s="169"/>
      <c r="K91" s="195"/>
      <c r="L91" s="429"/>
      <c r="M91" s="196" t="e">
        <f>RANK(K91, K$87:$K$101)</f>
        <v>#DIV/0!</v>
      </c>
      <c r="N91" s="423"/>
      <c r="O91" s="423"/>
      <c r="P91" s="197"/>
      <c r="Q91" s="197"/>
      <c r="R91" s="197"/>
      <c r="S91" s="197" t="e">
        <f t="shared" si="40"/>
        <v>#N/A</v>
      </c>
      <c r="T91" s="432"/>
      <c r="U91" s="197"/>
      <c r="V91" s="197"/>
      <c r="W91" s="197"/>
      <c r="X91" s="197" t="e">
        <f t="shared" si="41"/>
        <v>#N/A</v>
      </c>
      <c r="Y91" s="432"/>
      <c r="Z91" s="197"/>
      <c r="AA91" s="197"/>
      <c r="AB91" s="197"/>
      <c r="AC91" s="197" t="e">
        <f t="shared" si="42"/>
        <v>#N/A</v>
      </c>
      <c r="AD91" s="432"/>
      <c r="AE91" s="197"/>
      <c r="AF91" s="197"/>
      <c r="AG91" s="197"/>
      <c r="AH91" s="197" t="e">
        <f t="shared" si="43"/>
        <v>#N/A</v>
      </c>
      <c r="AI91" s="432"/>
      <c r="AJ91" s="197"/>
      <c r="AK91" s="197"/>
      <c r="AL91" s="197"/>
      <c r="AM91" s="197" t="e">
        <f t="shared" si="44"/>
        <v>#N/A</v>
      </c>
      <c r="AN91" s="432"/>
      <c r="AO91" s="197"/>
      <c r="AP91" s="197"/>
      <c r="AQ91" s="197"/>
      <c r="AR91" s="197" t="e">
        <f t="shared" si="45"/>
        <v>#N/A</v>
      </c>
      <c r="AS91" s="432"/>
      <c r="AT91" s="197"/>
      <c r="AU91" s="197"/>
      <c r="AV91" s="197"/>
      <c r="AW91" s="197" t="e">
        <f t="shared" si="46"/>
        <v>#N/A</v>
      </c>
      <c r="AX91" s="432"/>
    </row>
    <row r="92" spans="2:50">
      <c r="B92" s="422"/>
      <c r="C92" s="197">
        <v>6</v>
      </c>
      <c r="D92" s="225"/>
      <c r="E92" s="169"/>
      <c r="F92" s="197"/>
      <c r="G92" s="195"/>
      <c r="H92" s="429"/>
      <c r="I92" s="169"/>
      <c r="J92" s="169"/>
      <c r="K92" s="195"/>
      <c r="L92" s="429"/>
      <c r="M92" s="196" t="e">
        <f>RANK(K92, K$87:$K$101)</f>
        <v>#DIV/0!</v>
      </c>
      <c r="N92" s="423"/>
      <c r="O92" s="423"/>
      <c r="P92" s="197"/>
      <c r="Q92" s="197"/>
      <c r="R92" s="197"/>
      <c r="S92" s="197" t="e">
        <f t="shared" si="40"/>
        <v>#N/A</v>
      </c>
      <c r="T92" s="432"/>
      <c r="U92" s="197"/>
      <c r="V92" s="197"/>
      <c r="W92" s="197"/>
      <c r="X92" s="197" t="e">
        <f t="shared" si="41"/>
        <v>#N/A</v>
      </c>
      <c r="Y92" s="432"/>
      <c r="Z92" s="197"/>
      <c r="AA92" s="197"/>
      <c r="AB92" s="197"/>
      <c r="AC92" s="197" t="e">
        <f t="shared" si="42"/>
        <v>#N/A</v>
      </c>
      <c r="AD92" s="432"/>
      <c r="AE92" s="197"/>
      <c r="AF92" s="197"/>
      <c r="AG92" s="197"/>
      <c r="AH92" s="197" t="e">
        <f t="shared" si="43"/>
        <v>#N/A</v>
      </c>
      <c r="AI92" s="432"/>
      <c r="AJ92" s="197"/>
      <c r="AK92" s="197"/>
      <c r="AL92" s="197"/>
      <c r="AM92" s="197" t="e">
        <f t="shared" si="44"/>
        <v>#N/A</v>
      </c>
      <c r="AN92" s="432"/>
      <c r="AO92" s="197"/>
      <c r="AP92" s="197"/>
      <c r="AQ92" s="197"/>
      <c r="AR92" s="197" t="e">
        <f t="shared" si="45"/>
        <v>#N/A</v>
      </c>
      <c r="AS92" s="432"/>
      <c r="AT92" s="197"/>
      <c r="AU92" s="197"/>
      <c r="AV92" s="197"/>
      <c r="AW92" s="197" t="e">
        <f t="shared" si="46"/>
        <v>#N/A</v>
      </c>
      <c r="AX92" s="432"/>
    </row>
    <row r="93" spans="2:50">
      <c r="B93" s="422"/>
      <c r="C93" s="197">
        <v>7</v>
      </c>
      <c r="D93" s="225"/>
      <c r="E93" s="169"/>
      <c r="F93" s="197"/>
      <c r="G93" s="195"/>
      <c r="H93" s="429"/>
      <c r="I93" s="169"/>
      <c r="J93" s="169"/>
      <c r="K93" s="195"/>
      <c r="L93" s="429"/>
      <c r="M93" s="196" t="e">
        <f>RANK(K93, K$87:$K$101)</f>
        <v>#DIV/0!</v>
      </c>
      <c r="N93" s="423"/>
      <c r="O93" s="423"/>
      <c r="P93" s="197"/>
      <c r="Q93" s="197"/>
      <c r="R93" s="197"/>
      <c r="S93" s="197" t="e">
        <f t="shared" si="40"/>
        <v>#N/A</v>
      </c>
      <c r="T93" s="432"/>
      <c r="U93" s="197"/>
      <c r="V93" s="197"/>
      <c r="W93" s="197"/>
      <c r="X93" s="197" t="e">
        <f t="shared" si="41"/>
        <v>#N/A</v>
      </c>
      <c r="Y93" s="432"/>
      <c r="Z93" s="197"/>
      <c r="AA93" s="197"/>
      <c r="AB93" s="197"/>
      <c r="AC93" s="197" t="e">
        <f t="shared" si="42"/>
        <v>#N/A</v>
      </c>
      <c r="AD93" s="432"/>
      <c r="AE93" s="197"/>
      <c r="AF93" s="197"/>
      <c r="AG93" s="197"/>
      <c r="AH93" s="197" t="e">
        <f t="shared" si="43"/>
        <v>#N/A</v>
      </c>
      <c r="AI93" s="432"/>
      <c r="AJ93" s="197"/>
      <c r="AK93" s="197"/>
      <c r="AL93" s="197"/>
      <c r="AM93" s="197" t="e">
        <f t="shared" si="44"/>
        <v>#N/A</v>
      </c>
      <c r="AN93" s="432"/>
      <c r="AO93" s="197"/>
      <c r="AP93" s="197"/>
      <c r="AQ93" s="197"/>
      <c r="AR93" s="197" t="e">
        <f t="shared" si="45"/>
        <v>#N/A</v>
      </c>
      <c r="AS93" s="432"/>
      <c r="AT93" s="197"/>
      <c r="AU93" s="197"/>
      <c r="AV93" s="197"/>
      <c r="AW93" s="197" t="e">
        <f t="shared" si="46"/>
        <v>#N/A</v>
      </c>
      <c r="AX93" s="432"/>
    </row>
    <row r="94" spans="2:50">
      <c r="B94" s="422"/>
      <c r="C94" s="197">
        <v>8</v>
      </c>
      <c r="D94" s="225"/>
      <c r="E94" s="169"/>
      <c r="F94" s="197"/>
      <c r="G94" s="195"/>
      <c r="H94" s="429"/>
      <c r="I94" s="169"/>
      <c r="J94" s="169"/>
      <c r="K94" s="195"/>
      <c r="L94" s="429"/>
      <c r="M94" s="196" t="e">
        <f>RANK(K94, K$87:$K$101)</f>
        <v>#DIV/0!</v>
      </c>
      <c r="N94" s="423"/>
      <c r="O94" s="423"/>
      <c r="P94" s="197"/>
      <c r="Q94" s="197"/>
      <c r="R94" s="197"/>
      <c r="S94" s="197" t="e">
        <f t="shared" si="40"/>
        <v>#N/A</v>
      </c>
      <c r="T94" s="432"/>
      <c r="U94" s="197"/>
      <c r="V94" s="197"/>
      <c r="W94" s="197"/>
      <c r="X94" s="197" t="e">
        <f t="shared" si="41"/>
        <v>#N/A</v>
      </c>
      <c r="Y94" s="432"/>
      <c r="Z94" s="197"/>
      <c r="AA94" s="197"/>
      <c r="AB94" s="197"/>
      <c r="AC94" s="197" t="e">
        <f t="shared" si="42"/>
        <v>#N/A</v>
      </c>
      <c r="AD94" s="432"/>
      <c r="AE94" s="197"/>
      <c r="AF94" s="197"/>
      <c r="AG94" s="197"/>
      <c r="AH94" s="197" t="e">
        <f t="shared" si="43"/>
        <v>#N/A</v>
      </c>
      <c r="AI94" s="432"/>
      <c r="AJ94" s="197"/>
      <c r="AK94" s="197"/>
      <c r="AL94" s="197"/>
      <c r="AM94" s="197" t="e">
        <f t="shared" si="44"/>
        <v>#N/A</v>
      </c>
      <c r="AN94" s="432"/>
      <c r="AO94" s="197"/>
      <c r="AP94" s="197"/>
      <c r="AQ94" s="197"/>
      <c r="AR94" s="197" t="e">
        <f t="shared" si="45"/>
        <v>#N/A</v>
      </c>
      <c r="AS94" s="432"/>
      <c r="AT94" s="197"/>
      <c r="AU94" s="197"/>
      <c r="AV94" s="197"/>
      <c r="AW94" s="197" t="e">
        <f t="shared" si="46"/>
        <v>#N/A</v>
      </c>
      <c r="AX94" s="432"/>
    </row>
    <row r="95" spans="2:50">
      <c r="B95" s="422"/>
      <c r="C95" s="197">
        <v>9</v>
      </c>
      <c r="D95" s="225"/>
      <c r="E95" s="169"/>
      <c r="F95" s="197"/>
      <c r="G95" s="195"/>
      <c r="H95" s="429"/>
      <c r="I95" s="169"/>
      <c r="J95" s="169"/>
      <c r="K95" s="195"/>
      <c r="L95" s="429"/>
      <c r="M95" s="196" t="e">
        <f>RANK(K95, K$87:$K$101)</f>
        <v>#DIV/0!</v>
      </c>
      <c r="N95" s="423"/>
      <c r="O95" s="423"/>
      <c r="P95" s="197"/>
      <c r="Q95" s="197"/>
      <c r="R95" s="197"/>
      <c r="S95" s="197" t="e">
        <f t="shared" si="40"/>
        <v>#N/A</v>
      </c>
      <c r="T95" s="432"/>
      <c r="U95" s="197"/>
      <c r="V95" s="197"/>
      <c r="W95" s="197"/>
      <c r="X95" s="197" t="e">
        <f t="shared" si="41"/>
        <v>#N/A</v>
      </c>
      <c r="Y95" s="432"/>
      <c r="Z95" s="197"/>
      <c r="AA95" s="197"/>
      <c r="AB95" s="197"/>
      <c r="AC95" s="197" t="e">
        <f t="shared" si="42"/>
        <v>#N/A</v>
      </c>
      <c r="AD95" s="432"/>
      <c r="AE95" s="197"/>
      <c r="AF95" s="197"/>
      <c r="AG95" s="197"/>
      <c r="AH95" s="197" t="e">
        <f t="shared" si="43"/>
        <v>#N/A</v>
      </c>
      <c r="AI95" s="432"/>
      <c r="AJ95" s="197"/>
      <c r="AK95" s="197"/>
      <c r="AL95" s="197"/>
      <c r="AM95" s="197" t="e">
        <f t="shared" si="44"/>
        <v>#N/A</v>
      </c>
      <c r="AN95" s="432"/>
      <c r="AO95" s="197"/>
      <c r="AP95" s="197"/>
      <c r="AQ95" s="197"/>
      <c r="AR95" s="197" t="e">
        <f t="shared" si="45"/>
        <v>#N/A</v>
      </c>
      <c r="AS95" s="432"/>
      <c r="AT95" s="197"/>
      <c r="AU95" s="197"/>
      <c r="AV95" s="197"/>
      <c r="AW95" s="197" t="e">
        <f t="shared" si="46"/>
        <v>#N/A</v>
      </c>
      <c r="AX95" s="432"/>
    </row>
    <row r="96" spans="2:50">
      <c r="B96" s="422"/>
      <c r="C96" s="197">
        <v>10</v>
      </c>
      <c r="D96" s="225"/>
      <c r="E96" s="169"/>
      <c r="F96" s="197"/>
      <c r="G96" s="195"/>
      <c r="H96" s="429"/>
      <c r="I96" s="169"/>
      <c r="J96" s="169"/>
      <c r="K96" s="195"/>
      <c r="L96" s="429"/>
      <c r="M96" s="196" t="e">
        <f>RANK(K96, K$87:$K$101)</f>
        <v>#DIV/0!</v>
      </c>
      <c r="N96" s="423"/>
      <c r="O96" s="423"/>
      <c r="P96" s="197"/>
      <c r="Q96" s="197"/>
      <c r="R96" s="197"/>
      <c r="S96" s="197" t="e">
        <f t="shared" si="40"/>
        <v>#N/A</v>
      </c>
      <c r="T96" s="432"/>
      <c r="U96" s="197"/>
      <c r="V96" s="197"/>
      <c r="W96" s="197"/>
      <c r="X96" s="197" t="e">
        <f t="shared" si="41"/>
        <v>#N/A</v>
      </c>
      <c r="Y96" s="432"/>
      <c r="Z96" s="197"/>
      <c r="AA96" s="197"/>
      <c r="AB96" s="197"/>
      <c r="AC96" s="197" t="e">
        <f t="shared" si="42"/>
        <v>#N/A</v>
      </c>
      <c r="AD96" s="432"/>
      <c r="AE96" s="197"/>
      <c r="AF96" s="197"/>
      <c r="AG96" s="197"/>
      <c r="AH96" s="197" t="e">
        <f t="shared" si="43"/>
        <v>#N/A</v>
      </c>
      <c r="AI96" s="432"/>
      <c r="AJ96" s="197"/>
      <c r="AK96" s="197"/>
      <c r="AL96" s="197"/>
      <c r="AM96" s="197" t="e">
        <f t="shared" si="44"/>
        <v>#N/A</v>
      </c>
      <c r="AN96" s="432"/>
      <c r="AO96" s="197"/>
      <c r="AP96" s="197"/>
      <c r="AQ96" s="197"/>
      <c r="AR96" s="197" t="e">
        <f t="shared" si="45"/>
        <v>#N/A</v>
      </c>
      <c r="AS96" s="432"/>
      <c r="AT96" s="197"/>
      <c r="AU96" s="197"/>
      <c r="AV96" s="197"/>
      <c r="AW96" s="197" t="e">
        <f t="shared" si="46"/>
        <v>#N/A</v>
      </c>
      <c r="AX96" s="432"/>
    </row>
    <row r="97" spans="2:50">
      <c r="B97" s="422"/>
      <c r="C97" s="197">
        <v>11</v>
      </c>
      <c r="D97" s="225"/>
      <c r="E97" s="169"/>
      <c r="F97" s="197"/>
      <c r="G97" s="195"/>
      <c r="H97" s="429"/>
      <c r="I97" s="197"/>
      <c r="J97" s="197"/>
      <c r="K97" s="197"/>
      <c r="L97" s="429"/>
      <c r="M97" s="196" t="e">
        <f>RANK(K97, K$87:$K$101)</f>
        <v>#DIV/0!</v>
      </c>
      <c r="N97" s="423"/>
      <c r="O97" s="423"/>
      <c r="P97" s="197"/>
      <c r="Q97" s="197"/>
      <c r="R97" s="197"/>
      <c r="S97" s="197" t="e">
        <f t="shared" si="40"/>
        <v>#N/A</v>
      </c>
      <c r="T97" s="432"/>
      <c r="U97" s="197"/>
      <c r="V97" s="197"/>
      <c r="W97" s="197"/>
      <c r="X97" s="197" t="e">
        <f t="shared" si="41"/>
        <v>#N/A</v>
      </c>
      <c r="Y97" s="432"/>
      <c r="Z97" s="197"/>
      <c r="AA97" s="197"/>
      <c r="AB97" s="197"/>
      <c r="AC97" s="197" t="e">
        <f t="shared" si="42"/>
        <v>#N/A</v>
      </c>
      <c r="AD97" s="432"/>
      <c r="AE97" s="197"/>
      <c r="AF97" s="197"/>
      <c r="AG97" s="197"/>
      <c r="AH97" s="197" t="e">
        <f t="shared" si="43"/>
        <v>#N/A</v>
      </c>
      <c r="AI97" s="432"/>
      <c r="AJ97" s="197"/>
      <c r="AK97" s="197"/>
      <c r="AL97" s="197"/>
      <c r="AM97" s="197" t="e">
        <f t="shared" si="44"/>
        <v>#N/A</v>
      </c>
      <c r="AN97" s="432"/>
      <c r="AO97" s="197"/>
      <c r="AP97" s="197"/>
      <c r="AQ97" s="197"/>
      <c r="AR97" s="197" t="e">
        <f t="shared" si="45"/>
        <v>#N/A</v>
      </c>
      <c r="AS97" s="432"/>
      <c r="AT97" s="197"/>
      <c r="AU97" s="197"/>
      <c r="AV97" s="197"/>
      <c r="AW97" s="197" t="e">
        <f t="shared" si="46"/>
        <v>#N/A</v>
      </c>
      <c r="AX97" s="432"/>
    </row>
    <row r="98" spans="2:50">
      <c r="B98" s="422"/>
      <c r="C98" s="197">
        <v>12</v>
      </c>
      <c r="D98" s="225"/>
      <c r="E98" s="169"/>
      <c r="F98" s="197"/>
      <c r="G98" s="195"/>
      <c r="H98" s="429"/>
      <c r="I98" s="197"/>
      <c r="J98" s="197"/>
      <c r="K98" s="197"/>
      <c r="L98" s="429"/>
      <c r="M98" s="196" t="e">
        <f>RANK(K98, K$87:$K$101)</f>
        <v>#DIV/0!</v>
      </c>
      <c r="N98" s="423"/>
      <c r="O98" s="423"/>
      <c r="P98" s="197"/>
      <c r="Q98" s="197"/>
      <c r="R98" s="197"/>
      <c r="S98" s="197" t="e">
        <f t="shared" si="40"/>
        <v>#N/A</v>
      </c>
      <c r="T98" s="432"/>
      <c r="U98" s="197"/>
      <c r="V98" s="197"/>
      <c r="W98" s="197"/>
      <c r="X98" s="197" t="e">
        <f t="shared" si="41"/>
        <v>#N/A</v>
      </c>
      <c r="Y98" s="432"/>
      <c r="Z98" s="197"/>
      <c r="AA98" s="197"/>
      <c r="AB98" s="197"/>
      <c r="AC98" s="197" t="e">
        <f t="shared" si="42"/>
        <v>#N/A</v>
      </c>
      <c r="AD98" s="432"/>
      <c r="AE98" s="197"/>
      <c r="AF98" s="197"/>
      <c r="AG98" s="197"/>
      <c r="AH98" s="197" t="e">
        <f t="shared" si="43"/>
        <v>#N/A</v>
      </c>
      <c r="AI98" s="432"/>
      <c r="AJ98" s="197"/>
      <c r="AK98" s="197"/>
      <c r="AL98" s="197"/>
      <c r="AM98" s="197" t="e">
        <f t="shared" si="44"/>
        <v>#N/A</v>
      </c>
      <c r="AN98" s="432"/>
      <c r="AO98" s="197"/>
      <c r="AP98" s="197"/>
      <c r="AQ98" s="197"/>
      <c r="AR98" s="197" t="e">
        <f t="shared" si="45"/>
        <v>#N/A</v>
      </c>
      <c r="AS98" s="432"/>
      <c r="AT98" s="197"/>
      <c r="AU98" s="197"/>
      <c r="AV98" s="197"/>
      <c r="AW98" s="197" t="e">
        <f t="shared" si="46"/>
        <v>#N/A</v>
      </c>
      <c r="AX98" s="432"/>
    </row>
    <row r="99" spans="2:50">
      <c r="B99" s="422"/>
      <c r="C99" s="197">
        <v>13</v>
      </c>
      <c r="D99" s="225"/>
      <c r="E99" s="169"/>
      <c r="F99" s="197"/>
      <c r="G99" s="195"/>
      <c r="H99" s="429"/>
      <c r="I99" s="197"/>
      <c r="J99" s="197"/>
      <c r="K99" s="197"/>
      <c r="L99" s="429"/>
      <c r="M99" s="196" t="e">
        <f>RANK(K99, K$87:$K$101)</f>
        <v>#DIV/0!</v>
      </c>
      <c r="N99" s="423"/>
      <c r="O99" s="423"/>
      <c r="P99" s="197"/>
      <c r="Q99" s="197"/>
      <c r="R99" s="197"/>
      <c r="S99" s="197" t="e">
        <f t="shared" si="40"/>
        <v>#N/A</v>
      </c>
      <c r="T99" s="432"/>
      <c r="U99" s="197"/>
      <c r="V99" s="197"/>
      <c r="W99" s="197"/>
      <c r="X99" s="197" t="e">
        <f t="shared" si="41"/>
        <v>#N/A</v>
      </c>
      <c r="Y99" s="432"/>
      <c r="Z99" s="197"/>
      <c r="AA99" s="197"/>
      <c r="AB99" s="197"/>
      <c r="AC99" s="197" t="e">
        <f t="shared" si="42"/>
        <v>#N/A</v>
      </c>
      <c r="AD99" s="432"/>
      <c r="AE99" s="197"/>
      <c r="AF99" s="197"/>
      <c r="AG99" s="197"/>
      <c r="AH99" s="197" t="e">
        <f t="shared" si="43"/>
        <v>#N/A</v>
      </c>
      <c r="AI99" s="432"/>
      <c r="AJ99" s="197"/>
      <c r="AK99" s="197"/>
      <c r="AL99" s="197"/>
      <c r="AM99" s="197" t="e">
        <f t="shared" si="44"/>
        <v>#N/A</v>
      </c>
      <c r="AN99" s="432"/>
      <c r="AO99" s="197"/>
      <c r="AP99" s="197"/>
      <c r="AQ99" s="197"/>
      <c r="AR99" s="197" t="e">
        <f t="shared" si="45"/>
        <v>#N/A</v>
      </c>
      <c r="AS99" s="432"/>
      <c r="AT99" s="197"/>
      <c r="AU99" s="197"/>
      <c r="AV99" s="197"/>
      <c r="AW99" s="197" t="e">
        <f t="shared" si="46"/>
        <v>#N/A</v>
      </c>
      <c r="AX99" s="432"/>
    </row>
    <row r="100" spans="2:50">
      <c r="B100" s="422"/>
      <c r="C100" s="197">
        <v>14</v>
      </c>
      <c r="D100" s="225"/>
      <c r="E100" s="169"/>
      <c r="F100" s="197"/>
      <c r="G100" s="195"/>
      <c r="H100" s="429"/>
      <c r="I100" s="197"/>
      <c r="J100" s="197"/>
      <c r="K100" s="197"/>
      <c r="L100" s="429"/>
      <c r="M100" s="196" t="e">
        <f>RANK(K100, K$87:$K$101)</f>
        <v>#DIV/0!</v>
      </c>
      <c r="N100" s="423"/>
      <c r="O100" s="423"/>
      <c r="P100" s="197"/>
      <c r="Q100" s="197"/>
      <c r="R100" s="197"/>
      <c r="S100" s="197" t="e">
        <f t="shared" si="40"/>
        <v>#N/A</v>
      </c>
      <c r="T100" s="432"/>
      <c r="U100" s="197"/>
      <c r="V100" s="197"/>
      <c r="W100" s="197"/>
      <c r="X100" s="197" t="e">
        <f t="shared" si="41"/>
        <v>#N/A</v>
      </c>
      <c r="Y100" s="432"/>
      <c r="Z100" s="197"/>
      <c r="AA100" s="197"/>
      <c r="AB100" s="197"/>
      <c r="AC100" s="197" t="e">
        <f t="shared" si="42"/>
        <v>#N/A</v>
      </c>
      <c r="AD100" s="432"/>
      <c r="AE100" s="197"/>
      <c r="AF100" s="197"/>
      <c r="AG100" s="197"/>
      <c r="AH100" s="197" t="e">
        <f t="shared" si="43"/>
        <v>#N/A</v>
      </c>
      <c r="AI100" s="432"/>
      <c r="AJ100" s="197"/>
      <c r="AK100" s="197"/>
      <c r="AL100" s="197"/>
      <c r="AM100" s="197" t="e">
        <f t="shared" si="44"/>
        <v>#N/A</v>
      </c>
      <c r="AN100" s="432"/>
      <c r="AO100" s="197"/>
      <c r="AP100" s="197"/>
      <c r="AQ100" s="197"/>
      <c r="AR100" s="197" t="e">
        <f t="shared" si="45"/>
        <v>#N/A</v>
      </c>
      <c r="AS100" s="432"/>
      <c r="AT100" s="197"/>
      <c r="AU100" s="197"/>
      <c r="AV100" s="197"/>
      <c r="AW100" s="197" t="e">
        <f t="shared" si="46"/>
        <v>#N/A</v>
      </c>
      <c r="AX100" s="432"/>
    </row>
    <row r="101" spans="2:50">
      <c r="B101" s="422"/>
      <c r="C101" s="197">
        <v>15</v>
      </c>
      <c r="D101" s="225"/>
      <c r="E101" s="169"/>
      <c r="F101" s="197"/>
      <c r="G101" s="195"/>
      <c r="H101" s="430"/>
      <c r="I101" s="197"/>
      <c r="J101" s="197"/>
      <c r="K101" s="197"/>
      <c r="L101" s="430"/>
      <c r="M101" s="169" t="e">
        <f>RANK(K101, K$87:$K$101)</f>
        <v>#DIV/0!</v>
      </c>
      <c r="N101" s="423"/>
      <c r="O101" s="423"/>
      <c r="P101" s="197"/>
      <c r="Q101" s="197"/>
      <c r="R101" s="197"/>
      <c r="S101" s="197" t="e">
        <f t="shared" si="40"/>
        <v>#N/A</v>
      </c>
      <c r="T101" s="432"/>
      <c r="U101" s="197"/>
      <c r="V101" s="197"/>
      <c r="W101" s="197"/>
      <c r="X101" s="197" t="e">
        <f t="shared" si="41"/>
        <v>#N/A</v>
      </c>
      <c r="Y101" s="432"/>
      <c r="Z101" s="197"/>
      <c r="AA101" s="197"/>
      <c r="AB101" s="197"/>
      <c r="AC101" s="197" t="e">
        <f t="shared" si="42"/>
        <v>#N/A</v>
      </c>
      <c r="AD101" s="432"/>
      <c r="AE101" s="197"/>
      <c r="AF101" s="197"/>
      <c r="AG101" s="197"/>
      <c r="AH101" s="197" t="e">
        <f t="shared" si="43"/>
        <v>#N/A</v>
      </c>
      <c r="AI101" s="432"/>
      <c r="AJ101" s="197"/>
      <c r="AK101" s="197"/>
      <c r="AL101" s="197"/>
      <c r="AM101" s="197" t="e">
        <f t="shared" si="44"/>
        <v>#N/A</v>
      </c>
      <c r="AN101" s="432"/>
      <c r="AO101" s="197"/>
      <c r="AP101" s="197"/>
      <c r="AQ101" s="197"/>
      <c r="AR101" s="197" t="e">
        <f t="shared" si="45"/>
        <v>#N/A</v>
      </c>
      <c r="AS101" s="432"/>
      <c r="AT101" s="197"/>
      <c r="AU101" s="197"/>
      <c r="AV101" s="197"/>
      <c r="AW101" s="197" t="e">
        <f t="shared" si="46"/>
        <v>#N/A</v>
      </c>
      <c r="AX101" s="432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176"/>
  <sheetViews>
    <sheetView tabSelected="1" topLeftCell="A76" zoomScale="85" zoomScaleNormal="85" workbookViewId="0">
      <pane xSplit="15" topLeftCell="AU1" activePane="topRight" state="frozen"/>
      <selection pane="topRight" activeCell="K98" sqref="K98"/>
      <selection sqref="A1:L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15" t="s">
        <v>246</v>
      </c>
      <c r="C1" s="216">
        <f>AVERAGE(L7,L42,L77,L112,L147)</f>
        <v>91.961257062417573</v>
      </c>
    </row>
    <row r="2" spans="1:50" ht="15.75">
      <c r="A2" s="79"/>
      <c r="B2" s="396" t="s">
        <v>202</v>
      </c>
      <c r="C2" s="396"/>
      <c r="D2" s="396"/>
      <c r="E2" s="396"/>
      <c r="F2" s="396"/>
      <c r="G2" s="396"/>
      <c r="H2" s="396"/>
      <c r="I2" s="198"/>
      <c r="J2" s="198"/>
      <c r="K2" s="198"/>
      <c r="L2" s="198"/>
      <c r="M2" s="193"/>
      <c r="N2" s="401" t="s">
        <v>203</v>
      </c>
      <c r="O2" s="401" t="s">
        <v>150</v>
      </c>
      <c r="P2" s="416">
        <v>45895</v>
      </c>
      <c r="Q2" s="417"/>
      <c r="R2" s="417"/>
      <c r="S2" s="417"/>
      <c r="T2" s="418"/>
      <c r="U2" s="421">
        <f>P2+1</f>
        <v>45896</v>
      </c>
      <c r="V2" s="422"/>
      <c r="W2" s="422"/>
      <c r="X2" s="422"/>
      <c r="Y2" s="422"/>
      <c r="Z2" s="421">
        <f>U2+1</f>
        <v>45897</v>
      </c>
      <c r="AA2" s="422"/>
      <c r="AB2" s="422"/>
      <c r="AC2" s="422"/>
      <c r="AD2" s="422"/>
      <c r="AE2" s="421">
        <f>Z2+1</f>
        <v>45898</v>
      </c>
      <c r="AF2" s="422"/>
      <c r="AG2" s="422"/>
      <c r="AH2" s="422"/>
      <c r="AI2" s="422"/>
      <c r="AJ2" s="421">
        <f>AE2+1</f>
        <v>45899</v>
      </c>
      <c r="AK2" s="422"/>
      <c r="AL2" s="422"/>
      <c r="AM2" s="422"/>
      <c r="AN2" s="422"/>
      <c r="AO2" s="421">
        <f>AJ2+1</f>
        <v>45900</v>
      </c>
      <c r="AP2" s="422"/>
      <c r="AQ2" s="422"/>
      <c r="AR2" s="422"/>
      <c r="AS2" s="422"/>
      <c r="AT2" s="421">
        <f>AO2+1</f>
        <v>45901</v>
      </c>
      <c r="AU2" s="422"/>
      <c r="AV2" s="422"/>
      <c r="AW2" s="422"/>
      <c r="AX2" s="422"/>
    </row>
    <row r="3" spans="1:50" ht="15.75">
      <c r="A3" s="79"/>
      <c r="B3" s="397"/>
      <c r="C3" s="397"/>
      <c r="D3" s="397"/>
      <c r="E3" s="397"/>
      <c r="F3" s="397"/>
      <c r="G3" s="397"/>
      <c r="H3" s="397"/>
      <c r="I3" s="199"/>
      <c r="J3" s="199"/>
      <c r="K3" s="199"/>
      <c r="L3" s="199"/>
      <c r="M3" s="194"/>
      <c r="N3" s="403"/>
      <c r="O3" s="403"/>
      <c r="P3" s="416" t="s">
        <v>204</v>
      </c>
      <c r="Q3" s="417"/>
      <c r="R3" s="417"/>
      <c r="S3" s="417"/>
      <c r="T3" s="418"/>
      <c r="U3" s="416" t="s">
        <v>205</v>
      </c>
      <c r="V3" s="417"/>
      <c r="W3" s="417"/>
      <c r="X3" s="417"/>
      <c r="Y3" s="418"/>
      <c r="Z3" s="416" t="s">
        <v>206</v>
      </c>
      <c r="AA3" s="417"/>
      <c r="AB3" s="417"/>
      <c r="AC3" s="417"/>
      <c r="AD3" s="418"/>
      <c r="AE3" s="416" t="s">
        <v>207</v>
      </c>
      <c r="AF3" s="417"/>
      <c r="AG3" s="417"/>
      <c r="AH3" s="417"/>
      <c r="AI3" s="418"/>
      <c r="AJ3" s="416" t="s">
        <v>208</v>
      </c>
      <c r="AK3" s="417"/>
      <c r="AL3" s="417"/>
      <c r="AM3" s="417"/>
      <c r="AN3" s="418"/>
      <c r="AO3" s="416" t="s">
        <v>157</v>
      </c>
      <c r="AP3" s="417"/>
      <c r="AQ3" s="417"/>
      <c r="AR3" s="417"/>
      <c r="AS3" s="418"/>
      <c r="AT3" s="416" t="s">
        <v>209</v>
      </c>
      <c r="AU3" s="417"/>
      <c r="AV3" s="417"/>
      <c r="AW3" s="417"/>
      <c r="AX3" s="418"/>
    </row>
    <row r="4" spans="1:50">
      <c r="A4" s="79"/>
      <c r="B4" s="423" t="s">
        <v>210</v>
      </c>
      <c r="C4" s="423" t="s">
        <v>211</v>
      </c>
      <c r="D4" s="423"/>
      <c r="E4" s="423" t="s">
        <v>212</v>
      </c>
      <c r="F4" s="423"/>
      <c r="G4" s="423"/>
      <c r="H4" s="404" t="s">
        <v>213</v>
      </c>
      <c r="I4" s="423" t="s">
        <v>214</v>
      </c>
      <c r="J4" s="423"/>
      <c r="K4" s="423"/>
      <c r="L4" s="404" t="s">
        <v>213</v>
      </c>
      <c r="M4" s="401" t="s">
        <v>215</v>
      </c>
      <c r="N4" s="423"/>
      <c r="O4" s="423" t="s">
        <v>216</v>
      </c>
      <c r="P4" s="413" t="s">
        <v>217</v>
      </c>
      <c r="Q4" s="414"/>
      <c r="R4" s="414"/>
      <c r="S4" s="415"/>
      <c r="T4" s="423" t="s">
        <v>213</v>
      </c>
      <c r="U4" s="413" t="s">
        <v>217</v>
      </c>
      <c r="V4" s="414"/>
      <c r="W4" s="414"/>
      <c r="X4" s="415"/>
      <c r="Y4" s="423" t="s">
        <v>213</v>
      </c>
      <c r="Z4" s="413" t="s">
        <v>217</v>
      </c>
      <c r="AA4" s="414"/>
      <c r="AB4" s="414"/>
      <c r="AC4" s="415"/>
      <c r="AD4" s="423" t="s">
        <v>213</v>
      </c>
      <c r="AE4" s="413" t="s">
        <v>217</v>
      </c>
      <c r="AF4" s="414"/>
      <c r="AG4" s="414"/>
      <c r="AH4" s="415"/>
      <c r="AI4" s="423" t="s">
        <v>213</v>
      </c>
      <c r="AJ4" s="413" t="s">
        <v>217</v>
      </c>
      <c r="AK4" s="414"/>
      <c r="AL4" s="414"/>
      <c r="AM4" s="415"/>
      <c r="AN4" s="423" t="s">
        <v>213</v>
      </c>
      <c r="AO4" s="413" t="s">
        <v>217</v>
      </c>
      <c r="AP4" s="414"/>
      <c r="AQ4" s="414"/>
      <c r="AR4" s="415"/>
      <c r="AS4" s="423" t="s">
        <v>213</v>
      </c>
      <c r="AT4" s="413" t="s">
        <v>217</v>
      </c>
      <c r="AU4" s="414"/>
      <c r="AV4" s="414"/>
      <c r="AW4" s="415"/>
      <c r="AX4" s="423" t="s">
        <v>213</v>
      </c>
    </row>
    <row r="5" spans="1:50">
      <c r="A5" s="79"/>
      <c r="B5" s="423"/>
      <c r="C5" s="423"/>
      <c r="D5" s="423"/>
      <c r="E5" s="423" t="s">
        <v>218</v>
      </c>
      <c r="F5" s="423"/>
      <c r="G5" s="423"/>
      <c r="H5" s="406"/>
      <c r="I5" s="423" t="s">
        <v>218</v>
      </c>
      <c r="J5" s="423"/>
      <c r="K5" s="423"/>
      <c r="L5" s="406"/>
      <c r="M5" s="402"/>
      <c r="N5" s="423"/>
      <c r="O5" s="423"/>
      <c r="P5" s="413" t="s">
        <v>219</v>
      </c>
      <c r="Q5" s="414"/>
      <c r="R5" s="414"/>
      <c r="S5" s="415"/>
      <c r="T5" s="423"/>
      <c r="U5" s="413" t="s">
        <v>219</v>
      </c>
      <c r="V5" s="414"/>
      <c r="W5" s="414"/>
      <c r="X5" s="415"/>
      <c r="Y5" s="423"/>
      <c r="Z5" s="413" t="s">
        <v>219</v>
      </c>
      <c r="AA5" s="414"/>
      <c r="AB5" s="414"/>
      <c r="AC5" s="415"/>
      <c r="AD5" s="423"/>
      <c r="AE5" s="413" t="s">
        <v>219</v>
      </c>
      <c r="AF5" s="414"/>
      <c r="AG5" s="414"/>
      <c r="AH5" s="415"/>
      <c r="AI5" s="423"/>
      <c r="AJ5" s="413" t="s">
        <v>219</v>
      </c>
      <c r="AK5" s="414"/>
      <c r="AL5" s="414"/>
      <c r="AM5" s="415"/>
      <c r="AN5" s="423"/>
      <c r="AO5" s="413" t="s">
        <v>219</v>
      </c>
      <c r="AP5" s="414"/>
      <c r="AQ5" s="414"/>
      <c r="AR5" s="415"/>
      <c r="AS5" s="423"/>
      <c r="AT5" s="413" t="s">
        <v>219</v>
      </c>
      <c r="AU5" s="414"/>
      <c r="AV5" s="414"/>
      <c r="AW5" s="415"/>
      <c r="AX5" s="423"/>
    </row>
    <row r="6" spans="1:50">
      <c r="A6" s="77"/>
      <c r="B6" s="423"/>
      <c r="C6" s="423"/>
      <c r="D6" s="423"/>
      <c r="E6" s="297" t="s">
        <v>220</v>
      </c>
      <c r="F6" s="297" t="s">
        <v>221</v>
      </c>
      <c r="G6" s="297" t="s">
        <v>222</v>
      </c>
      <c r="H6" s="408"/>
      <c r="I6" s="297" t="s">
        <v>220</v>
      </c>
      <c r="J6" s="297" t="s">
        <v>221</v>
      </c>
      <c r="K6" s="297" t="s">
        <v>222</v>
      </c>
      <c r="L6" s="408"/>
      <c r="M6" s="403"/>
      <c r="N6" s="423"/>
      <c r="O6" s="423"/>
      <c r="P6" s="297" t="s">
        <v>220</v>
      </c>
      <c r="Q6" s="297" t="s">
        <v>221</v>
      </c>
      <c r="R6" s="297" t="s">
        <v>222</v>
      </c>
      <c r="S6" s="297" t="s">
        <v>215</v>
      </c>
      <c r="T6" s="423"/>
      <c r="U6" s="297" t="s">
        <v>220</v>
      </c>
      <c r="V6" s="297" t="s">
        <v>221</v>
      </c>
      <c r="W6" s="297" t="s">
        <v>222</v>
      </c>
      <c r="X6" s="297" t="s">
        <v>215</v>
      </c>
      <c r="Y6" s="423"/>
      <c r="Z6" s="297" t="s">
        <v>220</v>
      </c>
      <c r="AA6" s="297" t="s">
        <v>221</v>
      </c>
      <c r="AB6" s="297" t="s">
        <v>222</v>
      </c>
      <c r="AC6" s="297" t="s">
        <v>215</v>
      </c>
      <c r="AD6" s="423"/>
      <c r="AE6" s="297" t="s">
        <v>220</v>
      </c>
      <c r="AF6" s="297" t="s">
        <v>221</v>
      </c>
      <c r="AG6" s="297" t="s">
        <v>222</v>
      </c>
      <c r="AH6" s="297" t="s">
        <v>215</v>
      </c>
      <c r="AI6" s="423"/>
      <c r="AJ6" s="297" t="s">
        <v>220</v>
      </c>
      <c r="AK6" s="297" t="s">
        <v>221</v>
      </c>
      <c r="AL6" s="297" t="s">
        <v>222</v>
      </c>
      <c r="AM6" s="297" t="s">
        <v>215</v>
      </c>
      <c r="AN6" s="423"/>
      <c r="AO6" s="297" t="s">
        <v>220</v>
      </c>
      <c r="AP6" s="297" t="s">
        <v>221</v>
      </c>
      <c r="AQ6" s="297" t="s">
        <v>222</v>
      </c>
      <c r="AR6" s="297" t="s">
        <v>215</v>
      </c>
      <c r="AS6" s="423"/>
      <c r="AT6" s="297" t="s">
        <v>220</v>
      </c>
      <c r="AU6" s="297" t="s">
        <v>221</v>
      </c>
      <c r="AV6" s="297" t="s">
        <v>222</v>
      </c>
      <c r="AW6" s="297" t="s">
        <v>215</v>
      </c>
      <c r="AX6" s="423"/>
    </row>
    <row r="7" spans="1:50">
      <c r="A7" s="79"/>
      <c r="B7" s="423" t="s">
        <v>187</v>
      </c>
      <c r="C7" s="197">
        <v>1</v>
      </c>
      <c r="D7" s="225" t="s">
        <v>270</v>
      </c>
      <c r="E7" s="169">
        <v>5</v>
      </c>
      <c r="F7" s="197">
        <v>1600</v>
      </c>
      <c r="G7" s="195">
        <v>320</v>
      </c>
      <c r="H7" s="428">
        <f>AVERAGE(G7:G36)</f>
        <v>107.10150826412433</v>
      </c>
      <c r="I7" s="169">
        <f>AVERAGE(P7,U7,Z7,AE7,AJ7,AO7,AT7)</f>
        <v>5</v>
      </c>
      <c r="J7" s="169">
        <f>AVERAGE(Q7,V7,AA7,AF7,AK7,AP7,AU7)</f>
        <v>1045.7142857142894</v>
      </c>
      <c r="K7" s="195">
        <f>AVERAGE(R7,W7,AB7,AG7,AL7,AQ7,AV7)</f>
        <v>209.14285714285788</v>
      </c>
      <c r="L7" s="428">
        <f>IFERROR(AVERAGE(K7:K36),"-")</f>
        <v>92.369615016017761</v>
      </c>
      <c r="M7" s="196">
        <f>RANK(K7, K$7:$K$36)</f>
        <v>2</v>
      </c>
      <c r="N7" s="423"/>
      <c r="O7" s="423"/>
      <c r="P7" s="169">
        <v>5</v>
      </c>
      <c r="Q7" s="169">
        <v>1110.0000000000039</v>
      </c>
      <c r="R7" s="169">
        <v>222.00000000000077</v>
      </c>
      <c r="S7" s="197">
        <f t="shared" ref="S7:S36" si="0">RANK(R7, R$7:R$36)</f>
        <v>2</v>
      </c>
      <c r="T7" s="432">
        <f>AVERAGE(R7:R36)</f>
        <v>93.113904669433552</v>
      </c>
      <c r="U7" s="169">
        <v>5</v>
      </c>
      <c r="V7" s="169">
        <v>940.00000000000341</v>
      </c>
      <c r="W7" s="169">
        <v>188.00000000000068</v>
      </c>
      <c r="X7" s="197">
        <f t="shared" ref="X7:X36" si="1">RANK(W7, W$7:W$36)</f>
        <v>3</v>
      </c>
      <c r="Y7" s="432">
        <f>AVERAGE(W7:W36)</f>
        <v>91.655648839518904</v>
      </c>
      <c r="Z7" s="169">
        <v>5</v>
      </c>
      <c r="AA7" s="169">
        <v>940.00000000000341</v>
      </c>
      <c r="AB7" s="169">
        <v>188.00000000000068</v>
      </c>
      <c r="AC7" s="197">
        <f t="shared" ref="AC7:AC36" si="2">RANK(AB7, AB$7:AB$36)</f>
        <v>2</v>
      </c>
      <c r="AD7" s="432">
        <f>AVERAGE(AB7:AB36)</f>
        <v>90.847327477321485</v>
      </c>
      <c r="AE7" s="169">
        <v>5</v>
      </c>
      <c r="AF7" s="169">
        <v>1140.0000000000041</v>
      </c>
      <c r="AG7" s="169">
        <v>228.00000000000082</v>
      </c>
      <c r="AH7" s="197">
        <f t="shared" ref="AH7:AH36" si="3">RANK(AG7, AG$7:AG$36)</f>
        <v>2</v>
      </c>
      <c r="AI7" s="432">
        <f>AVERAGE(AG7:AG36)</f>
        <v>93.594168913279802</v>
      </c>
      <c r="AJ7" s="169">
        <v>5</v>
      </c>
      <c r="AK7" s="169">
        <v>1200.0000000000043</v>
      </c>
      <c r="AL7" s="169">
        <v>240.00000000000085</v>
      </c>
      <c r="AM7" s="197">
        <f t="shared" ref="AM7:AM36" si="4">RANK(AL7, AL$7:AL$36)</f>
        <v>2</v>
      </c>
      <c r="AN7" s="432">
        <f>AVERAGE(AL7:AL36)</f>
        <v>93.543359911285719</v>
      </c>
      <c r="AO7" s="169">
        <v>5</v>
      </c>
      <c r="AP7" s="169">
        <v>1110.0000000000039</v>
      </c>
      <c r="AQ7" s="169">
        <v>222.00000000000077</v>
      </c>
      <c r="AR7" s="197">
        <f t="shared" ref="AR7:AR36" si="5">RANK(AQ7, AQ$7:AQ$36)</f>
        <v>2</v>
      </c>
      <c r="AS7" s="432">
        <f>AVERAGE(AQ7:AQ36)</f>
        <v>92.370564577642043</v>
      </c>
      <c r="AT7" s="169">
        <v>5</v>
      </c>
      <c r="AU7" s="169">
        <v>880.00000000000318</v>
      </c>
      <c r="AV7" s="169">
        <v>176.00000000000063</v>
      </c>
      <c r="AW7" s="197">
        <f t="shared" ref="AW7:AW36" si="6">RANK(AV7, AV$7:AV$36)</f>
        <v>3</v>
      </c>
      <c r="AX7" s="432">
        <f>AVERAGE(AV7:AV36)</f>
        <v>91.462330723642893</v>
      </c>
    </row>
    <row r="8" spans="1:50" ht="15" customHeight="1">
      <c r="A8" s="79"/>
      <c r="B8" s="422"/>
      <c r="C8" s="197">
        <v>2</v>
      </c>
      <c r="D8" s="225" t="s">
        <v>271</v>
      </c>
      <c r="E8" s="169">
        <v>6</v>
      </c>
      <c r="F8" s="197">
        <v>1500</v>
      </c>
      <c r="G8" s="195">
        <v>250</v>
      </c>
      <c r="H8" s="429"/>
      <c r="I8" s="169">
        <f t="shared" ref="I8:K30" si="7">AVERAGE(P8,U8,Z8,AE8,AJ8,AO8,AT8)</f>
        <v>5</v>
      </c>
      <c r="J8" s="169">
        <f t="shared" si="7"/>
        <v>1530.7356551308433</v>
      </c>
      <c r="K8" s="195">
        <f t="shared" si="7"/>
        <v>306.14713102616861</v>
      </c>
      <c r="L8" s="429"/>
      <c r="M8" s="196">
        <f>RANK(K8, K$7:$K$36)</f>
        <v>1</v>
      </c>
      <c r="N8" s="423"/>
      <c r="O8" s="423"/>
      <c r="P8" s="169">
        <v>5</v>
      </c>
      <c r="Q8" s="169">
        <v>1485.4160583941605</v>
      </c>
      <c r="R8" s="169">
        <v>297.08321167883207</v>
      </c>
      <c r="S8" s="197">
        <f t="shared" si="0"/>
        <v>1</v>
      </c>
      <c r="T8" s="432"/>
      <c r="U8" s="169">
        <v>5</v>
      </c>
      <c r="V8" s="169">
        <v>1524.2255639097743</v>
      </c>
      <c r="W8" s="169">
        <v>304.84511278195487</v>
      </c>
      <c r="X8" s="197">
        <f t="shared" si="1"/>
        <v>1</v>
      </c>
      <c r="Y8" s="432"/>
      <c r="Z8" s="169">
        <v>5</v>
      </c>
      <c r="AA8" s="169">
        <v>1520.6144486692017</v>
      </c>
      <c r="AB8" s="169">
        <v>304.12288973384034</v>
      </c>
      <c r="AC8" s="197">
        <f t="shared" si="2"/>
        <v>1</v>
      </c>
      <c r="AD8" s="432"/>
      <c r="AE8" s="169">
        <v>5</v>
      </c>
      <c r="AF8" s="169">
        <v>1556.1639344262296</v>
      </c>
      <c r="AG8" s="169">
        <v>311.2327868852459</v>
      </c>
      <c r="AH8" s="197">
        <f t="shared" si="3"/>
        <v>1</v>
      </c>
      <c r="AI8" s="432"/>
      <c r="AJ8" s="169">
        <v>5</v>
      </c>
      <c r="AK8" s="169">
        <v>1545.0568421052631</v>
      </c>
      <c r="AL8" s="169">
        <v>309.01136842105262</v>
      </c>
      <c r="AM8" s="197">
        <f t="shared" si="4"/>
        <v>1</v>
      </c>
      <c r="AN8" s="432"/>
      <c r="AO8" s="169">
        <v>5</v>
      </c>
      <c r="AP8" s="169">
        <v>1552.9932203389833</v>
      </c>
      <c r="AQ8" s="169">
        <v>310.59864406779667</v>
      </c>
      <c r="AR8" s="197">
        <f t="shared" si="5"/>
        <v>1</v>
      </c>
      <c r="AS8" s="432"/>
      <c r="AT8" s="169">
        <v>5</v>
      </c>
      <c r="AU8" s="169">
        <v>1530.6795180722895</v>
      </c>
      <c r="AV8" s="169">
        <v>306.1359036144579</v>
      </c>
      <c r="AW8" s="197">
        <f t="shared" si="6"/>
        <v>1</v>
      </c>
      <c r="AX8" s="432"/>
    </row>
    <row r="9" spans="1:50">
      <c r="A9" s="79"/>
      <c r="B9" s="422"/>
      <c r="C9" s="197">
        <v>3</v>
      </c>
      <c r="D9" s="225" t="s">
        <v>272</v>
      </c>
      <c r="E9" s="169">
        <v>7</v>
      </c>
      <c r="F9" s="197">
        <v>1500</v>
      </c>
      <c r="G9" s="195">
        <v>214.28571428571428</v>
      </c>
      <c r="H9" s="429"/>
      <c r="I9" s="169">
        <f t="shared" si="7"/>
        <v>7.8571428571428568</v>
      </c>
      <c r="J9" s="169">
        <f t="shared" si="7"/>
        <v>1484.2512395857143</v>
      </c>
      <c r="K9" s="195">
        <f t="shared" si="7"/>
        <v>189.25932881006673</v>
      </c>
      <c r="L9" s="429"/>
      <c r="M9" s="196">
        <f>RANK(K9, K$7:$K$36)</f>
        <v>3</v>
      </c>
      <c r="N9" s="423"/>
      <c r="O9" s="423"/>
      <c r="P9" s="169">
        <v>8</v>
      </c>
      <c r="Q9" s="169">
        <v>1514.6938775510203</v>
      </c>
      <c r="R9" s="169">
        <v>189.33673469387753</v>
      </c>
      <c r="S9" s="197">
        <f t="shared" si="0"/>
        <v>3</v>
      </c>
      <c r="T9" s="432"/>
      <c r="U9" s="169">
        <v>8</v>
      </c>
      <c r="V9" s="169">
        <v>1506.80412371134</v>
      </c>
      <c r="W9" s="169">
        <v>188.3505154639175</v>
      </c>
      <c r="X9" s="197">
        <f t="shared" si="1"/>
        <v>2</v>
      </c>
      <c r="Y9" s="432"/>
      <c r="Z9" s="169">
        <v>8</v>
      </c>
      <c r="AA9" s="169">
        <v>1475.5102040816325</v>
      </c>
      <c r="AB9" s="169">
        <v>184.43877551020407</v>
      </c>
      <c r="AC9" s="197">
        <f t="shared" si="2"/>
        <v>3</v>
      </c>
      <c r="AD9" s="432"/>
      <c r="AE9" s="169">
        <v>8</v>
      </c>
      <c r="AF9" s="169">
        <v>1490.2173913043478</v>
      </c>
      <c r="AG9" s="169">
        <v>186.27717391304347</v>
      </c>
      <c r="AH9" s="197">
        <f t="shared" si="3"/>
        <v>3</v>
      </c>
      <c r="AI9" s="432"/>
      <c r="AJ9" s="169">
        <v>8</v>
      </c>
      <c r="AK9" s="169">
        <v>1486.8749999999998</v>
      </c>
      <c r="AL9" s="169">
        <v>185.85937499999997</v>
      </c>
      <c r="AM9" s="197">
        <f t="shared" si="4"/>
        <v>3</v>
      </c>
      <c r="AN9" s="432"/>
      <c r="AO9" s="169">
        <v>8</v>
      </c>
      <c r="AP9" s="169">
        <v>1454.3119266055051</v>
      </c>
      <c r="AQ9" s="169">
        <v>181.78899082568813</v>
      </c>
      <c r="AR9" s="197">
        <f t="shared" si="5"/>
        <v>3</v>
      </c>
      <c r="AS9" s="432"/>
      <c r="AT9" s="169">
        <v>7</v>
      </c>
      <c r="AU9" s="169">
        <v>1461.346153846154</v>
      </c>
      <c r="AV9" s="169">
        <v>208.76373626373629</v>
      </c>
      <c r="AW9" s="197">
        <f t="shared" si="6"/>
        <v>2</v>
      </c>
      <c r="AX9" s="432"/>
    </row>
    <row r="10" spans="1:50">
      <c r="A10" s="79"/>
      <c r="B10" s="422"/>
      <c r="C10" s="197">
        <v>4</v>
      </c>
      <c r="D10" s="225" t="s">
        <v>273</v>
      </c>
      <c r="E10" s="169">
        <v>18</v>
      </c>
      <c r="F10" s="197">
        <v>1500</v>
      </c>
      <c r="G10" s="195">
        <v>83.333333333333329</v>
      </c>
      <c r="H10" s="429"/>
      <c r="I10" s="169">
        <f t="shared" si="7"/>
        <v>17</v>
      </c>
      <c r="J10" s="169">
        <f t="shared" si="7"/>
        <v>1285.4197219157165</v>
      </c>
      <c r="K10" s="195">
        <f t="shared" si="7"/>
        <v>75.612924818571557</v>
      </c>
      <c r="L10" s="429"/>
      <c r="M10" s="196">
        <f>RANK(K10, K$7:$K$36)</f>
        <v>13</v>
      </c>
      <c r="N10" s="423"/>
      <c r="O10" s="423"/>
      <c r="P10" s="169">
        <v>17</v>
      </c>
      <c r="Q10" s="169">
        <v>1308.2242990654204</v>
      </c>
      <c r="R10" s="169">
        <v>76.954370533260018</v>
      </c>
      <c r="S10" s="197">
        <f t="shared" si="0"/>
        <v>13</v>
      </c>
      <c r="T10" s="432"/>
      <c r="U10" s="169">
        <v>17</v>
      </c>
      <c r="V10" s="169">
        <v>1309.1428571428567</v>
      </c>
      <c r="W10" s="169">
        <v>77.008403361344506</v>
      </c>
      <c r="X10" s="197">
        <f t="shared" si="1"/>
        <v>11</v>
      </c>
      <c r="Y10" s="432"/>
      <c r="Z10" s="169">
        <v>17</v>
      </c>
      <c r="AA10" s="169">
        <v>1293.7500000000005</v>
      </c>
      <c r="AB10" s="169">
        <v>76.102941176470608</v>
      </c>
      <c r="AC10" s="197">
        <f t="shared" si="2"/>
        <v>10</v>
      </c>
      <c r="AD10" s="432"/>
      <c r="AE10" s="169">
        <v>17</v>
      </c>
      <c r="AF10" s="169">
        <v>1284.2696629213483</v>
      </c>
      <c r="AG10" s="169">
        <v>75.545274289491076</v>
      </c>
      <c r="AH10" s="197">
        <f t="shared" si="3"/>
        <v>13</v>
      </c>
      <c r="AI10" s="432"/>
      <c r="AJ10" s="169">
        <v>17</v>
      </c>
      <c r="AK10" s="169">
        <v>1262.5000000000002</v>
      </c>
      <c r="AL10" s="169">
        <v>74.264705882352956</v>
      </c>
      <c r="AM10" s="197">
        <f t="shared" si="4"/>
        <v>14</v>
      </c>
      <c r="AN10" s="432"/>
      <c r="AO10" s="169">
        <v>17</v>
      </c>
      <c r="AP10" s="169">
        <v>1274.2105263157894</v>
      </c>
      <c r="AQ10" s="169">
        <v>74.953560371517028</v>
      </c>
      <c r="AR10" s="197">
        <f t="shared" si="5"/>
        <v>11</v>
      </c>
      <c r="AS10" s="432"/>
      <c r="AT10" s="169">
        <v>17</v>
      </c>
      <c r="AU10" s="169">
        <v>1265.8407079646017</v>
      </c>
      <c r="AV10" s="169">
        <v>74.461218115564805</v>
      </c>
      <c r="AW10" s="197">
        <f t="shared" si="6"/>
        <v>13</v>
      </c>
      <c r="AX10" s="432"/>
    </row>
    <row r="11" spans="1:50">
      <c r="A11" s="79"/>
      <c r="B11" s="422"/>
      <c r="C11" s="197">
        <v>5</v>
      </c>
      <c r="D11" s="225" t="s">
        <v>274</v>
      </c>
      <c r="E11" s="169">
        <v>21</v>
      </c>
      <c r="F11" s="197">
        <v>1500</v>
      </c>
      <c r="G11" s="195">
        <v>71.428571428571431</v>
      </c>
      <c r="H11" s="429"/>
      <c r="I11" s="169">
        <f t="shared" si="7"/>
        <v>20</v>
      </c>
      <c r="J11" s="169">
        <f t="shared" si="7"/>
        <v>1097.4380827539678</v>
      </c>
      <c r="K11" s="195">
        <f t="shared" si="7"/>
        <v>54.871904137698387</v>
      </c>
      <c r="L11" s="429"/>
      <c r="M11" s="196">
        <f>RANK(K11, K$7:$K$36)</f>
        <v>24</v>
      </c>
      <c r="N11" s="423"/>
      <c r="O11" s="423"/>
      <c r="P11" s="169">
        <v>20</v>
      </c>
      <c r="Q11" s="169">
        <v>1107.7935483870976</v>
      </c>
      <c r="R11" s="169">
        <v>55.389677419354882</v>
      </c>
      <c r="S11" s="197">
        <f t="shared" si="0"/>
        <v>23</v>
      </c>
      <c r="T11" s="432"/>
      <c r="U11" s="169">
        <v>20</v>
      </c>
      <c r="V11" s="169">
        <v>1094.1666666666658</v>
      </c>
      <c r="W11" s="169">
        <v>54.708333333333293</v>
      </c>
      <c r="X11" s="197">
        <f t="shared" si="1"/>
        <v>23</v>
      </c>
      <c r="Y11" s="432"/>
      <c r="Z11" s="169">
        <v>20</v>
      </c>
      <c r="AA11" s="169">
        <v>1110.9090909090919</v>
      </c>
      <c r="AB11" s="169">
        <v>55.545454545454596</v>
      </c>
      <c r="AC11" s="197">
        <f t="shared" si="2"/>
        <v>23</v>
      </c>
      <c r="AD11" s="432"/>
      <c r="AE11" s="169">
        <v>20</v>
      </c>
      <c r="AF11" s="169">
        <v>1112.7272727272739</v>
      </c>
      <c r="AG11" s="169">
        <v>55.636363636363697</v>
      </c>
      <c r="AH11" s="197">
        <f t="shared" si="3"/>
        <v>23</v>
      </c>
      <c r="AI11" s="432"/>
      <c r="AJ11" s="169">
        <v>20</v>
      </c>
      <c r="AK11" s="169">
        <v>1081.7647058823516</v>
      </c>
      <c r="AL11" s="169">
        <v>54.088235294117581</v>
      </c>
      <c r="AM11" s="197">
        <f t="shared" si="4"/>
        <v>24</v>
      </c>
      <c r="AN11" s="432"/>
      <c r="AO11" s="169">
        <v>20</v>
      </c>
      <c r="AP11" s="169">
        <v>1087.6923076923069</v>
      </c>
      <c r="AQ11" s="169">
        <v>54.384615384615344</v>
      </c>
      <c r="AR11" s="197">
        <f t="shared" si="5"/>
        <v>24</v>
      </c>
      <c r="AS11" s="432"/>
      <c r="AT11" s="169">
        <v>20</v>
      </c>
      <c r="AU11" s="169">
        <v>1087.0129870129874</v>
      </c>
      <c r="AV11" s="169">
        <v>54.35064935064937</v>
      </c>
      <c r="AW11" s="197">
        <f t="shared" si="6"/>
        <v>23</v>
      </c>
      <c r="AX11" s="432"/>
    </row>
    <row r="12" spans="1:50">
      <c r="A12" s="79"/>
      <c r="B12" s="422"/>
      <c r="C12" s="197">
        <v>6</v>
      </c>
      <c r="D12" s="225" t="s">
        <v>275</v>
      </c>
      <c r="E12" s="169">
        <v>19</v>
      </c>
      <c r="F12" s="197">
        <v>1500</v>
      </c>
      <c r="G12" s="195">
        <v>78.94736842105263</v>
      </c>
      <c r="H12" s="429"/>
      <c r="I12" s="169">
        <f t="shared" si="7"/>
        <v>20</v>
      </c>
      <c r="J12" s="169">
        <f t="shared" si="7"/>
        <v>1103.2302418824631</v>
      </c>
      <c r="K12" s="195">
        <f t="shared" si="7"/>
        <v>55.161512094123168</v>
      </c>
      <c r="L12" s="429"/>
      <c r="M12" s="196">
        <f>RANK(K12, K$7:$K$36)</f>
        <v>23</v>
      </c>
      <c r="N12" s="423"/>
      <c r="O12" s="423"/>
      <c r="P12" s="169">
        <v>20</v>
      </c>
      <c r="Q12" s="169">
        <v>1116.1904761904773</v>
      </c>
      <c r="R12" s="169">
        <v>55.809523809523867</v>
      </c>
      <c r="S12" s="197">
        <f t="shared" si="0"/>
        <v>22</v>
      </c>
      <c r="T12" s="432"/>
      <c r="U12" s="169">
        <v>20</v>
      </c>
      <c r="V12" s="169">
        <v>1083.8709677419365</v>
      </c>
      <c r="W12" s="169">
        <v>54.193548387096826</v>
      </c>
      <c r="X12" s="197">
        <f t="shared" si="1"/>
        <v>24</v>
      </c>
      <c r="Y12" s="432"/>
      <c r="Z12" s="169">
        <v>20</v>
      </c>
      <c r="AA12" s="169">
        <v>1129.3548387096785</v>
      </c>
      <c r="AB12" s="169">
        <v>56.467741935483922</v>
      </c>
      <c r="AC12" s="197">
        <f t="shared" si="2"/>
        <v>22</v>
      </c>
      <c r="AD12" s="432"/>
      <c r="AE12" s="169">
        <v>20</v>
      </c>
      <c r="AF12" s="169">
        <v>1100.3571428571438</v>
      </c>
      <c r="AG12" s="169">
        <v>55.017857142857189</v>
      </c>
      <c r="AH12" s="197">
        <f t="shared" si="3"/>
        <v>24</v>
      </c>
      <c r="AI12" s="432"/>
      <c r="AJ12" s="169">
        <v>20</v>
      </c>
      <c r="AK12" s="169">
        <v>1118.3606557377061</v>
      </c>
      <c r="AL12" s="169">
        <v>55.918032786885306</v>
      </c>
      <c r="AM12" s="197">
        <f t="shared" si="4"/>
        <v>23</v>
      </c>
      <c r="AN12" s="432"/>
      <c r="AO12" s="169">
        <v>20</v>
      </c>
      <c r="AP12" s="169">
        <v>1090.0000000000011</v>
      </c>
      <c r="AQ12" s="169">
        <v>54.500000000000057</v>
      </c>
      <c r="AR12" s="197">
        <f t="shared" si="5"/>
        <v>23</v>
      </c>
      <c r="AS12" s="432"/>
      <c r="AT12" s="169">
        <v>20</v>
      </c>
      <c r="AU12" s="169">
        <v>1084.4776119402998</v>
      </c>
      <c r="AV12" s="169">
        <v>54.22388059701499</v>
      </c>
      <c r="AW12" s="197">
        <f t="shared" si="6"/>
        <v>24</v>
      </c>
      <c r="AX12" s="432"/>
    </row>
    <row r="13" spans="1:50">
      <c r="A13" s="79"/>
      <c r="B13" s="422"/>
      <c r="C13" s="197">
        <v>7</v>
      </c>
      <c r="D13" s="225" t="s">
        <v>276</v>
      </c>
      <c r="E13" s="169">
        <v>17</v>
      </c>
      <c r="F13" s="197">
        <v>1500</v>
      </c>
      <c r="G13" s="195">
        <v>88.235294117647058</v>
      </c>
      <c r="H13" s="429"/>
      <c r="I13" s="169">
        <f t="shared" si="7"/>
        <v>16.571428571428573</v>
      </c>
      <c r="J13" s="169">
        <f t="shared" si="7"/>
        <v>1287.2094100263196</v>
      </c>
      <c r="K13" s="195">
        <f t="shared" si="7"/>
        <v>78.132086955684784</v>
      </c>
      <c r="L13" s="429"/>
      <c r="M13" s="196">
        <f>RANK(K13, K$7:$K$36)</f>
        <v>8</v>
      </c>
      <c r="N13" s="423"/>
      <c r="O13" s="423"/>
      <c r="P13" s="169">
        <v>16</v>
      </c>
      <c r="Q13" s="169">
        <v>1283.3898305084758</v>
      </c>
      <c r="R13" s="169">
        <v>80.211864406779739</v>
      </c>
      <c r="S13" s="197">
        <f t="shared" si="0"/>
        <v>7</v>
      </c>
      <c r="T13" s="432"/>
      <c r="U13" s="169">
        <v>16</v>
      </c>
      <c r="V13" s="169">
        <v>1305.263157894738</v>
      </c>
      <c r="W13" s="169">
        <v>81.578947368421126</v>
      </c>
      <c r="X13" s="197">
        <f t="shared" si="1"/>
        <v>6</v>
      </c>
      <c r="Y13" s="432"/>
      <c r="Z13" s="169">
        <v>16</v>
      </c>
      <c r="AA13" s="169">
        <v>1262.1428571428582</v>
      </c>
      <c r="AB13" s="169">
        <v>78.88392857142864</v>
      </c>
      <c r="AC13" s="197">
        <f t="shared" si="2"/>
        <v>8</v>
      </c>
      <c r="AD13" s="432"/>
      <c r="AE13" s="169">
        <v>16</v>
      </c>
      <c r="AF13" s="169">
        <v>1282.5000000000005</v>
      </c>
      <c r="AG13" s="169">
        <v>80.156250000000028</v>
      </c>
      <c r="AH13" s="197">
        <f t="shared" si="3"/>
        <v>7</v>
      </c>
      <c r="AI13" s="432"/>
      <c r="AJ13" s="169">
        <v>16</v>
      </c>
      <c r="AK13" s="169">
        <v>1270.1886792452838</v>
      </c>
      <c r="AL13" s="169">
        <v>79.386792452830235</v>
      </c>
      <c r="AM13" s="197">
        <f t="shared" si="4"/>
        <v>8</v>
      </c>
      <c r="AN13" s="432"/>
      <c r="AO13" s="169">
        <v>16</v>
      </c>
      <c r="AP13" s="169">
        <v>1308.6206896551735</v>
      </c>
      <c r="AQ13" s="169">
        <v>81.788793103448342</v>
      </c>
      <c r="AR13" s="197">
        <f t="shared" si="5"/>
        <v>6</v>
      </c>
      <c r="AS13" s="432"/>
      <c r="AT13" s="169">
        <v>20</v>
      </c>
      <c r="AU13" s="169">
        <v>1298.3606557377061</v>
      </c>
      <c r="AV13" s="169">
        <v>64.918032786885306</v>
      </c>
      <c r="AW13" s="197">
        <f t="shared" si="6"/>
        <v>20</v>
      </c>
      <c r="AX13" s="432"/>
    </row>
    <row r="14" spans="1:50">
      <c r="A14" s="79"/>
      <c r="B14" s="422"/>
      <c r="C14" s="197">
        <v>8</v>
      </c>
      <c r="D14" s="225" t="s">
        <v>277</v>
      </c>
      <c r="E14" s="169">
        <v>17</v>
      </c>
      <c r="F14" s="197">
        <v>1565</v>
      </c>
      <c r="G14" s="195">
        <v>92.058823529411768</v>
      </c>
      <c r="H14" s="429"/>
      <c r="I14" s="169">
        <f t="shared" si="7"/>
        <v>16.285714285714285</v>
      </c>
      <c r="J14" s="169">
        <f t="shared" si="7"/>
        <v>1326.3476560622353</v>
      </c>
      <c r="K14" s="195">
        <f t="shared" si="7"/>
        <v>81.576084861817506</v>
      </c>
      <c r="L14" s="429"/>
      <c r="M14" s="196">
        <f>RANK(K14, K$7:$K$36)</f>
        <v>5</v>
      </c>
      <c r="N14" s="423"/>
      <c r="O14" s="423"/>
      <c r="P14" s="169">
        <v>16</v>
      </c>
      <c r="Q14" s="169">
        <v>1336.1797752808989</v>
      </c>
      <c r="R14" s="169">
        <v>83.511235955056179</v>
      </c>
      <c r="S14" s="197">
        <f t="shared" si="0"/>
        <v>5</v>
      </c>
      <c r="T14" s="432"/>
      <c r="U14" s="169">
        <v>16</v>
      </c>
      <c r="V14" s="169">
        <v>1343.1325301204813</v>
      </c>
      <c r="W14" s="169">
        <v>83.945783132530082</v>
      </c>
      <c r="X14" s="197">
        <f t="shared" si="1"/>
        <v>5</v>
      </c>
      <c r="Y14" s="432"/>
      <c r="Z14" s="169">
        <v>16</v>
      </c>
      <c r="AA14" s="169">
        <v>1288.192771084337</v>
      </c>
      <c r="AB14" s="169">
        <v>80.512048192771061</v>
      </c>
      <c r="AC14" s="197">
        <f t="shared" si="2"/>
        <v>6</v>
      </c>
      <c r="AD14" s="432"/>
      <c r="AE14" s="169">
        <v>16</v>
      </c>
      <c r="AF14" s="169">
        <v>1339.4366197183085</v>
      </c>
      <c r="AG14" s="169">
        <v>83.714788732394283</v>
      </c>
      <c r="AH14" s="197">
        <f t="shared" si="3"/>
        <v>5</v>
      </c>
      <c r="AI14" s="432"/>
      <c r="AJ14" s="169">
        <v>16</v>
      </c>
      <c r="AK14" s="169">
        <v>1335.6164383561634</v>
      </c>
      <c r="AL14" s="169">
        <v>83.476027397260211</v>
      </c>
      <c r="AM14" s="197">
        <f t="shared" si="4"/>
        <v>5</v>
      </c>
      <c r="AN14" s="432"/>
      <c r="AO14" s="169">
        <v>16</v>
      </c>
      <c r="AP14" s="169">
        <v>1310.6666666666667</v>
      </c>
      <c r="AQ14" s="169">
        <v>81.916666666666671</v>
      </c>
      <c r="AR14" s="197">
        <f t="shared" si="5"/>
        <v>5</v>
      </c>
      <c r="AS14" s="432"/>
      <c r="AT14" s="169">
        <v>18</v>
      </c>
      <c r="AU14" s="169">
        <v>1331.2087912087911</v>
      </c>
      <c r="AV14" s="169">
        <v>73.956043956043956</v>
      </c>
      <c r="AW14" s="197">
        <f t="shared" si="6"/>
        <v>14</v>
      </c>
      <c r="AX14" s="432"/>
    </row>
    <row r="15" spans="1:50">
      <c r="A15" s="79"/>
      <c r="B15" s="422"/>
      <c r="C15" s="197">
        <v>9</v>
      </c>
      <c r="D15" s="225" t="s">
        <v>278</v>
      </c>
      <c r="E15" s="169">
        <v>16</v>
      </c>
      <c r="F15" s="197">
        <v>1440</v>
      </c>
      <c r="G15" s="195">
        <v>90</v>
      </c>
      <c r="H15" s="429"/>
      <c r="I15" s="169">
        <f t="shared" si="7"/>
        <v>16.714285714285715</v>
      </c>
      <c r="J15" s="169">
        <f t="shared" si="7"/>
        <v>1273.8643315097283</v>
      </c>
      <c r="K15" s="195">
        <f t="shared" si="7"/>
        <v>76.262645932963395</v>
      </c>
      <c r="L15" s="429"/>
      <c r="M15" s="196">
        <f>RANK(K15, K$7:$K$36)</f>
        <v>12</v>
      </c>
      <c r="N15" s="423"/>
      <c r="O15" s="423"/>
      <c r="P15" s="169">
        <v>16</v>
      </c>
      <c r="Q15" s="169">
        <v>1287.2727272727257</v>
      </c>
      <c r="R15" s="169">
        <v>80.454545454545354</v>
      </c>
      <c r="S15" s="197">
        <f t="shared" si="0"/>
        <v>6</v>
      </c>
      <c r="T15" s="432"/>
      <c r="U15" s="169">
        <v>16</v>
      </c>
      <c r="V15" s="169">
        <v>1243.9999999999977</v>
      </c>
      <c r="W15" s="169">
        <v>77.749999999999858</v>
      </c>
      <c r="X15" s="197">
        <f t="shared" si="1"/>
        <v>10</v>
      </c>
      <c r="Y15" s="432"/>
      <c r="Z15" s="169">
        <v>17</v>
      </c>
      <c r="AA15" s="169">
        <v>1258.0645161290302</v>
      </c>
      <c r="AB15" s="169">
        <v>74.003795066413545</v>
      </c>
      <c r="AC15" s="197">
        <f t="shared" si="2"/>
        <v>15</v>
      </c>
      <c r="AD15" s="432"/>
      <c r="AE15" s="169">
        <v>17</v>
      </c>
      <c r="AF15" s="169">
        <v>1248.3870967741916</v>
      </c>
      <c r="AG15" s="169">
        <v>73.434535104364215</v>
      </c>
      <c r="AH15" s="197">
        <f t="shared" si="3"/>
        <v>15</v>
      </c>
      <c r="AI15" s="432"/>
      <c r="AJ15" s="169">
        <v>17</v>
      </c>
      <c r="AK15" s="169">
        <v>1283.3333333333323</v>
      </c>
      <c r="AL15" s="169">
        <v>75.49019607843131</v>
      </c>
      <c r="AM15" s="197">
        <f t="shared" si="4"/>
        <v>9</v>
      </c>
      <c r="AN15" s="432"/>
      <c r="AO15" s="169">
        <v>17</v>
      </c>
      <c r="AP15" s="169">
        <v>1274.1176470588221</v>
      </c>
      <c r="AQ15" s="169">
        <v>74.948096885813058</v>
      </c>
      <c r="AR15" s="197">
        <f t="shared" si="5"/>
        <v>12</v>
      </c>
      <c r="AS15" s="432"/>
      <c r="AT15" s="169">
        <v>17</v>
      </c>
      <c r="AU15" s="169">
        <v>1321.8749999999982</v>
      </c>
      <c r="AV15" s="169">
        <v>77.757352941176364</v>
      </c>
      <c r="AW15" s="197">
        <f t="shared" si="6"/>
        <v>8</v>
      </c>
      <c r="AX15" s="432"/>
    </row>
    <row r="16" spans="1:50">
      <c r="A16" s="79"/>
      <c r="B16" s="422"/>
      <c r="C16" s="197">
        <v>10</v>
      </c>
      <c r="D16" s="225" t="s">
        <v>279</v>
      </c>
      <c r="E16" s="169">
        <v>17</v>
      </c>
      <c r="F16" s="197">
        <v>1440</v>
      </c>
      <c r="G16" s="195">
        <v>84.705882352941174</v>
      </c>
      <c r="H16" s="429"/>
      <c r="I16" s="169">
        <f t="shared" si="7"/>
        <v>16.571428571428573</v>
      </c>
      <c r="J16" s="169">
        <f t="shared" si="7"/>
        <v>1299.1894324116697</v>
      </c>
      <c r="K16" s="195">
        <f t="shared" si="7"/>
        <v>78.457196564648811</v>
      </c>
      <c r="L16" s="429"/>
      <c r="M16" s="196">
        <f>RANK(K16, K$7:$K$36)</f>
        <v>7</v>
      </c>
      <c r="N16" s="423"/>
      <c r="O16" s="423"/>
      <c r="P16" s="169">
        <v>17</v>
      </c>
      <c r="Q16" s="169">
        <v>1323.3333333333342</v>
      </c>
      <c r="R16" s="169">
        <v>77.843137254902004</v>
      </c>
      <c r="S16" s="197">
        <f t="shared" si="0"/>
        <v>11</v>
      </c>
      <c r="T16" s="432"/>
      <c r="U16" s="169">
        <v>17</v>
      </c>
      <c r="V16" s="169">
        <v>1308.9795918367352</v>
      </c>
      <c r="W16" s="169">
        <v>76.998799519807946</v>
      </c>
      <c r="X16" s="197">
        <f t="shared" si="1"/>
        <v>12</v>
      </c>
      <c r="Y16" s="432"/>
      <c r="Z16" s="169">
        <v>16</v>
      </c>
      <c r="AA16" s="169">
        <v>1285.0000000000002</v>
      </c>
      <c r="AB16" s="169">
        <v>80.312500000000014</v>
      </c>
      <c r="AC16" s="197">
        <f t="shared" si="2"/>
        <v>7</v>
      </c>
      <c r="AD16" s="432"/>
      <c r="AE16" s="169">
        <v>16</v>
      </c>
      <c r="AF16" s="169">
        <v>1293.1914893617022</v>
      </c>
      <c r="AG16" s="169">
        <v>80.824468085106389</v>
      </c>
      <c r="AH16" s="197">
        <f t="shared" si="3"/>
        <v>6</v>
      </c>
      <c r="AI16" s="432"/>
      <c r="AJ16" s="169">
        <v>16</v>
      </c>
      <c r="AK16" s="169">
        <v>1295.0943396226421</v>
      </c>
      <c r="AL16" s="169">
        <v>80.943396226415132</v>
      </c>
      <c r="AM16" s="197">
        <f t="shared" si="4"/>
        <v>6</v>
      </c>
      <c r="AN16" s="432"/>
      <c r="AO16" s="169">
        <v>17</v>
      </c>
      <c r="AP16" s="169">
        <v>1279.6363636363644</v>
      </c>
      <c r="AQ16" s="169">
        <v>75.272727272727323</v>
      </c>
      <c r="AR16" s="197">
        <f t="shared" si="5"/>
        <v>10</v>
      </c>
      <c r="AS16" s="432"/>
      <c r="AT16" s="169">
        <v>17</v>
      </c>
      <c r="AU16" s="169">
        <v>1309.0909090909099</v>
      </c>
      <c r="AV16" s="169">
        <v>77.00534759358294</v>
      </c>
      <c r="AW16" s="197">
        <f t="shared" si="6"/>
        <v>9</v>
      </c>
      <c r="AX16" s="432"/>
    </row>
    <row r="17" spans="2:50">
      <c r="B17" s="422"/>
      <c r="C17" s="197">
        <v>11</v>
      </c>
      <c r="D17" s="225" t="s">
        <v>280</v>
      </c>
      <c r="E17" s="169">
        <v>15</v>
      </c>
      <c r="F17" s="197">
        <v>1500</v>
      </c>
      <c r="G17" s="195">
        <v>100</v>
      </c>
      <c r="H17" s="429"/>
      <c r="I17" s="169">
        <f t="shared" si="7"/>
        <v>17.428571428571427</v>
      </c>
      <c r="J17" s="169">
        <f t="shared" si="7"/>
        <v>1084.5658263305361</v>
      </c>
      <c r="K17" s="195">
        <f t="shared" si="7"/>
        <v>62.279892349096727</v>
      </c>
      <c r="L17" s="429"/>
      <c r="M17" s="196">
        <f>RANK(K17, K$7:$K$36)</f>
        <v>21</v>
      </c>
      <c r="N17" s="423"/>
      <c r="O17" s="423"/>
      <c r="P17" s="169">
        <v>17</v>
      </c>
      <c r="Q17" s="169">
        <v>1066.6666666666706</v>
      </c>
      <c r="R17" s="169">
        <v>62.745098039215918</v>
      </c>
      <c r="S17" s="197">
        <f t="shared" si="0"/>
        <v>21</v>
      </c>
      <c r="T17" s="432"/>
      <c r="U17" s="169">
        <v>17</v>
      </c>
      <c r="V17" s="169">
        <v>1080.0000000000039</v>
      </c>
      <c r="W17" s="169">
        <v>63.529411764706111</v>
      </c>
      <c r="X17" s="197">
        <f t="shared" si="1"/>
        <v>21</v>
      </c>
      <c r="Y17" s="432"/>
      <c r="Z17" s="169">
        <v>18</v>
      </c>
      <c r="AA17" s="169">
        <v>1036.0000000000039</v>
      </c>
      <c r="AB17" s="169">
        <v>57.55555555555577</v>
      </c>
      <c r="AC17" s="197">
        <f t="shared" si="2"/>
        <v>21</v>
      </c>
      <c r="AD17" s="432"/>
      <c r="AE17" s="169">
        <v>18</v>
      </c>
      <c r="AF17" s="169">
        <v>1104.0000000000039</v>
      </c>
      <c r="AG17" s="169">
        <v>61.333333333333549</v>
      </c>
      <c r="AH17" s="197">
        <f t="shared" si="3"/>
        <v>21</v>
      </c>
      <c r="AI17" s="432"/>
      <c r="AJ17" s="169">
        <v>18</v>
      </c>
      <c r="AK17" s="169">
        <v>1111.7647058823568</v>
      </c>
      <c r="AL17" s="169">
        <v>61.764705882353155</v>
      </c>
      <c r="AM17" s="197">
        <f t="shared" si="4"/>
        <v>21</v>
      </c>
      <c r="AN17" s="432"/>
      <c r="AO17" s="169">
        <v>17</v>
      </c>
      <c r="AP17" s="169">
        <v>1083.5294117647097</v>
      </c>
      <c r="AQ17" s="169">
        <v>63.73702422145351</v>
      </c>
      <c r="AR17" s="197">
        <f t="shared" si="5"/>
        <v>21</v>
      </c>
      <c r="AS17" s="432"/>
      <c r="AT17" s="169">
        <v>17</v>
      </c>
      <c r="AU17" s="169">
        <v>1110.0000000000039</v>
      </c>
      <c r="AV17" s="169">
        <v>65.294117647059053</v>
      </c>
      <c r="AW17" s="197">
        <f t="shared" si="6"/>
        <v>19</v>
      </c>
      <c r="AX17" s="432"/>
    </row>
    <row r="18" spans="2:50">
      <c r="B18" s="422"/>
      <c r="C18" s="197">
        <v>12</v>
      </c>
      <c r="D18" s="225" t="s">
        <v>281</v>
      </c>
      <c r="E18" s="169">
        <v>18</v>
      </c>
      <c r="F18" s="197">
        <v>1440</v>
      </c>
      <c r="G18" s="195">
        <v>80</v>
      </c>
      <c r="H18" s="429"/>
      <c r="I18" s="169">
        <f t="shared" si="7"/>
        <v>16.714285714285715</v>
      </c>
      <c r="J18" s="169">
        <f t="shared" si="7"/>
        <v>1177.0070295850999</v>
      </c>
      <c r="K18" s="195">
        <f t="shared" si="7"/>
        <v>70.467940249332898</v>
      </c>
      <c r="L18" s="429"/>
      <c r="M18" s="196">
        <f>RANK(K18, K$7:$K$36)</f>
        <v>17</v>
      </c>
      <c r="N18" s="423"/>
      <c r="O18" s="423"/>
      <c r="P18" s="169">
        <v>16</v>
      </c>
      <c r="Q18" s="169">
        <v>1183.5294117647063</v>
      </c>
      <c r="R18" s="169">
        <v>73.970588235294144</v>
      </c>
      <c r="S18" s="197">
        <f t="shared" si="0"/>
        <v>14</v>
      </c>
      <c r="T18" s="432"/>
      <c r="U18" s="169">
        <v>16</v>
      </c>
      <c r="V18" s="169">
        <v>1162.6415094339629</v>
      </c>
      <c r="W18" s="169">
        <v>72.665094339622684</v>
      </c>
      <c r="X18" s="197">
        <f t="shared" si="1"/>
        <v>15</v>
      </c>
      <c r="Y18" s="432"/>
      <c r="Z18" s="169">
        <v>17</v>
      </c>
      <c r="AA18" s="169">
        <v>1162.6415094339629</v>
      </c>
      <c r="AB18" s="169">
        <v>68.390677025527225</v>
      </c>
      <c r="AC18" s="197">
        <f t="shared" si="2"/>
        <v>20</v>
      </c>
      <c r="AD18" s="432"/>
      <c r="AE18" s="169">
        <v>17</v>
      </c>
      <c r="AF18" s="169">
        <v>1195.2000000000003</v>
      </c>
      <c r="AG18" s="169">
        <v>70.305882352941197</v>
      </c>
      <c r="AH18" s="197">
        <f t="shared" si="3"/>
        <v>18</v>
      </c>
      <c r="AI18" s="432"/>
      <c r="AJ18" s="169">
        <v>17</v>
      </c>
      <c r="AK18" s="169">
        <v>1170.5084745762722</v>
      </c>
      <c r="AL18" s="169">
        <v>68.853439680957194</v>
      </c>
      <c r="AM18" s="197">
        <f t="shared" si="4"/>
        <v>19</v>
      </c>
      <c r="AN18" s="432"/>
      <c r="AO18" s="169">
        <v>17</v>
      </c>
      <c r="AP18" s="169">
        <v>1160.0000000000007</v>
      </c>
      <c r="AQ18" s="169">
        <v>68.235294117647101</v>
      </c>
      <c r="AR18" s="197">
        <f t="shared" si="5"/>
        <v>19</v>
      </c>
      <c r="AS18" s="432"/>
      <c r="AT18" s="169">
        <v>17</v>
      </c>
      <c r="AU18" s="169">
        <v>1204.5283018867931</v>
      </c>
      <c r="AV18" s="169">
        <v>70.854605993340769</v>
      </c>
      <c r="AW18" s="197">
        <f t="shared" si="6"/>
        <v>16</v>
      </c>
      <c r="AX18" s="432"/>
    </row>
    <row r="19" spans="2:50">
      <c r="B19" s="422"/>
      <c r="C19" s="197">
        <v>13</v>
      </c>
      <c r="D19" s="225" t="s">
        <v>282</v>
      </c>
      <c r="E19" s="169">
        <v>20</v>
      </c>
      <c r="F19" s="197">
        <v>1636</v>
      </c>
      <c r="G19" s="195">
        <v>81.8</v>
      </c>
      <c r="H19" s="429"/>
      <c r="I19" s="169">
        <f t="shared" si="7"/>
        <v>19</v>
      </c>
      <c r="J19" s="169">
        <f t="shared" si="7"/>
        <v>1296.2954891390204</v>
      </c>
      <c r="K19" s="195">
        <f t="shared" si="7"/>
        <v>68.226078375737941</v>
      </c>
      <c r="L19" s="429"/>
      <c r="M19" s="196">
        <f>RANK(K19, K$7:$K$36)</f>
        <v>20</v>
      </c>
      <c r="N19" s="423"/>
      <c r="O19" s="423"/>
      <c r="P19" s="169">
        <v>19</v>
      </c>
      <c r="Q19" s="169">
        <v>1307.4725274725274</v>
      </c>
      <c r="R19" s="169">
        <v>68.814343551185658</v>
      </c>
      <c r="S19" s="197">
        <f t="shared" si="0"/>
        <v>19</v>
      </c>
      <c r="T19" s="432"/>
      <c r="U19" s="169">
        <v>19</v>
      </c>
      <c r="V19" s="169">
        <v>1317.1764705882351</v>
      </c>
      <c r="W19" s="169">
        <v>69.325077399380802</v>
      </c>
      <c r="X19" s="197">
        <f t="shared" si="1"/>
        <v>18</v>
      </c>
      <c r="Y19" s="432"/>
      <c r="Z19" s="169">
        <v>19</v>
      </c>
      <c r="AA19" s="169">
        <v>1308.3116883116877</v>
      </c>
      <c r="AB19" s="169">
        <v>68.858509911141454</v>
      </c>
      <c r="AC19" s="197">
        <f t="shared" si="2"/>
        <v>18</v>
      </c>
      <c r="AD19" s="432"/>
      <c r="AE19" s="169">
        <v>19</v>
      </c>
      <c r="AF19" s="169">
        <v>1318.4999999999995</v>
      </c>
      <c r="AG19" s="169">
        <v>69.394736842105246</v>
      </c>
      <c r="AH19" s="197">
        <f t="shared" si="3"/>
        <v>20</v>
      </c>
      <c r="AI19" s="432"/>
      <c r="AJ19" s="169">
        <v>19</v>
      </c>
      <c r="AK19" s="169">
        <v>1288.4210526315792</v>
      </c>
      <c r="AL19" s="169">
        <v>67.811634349030484</v>
      </c>
      <c r="AM19" s="197">
        <f t="shared" si="4"/>
        <v>20</v>
      </c>
      <c r="AN19" s="432"/>
      <c r="AO19" s="169">
        <v>19</v>
      </c>
      <c r="AP19" s="169">
        <v>1260.6382978723407</v>
      </c>
      <c r="AQ19" s="169">
        <v>66.349384098544249</v>
      </c>
      <c r="AR19" s="197">
        <f t="shared" si="5"/>
        <v>20</v>
      </c>
      <c r="AS19" s="432"/>
      <c r="AT19" s="169">
        <v>19</v>
      </c>
      <c r="AU19" s="169">
        <v>1273.5483870967744</v>
      </c>
      <c r="AV19" s="169">
        <v>67.028862478777597</v>
      </c>
      <c r="AW19" s="197">
        <f t="shared" si="6"/>
        <v>18</v>
      </c>
      <c r="AX19" s="432"/>
    </row>
    <row r="20" spans="2:50">
      <c r="B20" s="422"/>
      <c r="C20" s="197">
        <v>14</v>
      </c>
      <c r="D20" s="225" t="s">
        <v>283</v>
      </c>
      <c r="E20" s="169">
        <v>19</v>
      </c>
      <c r="F20" s="197">
        <v>1636</v>
      </c>
      <c r="G20" s="195">
        <v>86.10526315789474</v>
      </c>
      <c r="H20" s="429"/>
      <c r="I20" s="169">
        <f t="shared" si="7"/>
        <v>19</v>
      </c>
      <c r="J20" s="169">
        <f t="shared" si="7"/>
        <v>1307.438353514101</v>
      </c>
      <c r="K20" s="195">
        <f t="shared" si="7"/>
        <v>68.812544921794796</v>
      </c>
      <c r="L20" s="429"/>
      <c r="M20" s="196">
        <f>RANK(K20, K$7:$K$36)</f>
        <v>18</v>
      </c>
      <c r="N20" s="423"/>
      <c r="O20" s="423"/>
      <c r="P20" s="169">
        <v>19</v>
      </c>
      <c r="Q20" s="169">
        <v>1287.8260869565204</v>
      </c>
      <c r="R20" s="169">
        <v>67.780320366132656</v>
      </c>
      <c r="S20" s="197">
        <f t="shared" si="0"/>
        <v>20</v>
      </c>
      <c r="T20" s="432"/>
      <c r="U20" s="169">
        <v>19</v>
      </c>
      <c r="V20" s="169">
        <v>1286.3636363636379</v>
      </c>
      <c r="W20" s="169">
        <v>67.703349282296728</v>
      </c>
      <c r="X20" s="197">
        <f t="shared" si="1"/>
        <v>19</v>
      </c>
      <c r="Y20" s="432"/>
      <c r="Z20" s="169">
        <v>19</v>
      </c>
      <c r="AA20" s="169">
        <v>1301.6129032258077</v>
      </c>
      <c r="AB20" s="169">
        <v>68.505942275042514</v>
      </c>
      <c r="AC20" s="197">
        <f t="shared" si="2"/>
        <v>19</v>
      </c>
      <c r="AD20" s="432"/>
      <c r="AE20" s="169">
        <v>19</v>
      </c>
      <c r="AF20" s="169">
        <v>1335.4545454545469</v>
      </c>
      <c r="AG20" s="169">
        <v>70.287081339712998</v>
      </c>
      <c r="AH20" s="197">
        <f t="shared" si="3"/>
        <v>19</v>
      </c>
      <c r="AI20" s="432"/>
      <c r="AJ20" s="169">
        <v>19</v>
      </c>
      <c r="AK20" s="169">
        <v>1329.295774647886</v>
      </c>
      <c r="AL20" s="169">
        <v>69.96293550778347</v>
      </c>
      <c r="AM20" s="197">
        <f t="shared" si="4"/>
        <v>17</v>
      </c>
      <c r="AN20" s="432"/>
      <c r="AO20" s="169">
        <v>19</v>
      </c>
      <c r="AP20" s="169">
        <v>1305.4285714285702</v>
      </c>
      <c r="AQ20" s="169">
        <v>68.706766917293166</v>
      </c>
      <c r="AR20" s="197">
        <f t="shared" si="5"/>
        <v>18</v>
      </c>
      <c r="AS20" s="432"/>
      <c r="AT20" s="169">
        <v>19</v>
      </c>
      <c r="AU20" s="169">
        <v>1306.0869565217379</v>
      </c>
      <c r="AV20" s="169">
        <v>68.741418764301997</v>
      </c>
      <c r="AW20" s="197">
        <f t="shared" si="6"/>
        <v>17</v>
      </c>
      <c r="AX20" s="432"/>
    </row>
    <row r="21" spans="2:50">
      <c r="B21" s="422"/>
      <c r="C21" s="197">
        <v>15</v>
      </c>
      <c r="D21" s="225" t="s">
        <v>284</v>
      </c>
      <c r="E21" s="169">
        <v>20</v>
      </c>
      <c r="F21" s="197">
        <v>1500</v>
      </c>
      <c r="G21" s="195">
        <v>75</v>
      </c>
      <c r="H21" s="429"/>
      <c r="I21" s="169">
        <f t="shared" si="7"/>
        <v>19.571428571428573</v>
      </c>
      <c r="J21" s="169">
        <f t="shared" si="7"/>
        <v>1106.9455259183467</v>
      </c>
      <c r="K21" s="195">
        <f t="shared" si="7"/>
        <v>56.735631638054194</v>
      </c>
      <c r="L21" s="429"/>
      <c r="M21" s="169">
        <f>RANK(K21, K$7:$K$36)</f>
        <v>22</v>
      </c>
      <c r="N21" s="423"/>
      <c r="O21" s="423"/>
      <c r="P21" s="169">
        <v>20</v>
      </c>
      <c r="Q21" s="169">
        <v>1092.58064516129</v>
      </c>
      <c r="R21" s="169">
        <v>54.629032258064498</v>
      </c>
      <c r="S21" s="197">
        <f t="shared" si="0"/>
        <v>24</v>
      </c>
      <c r="T21" s="432"/>
      <c r="U21" s="169">
        <v>20</v>
      </c>
      <c r="V21" s="169">
        <v>1103.9999999999991</v>
      </c>
      <c r="W21" s="169">
        <v>55.199999999999953</v>
      </c>
      <c r="X21" s="197">
        <f t="shared" si="1"/>
        <v>22</v>
      </c>
      <c r="Y21" s="432"/>
      <c r="Z21" s="169">
        <v>20</v>
      </c>
      <c r="AA21" s="169">
        <v>1082.1052631578941</v>
      </c>
      <c r="AB21" s="169">
        <v>54.105263157894704</v>
      </c>
      <c r="AC21" s="197">
        <f t="shared" si="2"/>
        <v>24</v>
      </c>
      <c r="AD21" s="432"/>
      <c r="AE21" s="169">
        <v>20</v>
      </c>
      <c r="AF21" s="169">
        <v>1137.6470588235297</v>
      </c>
      <c r="AG21" s="169">
        <v>56.882352941176485</v>
      </c>
      <c r="AH21" s="197">
        <f t="shared" si="3"/>
        <v>22</v>
      </c>
      <c r="AI21" s="432"/>
      <c r="AJ21" s="169">
        <v>20</v>
      </c>
      <c r="AK21" s="169">
        <v>1122.857142857142</v>
      </c>
      <c r="AL21" s="169">
        <v>56.142857142857096</v>
      </c>
      <c r="AM21" s="197">
        <f t="shared" si="4"/>
        <v>22</v>
      </c>
      <c r="AN21" s="432"/>
      <c r="AO21" s="169">
        <v>20</v>
      </c>
      <c r="AP21" s="169">
        <v>1107.9999999999995</v>
      </c>
      <c r="AQ21" s="169">
        <v>55.399999999999977</v>
      </c>
      <c r="AR21" s="197">
        <f t="shared" si="5"/>
        <v>22</v>
      </c>
      <c r="AS21" s="432"/>
      <c r="AT21" s="169">
        <v>17</v>
      </c>
      <c r="AU21" s="169">
        <v>1101.4285714285722</v>
      </c>
      <c r="AV21" s="169">
        <v>64.789915966386602</v>
      </c>
      <c r="AW21" s="197">
        <f t="shared" si="6"/>
        <v>21</v>
      </c>
      <c r="AX21" s="432"/>
    </row>
    <row r="22" spans="2:50">
      <c r="B22" s="422"/>
      <c r="C22" s="197">
        <v>16</v>
      </c>
      <c r="D22" s="225" t="s">
        <v>285</v>
      </c>
      <c r="E22" s="169">
        <v>18</v>
      </c>
      <c r="F22" s="197">
        <v>1500</v>
      </c>
      <c r="G22" s="195">
        <v>83.333333333333329</v>
      </c>
      <c r="H22" s="429"/>
      <c r="I22" s="169">
        <f t="shared" si="7"/>
        <v>17.285714285714285</v>
      </c>
      <c r="J22" s="169">
        <f t="shared" si="7"/>
        <v>1296.1007251038752</v>
      </c>
      <c r="K22" s="195">
        <f t="shared" si="7"/>
        <v>74.998379039005513</v>
      </c>
      <c r="L22" s="429"/>
      <c r="M22" s="169">
        <f>RANK(K22, K$7:$K$36)</f>
        <v>14</v>
      </c>
      <c r="N22" s="423"/>
      <c r="O22" s="423"/>
      <c r="P22" s="169">
        <v>17</v>
      </c>
      <c r="Q22" s="169">
        <v>1256.5714285714273</v>
      </c>
      <c r="R22" s="169">
        <v>73.915966386554544</v>
      </c>
      <c r="S22" s="197">
        <f t="shared" si="0"/>
        <v>16</v>
      </c>
      <c r="T22" s="432"/>
      <c r="U22" s="169">
        <v>17</v>
      </c>
      <c r="V22" s="169">
        <v>1254.7058823529396</v>
      </c>
      <c r="W22" s="169">
        <v>73.806228373702325</v>
      </c>
      <c r="X22" s="197">
        <f t="shared" si="1"/>
        <v>14</v>
      </c>
      <c r="Y22" s="432"/>
      <c r="Z22" s="169">
        <v>18</v>
      </c>
      <c r="AA22" s="169">
        <v>1340.6249999999982</v>
      </c>
      <c r="AB22" s="169">
        <v>74.479166666666572</v>
      </c>
      <c r="AC22" s="197">
        <f t="shared" si="2"/>
        <v>13</v>
      </c>
      <c r="AD22" s="432"/>
      <c r="AE22" s="169">
        <v>17</v>
      </c>
      <c r="AF22" s="169">
        <v>1290.9090909090892</v>
      </c>
      <c r="AG22" s="169">
        <v>75.93582887700525</v>
      </c>
      <c r="AH22" s="197">
        <f t="shared" si="3"/>
        <v>12</v>
      </c>
      <c r="AI22" s="432"/>
      <c r="AJ22" s="169">
        <v>18</v>
      </c>
      <c r="AK22" s="169">
        <v>1321.538461538461</v>
      </c>
      <c r="AL22" s="169">
        <v>73.418803418803392</v>
      </c>
      <c r="AM22" s="197">
        <f t="shared" si="4"/>
        <v>15</v>
      </c>
      <c r="AN22" s="432"/>
      <c r="AO22" s="169">
        <v>17</v>
      </c>
      <c r="AP22" s="169">
        <v>1303.7837837837828</v>
      </c>
      <c r="AQ22" s="169">
        <v>76.693163751987228</v>
      </c>
      <c r="AR22" s="197">
        <f t="shared" si="5"/>
        <v>8</v>
      </c>
      <c r="AS22" s="432"/>
      <c r="AT22" s="169">
        <v>17</v>
      </c>
      <c r="AU22" s="169">
        <v>1304.5714285714273</v>
      </c>
      <c r="AV22" s="169">
        <v>76.739495798319254</v>
      </c>
      <c r="AW22" s="197">
        <f t="shared" si="6"/>
        <v>11</v>
      </c>
      <c r="AX22" s="432"/>
    </row>
    <row r="23" spans="2:50">
      <c r="B23" s="422"/>
      <c r="C23" s="197">
        <v>17</v>
      </c>
      <c r="D23" s="225" t="s">
        <v>286</v>
      </c>
      <c r="E23" s="169">
        <v>18</v>
      </c>
      <c r="F23" s="197">
        <v>1500</v>
      </c>
      <c r="G23" s="195">
        <v>83.333333333333329</v>
      </c>
      <c r="H23" s="429"/>
      <c r="I23" s="169">
        <f t="shared" si="7"/>
        <v>16.857142857142858</v>
      </c>
      <c r="J23" s="169">
        <f t="shared" si="7"/>
        <v>1314.9835264553969</v>
      </c>
      <c r="K23" s="195">
        <f t="shared" si="7"/>
        <v>78.045792776136054</v>
      </c>
      <c r="L23" s="429"/>
      <c r="M23" s="169">
        <f>RANK(K23, K$7:$K$36)</f>
        <v>9</v>
      </c>
      <c r="N23" s="423"/>
      <c r="O23" s="423"/>
      <c r="P23" s="169">
        <v>17</v>
      </c>
      <c r="Q23" s="169">
        <v>1328.4210526315801</v>
      </c>
      <c r="R23" s="169">
        <v>78.142414860681185</v>
      </c>
      <c r="S23" s="197">
        <f t="shared" si="0"/>
        <v>10</v>
      </c>
      <c r="T23" s="432"/>
      <c r="U23" s="169">
        <v>17</v>
      </c>
      <c r="V23" s="169">
        <v>1330.0000000000007</v>
      </c>
      <c r="W23" s="169">
        <v>78.235294117647101</v>
      </c>
      <c r="X23" s="197">
        <f t="shared" si="1"/>
        <v>9</v>
      </c>
      <c r="Y23" s="432"/>
      <c r="Z23" s="169">
        <v>17</v>
      </c>
      <c r="AA23" s="169">
        <v>1330.3846153846162</v>
      </c>
      <c r="AB23" s="169">
        <v>78.257918552036244</v>
      </c>
      <c r="AC23" s="197">
        <f t="shared" si="2"/>
        <v>9</v>
      </c>
      <c r="AD23" s="432"/>
      <c r="AE23" s="169">
        <v>17</v>
      </c>
      <c r="AF23" s="169">
        <v>1320.0000000000007</v>
      </c>
      <c r="AG23" s="169">
        <v>77.647058823529449</v>
      </c>
      <c r="AH23" s="197">
        <f t="shared" si="3"/>
        <v>9</v>
      </c>
      <c r="AI23" s="432"/>
      <c r="AJ23" s="169">
        <v>17</v>
      </c>
      <c r="AK23" s="169">
        <v>1280.3076923076937</v>
      </c>
      <c r="AL23" s="169">
        <v>75.312217194570223</v>
      </c>
      <c r="AM23" s="197">
        <f t="shared" si="4"/>
        <v>12</v>
      </c>
      <c r="AN23" s="432"/>
      <c r="AO23" s="169">
        <v>17</v>
      </c>
      <c r="AP23" s="169">
        <v>1294.7368421052643</v>
      </c>
      <c r="AQ23" s="169">
        <v>76.160990712074366</v>
      </c>
      <c r="AR23" s="197">
        <f t="shared" si="5"/>
        <v>9</v>
      </c>
      <c r="AS23" s="432"/>
      <c r="AT23" s="169">
        <v>16</v>
      </c>
      <c r="AU23" s="169">
        <v>1321.0344827586216</v>
      </c>
      <c r="AV23" s="169">
        <v>82.56465517241385</v>
      </c>
      <c r="AW23" s="197">
        <f t="shared" si="6"/>
        <v>5</v>
      </c>
      <c r="AX23" s="432"/>
    </row>
    <row r="24" spans="2:50">
      <c r="B24" s="422"/>
      <c r="C24" s="197">
        <v>18</v>
      </c>
      <c r="D24" s="225" t="s">
        <v>287</v>
      </c>
      <c r="E24" s="169">
        <v>17</v>
      </c>
      <c r="F24" s="197">
        <v>1440</v>
      </c>
      <c r="G24" s="195">
        <v>84.705882352941174</v>
      </c>
      <c r="H24" s="429"/>
      <c r="I24" s="169">
        <f t="shared" si="7"/>
        <v>17.857142857142858</v>
      </c>
      <c r="J24" s="169">
        <f t="shared" si="7"/>
        <v>1370.6607332930205</v>
      </c>
      <c r="K24" s="195">
        <f t="shared" si="7"/>
        <v>76.808882942049223</v>
      </c>
      <c r="L24" s="429"/>
      <c r="M24" s="169">
        <f>RANK(K24, K$7:$K$36)</f>
        <v>10</v>
      </c>
      <c r="N24" s="423"/>
      <c r="O24" s="423"/>
      <c r="P24" s="169">
        <v>18</v>
      </c>
      <c r="Q24" s="169">
        <v>1386.9230769230762</v>
      </c>
      <c r="R24" s="169">
        <v>77.051282051282016</v>
      </c>
      <c r="S24" s="197">
        <f t="shared" si="0"/>
        <v>12</v>
      </c>
      <c r="T24" s="432"/>
      <c r="U24" s="169">
        <v>18</v>
      </c>
      <c r="V24" s="169">
        <v>1368.4615384615377</v>
      </c>
      <c r="W24" s="169">
        <v>76.025641025640979</v>
      </c>
      <c r="X24" s="197">
        <f t="shared" si="1"/>
        <v>13</v>
      </c>
      <c r="Y24" s="432"/>
      <c r="Z24" s="169">
        <v>18</v>
      </c>
      <c r="AA24" s="169">
        <v>1348.8607594936702</v>
      </c>
      <c r="AB24" s="169">
        <v>74.936708860759452</v>
      </c>
      <c r="AC24" s="197">
        <f t="shared" si="2"/>
        <v>11</v>
      </c>
      <c r="AD24" s="432"/>
      <c r="AE24" s="169">
        <v>18</v>
      </c>
      <c r="AF24" s="169">
        <v>1367.5324675324669</v>
      </c>
      <c r="AG24" s="169">
        <v>75.974025974025935</v>
      </c>
      <c r="AH24" s="197">
        <f t="shared" si="3"/>
        <v>11</v>
      </c>
      <c r="AI24" s="432"/>
      <c r="AJ24" s="169">
        <v>18</v>
      </c>
      <c r="AK24" s="169">
        <v>1358.5714285714282</v>
      </c>
      <c r="AL24" s="169">
        <v>75.476190476190453</v>
      </c>
      <c r="AM24" s="197">
        <f t="shared" si="4"/>
        <v>10</v>
      </c>
      <c r="AN24" s="432"/>
      <c r="AO24" s="169">
        <v>18</v>
      </c>
      <c r="AP24" s="169">
        <v>1348.2758620689651</v>
      </c>
      <c r="AQ24" s="169">
        <v>74.904214559386958</v>
      </c>
      <c r="AR24" s="197">
        <f t="shared" si="5"/>
        <v>13</v>
      </c>
      <c r="AS24" s="432"/>
      <c r="AT24" s="169">
        <v>17</v>
      </c>
      <c r="AU24" s="169">
        <v>1415.9999999999995</v>
      </c>
      <c r="AV24" s="169">
        <v>83.294117647058798</v>
      </c>
      <c r="AW24" s="197">
        <f t="shared" si="6"/>
        <v>4</v>
      </c>
      <c r="AX24" s="432"/>
    </row>
    <row r="25" spans="2:50">
      <c r="B25" s="422"/>
      <c r="C25" s="197">
        <v>19</v>
      </c>
      <c r="D25" s="225" t="s">
        <v>288</v>
      </c>
      <c r="E25" s="169">
        <v>15</v>
      </c>
      <c r="F25" s="197">
        <v>1440</v>
      </c>
      <c r="G25" s="195">
        <v>96</v>
      </c>
      <c r="H25" s="429"/>
      <c r="I25" s="169">
        <f t="shared" si="7"/>
        <v>15.285714285714286</v>
      </c>
      <c r="J25" s="169">
        <f t="shared" si="7"/>
        <v>1304.8049449287926</v>
      </c>
      <c r="K25" s="195">
        <f t="shared" si="7"/>
        <v>85.48559576836206</v>
      </c>
      <c r="L25" s="429"/>
      <c r="M25" s="169">
        <f>RANK(K25, K$7:$K$36)</f>
        <v>4</v>
      </c>
      <c r="N25" s="423"/>
      <c r="O25" s="423"/>
      <c r="P25" s="169">
        <v>15</v>
      </c>
      <c r="Q25" s="169">
        <v>1297.0000000000014</v>
      </c>
      <c r="R25" s="169">
        <v>86.466666666666754</v>
      </c>
      <c r="S25" s="197">
        <f t="shared" si="0"/>
        <v>4</v>
      </c>
      <c r="T25" s="432"/>
      <c r="U25" s="169">
        <v>15</v>
      </c>
      <c r="V25" s="169">
        <v>1296.0000000000011</v>
      </c>
      <c r="W25" s="169">
        <v>86.400000000000077</v>
      </c>
      <c r="X25" s="197">
        <f t="shared" si="1"/>
        <v>4</v>
      </c>
      <c r="Y25" s="432"/>
      <c r="Z25" s="169">
        <v>15</v>
      </c>
      <c r="AA25" s="169">
        <v>1288.5245901639357</v>
      </c>
      <c r="AB25" s="169">
        <v>85.901639344262378</v>
      </c>
      <c r="AC25" s="197">
        <f t="shared" si="2"/>
        <v>4</v>
      </c>
      <c r="AD25" s="432"/>
      <c r="AE25" s="169">
        <v>15</v>
      </c>
      <c r="AF25" s="169">
        <v>1288.5245901639357</v>
      </c>
      <c r="AG25" s="169">
        <v>85.901639344262378</v>
      </c>
      <c r="AH25" s="197">
        <f t="shared" si="3"/>
        <v>4</v>
      </c>
      <c r="AI25" s="432"/>
      <c r="AJ25" s="169">
        <v>15</v>
      </c>
      <c r="AK25" s="169">
        <v>1298.8235294117662</v>
      </c>
      <c r="AL25" s="169">
        <v>86.588235294117752</v>
      </c>
      <c r="AM25" s="197">
        <f t="shared" si="4"/>
        <v>4</v>
      </c>
      <c r="AN25" s="432"/>
      <c r="AO25" s="169">
        <v>15</v>
      </c>
      <c r="AP25" s="169">
        <v>1324.761904761906</v>
      </c>
      <c r="AQ25" s="169">
        <v>88.317460317460402</v>
      </c>
      <c r="AR25" s="197">
        <f t="shared" si="5"/>
        <v>4</v>
      </c>
      <c r="AS25" s="432"/>
      <c r="AT25" s="169">
        <v>17</v>
      </c>
      <c r="AU25" s="169">
        <v>1340.0000000000014</v>
      </c>
      <c r="AV25" s="169">
        <v>78.823529411764781</v>
      </c>
      <c r="AW25" s="197">
        <f t="shared" si="6"/>
        <v>7</v>
      </c>
      <c r="AX25" s="432"/>
    </row>
    <row r="26" spans="2:50">
      <c r="B26" s="422"/>
      <c r="C26" s="197">
        <v>20</v>
      </c>
      <c r="D26" s="225" t="s">
        <v>289</v>
      </c>
      <c r="E26" s="169">
        <v>17</v>
      </c>
      <c r="F26" s="197">
        <v>1440</v>
      </c>
      <c r="G26" s="195">
        <v>84.705882352941174</v>
      </c>
      <c r="H26" s="429"/>
      <c r="I26" s="169">
        <f t="shared" si="7"/>
        <v>17</v>
      </c>
      <c r="J26" s="169">
        <f t="shared" si="7"/>
        <v>1369.6320108403056</v>
      </c>
      <c r="K26" s="195">
        <f t="shared" si="7"/>
        <v>80.566588872959159</v>
      </c>
      <c r="L26" s="429"/>
      <c r="M26" s="169">
        <f>RANK(K26, K$7:$K$36)</f>
        <v>6</v>
      </c>
      <c r="N26" s="423"/>
      <c r="O26" s="423"/>
      <c r="P26" s="169">
        <v>17</v>
      </c>
      <c r="Q26" s="169">
        <v>1346.1111111111118</v>
      </c>
      <c r="R26" s="169">
        <v>79.183006535947754</v>
      </c>
      <c r="S26" s="197">
        <f t="shared" si="0"/>
        <v>8</v>
      </c>
      <c r="T26" s="432"/>
      <c r="U26" s="169">
        <v>17</v>
      </c>
      <c r="V26" s="169">
        <v>1375.882352941177</v>
      </c>
      <c r="W26" s="169">
        <v>80.934256055363349</v>
      </c>
      <c r="X26" s="197">
        <f t="shared" si="1"/>
        <v>7</v>
      </c>
      <c r="Y26" s="432"/>
      <c r="Z26" s="169">
        <v>17</v>
      </c>
      <c r="AA26" s="169">
        <v>1382.9411764705887</v>
      </c>
      <c r="AB26" s="169">
        <v>81.34948096885816</v>
      </c>
      <c r="AC26" s="197">
        <f t="shared" si="2"/>
        <v>5</v>
      </c>
      <c r="AD26" s="432"/>
      <c r="AE26" s="169">
        <v>17</v>
      </c>
      <c r="AF26" s="169">
        <v>1338.0645161290324</v>
      </c>
      <c r="AG26" s="169">
        <v>78.709677419354847</v>
      </c>
      <c r="AH26" s="197">
        <f t="shared" si="3"/>
        <v>8</v>
      </c>
      <c r="AI26" s="432"/>
      <c r="AJ26" s="169">
        <v>17</v>
      </c>
      <c r="AK26" s="169">
        <v>1372.5714285714271</v>
      </c>
      <c r="AL26" s="169">
        <v>80.73949579831924</v>
      </c>
      <c r="AM26" s="197">
        <f t="shared" si="4"/>
        <v>7</v>
      </c>
      <c r="AN26" s="432"/>
      <c r="AO26" s="169">
        <v>17</v>
      </c>
      <c r="AP26" s="169">
        <v>1383.8888888888896</v>
      </c>
      <c r="AQ26" s="169">
        <v>81.405228758169983</v>
      </c>
      <c r="AR26" s="197">
        <f t="shared" si="5"/>
        <v>7</v>
      </c>
      <c r="AS26" s="432"/>
      <c r="AT26" s="169">
        <v>17</v>
      </c>
      <c r="AU26" s="169">
        <v>1387.9646017699124</v>
      </c>
      <c r="AV26" s="169">
        <v>81.644976574700735</v>
      </c>
      <c r="AW26" s="197">
        <f t="shared" si="6"/>
        <v>6</v>
      </c>
      <c r="AX26" s="432"/>
    </row>
    <row r="27" spans="2:50">
      <c r="B27" s="422"/>
      <c r="C27" s="197">
        <v>21</v>
      </c>
      <c r="D27" s="225" t="s">
        <v>290</v>
      </c>
      <c r="E27" s="169">
        <v>18</v>
      </c>
      <c r="F27" s="197">
        <v>1636</v>
      </c>
      <c r="G27" s="195">
        <v>90.888888888888886</v>
      </c>
      <c r="H27" s="429"/>
      <c r="I27" s="169">
        <f t="shared" si="7"/>
        <v>16.428571428571427</v>
      </c>
      <c r="J27" s="169">
        <f t="shared" si="7"/>
        <v>1252.3387340202717</v>
      </c>
      <c r="K27" s="195">
        <f t="shared" si="7"/>
        <v>76.272408781969276</v>
      </c>
      <c r="L27" s="429"/>
      <c r="M27" s="169">
        <f>RANK(K27, K$7:$K$36)</f>
        <v>11</v>
      </c>
      <c r="N27" s="423"/>
      <c r="O27" s="423"/>
      <c r="P27" s="169">
        <v>16</v>
      </c>
      <c r="Q27" s="169">
        <v>1256.8421052631554</v>
      </c>
      <c r="R27" s="169">
        <v>78.552631578947214</v>
      </c>
      <c r="S27" s="197">
        <f t="shared" si="0"/>
        <v>9</v>
      </c>
      <c r="T27" s="432"/>
      <c r="U27" s="169">
        <v>16</v>
      </c>
      <c r="V27" s="169">
        <v>1263.1578947368396</v>
      </c>
      <c r="W27" s="169">
        <v>78.947368421052474</v>
      </c>
      <c r="X27" s="197">
        <f t="shared" si="1"/>
        <v>8</v>
      </c>
      <c r="Y27" s="432"/>
      <c r="Z27" s="169">
        <v>17</v>
      </c>
      <c r="AA27" s="169">
        <v>1266.7924528301892</v>
      </c>
      <c r="AB27" s="169">
        <v>74.51720310765819</v>
      </c>
      <c r="AC27" s="197">
        <f t="shared" si="2"/>
        <v>12</v>
      </c>
      <c r="AD27" s="432"/>
      <c r="AE27" s="169">
        <v>16</v>
      </c>
      <c r="AF27" s="169">
        <v>1233.8709677419336</v>
      </c>
      <c r="AG27" s="169">
        <v>77.116935483870847</v>
      </c>
      <c r="AH27" s="197">
        <f t="shared" si="3"/>
        <v>10</v>
      </c>
      <c r="AI27" s="432"/>
      <c r="AJ27" s="169">
        <v>16</v>
      </c>
      <c r="AK27" s="169">
        <v>1206.8571428571415</v>
      </c>
      <c r="AL27" s="169">
        <v>75.428571428571345</v>
      </c>
      <c r="AM27" s="197">
        <f t="shared" si="4"/>
        <v>11</v>
      </c>
      <c r="AN27" s="432"/>
      <c r="AO27" s="169">
        <v>17</v>
      </c>
      <c r="AP27" s="169">
        <v>1233.3333333333312</v>
      </c>
      <c r="AQ27" s="169">
        <v>72.549019607843007</v>
      </c>
      <c r="AR27" s="197">
        <f t="shared" si="5"/>
        <v>14</v>
      </c>
      <c r="AS27" s="432"/>
      <c r="AT27" s="169">
        <v>17</v>
      </c>
      <c r="AU27" s="169">
        <v>1305.5172413793114</v>
      </c>
      <c r="AV27" s="169">
        <v>76.795131845841851</v>
      </c>
      <c r="AW27" s="197">
        <f t="shared" si="6"/>
        <v>10</v>
      </c>
      <c r="AX27" s="432"/>
    </row>
    <row r="28" spans="2:50">
      <c r="B28" s="422"/>
      <c r="C28" s="197">
        <v>22</v>
      </c>
      <c r="D28" s="225" t="s">
        <v>291</v>
      </c>
      <c r="E28" s="169">
        <v>18</v>
      </c>
      <c r="F28" s="197">
        <v>1440</v>
      </c>
      <c r="G28" s="195">
        <v>80</v>
      </c>
      <c r="H28" s="429"/>
      <c r="I28" s="169">
        <f t="shared" si="7"/>
        <v>18</v>
      </c>
      <c r="J28" s="169">
        <f t="shared" si="7"/>
        <v>1291.2785103748251</v>
      </c>
      <c r="K28" s="195">
        <f t="shared" si="7"/>
        <v>71.737695020823622</v>
      </c>
      <c r="L28" s="429"/>
      <c r="M28" s="169">
        <f>RANK(K28, K$7:$K$36)</f>
        <v>16</v>
      </c>
      <c r="N28" s="423"/>
      <c r="O28" s="423"/>
      <c r="P28" s="169">
        <v>18</v>
      </c>
      <c r="Q28" s="169">
        <v>1288.6046511627906</v>
      </c>
      <c r="R28" s="169">
        <v>71.589147286821699</v>
      </c>
      <c r="S28" s="197">
        <f t="shared" si="0"/>
        <v>17</v>
      </c>
      <c r="T28" s="432"/>
      <c r="U28" s="169">
        <v>18</v>
      </c>
      <c r="V28" s="169">
        <v>1287.8571428571424</v>
      </c>
      <c r="W28" s="169">
        <v>71.547619047619023</v>
      </c>
      <c r="X28" s="197">
        <f t="shared" si="1"/>
        <v>16</v>
      </c>
      <c r="Y28" s="432"/>
      <c r="Z28" s="169">
        <v>18</v>
      </c>
      <c r="AA28" s="169">
        <v>1285.4999999999995</v>
      </c>
      <c r="AB28" s="169">
        <v>71.416666666666643</v>
      </c>
      <c r="AC28" s="197">
        <f t="shared" si="2"/>
        <v>16</v>
      </c>
      <c r="AD28" s="432"/>
      <c r="AE28" s="169">
        <v>18</v>
      </c>
      <c r="AF28" s="169">
        <v>1295.555555555555</v>
      </c>
      <c r="AG28" s="169">
        <v>71.975308641975275</v>
      </c>
      <c r="AH28" s="197">
        <f t="shared" si="3"/>
        <v>16</v>
      </c>
      <c r="AI28" s="432"/>
      <c r="AJ28" s="169">
        <v>18</v>
      </c>
      <c r="AK28" s="169">
        <v>1290.6382978723407</v>
      </c>
      <c r="AL28" s="169">
        <v>71.702127659574487</v>
      </c>
      <c r="AM28" s="197">
        <f t="shared" si="4"/>
        <v>16</v>
      </c>
      <c r="AN28" s="432"/>
      <c r="AO28" s="169">
        <v>18</v>
      </c>
      <c r="AP28" s="169">
        <v>1289.6703296703295</v>
      </c>
      <c r="AQ28" s="169">
        <v>71.648351648351635</v>
      </c>
      <c r="AR28" s="197">
        <f t="shared" si="5"/>
        <v>15</v>
      </c>
      <c r="AS28" s="432"/>
      <c r="AT28" s="169">
        <v>18</v>
      </c>
      <c r="AU28" s="169">
        <v>1301.1235955056179</v>
      </c>
      <c r="AV28" s="169">
        <v>72.284644194756552</v>
      </c>
      <c r="AW28" s="197">
        <f t="shared" si="6"/>
        <v>15</v>
      </c>
      <c r="AX28" s="432"/>
    </row>
    <row r="29" spans="2:50">
      <c r="B29" s="422"/>
      <c r="C29" s="197">
        <v>23</v>
      </c>
      <c r="D29" s="225" t="s">
        <v>292</v>
      </c>
      <c r="E29" s="169">
        <v>17</v>
      </c>
      <c r="F29" s="197">
        <v>1500</v>
      </c>
      <c r="G29" s="195">
        <v>88.235294117647058</v>
      </c>
      <c r="H29" s="429"/>
      <c r="I29" s="169">
        <f t="shared" si="7"/>
        <v>16.142857142857142</v>
      </c>
      <c r="J29" s="169">
        <f t="shared" si="7"/>
        <v>1101.5427170868386</v>
      </c>
      <c r="K29" s="195">
        <f t="shared" si="7"/>
        <v>68.273284313725739</v>
      </c>
      <c r="L29" s="429"/>
      <c r="M29" s="169">
        <f>RANK(K29, K$7:$K$36)</f>
        <v>19</v>
      </c>
      <c r="N29" s="423"/>
      <c r="O29" s="423"/>
      <c r="P29" s="169">
        <v>16</v>
      </c>
      <c r="Q29" s="169">
        <v>1110.0000000000039</v>
      </c>
      <c r="R29" s="169">
        <v>69.375000000000242</v>
      </c>
      <c r="S29" s="197">
        <f t="shared" si="0"/>
        <v>18</v>
      </c>
      <c r="T29" s="432"/>
      <c r="U29" s="169">
        <v>16</v>
      </c>
      <c r="V29" s="169">
        <v>1065.8823529411804</v>
      </c>
      <c r="W29" s="169">
        <v>66.617647058823778</v>
      </c>
      <c r="X29" s="197">
        <f t="shared" si="1"/>
        <v>20</v>
      </c>
      <c r="Y29" s="432"/>
      <c r="Z29" s="169">
        <v>16</v>
      </c>
      <c r="AA29" s="169">
        <v>1108.0000000000039</v>
      </c>
      <c r="AB29" s="169">
        <v>69.250000000000242</v>
      </c>
      <c r="AC29" s="197">
        <f t="shared" si="2"/>
        <v>17</v>
      </c>
      <c r="AD29" s="432"/>
      <c r="AE29" s="169">
        <v>16</v>
      </c>
      <c r="AF29" s="169">
        <v>1125.0000000000041</v>
      </c>
      <c r="AG29" s="169">
        <v>70.312500000000256</v>
      </c>
      <c r="AH29" s="197">
        <f t="shared" si="3"/>
        <v>17</v>
      </c>
      <c r="AI29" s="432"/>
      <c r="AJ29" s="169">
        <v>16</v>
      </c>
      <c r="AK29" s="169">
        <v>1104.0000000000039</v>
      </c>
      <c r="AL29" s="169">
        <v>69.000000000000242</v>
      </c>
      <c r="AM29" s="197">
        <f t="shared" si="4"/>
        <v>18</v>
      </c>
      <c r="AN29" s="432"/>
      <c r="AO29" s="169">
        <v>16</v>
      </c>
      <c r="AP29" s="169">
        <v>1106.6666666666706</v>
      </c>
      <c r="AQ29" s="169">
        <v>69.166666666666913</v>
      </c>
      <c r="AR29" s="197">
        <f t="shared" si="5"/>
        <v>17</v>
      </c>
      <c r="AS29" s="432"/>
      <c r="AT29" s="169">
        <v>17</v>
      </c>
      <c r="AU29" s="169">
        <v>1091.2500000000039</v>
      </c>
      <c r="AV29" s="169">
        <v>64.191176470588459</v>
      </c>
      <c r="AW29" s="197">
        <f t="shared" si="6"/>
        <v>22</v>
      </c>
      <c r="AX29" s="432"/>
    </row>
    <row r="30" spans="2:50">
      <c r="B30" s="422"/>
      <c r="C30" s="197">
        <v>24</v>
      </c>
      <c r="D30" s="225" t="s">
        <v>293</v>
      </c>
      <c r="E30" s="169">
        <v>18</v>
      </c>
      <c r="F30" s="197">
        <v>1500</v>
      </c>
      <c r="G30" s="195">
        <v>83.333333333333329</v>
      </c>
      <c r="H30" s="429"/>
      <c r="I30" s="169">
        <f t="shared" si="7"/>
        <v>18</v>
      </c>
      <c r="J30" s="169">
        <f t="shared" si="7"/>
        <v>1323.6547138340102</v>
      </c>
      <c r="K30" s="195">
        <f t="shared" si="7"/>
        <v>73.536372990778347</v>
      </c>
      <c r="L30" s="429"/>
      <c r="M30" s="169">
        <f>RANK(K30, K$7:$K$36)</f>
        <v>15</v>
      </c>
      <c r="N30" s="423"/>
      <c r="O30" s="423"/>
      <c r="P30" s="169">
        <v>18</v>
      </c>
      <c r="Q30" s="169">
        <v>1330.6304347826087</v>
      </c>
      <c r="R30" s="169">
        <v>73.923913043478265</v>
      </c>
      <c r="S30" s="197">
        <f t="shared" si="0"/>
        <v>15</v>
      </c>
      <c r="T30" s="432"/>
      <c r="U30" s="169">
        <v>18</v>
      </c>
      <c r="V30" s="169">
        <v>1285.5445544554461</v>
      </c>
      <c r="W30" s="169">
        <v>71.419141914191457</v>
      </c>
      <c r="X30" s="197">
        <f t="shared" si="1"/>
        <v>17</v>
      </c>
      <c r="Y30" s="432"/>
      <c r="Z30" s="169">
        <v>18</v>
      </c>
      <c r="AA30" s="169">
        <v>1339.5789473684213</v>
      </c>
      <c r="AB30" s="169">
        <v>74.421052631578959</v>
      </c>
      <c r="AC30" s="197">
        <f t="shared" si="2"/>
        <v>14</v>
      </c>
      <c r="AD30" s="432"/>
      <c r="AE30" s="169">
        <v>18</v>
      </c>
      <c r="AF30" s="169">
        <v>1343.5955056179776</v>
      </c>
      <c r="AG30" s="169">
        <v>74.644194756554313</v>
      </c>
      <c r="AH30" s="197">
        <f t="shared" si="3"/>
        <v>14</v>
      </c>
      <c r="AI30" s="432"/>
      <c r="AJ30" s="169">
        <v>18</v>
      </c>
      <c r="AK30" s="169">
        <v>1339.2233009708743</v>
      </c>
      <c r="AL30" s="169">
        <v>74.401294498381901</v>
      </c>
      <c r="AM30" s="197">
        <f t="shared" si="4"/>
        <v>13</v>
      </c>
      <c r="AN30" s="432"/>
      <c r="AO30" s="169">
        <v>18</v>
      </c>
      <c r="AP30" s="169">
        <v>1286.4220183486248</v>
      </c>
      <c r="AQ30" s="169">
        <v>71.467889908256936</v>
      </c>
      <c r="AR30" s="197">
        <f t="shared" si="5"/>
        <v>16</v>
      </c>
      <c r="AS30" s="432"/>
      <c r="AT30" s="169">
        <v>18</v>
      </c>
      <c r="AU30" s="169">
        <v>1340.588235294118</v>
      </c>
      <c r="AV30" s="169">
        <v>74.477124183006552</v>
      </c>
      <c r="AW30" s="197">
        <f t="shared" si="6"/>
        <v>12</v>
      </c>
      <c r="AX30" s="432"/>
    </row>
    <row r="31" spans="2:50">
      <c r="B31" s="422"/>
      <c r="C31" s="197">
        <v>25</v>
      </c>
      <c r="D31" s="225"/>
      <c r="E31" s="169"/>
      <c r="F31" s="197"/>
      <c r="G31" s="195"/>
      <c r="H31" s="429"/>
      <c r="I31" s="169"/>
      <c r="J31" s="169"/>
      <c r="K31" s="195"/>
      <c r="L31" s="429"/>
      <c r="M31" s="169" t="e">
        <f>RANK(K31, K$7:$K$36)</f>
        <v>#N/A</v>
      </c>
      <c r="N31" s="423"/>
      <c r="O31" s="423"/>
      <c r="P31" s="197"/>
      <c r="Q31" s="195"/>
      <c r="R31" s="195"/>
      <c r="S31" s="197" t="e">
        <f t="shared" si="0"/>
        <v>#N/A</v>
      </c>
      <c r="T31" s="432"/>
      <c r="U31" s="197"/>
      <c r="V31" s="195"/>
      <c r="W31" s="195"/>
      <c r="X31" s="197" t="e">
        <f t="shared" si="1"/>
        <v>#N/A</v>
      </c>
      <c r="Y31" s="432"/>
      <c r="Z31" s="197"/>
      <c r="AA31" s="195"/>
      <c r="AB31" s="195"/>
      <c r="AC31" s="197" t="e">
        <f t="shared" si="2"/>
        <v>#N/A</v>
      </c>
      <c r="AD31" s="432"/>
      <c r="AE31" s="197"/>
      <c r="AF31" s="195"/>
      <c r="AG31" s="195"/>
      <c r="AH31" s="197" t="e">
        <f t="shared" si="3"/>
        <v>#N/A</v>
      </c>
      <c r="AI31" s="432"/>
      <c r="AJ31" s="197"/>
      <c r="AK31" s="195"/>
      <c r="AL31" s="195"/>
      <c r="AM31" s="197" t="e">
        <f t="shared" si="4"/>
        <v>#N/A</v>
      </c>
      <c r="AN31" s="432"/>
      <c r="AO31" s="197"/>
      <c r="AP31" s="195"/>
      <c r="AQ31" s="195"/>
      <c r="AR31" s="197" t="e">
        <f t="shared" si="5"/>
        <v>#N/A</v>
      </c>
      <c r="AS31" s="432"/>
      <c r="AT31" s="197"/>
      <c r="AU31" s="195"/>
      <c r="AV31" s="195"/>
      <c r="AW31" s="197" t="e">
        <f t="shared" si="6"/>
        <v>#N/A</v>
      </c>
      <c r="AX31" s="432"/>
    </row>
    <row r="32" spans="2:50">
      <c r="B32" s="422"/>
      <c r="C32" s="197">
        <v>26</v>
      </c>
      <c r="D32" s="225"/>
      <c r="E32" s="169"/>
      <c r="F32" s="197"/>
      <c r="G32" s="195"/>
      <c r="H32" s="429"/>
      <c r="I32" s="169"/>
      <c r="J32" s="169"/>
      <c r="K32" s="195"/>
      <c r="L32" s="429"/>
      <c r="M32" s="169" t="e">
        <f>RANK(K32, K$7:$K$36)</f>
        <v>#N/A</v>
      </c>
      <c r="N32" s="423"/>
      <c r="O32" s="423"/>
      <c r="P32" s="197"/>
      <c r="Q32" s="195"/>
      <c r="R32" s="195"/>
      <c r="S32" s="197" t="e">
        <f t="shared" si="0"/>
        <v>#N/A</v>
      </c>
      <c r="T32" s="432"/>
      <c r="U32" s="197"/>
      <c r="V32" s="195"/>
      <c r="W32" s="195"/>
      <c r="X32" s="197" t="e">
        <f t="shared" si="1"/>
        <v>#N/A</v>
      </c>
      <c r="Y32" s="432"/>
      <c r="Z32" s="197"/>
      <c r="AA32" s="195"/>
      <c r="AB32" s="195"/>
      <c r="AC32" s="197" t="e">
        <f t="shared" si="2"/>
        <v>#N/A</v>
      </c>
      <c r="AD32" s="432"/>
      <c r="AE32" s="197"/>
      <c r="AF32" s="195"/>
      <c r="AG32" s="195"/>
      <c r="AH32" s="197" t="e">
        <f t="shared" si="3"/>
        <v>#N/A</v>
      </c>
      <c r="AI32" s="432"/>
      <c r="AJ32" s="197"/>
      <c r="AK32" s="195"/>
      <c r="AL32" s="195"/>
      <c r="AM32" s="197" t="e">
        <f t="shared" si="4"/>
        <v>#N/A</v>
      </c>
      <c r="AN32" s="432"/>
      <c r="AO32" s="197"/>
      <c r="AP32" s="195"/>
      <c r="AQ32" s="195"/>
      <c r="AR32" s="197" t="e">
        <f t="shared" si="5"/>
        <v>#N/A</v>
      </c>
      <c r="AS32" s="432"/>
      <c r="AT32" s="197"/>
      <c r="AU32" s="195"/>
      <c r="AV32" s="195"/>
      <c r="AW32" s="197" t="e">
        <f t="shared" si="6"/>
        <v>#N/A</v>
      </c>
      <c r="AX32" s="432"/>
    </row>
    <row r="33" spans="2:50">
      <c r="B33" s="422"/>
      <c r="C33" s="197">
        <v>27</v>
      </c>
      <c r="D33" s="225"/>
      <c r="E33" s="169"/>
      <c r="F33" s="197"/>
      <c r="G33" s="195"/>
      <c r="H33" s="429"/>
      <c r="I33" s="169"/>
      <c r="J33" s="169"/>
      <c r="K33" s="195"/>
      <c r="L33" s="429"/>
      <c r="M33" s="169" t="e">
        <f>RANK(K33, K$7:$K$36)</f>
        <v>#N/A</v>
      </c>
      <c r="N33" s="423"/>
      <c r="O33" s="423"/>
      <c r="P33" s="197"/>
      <c r="Q33" s="195"/>
      <c r="R33" s="195"/>
      <c r="S33" s="197" t="e">
        <f t="shared" si="0"/>
        <v>#N/A</v>
      </c>
      <c r="T33" s="432"/>
      <c r="U33" s="197"/>
      <c r="V33" s="195"/>
      <c r="W33" s="195"/>
      <c r="X33" s="197" t="e">
        <f t="shared" si="1"/>
        <v>#N/A</v>
      </c>
      <c r="Y33" s="432"/>
      <c r="Z33" s="197"/>
      <c r="AA33" s="195"/>
      <c r="AB33" s="195"/>
      <c r="AC33" s="197" t="e">
        <f t="shared" si="2"/>
        <v>#N/A</v>
      </c>
      <c r="AD33" s="432"/>
      <c r="AE33" s="197"/>
      <c r="AF33" s="195"/>
      <c r="AG33" s="195"/>
      <c r="AH33" s="197" t="e">
        <f t="shared" si="3"/>
        <v>#N/A</v>
      </c>
      <c r="AI33" s="432"/>
      <c r="AJ33" s="197"/>
      <c r="AK33" s="195"/>
      <c r="AL33" s="195"/>
      <c r="AM33" s="197" t="e">
        <f t="shared" si="4"/>
        <v>#N/A</v>
      </c>
      <c r="AN33" s="432"/>
      <c r="AO33" s="197"/>
      <c r="AP33" s="195"/>
      <c r="AQ33" s="195"/>
      <c r="AR33" s="197" t="e">
        <f t="shared" si="5"/>
        <v>#N/A</v>
      </c>
      <c r="AS33" s="432"/>
      <c r="AT33" s="197"/>
      <c r="AU33" s="195"/>
      <c r="AV33" s="195"/>
      <c r="AW33" s="197" t="e">
        <f t="shared" si="6"/>
        <v>#N/A</v>
      </c>
      <c r="AX33" s="432"/>
    </row>
    <row r="34" spans="2:50">
      <c r="B34" s="422"/>
      <c r="C34" s="197">
        <v>28</v>
      </c>
      <c r="D34" s="225"/>
      <c r="E34" s="169"/>
      <c r="F34" s="197"/>
      <c r="G34" s="195"/>
      <c r="H34" s="429"/>
      <c r="I34" s="169"/>
      <c r="J34" s="169"/>
      <c r="K34" s="195"/>
      <c r="L34" s="429"/>
      <c r="M34" s="169" t="e">
        <f>RANK(K34, K$7:$K$36)</f>
        <v>#N/A</v>
      </c>
      <c r="N34" s="423"/>
      <c r="O34" s="423"/>
      <c r="P34" s="197"/>
      <c r="Q34" s="195"/>
      <c r="R34" s="195"/>
      <c r="S34" s="197" t="e">
        <f t="shared" si="0"/>
        <v>#N/A</v>
      </c>
      <c r="T34" s="432"/>
      <c r="U34" s="197"/>
      <c r="V34" s="195"/>
      <c r="W34" s="195"/>
      <c r="X34" s="197" t="e">
        <f t="shared" si="1"/>
        <v>#N/A</v>
      </c>
      <c r="Y34" s="432"/>
      <c r="Z34" s="197"/>
      <c r="AA34" s="195"/>
      <c r="AB34" s="195"/>
      <c r="AC34" s="197" t="e">
        <f t="shared" si="2"/>
        <v>#N/A</v>
      </c>
      <c r="AD34" s="432"/>
      <c r="AE34" s="197"/>
      <c r="AF34" s="195"/>
      <c r="AG34" s="195"/>
      <c r="AH34" s="197" t="e">
        <f t="shared" si="3"/>
        <v>#N/A</v>
      </c>
      <c r="AI34" s="432"/>
      <c r="AJ34" s="197"/>
      <c r="AK34" s="195"/>
      <c r="AL34" s="195"/>
      <c r="AM34" s="197" t="e">
        <f t="shared" si="4"/>
        <v>#N/A</v>
      </c>
      <c r="AN34" s="432"/>
      <c r="AO34" s="197"/>
      <c r="AP34" s="195"/>
      <c r="AQ34" s="195"/>
      <c r="AR34" s="197" t="e">
        <f t="shared" si="5"/>
        <v>#N/A</v>
      </c>
      <c r="AS34" s="432"/>
      <c r="AT34" s="197"/>
      <c r="AU34" s="195"/>
      <c r="AV34" s="195"/>
      <c r="AW34" s="197" t="e">
        <f t="shared" si="6"/>
        <v>#N/A</v>
      </c>
      <c r="AX34" s="432"/>
    </row>
    <row r="35" spans="2:50">
      <c r="B35" s="422"/>
      <c r="C35" s="197">
        <v>29</v>
      </c>
      <c r="D35" s="225"/>
      <c r="E35" s="169"/>
      <c r="F35" s="197"/>
      <c r="G35" s="195"/>
      <c r="H35" s="429"/>
      <c r="I35" s="197"/>
      <c r="J35" s="197"/>
      <c r="K35" s="197"/>
      <c r="L35" s="429"/>
      <c r="M35" s="169" t="e">
        <f>RANK(K35, K$7:$K$36)</f>
        <v>#N/A</v>
      </c>
      <c r="N35" s="423"/>
      <c r="O35" s="423"/>
      <c r="P35" s="197"/>
      <c r="Q35" s="197"/>
      <c r="R35" s="197"/>
      <c r="S35" s="197" t="e">
        <f t="shared" si="0"/>
        <v>#N/A</v>
      </c>
      <c r="T35" s="432"/>
      <c r="U35" s="197"/>
      <c r="V35" s="197"/>
      <c r="W35" s="197"/>
      <c r="X35" s="197" t="e">
        <f t="shared" si="1"/>
        <v>#N/A</v>
      </c>
      <c r="Y35" s="432"/>
      <c r="Z35" s="197"/>
      <c r="AA35" s="197"/>
      <c r="AB35" s="197"/>
      <c r="AC35" s="197" t="e">
        <f t="shared" si="2"/>
        <v>#N/A</v>
      </c>
      <c r="AD35" s="432"/>
      <c r="AE35" s="197"/>
      <c r="AF35" s="197"/>
      <c r="AG35" s="197"/>
      <c r="AH35" s="197" t="e">
        <f t="shared" si="3"/>
        <v>#N/A</v>
      </c>
      <c r="AI35" s="432"/>
      <c r="AJ35" s="197"/>
      <c r="AK35" s="197"/>
      <c r="AL35" s="197"/>
      <c r="AM35" s="197" t="e">
        <f t="shared" si="4"/>
        <v>#N/A</v>
      </c>
      <c r="AN35" s="432"/>
      <c r="AO35" s="197"/>
      <c r="AP35" s="197"/>
      <c r="AQ35" s="197"/>
      <c r="AR35" s="197" t="e">
        <f t="shared" si="5"/>
        <v>#N/A</v>
      </c>
      <c r="AS35" s="432"/>
      <c r="AT35" s="197"/>
      <c r="AU35" s="197"/>
      <c r="AV35" s="197"/>
      <c r="AW35" s="197" t="e">
        <f t="shared" si="6"/>
        <v>#N/A</v>
      </c>
      <c r="AX35" s="432"/>
    </row>
    <row r="36" spans="2:50">
      <c r="B36" s="422"/>
      <c r="C36" s="197">
        <v>30</v>
      </c>
      <c r="D36" s="225"/>
      <c r="E36" s="169"/>
      <c r="F36" s="197"/>
      <c r="G36" s="195"/>
      <c r="H36" s="430"/>
      <c r="I36" s="197"/>
      <c r="J36" s="197"/>
      <c r="K36" s="197"/>
      <c r="L36" s="430"/>
      <c r="M36" s="169" t="e">
        <f>RANK(K36, K$7:$K$36)</f>
        <v>#N/A</v>
      </c>
      <c r="N36" s="423"/>
      <c r="O36" s="423"/>
      <c r="P36" s="197"/>
      <c r="Q36" s="197"/>
      <c r="R36" s="197"/>
      <c r="S36" s="197" t="e">
        <f t="shared" si="0"/>
        <v>#N/A</v>
      </c>
      <c r="T36" s="432"/>
      <c r="U36" s="197"/>
      <c r="V36" s="197"/>
      <c r="W36" s="197"/>
      <c r="X36" s="197" t="e">
        <f t="shared" si="1"/>
        <v>#N/A</v>
      </c>
      <c r="Y36" s="432"/>
      <c r="Z36" s="197"/>
      <c r="AA36" s="197"/>
      <c r="AB36" s="197"/>
      <c r="AC36" s="197" t="e">
        <f t="shared" si="2"/>
        <v>#N/A</v>
      </c>
      <c r="AD36" s="432"/>
      <c r="AE36" s="197"/>
      <c r="AF36" s="197"/>
      <c r="AG36" s="197"/>
      <c r="AH36" s="197" t="e">
        <f t="shared" si="3"/>
        <v>#N/A</v>
      </c>
      <c r="AI36" s="432"/>
      <c r="AJ36" s="197"/>
      <c r="AK36" s="197"/>
      <c r="AL36" s="197"/>
      <c r="AM36" s="197" t="e">
        <f t="shared" si="4"/>
        <v>#N/A</v>
      </c>
      <c r="AN36" s="432"/>
      <c r="AO36" s="197"/>
      <c r="AP36" s="197"/>
      <c r="AQ36" s="197"/>
      <c r="AR36" s="197" t="e">
        <f t="shared" si="5"/>
        <v>#N/A</v>
      </c>
      <c r="AS36" s="432"/>
      <c r="AT36" s="197"/>
      <c r="AU36" s="197"/>
      <c r="AV36" s="197"/>
      <c r="AW36" s="197" t="e">
        <f t="shared" si="6"/>
        <v>#N/A</v>
      </c>
      <c r="AX36" s="432"/>
    </row>
    <row r="37" spans="2:50" ht="15.75">
      <c r="B37" s="424" t="s">
        <v>202</v>
      </c>
      <c r="C37" s="425"/>
      <c r="D37" s="425"/>
      <c r="E37" s="425"/>
      <c r="F37" s="425"/>
      <c r="G37" s="425"/>
      <c r="H37" s="425"/>
      <c r="I37" s="198"/>
      <c r="J37" s="198"/>
      <c r="K37" s="198"/>
      <c r="L37" s="198"/>
      <c r="M37" s="193"/>
      <c r="N37" s="401" t="s">
        <v>203</v>
      </c>
      <c r="O37" s="401" t="s">
        <v>150</v>
      </c>
      <c r="P37" s="419">
        <f>AT2+1</f>
        <v>45902</v>
      </c>
      <c r="Q37" s="420"/>
      <c r="R37" s="420"/>
      <c r="S37" s="420"/>
      <c r="T37" s="420"/>
      <c r="U37" s="421">
        <f>P37+1</f>
        <v>45903</v>
      </c>
      <c r="V37" s="422"/>
      <c r="W37" s="422"/>
      <c r="X37" s="422"/>
      <c r="Y37" s="422"/>
      <c r="Z37" s="421">
        <f>U37+1</f>
        <v>45904</v>
      </c>
      <c r="AA37" s="422"/>
      <c r="AB37" s="422"/>
      <c r="AC37" s="422"/>
      <c r="AD37" s="422"/>
      <c r="AE37" s="421">
        <f>Z37+1</f>
        <v>45905</v>
      </c>
      <c r="AF37" s="422"/>
      <c r="AG37" s="422"/>
      <c r="AH37" s="422"/>
      <c r="AI37" s="422"/>
      <c r="AJ37" s="421">
        <f>AE37+1</f>
        <v>45906</v>
      </c>
      <c r="AK37" s="422"/>
      <c r="AL37" s="422"/>
      <c r="AM37" s="422"/>
      <c r="AN37" s="422"/>
      <c r="AO37" s="421">
        <f>AJ37+1</f>
        <v>45907</v>
      </c>
      <c r="AP37" s="422"/>
      <c r="AQ37" s="422"/>
      <c r="AR37" s="422"/>
      <c r="AS37" s="422"/>
      <c r="AT37" s="421">
        <f>AO37+1</f>
        <v>45908</v>
      </c>
      <c r="AU37" s="422"/>
      <c r="AV37" s="422"/>
      <c r="AW37" s="422"/>
      <c r="AX37" s="422"/>
    </row>
    <row r="38" spans="2:50" ht="15.75">
      <c r="B38" s="426"/>
      <c r="C38" s="426"/>
      <c r="D38" s="426"/>
      <c r="E38" s="426"/>
      <c r="F38" s="426"/>
      <c r="G38" s="426"/>
      <c r="H38" s="426"/>
      <c r="I38" s="199"/>
      <c r="J38" s="199"/>
      <c r="K38" s="199"/>
      <c r="L38" s="199"/>
      <c r="M38" s="194"/>
      <c r="N38" s="403"/>
      <c r="O38" s="403"/>
      <c r="P38" s="421" t="s">
        <v>204</v>
      </c>
      <c r="Q38" s="422"/>
      <c r="R38" s="422"/>
      <c r="S38" s="422"/>
      <c r="T38" s="422"/>
      <c r="U38" s="421" t="s">
        <v>205</v>
      </c>
      <c r="V38" s="422"/>
      <c r="W38" s="422"/>
      <c r="X38" s="422"/>
      <c r="Y38" s="422"/>
      <c r="Z38" s="421" t="s">
        <v>206</v>
      </c>
      <c r="AA38" s="422"/>
      <c r="AB38" s="422"/>
      <c r="AC38" s="422"/>
      <c r="AD38" s="422"/>
      <c r="AE38" s="421" t="s">
        <v>207</v>
      </c>
      <c r="AF38" s="422"/>
      <c r="AG38" s="422"/>
      <c r="AH38" s="422"/>
      <c r="AI38" s="422"/>
      <c r="AJ38" s="421" t="s">
        <v>208</v>
      </c>
      <c r="AK38" s="422"/>
      <c r="AL38" s="422"/>
      <c r="AM38" s="422"/>
      <c r="AN38" s="422"/>
      <c r="AO38" s="421" t="s">
        <v>157</v>
      </c>
      <c r="AP38" s="422"/>
      <c r="AQ38" s="422"/>
      <c r="AR38" s="422"/>
      <c r="AS38" s="422"/>
      <c r="AT38" s="421" t="s">
        <v>209</v>
      </c>
      <c r="AU38" s="422"/>
      <c r="AV38" s="422"/>
      <c r="AW38" s="422"/>
      <c r="AX38" s="422"/>
    </row>
    <row r="39" spans="2:50">
      <c r="B39" s="423" t="s">
        <v>210</v>
      </c>
      <c r="C39" s="423" t="s">
        <v>211</v>
      </c>
      <c r="D39" s="423"/>
      <c r="E39" s="423" t="s">
        <v>212</v>
      </c>
      <c r="F39" s="423"/>
      <c r="G39" s="423"/>
      <c r="H39" s="404" t="s">
        <v>213</v>
      </c>
      <c r="I39" s="423" t="s">
        <v>214</v>
      </c>
      <c r="J39" s="423"/>
      <c r="K39" s="423"/>
      <c r="L39" s="404" t="s">
        <v>213</v>
      </c>
      <c r="M39" s="401" t="s">
        <v>215</v>
      </c>
      <c r="N39" s="423"/>
      <c r="O39" s="423" t="s">
        <v>216</v>
      </c>
      <c r="P39" s="413" t="s">
        <v>217</v>
      </c>
      <c r="Q39" s="414"/>
      <c r="R39" s="414"/>
      <c r="S39" s="415"/>
      <c r="T39" s="423" t="s">
        <v>213</v>
      </c>
      <c r="U39" s="413" t="s">
        <v>217</v>
      </c>
      <c r="V39" s="414"/>
      <c r="W39" s="414"/>
      <c r="X39" s="415"/>
      <c r="Y39" s="423" t="s">
        <v>213</v>
      </c>
      <c r="Z39" s="413" t="s">
        <v>217</v>
      </c>
      <c r="AA39" s="414"/>
      <c r="AB39" s="414"/>
      <c r="AC39" s="415"/>
      <c r="AD39" s="423" t="s">
        <v>213</v>
      </c>
      <c r="AE39" s="413" t="s">
        <v>217</v>
      </c>
      <c r="AF39" s="414"/>
      <c r="AG39" s="414"/>
      <c r="AH39" s="415"/>
      <c r="AI39" s="423" t="s">
        <v>213</v>
      </c>
      <c r="AJ39" s="413" t="s">
        <v>217</v>
      </c>
      <c r="AK39" s="414"/>
      <c r="AL39" s="414"/>
      <c r="AM39" s="415"/>
      <c r="AN39" s="423" t="s">
        <v>213</v>
      </c>
      <c r="AO39" s="413" t="s">
        <v>217</v>
      </c>
      <c r="AP39" s="414"/>
      <c r="AQ39" s="414"/>
      <c r="AR39" s="415"/>
      <c r="AS39" s="423" t="s">
        <v>213</v>
      </c>
      <c r="AT39" s="413" t="s">
        <v>217</v>
      </c>
      <c r="AU39" s="414"/>
      <c r="AV39" s="414"/>
      <c r="AW39" s="415"/>
      <c r="AX39" s="423" t="s">
        <v>213</v>
      </c>
    </row>
    <row r="40" spans="2:50">
      <c r="B40" s="423"/>
      <c r="C40" s="423"/>
      <c r="D40" s="423"/>
      <c r="E40" s="423" t="s">
        <v>218</v>
      </c>
      <c r="F40" s="423"/>
      <c r="G40" s="423"/>
      <c r="H40" s="406"/>
      <c r="I40" s="423" t="s">
        <v>218</v>
      </c>
      <c r="J40" s="423"/>
      <c r="K40" s="423"/>
      <c r="L40" s="406"/>
      <c r="M40" s="402"/>
      <c r="N40" s="423"/>
      <c r="O40" s="423"/>
      <c r="P40" s="413" t="s">
        <v>219</v>
      </c>
      <c r="Q40" s="414"/>
      <c r="R40" s="414"/>
      <c r="S40" s="415"/>
      <c r="T40" s="423"/>
      <c r="U40" s="413" t="s">
        <v>219</v>
      </c>
      <c r="V40" s="414"/>
      <c r="W40" s="414"/>
      <c r="X40" s="415"/>
      <c r="Y40" s="423"/>
      <c r="Z40" s="413" t="s">
        <v>219</v>
      </c>
      <c r="AA40" s="414"/>
      <c r="AB40" s="414"/>
      <c r="AC40" s="415"/>
      <c r="AD40" s="423"/>
      <c r="AE40" s="413" t="s">
        <v>219</v>
      </c>
      <c r="AF40" s="414"/>
      <c r="AG40" s="414"/>
      <c r="AH40" s="415"/>
      <c r="AI40" s="423"/>
      <c r="AJ40" s="413" t="s">
        <v>219</v>
      </c>
      <c r="AK40" s="414"/>
      <c r="AL40" s="414"/>
      <c r="AM40" s="415"/>
      <c r="AN40" s="423"/>
      <c r="AO40" s="413" t="s">
        <v>219</v>
      </c>
      <c r="AP40" s="414"/>
      <c r="AQ40" s="414"/>
      <c r="AR40" s="415"/>
      <c r="AS40" s="423"/>
      <c r="AT40" s="413" t="s">
        <v>219</v>
      </c>
      <c r="AU40" s="414"/>
      <c r="AV40" s="414"/>
      <c r="AW40" s="415"/>
      <c r="AX40" s="423"/>
    </row>
    <row r="41" spans="2:50">
      <c r="B41" s="423"/>
      <c r="C41" s="423"/>
      <c r="D41" s="423"/>
      <c r="E41" s="297" t="s">
        <v>220</v>
      </c>
      <c r="F41" s="297" t="s">
        <v>221</v>
      </c>
      <c r="G41" s="297" t="s">
        <v>222</v>
      </c>
      <c r="H41" s="408"/>
      <c r="I41" s="297" t="s">
        <v>220</v>
      </c>
      <c r="J41" s="297" t="s">
        <v>221</v>
      </c>
      <c r="K41" s="297" t="s">
        <v>222</v>
      </c>
      <c r="L41" s="408"/>
      <c r="M41" s="403"/>
      <c r="N41" s="423"/>
      <c r="O41" s="423"/>
      <c r="P41" s="297" t="s">
        <v>220</v>
      </c>
      <c r="Q41" s="297" t="s">
        <v>221</v>
      </c>
      <c r="R41" s="297" t="s">
        <v>222</v>
      </c>
      <c r="S41" s="297" t="s">
        <v>215</v>
      </c>
      <c r="T41" s="423"/>
      <c r="U41" s="297" t="s">
        <v>220</v>
      </c>
      <c r="V41" s="297" t="s">
        <v>221</v>
      </c>
      <c r="W41" s="297" t="s">
        <v>222</v>
      </c>
      <c r="X41" s="297" t="s">
        <v>215</v>
      </c>
      <c r="Y41" s="423"/>
      <c r="Z41" s="297" t="s">
        <v>220</v>
      </c>
      <c r="AA41" s="297" t="s">
        <v>221</v>
      </c>
      <c r="AB41" s="297" t="s">
        <v>222</v>
      </c>
      <c r="AC41" s="297" t="s">
        <v>215</v>
      </c>
      <c r="AD41" s="423"/>
      <c r="AE41" s="297" t="s">
        <v>220</v>
      </c>
      <c r="AF41" s="297" t="s">
        <v>221</v>
      </c>
      <c r="AG41" s="297" t="s">
        <v>222</v>
      </c>
      <c r="AH41" s="297" t="s">
        <v>215</v>
      </c>
      <c r="AI41" s="423"/>
      <c r="AJ41" s="297" t="s">
        <v>220</v>
      </c>
      <c r="AK41" s="297" t="s">
        <v>221</v>
      </c>
      <c r="AL41" s="297" t="s">
        <v>222</v>
      </c>
      <c r="AM41" s="297" t="s">
        <v>215</v>
      </c>
      <c r="AN41" s="423"/>
      <c r="AO41" s="297" t="s">
        <v>220</v>
      </c>
      <c r="AP41" s="297" t="s">
        <v>221</v>
      </c>
      <c r="AQ41" s="297" t="s">
        <v>222</v>
      </c>
      <c r="AR41" s="297" t="s">
        <v>215</v>
      </c>
      <c r="AS41" s="423"/>
      <c r="AT41" s="297" t="s">
        <v>220</v>
      </c>
      <c r="AU41" s="297" t="s">
        <v>221</v>
      </c>
      <c r="AV41" s="297" t="s">
        <v>222</v>
      </c>
      <c r="AW41" s="297" t="s">
        <v>215</v>
      </c>
      <c r="AX41" s="423"/>
    </row>
    <row r="42" spans="2:50">
      <c r="B42" s="423" t="s">
        <v>187</v>
      </c>
      <c r="C42" s="197">
        <v>1</v>
      </c>
      <c r="D42" s="225" t="s">
        <v>270</v>
      </c>
      <c r="E42" s="169">
        <v>5</v>
      </c>
      <c r="F42" s="197">
        <v>1600</v>
      </c>
      <c r="G42" s="195">
        <v>320</v>
      </c>
      <c r="H42" s="428">
        <f>AVERAGE(G42:G71)</f>
        <v>106.45300348911491</v>
      </c>
      <c r="I42" s="169">
        <f>AVERAGE(P42,U42,Z42,AE42,AJ42,AO42,AT42)</f>
        <v>5</v>
      </c>
      <c r="J42" s="169">
        <f>AVERAGE(Q42,V42,AA42,AF42,AK42,AP42,AU42)</f>
        <v>1020.0000000000036</v>
      </c>
      <c r="K42" s="195">
        <f>AVERAGE(R42,W42,AB42,AG42,AL42,AQ42,AV42)</f>
        <v>204.00000000000074</v>
      </c>
      <c r="L42" s="428">
        <f>IFERROR(AVERAGE(K42:K71),"-")</f>
        <v>91.835822087407465</v>
      </c>
      <c r="M42" s="196">
        <f>RANK(K42, K$42:$K$71)</f>
        <v>3</v>
      </c>
      <c r="N42" s="423"/>
      <c r="O42" s="423"/>
      <c r="P42" s="169">
        <v>5</v>
      </c>
      <c r="Q42" s="169">
        <v>1140.0000000000041</v>
      </c>
      <c r="R42" s="169">
        <v>228.00000000000082</v>
      </c>
      <c r="S42" s="197">
        <f t="shared" ref="S42:S71" si="8">RANK(R42, R$42:R$71)</f>
        <v>2</v>
      </c>
      <c r="T42" s="432">
        <f>AVERAGE(R42:R71)</f>
        <v>92.208798167320353</v>
      </c>
      <c r="U42" s="169">
        <v>5</v>
      </c>
      <c r="V42" s="169">
        <v>1080.0000000000039</v>
      </c>
      <c r="W42" s="169">
        <v>216.00000000000077</v>
      </c>
      <c r="X42" s="197">
        <f t="shared" ref="X42:X71" si="9">RANK(W42, W$42:W$71)</f>
        <v>2</v>
      </c>
      <c r="Y42" s="432">
        <f>AVERAGE(W42:W71)</f>
        <v>92.479905204228018</v>
      </c>
      <c r="Z42" s="169">
        <v>5</v>
      </c>
      <c r="AA42" s="169">
        <v>900.00000000000318</v>
      </c>
      <c r="AB42" s="169">
        <v>180.00000000000063</v>
      </c>
      <c r="AC42" s="197">
        <f t="shared" ref="AC42:AC71" si="10">RANK(AB42, AB$42:AB$71)</f>
        <v>3</v>
      </c>
      <c r="AD42" s="432">
        <f>AVERAGE(AB42:AB71)</f>
        <v>90.475791549657899</v>
      </c>
      <c r="AE42" s="169">
        <v>5</v>
      </c>
      <c r="AF42" s="169">
        <v>1110.0000000000039</v>
      </c>
      <c r="AG42" s="169">
        <v>222.00000000000077</v>
      </c>
      <c r="AH42" s="197">
        <f t="shared" ref="AH42:AH71" si="11">RANK(AG42, AG$42:AG$71)</f>
        <v>2</v>
      </c>
      <c r="AI42" s="432">
        <f>AVERAGE(AG42:AG71)</f>
        <v>92.625160220073454</v>
      </c>
      <c r="AJ42" s="169">
        <v>5</v>
      </c>
      <c r="AK42" s="169">
        <v>860.00000000000307</v>
      </c>
      <c r="AL42" s="169">
        <v>172.00000000000063</v>
      </c>
      <c r="AM42" s="197">
        <f t="shared" ref="AM42:AM71" si="12">RANK(AL42, AL$42:AL$71)</f>
        <v>3</v>
      </c>
      <c r="AN42" s="432">
        <f>AVERAGE(AL42:AL71)</f>
        <v>90.401450015029255</v>
      </c>
      <c r="AO42" s="169">
        <v>5</v>
      </c>
      <c r="AP42" s="169">
        <v>1170.0000000000043</v>
      </c>
      <c r="AQ42" s="169">
        <v>234.00000000000085</v>
      </c>
      <c r="AR42" s="197">
        <f t="shared" ref="AR42:AR71" si="13">RANK(AQ42, AQ$42:AQ$71)</f>
        <v>2</v>
      </c>
      <c r="AS42" s="432">
        <f>AVERAGE(AQ42:AQ71)</f>
        <v>95.178614654255796</v>
      </c>
      <c r="AT42" s="169">
        <v>5</v>
      </c>
      <c r="AU42" s="169">
        <v>880.00000000000318</v>
      </c>
      <c r="AV42" s="169">
        <v>176.00000000000063</v>
      </c>
      <c r="AW42" s="197">
        <f t="shared" ref="AW42:AW71" si="14">RANK(AV42, AV$42:AV$71)</f>
        <v>3</v>
      </c>
      <c r="AX42" s="432">
        <f>AVERAGE(AV42:AV71)</f>
        <v>92.181314516332364</v>
      </c>
    </row>
    <row r="43" spans="2:50">
      <c r="B43" s="422"/>
      <c r="C43" s="197">
        <v>2</v>
      </c>
      <c r="D43" s="225" t="s">
        <v>271</v>
      </c>
      <c r="E43" s="169">
        <v>6</v>
      </c>
      <c r="F43" s="197">
        <v>1500</v>
      </c>
      <c r="G43" s="195">
        <v>250</v>
      </c>
      <c r="H43" s="429"/>
      <c r="I43" s="169">
        <f t="shared" ref="I43:I65" si="15">AVERAGE(P43,U43,Z43,AE43,AJ43,AO43,AT43)</f>
        <v>5.7142857142857144</v>
      </c>
      <c r="J43" s="169">
        <f t="shared" ref="J43:J65" si="16">AVERAGE(Q43,V43,AA43,AF43,AK43,AP43,AU43)</f>
        <v>1478.1565832843191</v>
      </c>
      <c r="K43" s="195">
        <f t="shared" ref="K43:K65" si="17">AVERAGE(R43,W43,AB43,AG43,AL43,AQ43,AV43)</f>
        <v>260.47424316334201</v>
      </c>
      <c r="L43" s="429"/>
      <c r="M43" s="196">
        <f>RANK(K43, K$42:$K$71)</f>
        <v>1</v>
      </c>
      <c r="N43" s="423"/>
      <c r="O43" s="423"/>
      <c r="P43" s="169">
        <v>6</v>
      </c>
      <c r="Q43" s="169">
        <v>1443.3799126637555</v>
      </c>
      <c r="R43" s="169">
        <v>240.56331877729258</v>
      </c>
      <c r="S43" s="197">
        <f t="shared" si="8"/>
        <v>1</v>
      </c>
      <c r="T43" s="432"/>
      <c r="U43" s="169">
        <v>6</v>
      </c>
      <c r="V43" s="169">
        <v>1505.435779816514</v>
      </c>
      <c r="W43" s="169">
        <v>250.90596330275233</v>
      </c>
      <c r="X43" s="197">
        <f t="shared" si="9"/>
        <v>1</v>
      </c>
      <c r="Y43" s="432"/>
      <c r="Z43" s="169">
        <v>6</v>
      </c>
      <c r="AA43" s="169">
        <v>1460.4312796208533</v>
      </c>
      <c r="AB43" s="169">
        <v>243.40521327014221</v>
      </c>
      <c r="AC43" s="197">
        <f t="shared" si="10"/>
        <v>1</v>
      </c>
      <c r="AD43" s="432"/>
      <c r="AE43" s="169">
        <v>6</v>
      </c>
      <c r="AF43" s="169">
        <v>1480.7076923076922</v>
      </c>
      <c r="AG43" s="169">
        <v>246.78461538461536</v>
      </c>
      <c r="AH43" s="197">
        <f t="shared" si="11"/>
        <v>1</v>
      </c>
      <c r="AI43" s="432"/>
      <c r="AJ43" s="169">
        <v>6</v>
      </c>
      <c r="AK43" s="169">
        <v>1493.0307692307692</v>
      </c>
      <c r="AL43" s="169">
        <v>248.83846153846153</v>
      </c>
      <c r="AM43" s="197">
        <f t="shared" si="12"/>
        <v>1</v>
      </c>
      <c r="AN43" s="432"/>
      <c r="AO43" s="169">
        <v>5</v>
      </c>
      <c r="AP43" s="169">
        <v>1496.76</v>
      </c>
      <c r="AQ43" s="169">
        <v>299.35199999999998</v>
      </c>
      <c r="AR43" s="197">
        <f t="shared" si="13"/>
        <v>1</v>
      </c>
      <c r="AS43" s="432"/>
      <c r="AT43" s="169">
        <v>5</v>
      </c>
      <c r="AU43" s="169">
        <v>1467.3506493506495</v>
      </c>
      <c r="AV43" s="169">
        <v>293.47012987012988</v>
      </c>
      <c r="AW43" s="197">
        <f t="shared" si="14"/>
        <v>1</v>
      </c>
      <c r="AX43" s="432"/>
    </row>
    <row r="44" spans="2:50">
      <c r="B44" s="422"/>
      <c r="C44" s="197">
        <v>3</v>
      </c>
      <c r="D44" s="225" t="s">
        <v>272</v>
      </c>
      <c r="E44" s="169">
        <v>7</v>
      </c>
      <c r="F44" s="197">
        <v>1500</v>
      </c>
      <c r="G44" s="195">
        <v>214.28571428571428</v>
      </c>
      <c r="H44" s="429"/>
      <c r="I44" s="169">
        <f t="shared" si="15"/>
        <v>7</v>
      </c>
      <c r="J44" s="169">
        <f t="shared" si="16"/>
        <v>1483.7800199025849</v>
      </c>
      <c r="K44" s="195">
        <f t="shared" si="17"/>
        <v>211.96857427179788</v>
      </c>
      <c r="L44" s="429"/>
      <c r="M44" s="196">
        <f>RANK(K44, K$42:$K$71)</f>
        <v>2</v>
      </c>
      <c r="N44" s="423"/>
      <c r="O44" s="423"/>
      <c r="P44" s="169">
        <v>7</v>
      </c>
      <c r="Q44" s="169">
        <v>1473.0612244897957</v>
      </c>
      <c r="R44" s="169">
        <v>210.43731778425652</v>
      </c>
      <c r="S44" s="197">
        <f t="shared" si="8"/>
        <v>3</v>
      </c>
      <c r="T44" s="432"/>
      <c r="U44" s="169">
        <v>7</v>
      </c>
      <c r="V44" s="169">
        <v>1447.2</v>
      </c>
      <c r="W44" s="169">
        <v>206.74285714285716</v>
      </c>
      <c r="X44" s="197">
        <f t="shared" si="9"/>
        <v>3</v>
      </c>
      <c r="Y44" s="432"/>
      <c r="Z44" s="169">
        <v>7</v>
      </c>
      <c r="AA44" s="169">
        <v>1491.5217391304348</v>
      </c>
      <c r="AB44" s="169">
        <v>213.07453416149067</v>
      </c>
      <c r="AC44" s="197">
        <f t="shared" si="10"/>
        <v>2</v>
      </c>
      <c r="AD44" s="432"/>
      <c r="AE44" s="169">
        <v>7</v>
      </c>
      <c r="AF44" s="169">
        <v>1515.1724137931033</v>
      </c>
      <c r="AG44" s="169">
        <v>216.45320197044333</v>
      </c>
      <c r="AH44" s="197">
        <f t="shared" si="11"/>
        <v>3</v>
      </c>
      <c r="AI44" s="432"/>
      <c r="AJ44" s="169">
        <v>7</v>
      </c>
      <c r="AK44" s="169">
        <v>1525.3333333333333</v>
      </c>
      <c r="AL44" s="169">
        <v>217.9047619047619</v>
      </c>
      <c r="AM44" s="197">
        <f t="shared" si="12"/>
        <v>2</v>
      </c>
      <c r="AN44" s="432"/>
      <c r="AO44" s="169">
        <v>7</v>
      </c>
      <c r="AP44" s="169">
        <v>1478.5714285714284</v>
      </c>
      <c r="AQ44" s="169">
        <v>211.22448979591834</v>
      </c>
      <c r="AR44" s="197">
        <f t="shared" si="13"/>
        <v>3</v>
      </c>
      <c r="AS44" s="432"/>
      <c r="AT44" s="169">
        <v>7</v>
      </c>
      <c r="AU44" s="169">
        <v>1455.6000000000001</v>
      </c>
      <c r="AV44" s="169">
        <v>207.94285714285715</v>
      </c>
      <c r="AW44" s="197">
        <f t="shared" si="14"/>
        <v>2</v>
      </c>
      <c r="AX44" s="432"/>
    </row>
    <row r="45" spans="2:50">
      <c r="B45" s="422"/>
      <c r="C45" s="197">
        <v>4</v>
      </c>
      <c r="D45" s="225" t="s">
        <v>273</v>
      </c>
      <c r="E45" s="169">
        <v>18</v>
      </c>
      <c r="F45" s="197">
        <v>1500</v>
      </c>
      <c r="G45" s="195">
        <v>83.333333333333329</v>
      </c>
      <c r="H45" s="429"/>
      <c r="I45" s="169">
        <f t="shared" si="15"/>
        <v>18</v>
      </c>
      <c r="J45" s="169">
        <f t="shared" si="16"/>
        <v>1287.6328549450263</v>
      </c>
      <c r="K45" s="195">
        <f t="shared" si="17"/>
        <v>71.535158608057017</v>
      </c>
      <c r="L45" s="429"/>
      <c r="M45" s="196">
        <f>RANK(K45, K$42:$K$71)</f>
        <v>17</v>
      </c>
      <c r="N45" s="423"/>
      <c r="O45" s="423"/>
      <c r="P45" s="169">
        <v>18</v>
      </c>
      <c r="Q45" s="169">
        <v>1260.5454545454545</v>
      </c>
      <c r="R45" s="169">
        <v>70.030303030303031</v>
      </c>
      <c r="S45" s="197">
        <f t="shared" si="8"/>
        <v>17</v>
      </c>
      <c r="T45" s="432"/>
      <c r="U45" s="169">
        <v>18</v>
      </c>
      <c r="V45" s="169">
        <v>1314.2307692307688</v>
      </c>
      <c r="W45" s="169">
        <v>73.012820512820497</v>
      </c>
      <c r="X45" s="197">
        <f t="shared" si="9"/>
        <v>15</v>
      </c>
      <c r="Y45" s="432"/>
      <c r="Z45" s="169">
        <v>18</v>
      </c>
      <c r="AA45" s="169">
        <v>1303.4162790697674</v>
      </c>
      <c r="AB45" s="169">
        <v>72.412015503875963</v>
      </c>
      <c r="AC45" s="197">
        <f t="shared" si="10"/>
        <v>16</v>
      </c>
      <c r="AD45" s="432"/>
      <c r="AE45" s="169">
        <v>18</v>
      </c>
      <c r="AF45" s="169">
        <v>1274.2857142857138</v>
      </c>
      <c r="AG45" s="169">
        <v>70.79365079365077</v>
      </c>
      <c r="AH45" s="197">
        <f t="shared" si="11"/>
        <v>15</v>
      </c>
      <c r="AI45" s="432"/>
      <c r="AJ45" s="169">
        <v>18</v>
      </c>
      <c r="AK45" s="169">
        <v>1285.4347826086957</v>
      </c>
      <c r="AL45" s="169">
        <v>71.413043478260875</v>
      </c>
      <c r="AM45" s="197">
        <f t="shared" si="12"/>
        <v>15</v>
      </c>
      <c r="AN45" s="432"/>
      <c r="AO45" s="169">
        <v>18</v>
      </c>
      <c r="AP45" s="169">
        <v>1311.1926605504586</v>
      </c>
      <c r="AQ45" s="169">
        <v>72.844036697247702</v>
      </c>
      <c r="AR45" s="197">
        <f t="shared" si="13"/>
        <v>15</v>
      </c>
      <c r="AS45" s="432"/>
      <c r="AT45" s="169">
        <v>18</v>
      </c>
      <c r="AU45" s="169">
        <v>1264.3243243243244</v>
      </c>
      <c r="AV45" s="169">
        <v>70.24024024024024</v>
      </c>
      <c r="AW45" s="197">
        <f t="shared" si="14"/>
        <v>16</v>
      </c>
      <c r="AX45" s="432"/>
    </row>
    <row r="46" spans="2:50">
      <c r="B46" s="422"/>
      <c r="C46" s="197">
        <v>5</v>
      </c>
      <c r="D46" s="225" t="s">
        <v>274</v>
      </c>
      <c r="E46" s="169">
        <v>21</v>
      </c>
      <c r="F46" s="197">
        <v>1500</v>
      </c>
      <c r="G46" s="195">
        <v>71.428571428571431</v>
      </c>
      <c r="H46" s="429"/>
      <c r="I46" s="169">
        <f t="shared" si="15"/>
        <v>20.285714285714285</v>
      </c>
      <c r="J46" s="169">
        <f t="shared" si="16"/>
        <v>1291.2859673591797</v>
      </c>
      <c r="K46" s="195">
        <f t="shared" si="17"/>
        <v>63.689232773698841</v>
      </c>
      <c r="L46" s="429"/>
      <c r="M46" s="196">
        <f>RANK(K46, K$42:$K$71)</f>
        <v>25</v>
      </c>
      <c r="N46" s="423"/>
      <c r="O46" s="423"/>
      <c r="P46" s="169">
        <v>21</v>
      </c>
      <c r="Q46" s="169">
        <v>1282.2580645161302</v>
      </c>
      <c r="R46" s="169">
        <v>61.059907834101438</v>
      </c>
      <c r="S46" s="197">
        <f t="shared" si="8"/>
        <v>24</v>
      </c>
      <c r="T46" s="432"/>
      <c r="U46" s="169">
        <v>20</v>
      </c>
      <c r="V46" s="169">
        <v>1301.3114754098372</v>
      </c>
      <c r="W46" s="169">
        <v>65.065573770491852</v>
      </c>
      <c r="X46" s="197">
        <f t="shared" si="9"/>
        <v>23</v>
      </c>
      <c r="Y46" s="432"/>
      <c r="Z46" s="169">
        <v>20</v>
      </c>
      <c r="AA46" s="169">
        <v>1299.6428571428582</v>
      </c>
      <c r="AB46" s="169">
        <v>64.982142857142918</v>
      </c>
      <c r="AC46" s="197">
        <f t="shared" si="10"/>
        <v>22</v>
      </c>
      <c r="AD46" s="432"/>
      <c r="AE46" s="169">
        <v>20</v>
      </c>
      <c r="AF46" s="169">
        <v>1308.9795918367352</v>
      </c>
      <c r="AG46" s="169">
        <v>65.448979591836761</v>
      </c>
      <c r="AH46" s="197">
        <f t="shared" si="11"/>
        <v>23</v>
      </c>
      <c r="AI46" s="432"/>
      <c r="AJ46" s="169">
        <v>20</v>
      </c>
      <c r="AK46" s="169">
        <v>1272.0000000000009</v>
      </c>
      <c r="AL46" s="169">
        <v>63.600000000000044</v>
      </c>
      <c r="AM46" s="197">
        <f t="shared" si="12"/>
        <v>22</v>
      </c>
      <c r="AN46" s="432"/>
      <c r="AO46" s="169">
        <v>20</v>
      </c>
      <c r="AP46" s="169">
        <v>1284.3750000000016</v>
      </c>
      <c r="AQ46" s="169">
        <v>64.218750000000085</v>
      </c>
      <c r="AR46" s="197">
        <f t="shared" si="13"/>
        <v>24</v>
      </c>
      <c r="AS46" s="432"/>
      <c r="AT46" s="169">
        <v>21</v>
      </c>
      <c r="AU46" s="169">
        <v>1290.4347826086944</v>
      </c>
      <c r="AV46" s="169">
        <v>61.44927536231878</v>
      </c>
      <c r="AW46" s="197">
        <f t="shared" si="14"/>
        <v>24</v>
      </c>
      <c r="AX46" s="432"/>
    </row>
    <row r="47" spans="2:50">
      <c r="B47" s="422"/>
      <c r="C47" s="197">
        <v>6</v>
      </c>
      <c r="D47" s="225" t="s">
        <v>275</v>
      </c>
      <c r="E47" s="169">
        <v>19</v>
      </c>
      <c r="F47" s="197">
        <v>1500</v>
      </c>
      <c r="G47" s="195">
        <v>78.94736842105263</v>
      </c>
      <c r="H47" s="429"/>
      <c r="I47" s="169">
        <f t="shared" si="15"/>
        <v>19</v>
      </c>
      <c r="J47" s="169">
        <f t="shared" si="16"/>
        <v>1287.0038226728709</v>
      </c>
      <c r="K47" s="195">
        <f t="shared" si="17"/>
        <v>67.737043298572161</v>
      </c>
      <c r="L47" s="429"/>
      <c r="M47" s="196">
        <f>RANK(K47, K$42:$K$71)</f>
        <v>22</v>
      </c>
      <c r="N47" s="423"/>
      <c r="O47" s="423"/>
      <c r="P47" s="169">
        <v>19</v>
      </c>
      <c r="Q47" s="169">
        <v>1305.30612244898</v>
      </c>
      <c r="R47" s="169">
        <v>68.700322234156843</v>
      </c>
      <c r="S47" s="197">
        <f t="shared" si="8"/>
        <v>19</v>
      </c>
      <c r="T47" s="432"/>
      <c r="U47" s="169">
        <v>19</v>
      </c>
      <c r="V47" s="169">
        <v>1267.3469387755106</v>
      </c>
      <c r="W47" s="169">
        <v>66.702470461868984</v>
      </c>
      <c r="X47" s="197">
        <f t="shared" si="9"/>
        <v>21</v>
      </c>
      <c r="Y47" s="432"/>
      <c r="Z47" s="169">
        <v>19</v>
      </c>
      <c r="AA47" s="169">
        <v>1295.744680851064</v>
      </c>
      <c r="AB47" s="169">
        <v>68.197088465845468</v>
      </c>
      <c r="AC47" s="197">
        <f t="shared" si="10"/>
        <v>19</v>
      </c>
      <c r="AD47" s="432"/>
      <c r="AE47" s="169">
        <v>19</v>
      </c>
      <c r="AF47" s="169">
        <v>1268.7804878048801</v>
      </c>
      <c r="AG47" s="169">
        <v>66.777920410783167</v>
      </c>
      <c r="AH47" s="197">
        <f t="shared" si="11"/>
        <v>21</v>
      </c>
      <c r="AI47" s="432"/>
      <c r="AJ47" s="169">
        <v>19</v>
      </c>
      <c r="AK47" s="169">
        <v>1309.090909090909</v>
      </c>
      <c r="AL47" s="169">
        <v>68.899521531100476</v>
      </c>
      <c r="AM47" s="197">
        <f t="shared" si="12"/>
        <v>20</v>
      </c>
      <c r="AN47" s="432"/>
      <c r="AO47" s="169">
        <v>19</v>
      </c>
      <c r="AP47" s="169">
        <v>1306.1538461538469</v>
      </c>
      <c r="AQ47" s="169">
        <v>68.744939271255092</v>
      </c>
      <c r="AR47" s="197">
        <f t="shared" si="13"/>
        <v>19</v>
      </c>
      <c r="AS47" s="432"/>
      <c r="AT47" s="169">
        <v>19</v>
      </c>
      <c r="AU47" s="169">
        <v>1256.6037735849063</v>
      </c>
      <c r="AV47" s="169">
        <v>66.137040714995067</v>
      </c>
      <c r="AW47" s="197">
        <f t="shared" si="14"/>
        <v>22</v>
      </c>
      <c r="AX47" s="432"/>
    </row>
    <row r="48" spans="2:50">
      <c r="B48" s="422"/>
      <c r="C48" s="197">
        <v>7</v>
      </c>
      <c r="D48" s="225" t="s">
        <v>276</v>
      </c>
      <c r="E48" s="169">
        <v>17</v>
      </c>
      <c r="F48" s="197">
        <v>1500</v>
      </c>
      <c r="G48" s="195">
        <v>88.235294117647058</v>
      </c>
      <c r="H48" s="429"/>
      <c r="I48" s="169">
        <f t="shared" si="15"/>
        <v>17</v>
      </c>
      <c r="J48" s="169">
        <f t="shared" si="16"/>
        <v>1339.8047505468664</v>
      </c>
      <c r="K48" s="195">
        <f t="shared" si="17"/>
        <v>78.812044149815691</v>
      </c>
      <c r="L48" s="429"/>
      <c r="M48" s="196">
        <f>RANK(K48, K$42:$K$71)</f>
        <v>8</v>
      </c>
      <c r="N48" s="423"/>
      <c r="O48" s="423"/>
      <c r="P48" s="169">
        <v>17</v>
      </c>
      <c r="Q48" s="169">
        <v>1317.9661016949165</v>
      </c>
      <c r="R48" s="169">
        <v>77.527417746759795</v>
      </c>
      <c r="S48" s="197">
        <f t="shared" si="8"/>
        <v>10</v>
      </c>
      <c r="T48" s="432"/>
      <c r="U48" s="169">
        <v>17</v>
      </c>
      <c r="V48" s="169">
        <v>1344.23076923077</v>
      </c>
      <c r="W48" s="169">
        <v>79.072398190045291</v>
      </c>
      <c r="X48" s="197">
        <f t="shared" si="9"/>
        <v>8</v>
      </c>
      <c r="Y48" s="432"/>
      <c r="Z48" s="169">
        <v>17</v>
      </c>
      <c r="AA48" s="169">
        <v>1361.1764705882358</v>
      </c>
      <c r="AB48" s="169">
        <v>80.069204152249171</v>
      </c>
      <c r="AC48" s="197">
        <f t="shared" si="10"/>
        <v>6</v>
      </c>
      <c r="AD48" s="432"/>
      <c r="AE48" s="169">
        <v>17</v>
      </c>
      <c r="AF48" s="169">
        <v>1363.2558139534881</v>
      </c>
      <c r="AG48" s="169">
        <v>80.191518467852234</v>
      </c>
      <c r="AH48" s="197">
        <f t="shared" si="11"/>
        <v>6</v>
      </c>
      <c r="AI48" s="432"/>
      <c r="AJ48" s="169">
        <v>17</v>
      </c>
      <c r="AK48" s="169">
        <v>1346.2500000000005</v>
      </c>
      <c r="AL48" s="169">
        <v>79.19117647058826</v>
      </c>
      <c r="AM48" s="197">
        <f t="shared" si="12"/>
        <v>7</v>
      </c>
      <c r="AN48" s="432"/>
      <c r="AO48" s="169">
        <v>17</v>
      </c>
      <c r="AP48" s="169">
        <v>1310.9999999999995</v>
      </c>
      <c r="AQ48" s="169">
        <v>77.117647058823508</v>
      </c>
      <c r="AR48" s="197">
        <f t="shared" si="13"/>
        <v>9</v>
      </c>
      <c r="AS48" s="432"/>
      <c r="AT48" s="169">
        <v>17</v>
      </c>
      <c r="AU48" s="169">
        <v>1334.7540983606552</v>
      </c>
      <c r="AV48" s="169">
        <v>78.514946962391491</v>
      </c>
      <c r="AW48" s="197">
        <f t="shared" si="14"/>
        <v>9</v>
      </c>
      <c r="AX48" s="432"/>
    </row>
    <row r="49" spans="2:50">
      <c r="B49" s="422"/>
      <c r="C49" s="197">
        <v>8</v>
      </c>
      <c r="D49" s="225" t="s">
        <v>277</v>
      </c>
      <c r="E49" s="169">
        <v>17</v>
      </c>
      <c r="F49" s="197">
        <v>1565</v>
      </c>
      <c r="G49" s="195">
        <v>92.058823529411768</v>
      </c>
      <c r="H49" s="429"/>
      <c r="I49" s="169">
        <f t="shared" si="15"/>
        <v>17</v>
      </c>
      <c r="J49" s="169">
        <f t="shared" si="16"/>
        <v>1390.0506327795863</v>
      </c>
      <c r="K49" s="195">
        <f t="shared" si="17"/>
        <v>81.767684281152142</v>
      </c>
      <c r="L49" s="429"/>
      <c r="M49" s="196">
        <f>RANK(K49, K$42:$K$71)</f>
        <v>6</v>
      </c>
      <c r="N49" s="423"/>
      <c r="O49" s="423"/>
      <c r="P49" s="169">
        <v>17</v>
      </c>
      <c r="Q49" s="169">
        <v>1354.4827586206895</v>
      </c>
      <c r="R49" s="169">
        <v>79.675456389452322</v>
      </c>
      <c r="S49" s="197">
        <f t="shared" si="8"/>
        <v>7</v>
      </c>
      <c r="T49" s="432"/>
      <c r="U49" s="169">
        <v>17</v>
      </c>
      <c r="V49" s="169">
        <v>1410.76923076923</v>
      </c>
      <c r="W49" s="169">
        <v>82.986425339366477</v>
      </c>
      <c r="X49" s="197">
        <f t="shared" si="9"/>
        <v>5</v>
      </c>
      <c r="Y49" s="432"/>
      <c r="Z49" s="169">
        <v>17</v>
      </c>
      <c r="AA49" s="169">
        <v>1373.5135135135124</v>
      </c>
      <c r="AB49" s="169">
        <v>80.794912559618382</v>
      </c>
      <c r="AC49" s="197">
        <f t="shared" si="10"/>
        <v>5</v>
      </c>
      <c r="AD49" s="432"/>
      <c r="AE49" s="169">
        <v>17</v>
      </c>
      <c r="AF49" s="169">
        <v>1417.0000000000007</v>
      </c>
      <c r="AG49" s="169">
        <v>83.352941176470623</v>
      </c>
      <c r="AH49" s="197">
        <f t="shared" si="11"/>
        <v>5</v>
      </c>
      <c r="AI49" s="432"/>
      <c r="AJ49" s="169">
        <v>17</v>
      </c>
      <c r="AK49" s="169">
        <v>1370.1355932203403</v>
      </c>
      <c r="AL49" s="169">
        <v>80.596211365902377</v>
      </c>
      <c r="AM49" s="197">
        <f t="shared" si="12"/>
        <v>6</v>
      </c>
      <c r="AN49" s="432"/>
      <c r="AO49" s="169">
        <v>17</v>
      </c>
      <c r="AP49" s="169">
        <v>1401.119999999999</v>
      </c>
      <c r="AQ49" s="169">
        <v>82.418823529411711</v>
      </c>
      <c r="AR49" s="197">
        <f t="shared" si="13"/>
        <v>5</v>
      </c>
      <c r="AS49" s="432"/>
      <c r="AT49" s="169">
        <v>17</v>
      </c>
      <c r="AU49" s="169">
        <v>1403.333333333333</v>
      </c>
      <c r="AV49" s="169">
        <v>82.549019607843121</v>
      </c>
      <c r="AW49" s="197">
        <f t="shared" si="14"/>
        <v>5</v>
      </c>
      <c r="AX49" s="432"/>
    </row>
    <row r="50" spans="2:50">
      <c r="B50" s="422"/>
      <c r="C50" s="197">
        <v>9</v>
      </c>
      <c r="D50" s="225" t="s">
        <v>278</v>
      </c>
      <c r="E50" s="169">
        <v>16</v>
      </c>
      <c r="F50" s="197">
        <v>1440</v>
      </c>
      <c r="G50" s="195">
        <v>90</v>
      </c>
      <c r="H50" s="429"/>
      <c r="I50" s="169">
        <f t="shared" si="15"/>
        <v>16</v>
      </c>
      <c r="J50" s="169">
        <f t="shared" si="16"/>
        <v>1278.7152804045138</v>
      </c>
      <c r="K50" s="195">
        <f t="shared" si="17"/>
        <v>79.919705025282113</v>
      </c>
      <c r="L50" s="429"/>
      <c r="M50" s="196">
        <f>RANK(K50, K$42:$K$71)</f>
        <v>7</v>
      </c>
      <c r="N50" s="423"/>
      <c r="O50" s="423"/>
      <c r="P50" s="169">
        <v>16</v>
      </c>
      <c r="Q50" s="169">
        <v>1305.8823529411748</v>
      </c>
      <c r="R50" s="169">
        <v>81.617647058823422</v>
      </c>
      <c r="S50" s="197">
        <f t="shared" si="8"/>
        <v>5</v>
      </c>
      <c r="T50" s="432"/>
      <c r="U50" s="169">
        <v>16</v>
      </c>
      <c r="V50" s="169">
        <v>1304.9999999999982</v>
      </c>
      <c r="W50" s="169">
        <v>81.562499999999886</v>
      </c>
      <c r="X50" s="197">
        <f t="shared" si="9"/>
        <v>6</v>
      </c>
      <c r="Y50" s="432"/>
      <c r="Z50" s="169">
        <v>16</v>
      </c>
      <c r="AA50" s="169">
        <v>1264.1379310344803</v>
      </c>
      <c r="AB50" s="169">
        <v>79.008620689655018</v>
      </c>
      <c r="AC50" s="197">
        <f t="shared" si="10"/>
        <v>7</v>
      </c>
      <c r="AD50" s="432"/>
      <c r="AE50" s="169">
        <v>16</v>
      </c>
      <c r="AF50" s="169">
        <v>1238.7096774193528</v>
      </c>
      <c r="AG50" s="169">
        <v>77.419354838709552</v>
      </c>
      <c r="AH50" s="197">
        <f t="shared" si="11"/>
        <v>9</v>
      </c>
      <c r="AI50" s="432"/>
      <c r="AJ50" s="169">
        <v>16</v>
      </c>
      <c r="AK50" s="169">
        <v>1302.5806451612882</v>
      </c>
      <c r="AL50" s="169">
        <v>81.411290322580513</v>
      </c>
      <c r="AM50" s="197">
        <f t="shared" si="12"/>
        <v>5</v>
      </c>
      <c r="AN50" s="432"/>
      <c r="AO50" s="169">
        <v>16</v>
      </c>
      <c r="AP50" s="169">
        <v>1233.1578947368412</v>
      </c>
      <c r="AQ50" s="169">
        <v>77.072368421052573</v>
      </c>
      <c r="AR50" s="197">
        <f t="shared" si="13"/>
        <v>10</v>
      </c>
      <c r="AS50" s="432"/>
      <c r="AT50" s="169">
        <v>16</v>
      </c>
      <c r="AU50" s="169">
        <v>1301.5384615384608</v>
      </c>
      <c r="AV50" s="169">
        <v>81.346153846153797</v>
      </c>
      <c r="AW50" s="197">
        <f t="shared" si="14"/>
        <v>6</v>
      </c>
      <c r="AX50" s="432"/>
    </row>
    <row r="51" spans="2:50">
      <c r="B51" s="422"/>
      <c r="C51" s="197">
        <v>10</v>
      </c>
      <c r="D51" s="225" t="s">
        <v>279</v>
      </c>
      <c r="E51" s="169">
        <v>17</v>
      </c>
      <c r="F51" s="197">
        <v>1440</v>
      </c>
      <c r="G51" s="195">
        <v>84.705882352941174</v>
      </c>
      <c r="H51" s="429"/>
      <c r="I51" s="169">
        <f t="shared" si="15"/>
        <v>17</v>
      </c>
      <c r="J51" s="169">
        <f t="shared" si="16"/>
        <v>1289.2592200816391</v>
      </c>
      <c r="K51" s="195">
        <f t="shared" si="17"/>
        <v>75.838777651861122</v>
      </c>
      <c r="L51" s="429"/>
      <c r="M51" s="196">
        <f>RANK(K51, K$42:$K$71)</f>
        <v>12</v>
      </c>
      <c r="N51" s="423"/>
      <c r="O51" s="423"/>
      <c r="P51" s="169">
        <v>17</v>
      </c>
      <c r="Q51" s="169">
        <v>1299.6226415094347</v>
      </c>
      <c r="R51" s="169">
        <v>76.448390677025571</v>
      </c>
      <c r="S51" s="197">
        <f t="shared" si="8"/>
        <v>11</v>
      </c>
      <c r="T51" s="432"/>
      <c r="U51" s="169">
        <v>17</v>
      </c>
      <c r="V51" s="169">
        <v>1308.2608695652175</v>
      </c>
      <c r="W51" s="169">
        <v>76.956521739130437</v>
      </c>
      <c r="X51" s="197">
        <f t="shared" si="9"/>
        <v>10</v>
      </c>
      <c r="Y51" s="432"/>
      <c r="Z51" s="169">
        <v>17</v>
      </c>
      <c r="AA51" s="169">
        <v>1282.8571428571424</v>
      </c>
      <c r="AB51" s="169">
        <v>75.462184873949553</v>
      </c>
      <c r="AC51" s="197">
        <f t="shared" si="10"/>
        <v>12</v>
      </c>
      <c r="AD51" s="432"/>
      <c r="AE51" s="169">
        <v>17</v>
      </c>
      <c r="AF51" s="169">
        <v>1290</v>
      </c>
      <c r="AG51" s="169">
        <v>75.882352941176464</v>
      </c>
      <c r="AH51" s="197">
        <f t="shared" si="11"/>
        <v>11</v>
      </c>
      <c r="AI51" s="432"/>
      <c r="AJ51" s="169">
        <v>17</v>
      </c>
      <c r="AK51" s="169">
        <v>1313.7500000000005</v>
      </c>
      <c r="AL51" s="169">
        <v>77.279411764705912</v>
      </c>
      <c r="AM51" s="197">
        <f t="shared" si="12"/>
        <v>8</v>
      </c>
      <c r="AN51" s="432"/>
      <c r="AO51" s="169">
        <v>17</v>
      </c>
      <c r="AP51" s="169">
        <v>1257.6923076923085</v>
      </c>
      <c r="AQ51" s="169">
        <v>73.98190045248873</v>
      </c>
      <c r="AR51" s="197">
        <f t="shared" si="13"/>
        <v>14</v>
      </c>
      <c r="AS51" s="432"/>
      <c r="AT51" s="169">
        <v>17</v>
      </c>
      <c r="AU51" s="169">
        <v>1272.6315789473695</v>
      </c>
      <c r="AV51" s="169">
        <v>74.860681114551141</v>
      </c>
      <c r="AW51" s="197">
        <f t="shared" si="14"/>
        <v>12</v>
      </c>
      <c r="AX51" s="432"/>
    </row>
    <row r="52" spans="2:50">
      <c r="B52" s="422"/>
      <c r="C52" s="197">
        <v>11</v>
      </c>
      <c r="D52" s="225" t="s">
        <v>280</v>
      </c>
      <c r="E52" s="169">
        <v>15</v>
      </c>
      <c r="F52" s="197">
        <v>1500</v>
      </c>
      <c r="G52" s="195">
        <v>100</v>
      </c>
      <c r="H52" s="429"/>
      <c r="I52" s="169">
        <f t="shared" si="15"/>
        <v>16.285714285714285</v>
      </c>
      <c r="J52" s="169">
        <f t="shared" si="16"/>
        <v>1065.3143642072253</v>
      </c>
      <c r="K52" s="195">
        <f t="shared" si="17"/>
        <v>65.459491007941864</v>
      </c>
      <c r="L52" s="429"/>
      <c r="M52" s="196">
        <f>RANK(K52, K$42:$K$71)</f>
        <v>23</v>
      </c>
      <c r="N52" s="423"/>
      <c r="O52" s="423"/>
      <c r="P52" s="169">
        <v>17</v>
      </c>
      <c r="Q52" s="169">
        <v>1076.0000000000039</v>
      </c>
      <c r="R52" s="169">
        <v>63.294117647059053</v>
      </c>
      <c r="S52" s="197">
        <f t="shared" si="8"/>
        <v>23</v>
      </c>
      <c r="T52" s="432"/>
      <c r="U52" s="169">
        <v>16</v>
      </c>
      <c r="V52" s="169">
        <v>1097.1428571428612</v>
      </c>
      <c r="W52" s="169">
        <v>68.571428571428825</v>
      </c>
      <c r="X52" s="197">
        <f t="shared" si="9"/>
        <v>19</v>
      </c>
      <c r="Y52" s="432"/>
      <c r="Z52" s="169">
        <v>16</v>
      </c>
      <c r="AA52" s="169">
        <v>1035.0000000000036</v>
      </c>
      <c r="AB52" s="169">
        <v>64.687500000000227</v>
      </c>
      <c r="AC52" s="197">
        <f t="shared" si="10"/>
        <v>23</v>
      </c>
      <c r="AD52" s="432"/>
      <c r="AE52" s="169">
        <v>16</v>
      </c>
      <c r="AF52" s="169">
        <v>1070.7692307692346</v>
      </c>
      <c r="AG52" s="169">
        <v>66.923076923077161</v>
      </c>
      <c r="AH52" s="197">
        <f t="shared" si="11"/>
        <v>20</v>
      </c>
      <c r="AI52" s="432"/>
      <c r="AJ52" s="169">
        <v>17</v>
      </c>
      <c r="AK52" s="169">
        <v>1061.5384615384653</v>
      </c>
      <c r="AL52" s="169">
        <v>62.443438914027368</v>
      </c>
      <c r="AM52" s="197">
        <f t="shared" si="12"/>
        <v>24</v>
      </c>
      <c r="AN52" s="432"/>
      <c r="AO52" s="169">
        <v>16</v>
      </c>
      <c r="AP52" s="169">
        <v>1048.0000000000036</v>
      </c>
      <c r="AQ52" s="169">
        <v>65.500000000000227</v>
      </c>
      <c r="AR52" s="197">
        <f t="shared" si="13"/>
        <v>22</v>
      </c>
      <c r="AS52" s="432"/>
      <c r="AT52" s="169">
        <v>16</v>
      </c>
      <c r="AU52" s="169">
        <v>1068.7500000000039</v>
      </c>
      <c r="AV52" s="169">
        <v>66.796875000000242</v>
      </c>
      <c r="AW52" s="197">
        <f t="shared" si="14"/>
        <v>20</v>
      </c>
      <c r="AX52" s="432"/>
    </row>
    <row r="53" spans="2:50">
      <c r="B53" s="422"/>
      <c r="C53" s="197">
        <v>12</v>
      </c>
      <c r="D53" s="225" t="s">
        <v>281</v>
      </c>
      <c r="E53" s="169">
        <v>18</v>
      </c>
      <c r="F53" s="197">
        <v>1440</v>
      </c>
      <c r="G53" s="195">
        <v>80</v>
      </c>
      <c r="H53" s="429"/>
      <c r="I53" s="169">
        <f t="shared" si="15"/>
        <v>16.285714285714285</v>
      </c>
      <c r="J53" s="169">
        <f t="shared" si="16"/>
        <v>1190.276821409366</v>
      </c>
      <c r="K53" s="195">
        <f t="shared" si="17"/>
        <v>73.121943682828132</v>
      </c>
      <c r="L53" s="429"/>
      <c r="M53" s="196">
        <f>RANK(K53, K$42:$K$71)</f>
        <v>15</v>
      </c>
      <c r="N53" s="423"/>
      <c r="O53" s="423"/>
      <c r="P53" s="169">
        <v>16</v>
      </c>
      <c r="Q53" s="169">
        <v>1170.0000000000007</v>
      </c>
      <c r="R53" s="169">
        <v>73.125000000000043</v>
      </c>
      <c r="S53" s="197">
        <f t="shared" si="8"/>
        <v>15</v>
      </c>
      <c r="T53" s="432"/>
      <c r="U53" s="169">
        <v>16</v>
      </c>
      <c r="V53" s="169">
        <v>1159.5918367346942</v>
      </c>
      <c r="W53" s="169">
        <v>72.474489795918387</v>
      </c>
      <c r="X53" s="197">
        <f t="shared" si="9"/>
        <v>16</v>
      </c>
      <c r="Y53" s="432"/>
      <c r="Z53" s="169">
        <v>17</v>
      </c>
      <c r="AA53" s="169">
        <v>1217.5609756097556</v>
      </c>
      <c r="AB53" s="169">
        <v>71.621233859397393</v>
      </c>
      <c r="AC53" s="197">
        <f t="shared" si="10"/>
        <v>17</v>
      </c>
      <c r="AD53" s="432"/>
      <c r="AE53" s="169">
        <v>16</v>
      </c>
      <c r="AF53" s="169">
        <v>1202.5531914893618</v>
      </c>
      <c r="AG53" s="169">
        <v>75.159574468085111</v>
      </c>
      <c r="AH53" s="197">
        <f t="shared" si="11"/>
        <v>12</v>
      </c>
      <c r="AI53" s="432"/>
      <c r="AJ53" s="169">
        <v>17</v>
      </c>
      <c r="AK53" s="169">
        <v>1201.2000000000005</v>
      </c>
      <c r="AL53" s="169">
        <v>70.658823529411791</v>
      </c>
      <c r="AM53" s="197">
        <f t="shared" si="12"/>
        <v>17</v>
      </c>
      <c r="AN53" s="432"/>
      <c r="AO53" s="169">
        <v>16</v>
      </c>
      <c r="AP53" s="169">
        <v>1208.8888888888896</v>
      </c>
      <c r="AQ53" s="169">
        <v>75.5555555555556</v>
      </c>
      <c r="AR53" s="197">
        <f t="shared" si="13"/>
        <v>12</v>
      </c>
      <c r="AS53" s="432"/>
      <c r="AT53" s="169">
        <v>16</v>
      </c>
      <c r="AU53" s="169">
        <v>1172.142857142858</v>
      </c>
      <c r="AV53" s="169">
        <v>73.258928571428626</v>
      </c>
      <c r="AW53" s="197">
        <f t="shared" si="14"/>
        <v>13</v>
      </c>
      <c r="AX53" s="432"/>
    </row>
    <row r="54" spans="2:50">
      <c r="B54" s="422"/>
      <c r="C54" s="197">
        <v>13</v>
      </c>
      <c r="D54" s="225" t="s">
        <v>282</v>
      </c>
      <c r="E54" s="169">
        <v>20</v>
      </c>
      <c r="F54" s="197">
        <v>1636</v>
      </c>
      <c r="G54" s="195">
        <v>81.8</v>
      </c>
      <c r="H54" s="429"/>
      <c r="I54" s="169">
        <f t="shared" si="15"/>
        <v>19</v>
      </c>
      <c r="J54" s="169">
        <f t="shared" si="16"/>
        <v>1290.9580972227163</v>
      </c>
      <c r="K54" s="195">
        <f t="shared" si="17"/>
        <v>67.945163011721931</v>
      </c>
      <c r="L54" s="429"/>
      <c r="M54" s="196">
        <f>RANK(K54, K$42:$K$71)</f>
        <v>21</v>
      </c>
      <c r="N54" s="423"/>
      <c r="O54" s="423"/>
      <c r="P54" s="169">
        <v>19</v>
      </c>
      <c r="Q54" s="169">
        <v>1255.862068965517</v>
      </c>
      <c r="R54" s="169">
        <v>66.098003629764051</v>
      </c>
      <c r="S54" s="197">
        <f t="shared" si="8"/>
        <v>21</v>
      </c>
      <c r="T54" s="432"/>
      <c r="U54" s="169">
        <v>19</v>
      </c>
      <c r="V54" s="169">
        <v>1298.8732394366184</v>
      </c>
      <c r="W54" s="169">
        <v>68.361749444032554</v>
      </c>
      <c r="X54" s="197">
        <f t="shared" si="9"/>
        <v>20</v>
      </c>
      <c r="Y54" s="432"/>
      <c r="Z54" s="169">
        <v>19</v>
      </c>
      <c r="AA54" s="169">
        <v>1286.4705882352957</v>
      </c>
      <c r="AB54" s="169">
        <v>67.708978328173458</v>
      </c>
      <c r="AC54" s="197">
        <f t="shared" si="10"/>
        <v>20</v>
      </c>
      <c r="AD54" s="432"/>
      <c r="AE54" s="169">
        <v>19</v>
      </c>
      <c r="AF54" s="169">
        <v>1310.149253731345</v>
      </c>
      <c r="AG54" s="169">
        <v>68.955223880597103</v>
      </c>
      <c r="AH54" s="197">
        <f t="shared" si="11"/>
        <v>18</v>
      </c>
      <c r="AI54" s="432"/>
      <c r="AJ54" s="169">
        <v>19</v>
      </c>
      <c r="AK54" s="169">
        <v>1283.8461538461531</v>
      </c>
      <c r="AL54" s="169">
        <v>67.570850202429114</v>
      </c>
      <c r="AM54" s="197">
        <f t="shared" si="12"/>
        <v>21</v>
      </c>
      <c r="AN54" s="432"/>
      <c r="AO54" s="169">
        <v>19</v>
      </c>
      <c r="AP54" s="169">
        <v>1286.6666666666665</v>
      </c>
      <c r="AQ54" s="169">
        <v>67.719298245614027</v>
      </c>
      <c r="AR54" s="197">
        <f t="shared" si="13"/>
        <v>21</v>
      </c>
      <c r="AS54" s="432"/>
      <c r="AT54" s="169">
        <v>19</v>
      </c>
      <c r="AU54" s="169">
        <v>1314.8387096774195</v>
      </c>
      <c r="AV54" s="169">
        <v>69.202037351443138</v>
      </c>
      <c r="AW54" s="197">
        <f t="shared" si="14"/>
        <v>19</v>
      </c>
      <c r="AX54" s="432"/>
    </row>
    <row r="55" spans="2:50">
      <c r="B55" s="422"/>
      <c r="C55" s="197">
        <v>14</v>
      </c>
      <c r="D55" s="225" t="s">
        <v>283</v>
      </c>
      <c r="E55" s="169">
        <v>19</v>
      </c>
      <c r="F55" s="197">
        <v>1636</v>
      </c>
      <c r="G55" s="195">
        <v>86.10526315789474</v>
      </c>
      <c r="H55" s="429"/>
      <c r="I55" s="169">
        <f t="shared" si="15"/>
        <v>18.857142857142858</v>
      </c>
      <c r="J55" s="169">
        <f t="shared" si="16"/>
        <v>1289.6312746542328</v>
      </c>
      <c r="K55" s="195">
        <f t="shared" si="17"/>
        <v>68.409743200425197</v>
      </c>
      <c r="L55" s="429"/>
      <c r="M55" s="196">
        <f>RANK(K55, K$42:$K$71)</f>
        <v>19</v>
      </c>
      <c r="N55" s="423"/>
      <c r="O55" s="423"/>
      <c r="P55" s="169">
        <v>19</v>
      </c>
      <c r="Q55" s="169">
        <v>1321.9047619047633</v>
      </c>
      <c r="R55" s="169">
        <v>69.573934837092807</v>
      </c>
      <c r="S55" s="197">
        <f t="shared" si="8"/>
        <v>18</v>
      </c>
      <c r="T55" s="432"/>
      <c r="U55" s="169">
        <v>19</v>
      </c>
      <c r="V55" s="169">
        <v>1264.1379310344837</v>
      </c>
      <c r="W55" s="169">
        <v>66.533575317604402</v>
      </c>
      <c r="X55" s="197">
        <f t="shared" si="9"/>
        <v>22</v>
      </c>
      <c r="Y55" s="432"/>
      <c r="Z55" s="169">
        <v>19</v>
      </c>
      <c r="AA55" s="169">
        <v>1307.5471698113215</v>
      </c>
      <c r="AB55" s="169">
        <v>68.818272095332716</v>
      </c>
      <c r="AC55" s="197">
        <f t="shared" si="10"/>
        <v>18</v>
      </c>
      <c r="AD55" s="432"/>
      <c r="AE55" s="169">
        <v>19</v>
      </c>
      <c r="AF55" s="169">
        <v>1274.444444444445</v>
      </c>
      <c r="AG55" s="169">
        <v>67.076023391812896</v>
      </c>
      <c r="AH55" s="197">
        <f t="shared" si="11"/>
        <v>19</v>
      </c>
      <c r="AI55" s="432"/>
      <c r="AJ55" s="169">
        <v>18</v>
      </c>
      <c r="AK55" s="169">
        <v>1279.3846153846168</v>
      </c>
      <c r="AL55" s="169">
        <v>71.076923076923151</v>
      </c>
      <c r="AM55" s="197">
        <f t="shared" si="12"/>
        <v>16</v>
      </c>
      <c r="AN55" s="432"/>
      <c r="AO55" s="169">
        <v>19</v>
      </c>
      <c r="AP55" s="169">
        <v>1319.9999999999986</v>
      </c>
      <c r="AQ55" s="169">
        <v>69.473684210526244</v>
      </c>
      <c r="AR55" s="197">
        <f t="shared" si="13"/>
        <v>18</v>
      </c>
      <c r="AS55" s="432"/>
      <c r="AT55" s="169">
        <v>19</v>
      </c>
      <c r="AU55" s="169">
        <v>1259.9999999999993</v>
      </c>
      <c r="AV55" s="169">
        <v>66.315789473684177</v>
      </c>
      <c r="AW55" s="197">
        <f t="shared" si="14"/>
        <v>21</v>
      </c>
      <c r="AX55" s="432"/>
    </row>
    <row r="56" spans="2:50">
      <c r="B56" s="422"/>
      <c r="C56" s="197">
        <v>15</v>
      </c>
      <c r="D56" s="225" t="s">
        <v>284</v>
      </c>
      <c r="E56" s="169">
        <v>20</v>
      </c>
      <c r="F56" s="197">
        <v>1500</v>
      </c>
      <c r="G56" s="195">
        <v>75</v>
      </c>
      <c r="H56" s="429"/>
      <c r="I56" s="169">
        <f t="shared" si="15"/>
        <v>20</v>
      </c>
      <c r="J56" s="169">
        <f t="shared" si="16"/>
        <v>1285.5586529086233</v>
      </c>
      <c r="K56" s="195">
        <f t="shared" si="17"/>
        <v>64.277932645431179</v>
      </c>
      <c r="L56" s="429"/>
      <c r="M56" s="169">
        <f>RANK(K56, K$42:$K$71)</f>
        <v>24</v>
      </c>
      <c r="N56" s="423"/>
      <c r="O56" s="423"/>
      <c r="P56" s="169">
        <v>20</v>
      </c>
      <c r="Q56" s="169">
        <v>1294.6666666666667</v>
      </c>
      <c r="R56" s="169">
        <v>64.733333333333334</v>
      </c>
      <c r="S56" s="197">
        <f t="shared" si="8"/>
        <v>22</v>
      </c>
      <c r="T56" s="432"/>
      <c r="U56" s="169">
        <v>20</v>
      </c>
      <c r="V56" s="169">
        <v>1277.1428571428567</v>
      </c>
      <c r="W56" s="169">
        <v>63.857142857142833</v>
      </c>
      <c r="X56" s="197">
        <f t="shared" si="9"/>
        <v>24</v>
      </c>
      <c r="Y56" s="432"/>
      <c r="Z56" s="169">
        <v>20</v>
      </c>
      <c r="AA56" s="169">
        <v>1286.4352941176485</v>
      </c>
      <c r="AB56" s="169">
        <v>64.32176470588243</v>
      </c>
      <c r="AC56" s="197">
        <f t="shared" si="10"/>
        <v>24</v>
      </c>
      <c r="AD56" s="432"/>
      <c r="AE56" s="169">
        <v>20</v>
      </c>
      <c r="AF56" s="169">
        <v>1294.054054054053</v>
      </c>
      <c r="AG56" s="169">
        <v>64.702702702702652</v>
      </c>
      <c r="AH56" s="197">
        <f t="shared" si="11"/>
        <v>24</v>
      </c>
      <c r="AI56" s="432"/>
      <c r="AJ56" s="169">
        <v>20</v>
      </c>
      <c r="AK56" s="169">
        <v>1265.5813953488371</v>
      </c>
      <c r="AL56" s="169">
        <v>63.279069767441854</v>
      </c>
      <c r="AM56" s="197">
        <f t="shared" si="12"/>
        <v>23</v>
      </c>
      <c r="AN56" s="432"/>
      <c r="AO56" s="169">
        <v>20</v>
      </c>
      <c r="AP56" s="169">
        <v>1306.3636363636365</v>
      </c>
      <c r="AQ56" s="169">
        <v>65.318181818181827</v>
      </c>
      <c r="AR56" s="197">
        <f t="shared" si="13"/>
        <v>23</v>
      </c>
      <c r="AS56" s="432"/>
      <c r="AT56" s="169">
        <v>20</v>
      </c>
      <c r="AU56" s="169">
        <v>1274.6666666666665</v>
      </c>
      <c r="AV56" s="169">
        <v>63.733333333333327</v>
      </c>
      <c r="AW56" s="197">
        <f t="shared" si="14"/>
        <v>23</v>
      </c>
      <c r="AX56" s="432"/>
    </row>
    <row r="57" spans="2:50">
      <c r="B57" s="422"/>
      <c r="C57" s="197">
        <v>16</v>
      </c>
      <c r="D57" s="225" t="s">
        <v>285</v>
      </c>
      <c r="E57" s="169">
        <v>18</v>
      </c>
      <c r="F57" s="197">
        <v>1500</v>
      </c>
      <c r="G57" s="195">
        <v>83.333333333333329</v>
      </c>
      <c r="H57" s="429"/>
      <c r="I57" s="169">
        <f t="shared" si="15"/>
        <v>17</v>
      </c>
      <c r="J57" s="169">
        <f t="shared" si="16"/>
        <v>1272.6466118526664</v>
      </c>
      <c r="K57" s="195">
        <f t="shared" si="17"/>
        <v>74.861565403098027</v>
      </c>
      <c r="L57" s="429"/>
      <c r="M57" s="169">
        <f>RANK(K57, K$42:$K$71)</f>
        <v>14</v>
      </c>
      <c r="N57" s="423"/>
      <c r="O57" s="423"/>
      <c r="P57" s="169">
        <v>17</v>
      </c>
      <c r="Q57" s="169">
        <v>1264.8648648648641</v>
      </c>
      <c r="R57" s="169">
        <v>74.403815580286121</v>
      </c>
      <c r="S57" s="197">
        <f t="shared" si="8"/>
        <v>12</v>
      </c>
      <c r="T57" s="432"/>
      <c r="U57" s="169">
        <v>17</v>
      </c>
      <c r="V57" s="169">
        <v>1251.1764705882338</v>
      </c>
      <c r="W57" s="169">
        <v>73.598615916954927</v>
      </c>
      <c r="X57" s="197">
        <f t="shared" si="9"/>
        <v>12</v>
      </c>
      <c r="Y57" s="432"/>
      <c r="Z57" s="169">
        <v>17</v>
      </c>
      <c r="AA57" s="169">
        <v>1284.827586206894</v>
      </c>
      <c r="AB57" s="169">
        <v>75.578093306287883</v>
      </c>
      <c r="AC57" s="197">
        <f t="shared" si="10"/>
        <v>10</v>
      </c>
      <c r="AD57" s="432"/>
      <c r="AE57" s="169">
        <v>17</v>
      </c>
      <c r="AF57" s="169">
        <v>1276.8749999999982</v>
      </c>
      <c r="AG57" s="169">
        <v>75.110294117646959</v>
      </c>
      <c r="AH57" s="197">
        <f t="shared" si="11"/>
        <v>13</v>
      </c>
      <c r="AI57" s="432"/>
      <c r="AJ57" s="169">
        <v>17</v>
      </c>
      <c r="AK57" s="169">
        <v>1269.7297297297289</v>
      </c>
      <c r="AL57" s="169">
        <v>74.689984101748763</v>
      </c>
      <c r="AM57" s="197">
        <f t="shared" si="12"/>
        <v>12</v>
      </c>
      <c r="AN57" s="432"/>
      <c r="AO57" s="169">
        <v>17</v>
      </c>
      <c r="AP57" s="169">
        <v>1259.9999999999995</v>
      </c>
      <c r="AQ57" s="169">
        <v>74.117647058823508</v>
      </c>
      <c r="AR57" s="197">
        <f t="shared" si="13"/>
        <v>13</v>
      </c>
      <c r="AS57" s="432"/>
      <c r="AT57" s="169">
        <v>17</v>
      </c>
      <c r="AU57" s="169">
        <v>1301.0526315789464</v>
      </c>
      <c r="AV57" s="169">
        <v>76.532507739938026</v>
      </c>
      <c r="AW57" s="197">
        <f t="shared" si="14"/>
        <v>10</v>
      </c>
      <c r="AX57" s="432"/>
    </row>
    <row r="58" spans="2:50">
      <c r="B58" s="422"/>
      <c r="C58" s="197">
        <v>17</v>
      </c>
      <c r="D58" s="225" t="s">
        <v>286</v>
      </c>
      <c r="E58" s="169">
        <v>18</v>
      </c>
      <c r="F58" s="197">
        <v>1500</v>
      </c>
      <c r="G58" s="195">
        <v>83.333333333333329</v>
      </c>
      <c r="H58" s="429"/>
      <c r="I58" s="169">
        <f t="shared" si="15"/>
        <v>17</v>
      </c>
      <c r="J58" s="169">
        <f t="shared" si="16"/>
        <v>1283.6679140644906</v>
      </c>
      <c r="K58" s="195">
        <f t="shared" si="17"/>
        <v>75.509877297911203</v>
      </c>
      <c r="L58" s="429"/>
      <c r="M58" s="169">
        <f>RANK(K58, K$42:$K$71)</f>
        <v>13</v>
      </c>
      <c r="N58" s="423"/>
      <c r="O58" s="423"/>
      <c r="P58" s="169">
        <v>17</v>
      </c>
      <c r="Q58" s="169">
        <v>1260.0000000000009</v>
      </c>
      <c r="R58" s="169">
        <v>74.117647058823579</v>
      </c>
      <c r="S58" s="197">
        <f t="shared" si="8"/>
        <v>13</v>
      </c>
      <c r="T58" s="432"/>
      <c r="U58" s="169">
        <v>17</v>
      </c>
      <c r="V58" s="169">
        <v>1294.6153846153852</v>
      </c>
      <c r="W58" s="169">
        <v>76.153846153846189</v>
      </c>
      <c r="X58" s="197">
        <f t="shared" si="9"/>
        <v>11</v>
      </c>
      <c r="Y58" s="432"/>
      <c r="Z58" s="169">
        <v>17</v>
      </c>
      <c r="AA58" s="169">
        <v>1283.2653061224494</v>
      </c>
      <c r="AB58" s="169">
        <v>75.486194477791145</v>
      </c>
      <c r="AC58" s="197">
        <f t="shared" si="10"/>
        <v>11</v>
      </c>
      <c r="AD58" s="432"/>
      <c r="AE58" s="169">
        <v>17</v>
      </c>
      <c r="AF58" s="169">
        <v>1295.5102040816332</v>
      </c>
      <c r="AG58" s="169">
        <v>76.206482593037251</v>
      </c>
      <c r="AH58" s="197">
        <f t="shared" si="11"/>
        <v>10</v>
      </c>
      <c r="AI58" s="432"/>
      <c r="AJ58" s="169">
        <v>17</v>
      </c>
      <c r="AK58" s="169">
        <v>1273.9285714285722</v>
      </c>
      <c r="AL58" s="169">
        <v>74.936974789916007</v>
      </c>
      <c r="AM58" s="197">
        <f t="shared" si="12"/>
        <v>11</v>
      </c>
      <c r="AN58" s="432"/>
      <c r="AO58" s="169">
        <v>17</v>
      </c>
      <c r="AP58" s="169">
        <v>1297.0000000000014</v>
      </c>
      <c r="AQ58" s="169">
        <v>76.294117647058897</v>
      </c>
      <c r="AR58" s="197">
        <f t="shared" si="13"/>
        <v>11</v>
      </c>
      <c r="AS58" s="432"/>
      <c r="AT58" s="169">
        <v>17</v>
      </c>
      <c r="AU58" s="169">
        <v>1281.3559322033909</v>
      </c>
      <c r="AV58" s="169">
        <v>75.373878364905352</v>
      </c>
      <c r="AW58" s="197">
        <f t="shared" si="14"/>
        <v>11</v>
      </c>
      <c r="AX58" s="432"/>
    </row>
    <row r="59" spans="2:50">
      <c r="B59" s="422"/>
      <c r="C59" s="197">
        <v>18</v>
      </c>
      <c r="D59" s="225" t="s">
        <v>287</v>
      </c>
      <c r="E59" s="169">
        <v>17</v>
      </c>
      <c r="F59" s="197">
        <v>1440</v>
      </c>
      <c r="G59" s="195">
        <v>84.705882352941174</v>
      </c>
      <c r="H59" s="429"/>
      <c r="I59" s="169">
        <f t="shared" si="15"/>
        <v>17.285714285714285</v>
      </c>
      <c r="J59" s="169">
        <f t="shared" si="16"/>
        <v>1329.3901773949008</v>
      </c>
      <c r="K59" s="195">
        <f t="shared" si="17"/>
        <v>76.973401384870044</v>
      </c>
      <c r="L59" s="429"/>
      <c r="M59" s="169">
        <f>RANK(K59, K$42:$K$71)</f>
        <v>10</v>
      </c>
      <c r="N59" s="423"/>
      <c r="O59" s="423"/>
      <c r="P59" s="169">
        <v>17</v>
      </c>
      <c r="Q59" s="169">
        <v>1360.2531645569613</v>
      </c>
      <c r="R59" s="169">
        <v>80.014892032762432</v>
      </c>
      <c r="S59" s="197">
        <f t="shared" si="8"/>
        <v>6</v>
      </c>
      <c r="T59" s="432"/>
      <c r="U59" s="169">
        <v>17</v>
      </c>
      <c r="V59" s="169">
        <v>1321.538461538461</v>
      </c>
      <c r="W59" s="169">
        <v>77.737556561085938</v>
      </c>
      <c r="X59" s="197">
        <f t="shared" si="9"/>
        <v>9</v>
      </c>
      <c r="Y59" s="432"/>
      <c r="Z59" s="169">
        <v>17</v>
      </c>
      <c r="AA59" s="169">
        <v>1339.1666666666656</v>
      </c>
      <c r="AB59" s="169">
        <v>78.774509803921504</v>
      </c>
      <c r="AC59" s="197">
        <f t="shared" si="10"/>
        <v>8</v>
      </c>
      <c r="AD59" s="432"/>
      <c r="AE59" s="169">
        <v>17</v>
      </c>
      <c r="AF59" s="169">
        <v>1342.7272727272743</v>
      </c>
      <c r="AG59" s="169">
        <v>78.983957219251437</v>
      </c>
      <c r="AH59" s="197">
        <f t="shared" si="11"/>
        <v>8</v>
      </c>
      <c r="AI59" s="432"/>
      <c r="AJ59" s="169">
        <v>18</v>
      </c>
      <c r="AK59" s="169">
        <v>1309.9999999999993</v>
      </c>
      <c r="AL59" s="169">
        <v>72.777777777777743</v>
      </c>
      <c r="AM59" s="197">
        <f t="shared" si="12"/>
        <v>13</v>
      </c>
      <c r="AN59" s="432"/>
      <c r="AO59" s="169">
        <v>17</v>
      </c>
      <c r="AP59" s="169">
        <v>1315.909090909091</v>
      </c>
      <c r="AQ59" s="169">
        <v>77.406417112299465</v>
      </c>
      <c r="AR59" s="197">
        <f t="shared" si="13"/>
        <v>7</v>
      </c>
      <c r="AS59" s="432"/>
      <c r="AT59" s="169">
        <v>18</v>
      </c>
      <c r="AU59" s="169">
        <v>1316.1365853658531</v>
      </c>
      <c r="AV59" s="169">
        <v>73.118699186991833</v>
      </c>
      <c r="AW59" s="197">
        <f t="shared" si="14"/>
        <v>14</v>
      </c>
      <c r="AX59" s="432"/>
    </row>
    <row r="60" spans="2:50">
      <c r="B60" s="422"/>
      <c r="C60" s="197">
        <v>19</v>
      </c>
      <c r="D60" s="225" t="s">
        <v>288</v>
      </c>
      <c r="E60" s="169">
        <v>15</v>
      </c>
      <c r="F60" s="197">
        <v>1440</v>
      </c>
      <c r="G60" s="195">
        <v>96</v>
      </c>
      <c r="H60" s="429"/>
      <c r="I60" s="169">
        <f t="shared" si="15"/>
        <v>15</v>
      </c>
      <c r="J60" s="169">
        <f t="shared" si="16"/>
        <v>1274.0815580715564</v>
      </c>
      <c r="K60" s="195">
        <f t="shared" si="17"/>
        <v>84.938770538103753</v>
      </c>
      <c r="L60" s="429"/>
      <c r="M60" s="169">
        <f>RANK(K60, K$42:$K$71)</f>
        <v>4</v>
      </c>
      <c r="N60" s="423"/>
      <c r="O60" s="423"/>
      <c r="P60" s="169">
        <v>15</v>
      </c>
      <c r="Q60" s="169">
        <v>1270.4761904761917</v>
      </c>
      <c r="R60" s="169">
        <v>84.698412698412781</v>
      </c>
      <c r="S60" s="197">
        <f t="shared" si="8"/>
        <v>4</v>
      </c>
      <c r="T60" s="432"/>
      <c r="U60" s="169">
        <v>15</v>
      </c>
      <c r="V60" s="169">
        <v>1275.7377049180338</v>
      </c>
      <c r="W60" s="169">
        <v>85.049180327868925</v>
      </c>
      <c r="X60" s="197">
        <f t="shared" si="9"/>
        <v>4</v>
      </c>
      <c r="Y60" s="432"/>
      <c r="Z60" s="169">
        <v>15</v>
      </c>
      <c r="AA60" s="169">
        <v>1250.5263157894747</v>
      </c>
      <c r="AB60" s="169">
        <v>83.368421052631646</v>
      </c>
      <c r="AC60" s="197">
        <f t="shared" si="10"/>
        <v>4</v>
      </c>
      <c r="AD60" s="432"/>
      <c r="AE60" s="169">
        <v>15</v>
      </c>
      <c r="AF60" s="169">
        <v>1254.736842105264</v>
      </c>
      <c r="AG60" s="169">
        <v>83.649122807017605</v>
      </c>
      <c r="AH60" s="197">
        <f t="shared" si="11"/>
        <v>4</v>
      </c>
      <c r="AI60" s="432"/>
      <c r="AJ60" s="169">
        <v>15</v>
      </c>
      <c r="AK60" s="169">
        <v>1295.4098360655751</v>
      </c>
      <c r="AL60" s="169">
        <v>86.360655737705002</v>
      </c>
      <c r="AM60" s="197">
        <f t="shared" si="12"/>
        <v>4</v>
      </c>
      <c r="AN60" s="432"/>
      <c r="AO60" s="169">
        <v>15</v>
      </c>
      <c r="AP60" s="169">
        <v>1294.7826086956509</v>
      </c>
      <c r="AQ60" s="169">
        <v>86.318840579710056</v>
      </c>
      <c r="AR60" s="197">
        <f t="shared" si="13"/>
        <v>4</v>
      </c>
      <c r="AS60" s="432"/>
      <c r="AT60" s="169">
        <v>15</v>
      </c>
      <c r="AU60" s="169">
        <v>1276.901408450703</v>
      </c>
      <c r="AV60" s="169">
        <v>85.126760563380202</v>
      </c>
      <c r="AW60" s="197">
        <f t="shared" si="14"/>
        <v>4</v>
      </c>
      <c r="AX60" s="432"/>
    </row>
    <row r="61" spans="2:50">
      <c r="B61" s="422"/>
      <c r="C61" s="197">
        <v>20</v>
      </c>
      <c r="D61" s="225" t="s">
        <v>289</v>
      </c>
      <c r="E61" s="169">
        <v>17</v>
      </c>
      <c r="F61" s="197">
        <v>1440</v>
      </c>
      <c r="G61" s="195">
        <v>84.705882352941174</v>
      </c>
      <c r="H61" s="429"/>
      <c r="I61" s="169">
        <f t="shared" si="15"/>
        <v>17</v>
      </c>
      <c r="J61" s="169">
        <f t="shared" si="16"/>
        <v>1337.115188988105</v>
      </c>
      <c r="K61" s="195">
        <f t="shared" si="17"/>
        <v>78.653834646359115</v>
      </c>
      <c r="L61" s="429"/>
      <c r="M61" s="169">
        <f>RANK(K61, K$42:$K$71)</f>
        <v>9</v>
      </c>
      <c r="N61" s="423"/>
      <c r="O61" s="423"/>
      <c r="P61" s="169">
        <v>17</v>
      </c>
      <c r="Q61" s="169">
        <v>1320.5607476635521</v>
      </c>
      <c r="R61" s="169">
        <v>77.68004398020895</v>
      </c>
      <c r="S61" s="197">
        <f t="shared" si="8"/>
        <v>9</v>
      </c>
      <c r="T61" s="432"/>
      <c r="U61" s="169">
        <v>17</v>
      </c>
      <c r="V61" s="169">
        <v>1358.969072164949</v>
      </c>
      <c r="W61" s="169">
        <v>79.939357186173467</v>
      </c>
      <c r="X61" s="197">
        <f t="shared" si="9"/>
        <v>7</v>
      </c>
      <c r="Y61" s="432"/>
      <c r="Z61" s="169">
        <v>17</v>
      </c>
      <c r="AA61" s="169">
        <v>1327.5862068965516</v>
      </c>
      <c r="AB61" s="169">
        <v>78.093306288032451</v>
      </c>
      <c r="AC61" s="197">
        <f t="shared" si="10"/>
        <v>9</v>
      </c>
      <c r="AD61" s="432"/>
      <c r="AE61" s="169">
        <v>17</v>
      </c>
      <c r="AF61" s="169">
        <v>1360.9756097560971</v>
      </c>
      <c r="AG61" s="169">
        <v>80.057388809182186</v>
      </c>
      <c r="AH61" s="197">
        <f t="shared" si="11"/>
        <v>7</v>
      </c>
      <c r="AI61" s="432"/>
      <c r="AJ61" s="169">
        <v>17</v>
      </c>
      <c r="AK61" s="169">
        <v>1309.677419354839</v>
      </c>
      <c r="AL61" s="169">
        <v>77.039848197343474</v>
      </c>
      <c r="AM61" s="197">
        <f t="shared" si="12"/>
        <v>9</v>
      </c>
      <c r="AN61" s="432"/>
      <c r="AO61" s="169">
        <v>17</v>
      </c>
      <c r="AP61" s="169">
        <v>1311.428571428572</v>
      </c>
      <c r="AQ61" s="169">
        <v>77.142857142857181</v>
      </c>
      <c r="AR61" s="197">
        <f t="shared" si="13"/>
        <v>8</v>
      </c>
      <c r="AS61" s="432"/>
      <c r="AT61" s="169">
        <v>17</v>
      </c>
      <c r="AU61" s="169">
        <v>1370.6086956521731</v>
      </c>
      <c r="AV61" s="169">
        <v>80.62404092071607</v>
      </c>
      <c r="AW61" s="197">
        <f t="shared" si="14"/>
        <v>7</v>
      </c>
      <c r="AX61" s="432"/>
    </row>
    <row r="62" spans="2:50">
      <c r="B62" s="422"/>
      <c r="C62" s="197">
        <v>21</v>
      </c>
      <c r="D62" s="225" t="s">
        <v>290</v>
      </c>
      <c r="E62" s="169">
        <v>18</v>
      </c>
      <c r="F62" s="197">
        <v>1636</v>
      </c>
      <c r="G62" s="195">
        <v>90.888888888888886</v>
      </c>
      <c r="H62" s="429"/>
      <c r="I62" s="169">
        <f t="shared" si="15"/>
        <v>16.571428571428573</v>
      </c>
      <c r="J62" s="169">
        <f t="shared" si="16"/>
        <v>1265.4932474779782</v>
      </c>
      <c r="K62" s="195">
        <f t="shared" si="17"/>
        <v>76.441631248215643</v>
      </c>
      <c r="L62" s="429"/>
      <c r="M62" s="169">
        <f>RANK(K62, K$42:$K$71)</f>
        <v>11</v>
      </c>
      <c r="N62" s="423"/>
      <c r="O62" s="423"/>
      <c r="P62" s="169">
        <v>16</v>
      </c>
      <c r="Q62" s="169">
        <v>1274.4827586206907</v>
      </c>
      <c r="R62" s="169">
        <v>79.655172413793167</v>
      </c>
      <c r="S62" s="197">
        <f t="shared" si="8"/>
        <v>8</v>
      </c>
      <c r="T62" s="432"/>
      <c r="U62" s="169">
        <v>17</v>
      </c>
      <c r="V62" s="169">
        <v>1246.4150943396232</v>
      </c>
      <c r="W62" s="169">
        <v>73.318534961154313</v>
      </c>
      <c r="X62" s="197">
        <f t="shared" si="9"/>
        <v>14</v>
      </c>
      <c r="Y62" s="432"/>
      <c r="Z62" s="169">
        <v>17</v>
      </c>
      <c r="AA62" s="169">
        <v>1256.0869565217392</v>
      </c>
      <c r="AB62" s="169">
        <v>73.887468030690542</v>
      </c>
      <c r="AC62" s="197">
        <f t="shared" si="10"/>
        <v>13</v>
      </c>
      <c r="AD62" s="432"/>
      <c r="AE62" s="169">
        <v>17</v>
      </c>
      <c r="AF62" s="169">
        <v>1265.2173913043478</v>
      </c>
      <c r="AG62" s="169">
        <v>74.424552429667514</v>
      </c>
      <c r="AH62" s="197">
        <f t="shared" si="11"/>
        <v>14</v>
      </c>
      <c r="AI62" s="432"/>
      <c r="AJ62" s="169">
        <v>17</v>
      </c>
      <c r="AK62" s="169">
        <v>1281.1111111111118</v>
      </c>
      <c r="AL62" s="169">
        <v>75.359477124183044</v>
      </c>
      <c r="AM62" s="197">
        <f t="shared" si="12"/>
        <v>10</v>
      </c>
      <c r="AN62" s="432"/>
      <c r="AO62" s="169">
        <v>16</v>
      </c>
      <c r="AP62" s="169">
        <v>1252.8813559322045</v>
      </c>
      <c r="AQ62" s="169">
        <v>78.305084745762784</v>
      </c>
      <c r="AR62" s="197">
        <f t="shared" si="13"/>
        <v>6</v>
      </c>
      <c r="AS62" s="432"/>
      <c r="AT62" s="169">
        <v>16</v>
      </c>
      <c r="AU62" s="169">
        <v>1282.2580645161302</v>
      </c>
      <c r="AV62" s="169">
        <v>80.141129032258135</v>
      </c>
      <c r="AW62" s="197">
        <f t="shared" si="14"/>
        <v>8</v>
      </c>
      <c r="AX62" s="432"/>
    </row>
    <row r="63" spans="2:50">
      <c r="B63" s="422"/>
      <c r="C63" s="197">
        <v>22</v>
      </c>
      <c r="D63" s="225" t="s">
        <v>291</v>
      </c>
      <c r="E63" s="169">
        <v>18</v>
      </c>
      <c r="F63" s="197">
        <v>1440</v>
      </c>
      <c r="G63" s="195">
        <v>80</v>
      </c>
      <c r="H63" s="429"/>
      <c r="I63" s="169">
        <f t="shared" si="15"/>
        <v>18</v>
      </c>
      <c r="J63" s="169">
        <f t="shared" si="16"/>
        <v>1288.9303806311873</v>
      </c>
      <c r="K63" s="195">
        <f t="shared" si="17"/>
        <v>71.607243368399295</v>
      </c>
      <c r="L63" s="429"/>
      <c r="M63" s="169">
        <f>RANK(K63, K$42:$K$71)</f>
        <v>16</v>
      </c>
      <c r="N63" s="423"/>
      <c r="O63" s="423"/>
      <c r="P63" s="169">
        <v>18</v>
      </c>
      <c r="Q63" s="169">
        <v>1265.9259259259256</v>
      </c>
      <c r="R63" s="169">
        <v>70.329218106995867</v>
      </c>
      <c r="S63" s="197">
        <f t="shared" si="8"/>
        <v>16</v>
      </c>
      <c r="T63" s="432"/>
      <c r="U63" s="169">
        <v>18</v>
      </c>
      <c r="V63" s="169">
        <v>1320.8333333333323</v>
      </c>
      <c r="W63" s="169">
        <v>73.379629629629576</v>
      </c>
      <c r="X63" s="197">
        <f t="shared" si="9"/>
        <v>13</v>
      </c>
      <c r="Y63" s="432"/>
      <c r="Z63" s="169">
        <v>18</v>
      </c>
      <c r="AA63" s="169">
        <v>1308.3870967741948</v>
      </c>
      <c r="AB63" s="169">
        <v>72.688172043010823</v>
      </c>
      <c r="AC63" s="197">
        <f t="shared" si="10"/>
        <v>14</v>
      </c>
      <c r="AD63" s="432"/>
      <c r="AE63" s="169">
        <v>18</v>
      </c>
      <c r="AF63" s="169">
        <v>1268.8235294117662</v>
      </c>
      <c r="AG63" s="169">
        <v>70.490196078431453</v>
      </c>
      <c r="AH63" s="197">
        <f t="shared" si="11"/>
        <v>16</v>
      </c>
      <c r="AI63" s="432"/>
      <c r="AJ63" s="169">
        <v>18</v>
      </c>
      <c r="AK63" s="169">
        <v>1297.7777777777774</v>
      </c>
      <c r="AL63" s="169">
        <v>72.098765432098745</v>
      </c>
      <c r="AM63" s="197">
        <f t="shared" si="12"/>
        <v>14</v>
      </c>
      <c r="AN63" s="432"/>
      <c r="AO63" s="169">
        <v>18</v>
      </c>
      <c r="AP63" s="169">
        <v>1294.38202247191</v>
      </c>
      <c r="AQ63" s="169">
        <v>71.910112359550553</v>
      </c>
      <c r="AR63" s="197">
        <f t="shared" si="13"/>
        <v>16</v>
      </c>
      <c r="AS63" s="432"/>
      <c r="AT63" s="169">
        <v>18</v>
      </c>
      <c r="AU63" s="169">
        <v>1266.3829787234044</v>
      </c>
      <c r="AV63" s="169">
        <v>70.354609929078023</v>
      </c>
      <c r="AW63" s="197">
        <f t="shared" si="14"/>
        <v>15</v>
      </c>
      <c r="AX63" s="432"/>
    </row>
    <row r="64" spans="2:50">
      <c r="B64" s="422"/>
      <c r="C64" s="197">
        <v>23</v>
      </c>
      <c r="D64" s="225" t="s">
        <v>292</v>
      </c>
      <c r="E64" s="169">
        <v>17</v>
      </c>
      <c r="F64" s="197">
        <v>1500</v>
      </c>
      <c r="G64" s="195">
        <v>88.235294117647058</v>
      </c>
      <c r="H64" s="429"/>
      <c r="I64" s="169">
        <f t="shared" si="15"/>
        <v>16</v>
      </c>
      <c r="J64" s="169">
        <f t="shared" si="16"/>
        <v>1094.2762496302896</v>
      </c>
      <c r="K64" s="195">
        <f t="shared" si="17"/>
        <v>68.392265601893101</v>
      </c>
      <c r="L64" s="429"/>
      <c r="M64" s="169">
        <f>RANK(K64, K$42:$K$71)</f>
        <v>20</v>
      </c>
      <c r="N64" s="423"/>
      <c r="O64" s="423"/>
      <c r="P64" s="169">
        <v>16</v>
      </c>
      <c r="Q64" s="169">
        <v>1089.0000000000039</v>
      </c>
      <c r="R64" s="169">
        <v>68.062500000000242</v>
      </c>
      <c r="S64" s="197">
        <f t="shared" si="8"/>
        <v>20</v>
      </c>
      <c r="T64" s="432"/>
      <c r="U64" s="169">
        <v>16</v>
      </c>
      <c r="V64" s="169">
        <v>1133.3333333333374</v>
      </c>
      <c r="W64" s="169">
        <v>70.833333333333584</v>
      </c>
      <c r="X64" s="197">
        <f t="shared" si="9"/>
        <v>17</v>
      </c>
      <c r="Y64" s="432"/>
      <c r="Z64" s="169">
        <v>16</v>
      </c>
      <c r="AA64" s="169">
        <v>1065.0000000000039</v>
      </c>
      <c r="AB64" s="169">
        <v>66.562500000000242</v>
      </c>
      <c r="AC64" s="197">
        <f t="shared" si="10"/>
        <v>21</v>
      </c>
      <c r="AD64" s="432"/>
      <c r="AE64" s="169">
        <v>16</v>
      </c>
      <c r="AF64" s="169">
        <v>1058.5714285714323</v>
      </c>
      <c r="AG64" s="169">
        <v>66.160714285714519</v>
      </c>
      <c r="AH64" s="197">
        <f t="shared" si="11"/>
        <v>22</v>
      </c>
      <c r="AI64" s="432"/>
      <c r="AJ64" s="169">
        <v>16</v>
      </c>
      <c r="AK64" s="169">
        <v>1113.3333333333374</v>
      </c>
      <c r="AL64" s="169">
        <v>69.583333333333584</v>
      </c>
      <c r="AM64" s="197">
        <f t="shared" si="12"/>
        <v>19</v>
      </c>
      <c r="AN64" s="432"/>
      <c r="AO64" s="169">
        <v>16</v>
      </c>
      <c r="AP64" s="169">
        <v>1092.0000000000039</v>
      </c>
      <c r="AQ64" s="169">
        <v>68.250000000000242</v>
      </c>
      <c r="AR64" s="197">
        <f t="shared" si="13"/>
        <v>20</v>
      </c>
      <c r="AS64" s="432"/>
      <c r="AT64" s="169">
        <v>16</v>
      </c>
      <c r="AU64" s="169">
        <v>1108.6956521739094</v>
      </c>
      <c r="AV64" s="169">
        <v>69.293478260869335</v>
      </c>
      <c r="AW64" s="197">
        <f t="shared" si="14"/>
        <v>18</v>
      </c>
      <c r="AX64" s="432"/>
    </row>
    <row r="65" spans="2:50">
      <c r="B65" s="422"/>
      <c r="C65" s="197">
        <v>24</v>
      </c>
      <c r="D65" s="225" t="s">
        <v>293</v>
      </c>
      <c r="E65" s="169">
        <v>18</v>
      </c>
      <c r="F65" s="197">
        <v>1500</v>
      </c>
      <c r="G65" s="195">
        <v>83.333333333333329</v>
      </c>
      <c r="H65" s="429"/>
      <c r="I65" s="169">
        <f t="shared" si="15"/>
        <v>18</v>
      </c>
      <c r="J65" s="169">
        <f t="shared" si="16"/>
        <v>1277.685102908787</v>
      </c>
      <c r="K65" s="195">
        <f t="shared" si="17"/>
        <v>70.982505717154851</v>
      </c>
      <c r="L65" s="429"/>
      <c r="M65" s="169">
        <f>RANK(K65, K$42:$K$71)</f>
        <v>18</v>
      </c>
      <c r="N65" s="423"/>
      <c r="O65" s="423"/>
      <c r="P65" s="169">
        <v>18</v>
      </c>
      <c r="Q65" s="169">
        <v>1316.9696969696972</v>
      </c>
      <c r="R65" s="169">
        <v>73.164983164983184</v>
      </c>
      <c r="S65" s="197">
        <f t="shared" si="8"/>
        <v>14</v>
      </c>
      <c r="T65" s="432"/>
      <c r="U65" s="169">
        <v>18</v>
      </c>
      <c r="V65" s="169">
        <v>1272.6315789473686</v>
      </c>
      <c r="W65" s="169">
        <v>70.701754385964918</v>
      </c>
      <c r="X65" s="197">
        <f t="shared" si="9"/>
        <v>18</v>
      </c>
      <c r="Y65" s="432"/>
      <c r="Z65" s="169">
        <v>18</v>
      </c>
      <c r="AA65" s="169">
        <v>1303.4999999999995</v>
      </c>
      <c r="AB65" s="169">
        <v>72.416666666666643</v>
      </c>
      <c r="AC65" s="197">
        <f t="shared" si="10"/>
        <v>15</v>
      </c>
      <c r="AD65" s="432"/>
      <c r="AE65" s="169">
        <v>18</v>
      </c>
      <c r="AF65" s="169">
        <v>1259.9999999999995</v>
      </c>
      <c r="AG65" s="169">
        <v>69.999999999999972</v>
      </c>
      <c r="AH65" s="197">
        <f t="shared" si="11"/>
        <v>17</v>
      </c>
      <c r="AI65" s="432"/>
      <c r="AJ65" s="169">
        <v>18</v>
      </c>
      <c r="AK65" s="169">
        <v>1271.2500000000005</v>
      </c>
      <c r="AL65" s="169">
        <v>70.625000000000028</v>
      </c>
      <c r="AM65" s="197">
        <f t="shared" si="12"/>
        <v>18</v>
      </c>
      <c r="AN65" s="432"/>
      <c r="AO65" s="169">
        <v>18</v>
      </c>
      <c r="AP65" s="169">
        <v>1260.0000000000007</v>
      </c>
      <c r="AQ65" s="169">
        <v>70.000000000000043</v>
      </c>
      <c r="AR65" s="197">
        <f t="shared" si="13"/>
        <v>17</v>
      </c>
      <c r="AS65" s="432"/>
      <c r="AT65" s="169">
        <v>18</v>
      </c>
      <c r="AU65" s="169">
        <v>1259.444444444445</v>
      </c>
      <c r="AV65" s="169">
        <v>69.969135802469168</v>
      </c>
      <c r="AW65" s="197">
        <f t="shared" si="14"/>
        <v>17</v>
      </c>
      <c r="AX65" s="432"/>
    </row>
    <row r="66" spans="2:50">
      <c r="B66" s="422"/>
      <c r="C66" s="197">
        <v>25</v>
      </c>
      <c r="D66" s="225" t="s">
        <v>294</v>
      </c>
      <c r="E66" s="169">
        <v>18</v>
      </c>
      <c r="F66" s="197">
        <v>1636</v>
      </c>
      <c r="G66" s="195">
        <v>90.888888888888886</v>
      </c>
      <c r="H66" s="429"/>
      <c r="I66" s="169">
        <v>16</v>
      </c>
      <c r="J66" s="169">
        <v>1321.2435233160627</v>
      </c>
      <c r="K66" s="195">
        <v>82.577720207253918</v>
      </c>
      <c r="L66" s="429"/>
      <c r="M66" s="169">
        <f>RANK(K66, K$42:$K$71)</f>
        <v>5</v>
      </c>
      <c r="N66" s="423"/>
      <c r="O66" s="423"/>
      <c r="P66" s="197"/>
      <c r="Q66" s="195"/>
      <c r="R66" s="195"/>
      <c r="S66" s="197" t="e">
        <f t="shared" si="8"/>
        <v>#N/A</v>
      </c>
      <c r="T66" s="432"/>
      <c r="U66" s="197"/>
      <c r="V66" s="195"/>
      <c r="W66" s="195"/>
      <c r="X66" s="197" t="e">
        <f t="shared" si="9"/>
        <v>#N/A</v>
      </c>
      <c r="Y66" s="432"/>
      <c r="Z66" s="197"/>
      <c r="AA66" s="195"/>
      <c r="AB66" s="195"/>
      <c r="AC66" s="197" t="e">
        <f t="shared" si="10"/>
        <v>#N/A</v>
      </c>
      <c r="AD66" s="432"/>
      <c r="AE66" s="197"/>
      <c r="AF66" s="195"/>
      <c r="AG66" s="195"/>
      <c r="AH66" s="197" t="e">
        <f t="shared" si="11"/>
        <v>#N/A</v>
      </c>
      <c r="AI66" s="432"/>
      <c r="AJ66" s="197"/>
      <c r="AK66" s="195"/>
      <c r="AL66" s="195"/>
      <c r="AM66" s="197" t="e">
        <f t="shared" si="12"/>
        <v>#N/A</v>
      </c>
      <c r="AN66" s="432"/>
      <c r="AO66" s="197"/>
      <c r="AP66" s="195"/>
      <c r="AQ66" s="195"/>
      <c r="AR66" s="197" t="e">
        <f t="shared" si="13"/>
        <v>#N/A</v>
      </c>
      <c r="AS66" s="432"/>
      <c r="AT66" s="197"/>
      <c r="AU66" s="195"/>
      <c r="AV66" s="195"/>
      <c r="AW66" s="197" t="e">
        <f t="shared" si="14"/>
        <v>#N/A</v>
      </c>
      <c r="AX66" s="432"/>
    </row>
    <row r="67" spans="2:50">
      <c r="B67" s="422"/>
      <c r="C67" s="197">
        <v>26</v>
      </c>
      <c r="D67" s="225"/>
      <c r="E67" s="169"/>
      <c r="F67" s="197"/>
      <c r="G67" s="195"/>
      <c r="H67" s="429"/>
      <c r="I67" s="169"/>
      <c r="J67" s="169"/>
      <c r="K67" s="195"/>
      <c r="L67" s="429"/>
      <c r="M67" s="169" t="e">
        <f>RANK(K67, K$42:$K$71)</f>
        <v>#N/A</v>
      </c>
      <c r="N67" s="423"/>
      <c r="O67" s="423"/>
      <c r="P67" s="197"/>
      <c r="Q67" s="195"/>
      <c r="R67" s="195"/>
      <c r="S67" s="197" t="e">
        <f t="shared" si="8"/>
        <v>#N/A</v>
      </c>
      <c r="T67" s="432"/>
      <c r="U67" s="197"/>
      <c r="V67" s="195"/>
      <c r="W67" s="195"/>
      <c r="X67" s="197" t="e">
        <f t="shared" si="9"/>
        <v>#N/A</v>
      </c>
      <c r="Y67" s="432"/>
      <c r="Z67" s="197"/>
      <c r="AA67" s="195"/>
      <c r="AB67" s="195"/>
      <c r="AC67" s="197" t="e">
        <f t="shared" si="10"/>
        <v>#N/A</v>
      </c>
      <c r="AD67" s="432"/>
      <c r="AE67" s="197"/>
      <c r="AF67" s="195"/>
      <c r="AG67" s="195"/>
      <c r="AH67" s="197" t="e">
        <f t="shared" si="11"/>
        <v>#N/A</v>
      </c>
      <c r="AI67" s="432"/>
      <c r="AJ67" s="197"/>
      <c r="AK67" s="195"/>
      <c r="AL67" s="195"/>
      <c r="AM67" s="197" t="e">
        <f t="shared" si="12"/>
        <v>#N/A</v>
      </c>
      <c r="AN67" s="432"/>
      <c r="AO67" s="197"/>
      <c r="AP67" s="195"/>
      <c r="AQ67" s="195"/>
      <c r="AR67" s="197" t="e">
        <f t="shared" si="13"/>
        <v>#N/A</v>
      </c>
      <c r="AS67" s="432"/>
      <c r="AT67" s="197"/>
      <c r="AU67" s="195"/>
      <c r="AV67" s="195"/>
      <c r="AW67" s="197" t="e">
        <f t="shared" si="14"/>
        <v>#N/A</v>
      </c>
      <c r="AX67" s="432"/>
    </row>
    <row r="68" spans="2:50">
      <c r="B68" s="422"/>
      <c r="C68" s="197">
        <v>27</v>
      </c>
      <c r="D68" s="225"/>
      <c r="E68" s="169"/>
      <c r="F68" s="197"/>
      <c r="G68" s="195"/>
      <c r="H68" s="429"/>
      <c r="I68" s="169"/>
      <c r="J68" s="169"/>
      <c r="K68" s="195"/>
      <c r="L68" s="429"/>
      <c r="M68" s="169" t="e">
        <f>RANK(K68, K$42:$K$71)</f>
        <v>#N/A</v>
      </c>
      <c r="N68" s="423"/>
      <c r="O68" s="423"/>
      <c r="P68" s="197"/>
      <c r="Q68" s="195"/>
      <c r="R68" s="195"/>
      <c r="S68" s="197" t="e">
        <f t="shared" si="8"/>
        <v>#N/A</v>
      </c>
      <c r="T68" s="432"/>
      <c r="U68" s="197"/>
      <c r="V68" s="195"/>
      <c r="W68" s="195"/>
      <c r="X68" s="197" t="e">
        <f t="shared" si="9"/>
        <v>#N/A</v>
      </c>
      <c r="Y68" s="432"/>
      <c r="Z68" s="197"/>
      <c r="AA68" s="195"/>
      <c r="AB68" s="195"/>
      <c r="AC68" s="197" t="e">
        <f t="shared" si="10"/>
        <v>#N/A</v>
      </c>
      <c r="AD68" s="432"/>
      <c r="AE68" s="197"/>
      <c r="AF68" s="195"/>
      <c r="AG68" s="195"/>
      <c r="AH68" s="197" t="e">
        <f t="shared" si="11"/>
        <v>#N/A</v>
      </c>
      <c r="AI68" s="432"/>
      <c r="AJ68" s="197"/>
      <c r="AK68" s="195"/>
      <c r="AL68" s="195"/>
      <c r="AM68" s="197" t="e">
        <f t="shared" si="12"/>
        <v>#N/A</v>
      </c>
      <c r="AN68" s="432"/>
      <c r="AO68" s="197"/>
      <c r="AP68" s="195"/>
      <c r="AQ68" s="195"/>
      <c r="AR68" s="197" t="e">
        <f t="shared" si="13"/>
        <v>#N/A</v>
      </c>
      <c r="AS68" s="432"/>
      <c r="AT68" s="197"/>
      <c r="AU68" s="195"/>
      <c r="AV68" s="195"/>
      <c r="AW68" s="197" t="e">
        <f t="shared" si="14"/>
        <v>#N/A</v>
      </c>
      <c r="AX68" s="432"/>
    </row>
    <row r="69" spans="2:50">
      <c r="B69" s="422"/>
      <c r="C69" s="197">
        <v>28</v>
      </c>
      <c r="D69" s="225"/>
      <c r="E69" s="169"/>
      <c r="F69" s="197"/>
      <c r="G69" s="195"/>
      <c r="H69" s="429"/>
      <c r="I69" s="169"/>
      <c r="J69" s="169"/>
      <c r="K69" s="195"/>
      <c r="L69" s="429"/>
      <c r="M69" s="169" t="e">
        <f>RANK(K69, K$42:$K$71)</f>
        <v>#N/A</v>
      </c>
      <c r="N69" s="423"/>
      <c r="O69" s="423"/>
      <c r="P69" s="197"/>
      <c r="Q69" s="195"/>
      <c r="R69" s="195"/>
      <c r="S69" s="197" t="e">
        <f t="shared" si="8"/>
        <v>#N/A</v>
      </c>
      <c r="T69" s="432"/>
      <c r="U69" s="197"/>
      <c r="V69" s="195"/>
      <c r="W69" s="195"/>
      <c r="X69" s="197" t="e">
        <f t="shared" si="9"/>
        <v>#N/A</v>
      </c>
      <c r="Y69" s="432"/>
      <c r="Z69" s="197"/>
      <c r="AA69" s="195"/>
      <c r="AB69" s="195"/>
      <c r="AC69" s="197" t="e">
        <f t="shared" si="10"/>
        <v>#N/A</v>
      </c>
      <c r="AD69" s="432"/>
      <c r="AE69" s="197"/>
      <c r="AF69" s="195"/>
      <c r="AG69" s="195"/>
      <c r="AH69" s="197" t="e">
        <f t="shared" si="11"/>
        <v>#N/A</v>
      </c>
      <c r="AI69" s="432"/>
      <c r="AJ69" s="197"/>
      <c r="AK69" s="195"/>
      <c r="AL69" s="195"/>
      <c r="AM69" s="197" t="e">
        <f t="shared" si="12"/>
        <v>#N/A</v>
      </c>
      <c r="AN69" s="432"/>
      <c r="AO69" s="197"/>
      <c r="AP69" s="195"/>
      <c r="AQ69" s="195"/>
      <c r="AR69" s="197" t="e">
        <f t="shared" si="13"/>
        <v>#N/A</v>
      </c>
      <c r="AS69" s="432"/>
      <c r="AT69" s="197"/>
      <c r="AU69" s="195"/>
      <c r="AV69" s="195"/>
      <c r="AW69" s="197" t="e">
        <f t="shared" si="14"/>
        <v>#N/A</v>
      </c>
      <c r="AX69" s="432"/>
    </row>
    <row r="70" spans="2:50">
      <c r="B70" s="422"/>
      <c r="C70" s="197">
        <v>29</v>
      </c>
      <c r="D70" s="225"/>
      <c r="E70" s="169"/>
      <c r="F70" s="197"/>
      <c r="G70" s="195"/>
      <c r="H70" s="429"/>
      <c r="I70" s="197"/>
      <c r="J70" s="197"/>
      <c r="K70" s="197"/>
      <c r="L70" s="429"/>
      <c r="M70" s="169" t="e">
        <f>RANK(K70, K$42:$K$71)</f>
        <v>#N/A</v>
      </c>
      <c r="N70" s="423"/>
      <c r="O70" s="423"/>
      <c r="P70" s="197"/>
      <c r="Q70" s="197"/>
      <c r="R70" s="197"/>
      <c r="S70" s="197" t="e">
        <f t="shared" si="8"/>
        <v>#N/A</v>
      </c>
      <c r="T70" s="432"/>
      <c r="U70" s="197"/>
      <c r="V70" s="197"/>
      <c r="W70" s="197"/>
      <c r="X70" s="197" t="e">
        <f t="shared" si="9"/>
        <v>#N/A</v>
      </c>
      <c r="Y70" s="432"/>
      <c r="Z70" s="197"/>
      <c r="AA70" s="197"/>
      <c r="AB70" s="197"/>
      <c r="AC70" s="197" t="e">
        <f t="shared" si="10"/>
        <v>#N/A</v>
      </c>
      <c r="AD70" s="432"/>
      <c r="AE70" s="197"/>
      <c r="AF70" s="197"/>
      <c r="AG70" s="197"/>
      <c r="AH70" s="197" t="e">
        <f t="shared" si="11"/>
        <v>#N/A</v>
      </c>
      <c r="AI70" s="432"/>
      <c r="AJ70" s="197"/>
      <c r="AK70" s="197"/>
      <c r="AL70" s="197"/>
      <c r="AM70" s="197" t="e">
        <f t="shared" si="12"/>
        <v>#N/A</v>
      </c>
      <c r="AN70" s="432"/>
      <c r="AO70" s="197"/>
      <c r="AP70" s="197"/>
      <c r="AQ70" s="197"/>
      <c r="AR70" s="197" t="e">
        <f t="shared" si="13"/>
        <v>#N/A</v>
      </c>
      <c r="AS70" s="432"/>
      <c r="AT70" s="197"/>
      <c r="AU70" s="197"/>
      <c r="AV70" s="197"/>
      <c r="AW70" s="197" t="e">
        <f t="shared" si="14"/>
        <v>#N/A</v>
      </c>
      <c r="AX70" s="432"/>
    </row>
    <row r="71" spans="2:50">
      <c r="B71" s="422"/>
      <c r="C71" s="197">
        <v>30</v>
      </c>
      <c r="D71" s="225"/>
      <c r="E71" s="169"/>
      <c r="F71" s="197"/>
      <c r="G71" s="195"/>
      <c r="H71" s="430"/>
      <c r="I71" s="197"/>
      <c r="J71" s="197"/>
      <c r="K71" s="197"/>
      <c r="L71" s="430"/>
      <c r="M71" s="169" t="e">
        <f>RANK(K71, K$42:$K$71)</f>
        <v>#N/A</v>
      </c>
      <c r="N71" s="423"/>
      <c r="O71" s="423"/>
      <c r="P71" s="197"/>
      <c r="Q71" s="197"/>
      <c r="R71" s="197"/>
      <c r="S71" s="197" t="e">
        <f t="shared" si="8"/>
        <v>#N/A</v>
      </c>
      <c r="T71" s="432"/>
      <c r="U71" s="197"/>
      <c r="V71" s="197"/>
      <c r="W71" s="197"/>
      <c r="X71" s="197" t="e">
        <f t="shared" si="9"/>
        <v>#N/A</v>
      </c>
      <c r="Y71" s="432"/>
      <c r="Z71" s="197"/>
      <c r="AA71" s="197"/>
      <c r="AB71" s="197"/>
      <c r="AC71" s="197" t="e">
        <f t="shared" si="10"/>
        <v>#N/A</v>
      </c>
      <c r="AD71" s="432"/>
      <c r="AE71" s="197"/>
      <c r="AF71" s="197"/>
      <c r="AG71" s="197"/>
      <c r="AH71" s="197" t="e">
        <f t="shared" si="11"/>
        <v>#N/A</v>
      </c>
      <c r="AI71" s="432"/>
      <c r="AJ71" s="197"/>
      <c r="AK71" s="197"/>
      <c r="AL71" s="197"/>
      <c r="AM71" s="197" t="e">
        <f t="shared" si="12"/>
        <v>#N/A</v>
      </c>
      <c r="AN71" s="432"/>
      <c r="AO71" s="197"/>
      <c r="AP71" s="197"/>
      <c r="AQ71" s="197"/>
      <c r="AR71" s="197" t="e">
        <f t="shared" si="13"/>
        <v>#N/A</v>
      </c>
      <c r="AS71" s="432"/>
      <c r="AT71" s="197"/>
      <c r="AU71" s="197"/>
      <c r="AV71" s="197"/>
      <c r="AW71" s="197" t="e">
        <f t="shared" si="14"/>
        <v>#N/A</v>
      </c>
      <c r="AX71" s="432"/>
    </row>
    <row r="72" spans="2:50" ht="15.75">
      <c r="B72" s="424" t="s">
        <v>202</v>
      </c>
      <c r="C72" s="425"/>
      <c r="D72" s="425"/>
      <c r="E72" s="425"/>
      <c r="F72" s="425"/>
      <c r="G72" s="425"/>
      <c r="H72" s="425"/>
      <c r="I72" s="201"/>
      <c r="J72" s="198"/>
      <c r="K72" s="201"/>
      <c r="L72" s="201"/>
      <c r="M72" s="193"/>
      <c r="N72" s="401" t="s">
        <v>203</v>
      </c>
      <c r="O72" s="401" t="s">
        <v>150</v>
      </c>
      <c r="P72" s="421">
        <f>P37+7</f>
        <v>45909</v>
      </c>
      <c r="Q72" s="422"/>
      <c r="R72" s="422"/>
      <c r="S72" s="422"/>
      <c r="T72" s="422"/>
      <c r="U72" s="416">
        <f>P72+1</f>
        <v>45910</v>
      </c>
      <c r="V72" s="417"/>
      <c r="W72" s="417"/>
      <c r="X72" s="417"/>
      <c r="Y72" s="418"/>
      <c r="Z72" s="416">
        <f>U72+1</f>
        <v>45911</v>
      </c>
      <c r="AA72" s="417"/>
      <c r="AB72" s="417"/>
      <c r="AC72" s="417"/>
      <c r="AD72" s="418"/>
      <c r="AE72" s="416">
        <f t="shared" ref="AE72" si="18">Z72+1</f>
        <v>45912</v>
      </c>
      <c r="AF72" s="417"/>
      <c r="AG72" s="417"/>
      <c r="AH72" s="417"/>
      <c r="AI72" s="418"/>
      <c r="AJ72" s="416">
        <f t="shared" ref="AJ72" si="19">AE72+1</f>
        <v>45913</v>
      </c>
      <c r="AK72" s="417"/>
      <c r="AL72" s="417"/>
      <c r="AM72" s="417"/>
      <c r="AN72" s="418"/>
      <c r="AO72" s="416">
        <f t="shared" ref="AO72" si="20">AJ72+1</f>
        <v>45914</v>
      </c>
      <c r="AP72" s="417"/>
      <c r="AQ72" s="417"/>
      <c r="AR72" s="417"/>
      <c r="AS72" s="418"/>
      <c r="AT72" s="416">
        <f t="shared" ref="AT72" si="21">AO72+1</f>
        <v>45915</v>
      </c>
      <c r="AU72" s="417"/>
      <c r="AV72" s="417"/>
      <c r="AW72" s="417"/>
      <c r="AX72" s="418"/>
    </row>
    <row r="73" spans="2:50" ht="15.75">
      <c r="B73" s="426"/>
      <c r="C73" s="426"/>
      <c r="D73" s="426"/>
      <c r="E73" s="426"/>
      <c r="F73" s="426"/>
      <c r="G73" s="426"/>
      <c r="H73" s="426"/>
      <c r="I73" s="199"/>
      <c r="J73" s="199"/>
      <c r="K73" s="199"/>
      <c r="L73" s="199"/>
      <c r="M73" s="194"/>
      <c r="N73" s="403"/>
      <c r="O73" s="403"/>
      <c r="P73" s="421" t="s">
        <v>204</v>
      </c>
      <c r="Q73" s="422"/>
      <c r="R73" s="422"/>
      <c r="S73" s="422"/>
      <c r="T73" s="422"/>
      <c r="U73" s="421" t="s">
        <v>205</v>
      </c>
      <c r="V73" s="422"/>
      <c r="W73" s="422"/>
      <c r="X73" s="422"/>
      <c r="Y73" s="422"/>
      <c r="Z73" s="421" t="s">
        <v>206</v>
      </c>
      <c r="AA73" s="422"/>
      <c r="AB73" s="422"/>
      <c r="AC73" s="422"/>
      <c r="AD73" s="422"/>
      <c r="AE73" s="421" t="s">
        <v>207</v>
      </c>
      <c r="AF73" s="422"/>
      <c r="AG73" s="422"/>
      <c r="AH73" s="422"/>
      <c r="AI73" s="422"/>
      <c r="AJ73" s="421" t="s">
        <v>208</v>
      </c>
      <c r="AK73" s="422"/>
      <c r="AL73" s="422"/>
      <c r="AM73" s="422"/>
      <c r="AN73" s="422"/>
      <c r="AO73" s="421" t="s">
        <v>157</v>
      </c>
      <c r="AP73" s="422"/>
      <c r="AQ73" s="422"/>
      <c r="AR73" s="422"/>
      <c r="AS73" s="422"/>
      <c r="AT73" s="421" t="s">
        <v>209</v>
      </c>
      <c r="AU73" s="422"/>
      <c r="AV73" s="422"/>
      <c r="AW73" s="422"/>
      <c r="AX73" s="422"/>
    </row>
    <row r="74" spans="2:50">
      <c r="B74" s="423" t="s">
        <v>210</v>
      </c>
      <c r="C74" s="423" t="s">
        <v>211</v>
      </c>
      <c r="D74" s="423"/>
      <c r="E74" s="423" t="s">
        <v>212</v>
      </c>
      <c r="F74" s="423"/>
      <c r="G74" s="423"/>
      <c r="H74" s="404" t="s">
        <v>213</v>
      </c>
      <c r="I74" s="423" t="s">
        <v>214</v>
      </c>
      <c r="J74" s="423"/>
      <c r="K74" s="423"/>
      <c r="L74" s="404" t="s">
        <v>213</v>
      </c>
      <c r="M74" s="401" t="s">
        <v>215</v>
      </c>
      <c r="N74" s="423"/>
      <c r="O74" s="423" t="s">
        <v>216</v>
      </c>
      <c r="P74" s="413" t="s">
        <v>217</v>
      </c>
      <c r="Q74" s="414"/>
      <c r="R74" s="414"/>
      <c r="S74" s="415"/>
      <c r="T74" s="423" t="s">
        <v>213</v>
      </c>
      <c r="U74" s="413" t="s">
        <v>217</v>
      </c>
      <c r="V74" s="414"/>
      <c r="W74" s="414"/>
      <c r="X74" s="415"/>
      <c r="Y74" s="423" t="s">
        <v>213</v>
      </c>
      <c r="Z74" s="413" t="s">
        <v>217</v>
      </c>
      <c r="AA74" s="414"/>
      <c r="AB74" s="414"/>
      <c r="AC74" s="415"/>
      <c r="AD74" s="423" t="s">
        <v>213</v>
      </c>
      <c r="AE74" s="413" t="s">
        <v>217</v>
      </c>
      <c r="AF74" s="414"/>
      <c r="AG74" s="414"/>
      <c r="AH74" s="415"/>
      <c r="AI74" s="423" t="s">
        <v>213</v>
      </c>
      <c r="AJ74" s="413" t="s">
        <v>217</v>
      </c>
      <c r="AK74" s="414"/>
      <c r="AL74" s="414"/>
      <c r="AM74" s="415"/>
      <c r="AN74" s="423" t="s">
        <v>213</v>
      </c>
      <c r="AO74" s="413" t="s">
        <v>217</v>
      </c>
      <c r="AP74" s="414"/>
      <c r="AQ74" s="414"/>
      <c r="AR74" s="415"/>
      <c r="AS74" s="423" t="s">
        <v>213</v>
      </c>
      <c r="AT74" s="413" t="s">
        <v>217</v>
      </c>
      <c r="AU74" s="414"/>
      <c r="AV74" s="414"/>
      <c r="AW74" s="415"/>
      <c r="AX74" s="423" t="s">
        <v>213</v>
      </c>
    </row>
    <row r="75" spans="2:50">
      <c r="B75" s="423"/>
      <c r="C75" s="423"/>
      <c r="D75" s="423"/>
      <c r="E75" s="423" t="s">
        <v>218</v>
      </c>
      <c r="F75" s="423"/>
      <c r="G75" s="423"/>
      <c r="H75" s="406"/>
      <c r="I75" s="423" t="s">
        <v>218</v>
      </c>
      <c r="J75" s="423"/>
      <c r="K75" s="423"/>
      <c r="L75" s="406"/>
      <c r="M75" s="402"/>
      <c r="N75" s="423"/>
      <c r="O75" s="423"/>
      <c r="P75" s="413" t="s">
        <v>219</v>
      </c>
      <c r="Q75" s="414"/>
      <c r="R75" s="414"/>
      <c r="S75" s="415"/>
      <c r="T75" s="423"/>
      <c r="U75" s="413" t="s">
        <v>219</v>
      </c>
      <c r="V75" s="414"/>
      <c r="W75" s="414"/>
      <c r="X75" s="415"/>
      <c r="Y75" s="423"/>
      <c r="Z75" s="413" t="s">
        <v>219</v>
      </c>
      <c r="AA75" s="414"/>
      <c r="AB75" s="414"/>
      <c r="AC75" s="415"/>
      <c r="AD75" s="423"/>
      <c r="AE75" s="413" t="s">
        <v>219</v>
      </c>
      <c r="AF75" s="414"/>
      <c r="AG75" s="414"/>
      <c r="AH75" s="415"/>
      <c r="AI75" s="423"/>
      <c r="AJ75" s="413" t="s">
        <v>219</v>
      </c>
      <c r="AK75" s="414"/>
      <c r="AL75" s="414"/>
      <c r="AM75" s="415"/>
      <c r="AN75" s="423"/>
      <c r="AO75" s="413" t="s">
        <v>219</v>
      </c>
      <c r="AP75" s="414"/>
      <c r="AQ75" s="414"/>
      <c r="AR75" s="415"/>
      <c r="AS75" s="423"/>
      <c r="AT75" s="413" t="s">
        <v>219</v>
      </c>
      <c r="AU75" s="414"/>
      <c r="AV75" s="414"/>
      <c r="AW75" s="415"/>
      <c r="AX75" s="423"/>
    </row>
    <row r="76" spans="2:50">
      <c r="B76" s="423"/>
      <c r="C76" s="423"/>
      <c r="D76" s="423"/>
      <c r="E76" s="297" t="s">
        <v>220</v>
      </c>
      <c r="F76" s="297" t="s">
        <v>221</v>
      </c>
      <c r="G76" s="297" t="s">
        <v>222</v>
      </c>
      <c r="H76" s="408"/>
      <c r="I76" s="297" t="s">
        <v>220</v>
      </c>
      <c r="J76" s="297" t="s">
        <v>221</v>
      </c>
      <c r="K76" s="297" t="s">
        <v>222</v>
      </c>
      <c r="L76" s="408"/>
      <c r="M76" s="403"/>
      <c r="N76" s="423"/>
      <c r="O76" s="423"/>
      <c r="P76" s="297" t="s">
        <v>220</v>
      </c>
      <c r="Q76" s="297" t="s">
        <v>221</v>
      </c>
      <c r="R76" s="297" t="s">
        <v>222</v>
      </c>
      <c r="S76" s="297" t="s">
        <v>215</v>
      </c>
      <c r="T76" s="423"/>
      <c r="U76" s="297" t="s">
        <v>220</v>
      </c>
      <c r="V76" s="297" t="s">
        <v>221</v>
      </c>
      <c r="W76" s="297" t="s">
        <v>222</v>
      </c>
      <c r="X76" s="297" t="s">
        <v>215</v>
      </c>
      <c r="Y76" s="423"/>
      <c r="Z76" s="297" t="s">
        <v>220</v>
      </c>
      <c r="AA76" s="297" t="s">
        <v>221</v>
      </c>
      <c r="AB76" s="297" t="s">
        <v>222</v>
      </c>
      <c r="AC76" s="297" t="s">
        <v>215</v>
      </c>
      <c r="AD76" s="423"/>
      <c r="AE76" s="297" t="s">
        <v>220</v>
      </c>
      <c r="AF76" s="297" t="s">
        <v>221</v>
      </c>
      <c r="AG76" s="297" t="s">
        <v>222</v>
      </c>
      <c r="AH76" s="297" t="s">
        <v>215</v>
      </c>
      <c r="AI76" s="423"/>
      <c r="AJ76" s="297" t="s">
        <v>220</v>
      </c>
      <c r="AK76" s="297" t="s">
        <v>221</v>
      </c>
      <c r="AL76" s="297" t="s">
        <v>222</v>
      </c>
      <c r="AM76" s="297" t="s">
        <v>215</v>
      </c>
      <c r="AN76" s="423"/>
      <c r="AO76" s="297" t="s">
        <v>220</v>
      </c>
      <c r="AP76" s="297" t="s">
        <v>221</v>
      </c>
      <c r="AQ76" s="297" t="s">
        <v>222</v>
      </c>
      <c r="AR76" s="297" t="s">
        <v>215</v>
      </c>
      <c r="AS76" s="423"/>
      <c r="AT76" s="297" t="s">
        <v>220</v>
      </c>
      <c r="AU76" s="297" t="s">
        <v>221</v>
      </c>
      <c r="AV76" s="297" t="s">
        <v>222</v>
      </c>
      <c r="AW76" s="297" t="s">
        <v>215</v>
      </c>
      <c r="AX76" s="423"/>
    </row>
    <row r="77" spans="2:50">
      <c r="B77" s="423" t="s">
        <v>187</v>
      </c>
      <c r="C77" s="197">
        <v>1</v>
      </c>
      <c r="D77" s="225" t="s">
        <v>270</v>
      </c>
      <c r="E77" s="169">
        <v>5</v>
      </c>
      <c r="F77" s="197">
        <v>1600</v>
      </c>
      <c r="G77" s="195">
        <v>320</v>
      </c>
      <c r="H77" s="428">
        <f>AVERAGE(G77:G106)</f>
        <v>106.45300348911491</v>
      </c>
      <c r="I77" s="169">
        <f>AVERAGE(P77,U77,Z77,AE77,AJ77,AO77,AT77)</f>
        <v>5</v>
      </c>
      <c r="J77" s="169">
        <f>AVERAGE(Q77,V77,AA77,AF77,AK77,AP77,AU77)</f>
        <v>1091.4285714285754</v>
      </c>
      <c r="K77" s="195">
        <f>AVERAGE(R77,W77,AB77,AG77,AL77,AQ77,AV77)</f>
        <v>218.28571428571507</v>
      </c>
      <c r="L77" s="428">
        <f>IFERROR(AVERAGE(K77:K106),"-")</f>
        <v>91.678334083827465</v>
      </c>
      <c r="M77" s="196">
        <f>RANK(K77, K$77:$K$106)</f>
        <v>2</v>
      </c>
      <c r="N77" s="423"/>
      <c r="O77" s="423"/>
      <c r="P77" s="169">
        <v>5</v>
      </c>
      <c r="Q77" s="169">
        <v>840.00000000000296</v>
      </c>
      <c r="R77" s="169">
        <v>168.0000000000006</v>
      </c>
      <c r="S77" s="197">
        <f>RANK(R77, R$77:R$106)</f>
        <v>3</v>
      </c>
      <c r="T77" s="432">
        <f>AVERAGE(R77:R106)</f>
        <v>88.53964797900737</v>
      </c>
      <c r="U77" s="169">
        <v>5</v>
      </c>
      <c r="V77" s="169">
        <v>1000.0000000000035</v>
      </c>
      <c r="W77" s="169">
        <v>200.00000000000071</v>
      </c>
      <c r="X77" s="197">
        <f>RANK(W77, W$77:W$106)</f>
        <v>3</v>
      </c>
      <c r="Y77" s="432">
        <f>AVERAGE(W77:W106)</f>
        <v>90.970548046678346</v>
      </c>
      <c r="Z77" s="169">
        <v>5</v>
      </c>
      <c r="AA77" s="169">
        <v>1170.0000000000043</v>
      </c>
      <c r="AB77" s="169">
        <v>234.00000000000085</v>
      </c>
      <c r="AC77" s="197">
        <f>RANK(AB77, AB$77:AB$106)</f>
        <v>2</v>
      </c>
      <c r="AD77" s="432">
        <f>AVERAGE(AB77:AB106)</f>
        <v>92.585197139963796</v>
      </c>
      <c r="AE77" s="169">
        <v>5</v>
      </c>
      <c r="AF77" s="169">
        <v>880.00000000000318</v>
      </c>
      <c r="AG77" s="169">
        <v>176.00000000000063</v>
      </c>
      <c r="AH77" s="197">
        <f>RANK(AG77, AG$77:AG$106)</f>
        <v>3</v>
      </c>
      <c r="AI77" s="432">
        <f>AVERAGE(AG77:AG106)</f>
        <v>90.261024603833633</v>
      </c>
      <c r="AJ77" s="169">
        <v>5</v>
      </c>
      <c r="AK77" s="169">
        <v>1260.0000000000045</v>
      </c>
      <c r="AL77" s="169">
        <v>252.00000000000091</v>
      </c>
      <c r="AM77" s="197">
        <f>RANK(AL77, AL$77:AL$106)</f>
        <v>1</v>
      </c>
      <c r="AN77" s="432">
        <f>AVERAGE(AL77:AL106)</f>
        <v>93.251300273859655</v>
      </c>
      <c r="AO77" s="169">
        <v>5</v>
      </c>
      <c r="AP77" s="169">
        <v>1230.0000000000043</v>
      </c>
      <c r="AQ77" s="169">
        <v>246.00000000000085</v>
      </c>
      <c r="AR77" s="197">
        <f>RANK(AQ77, AQ$77:AQ$106)</f>
        <v>2</v>
      </c>
      <c r="AS77" s="432">
        <f>AVERAGE(AQ77:AQ106)</f>
        <v>95.166217509843335</v>
      </c>
      <c r="AT77" s="169">
        <v>5</v>
      </c>
      <c r="AU77" s="169">
        <v>1260.0000000000045</v>
      </c>
      <c r="AV77" s="169">
        <v>252.00000000000091</v>
      </c>
      <c r="AW77" s="197">
        <f>RANK(AV77, AV$77:AV$106)</f>
        <v>1</v>
      </c>
      <c r="AX77" s="432">
        <f>AVERAGE(AV77:AV106)</f>
        <v>95.436975191820736</v>
      </c>
    </row>
    <row r="78" spans="2:50">
      <c r="B78" s="422"/>
      <c r="C78" s="197">
        <v>2</v>
      </c>
      <c r="D78" s="225" t="s">
        <v>271</v>
      </c>
      <c r="E78" s="169">
        <v>6</v>
      </c>
      <c r="F78" s="197">
        <v>1500</v>
      </c>
      <c r="G78" s="195">
        <v>250</v>
      </c>
      <c r="H78" s="429"/>
      <c r="I78" s="169">
        <f t="shared" ref="I78:I100" si="22">AVERAGE(P78,U78,Z78,AE78,AJ78,AO78,AT78)</f>
        <v>6</v>
      </c>
      <c r="J78" s="169">
        <f t="shared" ref="J78:J100" si="23">AVERAGE(Q78,V78,AA78,AF78,AK78,AP78,AU78)</f>
        <v>1462.1158334992174</v>
      </c>
      <c r="K78" s="195">
        <f t="shared" ref="K78:K100" si="24">AVERAGE(R78,W78,AB78,AG78,AL78,AQ78,AV78)</f>
        <v>243.68597224986954</v>
      </c>
      <c r="L78" s="429"/>
      <c r="M78" s="196">
        <f>RANK(K78, K$77:$K$106)</f>
        <v>1</v>
      </c>
      <c r="N78" s="423"/>
      <c r="O78" s="423"/>
      <c r="P78" s="169">
        <v>6</v>
      </c>
      <c r="Q78" s="169">
        <v>1467.4615384615383</v>
      </c>
      <c r="R78" s="169">
        <v>244.57692307692307</v>
      </c>
      <c r="S78" s="197">
        <f t="shared" ref="S78:S106" si="25">RANK(R78, R$77:R$106)</f>
        <v>1</v>
      </c>
      <c r="T78" s="432"/>
      <c r="U78" s="169">
        <v>6</v>
      </c>
      <c r="V78" s="169">
        <v>1442.7391304347825</v>
      </c>
      <c r="W78" s="169">
        <v>240.45652173913041</v>
      </c>
      <c r="X78" s="197">
        <f t="shared" ref="X78:X106" si="26">RANK(W78, W$77:W$106)</f>
        <v>1</v>
      </c>
      <c r="Y78" s="432"/>
      <c r="Z78" s="169">
        <v>6</v>
      </c>
      <c r="AA78" s="169">
        <v>1439.5000000000002</v>
      </c>
      <c r="AB78" s="169">
        <v>239.91666666666671</v>
      </c>
      <c r="AC78" s="197">
        <f t="shared" ref="AC78:AC106" si="27">RANK(AB78, AB$77:AB$106)</f>
        <v>1</v>
      </c>
      <c r="AD78" s="432"/>
      <c r="AE78" s="169">
        <v>6</v>
      </c>
      <c r="AF78" s="169">
        <v>1477.5600000000002</v>
      </c>
      <c r="AG78" s="169">
        <v>246.26000000000002</v>
      </c>
      <c r="AH78" s="197">
        <f t="shared" ref="AH78:AH106" si="28">RANK(AG78, AG$77:AG$106)</f>
        <v>1</v>
      </c>
      <c r="AI78" s="432"/>
      <c r="AJ78" s="169">
        <v>6</v>
      </c>
      <c r="AK78" s="169">
        <v>1440.0381355932202</v>
      </c>
      <c r="AL78" s="169">
        <v>240.00635593220338</v>
      </c>
      <c r="AM78" s="197">
        <f t="shared" ref="AM78:AM106" si="29">RANK(AL78, AL$77:AL$106)</f>
        <v>2</v>
      </c>
      <c r="AN78" s="432"/>
      <c r="AO78" s="169">
        <v>6</v>
      </c>
      <c r="AP78" s="169">
        <v>1498.01593625498</v>
      </c>
      <c r="AQ78" s="169">
        <v>249.66932270916334</v>
      </c>
      <c r="AR78" s="197">
        <f t="shared" ref="AR78:AR106" si="30">RANK(AQ78, AQ$77:AQ$106)</f>
        <v>1</v>
      </c>
      <c r="AS78" s="432"/>
      <c r="AT78" s="169">
        <v>6</v>
      </c>
      <c r="AU78" s="169">
        <v>1469.49609375</v>
      </c>
      <c r="AV78" s="169">
        <v>244.916015625</v>
      </c>
      <c r="AW78" s="197">
        <f t="shared" ref="AW78:AW106" si="31">RANK(AV78, AV$77:AV$106)</f>
        <v>2</v>
      </c>
      <c r="AX78" s="432"/>
    </row>
    <row r="79" spans="2:50">
      <c r="B79" s="422"/>
      <c r="C79" s="197">
        <v>3</v>
      </c>
      <c r="D79" s="225" t="s">
        <v>272</v>
      </c>
      <c r="E79" s="169">
        <v>7</v>
      </c>
      <c r="F79" s="197">
        <v>1500</v>
      </c>
      <c r="G79" s="195">
        <v>214.28571428571428</v>
      </c>
      <c r="H79" s="429"/>
      <c r="I79" s="169">
        <f t="shared" si="22"/>
        <v>7</v>
      </c>
      <c r="J79" s="169">
        <f t="shared" si="23"/>
        <v>1500.6881481991545</v>
      </c>
      <c r="K79" s="195">
        <f t="shared" si="24"/>
        <v>214.38402117130775</v>
      </c>
      <c r="L79" s="429"/>
      <c r="M79" s="196">
        <f>RANK(K79, K$77:$K$106)</f>
        <v>3</v>
      </c>
      <c r="N79" s="423"/>
      <c r="O79" s="423"/>
      <c r="P79" s="169">
        <v>7</v>
      </c>
      <c r="Q79" s="169">
        <v>1522.7368421052627</v>
      </c>
      <c r="R79" s="169">
        <v>217.5338345864661</v>
      </c>
      <c r="S79" s="197">
        <f t="shared" si="25"/>
        <v>2</v>
      </c>
      <c r="T79" s="432"/>
      <c r="U79" s="169">
        <v>7</v>
      </c>
      <c r="V79" s="169">
        <v>1497.391304347826</v>
      </c>
      <c r="W79" s="169">
        <v>213.91304347826085</v>
      </c>
      <c r="X79" s="197">
        <f t="shared" si="26"/>
        <v>2</v>
      </c>
      <c r="Y79" s="432"/>
      <c r="Z79" s="169">
        <v>7</v>
      </c>
      <c r="AA79" s="169">
        <v>1517.8021978021977</v>
      </c>
      <c r="AB79" s="169">
        <v>216.82888540031396</v>
      </c>
      <c r="AC79" s="197">
        <f t="shared" si="27"/>
        <v>3</v>
      </c>
      <c r="AD79" s="432"/>
      <c r="AE79" s="169">
        <v>7</v>
      </c>
      <c r="AF79" s="169">
        <v>1506.3529411764709</v>
      </c>
      <c r="AG79" s="169">
        <v>215.19327731092443</v>
      </c>
      <c r="AH79" s="197">
        <f t="shared" si="28"/>
        <v>2</v>
      </c>
      <c r="AI79" s="432"/>
      <c r="AJ79" s="169">
        <v>7</v>
      </c>
      <c r="AK79" s="169">
        <v>1496.0439560439561</v>
      </c>
      <c r="AL79" s="169">
        <v>213.72056514913658</v>
      </c>
      <c r="AM79" s="197">
        <f t="shared" si="29"/>
        <v>3</v>
      </c>
      <c r="AN79" s="432"/>
      <c r="AO79" s="169">
        <v>7</v>
      </c>
      <c r="AP79" s="169">
        <v>1448.5714285714287</v>
      </c>
      <c r="AQ79" s="169">
        <v>206.9387755102041</v>
      </c>
      <c r="AR79" s="197">
        <f t="shared" si="30"/>
        <v>3</v>
      </c>
      <c r="AS79" s="432"/>
      <c r="AT79" s="169">
        <v>7</v>
      </c>
      <c r="AU79" s="169">
        <v>1515.9183673469386</v>
      </c>
      <c r="AV79" s="169">
        <v>216.55976676384836</v>
      </c>
      <c r="AW79" s="197">
        <f t="shared" si="31"/>
        <v>3</v>
      </c>
      <c r="AX79" s="432"/>
    </row>
    <row r="80" spans="2:50">
      <c r="B80" s="422"/>
      <c r="C80" s="197">
        <v>4</v>
      </c>
      <c r="D80" s="225" t="s">
        <v>273</v>
      </c>
      <c r="E80" s="169">
        <v>18</v>
      </c>
      <c r="F80" s="197">
        <v>1500</v>
      </c>
      <c r="G80" s="195">
        <v>83.333333333333329</v>
      </c>
      <c r="H80" s="429"/>
      <c r="I80" s="169">
        <f t="shared" si="22"/>
        <v>18</v>
      </c>
      <c r="J80" s="169">
        <f t="shared" si="23"/>
        <v>1291.2816240714797</v>
      </c>
      <c r="K80" s="195">
        <f t="shared" si="24"/>
        <v>71.737868003971087</v>
      </c>
      <c r="L80" s="429"/>
      <c r="M80" s="196">
        <f>RANK(K80, K$77:$K$106)</f>
        <v>15</v>
      </c>
      <c r="N80" s="423"/>
      <c r="O80" s="423"/>
      <c r="P80" s="169">
        <v>18</v>
      </c>
      <c r="Q80" s="169">
        <v>1313.2075471698108</v>
      </c>
      <c r="R80" s="169">
        <v>72.955974842767262</v>
      </c>
      <c r="S80" s="197">
        <f t="shared" si="25"/>
        <v>14</v>
      </c>
      <c r="T80" s="432"/>
      <c r="U80" s="169">
        <v>18</v>
      </c>
      <c r="V80" s="169">
        <v>1298.4466019417473</v>
      </c>
      <c r="W80" s="169">
        <v>72.135922330097074</v>
      </c>
      <c r="X80" s="197">
        <f t="shared" si="26"/>
        <v>16</v>
      </c>
      <c r="Y80" s="432"/>
      <c r="Z80" s="169">
        <v>18</v>
      </c>
      <c r="AA80" s="169">
        <v>1294.4680851063831</v>
      </c>
      <c r="AB80" s="169">
        <v>71.914893617021278</v>
      </c>
      <c r="AC80" s="197">
        <f t="shared" si="27"/>
        <v>17</v>
      </c>
      <c r="AD80" s="432"/>
      <c r="AE80" s="169">
        <v>18</v>
      </c>
      <c r="AF80" s="169">
        <v>1321.5000000000007</v>
      </c>
      <c r="AG80" s="169">
        <v>73.4166666666667</v>
      </c>
      <c r="AH80" s="197">
        <f t="shared" si="28"/>
        <v>16</v>
      </c>
      <c r="AI80" s="432"/>
      <c r="AJ80" s="169">
        <v>18</v>
      </c>
      <c r="AK80" s="169">
        <v>1251.5999999999995</v>
      </c>
      <c r="AL80" s="169">
        <v>69.533333333333303</v>
      </c>
      <c r="AM80" s="197">
        <f t="shared" si="29"/>
        <v>19</v>
      </c>
      <c r="AN80" s="432"/>
      <c r="AO80" s="169">
        <v>18</v>
      </c>
      <c r="AP80" s="169">
        <v>1264.1739130434785</v>
      </c>
      <c r="AQ80" s="169">
        <v>70.23188405797103</v>
      </c>
      <c r="AR80" s="197">
        <f t="shared" si="30"/>
        <v>19</v>
      </c>
      <c r="AS80" s="432"/>
      <c r="AT80" s="169">
        <v>18</v>
      </c>
      <c r="AU80" s="169">
        <v>1295.575221238938</v>
      </c>
      <c r="AV80" s="169">
        <v>71.976401179940993</v>
      </c>
      <c r="AW80" s="197">
        <f t="shared" si="31"/>
        <v>17</v>
      </c>
      <c r="AX80" s="432"/>
    </row>
    <row r="81" spans="2:50">
      <c r="B81" s="422"/>
      <c r="C81" s="197">
        <v>5</v>
      </c>
      <c r="D81" s="225" t="s">
        <v>274</v>
      </c>
      <c r="E81" s="169">
        <v>21</v>
      </c>
      <c r="F81" s="197">
        <v>1500</v>
      </c>
      <c r="G81" s="195">
        <v>71.428571428571431</v>
      </c>
      <c r="H81" s="429"/>
      <c r="I81" s="169">
        <f t="shared" si="22"/>
        <v>20.285714285714285</v>
      </c>
      <c r="J81" s="169">
        <f t="shared" si="23"/>
        <v>1298.9301828527628</v>
      </c>
      <c r="K81" s="195">
        <f t="shared" si="24"/>
        <v>64.065192800900263</v>
      </c>
      <c r="L81" s="429"/>
      <c r="M81" s="196">
        <f>RANK(K81, K$77:$K$106)</f>
        <v>25</v>
      </c>
      <c r="N81" s="423"/>
      <c r="O81" s="423"/>
      <c r="P81" s="169">
        <v>20</v>
      </c>
      <c r="Q81" s="169">
        <v>1312.7272727272743</v>
      </c>
      <c r="R81" s="169">
        <v>65.636363636363711</v>
      </c>
      <c r="S81" s="197">
        <f t="shared" si="25"/>
        <v>22</v>
      </c>
      <c r="T81" s="432"/>
      <c r="U81" s="169">
        <v>20</v>
      </c>
      <c r="V81" s="169">
        <v>1305.4838709677433</v>
      </c>
      <c r="W81" s="169">
        <v>65.27419354838716</v>
      </c>
      <c r="X81" s="197">
        <f t="shared" si="26"/>
        <v>24</v>
      </c>
      <c r="Y81" s="432"/>
      <c r="Z81" s="169">
        <v>21</v>
      </c>
      <c r="AA81" s="169">
        <v>1288.5245901639357</v>
      </c>
      <c r="AB81" s="169">
        <v>61.35831381733027</v>
      </c>
      <c r="AC81" s="197">
        <f t="shared" si="27"/>
        <v>25</v>
      </c>
      <c r="AD81" s="432"/>
      <c r="AE81" s="169">
        <v>20</v>
      </c>
      <c r="AF81" s="169">
        <v>1296.2264150943402</v>
      </c>
      <c r="AG81" s="169">
        <v>64.811320754717002</v>
      </c>
      <c r="AH81" s="197">
        <f t="shared" si="28"/>
        <v>25</v>
      </c>
      <c r="AI81" s="432"/>
      <c r="AJ81" s="169">
        <v>21</v>
      </c>
      <c r="AK81" s="169">
        <v>1302.5454545454552</v>
      </c>
      <c r="AL81" s="169">
        <v>62.025974025974058</v>
      </c>
      <c r="AM81" s="197">
        <f t="shared" si="29"/>
        <v>25</v>
      </c>
      <c r="AN81" s="432"/>
      <c r="AO81" s="169">
        <v>20</v>
      </c>
      <c r="AP81" s="169">
        <v>1304.0625000000016</v>
      </c>
      <c r="AQ81" s="169">
        <v>65.203125000000085</v>
      </c>
      <c r="AR81" s="197">
        <f t="shared" si="30"/>
        <v>23</v>
      </c>
      <c r="AS81" s="432"/>
      <c r="AT81" s="169">
        <v>20</v>
      </c>
      <c r="AU81" s="169">
        <v>1282.9411764705897</v>
      </c>
      <c r="AV81" s="169">
        <v>64.147058823529477</v>
      </c>
      <c r="AW81" s="197">
        <f t="shared" si="31"/>
        <v>23</v>
      </c>
      <c r="AX81" s="432"/>
    </row>
    <row r="82" spans="2:50">
      <c r="B82" s="422"/>
      <c r="C82" s="197">
        <v>6</v>
      </c>
      <c r="D82" s="225" t="s">
        <v>275</v>
      </c>
      <c r="E82" s="169">
        <v>19</v>
      </c>
      <c r="F82" s="197">
        <v>1500</v>
      </c>
      <c r="G82" s="195">
        <v>78.94736842105263</v>
      </c>
      <c r="H82" s="429"/>
      <c r="I82" s="169">
        <f t="shared" si="22"/>
        <v>19</v>
      </c>
      <c r="J82" s="169">
        <f t="shared" si="23"/>
        <v>1287.1413800217301</v>
      </c>
      <c r="K82" s="195">
        <f t="shared" si="24"/>
        <v>67.744283159038417</v>
      </c>
      <c r="L82" s="429"/>
      <c r="M82" s="196">
        <f>RANK(K82, K$77:$K$106)</f>
        <v>21</v>
      </c>
      <c r="N82" s="423"/>
      <c r="O82" s="423"/>
      <c r="P82" s="169">
        <v>19</v>
      </c>
      <c r="Q82" s="169">
        <v>1314.1176470588239</v>
      </c>
      <c r="R82" s="169">
        <v>69.164086687306522</v>
      </c>
      <c r="S82" s="197">
        <f t="shared" si="25"/>
        <v>18</v>
      </c>
      <c r="T82" s="432"/>
      <c r="U82" s="169">
        <v>19</v>
      </c>
      <c r="V82" s="169">
        <v>1279.1489361702129</v>
      </c>
      <c r="W82" s="169">
        <v>67.323628219484888</v>
      </c>
      <c r="X82" s="197">
        <f t="shared" si="26"/>
        <v>23</v>
      </c>
      <c r="Y82" s="432"/>
      <c r="Z82" s="169">
        <v>19</v>
      </c>
      <c r="AA82" s="169">
        <v>1300.9756097560971</v>
      </c>
      <c r="AB82" s="169">
        <v>68.472400513478803</v>
      </c>
      <c r="AC82" s="197">
        <f t="shared" si="27"/>
        <v>21</v>
      </c>
      <c r="AD82" s="432"/>
      <c r="AE82" s="169">
        <v>19</v>
      </c>
      <c r="AF82" s="169">
        <v>1279.024390243902</v>
      </c>
      <c r="AG82" s="169">
        <v>67.317073170731689</v>
      </c>
      <c r="AH82" s="197">
        <f t="shared" si="28"/>
        <v>20</v>
      </c>
      <c r="AI82" s="432"/>
      <c r="AJ82" s="169">
        <v>19</v>
      </c>
      <c r="AK82" s="169">
        <v>1260.0000000000002</v>
      </c>
      <c r="AL82" s="169">
        <v>66.31578947368422</v>
      </c>
      <c r="AM82" s="197">
        <f t="shared" si="29"/>
        <v>24</v>
      </c>
      <c r="AN82" s="432"/>
      <c r="AO82" s="169">
        <v>19</v>
      </c>
      <c r="AP82" s="169">
        <v>1294.7999999999984</v>
      </c>
      <c r="AQ82" s="169">
        <v>68.147368421052548</v>
      </c>
      <c r="AR82" s="197">
        <f t="shared" si="30"/>
        <v>20</v>
      </c>
      <c r="AS82" s="432"/>
      <c r="AT82" s="169">
        <v>19</v>
      </c>
      <c r="AU82" s="169">
        <v>1281.9230769230755</v>
      </c>
      <c r="AV82" s="169">
        <v>67.469635627530295</v>
      </c>
      <c r="AW82" s="197">
        <f t="shared" si="31"/>
        <v>21</v>
      </c>
      <c r="AX82" s="432"/>
    </row>
    <row r="83" spans="2:50">
      <c r="B83" s="422"/>
      <c r="C83" s="197">
        <v>7</v>
      </c>
      <c r="D83" s="225" t="s">
        <v>276</v>
      </c>
      <c r="E83" s="169">
        <v>17</v>
      </c>
      <c r="F83" s="197">
        <v>1500</v>
      </c>
      <c r="G83" s="195">
        <v>88.235294117647058</v>
      </c>
      <c r="H83" s="429"/>
      <c r="I83" s="169">
        <f t="shared" si="22"/>
        <v>17</v>
      </c>
      <c r="J83" s="169">
        <f t="shared" si="23"/>
        <v>1321.0586116166901</v>
      </c>
      <c r="K83" s="195">
        <f t="shared" si="24"/>
        <v>77.709330095099418</v>
      </c>
      <c r="L83" s="429"/>
      <c r="M83" s="196">
        <f>RANK(K83, K$77:$K$106)</f>
        <v>10</v>
      </c>
      <c r="N83" s="423"/>
      <c r="O83" s="423"/>
      <c r="P83" s="169">
        <v>17</v>
      </c>
      <c r="Q83" s="169">
        <v>1304.7619047619044</v>
      </c>
      <c r="R83" s="169">
        <v>76.750700280112028</v>
      </c>
      <c r="S83" s="197">
        <f t="shared" si="25"/>
        <v>8</v>
      </c>
      <c r="T83" s="432"/>
      <c r="U83" s="169">
        <v>17</v>
      </c>
      <c r="V83" s="169">
        <v>1319.9999999999991</v>
      </c>
      <c r="W83" s="169">
        <v>77.647058823529363</v>
      </c>
      <c r="X83" s="197">
        <f t="shared" si="26"/>
        <v>10</v>
      </c>
      <c r="Y83" s="432"/>
      <c r="Z83" s="169">
        <v>17</v>
      </c>
      <c r="AA83" s="169">
        <v>1328.2352941176478</v>
      </c>
      <c r="AB83" s="169">
        <v>78.131487889273401</v>
      </c>
      <c r="AC83" s="197">
        <f t="shared" si="27"/>
        <v>8</v>
      </c>
      <c r="AD83" s="432"/>
      <c r="AE83" s="169">
        <v>17</v>
      </c>
      <c r="AF83" s="169">
        <v>1328.7500000000005</v>
      </c>
      <c r="AG83" s="169">
        <v>78.161764705882376</v>
      </c>
      <c r="AH83" s="197">
        <f t="shared" si="28"/>
        <v>9</v>
      </c>
      <c r="AI83" s="432"/>
      <c r="AJ83" s="169">
        <v>17</v>
      </c>
      <c r="AK83" s="169">
        <v>1318.8888888888896</v>
      </c>
      <c r="AL83" s="169">
        <v>77.581699346405273</v>
      </c>
      <c r="AM83" s="197">
        <f t="shared" si="29"/>
        <v>9</v>
      </c>
      <c r="AN83" s="432"/>
      <c r="AO83" s="169">
        <v>17</v>
      </c>
      <c r="AP83" s="169">
        <v>1321.9354838709689</v>
      </c>
      <c r="AQ83" s="169">
        <v>77.760910815939354</v>
      </c>
      <c r="AR83" s="197">
        <f t="shared" si="30"/>
        <v>9</v>
      </c>
      <c r="AS83" s="432"/>
      <c r="AT83" s="169">
        <v>17</v>
      </c>
      <c r="AU83" s="169">
        <v>1324.8387096774204</v>
      </c>
      <c r="AV83" s="169">
        <v>77.931688804554142</v>
      </c>
      <c r="AW83" s="197">
        <f t="shared" si="31"/>
        <v>9</v>
      </c>
      <c r="AX83" s="432"/>
    </row>
    <row r="84" spans="2:50">
      <c r="B84" s="422"/>
      <c r="C84" s="197">
        <v>8</v>
      </c>
      <c r="D84" s="225" t="s">
        <v>277</v>
      </c>
      <c r="E84" s="169">
        <v>17</v>
      </c>
      <c r="F84" s="197">
        <v>1565</v>
      </c>
      <c r="G84" s="195">
        <v>92.058823529411768</v>
      </c>
      <c r="H84" s="429"/>
      <c r="I84" s="169">
        <f t="shared" si="22"/>
        <v>17</v>
      </c>
      <c r="J84" s="169">
        <f t="shared" si="23"/>
        <v>1385.2785122035232</v>
      </c>
      <c r="K84" s="195">
        <f t="shared" si="24"/>
        <v>81.486971306089586</v>
      </c>
      <c r="L84" s="429"/>
      <c r="M84" s="196">
        <f>RANK(K84, K$77:$K$106)</f>
        <v>5</v>
      </c>
      <c r="N84" s="423"/>
      <c r="O84" s="423"/>
      <c r="P84" s="169">
        <v>17</v>
      </c>
      <c r="Q84" s="169">
        <v>1376.3571428571424</v>
      </c>
      <c r="R84" s="169">
        <v>80.962184873949553</v>
      </c>
      <c r="S84" s="197">
        <f t="shared" si="25"/>
        <v>5</v>
      </c>
      <c r="T84" s="432"/>
      <c r="U84" s="169">
        <v>17</v>
      </c>
      <c r="V84" s="169">
        <v>1349.9999999999993</v>
      </c>
      <c r="W84" s="169">
        <v>79.41176470588232</v>
      </c>
      <c r="X84" s="197">
        <f t="shared" si="26"/>
        <v>7</v>
      </c>
      <c r="Y84" s="432"/>
      <c r="Z84" s="169">
        <v>17</v>
      </c>
      <c r="AA84" s="169">
        <v>1393.4210526315778</v>
      </c>
      <c r="AB84" s="169">
        <v>81.965944272445753</v>
      </c>
      <c r="AC84" s="197">
        <f t="shared" si="27"/>
        <v>7</v>
      </c>
      <c r="AD84" s="432"/>
      <c r="AE84" s="169">
        <v>17</v>
      </c>
      <c r="AF84" s="169">
        <v>1370.4347826086944</v>
      </c>
      <c r="AG84" s="169">
        <v>80.6138107416879</v>
      </c>
      <c r="AH84" s="197">
        <f t="shared" si="28"/>
        <v>5</v>
      </c>
      <c r="AI84" s="432"/>
      <c r="AJ84" s="169">
        <v>17</v>
      </c>
      <c r="AK84" s="169">
        <v>1385.9154929577451</v>
      </c>
      <c r="AL84" s="169">
        <v>81.524440762220294</v>
      </c>
      <c r="AM84" s="197">
        <f t="shared" si="29"/>
        <v>5</v>
      </c>
      <c r="AN84" s="432"/>
      <c r="AO84" s="169">
        <v>17</v>
      </c>
      <c r="AP84" s="169">
        <v>1407.2727272727273</v>
      </c>
      <c r="AQ84" s="169">
        <v>82.780748663101605</v>
      </c>
      <c r="AR84" s="197">
        <f t="shared" si="30"/>
        <v>4</v>
      </c>
      <c r="AS84" s="432"/>
      <c r="AT84" s="169">
        <v>17</v>
      </c>
      <c r="AU84" s="169">
        <v>1413.5483870967744</v>
      </c>
      <c r="AV84" s="169">
        <v>83.149905123339664</v>
      </c>
      <c r="AW84" s="197">
        <f t="shared" si="31"/>
        <v>4</v>
      </c>
      <c r="AX84" s="432"/>
    </row>
    <row r="85" spans="2:50">
      <c r="B85" s="422"/>
      <c r="C85" s="197">
        <v>9</v>
      </c>
      <c r="D85" s="225" t="s">
        <v>278</v>
      </c>
      <c r="E85" s="169">
        <v>16</v>
      </c>
      <c r="F85" s="197">
        <v>1440</v>
      </c>
      <c r="G85" s="195">
        <v>90</v>
      </c>
      <c r="H85" s="429"/>
      <c r="I85" s="169">
        <f t="shared" si="22"/>
        <v>16.142857142857142</v>
      </c>
      <c r="J85" s="169">
        <f t="shared" si="23"/>
        <v>1256.827921684184</v>
      </c>
      <c r="K85" s="195">
        <f t="shared" si="24"/>
        <v>77.882777518226689</v>
      </c>
      <c r="L85" s="429"/>
      <c r="M85" s="196">
        <f>RANK(K85, K$77:$K$106)</f>
        <v>9</v>
      </c>
      <c r="N85" s="423"/>
      <c r="O85" s="423"/>
      <c r="P85" s="169">
        <v>17</v>
      </c>
      <c r="Q85" s="169">
        <v>1273.7142857142844</v>
      </c>
      <c r="R85" s="169">
        <v>74.924369747899078</v>
      </c>
      <c r="S85" s="197">
        <f t="shared" si="25"/>
        <v>9</v>
      </c>
      <c r="T85" s="432"/>
      <c r="U85" s="169">
        <v>16</v>
      </c>
      <c r="V85" s="169">
        <v>1294.5454545454529</v>
      </c>
      <c r="W85" s="169">
        <v>80.909090909090807</v>
      </c>
      <c r="X85" s="197">
        <f t="shared" si="26"/>
        <v>6</v>
      </c>
      <c r="Y85" s="432"/>
      <c r="Z85" s="169">
        <v>16</v>
      </c>
      <c r="AA85" s="169">
        <v>1120.6451612903209</v>
      </c>
      <c r="AB85" s="169">
        <v>70.040322580645054</v>
      </c>
      <c r="AC85" s="197">
        <f t="shared" si="27"/>
        <v>19</v>
      </c>
      <c r="AD85" s="432"/>
      <c r="AE85" s="169">
        <v>16</v>
      </c>
      <c r="AF85" s="169">
        <v>1258.1249999999982</v>
      </c>
      <c r="AG85" s="169">
        <v>78.632812499999886</v>
      </c>
      <c r="AH85" s="197">
        <f t="shared" si="28"/>
        <v>8</v>
      </c>
      <c r="AI85" s="432"/>
      <c r="AJ85" s="169">
        <v>16</v>
      </c>
      <c r="AK85" s="169">
        <v>1281.8181818181802</v>
      </c>
      <c r="AL85" s="169">
        <v>80.11363636363626</v>
      </c>
      <c r="AM85" s="197">
        <f t="shared" si="29"/>
        <v>7</v>
      </c>
      <c r="AN85" s="432"/>
      <c r="AO85" s="169">
        <v>16</v>
      </c>
      <c r="AP85" s="169">
        <v>1288.421052631578</v>
      </c>
      <c r="AQ85" s="169">
        <v>80.526315789473628</v>
      </c>
      <c r="AR85" s="197">
        <f t="shared" si="30"/>
        <v>7</v>
      </c>
      <c r="AS85" s="432"/>
      <c r="AT85" s="169">
        <v>16</v>
      </c>
      <c r="AU85" s="169">
        <v>1280.5263157894728</v>
      </c>
      <c r="AV85" s="169">
        <v>80.032894736842053</v>
      </c>
      <c r="AW85" s="197">
        <f t="shared" si="31"/>
        <v>6</v>
      </c>
      <c r="AX85" s="432"/>
    </row>
    <row r="86" spans="2:50">
      <c r="B86" s="422"/>
      <c r="C86" s="197">
        <v>10</v>
      </c>
      <c r="D86" s="225" t="s">
        <v>279</v>
      </c>
      <c r="E86" s="169">
        <v>17</v>
      </c>
      <c r="F86" s="197">
        <v>1440</v>
      </c>
      <c r="G86" s="195">
        <v>84.705882352941174</v>
      </c>
      <c r="H86" s="429"/>
      <c r="I86" s="169">
        <f t="shared" si="22"/>
        <v>17</v>
      </c>
      <c r="J86" s="169">
        <f t="shared" si="23"/>
        <v>1272.234462075518</v>
      </c>
      <c r="K86" s="195">
        <f t="shared" si="24"/>
        <v>74.837321298559871</v>
      </c>
      <c r="L86" s="429"/>
      <c r="M86" s="196">
        <f>RANK(K86, K$77:$K$106)</f>
        <v>12</v>
      </c>
      <c r="N86" s="423"/>
      <c r="O86" s="423"/>
      <c r="P86" s="169">
        <v>17</v>
      </c>
      <c r="Q86" s="169">
        <v>1265.5555555555561</v>
      </c>
      <c r="R86" s="169">
        <v>74.444444444444471</v>
      </c>
      <c r="S86" s="197">
        <f t="shared" si="25"/>
        <v>10</v>
      </c>
      <c r="T86" s="432"/>
      <c r="U86" s="169">
        <v>17</v>
      </c>
      <c r="V86" s="169">
        <v>1268.4000000000005</v>
      </c>
      <c r="W86" s="169">
        <v>74.611764705882379</v>
      </c>
      <c r="X86" s="197">
        <f t="shared" si="26"/>
        <v>12</v>
      </c>
      <c r="Y86" s="432"/>
      <c r="Z86" s="169">
        <v>17</v>
      </c>
      <c r="AA86" s="169">
        <v>1253.4782608695652</v>
      </c>
      <c r="AB86" s="169">
        <v>73.734015345268546</v>
      </c>
      <c r="AC86" s="197">
        <f t="shared" si="27"/>
        <v>15</v>
      </c>
      <c r="AD86" s="432"/>
      <c r="AE86" s="169">
        <v>17</v>
      </c>
      <c r="AF86" s="169">
        <v>1286.0869565217392</v>
      </c>
      <c r="AG86" s="169">
        <v>75.652173913043484</v>
      </c>
      <c r="AH86" s="197">
        <f t="shared" si="28"/>
        <v>12</v>
      </c>
      <c r="AI86" s="432"/>
      <c r="AJ86" s="169">
        <v>17</v>
      </c>
      <c r="AK86" s="169">
        <v>1288.2352941176475</v>
      </c>
      <c r="AL86" s="169">
        <v>75.778546712802793</v>
      </c>
      <c r="AM86" s="197">
        <f t="shared" si="29"/>
        <v>11</v>
      </c>
      <c r="AN86" s="432"/>
      <c r="AO86" s="169">
        <v>17</v>
      </c>
      <c r="AP86" s="169">
        <v>1280.7272727272734</v>
      </c>
      <c r="AQ86" s="169">
        <v>75.33689839572196</v>
      </c>
      <c r="AR86" s="197">
        <f t="shared" si="30"/>
        <v>11</v>
      </c>
      <c r="AS86" s="432"/>
      <c r="AT86" s="169">
        <v>17</v>
      </c>
      <c r="AU86" s="169">
        <v>1263.157894736843</v>
      </c>
      <c r="AV86" s="169">
        <v>74.303405572755466</v>
      </c>
      <c r="AW86" s="197">
        <f t="shared" si="31"/>
        <v>12</v>
      </c>
      <c r="AX86" s="432"/>
    </row>
    <row r="87" spans="2:50">
      <c r="B87" s="422"/>
      <c r="C87" s="197">
        <v>11</v>
      </c>
      <c r="D87" s="225" t="s">
        <v>280</v>
      </c>
      <c r="E87" s="169">
        <v>15</v>
      </c>
      <c r="F87" s="197">
        <v>1500</v>
      </c>
      <c r="G87" s="195">
        <v>100</v>
      </c>
      <c r="H87" s="429"/>
      <c r="I87" s="169">
        <f t="shared" si="22"/>
        <v>16</v>
      </c>
      <c r="J87" s="169">
        <f t="shared" si="23"/>
        <v>1082.087912087916</v>
      </c>
      <c r="K87" s="195">
        <f t="shared" si="24"/>
        <v>67.630494505494752</v>
      </c>
      <c r="L87" s="429"/>
      <c r="M87" s="196">
        <f>RANK(K87, K$77:$K$106)</f>
        <v>22</v>
      </c>
      <c r="N87" s="423"/>
      <c r="O87" s="423"/>
      <c r="P87" s="169">
        <v>16</v>
      </c>
      <c r="Q87" s="169">
        <v>1058.5714285714323</v>
      </c>
      <c r="R87" s="169">
        <v>66.160714285714519</v>
      </c>
      <c r="S87" s="197">
        <f t="shared" si="25"/>
        <v>21</v>
      </c>
      <c r="T87" s="432"/>
      <c r="U87" s="169">
        <v>16</v>
      </c>
      <c r="V87" s="169">
        <v>1100.0000000000041</v>
      </c>
      <c r="W87" s="169">
        <v>68.750000000000256</v>
      </c>
      <c r="X87" s="197">
        <f t="shared" si="26"/>
        <v>20</v>
      </c>
      <c r="Y87" s="432"/>
      <c r="Z87" s="169">
        <v>16</v>
      </c>
      <c r="AA87" s="169">
        <v>1080.0000000000039</v>
      </c>
      <c r="AB87" s="169">
        <v>67.500000000000242</v>
      </c>
      <c r="AC87" s="197">
        <f t="shared" si="27"/>
        <v>22</v>
      </c>
      <c r="AD87" s="432"/>
      <c r="AE87" s="169">
        <v>16</v>
      </c>
      <c r="AF87" s="169">
        <v>1066.1538461538501</v>
      </c>
      <c r="AG87" s="169">
        <v>66.634615384615628</v>
      </c>
      <c r="AH87" s="197">
        <f t="shared" si="28"/>
        <v>21</v>
      </c>
      <c r="AI87" s="432"/>
      <c r="AJ87" s="169">
        <v>16</v>
      </c>
      <c r="AK87" s="169">
        <v>1105.7142857142896</v>
      </c>
      <c r="AL87" s="169">
        <v>69.107142857143103</v>
      </c>
      <c r="AM87" s="197">
        <f t="shared" si="29"/>
        <v>20</v>
      </c>
      <c r="AN87" s="432"/>
      <c r="AO87" s="169"/>
      <c r="AP87" s="169"/>
      <c r="AQ87" s="169"/>
      <c r="AR87" s="197" t="e">
        <f t="shared" si="30"/>
        <v>#N/A</v>
      </c>
      <c r="AS87" s="432"/>
      <c r="AT87" s="169"/>
      <c r="AU87" s="169"/>
      <c r="AV87" s="169"/>
      <c r="AW87" s="197" t="e">
        <f t="shared" si="31"/>
        <v>#N/A</v>
      </c>
      <c r="AX87" s="432"/>
    </row>
    <row r="88" spans="2:50">
      <c r="B88" s="422"/>
      <c r="C88" s="197">
        <v>12</v>
      </c>
      <c r="D88" s="225" t="s">
        <v>281</v>
      </c>
      <c r="E88" s="169">
        <v>18</v>
      </c>
      <c r="F88" s="197">
        <v>1440</v>
      </c>
      <c r="G88" s="195">
        <v>80</v>
      </c>
      <c r="H88" s="429"/>
      <c r="I88" s="169">
        <f t="shared" si="22"/>
        <v>16.714285714285715</v>
      </c>
      <c r="J88" s="169">
        <f t="shared" si="23"/>
        <v>1187.449637529541</v>
      </c>
      <c r="K88" s="195">
        <f t="shared" si="24"/>
        <v>71.186724827717057</v>
      </c>
      <c r="L88" s="429"/>
      <c r="M88" s="196">
        <f>RANK(K88, K$77:$K$106)</f>
        <v>18</v>
      </c>
      <c r="N88" s="423"/>
      <c r="O88" s="423"/>
      <c r="P88" s="169">
        <v>18</v>
      </c>
      <c r="Q88" s="169">
        <v>1166.1818181818189</v>
      </c>
      <c r="R88" s="169">
        <v>64.787878787878824</v>
      </c>
      <c r="S88" s="197">
        <f t="shared" si="25"/>
        <v>24</v>
      </c>
      <c r="T88" s="432"/>
      <c r="U88" s="169">
        <v>17</v>
      </c>
      <c r="V88" s="169">
        <v>1211.2500000000005</v>
      </c>
      <c r="W88" s="169">
        <v>71.250000000000028</v>
      </c>
      <c r="X88" s="197">
        <f t="shared" si="26"/>
        <v>17</v>
      </c>
      <c r="Y88" s="432"/>
      <c r="Z88" s="169">
        <v>16</v>
      </c>
      <c r="AA88" s="169">
        <v>1209.5454545454545</v>
      </c>
      <c r="AB88" s="169">
        <v>75.596590909090907</v>
      </c>
      <c r="AC88" s="197">
        <f t="shared" si="27"/>
        <v>11</v>
      </c>
      <c r="AD88" s="432"/>
      <c r="AE88" s="169">
        <v>17</v>
      </c>
      <c r="AF88" s="169">
        <v>1171.2500000000005</v>
      </c>
      <c r="AG88" s="169">
        <v>68.897058823529434</v>
      </c>
      <c r="AH88" s="197">
        <f t="shared" si="28"/>
        <v>19</v>
      </c>
      <c r="AI88" s="432"/>
      <c r="AJ88" s="169">
        <v>16</v>
      </c>
      <c r="AK88" s="169">
        <v>1201.1538461538469</v>
      </c>
      <c r="AL88" s="169">
        <v>75.072115384615429</v>
      </c>
      <c r="AM88" s="197">
        <f t="shared" si="29"/>
        <v>12</v>
      </c>
      <c r="AN88" s="432"/>
      <c r="AO88" s="169">
        <v>16</v>
      </c>
      <c r="AP88" s="169">
        <v>1171.0714285714294</v>
      </c>
      <c r="AQ88" s="169">
        <v>73.191964285714334</v>
      </c>
      <c r="AR88" s="197">
        <f t="shared" si="30"/>
        <v>16</v>
      </c>
      <c r="AS88" s="432"/>
      <c r="AT88" s="169">
        <v>17</v>
      </c>
      <c r="AU88" s="169">
        <v>1181.6949152542384</v>
      </c>
      <c r="AV88" s="169">
        <v>69.511465603190487</v>
      </c>
      <c r="AW88" s="197">
        <f t="shared" si="31"/>
        <v>19</v>
      </c>
      <c r="AX88" s="432"/>
    </row>
    <row r="89" spans="2:50">
      <c r="B89" s="422"/>
      <c r="C89" s="197">
        <v>13</v>
      </c>
      <c r="D89" s="225" t="s">
        <v>282</v>
      </c>
      <c r="E89" s="169">
        <v>20</v>
      </c>
      <c r="F89" s="197">
        <v>1636</v>
      </c>
      <c r="G89" s="195">
        <v>81.8</v>
      </c>
      <c r="H89" s="429"/>
      <c r="I89" s="169">
        <f t="shared" si="22"/>
        <v>19</v>
      </c>
      <c r="J89" s="169">
        <f t="shared" si="23"/>
        <v>1276.7539099304502</v>
      </c>
      <c r="K89" s="195">
        <f t="shared" si="24"/>
        <v>67.197574206865795</v>
      </c>
      <c r="L89" s="429"/>
      <c r="M89" s="196">
        <f>RANK(K89, K$77:$K$106)</f>
        <v>23</v>
      </c>
      <c r="N89" s="423"/>
      <c r="O89" s="423"/>
      <c r="P89" s="169">
        <v>19</v>
      </c>
      <c r="Q89" s="169">
        <v>1286.0869565217392</v>
      </c>
      <c r="R89" s="169">
        <v>67.688787185354698</v>
      </c>
      <c r="S89" s="197">
        <f t="shared" si="25"/>
        <v>20</v>
      </c>
      <c r="T89" s="432"/>
      <c r="U89" s="169">
        <v>19</v>
      </c>
      <c r="V89" s="169">
        <v>1284.5783132530116</v>
      </c>
      <c r="W89" s="169">
        <v>67.609384908053244</v>
      </c>
      <c r="X89" s="197">
        <f t="shared" si="26"/>
        <v>22</v>
      </c>
      <c r="Y89" s="432"/>
      <c r="Z89" s="169">
        <v>19</v>
      </c>
      <c r="AA89" s="169">
        <v>1258.4615384615379</v>
      </c>
      <c r="AB89" s="169">
        <v>66.234817813765147</v>
      </c>
      <c r="AC89" s="197">
        <f t="shared" si="27"/>
        <v>24</v>
      </c>
      <c r="AD89" s="432"/>
      <c r="AE89" s="169">
        <v>19</v>
      </c>
      <c r="AF89" s="169">
        <v>1251.1999999999991</v>
      </c>
      <c r="AG89" s="169">
        <v>65.852631578947324</v>
      </c>
      <c r="AH89" s="197">
        <f t="shared" si="28"/>
        <v>24</v>
      </c>
      <c r="AI89" s="432"/>
      <c r="AJ89" s="169">
        <v>19</v>
      </c>
      <c r="AK89" s="169">
        <v>1308.4615384615377</v>
      </c>
      <c r="AL89" s="169">
        <v>68.866396761133558</v>
      </c>
      <c r="AM89" s="197">
        <f t="shared" si="29"/>
        <v>22</v>
      </c>
      <c r="AN89" s="432"/>
      <c r="AO89" s="169">
        <v>19</v>
      </c>
      <c r="AP89" s="169">
        <v>1273.0434782608695</v>
      </c>
      <c r="AQ89" s="169">
        <v>67.002288329519445</v>
      </c>
      <c r="AR89" s="197">
        <f t="shared" si="30"/>
        <v>22</v>
      </c>
      <c r="AS89" s="432"/>
      <c r="AT89" s="169">
        <v>19</v>
      </c>
      <c r="AU89" s="169">
        <v>1275.4455445544561</v>
      </c>
      <c r="AV89" s="169">
        <v>67.128712871287163</v>
      </c>
      <c r="AW89" s="197">
        <f t="shared" si="31"/>
        <v>22</v>
      </c>
      <c r="AX89" s="432"/>
    </row>
    <row r="90" spans="2:50">
      <c r="B90" s="422"/>
      <c r="C90" s="197">
        <v>14</v>
      </c>
      <c r="D90" s="225" t="s">
        <v>283</v>
      </c>
      <c r="E90" s="169">
        <v>19</v>
      </c>
      <c r="F90" s="197">
        <v>1636</v>
      </c>
      <c r="G90" s="195">
        <v>86.10526315789474</v>
      </c>
      <c r="H90" s="429"/>
      <c r="I90" s="169">
        <f t="shared" si="22"/>
        <v>19</v>
      </c>
      <c r="J90" s="169">
        <f t="shared" si="23"/>
        <v>1289.5064310477846</v>
      </c>
      <c r="K90" s="195">
        <f t="shared" si="24"/>
        <v>67.868759528830779</v>
      </c>
      <c r="L90" s="429"/>
      <c r="M90" s="196">
        <f>RANK(K90, K$77:$K$106)</f>
        <v>20</v>
      </c>
      <c r="N90" s="423"/>
      <c r="O90" s="423"/>
      <c r="P90" s="169">
        <v>19</v>
      </c>
      <c r="Q90" s="169">
        <v>1294.2857142857129</v>
      </c>
      <c r="R90" s="169">
        <v>68.120300751879626</v>
      </c>
      <c r="S90" s="197">
        <f t="shared" si="25"/>
        <v>19</v>
      </c>
      <c r="T90" s="432"/>
      <c r="U90" s="169">
        <v>19</v>
      </c>
      <c r="V90" s="169">
        <v>1295.2380952380965</v>
      </c>
      <c r="W90" s="169">
        <v>68.170426065162971</v>
      </c>
      <c r="X90" s="197">
        <f t="shared" si="26"/>
        <v>21</v>
      </c>
      <c r="Y90" s="432"/>
      <c r="Z90" s="169">
        <v>19</v>
      </c>
      <c r="AA90" s="169">
        <v>1271.578947368422</v>
      </c>
      <c r="AB90" s="169">
        <v>66.925207756232737</v>
      </c>
      <c r="AC90" s="197">
        <f t="shared" si="27"/>
        <v>23</v>
      </c>
      <c r="AD90" s="432"/>
      <c r="AE90" s="169">
        <v>19</v>
      </c>
      <c r="AF90" s="169">
        <v>1265.0000000000011</v>
      </c>
      <c r="AG90" s="169">
        <v>66.578947368421112</v>
      </c>
      <c r="AH90" s="197">
        <f t="shared" si="28"/>
        <v>22</v>
      </c>
      <c r="AI90" s="432"/>
      <c r="AJ90" s="169">
        <v>19</v>
      </c>
      <c r="AK90" s="169">
        <v>1309.0909090909104</v>
      </c>
      <c r="AL90" s="169">
        <v>68.899521531100547</v>
      </c>
      <c r="AM90" s="197">
        <f t="shared" si="29"/>
        <v>21</v>
      </c>
      <c r="AN90" s="432"/>
      <c r="AO90" s="169">
        <v>19</v>
      </c>
      <c r="AP90" s="169">
        <v>1286.7567567567557</v>
      </c>
      <c r="AQ90" s="169">
        <v>67.724039829302939</v>
      </c>
      <c r="AR90" s="197">
        <f t="shared" si="30"/>
        <v>21</v>
      </c>
      <c r="AS90" s="432"/>
      <c r="AT90" s="169">
        <v>19</v>
      </c>
      <c r="AU90" s="169">
        <v>1304.5945945945937</v>
      </c>
      <c r="AV90" s="169">
        <v>68.662873399715451</v>
      </c>
      <c r="AW90" s="197">
        <f t="shared" si="31"/>
        <v>20</v>
      </c>
      <c r="AX90" s="432"/>
    </row>
    <row r="91" spans="2:50">
      <c r="B91" s="422"/>
      <c r="C91" s="197">
        <v>15</v>
      </c>
      <c r="D91" s="225" t="s">
        <v>284</v>
      </c>
      <c r="E91" s="169">
        <v>20</v>
      </c>
      <c r="F91" s="197">
        <v>1500</v>
      </c>
      <c r="G91" s="195">
        <v>75</v>
      </c>
      <c r="H91" s="429"/>
      <c r="I91" s="169">
        <f t="shared" si="22"/>
        <v>17.857142857142858</v>
      </c>
      <c r="J91" s="169">
        <f t="shared" si="23"/>
        <v>1266.7744334172901</v>
      </c>
      <c r="K91" s="195">
        <f t="shared" si="24"/>
        <v>71.356269192613695</v>
      </c>
      <c r="L91" s="429"/>
      <c r="M91" s="196">
        <f>RANK(K91, K$77:$K$106)</f>
        <v>17</v>
      </c>
      <c r="N91" s="423"/>
      <c r="O91" s="423"/>
      <c r="P91" s="169">
        <v>20</v>
      </c>
      <c r="Q91" s="169">
        <v>1257.3333333333333</v>
      </c>
      <c r="R91" s="169">
        <v>62.86666666666666</v>
      </c>
      <c r="S91" s="197">
        <f t="shared" si="25"/>
        <v>25</v>
      </c>
      <c r="T91" s="432"/>
      <c r="U91" s="169">
        <v>20</v>
      </c>
      <c r="V91" s="169">
        <v>1249.4999999999995</v>
      </c>
      <c r="W91" s="169">
        <v>62.47499999999998</v>
      </c>
      <c r="X91" s="197">
        <f t="shared" si="26"/>
        <v>25</v>
      </c>
      <c r="Y91" s="432"/>
      <c r="Z91" s="169">
        <v>17</v>
      </c>
      <c r="AA91" s="169">
        <v>1290.8108108108099</v>
      </c>
      <c r="AB91" s="169">
        <v>75.930047694753526</v>
      </c>
      <c r="AC91" s="197">
        <f t="shared" si="27"/>
        <v>10</v>
      </c>
      <c r="AD91" s="432"/>
      <c r="AE91" s="169">
        <v>17</v>
      </c>
      <c r="AF91" s="169">
        <v>1288.3333333333321</v>
      </c>
      <c r="AG91" s="169">
        <v>75.784313725490122</v>
      </c>
      <c r="AH91" s="197">
        <f t="shared" si="28"/>
        <v>10</v>
      </c>
      <c r="AI91" s="432"/>
      <c r="AJ91" s="169">
        <v>17</v>
      </c>
      <c r="AK91" s="169">
        <v>1273.8461538461531</v>
      </c>
      <c r="AL91" s="169">
        <v>74.93212669683254</v>
      </c>
      <c r="AM91" s="197">
        <f t="shared" si="29"/>
        <v>13</v>
      </c>
      <c r="AN91" s="432"/>
      <c r="AO91" s="169">
        <v>17</v>
      </c>
      <c r="AP91" s="169">
        <v>1250.4545454545455</v>
      </c>
      <c r="AQ91" s="169">
        <v>73.556149732620327</v>
      </c>
      <c r="AR91" s="197">
        <f t="shared" si="30"/>
        <v>14</v>
      </c>
      <c r="AS91" s="432"/>
      <c r="AT91" s="169">
        <v>17</v>
      </c>
      <c r="AU91" s="169">
        <v>1257.1428571428567</v>
      </c>
      <c r="AV91" s="169">
        <v>73.949579831932738</v>
      </c>
      <c r="AW91" s="197">
        <f t="shared" si="31"/>
        <v>14</v>
      </c>
      <c r="AX91" s="432"/>
    </row>
    <row r="92" spans="2:50">
      <c r="B92" s="422"/>
      <c r="C92" s="197">
        <v>16</v>
      </c>
      <c r="D92" s="225" t="s">
        <v>285</v>
      </c>
      <c r="E92" s="169">
        <v>18</v>
      </c>
      <c r="F92" s="197">
        <v>1500</v>
      </c>
      <c r="G92" s="195">
        <v>83.333333333333329</v>
      </c>
      <c r="H92" s="429"/>
      <c r="I92" s="169">
        <f t="shared" si="22"/>
        <v>17</v>
      </c>
      <c r="J92" s="169">
        <f t="shared" si="23"/>
        <v>1269.0304449634275</v>
      </c>
      <c r="K92" s="195">
        <f t="shared" si="24"/>
        <v>74.648849703731017</v>
      </c>
      <c r="L92" s="429"/>
      <c r="M92" s="196">
        <f>RANK(K92, K$77:$K$106)</f>
        <v>13</v>
      </c>
      <c r="N92" s="423"/>
      <c r="O92" s="423"/>
      <c r="P92" s="169">
        <v>17</v>
      </c>
      <c r="Q92" s="169">
        <v>1263.1578947368412</v>
      </c>
      <c r="R92" s="169">
        <v>74.303405572755366</v>
      </c>
      <c r="S92" s="197">
        <f t="shared" si="25"/>
        <v>11</v>
      </c>
      <c r="T92" s="432"/>
      <c r="U92" s="169">
        <v>17</v>
      </c>
      <c r="V92" s="169">
        <v>1254.7058823529396</v>
      </c>
      <c r="W92" s="169">
        <v>73.806228373702325</v>
      </c>
      <c r="X92" s="197">
        <f t="shared" si="26"/>
        <v>13</v>
      </c>
      <c r="Y92" s="432"/>
      <c r="Z92" s="169">
        <v>17</v>
      </c>
      <c r="AA92" s="169">
        <v>1267.2727272727257</v>
      </c>
      <c r="AB92" s="169">
        <v>74.545454545454447</v>
      </c>
      <c r="AC92" s="197">
        <f t="shared" si="27"/>
        <v>12</v>
      </c>
      <c r="AD92" s="432"/>
      <c r="AE92" s="169">
        <v>17</v>
      </c>
      <c r="AF92" s="169">
        <v>1286.6666666666656</v>
      </c>
      <c r="AG92" s="169">
        <v>75.686274509803866</v>
      </c>
      <c r="AH92" s="197">
        <f t="shared" si="28"/>
        <v>11</v>
      </c>
      <c r="AI92" s="432"/>
      <c r="AJ92" s="169">
        <v>17</v>
      </c>
      <c r="AK92" s="169">
        <v>1255.4999999999995</v>
      </c>
      <c r="AL92" s="169">
        <v>73.852941176470566</v>
      </c>
      <c r="AM92" s="197">
        <f t="shared" si="29"/>
        <v>16</v>
      </c>
      <c r="AN92" s="432"/>
      <c r="AO92" s="169">
        <v>17</v>
      </c>
      <c r="AP92" s="169">
        <v>1249.7560975609751</v>
      </c>
      <c r="AQ92" s="169">
        <v>73.515064562410302</v>
      </c>
      <c r="AR92" s="197">
        <f t="shared" si="30"/>
        <v>15</v>
      </c>
      <c r="AS92" s="432"/>
      <c r="AT92" s="169">
        <v>17</v>
      </c>
      <c r="AU92" s="169">
        <v>1306.1538461538453</v>
      </c>
      <c r="AV92" s="169">
        <v>76.832579185520316</v>
      </c>
      <c r="AW92" s="197">
        <f t="shared" si="31"/>
        <v>10</v>
      </c>
      <c r="AX92" s="432"/>
    </row>
    <row r="93" spans="2:50">
      <c r="B93" s="422"/>
      <c r="C93" s="197">
        <v>17</v>
      </c>
      <c r="D93" s="225" t="s">
        <v>286</v>
      </c>
      <c r="E93" s="169">
        <v>18</v>
      </c>
      <c r="F93" s="197">
        <v>1500</v>
      </c>
      <c r="G93" s="195">
        <v>83.333333333333329</v>
      </c>
      <c r="H93" s="429"/>
      <c r="I93" s="169">
        <f t="shared" si="22"/>
        <v>17</v>
      </c>
      <c r="J93" s="169">
        <f t="shared" si="23"/>
        <v>1274.7597705748976</v>
      </c>
      <c r="K93" s="195">
        <f t="shared" si="24"/>
        <v>74.985868857346915</v>
      </c>
      <c r="L93" s="429"/>
      <c r="M93" s="196">
        <f>RANK(K93, K$77:$K$106)</f>
        <v>11</v>
      </c>
      <c r="N93" s="423"/>
      <c r="O93" s="423"/>
      <c r="P93" s="169">
        <v>17</v>
      </c>
      <c r="Q93" s="169">
        <v>1308.0000000000014</v>
      </c>
      <c r="R93" s="169">
        <v>76.941176470588317</v>
      </c>
      <c r="S93" s="197">
        <f t="shared" si="25"/>
        <v>6</v>
      </c>
      <c r="T93" s="432"/>
      <c r="U93" s="169">
        <v>17</v>
      </c>
      <c r="V93" s="169">
        <v>1304.444444444445</v>
      </c>
      <c r="W93" s="169">
        <v>76.73202614379089</v>
      </c>
      <c r="X93" s="197">
        <f t="shared" si="26"/>
        <v>11</v>
      </c>
      <c r="Y93" s="432"/>
      <c r="Z93" s="169">
        <v>17</v>
      </c>
      <c r="AA93" s="169">
        <v>1267.0588235294124</v>
      </c>
      <c r="AB93" s="169">
        <v>74.532871972318375</v>
      </c>
      <c r="AC93" s="197">
        <f t="shared" si="27"/>
        <v>13</v>
      </c>
      <c r="AD93" s="432"/>
      <c r="AE93" s="169">
        <v>17</v>
      </c>
      <c r="AF93" s="169">
        <v>1263.5294117647065</v>
      </c>
      <c r="AG93" s="169">
        <v>74.325259515570977</v>
      </c>
      <c r="AH93" s="197">
        <f t="shared" si="28"/>
        <v>15</v>
      </c>
      <c r="AI93" s="432"/>
      <c r="AJ93" s="169">
        <v>17</v>
      </c>
      <c r="AK93" s="169">
        <v>1266.0000000000011</v>
      </c>
      <c r="AL93" s="169">
        <v>74.470588235294187</v>
      </c>
      <c r="AM93" s="197">
        <f t="shared" si="29"/>
        <v>14</v>
      </c>
      <c r="AN93" s="432"/>
      <c r="AO93" s="169">
        <v>17</v>
      </c>
      <c r="AP93" s="169">
        <v>1257.1428571428585</v>
      </c>
      <c r="AQ93" s="169">
        <v>73.949579831932851</v>
      </c>
      <c r="AR93" s="197">
        <f t="shared" si="30"/>
        <v>13</v>
      </c>
      <c r="AS93" s="432"/>
      <c r="AT93" s="169">
        <v>17</v>
      </c>
      <c r="AU93" s="169">
        <v>1257.1428571428585</v>
      </c>
      <c r="AV93" s="169">
        <v>73.949579831932851</v>
      </c>
      <c r="AW93" s="197">
        <f t="shared" si="31"/>
        <v>13</v>
      </c>
      <c r="AX93" s="432"/>
    </row>
    <row r="94" spans="2:50">
      <c r="B94" s="422"/>
      <c r="C94" s="197">
        <v>18</v>
      </c>
      <c r="D94" s="225" t="s">
        <v>287</v>
      </c>
      <c r="E94" s="169">
        <v>17</v>
      </c>
      <c r="F94" s="197">
        <v>1440</v>
      </c>
      <c r="G94" s="195">
        <v>84.705882352941174</v>
      </c>
      <c r="H94" s="429"/>
      <c r="I94" s="169">
        <f t="shared" si="22"/>
        <v>18</v>
      </c>
      <c r="J94" s="169">
        <f t="shared" si="23"/>
        <v>1331.121963900541</v>
      </c>
      <c r="K94" s="195">
        <f t="shared" si="24"/>
        <v>73.951220216696711</v>
      </c>
      <c r="L94" s="429"/>
      <c r="M94" s="196">
        <f>RANK(K94, K$77:$K$106)</f>
        <v>14</v>
      </c>
      <c r="N94" s="423"/>
      <c r="O94" s="423"/>
      <c r="P94" s="169">
        <v>18</v>
      </c>
      <c r="Q94" s="169">
        <v>1328.906024096385</v>
      </c>
      <c r="R94" s="169">
        <v>73.828112449799164</v>
      </c>
      <c r="S94" s="197">
        <f t="shared" si="25"/>
        <v>13</v>
      </c>
      <c r="T94" s="432"/>
      <c r="U94" s="169">
        <v>18</v>
      </c>
      <c r="V94" s="169">
        <v>1311.627906976744</v>
      </c>
      <c r="W94" s="169">
        <v>72.868217054263553</v>
      </c>
      <c r="X94" s="197">
        <f t="shared" si="26"/>
        <v>14</v>
      </c>
      <c r="Y94" s="432"/>
      <c r="Z94" s="169">
        <v>18</v>
      </c>
      <c r="AA94" s="169">
        <v>1336.2162162162151</v>
      </c>
      <c r="AB94" s="169">
        <v>74.234234234234179</v>
      </c>
      <c r="AC94" s="197">
        <f t="shared" si="27"/>
        <v>14</v>
      </c>
      <c r="AD94" s="432"/>
      <c r="AE94" s="169">
        <v>18</v>
      </c>
      <c r="AF94" s="169">
        <v>1348.799999999999</v>
      </c>
      <c r="AG94" s="169">
        <v>74.93333333333328</v>
      </c>
      <c r="AH94" s="197">
        <f t="shared" si="28"/>
        <v>14</v>
      </c>
      <c r="AI94" s="432"/>
      <c r="AJ94" s="169">
        <v>18</v>
      </c>
      <c r="AK94" s="169">
        <v>1335.1807228915657</v>
      </c>
      <c r="AL94" s="169">
        <v>74.176706827309204</v>
      </c>
      <c r="AM94" s="197">
        <f t="shared" si="29"/>
        <v>15</v>
      </c>
      <c r="AN94" s="432"/>
      <c r="AO94" s="169">
        <v>18</v>
      </c>
      <c r="AP94" s="169">
        <v>1344.3956043956043</v>
      </c>
      <c r="AQ94" s="169">
        <v>74.688644688644686</v>
      </c>
      <c r="AR94" s="197">
        <f t="shared" si="30"/>
        <v>12</v>
      </c>
      <c r="AS94" s="432"/>
      <c r="AT94" s="169">
        <v>18</v>
      </c>
      <c r="AU94" s="169">
        <v>1312.7272727272732</v>
      </c>
      <c r="AV94" s="169">
        <v>72.929292929292956</v>
      </c>
      <c r="AW94" s="197">
        <f t="shared" si="31"/>
        <v>15</v>
      </c>
      <c r="AX94" s="432"/>
    </row>
    <row r="95" spans="2:50">
      <c r="B95" s="422"/>
      <c r="C95" s="197">
        <v>19</v>
      </c>
      <c r="D95" s="225" t="s">
        <v>288</v>
      </c>
      <c r="E95" s="169">
        <v>15</v>
      </c>
      <c r="F95" s="197">
        <v>1440</v>
      </c>
      <c r="G95" s="195">
        <v>96</v>
      </c>
      <c r="H95" s="429"/>
      <c r="I95" s="169">
        <f t="shared" si="22"/>
        <v>15.285714285714286</v>
      </c>
      <c r="J95" s="169">
        <f t="shared" si="23"/>
        <v>1293.8270426795132</v>
      </c>
      <c r="K95" s="195">
        <f t="shared" si="24"/>
        <v>84.712824390905425</v>
      </c>
      <c r="L95" s="429"/>
      <c r="M95" s="196">
        <f>RANK(K95, K$77:$K$106)</f>
        <v>4</v>
      </c>
      <c r="N95" s="423"/>
      <c r="O95" s="423"/>
      <c r="P95" s="169">
        <v>15</v>
      </c>
      <c r="Q95" s="169">
        <v>1266.7605633802805</v>
      </c>
      <c r="R95" s="169">
        <v>84.450704225352027</v>
      </c>
      <c r="S95" s="197">
        <f t="shared" si="25"/>
        <v>4</v>
      </c>
      <c r="T95" s="432"/>
      <c r="U95" s="169">
        <v>15</v>
      </c>
      <c r="V95" s="169">
        <v>1311.2903225806463</v>
      </c>
      <c r="W95" s="169">
        <v>87.419354838709751</v>
      </c>
      <c r="X95" s="197">
        <f t="shared" si="26"/>
        <v>4</v>
      </c>
      <c r="Y95" s="432"/>
      <c r="Z95" s="169">
        <v>15</v>
      </c>
      <c r="AA95" s="169">
        <v>1271.578947368422</v>
      </c>
      <c r="AB95" s="169">
        <v>84.771929824561468</v>
      </c>
      <c r="AC95" s="197">
        <f t="shared" si="27"/>
        <v>5</v>
      </c>
      <c r="AD95" s="432"/>
      <c r="AE95" s="169">
        <v>15</v>
      </c>
      <c r="AF95" s="169">
        <v>1306.2295081967225</v>
      </c>
      <c r="AG95" s="169">
        <v>87.081967213114837</v>
      </c>
      <c r="AH95" s="197">
        <f t="shared" si="28"/>
        <v>4</v>
      </c>
      <c r="AI95" s="432"/>
      <c r="AJ95" s="169">
        <v>15</v>
      </c>
      <c r="AK95" s="169">
        <v>1309.8461538461554</v>
      </c>
      <c r="AL95" s="169">
        <v>87.323076923077025</v>
      </c>
      <c r="AM95" s="197">
        <f t="shared" si="29"/>
        <v>4</v>
      </c>
      <c r="AN95" s="432"/>
      <c r="AO95" s="169">
        <v>16</v>
      </c>
      <c r="AP95" s="169">
        <v>1313.823529411763</v>
      </c>
      <c r="AQ95" s="169">
        <v>82.11397058823519</v>
      </c>
      <c r="AR95" s="197">
        <f t="shared" si="30"/>
        <v>5</v>
      </c>
      <c r="AS95" s="432"/>
      <c r="AT95" s="169">
        <v>16</v>
      </c>
      <c r="AU95" s="169">
        <v>1277.2602739726019</v>
      </c>
      <c r="AV95" s="169">
        <v>79.828767123287619</v>
      </c>
      <c r="AW95" s="197">
        <f t="shared" si="31"/>
        <v>8</v>
      </c>
      <c r="AX95" s="432"/>
    </row>
    <row r="96" spans="2:50">
      <c r="B96" s="422"/>
      <c r="C96" s="197">
        <v>20</v>
      </c>
      <c r="D96" s="225" t="s">
        <v>289</v>
      </c>
      <c r="E96" s="169">
        <v>17</v>
      </c>
      <c r="F96" s="197">
        <v>1440</v>
      </c>
      <c r="G96" s="195">
        <v>84.705882352941174</v>
      </c>
      <c r="H96" s="429"/>
      <c r="I96" s="169">
        <f t="shared" si="22"/>
        <v>17</v>
      </c>
      <c r="J96" s="169">
        <f t="shared" si="23"/>
        <v>1338.6896129271554</v>
      </c>
      <c r="K96" s="195">
        <f t="shared" si="24"/>
        <v>78.746447819244423</v>
      </c>
      <c r="L96" s="429"/>
      <c r="M96" s="196">
        <f>RANK(K96, K$77:$K$106)</f>
        <v>7</v>
      </c>
      <c r="N96" s="423"/>
      <c r="O96" s="423"/>
      <c r="P96" s="169">
        <v>17</v>
      </c>
      <c r="Q96" s="169">
        <v>1306.7796610169485</v>
      </c>
      <c r="R96" s="169">
        <v>76.869391824526375</v>
      </c>
      <c r="S96" s="197">
        <f t="shared" si="25"/>
        <v>7</v>
      </c>
      <c r="T96" s="432"/>
      <c r="U96" s="169">
        <v>17</v>
      </c>
      <c r="V96" s="169">
        <v>1322.8846153846162</v>
      </c>
      <c r="W96" s="169">
        <v>77.816742081448012</v>
      </c>
      <c r="X96" s="197">
        <f t="shared" si="26"/>
        <v>9</v>
      </c>
      <c r="Y96" s="432"/>
      <c r="Z96" s="169">
        <v>17</v>
      </c>
      <c r="AA96" s="169">
        <v>1325.744680851064</v>
      </c>
      <c r="AB96" s="169">
        <v>77.984981226533179</v>
      </c>
      <c r="AC96" s="197">
        <f t="shared" si="27"/>
        <v>9</v>
      </c>
      <c r="AD96" s="432"/>
      <c r="AE96" s="169">
        <v>17</v>
      </c>
      <c r="AF96" s="169">
        <v>1362.8571428571429</v>
      </c>
      <c r="AG96" s="169">
        <v>80.168067226890756</v>
      </c>
      <c r="AH96" s="197">
        <f t="shared" si="28"/>
        <v>6</v>
      </c>
      <c r="AI96" s="432"/>
      <c r="AJ96" s="169">
        <v>17</v>
      </c>
      <c r="AK96" s="169">
        <v>1341.2903225806454</v>
      </c>
      <c r="AL96" s="169">
        <v>78.899430740037957</v>
      </c>
      <c r="AM96" s="197">
        <f t="shared" si="29"/>
        <v>8</v>
      </c>
      <c r="AN96" s="432"/>
      <c r="AO96" s="169">
        <v>17</v>
      </c>
      <c r="AP96" s="169">
        <v>1351.9266055045882</v>
      </c>
      <c r="AQ96" s="169">
        <v>79.52509444144637</v>
      </c>
      <c r="AR96" s="197">
        <f t="shared" si="30"/>
        <v>8</v>
      </c>
      <c r="AS96" s="432"/>
      <c r="AT96" s="169">
        <v>17</v>
      </c>
      <c r="AU96" s="169">
        <v>1359.3442622950815</v>
      </c>
      <c r="AV96" s="169">
        <v>79.961427193828328</v>
      </c>
      <c r="AW96" s="197">
        <f t="shared" si="31"/>
        <v>7</v>
      </c>
      <c r="AX96" s="432"/>
    </row>
    <row r="97" spans="2:50">
      <c r="B97" s="422"/>
      <c r="C97" s="197">
        <v>21</v>
      </c>
      <c r="D97" s="225" t="s">
        <v>290</v>
      </c>
      <c r="E97" s="169">
        <v>18</v>
      </c>
      <c r="F97" s="197">
        <v>1636</v>
      </c>
      <c r="G97" s="195">
        <v>90.888888888888886</v>
      </c>
      <c r="H97" s="429"/>
      <c r="I97" s="169">
        <f t="shared" si="22"/>
        <v>16.142857142857142</v>
      </c>
      <c r="J97" s="169">
        <f t="shared" si="23"/>
        <v>1281.0076345942423</v>
      </c>
      <c r="K97" s="195">
        <f t="shared" si="24"/>
        <v>79.403423867137946</v>
      </c>
      <c r="L97" s="429"/>
      <c r="M97" s="196">
        <f>RANK(K97, K$77:$K$106)</f>
        <v>6</v>
      </c>
      <c r="N97" s="423"/>
      <c r="O97" s="423"/>
      <c r="P97" s="169">
        <v>17</v>
      </c>
      <c r="Q97" s="169">
        <v>1255.7894736842115</v>
      </c>
      <c r="R97" s="169">
        <v>73.869969040247739</v>
      </c>
      <c r="S97" s="197">
        <f t="shared" si="25"/>
        <v>12</v>
      </c>
      <c r="T97" s="432"/>
      <c r="U97" s="169">
        <v>16</v>
      </c>
      <c r="V97" s="169">
        <v>1248.2142857142867</v>
      </c>
      <c r="W97" s="169">
        <v>78.013392857142918</v>
      </c>
      <c r="X97" s="197">
        <f t="shared" si="26"/>
        <v>8</v>
      </c>
      <c r="Y97" s="432"/>
      <c r="Z97" s="169">
        <v>16</v>
      </c>
      <c r="AA97" s="169">
        <v>1312.8000000000004</v>
      </c>
      <c r="AB97" s="169">
        <v>82.050000000000026</v>
      </c>
      <c r="AC97" s="197">
        <f t="shared" si="27"/>
        <v>6</v>
      </c>
      <c r="AD97" s="432"/>
      <c r="AE97" s="169">
        <v>16</v>
      </c>
      <c r="AF97" s="169">
        <v>1265.882352941177</v>
      </c>
      <c r="AG97" s="169">
        <v>79.117647058823565</v>
      </c>
      <c r="AH97" s="197">
        <f t="shared" si="28"/>
        <v>7</v>
      </c>
      <c r="AI97" s="432"/>
      <c r="AJ97" s="169">
        <v>16</v>
      </c>
      <c r="AK97" s="169">
        <v>1293.103448275863</v>
      </c>
      <c r="AL97" s="169">
        <v>80.818965517241438</v>
      </c>
      <c r="AM97" s="197">
        <f t="shared" si="29"/>
        <v>6</v>
      </c>
      <c r="AN97" s="432"/>
      <c r="AO97" s="169">
        <v>16</v>
      </c>
      <c r="AP97" s="169">
        <v>1292.9032258064528</v>
      </c>
      <c r="AQ97" s="169">
        <v>80.806451612903302</v>
      </c>
      <c r="AR97" s="197">
        <f t="shared" si="30"/>
        <v>6</v>
      </c>
      <c r="AS97" s="432"/>
      <c r="AT97" s="169">
        <v>16</v>
      </c>
      <c r="AU97" s="169">
        <v>1298.3606557377061</v>
      </c>
      <c r="AV97" s="169">
        <v>81.147540983606632</v>
      </c>
      <c r="AW97" s="197">
        <f t="shared" si="31"/>
        <v>5</v>
      </c>
      <c r="AX97" s="432"/>
    </row>
    <row r="98" spans="2:50">
      <c r="B98" s="422"/>
      <c r="C98" s="197">
        <v>22</v>
      </c>
      <c r="D98" s="225" t="s">
        <v>291</v>
      </c>
      <c r="E98" s="169">
        <v>18</v>
      </c>
      <c r="F98" s="197">
        <v>1440</v>
      </c>
      <c r="G98" s="195">
        <v>80</v>
      </c>
      <c r="H98" s="429"/>
      <c r="I98" s="169">
        <f t="shared" si="22"/>
        <v>18</v>
      </c>
      <c r="J98" s="169">
        <f t="shared" si="23"/>
        <v>1280.1077747882953</v>
      </c>
      <c r="K98" s="195">
        <f t="shared" si="24"/>
        <v>71.117098599349731</v>
      </c>
      <c r="L98" s="429"/>
      <c r="M98" s="196">
        <f>RANK(K98, K$77:$K$106)</f>
        <v>19</v>
      </c>
      <c r="N98" s="423"/>
      <c r="O98" s="423"/>
      <c r="P98" s="169">
        <v>18</v>
      </c>
      <c r="Q98" s="169">
        <v>1277.8021978021977</v>
      </c>
      <c r="R98" s="169">
        <v>70.989010989010978</v>
      </c>
      <c r="S98" s="197">
        <f t="shared" si="25"/>
        <v>16</v>
      </c>
      <c r="T98" s="432"/>
      <c r="U98" s="169">
        <v>18</v>
      </c>
      <c r="V98" s="169">
        <v>1252.1428571428569</v>
      </c>
      <c r="W98" s="169">
        <v>69.563492063492049</v>
      </c>
      <c r="X98" s="197">
        <f t="shared" si="26"/>
        <v>18</v>
      </c>
      <c r="Y98" s="432"/>
      <c r="Z98" s="169">
        <v>18</v>
      </c>
      <c r="AA98" s="169">
        <v>1263.2432432432422</v>
      </c>
      <c r="AB98" s="169">
        <v>70.180180180180116</v>
      </c>
      <c r="AC98" s="197">
        <f t="shared" si="27"/>
        <v>18</v>
      </c>
      <c r="AD98" s="432"/>
      <c r="AE98" s="169">
        <v>18</v>
      </c>
      <c r="AF98" s="169">
        <v>1315.8333333333323</v>
      </c>
      <c r="AG98" s="169">
        <v>73.101851851851791</v>
      </c>
      <c r="AH98" s="197">
        <f t="shared" si="28"/>
        <v>17</v>
      </c>
      <c r="AI98" s="432"/>
      <c r="AJ98" s="169">
        <v>18</v>
      </c>
      <c r="AK98" s="169">
        <v>1288.1481481481478</v>
      </c>
      <c r="AL98" s="169">
        <v>71.563786008230437</v>
      </c>
      <c r="AM98" s="197">
        <f t="shared" si="29"/>
        <v>18</v>
      </c>
      <c r="AN98" s="432"/>
      <c r="AO98" s="169">
        <v>18</v>
      </c>
      <c r="AP98" s="169">
        <v>1265.1063829787236</v>
      </c>
      <c r="AQ98" s="169">
        <v>70.283687943262422</v>
      </c>
      <c r="AR98" s="197">
        <f t="shared" si="30"/>
        <v>18</v>
      </c>
      <c r="AS98" s="432"/>
      <c r="AT98" s="169">
        <v>18</v>
      </c>
      <c r="AU98" s="169">
        <v>1298.4782608695652</v>
      </c>
      <c r="AV98" s="169">
        <v>72.137681159420296</v>
      </c>
      <c r="AW98" s="197">
        <f t="shared" si="31"/>
        <v>16</v>
      </c>
      <c r="AX98" s="432"/>
    </row>
    <row r="99" spans="2:50">
      <c r="B99" s="422"/>
      <c r="C99" s="197">
        <v>23</v>
      </c>
      <c r="D99" s="225" t="s">
        <v>292</v>
      </c>
      <c r="E99" s="169">
        <v>17</v>
      </c>
      <c r="F99" s="197">
        <v>1500</v>
      </c>
      <c r="G99" s="195">
        <v>88.235294117647058</v>
      </c>
      <c r="H99" s="429"/>
      <c r="I99" s="169">
        <f t="shared" si="22"/>
        <v>16</v>
      </c>
      <c r="J99" s="169">
        <f t="shared" si="23"/>
        <v>1075.0487394958022</v>
      </c>
      <c r="K99" s="195">
        <f t="shared" si="24"/>
        <v>67.19054621848764</v>
      </c>
      <c r="L99" s="429"/>
      <c r="M99" s="196">
        <f>RANK(K99, K$77:$K$106)</f>
        <v>24</v>
      </c>
      <c r="N99" s="423"/>
      <c r="O99" s="423"/>
      <c r="P99" s="169">
        <v>16</v>
      </c>
      <c r="Q99" s="169">
        <v>1045.7142857142894</v>
      </c>
      <c r="R99" s="169">
        <v>65.357142857143089</v>
      </c>
      <c r="S99" s="197">
        <f t="shared" si="25"/>
        <v>23</v>
      </c>
      <c r="T99" s="432"/>
      <c r="U99" s="169">
        <v>16</v>
      </c>
      <c r="V99" s="169">
        <v>1101.1764705882392</v>
      </c>
      <c r="W99" s="169">
        <v>68.823529411764952</v>
      </c>
      <c r="X99" s="197">
        <f t="shared" si="26"/>
        <v>19</v>
      </c>
      <c r="Y99" s="432"/>
      <c r="Z99" s="169">
        <v>16</v>
      </c>
      <c r="AA99" s="169">
        <v>1096.0000000000041</v>
      </c>
      <c r="AB99" s="169">
        <v>68.500000000000256</v>
      </c>
      <c r="AC99" s="197">
        <f t="shared" si="27"/>
        <v>20</v>
      </c>
      <c r="AD99" s="432"/>
      <c r="AE99" s="169">
        <v>16</v>
      </c>
      <c r="AF99" s="169">
        <v>1062.3529411764744</v>
      </c>
      <c r="AG99" s="169">
        <v>66.397058823529647</v>
      </c>
      <c r="AH99" s="197">
        <f t="shared" si="28"/>
        <v>23</v>
      </c>
      <c r="AI99" s="432"/>
      <c r="AJ99" s="169">
        <v>16</v>
      </c>
      <c r="AK99" s="169">
        <v>1070.0000000000039</v>
      </c>
      <c r="AL99" s="169">
        <v>66.875000000000242</v>
      </c>
      <c r="AM99" s="197">
        <f t="shared" si="29"/>
        <v>23</v>
      </c>
      <c r="AN99" s="432"/>
      <c r="AO99" s="169"/>
      <c r="AP99" s="169"/>
      <c r="AQ99" s="169"/>
      <c r="AR99" s="197" t="e">
        <f t="shared" si="30"/>
        <v>#N/A</v>
      </c>
      <c r="AS99" s="432"/>
      <c r="AT99" s="169"/>
      <c r="AU99" s="169"/>
      <c r="AV99" s="169"/>
      <c r="AW99" s="197" t="e">
        <f t="shared" si="31"/>
        <v>#N/A</v>
      </c>
      <c r="AX99" s="432"/>
    </row>
    <row r="100" spans="2:50">
      <c r="B100" s="422"/>
      <c r="C100" s="197">
        <v>24</v>
      </c>
      <c r="D100" s="225" t="s">
        <v>293</v>
      </c>
      <c r="E100" s="169">
        <v>18</v>
      </c>
      <c r="F100" s="197">
        <v>1500</v>
      </c>
      <c r="G100" s="195">
        <v>83.333333333333329</v>
      </c>
      <c r="H100" s="429"/>
      <c r="I100" s="169">
        <f t="shared" si="22"/>
        <v>18</v>
      </c>
      <c r="J100" s="169">
        <f t="shared" si="23"/>
        <v>1288.8983105030159</v>
      </c>
      <c r="K100" s="195">
        <f t="shared" si="24"/>
        <v>71.605461694611989</v>
      </c>
      <c r="L100" s="429"/>
      <c r="M100" s="196">
        <f>RANK(K100, K$77:$K$106)</f>
        <v>16</v>
      </c>
      <c r="N100" s="423"/>
      <c r="O100" s="423"/>
      <c r="P100" s="169">
        <v>18</v>
      </c>
      <c r="Q100" s="169">
        <v>1277.3076923076931</v>
      </c>
      <c r="R100" s="169">
        <v>70.96153846153851</v>
      </c>
      <c r="S100" s="197">
        <f t="shared" si="25"/>
        <v>17</v>
      </c>
      <c r="T100" s="432"/>
      <c r="U100" s="169">
        <v>18</v>
      </c>
      <c r="V100" s="169">
        <v>1299.5744680851067</v>
      </c>
      <c r="W100" s="169">
        <v>72.198581560283699</v>
      </c>
      <c r="X100" s="197">
        <f t="shared" si="26"/>
        <v>15</v>
      </c>
      <c r="Y100" s="432"/>
      <c r="Z100" s="169">
        <v>18</v>
      </c>
      <c r="AA100" s="169">
        <v>1299.3103448275861</v>
      </c>
      <c r="AB100" s="169">
        <v>72.183908045977006</v>
      </c>
      <c r="AC100" s="197">
        <f t="shared" si="27"/>
        <v>16</v>
      </c>
      <c r="AD100" s="432"/>
      <c r="AE100" s="169">
        <v>18</v>
      </c>
      <c r="AF100" s="169">
        <v>1272.8089887640449</v>
      </c>
      <c r="AG100" s="169">
        <v>70.711610486891388</v>
      </c>
      <c r="AH100" s="197">
        <f t="shared" si="28"/>
        <v>18</v>
      </c>
      <c r="AI100" s="432"/>
      <c r="AJ100" s="169">
        <v>18</v>
      </c>
      <c r="AK100" s="169">
        <v>1293.7500000000005</v>
      </c>
      <c r="AL100" s="169">
        <v>71.875000000000028</v>
      </c>
      <c r="AM100" s="197">
        <f t="shared" si="29"/>
        <v>17</v>
      </c>
      <c r="AN100" s="432"/>
      <c r="AO100" s="169">
        <v>18</v>
      </c>
      <c r="AP100" s="169">
        <v>1311.428571428572</v>
      </c>
      <c r="AQ100" s="169">
        <v>72.85714285714289</v>
      </c>
      <c r="AR100" s="197">
        <f t="shared" si="30"/>
        <v>17</v>
      </c>
      <c r="AS100" s="432"/>
      <c r="AT100" s="169">
        <v>18</v>
      </c>
      <c r="AU100" s="169">
        <v>1268.1081081081072</v>
      </c>
      <c r="AV100" s="169">
        <v>70.450450450450404</v>
      </c>
      <c r="AW100" s="197">
        <f t="shared" si="31"/>
        <v>18</v>
      </c>
      <c r="AX100" s="432"/>
    </row>
    <row r="101" spans="2:50">
      <c r="B101" s="422"/>
      <c r="C101" s="197">
        <v>25</v>
      </c>
      <c r="D101" s="225" t="s">
        <v>294</v>
      </c>
      <c r="E101" s="169">
        <v>18</v>
      </c>
      <c r="F101" s="197">
        <v>1636</v>
      </c>
      <c r="G101" s="195">
        <v>90.888888888888886</v>
      </c>
      <c r="H101" s="429"/>
      <c r="I101" s="169">
        <f t="shared" ref="I101" si="32">AVERAGE(P101,U101,Z101,AE101,AJ101,AO101,AT101)</f>
        <v>16.571428571428573</v>
      </c>
      <c r="J101" s="169">
        <f t="shared" ref="J101" si="33">AVERAGE(Q101,V101,AA101,AF101,AK101,AP101,AU101)</f>
        <v>1295.5611924873926</v>
      </c>
      <c r="K101" s="195">
        <f t="shared" ref="K101" si="34">AVERAGE(R101,W101,AB101,AG101,AL101,AQ101,AV101)</f>
        <v>78.537336577875166</v>
      </c>
      <c r="L101" s="429"/>
      <c r="M101" s="196">
        <f>RANK(K101, K$77:$K$106)</f>
        <v>8</v>
      </c>
      <c r="N101" s="423"/>
      <c r="O101" s="423"/>
      <c r="P101" s="169">
        <v>18</v>
      </c>
      <c r="Q101" s="169">
        <v>1284.2553191489365</v>
      </c>
      <c r="R101" s="169">
        <v>71.347517730496463</v>
      </c>
      <c r="S101" s="197">
        <f t="shared" si="25"/>
        <v>15</v>
      </c>
      <c r="T101" s="432"/>
      <c r="U101" s="169">
        <v>15</v>
      </c>
      <c r="V101" s="169">
        <v>1306.2650602409633</v>
      </c>
      <c r="W101" s="169">
        <v>87.084337349397558</v>
      </c>
      <c r="X101" s="197">
        <f t="shared" si="26"/>
        <v>5</v>
      </c>
      <c r="Y101" s="432"/>
      <c r="Z101" s="169">
        <v>15</v>
      </c>
      <c r="AA101" s="169">
        <v>1306.451612903227</v>
      </c>
      <c r="AB101" s="169">
        <v>87.09677419354847</v>
      </c>
      <c r="AC101" s="197">
        <f t="shared" si="27"/>
        <v>4</v>
      </c>
      <c r="AD101" s="432"/>
      <c r="AE101" s="169">
        <v>17</v>
      </c>
      <c r="AF101" s="169">
        <v>1278.3333333333323</v>
      </c>
      <c r="AG101" s="169">
        <v>75.196078431372484</v>
      </c>
      <c r="AH101" s="197">
        <f t="shared" si="28"/>
        <v>13</v>
      </c>
      <c r="AI101" s="432"/>
      <c r="AJ101" s="169">
        <v>17</v>
      </c>
      <c r="AK101" s="169">
        <v>1291.1392405063284</v>
      </c>
      <c r="AL101" s="169">
        <v>75.949367088607559</v>
      </c>
      <c r="AM101" s="197">
        <f t="shared" si="29"/>
        <v>10</v>
      </c>
      <c r="AN101" s="432"/>
      <c r="AO101" s="169">
        <v>17</v>
      </c>
      <c r="AP101" s="169">
        <v>1309.2307692307684</v>
      </c>
      <c r="AQ101" s="169">
        <v>77.013574660633438</v>
      </c>
      <c r="AR101" s="197">
        <f t="shared" si="30"/>
        <v>10</v>
      </c>
      <c r="AS101" s="432"/>
      <c r="AT101" s="169">
        <v>17</v>
      </c>
      <c r="AU101" s="169">
        <v>1293.2530120481924</v>
      </c>
      <c r="AV101" s="169">
        <v>76.073706591070149</v>
      </c>
      <c r="AW101" s="197">
        <f t="shared" si="31"/>
        <v>11</v>
      </c>
      <c r="AX101" s="432"/>
    </row>
    <row r="102" spans="2:50">
      <c r="B102" s="422"/>
      <c r="C102" s="197">
        <v>26</v>
      </c>
      <c r="D102" s="225"/>
      <c r="E102" s="169"/>
      <c r="F102" s="197"/>
      <c r="G102" s="195"/>
      <c r="H102" s="429"/>
      <c r="I102" s="169"/>
      <c r="J102" s="169"/>
      <c r="K102" s="195"/>
      <c r="L102" s="429"/>
      <c r="M102" s="169" t="e">
        <f>RANK(K102, K$147:$K$176)</f>
        <v>#DIV/0!</v>
      </c>
      <c r="N102" s="423"/>
      <c r="O102" s="423"/>
      <c r="P102" s="197"/>
      <c r="Q102" s="195"/>
      <c r="R102" s="195"/>
      <c r="S102" s="197" t="e">
        <f t="shared" si="25"/>
        <v>#N/A</v>
      </c>
      <c r="T102" s="432"/>
      <c r="U102" s="197"/>
      <c r="V102" s="195"/>
      <c r="W102" s="195"/>
      <c r="X102" s="197" t="e">
        <f t="shared" si="26"/>
        <v>#N/A</v>
      </c>
      <c r="Y102" s="432"/>
      <c r="Z102" s="197"/>
      <c r="AA102" s="195"/>
      <c r="AB102" s="195"/>
      <c r="AC102" s="197" t="e">
        <f t="shared" si="27"/>
        <v>#N/A</v>
      </c>
      <c r="AD102" s="432"/>
      <c r="AE102" s="197"/>
      <c r="AF102" s="195"/>
      <c r="AG102" s="195"/>
      <c r="AH102" s="197" t="e">
        <f t="shared" si="28"/>
        <v>#N/A</v>
      </c>
      <c r="AI102" s="432"/>
      <c r="AJ102" s="197"/>
      <c r="AK102" s="195"/>
      <c r="AL102" s="195"/>
      <c r="AM102" s="197" t="e">
        <f t="shared" si="29"/>
        <v>#N/A</v>
      </c>
      <c r="AN102" s="432"/>
      <c r="AO102" s="197"/>
      <c r="AP102" s="195"/>
      <c r="AQ102" s="195"/>
      <c r="AR102" s="197" t="e">
        <f t="shared" si="30"/>
        <v>#N/A</v>
      </c>
      <c r="AS102" s="432"/>
      <c r="AT102" s="197"/>
      <c r="AU102" s="195"/>
      <c r="AV102" s="195"/>
      <c r="AW102" s="197" t="e">
        <f t="shared" si="31"/>
        <v>#N/A</v>
      </c>
      <c r="AX102" s="432"/>
    </row>
    <row r="103" spans="2:50">
      <c r="B103" s="422"/>
      <c r="C103" s="197">
        <v>27</v>
      </c>
      <c r="D103" s="225"/>
      <c r="E103" s="169"/>
      <c r="F103" s="197"/>
      <c r="G103" s="195"/>
      <c r="H103" s="429"/>
      <c r="I103" s="169"/>
      <c r="J103" s="169"/>
      <c r="K103" s="195"/>
      <c r="L103" s="429"/>
      <c r="M103" s="169" t="e">
        <f>RANK(K103, K$147:$K$176)</f>
        <v>#DIV/0!</v>
      </c>
      <c r="N103" s="423"/>
      <c r="O103" s="423"/>
      <c r="P103" s="197"/>
      <c r="Q103" s="195"/>
      <c r="R103" s="195"/>
      <c r="S103" s="197" t="e">
        <f t="shared" si="25"/>
        <v>#N/A</v>
      </c>
      <c r="T103" s="432"/>
      <c r="U103" s="197"/>
      <c r="V103" s="195"/>
      <c r="W103" s="195"/>
      <c r="X103" s="197" t="e">
        <f t="shared" si="26"/>
        <v>#N/A</v>
      </c>
      <c r="Y103" s="432"/>
      <c r="Z103" s="197"/>
      <c r="AA103" s="195"/>
      <c r="AB103" s="195"/>
      <c r="AC103" s="197" t="e">
        <f t="shared" si="27"/>
        <v>#N/A</v>
      </c>
      <c r="AD103" s="432"/>
      <c r="AE103" s="197"/>
      <c r="AF103" s="195"/>
      <c r="AG103" s="195"/>
      <c r="AH103" s="197" t="e">
        <f t="shared" si="28"/>
        <v>#N/A</v>
      </c>
      <c r="AI103" s="432"/>
      <c r="AJ103" s="197"/>
      <c r="AK103" s="195"/>
      <c r="AL103" s="195"/>
      <c r="AM103" s="197" t="e">
        <f t="shared" si="29"/>
        <v>#N/A</v>
      </c>
      <c r="AN103" s="432"/>
      <c r="AO103" s="197"/>
      <c r="AP103" s="195"/>
      <c r="AQ103" s="195"/>
      <c r="AR103" s="197" t="e">
        <f t="shared" si="30"/>
        <v>#N/A</v>
      </c>
      <c r="AS103" s="432"/>
      <c r="AT103" s="197"/>
      <c r="AU103" s="195"/>
      <c r="AV103" s="195"/>
      <c r="AW103" s="197" t="e">
        <f t="shared" si="31"/>
        <v>#N/A</v>
      </c>
      <c r="AX103" s="432"/>
    </row>
    <row r="104" spans="2:50">
      <c r="B104" s="422"/>
      <c r="C104" s="197">
        <v>28</v>
      </c>
      <c r="D104" s="225"/>
      <c r="E104" s="169"/>
      <c r="F104" s="197"/>
      <c r="G104" s="195"/>
      <c r="H104" s="429"/>
      <c r="I104" s="169"/>
      <c r="J104" s="169"/>
      <c r="K104" s="195"/>
      <c r="L104" s="429"/>
      <c r="M104" s="169" t="e">
        <f>RANK(K104, K$147:$K$176)</f>
        <v>#DIV/0!</v>
      </c>
      <c r="N104" s="423"/>
      <c r="O104" s="423"/>
      <c r="P104" s="197"/>
      <c r="Q104" s="195"/>
      <c r="R104" s="195"/>
      <c r="S104" s="197" t="e">
        <f t="shared" si="25"/>
        <v>#N/A</v>
      </c>
      <c r="T104" s="432"/>
      <c r="U104" s="197"/>
      <c r="V104" s="195"/>
      <c r="W104" s="195"/>
      <c r="X104" s="197" t="e">
        <f t="shared" si="26"/>
        <v>#N/A</v>
      </c>
      <c r="Y104" s="432"/>
      <c r="Z104" s="197"/>
      <c r="AA104" s="195"/>
      <c r="AB104" s="195"/>
      <c r="AC104" s="197" t="e">
        <f t="shared" si="27"/>
        <v>#N/A</v>
      </c>
      <c r="AD104" s="432"/>
      <c r="AE104" s="197"/>
      <c r="AF104" s="195"/>
      <c r="AG104" s="195"/>
      <c r="AH104" s="197" t="e">
        <f t="shared" si="28"/>
        <v>#N/A</v>
      </c>
      <c r="AI104" s="432"/>
      <c r="AJ104" s="197"/>
      <c r="AK104" s="195"/>
      <c r="AL104" s="195"/>
      <c r="AM104" s="197" t="e">
        <f t="shared" si="29"/>
        <v>#N/A</v>
      </c>
      <c r="AN104" s="432"/>
      <c r="AO104" s="197"/>
      <c r="AP104" s="195"/>
      <c r="AQ104" s="195"/>
      <c r="AR104" s="197" t="e">
        <f t="shared" si="30"/>
        <v>#N/A</v>
      </c>
      <c r="AS104" s="432"/>
      <c r="AT104" s="197"/>
      <c r="AU104" s="195"/>
      <c r="AV104" s="195"/>
      <c r="AW104" s="197" t="e">
        <f t="shared" si="31"/>
        <v>#N/A</v>
      </c>
      <c r="AX104" s="432"/>
    </row>
    <row r="105" spans="2:50">
      <c r="B105" s="422"/>
      <c r="C105" s="197">
        <v>29</v>
      </c>
      <c r="D105" s="225"/>
      <c r="E105" s="169"/>
      <c r="F105" s="197"/>
      <c r="G105" s="195"/>
      <c r="H105" s="429"/>
      <c r="I105" s="197"/>
      <c r="J105" s="197"/>
      <c r="K105" s="197"/>
      <c r="L105" s="429"/>
      <c r="M105" s="169" t="e">
        <f>RANK(K105, K$147:$K$176)</f>
        <v>#DIV/0!</v>
      </c>
      <c r="N105" s="423"/>
      <c r="O105" s="423"/>
      <c r="P105" s="197"/>
      <c r="Q105" s="197"/>
      <c r="R105" s="197"/>
      <c r="S105" s="197" t="e">
        <f t="shared" si="25"/>
        <v>#N/A</v>
      </c>
      <c r="T105" s="432"/>
      <c r="U105" s="197"/>
      <c r="V105" s="197"/>
      <c r="W105" s="197"/>
      <c r="X105" s="197" t="e">
        <f t="shared" si="26"/>
        <v>#N/A</v>
      </c>
      <c r="Y105" s="432"/>
      <c r="Z105" s="197"/>
      <c r="AA105" s="197"/>
      <c r="AB105" s="197"/>
      <c r="AC105" s="197" t="e">
        <f t="shared" si="27"/>
        <v>#N/A</v>
      </c>
      <c r="AD105" s="432"/>
      <c r="AE105" s="197"/>
      <c r="AF105" s="197"/>
      <c r="AG105" s="197"/>
      <c r="AH105" s="197" t="e">
        <f t="shared" si="28"/>
        <v>#N/A</v>
      </c>
      <c r="AI105" s="432"/>
      <c r="AJ105" s="197"/>
      <c r="AK105" s="197"/>
      <c r="AL105" s="197"/>
      <c r="AM105" s="197" t="e">
        <f t="shared" si="29"/>
        <v>#N/A</v>
      </c>
      <c r="AN105" s="432"/>
      <c r="AO105" s="197"/>
      <c r="AP105" s="197"/>
      <c r="AQ105" s="197"/>
      <c r="AR105" s="197" t="e">
        <f t="shared" si="30"/>
        <v>#N/A</v>
      </c>
      <c r="AS105" s="432"/>
      <c r="AT105" s="197"/>
      <c r="AU105" s="197"/>
      <c r="AV105" s="197"/>
      <c r="AW105" s="197" t="e">
        <f t="shared" si="31"/>
        <v>#N/A</v>
      </c>
      <c r="AX105" s="432"/>
    </row>
    <row r="106" spans="2:50">
      <c r="B106" s="422"/>
      <c r="C106" s="197">
        <v>30</v>
      </c>
      <c r="D106" s="225"/>
      <c r="E106" s="169"/>
      <c r="F106" s="197"/>
      <c r="G106" s="195"/>
      <c r="H106" s="430"/>
      <c r="I106" s="197"/>
      <c r="J106" s="197"/>
      <c r="K106" s="197"/>
      <c r="L106" s="430"/>
      <c r="M106" s="169" t="e">
        <f>RANK(K106, K$147:$K$176)</f>
        <v>#DIV/0!</v>
      </c>
      <c r="N106" s="423"/>
      <c r="O106" s="423"/>
      <c r="P106" s="197"/>
      <c r="Q106" s="197"/>
      <c r="R106" s="197"/>
      <c r="S106" s="197" t="e">
        <f t="shared" si="25"/>
        <v>#N/A</v>
      </c>
      <c r="T106" s="432"/>
      <c r="U106" s="197"/>
      <c r="V106" s="197"/>
      <c r="W106" s="197"/>
      <c r="X106" s="197" t="e">
        <f t="shared" si="26"/>
        <v>#N/A</v>
      </c>
      <c r="Y106" s="432"/>
      <c r="Z106" s="197"/>
      <c r="AA106" s="197"/>
      <c r="AB106" s="197"/>
      <c r="AC106" s="197" t="e">
        <f t="shared" si="27"/>
        <v>#N/A</v>
      </c>
      <c r="AD106" s="432"/>
      <c r="AE106" s="197"/>
      <c r="AF106" s="197"/>
      <c r="AG106" s="197"/>
      <c r="AH106" s="197" t="e">
        <f t="shared" si="28"/>
        <v>#N/A</v>
      </c>
      <c r="AI106" s="432"/>
      <c r="AJ106" s="197"/>
      <c r="AK106" s="197"/>
      <c r="AL106" s="197"/>
      <c r="AM106" s="197" t="e">
        <f t="shared" si="29"/>
        <v>#N/A</v>
      </c>
      <c r="AN106" s="432"/>
      <c r="AO106" s="197"/>
      <c r="AP106" s="197"/>
      <c r="AQ106" s="197"/>
      <c r="AR106" s="197" t="e">
        <f t="shared" si="30"/>
        <v>#N/A</v>
      </c>
      <c r="AS106" s="432"/>
      <c r="AT106" s="197"/>
      <c r="AU106" s="197"/>
      <c r="AV106" s="197"/>
      <c r="AW106" s="197" t="e">
        <f t="shared" si="31"/>
        <v>#N/A</v>
      </c>
      <c r="AX106" s="432"/>
    </row>
    <row r="107" spans="2:50" ht="15.75">
      <c r="B107" s="396" t="s">
        <v>202</v>
      </c>
      <c r="C107" s="427"/>
      <c r="D107" s="427"/>
      <c r="E107" s="427"/>
      <c r="F107" s="427"/>
      <c r="G107" s="427"/>
      <c r="H107" s="427"/>
      <c r="I107" s="201"/>
      <c r="J107" s="201"/>
      <c r="K107" s="201"/>
      <c r="L107" s="201"/>
      <c r="M107" s="200"/>
      <c r="N107" s="401" t="s">
        <v>203</v>
      </c>
      <c r="O107" s="401" t="s">
        <v>150</v>
      </c>
      <c r="P107" s="421">
        <f>P72+7</f>
        <v>45916</v>
      </c>
      <c r="Q107" s="422"/>
      <c r="R107" s="422"/>
      <c r="S107" s="422"/>
      <c r="T107" s="422"/>
      <c r="U107" s="416">
        <f>P107+1</f>
        <v>45917</v>
      </c>
      <c r="V107" s="417"/>
      <c r="W107" s="417"/>
      <c r="X107" s="417"/>
      <c r="Y107" s="418"/>
      <c r="Z107" s="416">
        <f>U107+1</f>
        <v>45918</v>
      </c>
      <c r="AA107" s="417"/>
      <c r="AB107" s="417"/>
      <c r="AC107" s="417"/>
      <c r="AD107" s="418"/>
      <c r="AE107" s="416">
        <f t="shared" ref="AE107" si="35">Z107+1</f>
        <v>45919</v>
      </c>
      <c r="AF107" s="417"/>
      <c r="AG107" s="417"/>
      <c r="AH107" s="417"/>
      <c r="AI107" s="418"/>
      <c r="AJ107" s="416">
        <f t="shared" ref="AJ107" si="36">AE107+1</f>
        <v>45920</v>
      </c>
      <c r="AK107" s="417"/>
      <c r="AL107" s="417"/>
      <c r="AM107" s="417"/>
      <c r="AN107" s="418"/>
      <c r="AO107" s="416">
        <f t="shared" ref="AO107" si="37">AJ107+1</f>
        <v>45921</v>
      </c>
      <c r="AP107" s="417"/>
      <c r="AQ107" s="417"/>
      <c r="AR107" s="417"/>
      <c r="AS107" s="418"/>
      <c r="AT107" s="416">
        <f t="shared" ref="AT107" si="38">AO107+1</f>
        <v>45922</v>
      </c>
      <c r="AU107" s="417"/>
      <c r="AV107" s="417"/>
      <c r="AW107" s="417"/>
      <c r="AX107" s="418"/>
    </row>
    <row r="108" spans="2:50" ht="15.75">
      <c r="B108" s="426"/>
      <c r="C108" s="426"/>
      <c r="D108" s="426"/>
      <c r="E108" s="426"/>
      <c r="F108" s="426"/>
      <c r="G108" s="426"/>
      <c r="H108" s="426"/>
      <c r="I108" s="199"/>
      <c r="J108" s="199"/>
      <c r="K108" s="199"/>
      <c r="L108" s="199"/>
      <c r="M108" s="194"/>
      <c r="N108" s="403"/>
      <c r="O108" s="403"/>
      <c r="P108" s="421" t="s">
        <v>204</v>
      </c>
      <c r="Q108" s="422"/>
      <c r="R108" s="422"/>
      <c r="S108" s="422"/>
      <c r="T108" s="422"/>
      <c r="U108" s="421" t="s">
        <v>205</v>
      </c>
      <c r="V108" s="422"/>
      <c r="W108" s="422"/>
      <c r="X108" s="422"/>
      <c r="Y108" s="422"/>
      <c r="Z108" s="421" t="s">
        <v>206</v>
      </c>
      <c r="AA108" s="422"/>
      <c r="AB108" s="422"/>
      <c r="AC108" s="422"/>
      <c r="AD108" s="422"/>
      <c r="AE108" s="421" t="s">
        <v>207</v>
      </c>
      <c r="AF108" s="422"/>
      <c r="AG108" s="422"/>
      <c r="AH108" s="422"/>
      <c r="AI108" s="422"/>
      <c r="AJ108" s="421" t="s">
        <v>208</v>
      </c>
      <c r="AK108" s="422"/>
      <c r="AL108" s="422"/>
      <c r="AM108" s="422"/>
      <c r="AN108" s="422"/>
      <c r="AO108" s="421" t="s">
        <v>157</v>
      </c>
      <c r="AP108" s="422"/>
      <c r="AQ108" s="422"/>
      <c r="AR108" s="422"/>
      <c r="AS108" s="422"/>
      <c r="AT108" s="421" t="s">
        <v>209</v>
      </c>
      <c r="AU108" s="422"/>
      <c r="AV108" s="422"/>
      <c r="AW108" s="422"/>
      <c r="AX108" s="422"/>
    </row>
    <row r="109" spans="2:50">
      <c r="B109" s="423" t="s">
        <v>210</v>
      </c>
      <c r="C109" s="423" t="s">
        <v>211</v>
      </c>
      <c r="D109" s="423"/>
      <c r="E109" s="423" t="s">
        <v>212</v>
      </c>
      <c r="F109" s="423"/>
      <c r="G109" s="423"/>
      <c r="H109" s="404" t="s">
        <v>213</v>
      </c>
      <c r="I109" s="423" t="s">
        <v>214</v>
      </c>
      <c r="J109" s="423"/>
      <c r="K109" s="423"/>
      <c r="L109" s="404" t="s">
        <v>213</v>
      </c>
      <c r="M109" s="401" t="s">
        <v>215</v>
      </c>
      <c r="N109" s="423"/>
      <c r="O109" s="423" t="s">
        <v>216</v>
      </c>
      <c r="P109" s="413" t="s">
        <v>217</v>
      </c>
      <c r="Q109" s="414"/>
      <c r="R109" s="414"/>
      <c r="S109" s="415"/>
      <c r="T109" s="423" t="s">
        <v>213</v>
      </c>
      <c r="U109" s="413" t="s">
        <v>217</v>
      </c>
      <c r="V109" s="414"/>
      <c r="W109" s="414"/>
      <c r="X109" s="415"/>
      <c r="Y109" s="423" t="s">
        <v>213</v>
      </c>
      <c r="Z109" s="413" t="s">
        <v>217</v>
      </c>
      <c r="AA109" s="414"/>
      <c r="AB109" s="414"/>
      <c r="AC109" s="415"/>
      <c r="AD109" s="423" t="s">
        <v>213</v>
      </c>
      <c r="AE109" s="413" t="s">
        <v>217</v>
      </c>
      <c r="AF109" s="414"/>
      <c r="AG109" s="414"/>
      <c r="AH109" s="415"/>
      <c r="AI109" s="423" t="s">
        <v>213</v>
      </c>
      <c r="AJ109" s="413" t="s">
        <v>217</v>
      </c>
      <c r="AK109" s="414"/>
      <c r="AL109" s="414"/>
      <c r="AM109" s="415"/>
      <c r="AN109" s="423" t="s">
        <v>213</v>
      </c>
      <c r="AO109" s="413" t="s">
        <v>217</v>
      </c>
      <c r="AP109" s="414"/>
      <c r="AQ109" s="414"/>
      <c r="AR109" s="415"/>
      <c r="AS109" s="423" t="s">
        <v>213</v>
      </c>
      <c r="AT109" s="413" t="s">
        <v>217</v>
      </c>
      <c r="AU109" s="414"/>
      <c r="AV109" s="414"/>
      <c r="AW109" s="415"/>
      <c r="AX109" s="423" t="s">
        <v>213</v>
      </c>
    </row>
    <row r="110" spans="2:50">
      <c r="B110" s="423"/>
      <c r="C110" s="423"/>
      <c r="D110" s="423"/>
      <c r="E110" s="423" t="s">
        <v>218</v>
      </c>
      <c r="F110" s="423"/>
      <c r="G110" s="423"/>
      <c r="H110" s="406"/>
      <c r="I110" s="423" t="s">
        <v>218</v>
      </c>
      <c r="J110" s="423"/>
      <c r="K110" s="423"/>
      <c r="L110" s="406"/>
      <c r="M110" s="402"/>
      <c r="N110" s="423"/>
      <c r="O110" s="423"/>
      <c r="P110" s="413" t="s">
        <v>219</v>
      </c>
      <c r="Q110" s="414"/>
      <c r="R110" s="414"/>
      <c r="S110" s="415"/>
      <c r="T110" s="423"/>
      <c r="U110" s="413" t="s">
        <v>219</v>
      </c>
      <c r="V110" s="414"/>
      <c r="W110" s="414"/>
      <c r="X110" s="415"/>
      <c r="Y110" s="423"/>
      <c r="Z110" s="413" t="s">
        <v>219</v>
      </c>
      <c r="AA110" s="414"/>
      <c r="AB110" s="414"/>
      <c r="AC110" s="415"/>
      <c r="AD110" s="423"/>
      <c r="AE110" s="413" t="s">
        <v>219</v>
      </c>
      <c r="AF110" s="414"/>
      <c r="AG110" s="414"/>
      <c r="AH110" s="415"/>
      <c r="AI110" s="423"/>
      <c r="AJ110" s="413" t="s">
        <v>219</v>
      </c>
      <c r="AK110" s="414"/>
      <c r="AL110" s="414"/>
      <c r="AM110" s="415"/>
      <c r="AN110" s="423"/>
      <c r="AO110" s="413" t="s">
        <v>219</v>
      </c>
      <c r="AP110" s="414"/>
      <c r="AQ110" s="414"/>
      <c r="AR110" s="415"/>
      <c r="AS110" s="423"/>
      <c r="AT110" s="413" t="s">
        <v>219</v>
      </c>
      <c r="AU110" s="414"/>
      <c r="AV110" s="414"/>
      <c r="AW110" s="415"/>
      <c r="AX110" s="423"/>
    </row>
    <row r="111" spans="2:50">
      <c r="B111" s="423"/>
      <c r="C111" s="423"/>
      <c r="D111" s="423"/>
      <c r="E111" s="297" t="s">
        <v>220</v>
      </c>
      <c r="F111" s="297" t="s">
        <v>221</v>
      </c>
      <c r="G111" s="297" t="s">
        <v>222</v>
      </c>
      <c r="H111" s="408"/>
      <c r="I111" s="297" t="s">
        <v>220</v>
      </c>
      <c r="J111" s="297" t="s">
        <v>221</v>
      </c>
      <c r="K111" s="297" t="s">
        <v>222</v>
      </c>
      <c r="L111" s="408"/>
      <c r="M111" s="403"/>
      <c r="N111" s="423"/>
      <c r="O111" s="423"/>
      <c r="P111" s="297" t="s">
        <v>220</v>
      </c>
      <c r="Q111" s="297" t="s">
        <v>221</v>
      </c>
      <c r="R111" s="297" t="s">
        <v>222</v>
      </c>
      <c r="S111" s="297" t="s">
        <v>215</v>
      </c>
      <c r="T111" s="423"/>
      <c r="U111" s="297" t="s">
        <v>220</v>
      </c>
      <c r="V111" s="297" t="s">
        <v>221</v>
      </c>
      <c r="W111" s="297" t="s">
        <v>222</v>
      </c>
      <c r="X111" s="297" t="s">
        <v>215</v>
      </c>
      <c r="Y111" s="423"/>
      <c r="Z111" s="297" t="s">
        <v>220</v>
      </c>
      <c r="AA111" s="297" t="s">
        <v>221</v>
      </c>
      <c r="AB111" s="297" t="s">
        <v>222</v>
      </c>
      <c r="AC111" s="297" t="s">
        <v>215</v>
      </c>
      <c r="AD111" s="423"/>
      <c r="AE111" s="297" t="s">
        <v>220</v>
      </c>
      <c r="AF111" s="297" t="s">
        <v>221</v>
      </c>
      <c r="AG111" s="297" t="s">
        <v>222</v>
      </c>
      <c r="AH111" s="297" t="s">
        <v>215</v>
      </c>
      <c r="AI111" s="423"/>
      <c r="AJ111" s="297" t="s">
        <v>220</v>
      </c>
      <c r="AK111" s="297" t="s">
        <v>221</v>
      </c>
      <c r="AL111" s="297" t="s">
        <v>222</v>
      </c>
      <c r="AM111" s="297" t="s">
        <v>215</v>
      </c>
      <c r="AN111" s="423"/>
      <c r="AO111" s="297" t="s">
        <v>220</v>
      </c>
      <c r="AP111" s="297" t="s">
        <v>221</v>
      </c>
      <c r="AQ111" s="297" t="s">
        <v>222</v>
      </c>
      <c r="AR111" s="297" t="s">
        <v>215</v>
      </c>
      <c r="AS111" s="423"/>
      <c r="AT111" s="297" t="s">
        <v>220</v>
      </c>
      <c r="AU111" s="297" t="s">
        <v>221</v>
      </c>
      <c r="AV111" s="297" t="s">
        <v>222</v>
      </c>
      <c r="AW111" s="297" t="s">
        <v>215</v>
      </c>
      <c r="AX111" s="423"/>
    </row>
    <row r="112" spans="2:50">
      <c r="B112" s="423" t="s">
        <v>187</v>
      </c>
      <c r="C112" s="197">
        <v>1</v>
      </c>
      <c r="D112" s="225"/>
      <c r="E112" s="169"/>
      <c r="F112" s="197"/>
      <c r="G112" s="195"/>
      <c r="H112" s="428" t="e">
        <f>AVERAGE(G112:G141)</f>
        <v>#DIV/0!</v>
      </c>
      <c r="I112" s="169" t="e">
        <f>AVERAGE(P112,U112,Z112,AE112,AJ112,AO112,AT112)</f>
        <v>#DIV/0!</v>
      </c>
      <c r="J112" s="169" t="e">
        <f>AVERAGE(Q112,V112,AA112,AF112,AK112,AP112,AU112)</f>
        <v>#DIV/0!</v>
      </c>
      <c r="K112" s="195" t="e">
        <f>AVERAGE(R112,W112,AB112,AG112,AL112,AQ112,AV112)</f>
        <v>#DIV/0!</v>
      </c>
      <c r="L112" s="428" t="str">
        <f>IFERROR(AVERAGE(K112:K141),"-")</f>
        <v>-</v>
      </c>
      <c r="M112" s="196" t="e">
        <f>RANK(K112, K$147:$K$176)</f>
        <v>#DIV/0!</v>
      </c>
      <c r="N112" s="423"/>
      <c r="O112" s="423"/>
      <c r="P112" s="169"/>
      <c r="Q112" s="169"/>
      <c r="R112" s="169"/>
      <c r="S112" s="197" t="e">
        <f>RANK(R112, R$147:R$176)</f>
        <v>#N/A</v>
      </c>
      <c r="T112" s="432" t="e">
        <f>AVERAGE(R112:R141)</f>
        <v>#DIV/0!</v>
      </c>
      <c r="U112" s="169"/>
      <c r="V112" s="169"/>
      <c r="W112" s="169"/>
      <c r="X112" s="197" t="e">
        <f>RANK(W112, W$147:W$176)</f>
        <v>#N/A</v>
      </c>
      <c r="Y112" s="432" t="e">
        <f>AVERAGE(W112:W141)</f>
        <v>#DIV/0!</v>
      </c>
      <c r="Z112" s="169"/>
      <c r="AA112" s="169"/>
      <c r="AB112" s="169"/>
      <c r="AC112" s="197" t="e">
        <f>RANK(AB112, AB$147:AB$176)</f>
        <v>#N/A</v>
      </c>
      <c r="AD112" s="432" t="e">
        <f>AVERAGE(AB112:AB141)</f>
        <v>#DIV/0!</v>
      </c>
      <c r="AE112" s="169"/>
      <c r="AF112" s="169"/>
      <c r="AG112" s="169"/>
      <c r="AH112" s="197" t="e">
        <f>RANK(AG112, AG$147:AG$176)</f>
        <v>#N/A</v>
      </c>
      <c r="AI112" s="432" t="e">
        <f>AVERAGE(AG112:AG141)</f>
        <v>#DIV/0!</v>
      </c>
      <c r="AJ112" s="169"/>
      <c r="AK112" s="169"/>
      <c r="AL112" s="169"/>
      <c r="AM112" s="197" t="e">
        <f>RANK(AL112, AL$147:AL$176)</f>
        <v>#N/A</v>
      </c>
      <c r="AN112" s="432" t="e">
        <f>AVERAGE(AL112:AL141)</f>
        <v>#DIV/0!</v>
      </c>
      <c r="AO112" s="169"/>
      <c r="AP112" s="169"/>
      <c r="AQ112" s="169"/>
      <c r="AR112" s="197" t="e">
        <f>RANK(AQ112, AQ$147:AQ$176)</f>
        <v>#N/A</v>
      </c>
      <c r="AS112" s="432" t="e">
        <f>AVERAGE(AQ112:AQ141)</f>
        <v>#DIV/0!</v>
      </c>
      <c r="AT112" s="197"/>
      <c r="AU112" s="195"/>
      <c r="AV112" s="195"/>
      <c r="AW112" s="197" t="e">
        <f>RANK(AV112, AV$147:AV$176)</f>
        <v>#N/A</v>
      </c>
      <c r="AX112" s="432" t="e">
        <f>AVERAGE(AV112:AV141)</f>
        <v>#DIV/0!</v>
      </c>
    </row>
    <row r="113" spans="2:50">
      <c r="B113" s="422"/>
      <c r="C113" s="197">
        <v>2</v>
      </c>
      <c r="D113" s="225"/>
      <c r="E113" s="169"/>
      <c r="F113" s="197"/>
      <c r="G113" s="195"/>
      <c r="H113" s="429"/>
      <c r="I113" s="169" t="e">
        <f t="shared" ref="I113:I135" si="39">AVERAGE(P113,U113,Z113,AE113,AJ113,AO113,AT113)</f>
        <v>#DIV/0!</v>
      </c>
      <c r="J113" s="169" t="e">
        <f t="shared" ref="J113:J135" si="40">AVERAGE(Q113,V113,AA113,AF113,AK113,AP113,AU113)</f>
        <v>#DIV/0!</v>
      </c>
      <c r="K113" s="195" t="e">
        <f t="shared" ref="K113:K135" si="41">AVERAGE(R113,W113,AB113,AG113,AL113,AQ113,AV113)</f>
        <v>#DIV/0!</v>
      </c>
      <c r="L113" s="429"/>
      <c r="M113" s="196" t="e">
        <f>RANK(K113, K$147:$K$176)</f>
        <v>#DIV/0!</v>
      </c>
      <c r="N113" s="423"/>
      <c r="O113" s="423"/>
      <c r="P113" s="169"/>
      <c r="Q113" s="169"/>
      <c r="R113" s="169"/>
      <c r="S113" s="197" t="e">
        <f t="shared" ref="S113:S141" si="42">RANK(R113, R$147:R$176)</f>
        <v>#N/A</v>
      </c>
      <c r="T113" s="432"/>
      <c r="U113" s="169"/>
      <c r="V113" s="169"/>
      <c r="W113" s="169"/>
      <c r="X113" s="197" t="e">
        <f t="shared" ref="X113:X141" si="43">RANK(W113, W$147:W$176)</f>
        <v>#N/A</v>
      </c>
      <c r="Y113" s="432"/>
      <c r="Z113" s="169"/>
      <c r="AA113" s="169"/>
      <c r="AB113" s="169"/>
      <c r="AC113" s="197" t="e">
        <f t="shared" ref="AC113:AC141" si="44">RANK(AB113, AB$147:AB$176)</f>
        <v>#N/A</v>
      </c>
      <c r="AD113" s="432"/>
      <c r="AE113" s="169"/>
      <c r="AF113" s="169"/>
      <c r="AG113" s="169"/>
      <c r="AH113" s="197" t="e">
        <f t="shared" ref="AH113:AH141" si="45">RANK(AG113, AG$147:AG$176)</f>
        <v>#N/A</v>
      </c>
      <c r="AI113" s="432"/>
      <c r="AJ113" s="169"/>
      <c r="AK113" s="169"/>
      <c r="AL113" s="169"/>
      <c r="AM113" s="197" t="e">
        <f t="shared" ref="AM113:AM141" si="46">RANK(AL113, AL$147:AL$176)</f>
        <v>#N/A</v>
      </c>
      <c r="AN113" s="432"/>
      <c r="AO113" s="169"/>
      <c r="AP113" s="169"/>
      <c r="AQ113" s="169"/>
      <c r="AR113" s="197" t="e">
        <f t="shared" ref="AR113:AR141" si="47">RANK(AQ113, AQ$147:AQ$176)</f>
        <v>#N/A</v>
      </c>
      <c r="AS113" s="432"/>
      <c r="AT113" s="197"/>
      <c r="AU113" s="195"/>
      <c r="AV113" s="195"/>
      <c r="AW113" s="197" t="e">
        <f t="shared" ref="AW113:AW141" si="48">RANK(AV113, AV$147:AV$176)</f>
        <v>#N/A</v>
      </c>
      <c r="AX113" s="432"/>
    </row>
    <row r="114" spans="2:50">
      <c r="B114" s="422"/>
      <c r="C114" s="197">
        <v>3</v>
      </c>
      <c r="D114" s="225"/>
      <c r="E114" s="169"/>
      <c r="F114" s="197"/>
      <c r="G114" s="195"/>
      <c r="H114" s="429"/>
      <c r="I114" s="169" t="e">
        <f t="shared" si="39"/>
        <v>#DIV/0!</v>
      </c>
      <c r="J114" s="169" t="e">
        <f t="shared" si="40"/>
        <v>#DIV/0!</v>
      </c>
      <c r="K114" s="195" t="e">
        <f t="shared" si="41"/>
        <v>#DIV/0!</v>
      </c>
      <c r="L114" s="429"/>
      <c r="M114" s="196" t="e">
        <f>RANK(K114, K$147:$K$176)</f>
        <v>#DIV/0!</v>
      </c>
      <c r="N114" s="423"/>
      <c r="O114" s="423"/>
      <c r="P114" s="169"/>
      <c r="Q114" s="169"/>
      <c r="R114" s="169"/>
      <c r="S114" s="197" t="e">
        <f t="shared" si="42"/>
        <v>#N/A</v>
      </c>
      <c r="T114" s="432"/>
      <c r="U114" s="169"/>
      <c r="V114" s="169"/>
      <c r="W114" s="169"/>
      <c r="X114" s="197" t="e">
        <f t="shared" si="43"/>
        <v>#N/A</v>
      </c>
      <c r="Y114" s="432"/>
      <c r="Z114" s="169"/>
      <c r="AA114" s="169"/>
      <c r="AB114" s="169"/>
      <c r="AC114" s="197" t="e">
        <f t="shared" si="44"/>
        <v>#N/A</v>
      </c>
      <c r="AD114" s="432"/>
      <c r="AE114" s="169"/>
      <c r="AF114" s="169"/>
      <c r="AG114" s="169"/>
      <c r="AH114" s="197" t="e">
        <f t="shared" si="45"/>
        <v>#N/A</v>
      </c>
      <c r="AI114" s="432"/>
      <c r="AJ114" s="169"/>
      <c r="AK114" s="169"/>
      <c r="AL114" s="169"/>
      <c r="AM114" s="197" t="e">
        <f t="shared" si="46"/>
        <v>#N/A</v>
      </c>
      <c r="AN114" s="432"/>
      <c r="AO114" s="169"/>
      <c r="AP114" s="169"/>
      <c r="AQ114" s="169"/>
      <c r="AR114" s="197" t="e">
        <f t="shared" si="47"/>
        <v>#N/A</v>
      </c>
      <c r="AS114" s="432"/>
      <c r="AT114" s="197"/>
      <c r="AU114" s="195"/>
      <c r="AV114" s="195"/>
      <c r="AW114" s="197" t="e">
        <f t="shared" si="48"/>
        <v>#N/A</v>
      </c>
      <c r="AX114" s="432"/>
    </row>
    <row r="115" spans="2:50">
      <c r="B115" s="422"/>
      <c r="C115" s="197">
        <v>4</v>
      </c>
      <c r="D115" s="225"/>
      <c r="E115" s="169"/>
      <c r="F115" s="197"/>
      <c r="G115" s="195"/>
      <c r="H115" s="429"/>
      <c r="I115" s="169" t="e">
        <f t="shared" si="39"/>
        <v>#DIV/0!</v>
      </c>
      <c r="J115" s="169" t="e">
        <f t="shared" si="40"/>
        <v>#DIV/0!</v>
      </c>
      <c r="K115" s="195" t="e">
        <f t="shared" si="41"/>
        <v>#DIV/0!</v>
      </c>
      <c r="L115" s="429"/>
      <c r="M115" s="196" t="e">
        <f>RANK(K115, K$147:$K$176)</f>
        <v>#DIV/0!</v>
      </c>
      <c r="N115" s="423"/>
      <c r="O115" s="423"/>
      <c r="P115" s="169"/>
      <c r="Q115" s="169"/>
      <c r="R115" s="169"/>
      <c r="S115" s="197" t="e">
        <f t="shared" si="42"/>
        <v>#N/A</v>
      </c>
      <c r="T115" s="432"/>
      <c r="U115" s="169"/>
      <c r="V115" s="169"/>
      <c r="W115" s="169"/>
      <c r="X115" s="197" t="e">
        <f t="shared" si="43"/>
        <v>#N/A</v>
      </c>
      <c r="Y115" s="432"/>
      <c r="Z115" s="169"/>
      <c r="AA115" s="169"/>
      <c r="AB115" s="169"/>
      <c r="AC115" s="197" t="e">
        <f t="shared" si="44"/>
        <v>#N/A</v>
      </c>
      <c r="AD115" s="432"/>
      <c r="AE115" s="169"/>
      <c r="AF115" s="169"/>
      <c r="AG115" s="169"/>
      <c r="AH115" s="197" t="e">
        <f t="shared" si="45"/>
        <v>#N/A</v>
      </c>
      <c r="AI115" s="432"/>
      <c r="AJ115" s="169"/>
      <c r="AK115" s="169"/>
      <c r="AL115" s="169"/>
      <c r="AM115" s="197" t="e">
        <f t="shared" si="46"/>
        <v>#N/A</v>
      </c>
      <c r="AN115" s="432"/>
      <c r="AO115" s="169"/>
      <c r="AP115" s="169"/>
      <c r="AQ115" s="169"/>
      <c r="AR115" s="197" t="e">
        <f t="shared" si="47"/>
        <v>#N/A</v>
      </c>
      <c r="AS115" s="432"/>
      <c r="AT115" s="197"/>
      <c r="AU115" s="195"/>
      <c r="AV115" s="195"/>
      <c r="AW115" s="197" t="e">
        <f t="shared" si="48"/>
        <v>#N/A</v>
      </c>
      <c r="AX115" s="432"/>
    </row>
    <row r="116" spans="2:50">
      <c r="B116" s="422"/>
      <c r="C116" s="197">
        <v>5</v>
      </c>
      <c r="D116" s="225"/>
      <c r="E116" s="169"/>
      <c r="F116" s="197"/>
      <c r="G116" s="195"/>
      <c r="H116" s="429"/>
      <c r="I116" s="169" t="e">
        <f t="shared" si="39"/>
        <v>#DIV/0!</v>
      </c>
      <c r="J116" s="169" t="e">
        <f t="shared" si="40"/>
        <v>#DIV/0!</v>
      </c>
      <c r="K116" s="195" t="e">
        <f t="shared" si="41"/>
        <v>#DIV/0!</v>
      </c>
      <c r="L116" s="429"/>
      <c r="M116" s="196" t="e">
        <f>RANK(K116, K$147:$K$176)</f>
        <v>#DIV/0!</v>
      </c>
      <c r="N116" s="423"/>
      <c r="O116" s="423"/>
      <c r="P116" s="169"/>
      <c r="Q116" s="169"/>
      <c r="R116" s="169"/>
      <c r="S116" s="197" t="e">
        <f t="shared" si="42"/>
        <v>#N/A</v>
      </c>
      <c r="T116" s="432"/>
      <c r="U116" s="169"/>
      <c r="V116" s="169"/>
      <c r="W116" s="169"/>
      <c r="X116" s="197" t="e">
        <f t="shared" si="43"/>
        <v>#N/A</v>
      </c>
      <c r="Y116" s="432"/>
      <c r="Z116" s="169"/>
      <c r="AA116" s="169"/>
      <c r="AB116" s="169"/>
      <c r="AC116" s="197" t="e">
        <f t="shared" si="44"/>
        <v>#N/A</v>
      </c>
      <c r="AD116" s="432"/>
      <c r="AE116" s="169"/>
      <c r="AF116" s="169"/>
      <c r="AG116" s="169"/>
      <c r="AH116" s="197" t="e">
        <f t="shared" si="45"/>
        <v>#N/A</v>
      </c>
      <c r="AI116" s="432"/>
      <c r="AJ116" s="169"/>
      <c r="AK116" s="169"/>
      <c r="AL116" s="169"/>
      <c r="AM116" s="197" t="e">
        <f t="shared" si="46"/>
        <v>#N/A</v>
      </c>
      <c r="AN116" s="432"/>
      <c r="AO116" s="169"/>
      <c r="AP116" s="169"/>
      <c r="AQ116" s="169"/>
      <c r="AR116" s="197" t="e">
        <f t="shared" si="47"/>
        <v>#N/A</v>
      </c>
      <c r="AS116" s="432"/>
      <c r="AT116" s="197"/>
      <c r="AU116" s="195"/>
      <c r="AV116" s="195"/>
      <c r="AW116" s="197" t="e">
        <f t="shared" si="48"/>
        <v>#N/A</v>
      </c>
      <c r="AX116" s="432"/>
    </row>
    <row r="117" spans="2:50">
      <c r="B117" s="422"/>
      <c r="C117" s="197">
        <v>6</v>
      </c>
      <c r="D117" s="225"/>
      <c r="E117" s="169"/>
      <c r="F117" s="197"/>
      <c r="G117" s="195"/>
      <c r="H117" s="429"/>
      <c r="I117" s="169" t="e">
        <f t="shared" si="39"/>
        <v>#DIV/0!</v>
      </c>
      <c r="J117" s="169" t="e">
        <f t="shared" si="40"/>
        <v>#DIV/0!</v>
      </c>
      <c r="K117" s="195" t="e">
        <f t="shared" si="41"/>
        <v>#DIV/0!</v>
      </c>
      <c r="L117" s="429"/>
      <c r="M117" s="196" t="e">
        <f>RANK(K117, K$147:$K$176)</f>
        <v>#DIV/0!</v>
      </c>
      <c r="N117" s="423"/>
      <c r="O117" s="423"/>
      <c r="P117" s="169"/>
      <c r="Q117" s="169"/>
      <c r="R117" s="169"/>
      <c r="S117" s="197" t="e">
        <f t="shared" si="42"/>
        <v>#N/A</v>
      </c>
      <c r="T117" s="432"/>
      <c r="U117" s="169"/>
      <c r="V117" s="169"/>
      <c r="W117" s="169"/>
      <c r="X117" s="197" t="e">
        <f t="shared" si="43"/>
        <v>#N/A</v>
      </c>
      <c r="Y117" s="432"/>
      <c r="Z117" s="169"/>
      <c r="AA117" s="169"/>
      <c r="AB117" s="169"/>
      <c r="AC117" s="197" t="e">
        <f t="shared" si="44"/>
        <v>#N/A</v>
      </c>
      <c r="AD117" s="432"/>
      <c r="AE117" s="169"/>
      <c r="AF117" s="169"/>
      <c r="AG117" s="169"/>
      <c r="AH117" s="197" t="e">
        <f t="shared" si="45"/>
        <v>#N/A</v>
      </c>
      <c r="AI117" s="432"/>
      <c r="AJ117" s="169"/>
      <c r="AK117" s="169"/>
      <c r="AL117" s="169"/>
      <c r="AM117" s="197" t="e">
        <f t="shared" si="46"/>
        <v>#N/A</v>
      </c>
      <c r="AN117" s="432"/>
      <c r="AO117" s="169"/>
      <c r="AP117" s="169"/>
      <c r="AQ117" s="169"/>
      <c r="AR117" s="197" t="e">
        <f t="shared" si="47"/>
        <v>#N/A</v>
      </c>
      <c r="AS117" s="432"/>
      <c r="AT117" s="197"/>
      <c r="AU117" s="195"/>
      <c r="AV117" s="195"/>
      <c r="AW117" s="197" t="e">
        <f t="shared" si="48"/>
        <v>#N/A</v>
      </c>
      <c r="AX117" s="432"/>
    </row>
    <row r="118" spans="2:50">
      <c r="B118" s="422"/>
      <c r="C118" s="197">
        <v>7</v>
      </c>
      <c r="D118" s="225"/>
      <c r="E118" s="169"/>
      <c r="F118" s="197"/>
      <c r="G118" s="195"/>
      <c r="H118" s="429"/>
      <c r="I118" s="169" t="e">
        <f t="shared" si="39"/>
        <v>#DIV/0!</v>
      </c>
      <c r="J118" s="169" t="e">
        <f t="shared" si="40"/>
        <v>#DIV/0!</v>
      </c>
      <c r="K118" s="195" t="e">
        <f t="shared" si="41"/>
        <v>#DIV/0!</v>
      </c>
      <c r="L118" s="429"/>
      <c r="M118" s="196" t="e">
        <f>RANK(K118, K$147:$K$176)</f>
        <v>#DIV/0!</v>
      </c>
      <c r="N118" s="423"/>
      <c r="O118" s="423"/>
      <c r="P118" s="169"/>
      <c r="Q118" s="169"/>
      <c r="R118" s="169"/>
      <c r="S118" s="197" t="e">
        <f t="shared" si="42"/>
        <v>#N/A</v>
      </c>
      <c r="T118" s="432"/>
      <c r="U118" s="169"/>
      <c r="V118" s="169"/>
      <c r="W118" s="169"/>
      <c r="X118" s="197" t="e">
        <f t="shared" si="43"/>
        <v>#N/A</v>
      </c>
      <c r="Y118" s="432"/>
      <c r="Z118" s="169"/>
      <c r="AA118" s="169"/>
      <c r="AB118" s="169"/>
      <c r="AC118" s="197" t="e">
        <f t="shared" si="44"/>
        <v>#N/A</v>
      </c>
      <c r="AD118" s="432"/>
      <c r="AE118" s="169"/>
      <c r="AF118" s="169"/>
      <c r="AG118" s="169"/>
      <c r="AH118" s="197" t="e">
        <f t="shared" si="45"/>
        <v>#N/A</v>
      </c>
      <c r="AI118" s="432"/>
      <c r="AJ118" s="169"/>
      <c r="AK118" s="169"/>
      <c r="AL118" s="169"/>
      <c r="AM118" s="197" t="e">
        <f t="shared" si="46"/>
        <v>#N/A</v>
      </c>
      <c r="AN118" s="432"/>
      <c r="AO118" s="169"/>
      <c r="AP118" s="169"/>
      <c r="AQ118" s="169"/>
      <c r="AR118" s="197" t="e">
        <f t="shared" si="47"/>
        <v>#N/A</v>
      </c>
      <c r="AS118" s="432"/>
      <c r="AT118" s="197"/>
      <c r="AU118" s="195"/>
      <c r="AV118" s="195"/>
      <c r="AW118" s="197" t="e">
        <f t="shared" si="48"/>
        <v>#N/A</v>
      </c>
      <c r="AX118" s="432"/>
    </row>
    <row r="119" spans="2:50">
      <c r="B119" s="422"/>
      <c r="C119" s="197">
        <v>8</v>
      </c>
      <c r="D119" s="225"/>
      <c r="E119" s="169"/>
      <c r="F119" s="197"/>
      <c r="G119" s="195"/>
      <c r="H119" s="429"/>
      <c r="I119" s="169" t="e">
        <f t="shared" si="39"/>
        <v>#DIV/0!</v>
      </c>
      <c r="J119" s="169" t="e">
        <f t="shared" si="40"/>
        <v>#DIV/0!</v>
      </c>
      <c r="K119" s="195" t="e">
        <f t="shared" si="41"/>
        <v>#DIV/0!</v>
      </c>
      <c r="L119" s="429"/>
      <c r="M119" s="196" t="e">
        <f>RANK(K119, K$147:$K$176)</f>
        <v>#DIV/0!</v>
      </c>
      <c r="N119" s="423"/>
      <c r="O119" s="423"/>
      <c r="P119" s="169"/>
      <c r="Q119" s="169"/>
      <c r="R119" s="169"/>
      <c r="S119" s="197" t="e">
        <f t="shared" si="42"/>
        <v>#N/A</v>
      </c>
      <c r="T119" s="432"/>
      <c r="U119" s="169"/>
      <c r="V119" s="169"/>
      <c r="W119" s="169"/>
      <c r="X119" s="197" t="e">
        <f t="shared" si="43"/>
        <v>#N/A</v>
      </c>
      <c r="Y119" s="432"/>
      <c r="Z119" s="169"/>
      <c r="AA119" s="169"/>
      <c r="AB119" s="169"/>
      <c r="AC119" s="197" t="e">
        <f t="shared" si="44"/>
        <v>#N/A</v>
      </c>
      <c r="AD119" s="432"/>
      <c r="AE119" s="169"/>
      <c r="AF119" s="169"/>
      <c r="AG119" s="169"/>
      <c r="AH119" s="197" t="e">
        <f t="shared" si="45"/>
        <v>#N/A</v>
      </c>
      <c r="AI119" s="432"/>
      <c r="AJ119" s="169"/>
      <c r="AK119" s="169"/>
      <c r="AL119" s="169"/>
      <c r="AM119" s="197" t="e">
        <f t="shared" si="46"/>
        <v>#N/A</v>
      </c>
      <c r="AN119" s="432"/>
      <c r="AO119" s="169"/>
      <c r="AP119" s="169"/>
      <c r="AQ119" s="169"/>
      <c r="AR119" s="197" t="e">
        <f t="shared" si="47"/>
        <v>#N/A</v>
      </c>
      <c r="AS119" s="432"/>
      <c r="AT119" s="197"/>
      <c r="AU119" s="195"/>
      <c r="AV119" s="195"/>
      <c r="AW119" s="197" t="e">
        <f t="shared" si="48"/>
        <v>#N/A</v>
      </c>
      <c r="AX119" s="432"/>
    </row>
    <row r="120" spans="2:50">
      <c r="B120" s="422"/>
      <c r="C120" s="197">
        <v>9</v>
      </c>
      <c r="D120" s="225"/>
      <c r="E120" s="169"/>
      <c r="F120" s="197"/>
      <c r="G120" s="195"/>
      <c r="H120" s="429"/>
      <c r="I120" s="169" t="e">
        <f t="shared" si="39"/>
        <v>#DIV/0!</v>
      </c>
      <c r="J120" s="169" t="e">
        <f t="shared" si="40"/>
        <v>#DIV/0!</v>
      </c>
      <c r="K120" s="195" t="e">
        <f t="shared" si="41"/>
        <v>#DIV/0!</v>
      </c>
      <c r="L120" s="429"/>
      <c r="M120" s="196" t="e">
        <f>RANK(K120, K$147:$K$176)</f>
        <v>#DIV/0!</v>
      </c>
      <c r="N120" s="423"/>
      <c r="O120" s="423"/>
      <c r="P120" s="169"/>
      <c r="Q120" s="169"/>
      <c r="R120" s="169"/>
      <c r="S120" s="197" t="e">
        <f t="shared" si="42"/>
        <v>#N/A</v>
      </c>
      <c r="T120" s="432"/>
      <c r="U120" s="169"/>
      <c r="V120" s="169"/>
      <c r="W120" s="169"/>
      <c r="X120" s="197" t="e">
        <f t="shared" si="43"/>
        <v>#N/A</v>
      </c>
      <c r="Y120" s="432"/>
      <c r="Z120" s="169"/>
      <c r="AA120" s="169"/>
      <c r="AB120" s="169"/>
      <c r="AC120" s="197" t="e">
        <f t="shared" si="44"/>
        <v>#N/A</v>
      </c>
      <c r="AD120" s="432"/>
      <c r="AE120" s="169"/>
      <c r="AF120" s="169"/>
      <c r="AG120" s="169"/>
      <c r="AH120" s="197" t="e">
        <f t="shared" si="45"/>
        <v>#N/A</v>
      </c>
      <c r="AI120" s="432"/>
      <c r="AJ120" s="169"/>
      <c r="AK120" s="169"/>
      <c r="AL120" s="169"/>
      <c r="AM120" s="197" t="e">
        <f t="shared" si="46"/>
        <v>#N/A</v>
      </c>
      <c r="AN120" s="432"/>
      <c r="AO120" s="169"/>
      <c r="AP120" s="169"/>
      <c r="AQ120" s="169"/>
      <c r="AR120" s="197" t="e">
        <f t="shared" si="47"/>
        <v>#N/A</v>
      </c>
      <c r="AS120" s="432"/>
      <c r="AT120" s="197"/>
      <c r="AU120" s="195"/>
      <c r="AV120" s="195"/>
      <c r="AW120" s="197" t="e">
        <f t="shared" si="48"/>
        <v>#N/A</v>
      </c>
      <c r="AX120" s="432"/>
    </row>
    <row r="121" spans="2:50">
      <c r="B121" s="422"/>
      <c r="C121" s="197">
        <v>10</v>
      </c>
      <c r="D121" s="225"/>
      <c r="E121" s="169"/>
      <c r="F121" s="197"/>
      <c r="G121" s="195"/>
      <c r="H121" s="429"/>
      <c r="I121" s="169" t="e">
        <f t="shared" si="39"/>
        <v>#DIV/0!</v>
      </c>
      <c r="J121" s="169" t="e">
        <f t="shared" si="40"/>
        <v>#DIV/0!</v>
      </c>
      <c r="K121" s="195" t="e">
        <f t="shared" si="41"/>
        <v>#DIV/0!</v>
      </c>
      <c r="L121" s="429"/>
      <c r="M121" s="196" t="e">
        <f>RANK(K121, K$147:$K$176)</f>
        <v>#DIV/0!</v>
      </c>
      <c r="N121" s="423"/>
      <c r="O121" s="423"/>
      <c r="P121" s="169"/>
      <c r="Q121" s="169"/>
      <c r="R121" s="169"/>
      <c r="S121" s="197" t="e">
        <f t="shared" si="42"/>
        <v>#N/A</v>
      </c>
      <c r="T121" s="432"/>
      <c r="U121" s="169"/>
      <c r="V121" s="169"/>
      <c r="W121" s="169"/>
      <c r="X121" s="197" t="e">
        <f t="shared" si="43"/>
        <v>#N/A</v>
      </c>
      <c r="Y121" s="432"/>
      <c r="Z121" s="169"/>
      <c r="AA121" s="169"/>
      <c r="AB121" s="169"/>
      <c r="AC121" s="197" t="e">
        <f t="shared" si="44"/>
        <v>#N/A</v>
      </c>
      <c r="AD121" s="432"/>
      <c r="AE121" s="169"/>
      <c r="AF121" s="169"/>
      <c r="AG121" s="169"/>
      <c r="AH121" s="197" t="e">
        <f t="shared" si="45"/>
        <v>#N/A</v>
      </c>
      <c r="AI121" s="432"/>
      <c r="AJ121" s="169"/>
      <c r="AK121" s="169"/>
      <c r="AL121" s="169"/>
      <c r="AM121" s="197" t="e">
        <f t="shared" si="46"/>
        <v>#N/A</v>
      </c>
      <c r="AN121" s="432"/>
      <c r="AO121" s="169"/>
      <c r="AP121" s="169"/>
      <c r="AQ121" s="169"/>
      <c r="AR121" s="197" t="e">
        <f t="shared" si="47"/>
        <v>#N/A</v>
      </c>
      <c r="AS121" s="432"/>
      <c r="AT121" s="197"/>
      <c r="AU121" s="195"/>
      <c r="AV121" s="195"/>
      <c r="AW121" s="197" t="e">
        <f t="shared" si="48"/>
        <v>#N/A</v>
      </c>
      <c r="AX121" s="432"/>
    </row>
    <row r="122" spans="2:50">
      <c r="B122" s="422"/>
      <c r="C122" s="197">
        <v>11</v>
      </c>
      <c r="D122" s="225"/>
      <c r="E122" s="169"/>
      <c r="F122" s="197"/>
      <c r="G122" s="195"/>
      <c r="H122" s="429"/>
      <c r="I122" s="169" t="e">
        <f t="shared" si="39"/>
        <v>#DIV/0!</v>
      </c>
      <c r="J122" s="169" t="e">
        <f t="shared" si="40"/>
        <v>#DIV/0!</v>
      </c>
      <c r="K122" s="195" t="e">
        <f t="shared" si="41"/>
        <v>#DIV/0!</v>
      </c>
      <c r="L122" s="429"/>
      <c r="M122" s="196" t="e">
        <f>RANK(K122, K$147:$K$176)</f>
        <v>#DIV/0!</v>
      </c>
      <c r="N122" s="423"/>
      <c r="O122" s="423"/>
      <c r="P122" s="169"/>
      <c r="Q122" s="169"/>
      <c r="R122" s="169"/>
      <c r="S122" s="197" t="e">
        <f t="shared" si="42"/>
        <v>#N/A</v>
      </c>
      <c r="T122" s="432"/>
      <c r="U122" s="169"/>
      <c r="V122" s="169"/>
      <c r="W122" s="169"/>
      <c r="X122" s="197" t="e">
        <f t="shared" si="43"/>
        <v>#N/A</v>
      </c>
      <c r="Y122" s="432"/>
      <c r="Z122" s="169"/>
      <c r="AA122" s="169"/>
      <c r="AB122" s="169"/>
      <c r="AC122" s="197" t="e">
        <f t="shared" si="44"/>
        <v>#N/A</v>
      </c>
      <c r="AD122" s="432"/>
      <c r="AE122" s="169"/>
      <c r="AF122" s="169"/>
      <c r="AG122" s="169"/>
      <c r="AH122" s="197" t="e">
        <f t="shared" si="45"/>
        <v>#N/A</v>
      </c>
      <c r="AI122" s="432"/>
      <c r="AJ122" s="169"/>
      <c r="AK122" s="169"/>
      <c r="AL122" s="169"/>
      <c r="AM122" s="197" t="e">
        <f t="shared" si="46"/>
        <v>#N/A</v>
      </c>
      <c r="AN122" s="432"/>
      <c r="AO122" s="169"/>
      <c r="AP122" s="169"/>
      <c r="AQ122" s="169"/>
      <c r="AR122" s="197" t="e">
        <f t="shared" si="47"/>
        <v>#N/A</v>
      </c>
      <c r="AS122" s="432"/>
      <c r="AT122" s="197"/>
      <c r="AU122" s="195"/>
      <c r="AV122" s="195"/>
      <c r="AW122" s="197" t="e">
        <f t="shared" si="48"/>
        <v>#N/A</v>
      </c>
      <c r="AX122" s="432"/>
    </row>
    <row r="123" spans="2:50">
      <c r="B123" s="422"/>
      <c r="C123" s="197">
        <v>12</v>
      </c>
      <c r="D123" s="225"/>
      <c r="E123" s="169"/>
      <c r="F123" s="197"/>
      <c r="G123" s="195"/>
      <c r="H123" s="429"/>
      <c r="I123" s="169" t="e">
        <f t="shared" si="39"/>
        <v>#DIV/0!</v>
      </c>
      <c r="J123" s="169" t="e">
        <f t="shared" si="40"/>
        <v>#DIV/0!</v>
      </c>
      <c r="K123" s="195" t="e">
        <f t="shared" si="41"/>
        <v>#DIV/0!</v>
      </c>
      <c r="L123" s="429"/>
      <c r="M123" s="196" t="e">
        <f>RANK(K123, K$147:$K$176)</f>
        <v>#DIV/0!</v>
      </c>
      <c r="N123" s="423"/>
      <c r="O123" s="423"/>
      <c r="P123" s="169"/>
      <c r="Q123" s="169"/>
      <c r="R123" s="169"/>
      <c r="S123" s="197" t="e">
        <f t="shared" si="42"/>
        <v>#N/A</v>
      </c>
      <c r="T123" s="432"/>
      <c r="U123" s="169"/>
      <c r="V123" s="169"/>
      <c r="W123" s="169"/>
      <c r="X123" s="197" t="e">
        <f t="shared" si="43"/>
        <v>#N/A</v>
      </c>
      <c r="Y123" s="432"/>
      <c r="Z123" s="169"/>
      <c r="AA123" s="169"/>
      <c r="AB123" s="169"/>
      <c r="AC123" s="197" t="e">
        <f t="shared" si="44"/>
        <v>#N/A</v>
      </c>
      <c r="AD123" s="432"/>
      <c r="AE123" s="169"/>
      <c r="AF123" s="169"/>
      <c r="AG123" s="169"/>
      <c r="AH123" s="197" t="e">
        <f t="shared" si="45"/>
        <v>#N/A</v>
      </c>
      <c r="AI123" s="432"/>
      <c r="AJ123" s="169"/>
      <c r="AK123" s="169"/>
      <c r="AL123" s="169"/>
      <c r="AM123" s="197" t="e">
        <f t="shared" si="46"/>
        <v>#N/A</v>
      </c>
      <c r="AN123" s="432"/>
      <c r="AO123" s="169"/>
      <c r="AP123" s="169"/>
      <c r="AQ123" s="169"/>
      <c r="AR123" s="197" t="e">
        <f t="shared" si="47"/>
        <v>#N/A</v>
      </c>
      <c r="AS123" s="432"/>
      <c r="AT123" s="197"/>
      <c r="AU123" s="195"/>
      <c r="AV123" s="195"/>
      <c r="AW123" s="197" t="e">
        <f t="shared" si="48"/>
        <v>#N/A</v>
      </c>
      <c r="AX123" s="432"/>
    </row>
    <row r="124" spans="2:50">
      <c r="B124" s="422"/>
      <c r="C124" s="197">
        <v>13</v>
      </c>
      <c r="D124" s="225"/>
      <c r="E124" s="169"/>
      <c r="F124" s="197"/>
      <c r="G124" s="195"/>
      <c r="H124" s="429"/>
      <c r="I124" s="169" t="e">
        <f t="shared" si="39"/>
        <v>#DIV/0!</v>
      </c>
      <c r="J124" s="169" t="e">
        <f t="shared" si="40"/>
        <v>#DIV/0!</v>
      </c>
      <c r="K124" s="195" t="e">
        <f t="shared" si="41"/>
        <v>#DIV/0!</v>
      </c>
      <c r="L124" s="429"/>
      <c r="M124" s="196" t="e">
        <f>RANK(K124, K$147:$K$176)</f>
        <v>#DIV/0!</v>
      </c>
      <c r="N124" s="423"/>
      <c r="O124" s="423"/>
      <c r="P124" s="169"/>
      <c r="Q124" s="169"/>
      <c r="R124" s="169"/>
      <c r="S124" s="197" t="e">
        <f t="shared" si="42"/>
        <v>#N/A</v>
      </c>
      <c r="T124" s="432"/>
      <c r="U124" s="169"/>
      <c r="V124" s="169"/>
      <c r="W124" s="169"/>
      <c r="X124" s="197" t="e">
        <f t="shared" si="43"/>
        <v>#N/A</v>
      </c>
      <c r="Y124" s="432"/>
      <c r="Z124" s="169"/>
      <c r="AA124" s="169"/>
      <c r="AB124" s="169"/>
      <c r="AC124" s="197" t="e">
        <f t="shared" si="44"/>
        <v>#N/A</v>
      </c>
      <c r="AD124" s="432"/>
      <c r="AE124" s="169"/>
      <c r="AF124" s="169"/>
      <c r="AG124" s="169"/>
      <c r="AH124" s="197" t="e">
        <f t="shared" si="45"/>
        <v>#N/A</v>
      </c>
      <c r="AI124" s="432"/>
      <c r="AJ124" s="169"/>
      <c r="AK124" s="169"/>
      <c r="AL124" s="169"/>
      <c r="AM124" s="197" t="e">
        <f t="shared" si="46"/>
        <v>#N/A</v>
      </c>
      <c r="AN124" s="432"/>
      <c r="AO124" s="169"/>
      <c r="AP124" s="169"/>
      <c r="AQ124" s="169"/>
      <c r="AR124" s="197" t="e">
        <f t="shared" si="47"/>
        <v>#N/A</v>
      </c>
      <c r="AS124" s="432"/>
      <c r="AT124" s="197"/>
      <c r="AU124" s="195"/>
      <c r="AV124" s="195"/>
      <c r="AW124" s="197" t="e">
        <f t="shared" si="48"/>
        <v>#N/A</v>
      </c>
      <c r="AX124" s="432"/>
    </row>
    <row r="125" spans="2:50">
      <c r="B125" s="422"/>
      <c r="C125" s="197">
        <v>14</v>
      </c>
      <c r="D125" s="225"/>
      <c r="E125" s="169"/>
      <c r="F125" s="197"/>
      <c r="G125" s="195"/>
      <c r="H125" s="429"/>
      <c r="I125" s="169" t="e">
        <f t="shared" si="39"/>
        <v>#DIV/0!</v>
      </c>
      <c r="J125" s="169" t="e">
        <f t="shared" si="40"/>
        <v>#DIV/0!</v>
      </c>
      <c r="K125" s="195" t="e">
        <f t="shared" si="41"/>
        <v>#DIV/0!</v>
      </c>
      <c r="L125" s="429"/>
      <c r="M125" s="196" t="e">
        <f>RANK(K125, K$147:$K$176)</f>
        <v>#DIV/0!</v>
      </c>
      <c r="N125" s="423"/>
      <c r="O125" s="423"/>
      <c r="P125" s="169"/>
      <c r="Q125" s="169"/>
      <c r="R125" s="169"/>
      <c r="S125" s="197" t="e">
        <f t="shared" si="42"/>
        <v>#N/A</v>
      </c>
      <c r="T125" s="432"/>
      <c r="U125" s="169"/>
      <c r="V125" s="169"/>
      <c r="W125" s="169"/>
      <c r="X125" s="197" t="e">
        <f t="shared" si="43"/>
        <v>#N/A</v>
      </c>
      <c r="Y125" s="432"/>
      <c r="Z125" s="169"/>
      <c r="AA125" s="169"/>
      <c r="AB125" s="169"/>
      <c r="AC125" s="197" t="e">
        <f t="shared" si="44"/>
        <v>#N/A</v>
      </c>
      <c r="AD125" s="432"/>
      <c r="AE125" s="169"/>
      <c r="AF125" s="169"/>
      <c r="AG125" s="169"/>
      <c r="AH125" s="197" t="e">
        <f t="shared" si="45"/>
        <v>#N/A</v>
      </c>
      <c r="AI125" s="432"/>
      <c r="AJ125" s="169"/>
      <c r="AK125" s="169"/>
      <c r="AL125" s="169"/>
      <c r="AM125" s="197" t="e">
        <f t="shared" si="46"/>
        <v>#N/A</v>
      </c>
      <c r="AN125" s="432"/>
      <c r="AO125" s="169"/>
      <c r="AP125" s="169"/>
      <c r="AQ125" s="169"/>
      <c r="AR125" s="197" t="e">
        <f t="shared" si="47"/>
        <v>#N/A</v>
      </c>
      <c r="AS125" s="432"/>
      <c r="AT125" s="197"/>
      <c r="AU125" s="195"/>
      <c r="AV125" s="195"/>
      <c r="AW125" s="197" t="e">
        <f t="shared" si="48"/>
        <v>#N/A</v>
      </c>
      <c r="AX125" s="432"/>
    </row>
    <row r="126" spans="2:50">
      <c r="B126" s="422"/>
      <c r="C126" s="197">
        <v>15</v>
      </c>
      <c r="D126" s="225"/>
      <c r="E126" s="169"/>
      <c r="F126" s="197"/>
      <c r="G126" s="195"/>
      <c r="H126" s="429"/>
      <c r="I126" s="169" t="e">
        <f t="shared" si="39"/>
        <v>#DIV/0!</v>
      </c>
      <c r="J126" s="169" t="e">
        <f t="shared" si="40"/>
        <v>#DIV/0!</v>
      </c>
      <c r="K126" s="195" t="e">
        <f t="shared" si="41"/>
        <v>#DIV/0!</v>
      </c>
      <c r="L126" s="429"/>
      <c r="M126" s="169" t="e">
        <f>RANK(K126, K$147:$K$176)</f>
        <v>#DIV/0!</v>
      </c>
      <c r="N126" s="423"/>
      <c r="O126" s="423"/>
      <c r="P126" s="169"/>
      <c r="Q126" s="169"/>
      <c r="R126" s="169"/>
      <c r="S126" s="197" t="e">
        <f t="shared" si="42"/>
        <v>#N/A</v>
      </c>
      <c r="T126" s="432"/>
      <c r="U126" s="169"/>
      <c r="V126" s="169"/>
      <c r="W126" s="169"/>
      <c r="X126" s="197" t="e">
        <f t="shared" si="43"/>
        <v>#N/A</v>
      </c>
      <c r="Y126" s="432"/>
      <c r="Z126" s="169"/>
      <c r="AA126" s="169"/>
      <c r="AB126" s="169"/>
      <c r="AC126" s="197" t="e">
        <f t="shared" si="44"/>
        <v>#N/A</v>
      </c>
      <c r="AD126" s="432"/>
      <c r="AE126" s="169"/>
      <c r="AF126" s="169"/>
      <c r="AG126" s="169"/>
      <c r="AH126" s="197" t="e">
        <f t="shared" si="45"/>
        <v>#N/A</v>
      </c>
      <c r="AI126" s="432"/>
      <c r="AJ126" s="169"/>
      <c r="AK126" s="169"/>
      <c r="AL126" s="169"/>
      <c r="AM126" s="197" t="e">
        <f t="shared" si="46"/>
        <v>#N/A</v>
      </c>
      <c r="AN126" s="432"/>
      <c r="AO126" s="169"/>
      <c r="AP126" s="169"/>
      <c r="AQ126" s="169"/>
      <c r="AR126" s="197" t="e">
        <f t="shared" si="47"/>
        <v>#N/A</v>
      </c>
      <c r="AS126" s="432"/>
      <c r="AT126" s="197"/>
      <c r="AU126" s="195"/>
      <c r="AV126" s="195"/>
      <c r="AW126" s="197" t="e">
        <f t="shared" si="48"/>
        <v>#N/A</v>
      </c>
      <c r="AX126" s="432"/>
    </row>
    <row r="127" spans="2:50">
      <c r="B127" s="422"/>
      <c r="C127" s="197">
        <v>16</v>
      </c>
      <c r="D127" s="225"/>
      <c r="E127" s="169"/>
      <c r="F127" s="197"/>
      <c r="G127" s="195"/>
      <c r="H127" s="429"/>
      <c r="I127" s="169" t="e">
        <f t="shared" si="39"/>
        <v>#DIV/0!</v>
      </c>
      <c r="J127" s="169" t="e">
        <f t="shared" si="40"/>
        <v>#DIV/0!</v>
      </c>
      <c r="K127" s="195" t="e">
        <f t="shared" si="41"/>
        <v>#DIV/0!</v>
      </c>
      <c r="L127" s="429"/>
      <c r="M127" s="169" t="e">
        <f>RANK(K127, K$147:$K$176)</f>
        <v>#DIV/0!</v>
      </c>
      <c r="N127" s="423"/>
      <c r="O127" s="423"/>
      <c r="P127" s="169"/>
      <c r="Q127" s="169"/>
      <c r="R127" s="169"/>
      <c r="S127" s="197" t="e">
        <f t="shared" si="42"/>
        <v>#N/A</v>
      </c>
      <c r="T127" s="432"/>
      <c r="U127" s="169"/>
      <c r="V127" s="169"/>
      <c r="W127" s="169"/>
      <c r="X127" s="197" t="e">
        <f t="shared" si="43"/>
        <v>#N/A</v>
      </c>
      <c r="Y127" s="432"/>
      <c r="Z127" s="169"/>
      <c r="AA127" s="169"/>
      <c r="AB127" s="169"/>
      <c r="AC127" s="197" t="e">
        <f t="shared" si="44"/>
        <v>#N/A</v>
      </c>
      <c r="AD127" s="432"/>
      <c r="AE127" s="169"/>
      <c r="AF127" s="169"/>
      <c r="AG127" s="169"/>
      <c r="AH127" s="197" t="e">
        <f t="shared" si="45"/>
        <v>#N/A</v>
      </c>
      <c r="AI127" s="432"/>
      <c r="AJ127" s="169"/>
      <c r="AK127" s="169"/>
      <c r="AL127" s="169"/>
      <c r="AM127" s="197" t="e">
        <f t="shared" si="46"/>
        <v>#N/A</v>
      </c>
      <c r="AN127" s="432"/>
      <c r="AO127" s="169"/>
      <c r="AP127" s="169"/>
      <c r="AQ127" s="169"/>
      <c r="AR127" s="197" t="e">
        <f t="shared" si="47"/>
        <v>#N/A</v>
      </c>
      <c r="AS127" s="432"/>
      <c r="AT127" s="197"/>
      <c r="AU127" s="195"/>
      <c r="AV127" s="195"/>
      <c r="AW127" s="197" t="e">
        <f t="shared" si="48"/>
        <v>#N/A</v>
      </c>
      <c r="AX127" s="432"/>
    </row>
    <row r="128" spans="2:50">
      <c r="B128" s="422"/>
      <c r="C128" s="197">
        <v>17</v>
      </c>
      <c r="D128" s="225"/>
      <c r="E128" s="169"/>
      <c r="F128" s="197"/>
      <c r="G128" s="195"/>
      <c r="H128" s="429"/>
      <c r="I128" s="169" t="e">
        <f t="shared" si="39"/>
        <v>#DIV/0!</v>
      </c>
      <c r="J128" s="169" t="e">
        <f t="shared" si="40"/>
        <v>#DIV/0!</v>
      </c>
      <c r="K128" s="195" t="e">
        <f t="shared" si="41"/>
        <v>#DIV/0!</v>
      </c>
      <c r="L128" s="429"/>
      <c r="M128" s="169" t="e">
        <f>RANK(K128, K$147:$K$176)</f>
        <v>#DIV/0!</v>
      </c>
      <c r="N128" s="423"/>
      <c r="O128" s="423"/>
      <c r="P128" s="169"/>
      <c r="Q128" s="169"/>
      <c r="R128" s="169"/>
      <c r="S128" s="197" t="e">
        <f t="shared" si="42"/>
        <v>#N/A</v>
      </c>
      <c r="T128" s="432"/>
      <c r="U128" s="169"/>
      <c r="V128" s="169"/>
      <c r="W128" s="169"/>
      <c r="X128" s="197" t="e">
        <f t="shared" si="43"/>
        <v>#N/A</v>
      </c>
      <c r="Y128" s="432"/>
      <c r="Z128" s="169"/>
      <c r="AA128" s="169"/>
      <c r="AB128" s="169"/>
      <c r="AC128" s="197" t="e">
        <f t="shared" si="44"/>
        <v>#N/A</v>
      </c>
      <c r="AD128" s="432"/>
      <c r="AE128" s="169"/>
      <c r="AF128" s="169"/>
      <c r="AG128" s="169"/>
      <c r="AH128" s="197" t="e">
        <f t="shared" si="45"/>
        <v>#N/A</v>
      </c>
      <c r="AI128" s="432"/>
      <c r="AJ128" s="169"/>
      <c r="AK128" s="169"/>
      <c r="AL128" s="169"/>
      <c r="AM128" s="197" t="e">
        <f t="shared" si="46"/>
        <v>#N/A</v>
      </c>
      <c r="AN128" s="432"/>
      <c r="AO128" s="169"/>
      <c r="AP128" s="169"/>
      <c r="AQ128" s="169"/>
      <c r="AR128" s="197" t="e">
        <f t="shared" si="47"/>
        <v>#N/A</v>
      </c>
      <c r="AS128" s="432"/>
      <c r="AT128" s="197"/>
      <c r="AU128" s="195"/>
      <c r="AV128" s="195"/>
      <c r="AW128" s="197" t="e">
        <f t="shared" si="48"/>
        <v>#N/A</v>
      </c>
      <c r="AX128" s="432"/>
    </row>
    <row r="129" spans="2:50">
      <c r="B129" s="422"/>
      <c r="C129" s="197">
        <v>18</v>
      </c>
      <c r="D129" s="225"/>
      <c r="E129" s="169"/>
      <c r="F129" s="197"/>
      <c r="G129" s="195"/>
      <c r="H129" s="429"/>
      <c r="I129" s="169" t="e">
        <f t="shared" si="39"/>
        <v>#DIV/0!</v>
      </c>
      <c r="J129" s="169" t="e">
        <f t="shared" si="40"/>
        <v>#DIV/0!</v>
      </c>
      <c r="K129" s="195" t="e">
        <f t="shared" si="41"/>
        <v>#DIV/0!</v>
      </c>
      <c r="L129" s="429"/>
      <c r="M129" s="169" t="e">
        <f>RANK(K129, K$147:$K$176)</f>
        <v>#DIV/0!</v>
      </c>
      <c r="N129" s="423"/>
      <c r="O129" s="423"/>
      <c r="P129" s="169"/>
      <c r="Q129" s="169"/>
      <c r="R129" s="169"/>
      <c r="S129" s="197" t="e">
        <f t="shared" si="42"/>
        <v>#N/A</v>
      </c>
      <c r="T129" s="432"/>
      <c r="U129" s="169"/>
      <c r="V129" s="169"/>
      <c r="W129" s="169"/>
      <c r="X129" s="197" t="e">
        <f t="shared" si="43"/>
        <v>#N/A</v>
      </c>
      <c r="Y129" s="432"/>
      <c r="Z129" s="169"/>
      <c r="AA129" s="169"/>
      <c r="AB129" s="169"/>
      <c r="AC129" s="197" t="e">
        <f t="shared" si="44"/>
        <v>#N/A</v>
      </c>
      <c r="AD129" s="432"/>
      <c r="AE129" s="169"/>
      <c r="AF129" s="169"/>
      <c r="AG129" s="169"/>
      <c r="AH129" s="197" t="e">
        <f t="shared" si="45"/>
        <v>#N/A</v>
      </c>
      <c r="AI129" s="432"/>
      <c r="AJ129" s="169"/>
      <c r="AK129" s="169"/>
      <c r="AL129" s="169"/>
      <c r="AM129" s="197" t="e">
        <f t="shared" si="46"/>
        <v>#N/A</v>
      </c>
      <c r="AN129" s="432"/>
      <c r="AO129" s="169"/>
      <c r="AP129" s="169"/>
      <c r="AQ129" s="169"/>
      <c r="AR129" s="197" t="e">
        <f t="shared" si="47"/>
        <v>#N/A</v>
      </c>
      <c r="AS129" s="432"/>
      <c r="AT129" s="197"/>
      <c r="AU129" s="195"/>
      <c r="AV129" s="195"/>
      <c r="AW129" s="197" t="e">
        <f t="shared" si="48"/>
        <v>#N/A</v>
      </c>
      <c r="AX129" s="432"/>
    </row>
    <row r="130" spans="2:50">
      <c r="B130" s="422"/>
      <c r="C130" s="197">
        <v>19</v>
      </c>
      <c r="D130" s="225"/>
      <c r="E130" s="169"/>
      <c r="F130" s="197"/>
      <c r="G130" s="195"/>
      <c r="H130" s="429"/>
      <c r="I130" s="169" t="e">
        <f t="shared" si="39"/>
        <v>#DIV/0!</v>
      </c>
      <c r="J130" s="169" t="e">
        <f t="shared" si="40"/>
        <v>#DIV/0!</v>
      </c>
      <c r="K130" s="195" t="e">
        <f t="shared" si="41"/>
        <v>#DIV/0!</v>
      </c>
      <c r="L130" s="429"/>
      <c r="M130" s="169" t="e">
        <f>RANK(K130, K$147:$K$176)</f>
        <v>#DIV/0!</v>
      </c>
      <c r="N130" s="423"/>
      <c r="O130" s="423"/>
      <c r="P130" s="169"/>
      <c r="Q130" s="169"/>
      <c r="R130" s="169"/>
      <c r="S130" s="197" t="e">
        <f t="shared" si="42"/>
        <v>#N/A</v>
      </c>
      <c r="T130" s="432"/>
      <c r="U130" s="169"/>
      <c r="V130" s="169"/>
      <c r="W130" s="169"/>
      <c r="X130" s="197" t="e">
        <f t="shared" si="43"/>
        <v>#N/A</v>
      </c>
      <c r="Y130" s="432"/>
      <c r="Z130" s="169"/>
      <c r="AA130" s="169"/>
      <c r="AB130" s="169"/>
      <c r="AC130" s="197" t="e">
        <f t="shared" si="44"/>
        <v>#N/A</v>
      </c>
      <c r="AD130" s="432"/>
      <c r="AE130" s="169"/>
      <c r="AF130" s="169"/>
      <c r="AG130" s="169"/>
      <c r="AH130" s="197" t="e">
        <f t="shared" si="45"/>
        <v>#N/A</v>
      </c>
      <c r="AI130" s="432"/>
      <c r="AJ130" s="169"/>
      <c r="AK130" s="169"/>
      <c r="AL130" s="169"/>
      <c r="AM130" s="197" t="e">
        <f t="shared" si="46"/>
        <v>#N/A</v>
      </c>
      <c r="AN130" s="432"/>
      <c r="AO130" s="169"/>
      <c r="AP130" s="169"/>
      <c r="AQ130" s="169"/>
      <c r="AR130" s="197" t="e">
        <f t="shared" si="47"/>
        <v>#N/A</v>
      </c>
      <c r="AS130" s="432"/>
      <c r="AT130" s="197"/>
      <c r="AU130" s="195"/>
      <c r="AV130" s="195"/>
      <c r="AW130" s="197" t="e">
        <f t="shared" si="48"/>
        <v>#N/A</v>
      </c>
      <c r="AX130" s="432"/>
    </row>
    <row r="131" spans="2:50">
      <c r="B131" s="422"/>
      <c r="C131" s="197">
        <v>20</v>
      </c>
      <c r="D131" s="225"/>
      <c r="E131" s="169"/>
      <c r="F131" s="197"/>
      <c r="G131" s="195"/>
      <c r="H131" s="429"/>
      <c r="I131" s="169" t="e">
        <f t="shared" si="39"/>
        <v>#DIV/0!</v>
      </c>
      <c r="J131" s="169" t="e">
        <f t="shared" si="40"/>
        <v>#DIV/0!</v>
      </c>
      <c r="K131" s="195" t="e">
        <f t="shared" si="41"/>
        <v>#DIV/0!</v>
      </c>
      <c r="L131" s="429"/>
      <c r="M131" s="169" t="e">
        <f>RANK(K131, K$147:$K$176)</f>
        <v>#DIV/0!</v>
      </c>
      <c r="N131" s="423"/>
      <c r="O131" s="423"/>
      <c r="P131" s="169"/>
      <c r="Q131" s="169"/>
      <c r="R131" s="169"/>
      <c r="S131" s="197" t="e">
        <f t="shared" si="42"/>
        <v>#N/A</v>
      </c>
      <c r="T131" s="432"/>
      <c r="U131" s="169"/>
      <c r="V131" s="169"/>
      <c r="W131" s="169"/>
      <c r="X131" s="197" t="e">
        <f t="shared" si="43"/>
        <v>#N/A</v>
      </c>
      <c r="Y131" s="432"/>
      <c r="Z131" s="169"/>
      <c r="AA131" s="169"/>
      <c r="AB131" s="169"/>
      <c r="AC131" s="197" t="e">
        <f t="shared" si="44"/>
        <v>#N/A</v>
      </c>
      <c r="AD131" s="432"/>
      <c r="AE131" s="169"/>
      <c r="AF131" s="169"/>
      <c r="AG131" s="169"/>
      <c r="AH131" s="197" t="e">
        <f t="shared" si="45"/>
        <v>#N/A</v>
      </c>
      <c r="AI131" s="432"/>
      <c r="AJ131" s="169"/>
      <c r="AK131" s="169"/>
      <c r="AL131" s="169"/>
      <c r="AM131" s="197" t="e">
        <f t="shared" si="46"/>
        <v>#N/A</v>
      </c>
      <c r="AN131" s="432"/>
      <c r="AO131" s="169"/>
      <c r="AP131" s="169"/>
      <c r="AQ131" s="169"/>
      <c r="AR131" s="197" t="e">
        <f t="shared" si="47"/>
        <v>#N/A</v>
      </c>
      <c r="AS131" s="432"/>
      <c r="AT131" s="197"/>
      <c r="AU131" s="195"/>
      <c r="AV131" s="195"/>
      <c r="AW131" s="197" t="e">
        <f t="shared" si="48"/>
        <v>#N/A</v>
      </c>
      <c r="AX131" s="432"/>
    </row>
    <row r="132" spans="2:50">
      <c r="B132" s="422"/>
      <c r="C132" s="197">
        <v>21</v>
      </c>
      <c r="D132" s="225"/>
      <c r="E132" s="169"/>
      <c r="F132" s="197"/>
      <c r="G132" s="195"/>
      <c r="H132" s="429"/>
      <c r="I132" s="169" t="e">
        <f t="shared" si="39"/>
        <v>#DIV/0!</v>
      </c>
      <c r="J132" s="169" t="e">
        <f t="shared" si="40"/>
        <v>#DIV/0!</v>
      </c>
      <c r="K132" s="195" t="e">
        <f t="shared" si="41"/>
        <v>#DIV/0!</v>
      </c>
      <c r="L132" s="429"/>
      <c r="M132" s="169" t="e">
        <f>RANK(K132, K$147:$K$176)</f>
        <v>#DIV/0!</v>
      </c>
      <c r="N132" s="423"/>
      <c r="O132" s="423"/>
      <c r="P132" s="169"/>
      <c r="Q132" s="169"/>
      <c r="R132" s="169"/>
      <c r="S132" s="197" t="e">
        <f t="shared" si="42"/>
        <v>#N/A</v>
      </c>
      <c r="T132" s="432"/>
      <c r="U132" s="169"/>
      <c r="V132" s="169"/>
      <c r="W132" s="169"/>
      <c r="X132" s="197" t="e">
        <f t="shared" si="43"/>
        <v>#N/A</v>
      </c>
      <c r="Y132" s="432"/>
      <c r="Z132" s="169"/>
      <c r="AA132" s="169"/>
      <c r="AB132" s="169"/>
      <c r="AC132" s="197" t="e">
        <f t="shared" si="44"/>
        <v>#N/A</v>
      </c>
      <c r="AD132" s="432"/>
      <c r="AE132" s="169"/>
      <c r="AF132" s="169"/>
      <c r="AG132" s="169"/>
      <c r="AH132" s="197" t="e">
        <f t="shared" si="45"/>
        <v>#N/A</v>
      </c>
      <c r="AI132" s="432"/>
      <c r="AJ132" s="169"/>
      <c r="AK132" s="169"/>
      <c r="AL132" s="169"/>
      <c r="AM132" s="197" t="e">
        <f t="shared" si="46"/>
        <v>#N/A</v>
      </c>
      <c r="AN132" s="432"/>
      <c r="AO132" s="169"/>
      <c r="AP132" s="169"/>
      <c r="AQ132" s="169"/>
      <c r="AR132" s="197" t="e">
        <f t="shared" si="47"/>
        <v>#N/A</v>
      </c>
      <c r="AS132" s="432"/>
      <c r="AT132" s="197"/>
      <c r="AU132" s="195"/>
      <c r="AV132" s="195"/>
      <c r="AW132" s="197" t="e">
        <f t="shared" si="48"/>
        <v>#N/A</v>
      </c>
      <c r="AX132" s="432"/>
    </row>
    <row r="133" spans="2:50">
      <c r="B133" s="422"/>
      <c r="C133" s="197">
        <v>22</v>
      </c>
      <c r="D133" s="225"/>
      <c r="E133" s="169"/>
      <c r="F133" s="197"/>
      <c r="G133" s="195"/>
      <c r="H133" s="429"/>
      <c r="I133" s="169" t="e">
        <f t="shared" si="39"/>
        <v>#DIV/0!</v>
      </c>
      <c r="J133" s="169" t="e">
        <f t="shared" si="40"/>
        <v>#DIV/0!</v>
      </c>
      <c r="K133" s="195" t="e">
        <f t="shared" si="41"/>
        <v>#DIV/0!</v>
      </c>
      <c r="L133" s="429"/>
      <c r="M133" s="169" t="e">
        <f>RANK(K133, K$147:$K$176)</f>
        <v>#DIV/0!</v>
      </c>
      <c r="N133" s="423"/>
      <c r="O133" s="423"/>
      <c r="P133" s="169"/>
      <c r="Q133" s="169"/>
      <c r="R133" s="169"/>
      <c r="S133" s="197" t="e">
        <f t="shared" si="42"/>
        <v>#N/A</v>
      </c>
      <c r="T133" s="432"/>
      <c r="U133" s="169"/>
      <c r="V133" s="169"/>
      <c r="W133" s="169"/>
      <c r="X133" s="197" t="e">
        <f t="shared" si="43"/>
        <v>#N/A</v>
      </c>
      <c r="Y133" s="432"/>
      <c r="Z133" s="169"/>
      <c r="AA133" s="169"/>
      <c r="AB133" s="169"/>
      <c r="AC133" s="197" t="e">
        <f t="shared" si="44"/>
        <v>#N/A</v>
      </c>
      <c r="AD133" s="432"/>
      <c r="AE133" s="169"/>
      <c r="AF133" s="169"/>
      <c r="AG133" s="169"/>
      <c r="AH133" s="197" t="e">
        <f t="shared" si="45"/>
        <v>#N/A</v>
      </c>
      <c r="AI133" s="432"/>
      <c r="AJ133" s="169"/>
      <c r="AK133" s="169"/>
      <c r="AL133" s="169"/>
      <c r="AM133" s="197" t="e">
        <f t="shared" si="46"/>
        <v>#N/A</v>
      </c>
      <c r="AN133" s="432"/>
      <c r="AO133" s="169"/>
      <c r="AP133" s="169"/>
      <c r="AQ133" s="169"/>
      <c r="AR133" s="197" t="e">
        <f t="shared" si="47"/>
        <v>#N/A</v>
      </c>
      <c r="AS133" s="432"/>
      <c r="AT133" s="197"/>
      <c r="AU133" s="195"/>
      <c r="AV133" s="195"/>
      <c r="AW133" s="197" t="e">
        <f t="shared" si="48"/>
        <v>#N/A</v>
      </c>
      <c r="AX133" s="432"/>
    </row>
    <row r="134" spans="2:50">
      <c r="B134" s="422"/>
      <c r="C134" s="197">
        <v>23</v>
      </c>
      <c r="D134" s="225"/>
      <c r="E134" s="169"/>
      <c r="F134" s="197"/>
      <c r="G134" s="195"/>
      <c r="H134" s="429"/>
      <c r="I134" s="169" t="e">
        <f t="shared" si="39"/>
        <v>#DIV/0!</v>
      </c>
      <c r="J134" s="169" t="e">
        <f t="shared" si="40"/>
        <v>#DIV/0!</v>
      </c>
      <c r="K134" s="195" t="e">
        <f t="shared" si="41"/>
        <v>#DIV/0!</v>
      </c>
      <c r="L134" s="429"/>
      <c r="M134" s="169" t="e">
        <f>RANK(K134, K$147:$K$176)</f>
        <v>#DIV/0!</v>
      </c>
      <c r="N134" s="423"/>
      <c r="O134" s="423"/>
      <c r="P134" s="169"/>
      <c r="Q134" s="169"/>
      <c r="R134" s="169"/>
      <c r="S134" s="197" t="e">
        <f t="shared" si="42"/>
        <v>#N/A</v>
      </c>
      <c r="T134" s="432"/>
      <c r="U134" s="169"/>
      <c r="V134" s="169"/>
      <c r="W134" s="169"/>
      <c r="X134" s="197" t="e">
        <f t="shared" si="43"/>
        <v>#N/A</v>
      </c>
      <c r="Y134" s="432"/>
      <c r="Z134" s="169"/>
      <c r="AA134" s="169"/>
      <c r="AB134" s="169"/>
      <c r="AC134" s="197" t="e">
        <f t="shared" si="44"/>
        <v>#N/A</v>
      </c>
      <c r="AD134" s="432"/>
      <c r="AE134" s="169"/>
      <c r="AF134" s="169"/>
      <c r="AG134" s="169"/>
      <c r="AH134" s="197" t="e">
        <f t="shared" si="45"/>
        <v>#N/A</v>
      </c>
      <c r="AI134" s="432"/>
      <c r="AJ134" s="169"/>
      <c r="AK134" s="169"/>
      <c r="AL134" s="169"/>
      <c r="AM134" s="197" t="e">
        <f t="shared" si="46"/>
        <v>#N/A</v>
      </c>
      <c r="AN134" s="432"/>
      <c r="AO134" s="169"/>
      <c r="AP134" s="169"/>
      <c r="AQ134" s="169"/>
      <c r="AR134" s="197" t="e">
        <f t="shared" si="47"/>
        <v>#N/A</v>
      </c>
      <c r="AS134" s="432"/>
      <c r="AT134" s="197"/>
      <c r="AU134" s="195"/>
      <c r="AV134" s="195"/>
      <c r="AW134" s="197" t="e">
        <f t="shared" si="48"/>
        <v>#N/A</v>
      </c>
      <c r="AX134" s="432"/>
    </row>
    <row r="135" spans="2:50">
      <c r="B135" s="422"/>
      <c r="C135" s="197">
        <v>24</v>
      </c>
      <c r="D135" s="225"/>
      <c r="E135" s="169"/>
      <c r="F135" s="197"/>
      <c r="G135" s="195"/>
      <c r="H135" s="429"/>
      <c r="I135" s="169" t="e">
        <f t="shared" si="39"/>
        <v>#DIV/0!</v>
      </c>
      <c r="J135" s="169" t="e">
        <f t="shared" si="40"/>
        <v>#DIV/0!</v>
      </c>
      <c r="K135" s="195" t="e">
        <f t="shared" si="41"/>
        <v>#DIV/0!</v>
      </c>
      <c r="L135" s="429"/>
      <c r="M135" s="169" t="e">
        <f>RANK(K135, K$147:$K$176)</f>
        <v>#DIV/0!</v>
      </c>
      <c r="N135" s="423"/>
      <c r="O135" s="423"/>
      <c r="P135" s="169"/>
      <c r="Q135" s="169"/>
      <c r="R135" s="169"/>
      <c r="S135" s="197" t="e">
        <f t="shared" si="42"/>
        <v>#N/A</v>
      </c>
      <c r="T135" s="432"/>
      <c r="U135" s="169"/>
      <c r="V135" s="169"/>
      <c r="W135" s="169"/>
      <c r="X135" s="197" t="e">
        <f t="shared" si="43"/>
        <v>#N/A</v>
      </c>
      <c r="Y135" s="432"/>
      <c r="Z135" s="169"/>
      <c r="AA135" s="169"/>
      <c r="AB135" s="169"/>
      <c r="AC135" s="197" t="e">
        <f t="shared" si="44"/>
        <v>#N/A</v>
      </c>
      <c r="AD135" s="432"/>
      <c r="AE135" s="169"/>
      <c r="AF135" s="169"/>
      <c r="AG135" s="169"/>
      <c r="AH135" s="197" t="e">
        <f t="shared" si="45"/>
        <v>#N/A</v>
      </c>
      <c r="AI135" s="432"/>
      <c r="AJ135" s="169"/>
      <c r="AK135" s="169"/>
      <c r="AL135" s="169"/>
      <c r="AM135" s="197" t="e">
        <f t="shared" si="46"/>
        <v>#N/A</v>
      </c>
      <c r="AN135" s="432"/>
      <c r="AO135" s="169"/>
      <c r="AP135" s="169"/>
      <c r="AQ135" s="169"/>
      <c r="AR135" s="197" t="e">
        <f t="shared" si="47"/>
        <v>#N/A</v>
      </c>
      <c r="AS135" s="432"/>
      <c r="AT135" s="197"/>
      <c r="AU135" s="195"/>
      <c r="AV135" s="195"/>
      <c r="AW135" s="197" t="e">
        <f t="shared" si="48"/>
        <v>#N/A</v>
      </c>
      <c r="AX135" s="432"/>
    </row>
    <row r="136" spans="2:50">
      <c r="B136" s="422"/>
      <c r="C136" s="197">
        <v>25</v>
      </c>
      <c r="D136" s="225"/>
      <c r="E136" s="169"/>
      <c r="F136" s="197"/>
      <c r="G136" s="195"/>
      <c r="H136" s="429"/>
      <c r="I136" s="169"/>
      <c r="J136" s="169"/>
      <c r="K136" s="195"/>
      <c r="L136" s="429"/>
      <c r="M136" s="169" t="e">
        <f>RANK(K136, K$147:$K$176)</f>
        <v>#DIV/0!</v>
      </c>
      <c r="N136" s="423"/>
      <c r="O136" s="423"/>
      <c r="P136" s="197"/>
      <c r="Q136" s="195"/>
      <c r="R136" s="195"/>
      <c r="S136" s="197" t="e">
        <f t="shared" si="42"/>
        <v>#N/A</v>
      </c>
      <c r="T136" s="432"/>
      <c r="U136" s="197"/>
      <c r="V136" s="195"/>
      <c r="W136" s="195"/>
      <c r="X136" s="197" t="e">
        <f t="shared" si="43"/>
        <v>#N/A</v>
      </c>
      <c r="Y136" s="432"/>
      <c r="Z136" s="197"/>
      <c r="AA136" s="195"/>
      <c r="AB136" s="195"/>
      <c r="AC136" s="197" t="e">
        <f t="shared" si="44"/>
        <v>#N/A</v>
      </c>
      <c r="AD136" s="432"/>
      <c r="AE136" s="197"/>
      <c r="AF136" s="195"/>
      <c r="AG136" s="195"/>
      <c r="AH136" s="197" t="e">
        <f t="shared" si="45"/>
        <v>#N/A</v>
      </c>
      <c r="AI136" s="432"/>
      <c r="AJ136" s="197"/>
      <c r="AK136" s="195"/>
      <c r="AL136" s="195"/>
      <c r="AM136" s="197" t="e">
        <f t="shared" si="46"/>
        <v>#N/A</v>
      </c>
      <c r="AN136" s="432"/>
      <c r="AO136" s="197"/>
      <c r="AP136" s="195"/>
      <c r="AQ136" s="195"/>
      <c r="AR136" s="197" t="e">
        <f t="shared" si="47"/>
        <v>#N/A</v>
      </c>
      <c r="AS136" s="432"/>
      <c r="AT136" s="197"/>
      <c r="AU136" s="195"/>
      <c r="AV136" s="195"/>
      <c r="AW136" s="197" t="e">
        <f t="shared" si="48"/>
        <v>#N/A</v>
      </c>
      <c r="AX136" s="432"/>
    </row>
    <row r="137" spans="2:50">
      <c r="B137" s="422"/>
      <c r="C137" s="197">
        <v>26</v>
      </c>
      <c r="D137" s="225"/>
      <c r="E137" s="169"/>
      <c r="F137" s="197"/>
      <c r="G137" s="195"/>
      <c r="H137" s="429"/>
      <c r="I137" s="169"/>
      <c r="J137" s="169"/>
      <c r="K137" s="195"/>
      <c r="L137" s="429"/>
      <c r="M137" s="169" t="e">
        <f>RANK(K137, K$147:$K$176)</f>
        <v>#DIV/0!</v>
      </c>
      <c r="N137" s="423"/>
      <c r="O137" s="423"/>
      <c r="P137" s="197"/>
      <c r="Q137" s="195"/>
      <c r="R137" s="195"/>
      <c r="S137" s="197" t="e">
        <f t="shared" si="42"/>
        <v>#N/A</v>
      </c>
      <c r="T137" s="432"/>
      <c r="U137" s="197"/>
      <c r="V137" s="195"/>
      <c r="W137" s="195"/>
      <c r="X137" s="197" t="e">
        <f t="shared" si="43"/>
        <v>#N/A</v>
      </c>
      <c r="Y137" s="432"/>
      <c r="Z137" s="197"/>
      <c r="AA137" s="195"/>
      <c r="AB137" s="195"/>
      <c r="AC137" s="197" t="e">
        <f t="shared" si="44"/>
        <v>#N/A</v>
      </c>
      <c r="AD137" s="432"/>
      <c r="AE137" s="197"/>
      <c r="AF137" s="195"/>
      <c r="AG137" s="195"/>
      <c r="AH137" s="197" t="e">
        <f t="shared" si="45"/>
        <v>#N/A</v>
      </c>
      <c r="AI137" s="432"/>
      <c r="AJ137" s="197"/>
      <c r="AK137" s="195"/>
      <c r="AL137" s="195"/>
      <c r="AM137" s="197" t="e">
        <f t="shared" si="46"/>
        <v>#N/A</v>
      </c>
      <c r="AN137" s="432"/>
      <c r="AO137" s="197"/>
      <c r="AP137" s="195"/>
      <c r="AQ137" s="195"/>
      <c r="AR137" s="197" t="e">
        <f t="shared" si="47"/>
        <v>#N/A</v>
      </c>
      <c r="AS137" s="432"/>
      <c r="AT137" s="197"/>
      <c r="AU137" s="195"/>
      <c r="AV137" s="195"/>
      <c r="AW137" s="197" t="e">
        <f t="shared" si="48"/>
        <v>#N/A</v>
      </c>
      <c r="AX137" s="432"/>
    </row>
    <row r="138" spans="2:50">
      <c r="B138" s="422"/>
      <c r="C138" s="197">
        <v>27</v>
      </c>
      <c r="D138" s="225"/>
      <c r="E138" s="169"/>
      <c r="F138" s="197"/>
      <c r="G138" s="195"/>
      <c r="H138" s="429"/>
      <c r="I138" s="169"/>
      <c r="J138" s="169"/>
      <c r="K138" s="195"/>
      <c r="L138" s="429"/>
      <c r="M138" s="169" t="e">
        <f>RANK(K138, K$147:$K$176)</f>
        <v>#DIV/0!</v>
      </c>
      <c r="N138" s="423"/>
      <c r="O138" s="423"/>
      <c r="P138" s="197"/>
      <c r="Q138" s="195"/>
      <c r="R138" s="195"/>
      <c r="S138" s="197" t="e">
        <f t="shared" si="42"/>
        <v>#N/A</v>
      </c>
      <c r="T138" s="432"/>
      <c r="U138" s="197"/>
      <c r="V138" s="195"/>
      <c r="W138" s="195"/>
      <c r="X138" s="197" t="e">
        <f t="shared" si="43"/>
        <v>#N/A</v>
      </c>
      <c r="Y138" s="432"/>
      <c r="Z138" s="197"/>
      <c r="AA138" s="195"/>
      <c r="AB138" s="195"/>
      <c r="AC138" s="197" t="e">
        <f t="shared" si="44"/>
        <v>#N/A</v>
      </c>
      <c r="AD138" s="432"/>
      <c r="AE138" s="197"/>
      <c r="AF138" s="195"/>
      <c r="AG138" s="195"/>
      <c r="AH138" s="197" t="e">
        <f t="shared" si="45"/>
        <v>#N/A</v>
      </c>
      <c r="AI138" s="432"/>
      <c r="AJ138" s="197"/>
      <c r="AK138" s="195"/>
      <c r="AL138" s="195"/>
      <c r="AM138" s="197" t="e">
        <f t="shared" si="46"/>
        <v>#N/A</v>
      </c>
      <c r="AN138" s="432"/>
      <c r="AO138" s="197"/>
      <c r="AP138" s="195"/>
      <c r="AQ138" s="195"/>
      <c r="AR138" s="197" t="e">
        <f t="shared" si="47"/>
        <v>#N/A</v>
      </c>
      <c r="AS138" s="432"/>
      <c r="AT138" s="197"/>
      <c r="AU138" s="195"/>
      <c r="AV138" s="195"/>
      <c r="AW138" s="197" t="e">
        <f t="shared" si="48"/>
        <v>#N/A</v>
      </c>
      <c r="AX138" s="432"/>
    </row>
    <row r="139" spans="2:50">
      <c r="B139" s="422"/>
      <c r="C139" s="197">
        <v>28</v>
      </c>
      <c r="D139" s="225"/>
      <c r="E139" s="169"/>
      <c r="F139" s="197"/>
      <c r="G139" s="195"/>
      <c r="H139" s="429"/>
      <c r="I139" s="169"/>
      <c r="J139" s="169"/>
      <c r="K139" s="195"/>
      <c r="L139" s="429"/>
      <c r="M139" s="169" t="e">
        <f>RANK(K139, K$147:$K$176)</f>
        <v>#DIV/0!</v>
      </c>
      <c r="N139" s="423"/>
      <c r="O139" s="423"/>
      <c r="P139" s="197"/>
      <c r="Q139" s="195"/>
      <c r="R139" s="195"/>
      <c r="S139" s="197" t="e">
        <f t="shared" si="42"/>
        <v>#N/A</v>
      </c>
      <c r="T139" s="432"/>
      <c r="U139" s="197"/>
      <c r="V139" s="195"/>
      <c r="W139" s="195"/>
      <c r="X139" s="197" t="e">
        <f t="shared" si="43"/>
        <v>#N/A</v>
      </c>
      <c r="Y139" s="432"/>
      <c r="Z139" s="197"/>
      <c r="AA139" s="195"/>
      <c r="AB139" s="195"/>
      <c r="AC139" s="197" t="e">
        <f t="shared" si="44"/>
        <v>#N/A</v>
      </c>
      <c r="AD139" s="432"/>
      <c r="AE139" s="197"/>
      <c r="AF139" s="195"/>
      <c r="AG139" s="195"/>
      <c r="AH139" s="197" t="e">
        <f t="shared" si="45"/>
        <v>#N/A</v>
      </c>
      <c r="AI139" s="432"/>
      <c r="AJ139" s="197"/>
      <c r="AK139" s="195"/>
      <c r="AL139" s="195"/>
      <c r="AM139" s="197" t="e">
        <f t="shared" si="46"/>
        <v>#N/A</v>
      </c>
      <c r="AN139" s="432"/>
      <c r="AO139" s="197"/>
      <c r="AP139" s="195"/>
      <c r="AQ139" s="195"/>
      <c r="AR139" s="197" t="e">
        <f t="shared" si="47"/>
        <v>#N/A</v>
      </c>
      <c r="AS139" s="432"/>
      <c r="AT139" s="197"/>
      <c r="AU139" s="195"/>
      <c r="AV139" s="195"/>
      <c r="AW139" s="197" t="e">
        <f t="shared" si="48"/>
        <v>#N/A</v>
      </c>
      <c r="AX139" s="432"/>
    </row>
    <row r="140" spans="2:50">
      <c r="B140" s="422"/>
      <c r="C140" s="197">
        <v>29</v>
      </c>
      <c r="D140" s="225"/>
      <c r="E140" s="169"/>
      <c r="F140" s="197"/>
      <c r="G140" s="195"/>
      <c r="H140" s="429"/>
      <c r="I140" s="197"/>
      <c r="J140" s="197"/>
      <c r="K140" s="197"/>
      <c r="L140" s="429"/>
      <c r="M140" s="169" t="e">
        <f>RANK(K140, K$147:$K$176)</f>
        <v>#DIV/0!</v>
      </c>
      <c r="N140" s="423"/>
      <c r="O140" s="423"/>
      <c r="P140" s="197"/>
      <c r="Q140" s="197"/>
      <c r="R140" s="197"/>
      <c r="S140" s="197" t="e">
        <f t="shared" si="42"/>
        <v>#N/A</v>
      </c>
      <c r="T140" s="432"/>
      <c r="U140" s="197"/>
      <c r="V140" s="197"/>
      <c r="W140" s="197"/>
      <c r="X140" s="197" t="e">
        <f t="shared" si="43"/>
        <v>#N/A</v>
      </c>
      <c r="Y140" s="432"/>
      <c r="Z140" s="197"/>
      <c r="AA140" s="197"/>
      <c r="AB140" s="197"/>
      <c r="AC140" s="197" t="e">
        <f t="shared" si="44"/>
        <v>#N/A</v>
      </c>
      <c r="AD140" s="432"/>
      <c r="AE140" s="197"/>
      <c r="AF140" s="197"/>
      <c r="AG140" s="197"/>
      <c r="AH140" s="197" t="e">
        <f t="shared" si="45"/>
        <v>#N/A</v>
      </c>
      <c r="AI140" s="432"/>
      <c r="AJ140" s="197"/>
      <c r="AK140" s="197"/>
      <c r="AL140" s="197"/>
      <c r="AM140" s="197" t="e">
        <f t="shared" si="46"/>
        <v>#N/A</v>
      </c>
      <c r="AN140" s="432"/>
      <c r="AO140" s="197"/>
      <c r="AP140" s="197"/>
      <c r="AQ140" s="197"/>
      <c r="AR140" s="197" t="e">
        <f t="shared" si="47"/>
        <v>#N/A</v>
      </c>
      <c r="AS140" s="432"/>
      <c r="AT140" s="197"/>
      <c r="AU140" s="197"/>
      <c r="AV140" s="197"/>
      <c r="AW140" s="197" t="e">
        <f t="shared" si="48"/>
        <v>#N/A</v>
      </c>
      <c r="AX140" s="432"/>
    </row>
    <row r="141" spans="2:50">
      <c r="B141" s="422"/>
      <c r="C141" s="197">
        <v>30</v>
      </c>
      <c r="D141" s="225"/>
      <c r="E141" s="169"/>
      <c r="F141" s="197"/>
      <c r="G141" s="195"/>
      <c r="H141" s="430"/>
      <c r="I141" s="197"/>
      <c r="J141" s="197"/>
      <c r="K141" s="197"/>
      <c r="L141" s="430"/>
      <c r="M141" s="169" t="e">
        <f>RANK(K141, K$147:$K$176)</f>
        <v>#DIV/0!</v>
      </c>
      <c r="N141" s="423"/>
      <c r="O141" s="423"/>
      <c r="P141" s="197"/>
      <c r="Q141" s="197"/>
      <c r="R141" s="197"/>
      <c r="S141" s="197" t="e">
        <f t="shared" si="42"/>
        <v>#N/A</v>
      </c>
      <c r="T141" s="432"/>
      <c r="U141" s="197"/>
      <c r="V141" s="197"/>
      <c r="W141" s="197"/>
      <c r="X141" s="197" t="e">
        <f t="shared" si="43"/>
        <v>#N/A</v>
      </c>
      <c r="Y141" s="432"/>
      <c r="Z141" s="197"/>
      <c r="AA141" s="197"/>
      <c r="AB141" s="197"/>
      <c r="AC141" s="197" t="e">
        <f t="shared" si="44"/>
        <v>#N/A</v>
      </c>
      <c r="AD141" s="432"/>
      <c r="AE141" s="197"/>
      <c r="AF141" s="197"/>
      <c r="AG141" s="197"/>
      <c r="AH141" s="197" t="e">
        <f t="shared" si="45"/>
        <v>#N/A</v>
      </c>
      <c r="AI141" s="432"/>
      <c r="AJ141" s="197"/>
      <c r="AK141" s="197"/>
      <c r="AL141" s="197"/>
      <c r="AM141" s="197" t="e">
        <f t="shared" si="46"/>
        <v>#N/A</v>
      </c>
      <c r="AN141" s="432"/>
      <c r="AO141" s="197"/>
      <c r="AP141" s="197"/>
      <c r="AQ141" s="197"/>
      <c r="AR141" s="197" t="e">
        <f t="shared" si="47"/>
        <v>#N/A</v>
      </c>
      <c r="AS141" s="432"/>
      <c r="AT141" s="197"/>
      <c r="AU141" s="197"/>
      <c r="AV141" s="197"/>
      <c r="AW141" s="197" t="e">
        <f t="shared" si="48"/>
        <v>#N/A</v>
      </c>
      <c r="AX141" s="432"/>
    </row>
    <row r="142" spans="2:50" ht="15.75">
      <c r="B142" s="396" t="s">
        <v>202</v>
      </c>
      <c r="C142" s="427"/>
      <c r="D142" s="427"/>
      <c r="E142" s="427"/>
      <c r="F142" s="427"/>
      <c r="G142" s="427"/>
      <c r="H142" s="427"/>
      <c r="I142" s="201"/>
      <c r="J142" s="201"/>
      <c r="K142" s="201"/>
      <c r="L142" s="201"/>
      <c r="M142" s="200"/>
      <c r="N142" s="401" t="s">
        <v>203</v>
      </c>
      <c r="O142" s="401" t="s">
        <v>150</v>
      </c>
      <c r="P142" s="421">
        <f>P107+7</f>
        <v>45923</v>
      </c>
      <c r="Q142" s="422"/>
      <c r="R142" s="422"/>
      <c r="S142" s="422"/>
      <c r="T142" s="422"/>
      <c r="U142" s="416">
        <f>P142+1</f>
        <v>45924</v>
      </c>
      <c r="V142" s="417"/>
      <c r="W142" s="417"/>
      <c r="X142" s="417"/>
      <c r="Y142" s="418"/>
      <c r="Z142" s="416">
        <f>U142+1</f>
        <v>45925</v>
      </c>
      <c r="AA142" s="417"/>
      <c r="AB142" s="417"/>
      <c r="AC142" s="417"/>
      <c r="AD142" s="418"/>
      <c r="AE142" s="416">
        <f t="shared" ref="AE142" si="49">Z142+1</f>
        <v>45926</v>
      </c>
      <c r="AF142" s="417"/>
      <c r="AG142" s="417"/>
      <c r="AH142" s="417"/>
      <c r="AI142" s="418"/>
      <c r="AJ142" s="416">
        <f t="shared" ref="AJ142" si="50">AE142+1</f>
        <v>45927</v>
      </c>
      <c r="AK142" s="417"/>
      <c r="AL142" s="417"/>
      <c r="AM142" s="417"/>
      <c r="AN142" s="418"/>
      <c r="AO142" s="416">
        <f t="shared" ref="AO142" si="51">AJ142+1</f>
        <v>45928</v>
      </c>
      <c r="AP142" s="417"/>
      <c r="AQ142" s="417"/>
      <c r="AR142" s="417"/>
      <c r="AS142" s="418"/>
      <c r="AT142" s="416">
        <f t="shared" ref="AT142" si="52">AO142+1</f>
        <v>45929</v>
      </c>
      <c r="AU142" s="417"/>
      <c r="AV142" s="417"/>
      <c r="AW142" s="417"/>
      <c r="AX142" s="418"/>
    </row>
    <row r="143" spans="2:50" ht="15.75">
      <c r="B143" s="426"/>
      <c r="C143" s="426"/>
      <c r="D143" s="426"/>
      <c r="E143" s="426"/>
      <c r="F143" s="426"/>
      <c r="G143" s="426"/>
      <c r="H143" s="426"/>
      <c r="I143" s="199"/>
      <c r="J143" s="199"/>
      <c r="K143" s="199"/>
      <c r="L143" s="199"/>
      <c r="M143" s="194"/>
      <c r="N143" s="403"/>
      <c r="O143" s="403"/>
      <c r="P143" s="421" t="s">
        <v>204</v>
      </c>
      <c r="Q143" s="422"/>
      <c r="R143" s="422"/>
      <c r="S143" s="422"/>
      <c r="T143" s="422"/>
      <c r="U143" s="421" t="s">
        <v>205</v>
      </c>
      <c r="V143" s="422"/>
      <c r="W143" s="422"/>
      <c r="X143" s="422"/>
      <c r="Y143" s="422"/>
      <c r="Z143" s="421" t="s">
        <v>206</v>
      </c>
      <c r="AA143" s="422"/>
      <c r="AB143" s="422"/>
      <c r="AC143" s="422"/>
      <c r="AD143" s="422"/>
      <c r="AE143" s="421" t="s">
        <v>207</v>
      </c>
      <c r="AF143" s="422"/>
      <c r="AG143" s="422"/>
      <c r="AH143" s="422"/>
      <c r="AI143" s="422"/>
      <c r="AJ143" s="421" t="s">
        <v>208</v>
      </c>
      <c r="AK143" s="422"/>
      <c r="AL143" s="422"/>
      <c r="AM143" s="422"/>
      <c r="AN143" s="422"/>
      <c r="AO143" s="421" t="s">
        <v>157</v>
      </c>
      <c r="AP143" s="422"/>
      <c r="AQ143" s="422"/>
      <c r="AR143" s="422"/>
      <c r="AS143" s="422"/>
      <c r="AT143" s="421" t="s">
        <v>209</v>
      </c>
      <c r="AU143" s="422"/>
      <c r="AV143" s="422"/>
      <c r="AW143" s="422"/>
      <c r="AX143" s="422"/>
    </row>
    <row r="144" spans="2:50">
      <c r="B144" s="423" t="s">
        <v>210</v>
      </c>
      <c r="C144" s="423" t="s">
        <v>211</v>
      </c>
      <c r="D144" s="423"/>
      <c r="E144" s="423" t="s">
        <v>212</v>
      </c>
      <c r="F144" s="423"/>
      <c r="G144" s="423"/>
      <c r="H144" s="404" t="s">
        <v>213</v>
      </c>
      <c r="I144" s="423" t="s">
        <v>214</v>
      </c>
      <c r="J144" s="423"/>
      <c r="K144" s="423"/>
      <c r="L144" s="404" t="s">
        <v>213</v>
      </c>
      <c r="M144" s="401" t="s">
        <v>215</v>
      </c>
      <c r="N144" s="423"/>
      <c r="O144" s="423" t="s">
        <v>216</v>
      </c>
      <c r="P144" s="413" t="s">
        <v>217</v>
      </c>
      <c r="Q144" s="414"/>
      <c r="R144" s="414"/>
      <c r="S144" s="415"/>
      <c r="T144" s="423" t="s">
        <v>213</v>
      </c>
      <c r="U144" s="413" t="s">
        <v>217</v>
      </c>
      <c r="V144" s="414"/>
      <c r="W144" s="414"/>
      <c r="X144" s="415"/>
      <c r="Y144" s="423" t="s">
        <v>213</v>
      </c>
      <c r="Z144" s="413" t="s">
        <v>217</v>
      </c>
      <c r="AA144" s="414"/>
      <c r="AB144" s="414"/>
      <c r="AC144" s="415"/>
      <c r="AD144" s="423" t="s">
        <v>213</v>
      </c>
      <c r="AE144" s="413" t="s">
        <v>217</v>
      </c>
      <c r="AF144" s="414"/>
      <c r="AG144" s="414"/>
      <c r="AH144" s="415"/>
      <c r="AI144" s="423" t="s">
        <v>213</v>
      </c>
      <c r="AJ144" s="413" t="s">
        <v>217</v>
      </c>
      <c r="AK144" s="414"/>
      <c r="AL144" s="414"/>
      <c r="AM144" s="415"/>
      <c r="AN144" s="423" t="s">
        <v>213</v>
      </c>
      <c r="AO144" s="413" t="s">
        <v>217</v>
      </c>
      <c r="AP144" s="414"/>
      <c r="AQ144" s="414"/>
      <c r="AR144" s="415"/>
      <c r="AS144" s="423" t="s">
        <v>213</v>
      </c>
      <c r="AT144" s="413" t="s">
        <v>217</v>
      </c>
      <c r="AU144" s="414"/>
      <c r="AV144" s="414"/>
      <c r="AW144" s="415"/>
      <c r="AX144" s="423" t="s">
        <v>213</v>
      </c>
    </row>
    <row r="145" spans="2:50">
      <c r="B145" s="423"/>
      <c r="C145" s="423"/>
      <c r="D145" s="423"/>
      <c r="E145" s="423" t="s">
        <v>218</v>
      </c>
      <c r="F145" s="423"/>
      <c r="G145" s="423"/>
      <c r="H145" s="406"/>
      <c r="I145" s="423" t="s">
        <v>218</v>
      </c>
      <c r="J145" s="423"/>
      <c r="K145" s="423"/>
      <c r="L145" s="406"/>
      <c r="M145" s="402"/>
      <c r="N145" s="423"/>
      <c r="O145" s="423"/>
      <c r="P145" s="413" t="s">
        <v>219</v>
      </c>
      <c r="Q145" s="414"/>
      <c r="R145" s="414"/>
      <c r="S145" s="415"/>
      <c r="T145" s="423"/>
      <c r="U145" s="413" t="s">
        <v>219</v>
      </c>
      <c r="V145" s="414"/>
      <c r="W145" s="414"/>
      <c r="X145" s="415"/>
      <c r="Y145" s="423"/>
      <c r="Z145" s="413" t="s">
        <v>219</v>
      </c>
      <c r="AA145" s="414"/>
      <c r="AB145" s="414"/>
      <c r="AC145" s="415"/>
      <c r="AD145" s="423"/>
      <c r="AE145" s="413" t="s">
        <v>219</v>
      </c>
      <c r="AF145" s="414"/>
      <c r="AG145" s="414"/>
      <c r="AH145" s="415"/>
      <c r="AI145" s="423"/>
      <c r="AJ145" s="413" t="s">
        <v>219</v>
      </c>
      <c r="AK145" s="414"/>
      <c r="AL145" s="414"/>
      <c r="AM145" s="415"/>
      <c r="AN145" s="423"/>
      <c r="AO145" s="413" t="s">
        <v>219</v>
      </c>
      <c r="AP145" s="414"/>
      <c r="AQ145" s="414"/>
      <c r="AR145" s="415"/>
      <c r="AS145" s="423"/>
      <c r="AT145" s="413" t="s">
        <v>219</v>
      </c>
      <c r="AU145" s="414"/>
      <c r="AV145" s="414"/>
      <c r="AW145" s="415"/>
      <c r="AX145" s="423"/>
    </row>
    <row r="146" spans="2:50">
      <c r="B146" s="423"/>
      <c r="C146" s="423"/>
      <c r="D146" s="423"/>
      <c r="E146" s="297" t="s">
        <v>220</v>
      </c>
      <c r="F146" s="297" t="s">
        <v>221</v>
      </c>
      <c r="G146" s="297" t="s">
        <v>222</v>
      </c>
      <c r="H146" s="408"/>
      <c r="I146" s="297" t="s">
        <v>220</v>
      </c>
      <c r="J146" s="297" t="s">
        <v>221</v>
      </c>
      <c r="K146" s="297" t="s">
        <v>222</v>
      </c>
      <c r="L146" s="408"/>
      <c r="M146" s="403"/>
      <c r="N146" s="423"/>
      <c r="O146" s="423"/>
      <c r="P146" s="297" t="s">
        <v>220</v>
      </c>
      <c r="Q146" s="297" t="s">
        <v>221</v>
      </c>
      <c r="R146" s="297" t="s">
        <v>222</v>
      </c>
      <c r="S146" s="297" t="s">
        <v>215</v>
      </c>
      <c r="T146" s="423"/>
      <c r="U146" s="297" t="s">
        <v>220</v>
      </c>
      <c r="V146" s="297" t="s">
        <v>221</v>
      </c>
      <c r="W146" s="297" t="s">
        <v>222</v>
      </c>
      <c r="X146" s="297" t="s">
        <v>215</v>
      </c>
      <c r="Y146" s="423"/>
      <c r="Z146" s="297" t="s">
        <v>220</v>
      </c>
      <c r="AA146" s="297" t="s">
        <v>221</v>
      </c>
      <c r="AB146" s="297" t="s">
        <v>222</v>
      </c>
      <c r="AC146" s="297" t="s">
        <v>215</v>
      </c>
      <c r="AD146" s="423"/>
      <c r="AE146" s="297" t="s">
        <v>220</v>
      </c>
      <c r="AF146" s="297" t="s">
        <v>221</v>
      </c>
      <c r="AG146" s="297" t="s">
        <v>222</v>
      </c>
      <c r="AH146" s="297" t="s">
        <v>215</v>
      </c>
      <c r="AI146" s="423"/>
      <c r="AJ146" s="297" t="s">
        <v>220</v>
      </c>
      <c r="AK146" s="297" t="s">
        <v>221</v>
      </c>
      <c r="AL146" s="297" t="s">
        <v>222</v>
      </c>
      <c r="AM146" s="297" t="s">
        <v>215</v>
      </c>
      <c r="AN146" s="423"/>
      <c r="AO146" s="297" t="s">
        <v>220</v>
      </c>
      <c r="AP146" s="297" t="s">
        <v>221</v>
      </c>
      <c r="AQ146" s="297" t="s">
        <v>222</v>
      </c>
      <c r="AR146" s="297" t="s">
        <v>215</v>
      </c>
      <c r="AS146" s="423"/>
      <c r="AT146" s="297" t="s">
        <v>220</v>
      </c>
      <c r="AU146" s="297" t="s">
        <v>221</v>
      </c>
      <c r="AV146" s="297" t="s">
        <v>222</v>
      </c>
      <c r="AW146" s="297" t="s">
        <v>215</v>
      </c>
      <c r="AX146" s="423"/>
    </row>
    <row r="147" spans="2:50">
      <c r="B147" s="423" t="s">
        <v>187</v>
      </c>
      <c r="C147" s="197">
        <v>1</v>
      </c>
      <c r="D147" s="225"/>
      <c r="E147" s="169"/>
      <c r="F147" s="197"/>
      <c r="G147" s="195"/>
      <c r="H147" s="428" t="e">
        <f>AVERAGE(G147:G176)</f>
        <v>#DIV/0!</v>
      </c>
      <c r="I147" s="169" t="e">
        <f>AVERAGE(P147,U147,Z147,AE147,AJ147,AO147,AT147)</f>
        <v>#DIV/0!</v>
      </c>
      <c r="J147" s="169" t="e">
        <f>AVERAGE(Q147,V147,AA147,AF147,AK147,AP147,AU147)</f>
        <v>#DIV/0!</v>
      </c>
      <c r="K147" s="195" t="e">
        <f>AVERAGE(R147,W147,AB147,AG147,AL147,AQ147,AV147)</f>
        <v>#DIV/0!</v>
      </c>
      <c r="L147" s="428" t="str">
        <f>IFERROR(AVERAGE(K147:K176),"-")</f>
        <v>-</v>
      </c>
      <c r="M147" s="196" t="e">
        <f>RANK(K147, K$147:$K$176)</f>
        <v>#DIV/0!</v>
      </c>
      <c r="N147" s="423"/>
      <c r="O147" s="423"/>
      <c r="P147" s="169"/>
      <c r="Q147" s="169"/>
      <c r="R147" s="169"/>
      <c r="S147" s="197" t="e">
        <f>RANK(R147, R$147:R$176)</f>
        <v>#N/A</v>
      </c>
      <c r="T147" s="432" t="e">
        <f>AVERAGE(R147:R176)</f>
        <v>#DIV/0!</v>
      </c>
      <c r="U147" s="169"/>
      <c r="V147" s="169"/>
      <c r="W147" s="169"/>
      <c r="X147" s="197" t="e">
        <f>RANK(W147, W$147:W$176)</f>
        <v>#N/A</v>
      </c>
      <c r="Y147" s="432" t="e">
        <f>AVERAGE(W147:W176)</f>
        <v>#DIV/0!</v>
      </c>
      <c r="Z147" s="169"/>
      <c r="AA147" s="169"/>
      <c r="AB147" s="169"/>
      <c r="AC147" s="197" t="e">
        <f>RANK(AB147, AB$147:AB$176)</f>
        <v>#N/A</v>
      </c>
      <c r="AD147" s="432" t="e">
        <f>AVERAGE(AB147:AB176)</f>
        <v>#DIV/0!</v>
      </c>
      <c r="AE147" s="169"/>
      <c r="AF147" s="169"/>
      <c r="AG147" s="169"/>
      <c r="AH147" s="197" t="e">
        <f>RANK(AG147, AG$147:AG$176)</f>
        <v>#N/A</v>
      </c>
      <c r="AI147" s="432" t="e">
        <f>AVERAGE(AG147:AG176)</f>
        <v>#DIV/0!</v>
      </c>
      <c r="AJ147" s="169"/>
      <c r="AK147" s="169"/>
      <c r="AL147" s="169"/>
      <c r="AM147" s="197" t="e">
        <f>RANK(AL147, AL$147:AL$176)</f>
        <v>#N/A</v>
      </c>
      <c r="AN147" s="432" t="e">
        <f>AVERAGE(AL147:AL176)</f>
        <v>#DIV/0!</v>
      </c>
      <c r="AO147" s="169"/>
      <c r="AP147" s="169"/>
      <c r="AQ147" s="169"/>
      <c r="AR147" s="197" t="e">
        <f>RANK(AQ147, AQ$147:AQ$176)</f>
        <v>#N/A</v>
      </c>
      <c r="AS147" s="432" t="e">
        <f>AVERAGE(AQ147:AQ176)</f>
        <v>#DIV/0!</v>
      </c>
      <c r="AT147" s="197"/>
      <c r="AU147" s="195"/>
      <c r="AV147" s="195"/>
      <c r="AW147" s="197" t="e">
        <f>RANK(AV147, AV$147:AV$176)</f>
        <v>#N/A</v>
      </c>
      <c r="AX147" s="432" t="e">
        <f>AVERAGE(AV147:AV176)</f>
        <v>#DIV/0!</v>
      </c>
    </row>
    <row r="148" spans="2:50">
      <c r="B148" s="422"/>
      <c r="C148" s="197">
        <v>2</v>
      </c>
      <c r="D148" s="225"/>
      <c r="E148" s="169"/>
      <c r="F148" s="197"/>
      <c r="G148" s="195"/>
      <c r="H148" s="429"/>
      <c r="I148" s="169" t="e">
        <f t="shared" ref="I148:I170" si="53">AVERAGE(P148,U148,Z148,AE148,AJ148,AO148,AT148)</f>
        <v>#DIV/0!</v>
      </c>
      <c r="J148" s="169" t="e">
        <f t="shared" ref="J148:J170" si="54">AVERAGE(Q148,V148,AA148,AF148,AK148,AP148,AU148)</f>
        <v>#DIV/0!</v>
      </c>
      <c r="K148" s="195" t="e">
        <f t="shared" ref="K148:K170" si="55">AVERAGE(R148,W148,AB148,AG148,AL148,AQ148,AV148)</f>
        <v>#DIV/0!</v>
      </c>
      <c r="L148" s="429"/>
      <c r="M148" s="196" t="e">
        <f>RANK(K148, K$147:$K$176)</f>
        <v>#DIV/0!</v>
      </c>
      <c r="N148" s="423"/>
      <c r="O148" s="423"/>
      <c r="P148" s="169"/>
      <c r="Q148" s="169"/>
      <c r="R148" s="169"/>
      <c r="S148" s="197" t="e">
        <f t="shared" ref="S148:S176" si="56">RANK(R148, R$147:R$176)</f>
        <v>#N/A</v>
      </c>
      <c r="T148" s="432"/>
      <c r="U148" s="169"/>
      <c r="V148" s="169"/>
      <c r="W148" s="169"/>
      <c r="X148" s="197" t="e">
        <f t="shared" ref="X148:X176" si="57">RANK(W148, W$147:W$176)</f>
        <v>#N/A</v>
      </c>
      <c r="Y148" s="432"/>
      <c r="Z148" s="169"/>
      <c r="AA148" s="169"/>
      <c r="AB148" s="169"/>
      <c r="AC148" s="197" t="e">
        <f t="shared" ref="AC148:AC176" si="58">RANK(AB148, AB$147:AB$176)</f>
        <v>#N/A</v>
      </c>
      <c r="AD148" s="432"/>
      <c r="AE148" s="169"/>
      <c r="AF148" s="169"/>
      <c r="AG148" s="169"/>
      <c r="AH148" s="197" t="e">
        <f t="shared" ref="AH148:AH176" si="59">RANK(AG148, AG$147:AG$176)</f>
        <v>#N/A</v>
      </c>
      <c r="AI148" s="432"/>
      <c r="AJ148" s="169"/>
      <c r="AK148" s="169"/>
      <c r="AL148" s="169"/>
      <c r="AM148" s="197" t="e">
        <f t="shared" ref="AM148:AM176" si="60">RANK(AL148, AL$147:AL$176)</f>
        <v>#N/A</v>
      </c>
      <c r="AN148" s="432"/>
      <c r="AO148" s="169"/>
      <c r="AP148" s="169"/>
      <c r="AQ148" s="169"/>
      <c r="AR148" s="197" t="e">
        <f t="shared" ref="AR148:AR176" si="61">RANK(AQ148, AQ$147:AQ$176)</f>
        <v>#N/A</v>
      </c>
      <c r="AS148" s="432"/>
      <c r="AT148" s="197"/>
      <c r="AU148" s="195"/>
      <c r="AV148" s="195"/>
      <c r="AW148" s="197" t="e">
        <f t="shared" ref="AW148:AW176" si="62">RANK(AV148, AV$147:AV$176)</f>
        <v>#N/A</v>
      </c>
      <c r="AX148" s="432"/>
    </row>
    <row r="149" spans="2:50">
      <c r="B149" s="422"/>
      <c r="C149" s="197">
        <v>3</v>
      </c>
      <c r="D149" s="225"/>
      <c r="E149" s="169"/>
      <c r="F149" s="197"/>
      <c r="G149" s="195"/>
      <c r="H149" s="429"/>
      <c r="I149" s="169" t="e">
        <f t="shared" si="53"/>
        <v>#DIV/0!</v>
      </c>
      <c r="J149" s="169" t="e">
        <f t="shared" si="54"/>
        <v>#DIV/0!</v>
      </c>
      <c r="K149" s="195" t="e">
        <f t="shared" si="55"/>
        <v>#DIV/0!</v>
      </c>
      <c r="L149" s="429"/>
      <c r="M149" s="196" t="e">
        <f>RANK(K149, K$147:$K$176)</f>
        <v>#DIV/0!</v>
      </c>
      <c r="N149" s="423"/>
      <c r="O149" s="423"/>
      <c r="P149" s="169"/>
      <c r="Q149" s="169"/>
      <c r="R149" s="169"/>
      <c r="S149" s="197" t="e">
        <f t="shared" si="56"/>
        <v>#N/A</v>
      </c>
      <c r="T149" s="432"/>
      <c r="U149" s="169"/>
      <c r="V149" s="169"/>
      <c r="W149" s="169"/>
      <c r="X149" s="197" t="e">
        <f t="shared" si="57"/>
        <v>#N/A</v>
      </c>
      <c r="Y149" s="432"/>
      <c r="Z149" s="169"/>
      <c r="AA149" s="169"/>
      <c r="AB149" s="169"/>
      <c r="AC149" s="197" t="e">
        <f t="shared" si="58"/>
        <v>#N/A</v>
      </c>
      <c r="AD149" s="432"/>
      <c r="AE149" s="169"/>
      <c r="AF149" s="169"/>
      <c r="AG149" s="169"/>
      <c r="AH149" s="197" t="e">
        <f t="shared" si="59"/>
        <v>#N/A</v>
      </c>
      <c r="AI149" s="432"/>
      <c r="AJ149" s="169"/>
      <c r="AK149" s="169"/>
      <c r="AL149" s="169"/>
      <c r="AM149" s="197" t="e">
        <f t="shared" si="60"/>
        <v>#N/A</v>
      </c>
      <c r="AN149" s="432"/>
      <c r="AO149" s="169"/>
      <c r="AP149" s="169"/>
      <c r="AQ149" s="169"/>
      <c r="AR149" s="197" t="e">
        <f t="shared" si="61"/>
        <v>#N/A</v>
      </c>
      <c r="AS149" s="432"/>
      <c r="AT149" s="197"/>
      <c r="AU149" s="195"/>
      <c r="AV149" s="195"/>
      <c r="AW149" s="197" t="e">
        <f t="shared" si="62"/>
        <v>#N/A</v>
      </c>
      <c r="AX149" s="432"/>
    </row>
    <row r="150" spans="2:50">
      <c r="B150" s="422"/>
      <c r="C150" s="197">
        <v>4</v>
      </c>
      <c r="D150" s="225"/>
      <c r="E150" s="169"/>
      <c r="F150" s="197"/>
      <c r="G150" s="195"/>
      <c r="H150" s="429"/>
      <c r="I150" s="169" t="e">
        <f t="shared" si="53"/>
        <v>#DIV/0!</v>
      </c>
      <c r="J150" s="169" t="e">
        <f t="shared" si="54"/>
        <v>#DIV/0!</v>
      </c>
      <c r="K150" s="195" t="e">
        <f t="shared" si="55"/>
        <v>#DIV/0!</v>
      </c>
      <c r="L150" s="429"/>
      <c r="M150" s="196" t="e">
        <f>RANK(K150, K$147:$K$176)</f>
        <v>#DIV/0!</v>
      </c>
      <c r="N150" s="423"/>
      <c r="O150" s="423"/>
      <c r="P150" s="169"/>
      <c r="Q150" s="169"/>
      <c r="R150" s="169"/>
      <c r="S150" s="197" t="e">
        <f t="shared" si="56"/>
        <v>#N/A</v>
      </c>
      <c r="T150" s="432"/>
      <c r="U150" s="169"/>
      <c r="V150" s="169"/>
      <c r="W150" s="169"/>
      <c r="X150" s="197" t="e">
        <f t="shared" si="57"/>
        <v>#N/A</v>
      </c>
      <c r="Y150" s="432"/>
      <c r="Z150" s="169"/>
      <c r="AA150" s="169"/>
      <c r="AB150" s="169"/>
      <c r="AC150" s="197" t="e">
        <f t="shared" si="58"/>
        <v>#N/A</v>
      </c>
      <c r="AD150" s="432"/>
      <c r="AE150" s="169"/>
      <c r="AF150" s="169"/>
      <c r="AG150" s="169"/>
      <c r="AH150" s="197" t="e">
        <f t="shared" si="59"/>
        <v>#N/A</v>
      </c>
      <c r="AI150" s="432"/>
      <c r="AJ150" s="169"/>
      <c r="AK150" s="169"/>
      <c r="AL150" s="169"/>
      <c r="AM150" s="197" t="e">
        <f t="shared" si="60"/>
        <v>#N/A</v>
      </c>
      <c r="AN150" s="432"/>
      <c r="AO150" s="169"/>
      <c r="AP150" s="169"/>
      <c r="AQ150" s="169"/>
      <c r="AR150" s="197" t="e">
        <f t="shared" si="61"/>
        <v>#N/A</v>
      </c>
      <c r="AS150" s="432"/>
      <c r="AT150" s="197"/>
      <c r="AU150" s="195"/>
      <c r="AV150" s="195"/>
      <c r="AW150" s="197" t="e">
        <f t="shared" si="62"/>
        <v>#N/A</v>
      </c>
      <c r="AX150" s="432"/>
    </row>
    <row r="151" spans="2:50">
      <c r="B151" s="422"/>
      <c r="C151" s="197">
        <v>5</v>
      </c>
      <c r="D151" s="225"/>
      <c r="E151" s="169"/>
      <c r="F151" s="197"/>
      <c r="G151" s="195"/>
      <c r="H151" s="429"/>
      <c r="I151" s="169" t="e">
        <f t="shared" si="53"/>
        <v>#DIV/0!</v>
      </c>
      <c r="J151" s="169" t="e">
        <f t="shared" si="54"/>
        <v>#DIV/0!</v>
      </c>
      <c r="K151" s="195" t="e">
        <f t="shared" si="55"/>
        <v>#DIV/0!</v>
      </c>
      <c r="L151" s="429"/>
      <c r="M151" s="196" t="e">
        <f>RANK(K151, K$147:$K$176)</f>
        <v>#DIV/0!</v>
      </c>
      <c r="N151" s="423"/>
      <c r="O151" s="423"/>
      <c r="P151" s="169"/>
      <c r="Q151" s="169"/>
      <c r="R151" s="169"/>
      <c r="S151" s="197" t="e">
        <f t="shared" si="56"/>
        <v>#N/A</v>
      </c>
      <c r="T151" s="432"/>
      <c r="U151" s="169"/>
      <c r="V151" s="169"/>
      <c r="W151" s="169"/>
      <c r="X151" s="197" t="e">
        <f t="shared" si="57"/>
        <v>#N/A</v>
      </c>
      <c r="Y151" s="432"/>
      <c r="Z151" s="169"/>
      <c r="AA151" s="169"/>
      <c r="AB151" s="169"/>
      <c r="AC151" s="197" t="e">
        <f t="shared" si="58"/>
        <v>#N/A</v>
      </c>
      <c r="AD151" s="432"/>
      <c r="AE151" s="169"/>
      <c r="AF151" s="169"/>
      <c r="AG151" s="169"/>
      <c r="AH151" s="197" t="e">
        <f t="shared" si="59"/>
        <v>#N/A</v>
      </c>
      <c r="AI151" s="432"/>
      <c r="AJ151" s="169"/>
      <c r="AK151" s="169"/>
      <c r="AL151" s="169"/>
      <c r="AM151" s="197" t="e">
        <f t="shared" si="60"/>
        <v>#N/A</v>
      </c>
      <c r="AN151" s="432"/>
      <c r="AO151" s="169"/>
      <c r="AP151" s="169"/>
      <c r="AQ151" s="169"/>
      <c r="AR151" s="197" t="e">
        <f t="shared" si="61"/>
        <v>#N/A</v>
      </c>
      <c r="AS151" s="432"/>
      <c r="AT151" s="197"/>
      <c r="AU151" s="195"/>
      <c r="AV151" s="195"/>
      <c r="AW151" s="197" t="e">
        <f t="shared" si="62"/>
        <v>#N/A</v>
      </c>
      <c r="AX151" s="432"/>
    </row>
    <row r="152" spans="2:50">
      <c r="B152" s="422"/>
      <c r="C152" s="197">
        <v>6</v>
      </c>
      <c r="D152" s="225"/>
      <c r="E152" s="169"/>
      <c r="F152" s="197"/>
      <c r="G152" s="195"/>
      <c r="H152" s="429"/>
      <c r="I152" s="169" t="e">
        <f t="shared" si="53"/>
        <v>#DIV/0!</v>
      </c>
      <c r="J152" s="169" t="e">
        <f t="shared" si="54"/>
        <v>#DIV/0!</v>
      </c>
      <c r="K152" s="195" t="e">
        <f t="shared" si="55"/>
        <v>#DIV/0!</v>
      </c>
      <c r="L152" s="429"/>
      <c r="M152" s="196" t="e">
        <f>RANK(K152, K$147:$K$176)</f>
        <v>#DIV/0!</v>
      </c>
      <c r="N152" s="423"/>
      <c r="O152" s="423"/>
      <c r="P152" s="169"/>
      <c r="Q152" s="169"/>
      <c r="R152" s="169"/>
      <c r="S152" s="197" t="e">
        <f t="shared" si="56"/>
        <v>#N/A</v>
      </c>
      <c r="T152" s="432"/>
      <c r="U152" s="169"/>
      <c r="V152" s="169"/>
      <c r="W152" s="169"/>
      <c r="X152" s="197" t="e">
        <f t="shared" si="57"/>
        <v>#N/A</v>
      </c>
      <c r="Y152" s="432"/>
      <c r="Z152" s="169"/>
      <c r="AA152" s="169"/>
      <c r="AB152" s="169"/>
      <c r="AC152" s="197" t="e">
        <f t="shared" si="58"/>
        <v>#N/A</v>
      </c>
      <c r="AD152" s="432"/>
      <c r="AE152" s="169"/>
      <c r="AF152" s="169"/>
      <c r="AG152" s="169"/>
      <c r="AH152" s="197" t="e">
        <f t="shared" si="59"/>
        <v>#N/A</v>
      </c>
      <c r="AI152" s="432"/>
      <c r="AJ152" s="169"/>
      <c r="AK152" s="169"/>
      <c r="AL152" s="169"/>
      <c r="AM152" s="197" t="e">
        <f t="shared" si="60"/>
        <v>#N/A</v>
      </c>
      <c r="AN152" s="432"/>
      <c r="AO152" s="169"/>
      <c r="AP152" s="169"/>
      <c r="AQ152" s="169"/>
      <c r="AR152" s="197" t="e">
        <f t="shared" si="61"/>
        <v>#N/A</v>
      </c>
      <c r="AS152" s="432"/>
      <c r="AT152" s="197"/>
      <c r="AU152" s="195"/>
      <c r="AV152" s="195"/>
      <c r="AW152" s="197" t="e">
        <f t="shared" si="62"/>
        <v>#N/A</v>
      </c>
      <c r="AX152" s="432"/>
    </row>
    <row r="153" spans="2:50">
      <c r="B153" s="422"/>
      <c r="C153" s="197">
        <v>7</v>
      </c>
      <c r="D153" s="225"/>
      <c r="E153" s="169"/>
      <c r="F153" s="197"/>
      <c r="G153" s="195"/>
      <c r="H153" s="429"/>
      <c r="I153" s="169" t="e">
        <f t="shared" si="53"/>
        <v>#DIV/0!</v>
      </c>
      <c r="J153" s="169" t="e">
        <f t="shared" si="54"/>
        <v>#DIV/0!</v>
      </c>
      <c r="K153" s="195" t="e">
        <f t="shared" si="55"/>
        <v>#DIV/0!</v>
      </c>
      <c r="L153" s="429"/>
      <c r="M153" s="196" t="e">
        <f>RANK(K153, K$147:$K$176)</f>
        <v>#DIV/0!</v>
      </c>
      <c r="N153" s="423"/>
      <c r="O153" s="423"/>
      <c r="P153" s="169"/>
      <c r="Q153" s="169"/>
      <c r="R153" s="169"/>
      <c r="S153" s="197" t="e">
        <f t="shared" si="56"/>
        <v>#N/A</v>
      </c>
      <c r="T153" s="432"/>
      <c r="U153" s="169"/>
      <c r="V153" s="169"/>
      <c r="W153" s="169"/>
      <c r="X153" s="197" t="e">
        <f t="shared" si="57"/>
        <v>#N/A</v>
      </c>
      <c r="Y153" s="432"/>
      <c r="Z153" s="169"/>
      <c r="AA153" s="169"/>
      <c r="AB153" s="169"/>
      <c r="AC153" s="197" t="e">
        <f t="shared" si="58"/>
        <v>#N/A</v>
      </c>
      <c r="AD153" s="432"/>
      <c r="AE153" s="169"/>
      <c r="AF153" s="169"/>
      <c r="AG153" s="169"/>
      <c r="AH153" s="197" t="e">
        <f t="shared" si="59"/>
        <v>#N/A</v>
      </c>
      <c r="AI153" s="432"/>
      <c r="AJ153" s="169"/>
      <c r="AK153" s="169"/>
      <c r="AL153" s="169"/>
      <c r="AM153" s="197" t="e">
        <f t="shared" si="60"/>
        <v>#N/A</v>
      </c>
      <c r="AN153" s="432"/>
      <c r="AO153" s="169"/>
      <c r="AP153" s="169"/>
      <c r="AQ153" s="169"/>
      <c r="AR153" s="197" t="e">
        <f t="shared" si="61"/>
        <v>#N/A</v>
      </c>
      <c r="AS153" s="432"/>
      <c r="AT153" s="197"/>
      <c r="AU153" s="195"/>
      <c r="AV153" s="195"/>
      <c r="AW153" s="197" t="e">
        <f t="shared" si="62"/>
        <v>#N/A</v>
      </c>
      <c r="AX153" s="432"/>
    </row>
    <row r="154" spans="2:50">
      <c r="B154" s="422"/>
      <c r="C154" s="197">
        <v>8</v>
      </c>
      <c r="D154" s="225"/>
      <c r="E154" s="169"/>
      <c r="F154" s="197"/>
      <c r="G154" s="195"/>
      <c r="H154" s="429"/>
      <c r="I154" s="169" t="e">
        <f t="shared" si="53"/>
        <v>#DIV/0!</v>
      </c>
      <c r="J154" s="169" t="e">
        <f t="shared" si="54"/>
        <v>#DIV/0!</v>
      </c>
      <c r="K154" s="195" t="e">
        <f t="shared" si="55"/>
        <v>#DIV/0!</v>
      </c>
      <c r="L154" s="429"/>
      <c r="M154" s="196" t="e">
        <f>RANK(K154, K$147:$K$176)</f>
        <v>#DIV/0!</v>
      </c>
      <c r="N154" s="423"/>
      <c r="O154" s="423"/>
      <c r="P154" s="169"/>
      <c r="Q154" s="169"/>
      <c r="R154" s="169"/>
      <c r="S154" s="197" t="e">
        <f t="shared" si="56"/>
        <v>#N/A</v>
      </c>
      <c r="T154" s="432"/>
      <c r="U154" s="169"/>
      <c r="V154" s="169"/>
      <c r="W154" s="169"/>
      <c r="X154" s="197" t="e">
        <f t="shared" si="57"/>
        <v>#N/A</v>
      </c>
      <c r="Y154" s="432"/>
      <c r="Z154" s="169"/>
      <c r="AA154" s="169"/>
      <c r="AB154" s="169"/>
      <c r="AC154" s="197" t="e">
        <f t="shared" si="58"/>
        <v>#N/A</v>
      </c>
      <c r="AD154" s="432"/>
      <c r="AE154" s="169"/>
      <c r="AF154" s="169"/>
      <c r="AG154" s="169"/>
      <c r="AH154" s="197" t="e">
        <f t="shared" si="59"/>
        <v>#N/A</v>
      </c>
      <c r="AI154" s="432"/>
      <c r="AJ154" s="169"/>
      <c r="AK154" s="169"/>
      <c r="AL154" s="169"/>
      <c r="AM154" s="197" t="e">
        <f t="shared" si="60"/>
        <v>#N/A</v>
      </c>
      <c r="AN154" s="432"/>
      <c r="AO154" s="169"/>
      <c r="AP154" s="169"/>
      <c r="AQ154" s="169"/>
      <c r="AR154" s="197" t="e">
        <f t="shared" si="61"/>
        <v>#N/A</v>
      </c>
      <c r="AS154" s="432"/>
      <c r="AT154" s="197"/>
      <c r="AU154" s="195"/>
      <c r="AV154" s="195"/>
      <c r="AW154" s="197" t="e">
        <f t="shared" si="62"/>
        <v>#N/A</v>
      </c>
      <c r="AX154" s="432"/>
    </row>
    <row r="155" spans="2:50">
      <c r="B155" s="422"/>
      <c r="C155" s="197">
        <v>9</v>
      </c>
      <c r="D155" s="225"/>
      <c r="E155" s="169"/>
      <c r="F155" s="197"/>
      <c r="G155" s="195"/>
      <c r="H155" s="429"/>
      <c r="I155" s="169" t="e">
        <f t="shared" si="53"/>
        <v>#DIV/0!</v>
      </c>
      <c r="J155" s="169" t="e">
        <f t="shared" si="54"/>
        <v>#DIV/0!</v>
      </c>
      <c r="K155" s="195" t="e">
        <f t="shared" si="55"/>
        <v>#DIV/0!</v>
      </c>
      <c r="L155" s="429"/>
      <c r="M155" s="196" t="e">
        <f>RANK(K155, K$147:$K$176)</f>
        <v>#DIV/0!</v>
      </c>
      <c r="N155" s="423"/>
      <c r="O155" s="423"/>
      <c r="P155" s="169"/>
      <c r="Q155" s="169"/>
      <c r="R155" s="169"/>
      <c r="S155" s="197" t="e">
        <f t="shared" si="56"/>
        <v>#N/A</v>
      </c>
      <c r="T155" s="432"/>
      <c r="U155" s="169"/>
      <c r="V155" s="169"/>
      <c r="W155" s="169"/>
      <c r="X155" s="197" t="e">
        <f t="shared" si="57"/>
        <v>#N/A</v>
      </c>
      <c r="Y155" s="432"/>
      <c r="Z155" s="169"/>
      <c r="AA155" s="169"/>
      <c r="AB155" s="169"/>
      <c r="AC155" s="197" t="e">
        <f t="shared" si="58"/>
        <v>#N/A</v>
      </c>
      <c r="AD155" s="432"/>
      <c r="AE155" s="169"/>
      <c r="AF155" s="169"/>
      <c r="AG155" s="169"/>
      <c r="AH155" s="197" t="e">
        <f t="shared" si="59"/>
        <v>#N/A</v>
      </c>
      <c r="AI155" s="432"/>
      <c r="AJ155" s="169"/>
      <c r="AK155" s="169"/>
      <c r="AL155" s="169"/>
      <c r="AM155" s="197" t="e">
        <f t="shared" si="60"/>
        <v>#N/A</v>
      </c>
      <c r="AN155" s="432"/>
      <c r="AO155" s="169"/>
      <c r="AP155" s="169"/>
      <c r="AQ155" s="169"/>
      <c r="AR155" s="197" t="e">
        <f t="shared" si="61"/>
        <v>#N/A</v>
      </c>
      <c r="AS155" s="432"/>
      <c r="AT155" s="197"/>
      <c r="AU155" s="195"/>
      <c r="AV155" s="195"/>
      <c r="AW155" s="197" t="e">
        <f t="shared" si="62"/>
        <v>#N/A</v>
      </c>
      <c r="AX155" s="432"/>
    </row>
    <row r="156" spans="2:50">
      <c r="B156" s="422"/>
      <c r="C156" s="197">
        <v>10</v>
      </c>
      <c r="D156" s="225"/>
      <c r="E156" s="169"/>
      <c r="F156" s="197"/>
      <c r="G156" s="195"/>
      <c r="H156" s="429"/>
      <c r="I156" s="169" t="e">
        <f t="shared" si="53"/>
        <v>#DIV/0!</v>
      </c>
      <c r="J156" s="169" t="e">
        <f t="shared" si="54"/>
        <v>#DIV/0!</v>
      </c>
      <c r="K156" s="195" t="e">
        <f t="shared" si="55"/>
        <v>#DIV/0!</v>
      </c>
      <c r="L156" s="429"/>
      <c r="M156" s="196" t="e">
        <f>RANK(K156, K$147:$K$176)</f>
        <v>#DIV/0!</v>
      </c>
      <c r="N156" s="423"/>
      <c r="O156" s="423"/>
      <c r="P156" s="169"/>
      <c r="Q156" s="169"/>
      <c r="R156" s="169"/>
      <c r="S156" s="197" t="e">
        <f t="shared" si="56"/>
        <v>#N/A</v>
      </c>
      <c r="T156" s="432"/>
      <c r="U156" s="169"/>
      <c r="V156" s="169"/>
      <c r="W156" s="169"/>
      <c r="X156" s="197" t="e">
        <f t="shared" si="57"/>
        <v>#N/A</v>
      </c>
      <c r="Y156" s="432"/>
      <c r="Z156" s="169"/>
      <c r="AA156" s="169"/>
      <c r="AB156" s="169"/>
      <c r="AC156" s="197" t="e">
        <f t="shared" si="58"/>
        <v>#N/A</v>
      </c>
      <c r="AD156" s="432"/>
      <c r="AE156" s="169"/>
      <c r="AF156" s="169"/>
      <c r="AG156" s="169"/>
      <c r="AH156" s="197" t="e">
        <f t="shared" si="59"/>
        <v>#N/A</v>
      </c>
      <c r="AI156" s="432"/>
      <c r="AJ156" s="169"/>
      <c r="AK156" s="169"/>
      <c r="AL156" s="169"/>
      <c r="AM156" s="197" t="e">
        <f t="shared" si="60"/>
        <v>#N/A</v>
      </c>
      <c r="AN156" s="432"/>
      <c r="AO156" s="169"/>
      <c r="AP156" s="169"/>
      <c r="AQ156" s="169"/>
      <c r="AR156" s="197" t="e">
        <f t="shared" si="61"/>
        <v>#N/A</v>
      </c>
      <c r="AS156" s="432"/>
      <c r="AT156" s="197"/>
      <c r="AU156" s="195"/>
      <c r="AV156" s="195"/>
      <c r="AW156" s="197" t="e">
        <f t="shared" si="62"/>
        <v>#N/A</v>
      </c>
      <c r="AX156" s="432"/>
    </row>
    <row r="157" spans="2:50">
      <c r="B157" s="422"/>
      <c r="C157" s="197">
        <v>11</v>
      </c>
      <c r="D157" s="225"/>
      <c r="E157" s="169"/>
      <c r="F157" s="197"/>
      <c r="G157" s="195"/>
      <c r="H157" s="429"/>
      <c r="I157" s="169" t="e">
        <f t="shared" si="53"/>
        <v>#DIV/0!</v>
      </c>
      <c r="J157" s="169" t="e">
        <f t="shared" si="54"/>
        <v>#DIV/0!</v>
      </c>
      <c r="K157" s="195" t="e">
        <f t="shared" si="55"/>
        <v>#DIV/0!</v>
      </c>
      <c r="L157" s="429"/>
      <c r="M157" s="196" t="e">
        <f>RANK(K157, K$147:$K$176)</f>
        <v>#DIV/0!</v>
      </c>
      <c r="N157" s="423"/>
      <c r="O157" s="423"/>
      <c r="P157" s="169"/>
      <c r="Q157" s="169"/>
      <c r="R157" s="169"/>
      <c r="S157" s="197" t="e">
        <f t="shared" si="56"/>
        <v>#N/A</v>
      </c>
      <c r="T157" s="432"/>
      <c r="U157" s="169"/>
      <c r="V157" s="169"/>
      <c r="W157" s="169"/>
      <c r="X157" s="197" t="e">
        <f t="shared" si="57"/>
        <v>#N/A</v>
      </c>
      <c r="Y157" s="432"/>
      <c r="Z157" s="169"/>
      <c r="AA157" s="169"/>
      <c r="AB157" s="169"/>
      <c r="AC157" s="197" t="e">
        <f t="shared" si="58"/>
        <v>#N/A</v>
      </c>
      <c r="AD157" s="432"/>
      <c r="AE157" s="169"/>
      <c r="AF157" s="169"/>
      <c r="AG157" s="169"/>
      <c r="AH157" s="197" t="e">
        <f t="shared" si="59"/>
        <v>#N/A</v>
      </c>
      <c r="AI157" s="432"/>
      <c r="AJ157" s="169"/>
      <c r="AK157" s="169"/>
      <c r="AL157" s="169"/>
      <c r="AM157" s="197" t="e">
        <f t="shared" si="60"/>
        <v>#N/A</v>
      </c>
      <c r="AN157" s="432"/>
      <c r="AO157" s="169"/>
      <c r="AP157" s="169"/>
      <c r="AQ157" s="169"/>
      <c r="AR157" s="197" t="e">
        <f t="shared" si="61"/>
        <v>#N/A</v>
      </c>
      <c r="AS157" s="432"/>
      <c r="AT157" s="197"/>
      <c r="AU157" s="195"/>
      <c r="AV157" s="195"/>
      <c r="AW157" s="197" t="e">
        <f t="shared" si="62"/>
        <v>#N/A</v>
      </c>
      <c r="AX157" s="432"/>
    </row>
    <row r="158" spans="2:50">
      <c r="B158" s="422"/>
      <c r="C158" s="197">
        <v>12</v>
      </c>
      <c r="D158" s="225"/>
      <c r="E158" s="169"/>
      <c r="F158" s="197"/>
      <c r="G158" s="195"/>
      <c r="H158" s="429"/>
      <c r="I158" s="169" t="e">
        <f t="shared" si="53"/>
        <v>#DIV/0!</v>
      </c>
      <c r="J158" s="169" t="e">
        <f t="shared" si="54"/>
        <v>#DIV/0!</v>
      </c>
      <c r="K158" s="195" t="e">
        <f t="shared" si="55"/>
        <v>#DIV/0!</v>
      </c>
      <c r="L158" s="429"/>
      <c r="M158" s="196" t="e">
        <f>RANK(K158, K$147:$K$176)</f>
        <v>#DIV/0!</v>
      </c>
      <c r="N158" s="423"/>
      <c r="O158" s="423"/>
      <c r="P158" s="169"/>
      <c r="Q158" s="169"/>
      <c r="R158" s="169"/>
      <c r="S158" s="197" t="e">
        <f t="shared" si="56"/>
        <v>#N/A</v>
      </c>
      <c r="T158" s="432"/>
      <c r="U158" s="169"/>
      <c r="V158" s="169"/>
      <c r="W158" s="169"/>
      <c r="X158" s="197" t="e">
        <f t="shared" si="57"/>
        <v>#N/A</v>
      </c>
      <c r="Y158" s="432"/>
      <c r="Z158" s="169"/>
      <c r="AA158" s="169"/>
      <c r="AB158" s="169"/>
      <c r="AC158" s="197" t="e">
        <f t="shared" si="58"/>
        <v>#N/A</v>
      </c>
      <c r="AD158" s="432"/>
      <c r="AE158" s="169"/>
      <c r="AF158" s="169"/>
      <c r="AG158" s="169"/>
      <c r="AH158" s="197" t="e">
        <f t="shared" si="59"/>
        <v>#N/A</v>
      </c>
      <c r="AI158" s="432"/>
      <c r="AJ158" s="169"/>
      <c r="AK158" s="169"/>
      <c r="AL158" s="169"/>
      <c r="AM158" s="197" t="e">
        <f t="shared" si="60"/>
        <v>#N/A</v>
      </c>
      <c r="AN158" s="432"/>
      <c r="AO158" s="169"/>
      <c r="AP158" s="169"/>
      <c r="AQ158" s="169"/>
      <c r="AR158" s="197" t="e">
        <f t="shared" si="61"/>
        <v>#N/A</v>
      </c>
      <c r="AS158" s="432"/>
      <c r="AT158" s="197"/>
      <c r="AU158" s="195"/>
      <c r="AV158" s="195"/>
      <c r="AW158" s="197" t="e">
        <f t="shared" si="62"/>
        <v>#N/A</v>
      </c>
      <c r="AX158" s="432"/>
    </row>
    <row r="159" spans="2:50">
      <c r="B159" s="422"/>
      <c r="C159" s="197">
        <v>13</v>
      </c>
      <c r="D159" s="225"/>
      <c r="E159" s="169"/>
      <c r="F159" s="197"/>
      <c r="G159" s="195"/>
      <c r="H159" s="429"/>
      <c r="I159" s="169" t="e">
        <f t="shared" si="53"/>
        <v>#DIV/0!</v>
      </c>
      <c r="J159" s="169" t="e">
        <f t="shared" si="54"/>
        <v>#DIV/0!</v>
      </c>
      <c r="K159" s="195" t="e">
        <f t="shared" si="55"/>
        <v>#DIV/0!</v>
      </c>
      <c r="L159" s="429"/>
      <c r="M159" s="196" t="e">
        <f>RANK(K159, K$147:$K$176)</f>
        <v>#DIV/0!</v>
      </c>
      <c r="N159" s="423"/>
      <c r="O159" s="423"/>
      <c r="P159" s="169"/>
      <c r="Q159" s="169"/>
      <c r="R159" s="169"/>
      <c r="S159" s="197" t="e">
        <f t="shared" si="56"/>
        <v>#N/A</v>
      </c>
      <c r="T159" s="432"/>
      <c r="U159" s="169"/>
      <c r="V159" s="169"/>
      <c r="W159" s="169"/>
      <c r="X159" s="197" t="e">
        <f t="shared" si="57"/>
        <v>#N/A</v>
      </c>
      <c r="Y159" s="432"/>
      <c r="Z159" s="169"/>
      <c r="AA159" s="169"/>
      <c r="AB159" s="169"/>
      <c r="AC159" s="197" t="e">
        <f t="shared" si="58"/>
        <v>#N/A</v>
      </c>
      <c r="AD159" s="432"/>
      <c r="AE159" s="169"/>
      <c r="AF159" s="169"/>
      <c r="AG159" s="169"/>
      <c r="AH159" s="197" t="e">
        <f t="shared" si="59"/>
        <v>#N/A</v>
      </c>
      <c r="AI159" s="432"/>
      <c r="AJ159" s="169"/>
      <c r="AK159" s="169"/>
      <c r="AL159" s="169"/>
      <c r="AM159" s="197" t="e">
        <f t="shared" si="60"/>
        <v>#N/A</v>
      </c>
      <c r="AN159" s="432"/>
      <c r="AO159" s="169"/>
      <c r="AP159" s="169"/>
      <c r="AQ159" s="169"/>
      <c r="AR159" s="197" t="e">
        <f t="shared" si="61"/>
        <v>#N/A</v>
      </c>
      <c r="AS159" s="432"/>
      <c r="AT159" s="197"/>
      <c r="AU159" s="195"/>
      <c r="AV159" s="195"/>
      <c r="AW159" s="197" t="e">
        <f t="shared" si="62"/>
        <v>#N/A</v>
      </c>
      <c r="AX159" s="432"/>
    </row>
    <row r="160" spans="2:50">
      <c r="B160" s="422"/>
      <c r="C160" s="197">
        <v>14</v>
      </c>
      <c r="D160" s="225"/>
      <c r="E160" s="169"/>
      <c r="F160" s="197"/>
      <c r="G160" s="195"/>
      <c r="H160" s="429"/>
      <c r="I160" s="169" t="e">
        <f t="shared" si="53"/>
        <v>#DIV/0!</v>
      </c>
      <c r="J160" s="169" t="e">
        <f t="shared" si="54"/>
        <v>#DIV/0!</v>
      </c>
      <c r="K160" s="195" t="e">
        <f t="shared" si="55"/>
        <v>#DIV/0!</v>
      </c>
      <c r="L160" s="429"/>
      <c r="M160" s="196" t="e">
        <f>RANK(K160, K$147:$K$176)</f>
        <v>#DIV/0!</v>
      </c>
      <c r="N160" s="423"/>
      <c r="O160" s="423"/>
      <c r="P160" s="169"/>
      <c r="Q160" s="169"/>
      <c r="R160" s="169"/>
      <c r="S160" s="197" t="e">
        <f t="shared" si="56"/>
        <v>#N/A</v>
      </c>
      <c r="T160" s="432"/>
      <c r="U160" s="169"/>
      <c r="V160" s="169"/>
      <c r="W160" s="169"/>
      <c r="X160" s="197" t="e">
        <f t="shared" si="57"/>
        <v>#N/A</v>
      </c>
      <c r="Y160" s="432"/>
      <c r="Z160" s="169"/>
      <c r="AA160" s="169"/>
      <c r="AB160" s="169"/>
      <c r="AC160" s="197" t="e">
        <f t="shared" si="58"/>
        <v>#N/A</v>
      </c>
      <c r="AD160" s="432"/>
      <c r="AE160" s="169"/>
      <c r="AF160" s="169"/>
      <c r="AG160" s="169"/>
      <c r="AH160" s="197" t="e">
        <f t="shared" si="59"/>
        <v>#N/A</v>
      </c>
      <c r="AI160" s="432"/>
      <c r="AJ160" s="169"/>
      <c r="AK160" s="169"/>
      <c r="AL160" s="169"/>
      <c r="AM160" s="197" t="e">
        <f t="shared" si="60"/>
        <v>#N/A</v>
      </c>
      <c r="AN160" s="432"/>
      <c r="AO160" s="169"/>
      <c r="AP160" s="169"/>
      <c r="AQ160" s="169"/>
      <c r="AR160" s="197" t="e">
        <f t="shared" si="61"/>
        <v>#N/A</v>
      </c>
      <c r="AS160" s="432"/>
      <c r="AT160" s="197"/>
      <c r="AU160" s="195"/>
      <c r="AV160" s="195"/>
      <c r="AW160" s="197" t="e">
        <f t="shared" si="62"/>
        <v>#N/A</v>
      </c>
      <c r="AX160" s="432"/>
    </row>
    <row r="161" spans="2:50">
      <c r="B161" s="422"/>
      <c r="C161" s="197">
        <v>15</v>
      </c>
      <c r="D161" s="225"/>
      <c r="E161" s="169"/>
      <c r="F161" s="197"/>
      <c r="G161" s="195"/>
      <c r="H161" s="429"/>
      <c r="I161" s="169" t="e">
        <f t="shared" si="53"/>
        <v>#DIV/0!</v>
      </c>
      <c r="J161" s="169" t="e">
        <f t="shared" si="54"/>
        <v>#DIV/0!</v>
      </c>
      <c r="K161" s="195" t="e">
        <f t="shared" si="55"/>
        <v>#DIV/0!</v>
      </c>
      <c r="L161" s="429"/>
      <c r="M161" s="169" t="e">
        <f>RANK(K161, K$147:$K$176)</f>
        <v>#DIV/0!</v>
      </c>
      <c r="N161" s="423"/>
      <c r="O161" s="423"/>
      <c r="P161" s="169"/>
      <c r="Q161" s="169"/>
      <c r="R161" s="169"/>
      <c r="S161" s="197" t="e">
        <f t="shared" ref="S161:S175" si="63">RANK(R161, R$147:R$176)</f>
        <v>#N/A</v>
      </c>
      <c r="T161" s="432"/>
      <c r="U161" s="169"/>
      <c r="V161" s="169"/>
      <c r="W161" s="169"/>
      <c r="X161" s="197" t="e">
        <f t="shared" ref="X161:X175" si="64">RANK(W161, W$147:W$176)</f>
        <v>#N/A</v>
      </c>
      <c r="Y161" s="432"/>
      <c r="Z161" s="169"/>
      <c r="AA161" s="169"/>
      <c r="AB161" s="169"/>
      <c r="AC161" s="197" t="e">
        <f t="shared" ref="AC161:AC175" si="65">RANK(AB161, AB$147:AB$176)</f>
        <v>#N/A</v>
      </c>
      <c r="AD161" s="432"/>
      <c r="AE161" s="169"/>
      <c r="AF161" s="169"/>
      <c r="AG161" s="169"/>
      <c r="AH161" s="197" t="e">
        <f t="shared" ref="AH161:AH175" si="66">RANK(AG161, AG$147:AG$176)</f>
        <v>#N/A</v>
      </c>
      <c r="AI161" s="432"/>
      <c r="AJ161" s="169"/>
      <c r="AK161" s="169"/>
      <c r="AL161" s="169"/>
      <c r="AM161" s="197" t="e">
        <f t="shared" ref="AM161:AM175" si="67">RANK(AL161, AL$147:AL$176)</f>
        <v>#N/A</v>
      </c>
      <c r="AN161" s="432"/>
      <c r="AO161" s="169"/>
      <c r="AP161" s="169"/>
      <c r="AQ161" s="169"/>
      <c r="AR161" s="197" t="e">
        <f t="shared" ref="AR161:AR175" si="68">RANK(AQ161, AQ$147:AQ$176)</f>
        <v>#N/A</v>
      </c>
      <c r="AS161" s="432"/>
      <c r="AT161" s="197"/>
      <c r="AU161" s="195"/>
      <c r="AV161" s="195"/>
      <c r="AW161" s="197" t="e">
        <f t="shared" ref="AW161:AW175" si="69">RANK(AV161, AV$147:AV$176)</f>
        <v>#N/A</v>
      </c>
      <c r="AX161" s="432"/>
    </row>
    <row r="162" spans="2:50">
      <c r="B162" s="422"/>
      <c r="C162" s="197">
        <v>16</v>
      </c>
      <c r="D162" s="225"/>
      <c r="E162" s="169"/>
      <c r="F162" s="197"/>
      <c r="G162" s="195"/>
      <c r="H162" s="429"/>
      <c r="I162" s="169" t="e">
        <f t="shared" si="53"/>
        <v>#DIV/0!</v>
      </c>
      <c r="J162" s="169" t="e">
        <f t="shared" si="54"/>
        <v>#DIV/0!</v>
      </c>
      <c r="K162" s="195" t="e">
        <f t="shared" si="55"/>
        <v>#DIV/0!</v>
      </c>
      <c r="L162" s="429"/>
      <c r="M162" s="169" t="e">
        <f>RANK(K162, K$147:$K$176)</f>
        <v>#DIV/0!</v>
      </c>
      <c r="N162" s="423"/>
      <c r="O162" s="423"/>
      <c r="P162" s="169"/>
      <c r="Q162" s="169"/>
      <c r="R162" s="169"/>
      <c r="S162" s="197" t="e">
        <f t="shared" si="63"/>
        <v>#N/A</v>
      </c>
      <c r="T162" s="432"/>
      <c r="U162" s="169"/>
      <c r="V162" s="169"/>
      <c r="W162" s="169"/>
      <c r="X162" s="197" t="e">
        <f t="shared" si="64"/>
        <v>#N/A</v>
      </c>
      <c r="Y162" s="432"/>
      <c r="Z162" s="169"/>
      <c r="AA162" s="169"/>
      <c r="AB162" s="169"/>
      <c r="AC162" s="197" t="e">
        <f t="shared" si="65"/>
        <v>#N/A</v>
      </c>
      <c r="AD162" s="432"/>
      <c r="AE162" s="169"/>
      <c r="AF162" s="169"/>
      <c r="AG162" s="169"/>
      <c r="AH162" s="197" t="e">
        <f t="shared" si="66"/>
        <v>#N/A</v>
      </c>
      <c r="AI162" s="432"/>
      <c r="AJ162" s="169"/>
      <c r="AK162" s="169"/>
      <c r="AL162" s="169"/>
      <c r="AM162" s="197" t="e">
        <f t="shared" si="67"/>
        <v>#N/A</v>
      </c>
      <c r="AN162" s="432"/>
      <c r="AO162" s="169"/>
      <c r="AP162" s="169"/>
      <c r="AQ162" s="169"/>
      <c r="AR162" s="197" t="e">
        <f t="shared" si="68"/>
        <v>#N/A</v>
      </c>
      <c r="AS162" s="432"/>
      <c r="AT162" s="197"/>
      <c r="AU162" s="195"/>
      <c r="AV162" s="195"/>
      <c r="AW162" s="197" t="e">
        <f t="shared" si="69"/>
        <v>#N/A</v>
      </c>
      <c r="AX162" s="432"/>
    </row>
    <row r="163" spans="2:50">
      <c r="B163" s="422"/>
      <c r="C163" s="197">
        <v>17</v>
      </c>
      <c r="D163" s="225"/>
      <c r="E163" s="169"/>
      <c r="F163" s="197"/>
      <c r="G163" s="195"/>
      <c r="H163" s="429"/>
      <c r="I163" s="169" t="e">
        <f t="shared" si="53"/>
        <v>#DIV/0!</v>
      </c>
      <c r="J163" s="169" t="e">
        <f t="shared" si="54"/>
        <v>#DIV/0!</v>
      </c>
      <c r="K163" s="195" t="e">
        <f t="shared" si="55"/>
        <v>#DIV/0!</v>
      </c>
      <c r="L163" s="429"/>
      <c r="M163" s="169" t="e">
        <f>RANK(K163, K$147:$K$176)</f>
        <v>#DIV/0!</v>
      </c>
      <c r="N163" s="423"/>
      <c r="O163" s="423"/>
      <c r="P163" s="169"/>
      <c r="Q163" s="169"/>
      <c r="R163" s="169"/>
      <c r="S163" s="197" t="e">
        <f t="shared" si="63"/>
        <v>#N/A</v>
      </c>
      <c r="T163" s="432"/>
      <c r="U163" s="169"/>
      <c r="V163" s="169"/>
      <c r="W163" s="169"/>
      <c r="X163" s="197" t="e">
        <f t="shared" si="64"/>
        <v>#N/A</v>
      </c>
      <c r="Y163" s="432"/>
      <c r="Z163" s="169"/>
      <c r="AA163" s="169"/>
      <c r="AB163" s="169"/>
      <c r="AC163" s="197" t="e">
        <f t="shared" si="65"/>
        <v>#N/A</v>
      </c>
      <c r="AD163" s="432"/>
      <c r="AE163" s="169"/>
      <c r="AF163" s="169"/>
      <c r="AG163" s="169"/>
      <c r="AH163" s="197" t="e">
        <f t="shared" si="66"/>
        <v>#N/A</v>
      </c>
      <c r="AI163" s="432"/>
      <c r="AJ163" s="169"/>
      <c r="AK163" s="169"/>
      <c r="AL163" s="169"/>
      <c r="AM163" s="197" t="e">
        <f t="shared" si="67"/>
        <v>#N/A</v>
      </c>
      <c r="AN163" s="432"/>
      <c r="AO163" s="169"/>
      <c r="AP163" s="169"/>
      <c r="AQ163" s="169"/>
      <c r="AR163" s="197" t="e">
        <f t="shared" si="68"/>
        <v>#N/A</v>
      </c>
      <c r="AS163" s="432"/>
      <c r="AT163" s="197"/>
      <c r="AU163" s="195"/>
      <c r="AV163" s="195"/>
      <c r="AW163" s="197" t="e">
        <f t="shared" si="69"/>
        <v>#N/A</v>
      </c>
      <c r="AX163" s="432"/>
    </row>
    <row r="164" spans="2:50">
      <c r="B164" s="422"/>
      <c r="C164" s="197">
        <v>18</v>
      </c>
      <c r="D164" s="225"/>
      <c r="E164" s="169"/>
      <c r="F164" s="197"/>
      <c r="G164" s="195"/>
      <c r="H164" s="429"/>
      <c r="I164" s="169" t="e">
        <f t="shared" si="53"/>
        <v>#DIV/0!</v>
      </c>
      <c r="J164" s="169" t="e">
        <f t="shared" si="54"/>
        <v>#DIV/0!</v>
      </c>
      <c r="K164" s="195" t="e">
        <f t="shared" si="55"/>
        <v>#DIV/0!</v>
      </c>
      <c r="L164" s="429"/>
      <c r="M164" s="169" t="e">
        <f>RANK(K164, K$147:$K$176)</f>
        <v>#DIV/0!</v>
      </c>
      <c r="N164" s="423"/>
      <c r="O164" s="423"/>
      <c r="P164" s="169"/>
      <c r="Q164" s="169"/>
      <c r="R164" s="169"/>
      <c r="S164" s="197" t="e">
        <f t="shared" si="63"/>
        <v>#N/A</v>
      </c>
      <c r="T164" s="432"/>
      <c r="U164" s="169"/>
      <c r="V164" s="169"/>
      <c r="W164" s="169"/>
      <c r="X164" s="197" t="e">
        <f t="shared" si="64"/>
        <v>#N/A</v>
      </c>
      <c r="Y164" s="432"/>
      <c r="Z164" s="169"/>
      <c r="AA164" s="169"/>
      <c r="AB164" s="169"/>
      <c r="AC164" s="197" t="e">
        <f t="shared" si="65"/>
        <v>#N/A</v>
      </c>
      <c r="AD164" s="432"/>
      <c r="AE164" s="169"/>
      <c r="AF164" s="169"/>
      <c r="AG164" s="169"/>
      <c r="AH164" s="197" t="e">
        <f t="shared" si="66"/>
        <v>#N/A</v>
      </c>
      <c r="AI164" s="432"/>
      <c r="AJ164" s="169"/>
      <c r="AK164" s="169"/>
      <c r="AL164" s="169"/>
      <c r="AM164" s="197" t="e">
        <f t="shared" si="67"/>
        <v>#N/A</v>
      </c>
      <c r="AN164" s="432"/>
      <c r="AO164" s="169"/>
      <c r="AP164" s="169"/>
      <c r="AQ164" s="169"/>
      <c r="AR164" s="197" t="e">
        <f t="shared" si="68"/>
        <v>#N/A</v>
      </c>
      <c r="AS164" s="432"/>
      <c r="AT164" s="197"/>
      <c r="AU164" s="195"/>
      <c r="AV164" s="195"/>
      <c r="AW164" s="197" t="e">
        <f t="shared" si="69"/>
        <v>#N/A</v>
      </c>
      <c r="AX164" s="432"/>
    </row>
    <row r="165" spans="2:50">
      <c r="B165" s="422"/>
      <c r="C165" s="197">
        <v>19</v>
      </c>
      <c r="D165" s="225"/>
      <c r="E165" s="169"/>
      <c r="F165" s="197"/>
      <c r="G165" s="195"/>
      <c r="H165" s="429"/>
      <c r="I165" s="169" t="e">
        <f t="shared" si="53"/>
        <v>#DIV/0!</v>
      </c>
      <c r="J165" s="169" t="e">
        <f t="shared" si="54"/>
        <v>#DIV/0!</v>
      </c>
      <c r="K165" s="195" t="e">
        <f t="shared" si="55"/>
        <v>#DIV/0!</v>
      </c>
      <c r="L165" s="429"/>
      <c r="M165" s="169" t="e">
        <f>RANK(K165, K$147:$K$176)</f>
        <v>#DIV/0!</v>
      </c>
      <c r="N165" s="423"/>
      <c r="O165" s="423"/>
      <c r="P165" s="169"/>
      <c r="Q165" s="169"/>
      <c r="R165" s="169"/>
      <c r="S165" s="197" t="e">
        <f t="shared" si="63"/>
        <v>#N/A</v>
      </c>
      <c r="T165" s="432"/>
      <c r="U165" s="169"/>
      <c r="V165" s="169"/>
      <c r="W165" s="169"/>
      <c r="X165" s="197" t="e">
        <f t="shared" si="64"/>
        <v>#N/A</v>
      </c>
      <c r="Y165" s="432"/>
      <c r="Z165" s="169"/>
      <c r="AA165" s="169"/>
      <c r="AB165" s="169"/>
      <c r="AC165" s="197" t="e">
        <f t="shared" si="65"/>
        <v>#N/A</v>
      </c>
      <c r="AD165" s="432"/>
      <c r="AE165" s="169"/>
      <c r="AF165" s="169"/>
      <c r="AG165" s="169"/>
      <c r="AH165" s="197" t="e">
        <f t="shared" si="66"/>
        <v>#N/A</v>
      </c>
      <c r="AI165" s="432"/>
      <c r="AJ165" s="169"/>
      <c r="AK165" s="169"/>
      <c r="AL165" s="169"/>
      <c r="AM165" s="197" t="e">
        <f t="shared" si="67"/>
        <v>#N/A</v>
      </c>
      <c r="AN165" s="432"/>
      <c r="AO165" s="169"/>
      <c r="AP165" s="169"/>
      <c r="AQ165" s="169"/>
      <c r="AR165" s="197" t="e">
        <f t="shared" si="68"/>
        <v>#N/A</v>
      </c>
      <c r="AS165" s="432"/>
      <c r="AT165" s="197"/>
      <c r="AU165" s="195"/>
      <c r="AV165" s="195"/>
      <c r="AW165" s="197" t="e">
        <f t="shared" si="69"/>
        <v>#N/A</v>
      </c>
      <c r="AX165" s="432"/>
    </row>
    <row r="166" spans="2:50">
      <c r="B166" s="422"/>
      <c r="C166" s="197">
        <v>20</v>
      </c>
      <c r="D166" s="225"/>
      <c r="E166" s="169"/>
      <c r="F166" s="197"/>
      <c r="G166" s="195"/>
      <c r="H166" s="429"/>
      <c r="I166" s="169" t="e">
        <f t="shared" si="53"/>
        <v>#DIV/0!</v>
      </c>
      <c r="J166" s="169" t="e">
        <f t="shared" si="54"/>
        <v>#DIV/0!</v>
      </c>
      <c r="K166" s="195" t="e">
        <f t="shared" si="55"/>
        <v>#DIV/0!</v>
      </c>
      <c r="L166" s="429"/>
      <c r="M166" s="169" t="e">
        <f>RANK(K166, K$147:$K$176)</f>
        <v>#DIV/0!</v>
      </c>
      <c r="N166" s="423"/>
      <c r="O166" s="423"/>
      <c r="P166" s="169"/>
      <c r="Q166" s="169"/>
      <c r="R166" s="169"/>
      <c r="S166" s="197" t="e">
        <f t="shared" si="63"/>
        <v>#N/A</v>
      </c>
      <c r="T166" s="432"/>
      <c r="U166" s="169"/>
      <c r="V166" s="169"/>
      <c r="W166" s="169"/>
      <c r="X166" s="197" t="e">
        <f t="shared" si="64"/>
        <v>#N/A</v>
      </c>
      <c r="Y166" s="432"/>
      <c r="Z166" s="169"/>
      <c r="AA166" s="169"/>
      <c r="AB166" s="169"/>
      <c r="AC166" s="197" t="e">
        <f t="shared" si="65"/>
        <v>#N/A</v>
      </c>
      <c r="AD166" s="432"/>
      <c r="AE166" s="169"/>
      <c r="AF166" s="169"/>
      <c r="AG166" s="169"/>
      <c r="AH166" s="197" t="e">
        <f t="shared" si="66"/>
        <v>#N/A</v>
      </c>
      <c r="AI166" s="432"/>
      <c r="AJ166" s="169"/>
      <c r="AK166" s="169"/>
      <c r="AL166" s="169"/>
      <c r="AM166" s="197" t="e">
        <f t="shared" si="67"/>
        <v>#N/A</v>
      </c>
      <c r="AN166" s="432"/>
      <c r="AO166" s="169"/>
      <c r="AP166" s="169"/>
      <c r="AQ166" s="169"/>
      <c r="AR166" s="197" t="e">
        <f t="shared" si="68"/>
        <v>#N/A</v>
      </c>
      <c r="AS166" s="432"/>
      <c r="AT166" s="197"/>
      <c r="AU166" s="195"/>
      <c r="AV166" s="195"/>
      <c r="AW166" s="197" t="e">
        <f t="shared" si="69"/>
        <v>#N/A</v>
      </c>
      <c r="AX166" s="432"/>
    </row>
    <row r="167" spans="2:50">
      <c r="B167" s="422"/>
      <c r="C167" s="197">
        <v>21</v>
      </c>
      <c r="D167" s="225"/>
      <c r="E167" s="169"/>
      <c r="F167" s="197"/>
      <c r="G167" s="195"/>
      <c r="H167" s="429"/>
      <c r="I167" s="169" t="e">
        <f t="shared" si="53"/>
        <v>#DIV/0!</v>
      </c>
      <c r="J167" s="169" t="e">
        <f t="shared" si="54"/>
        <v>#DIV/0!</v>
      </c>
      <c r="K167" s="195" t="e">
        <f t="shared" si="55"/>
        <v>#DIV/0!</v>
      </c>
      <c r="L167" s="429"/>
      <c r="M167" s="169" t="e">
        <f>RANK(K167, K$147:$K$176)</f>
        <v>#DIV/0!</v>
      </c>
      <c r="N167" s="423"/>
      <c r="O167" s="423"/>
      <c r="P167" s="169"/>
      <c r="Q167" s="169"/>
      <c r="R167" s="169"/>
      <c r="S167" s="197" t="e">
        <f t="shared" si="63"/>
        <v>#N/A</v>
      </c>
      <c r="T167" s="432"/>
      <c r="U167" s="169"/>
      <c r="V167" s="169"/>
      <c r="W167" s="169"/>
      <c r="X167" s="197" t="e">
        <f t="shared" si="64"/>
        <v>#N/A</v>
      </c>
      <c r="Y167" s="432"/>
      <c r="Z167" s="169"/>
      <c r="AA167" s="169"/>
      <c r="AB167" s="169"/>
      <c r="AC167" s="197" t="e">
        <f t="shared" si="65"/>
        <v>#N/A</v>
      </c>
      <c r="AD167" s="432"/>
      <c r="AE167" s="169"/>
      <c r="AF167" s="169"/>
      <c r="AG167" s="169"/>
      <c r="AH167" s="197" t="e">
        <f t="shared" si="66"/>
        <v>#N/A</v>
      </c>
      <c r="AI167" s="432"/>
      <c r="AJ167" s="169"/>
      <c r="AK167" s="169"/>
      <c r="AL167" s="169"/>
      <c r="AM167" s="197" t="e">
        <f t="shared" si="67"/>
        <v>#N/A</v>
      </c>
      <c r="AN167" s="432"/>
      <c r="AO167" s="169"/>
      <c r="AP167" s="169"/>
      <c r="AQ167" s="169"/>
      <c r="AR167" s="197" t="e">
        <f t="shared" si="68"/>
        <v>#N/A</v>
      </c>
      <c r="AS167" s="432"/>
      <c r="AT167" s="197"/>
      <c r="AU167" s="195"/>
      <c r="AV167" s="195"/>
      <c r="AW167" s="197" t="e">
        <f t="shared" si="69"/>
        <v>#N/A</v>
      </c>
      <c r="AX167" s="432"/>
    </row>
    <row r="168" spans="2:50">
      <c r="B168" s="422"/>
      <c r="C168" s="197">
        <v>22</v>
      </c>
      <c r="D168" s="225"/>
      <c r="E168" s="169"/>
      <c r="F168" s="197"/>
      <c r="G168" s="195"/>
      <c r="H168" s="429"/>
      <c r="I168" s="169" t="e">
        <f t="shared" si="53"/>
        <v>#DIV/0!</v>
      </c>
      <c r="J168" s="169" t="e">
        <f t="shared" si="54"/>
        <v>#DIV/0!</v>
      </c>
      <c r="K168" s="195" t="e">
        <f t="shared" si="55"/>
        <v>#DIV/0!</v>
      </c>
      <c r="L168" s="429"/>
      <c r="M168" s="169" t="e">
        <f>RANK(K168, K$147:$K$176)</f>
        <v>#DIV/0!</v>
      </c>
      <c r="N168" s="423"/>
      <c r="O168" s="423"/>
      <c r="P168" s="169"/>
      <c r="Q168" s="169"/>
      <c r="R168" s="169"/>
      <c r="S168" s="197" t="e">
        <f t="shared" si="63"/>
        <v>#N/A</v>
      </c>
      <c r="T168" s="432"/>
      <c r="U168" s="169"/>
      <c r="V168" s="169"/>
      <c r="W168" s="169"/>
      <c r="X168" s="197" t="e">
        <f t="shared" si="64"/>
        <v>#N/A</v>
      </c>
      <c r="Y168" s="432"/>
      <c r="Z168" s="169"/>
      <c r="AA168" s="169"/>
      <c r="AB168" s="169"/>
      <c r="AC168" s="197" t="e">
        <f t="shared" si="65"/>
        <v>#N/A</v>
      </c>
      <c r="AD168" s="432"/>
      <c r="AE168" s="169"/>
      <c r="AF168" s="169"/>
      <c r="AG168" s="169"/>
      <c r="AH168" s="197" t="e">
        <f t="shared" si="66"/>
        <v>#N/A</v>
      </c>
      <c r="AI168" s="432"/>
      <c r="AJ168" s="169"/>
      <c r="AK168" s="169"/>
      <c r="AL168" s="169"/>
      <c r="AM168" s="197" t="e">
        <f t="shared" si="67"/>
        <v>#N/A</v>
      </c>
      <c r="AN168" s="432"/>
      <c r="AO168" s="169"/>
      <c r="AP168" s="169"/>
      <c r="AQ168" s="169"/>
      <c r="AR168" s="197" t="e">
        <f t="shared" si="68"/>
        <v>#N/A</v>
      </c>
      <c r="AS168" s="432"/>
      <c r="AT168" s="197"/>
      <c r="AU168" s="195"/>
      <c r="AV168" s="195"/>
      <c r="AW168" s="197" t="e">
        <f t="shared" si="69"/>
        <v>#N/A</v>
      </c>
      <c r="AX168" s="432"/>
    </row>
    <row r="169" spans="2:50">
      <c r="B169" s="422"/>
      <c r="C169" s="197">
        <v>23</v>
      </c>
      <c r="D169" s="225"/>
      <c r="E169" s="169"/>
      <c r="F169" s="197"/>
      <c r="G169" s="195"/>
      <c r="H169" s="429"/>
      <c r="I169" s="169" t="e">
        <f t="shared" si="53"/>
        <v>#DIV/0!</v>
      </c>
      <c r="J169" s="169" t="e">
        <f t="shared" si="54"/>
        <v>#DIV/0!</v>
      </c>
      <c r="K169" s="195" t="e">
        <f t="shared" si="55"/>
        <v>#DIV/0!</v>
      </c>
      <c r="L169" s="429"/>
      <c r="M169" s="169" t="e">
        <f>RANK(K169, K$147:$K$176)</f>
        <v>#DIV/0!</v>
      </c>
      <c r="N169" s="423"/>
      <c r="O169" s="423"/>
      <c r="P169" s="169"/>
      <c r="Q169" s="169"/>
      <c r="R169" s="169"/>
      <c r="S169" s="197" t="e">
        <f t="shared" si="63"/>
        <v>#N/A</v>
      </c>
      <c r="T169" s="432"/>
      <c r="U169" s="169"/>
      <c r="V169" s="169"/>
      <c r="W169" s="169"/>
      <c r="X169" s="197" t="e">
        <f t="shared" si="64"/>
        <v>#N/A</v>
      </c>
      <c r="Y169" s="432"/>
      <c r="Z169" s="169"/>
      <c r="AA169" s="169"/>
      <c r="AB169" s="169"/>
      <c r="AC169" s="197" t="e">
        <f t="shared" si="65"/>
        <v>#N/A</v>
      </c>
      <c r="AD169" s="432"/>
      <c r="AE169" s="169"/>
      <c r="AF169" s="169"/>
      <c r="AG169" s="169"/>
      <c r="AH169" s="197" t="e">
        <f t="shared" si="66"/>
        <v>#N/A</v>
      </c>
      <c r="AI169" s="432"/>
      <c r="AJ169" s="169"/>
      <c r="AK169" s="169"/>
      <c r="AL169" s="169"/>
      <c r="AM169" s="197" t="e">
        <f t="shared" si="67"/>
        <v>#N/A</v>
      </c>
      <c r="AN169" s="432"/>
      <c r="AO169" s="169"/>
      <c r="AP169" s="169"/>
      <c r="AQ169" s="169"/>
      <c r="AR169" s="197" t="e">
        <f t="shared" si="68"/>
        <v>#N/A</v>
      </c>
      <c r="AS169" s="432"/>
      <c r="AT169" s="197"/>
      <c r="AU169" s="195"/>
      <c r="AV169" s="195"/>
      <c r="AW169" s="197" t="e">
        <f t="shared" si="69"/>
        <v>#N/A</v>
      </c>
      <c r="AX169" s="432"/>
    </row>
    <row r="170" spans="2:50">
      <c r="B170" s="422"/>
      <c r="C170" s="197">
        <v>24</v>
      </c>
      <c r="D170" s="225"/>
      <c r="E170" s="169"/>
      <c r="F170" s="197"/>
      <c r="G170" s="195"/>
      <c r="H170" s="429"/>
      <c r="I170" s="169" t="e">
        <f t="shared" si="53"/>
        <v>#DIV/0!</v>
      </c>
      <c r="J170" s="169" t="e">
        <f t="shared" si="54"/>
        <v>#DIV/0!</v>
      </c>
      <c r="K170" s="195" t="e">
        <f t="shared" si="55"/>
        <v>#DIV/0!</v>
      </c>
      <c r="L170" s="429"/>
      <c r="M170" s="169" t="e">
        <f>RANK(K170, K$147:$K$176)</f>
        <v>#DIV/0!</v>
      </c>
      <c r="N170" s="423"/>
      <c r="O170" s="423"/>
      <c r="P170" s="169"/>
      <c r="Q170" s="169"/>
      <c r="R170" s="169"/>
      <c r="S170" s="197" t="e">
        <f t="shared" si="63"/>
        <v>#N/A</v>
      </c>
      <c r="T170" s="432"/>
      <c r="U170" s="169"/>
      <c r="V170" s="169"/>
      <c r="W170" s="169"/>
      <c r="X170" s="197" t="e">
        <f t="shared" si="64"/>
        <v>#N/A</v>
      </c>
      <c r="Y170" s="432"/>
      <c r="Z170" s="169"/>
      <c r="AA170" s="169"/>
      <c r="AB170" s="169"/>
      <c r="AC170" s="197" t="e">
        <f t="shared" si="65"/>
        <v>#N/A</v>
      </c>
      <c r="AD170" s="432"/>
      <c r="AE170" s="169"/>
      <c r="AF170" s="169"/>
      <c r="AG170" s="169"/>
      <c r="AH170" s="197" t="e">
        <f t="shared" si="66"/>
        <v>#N/A</v>
      </c>
      <c r="AI170" s="432"/>
      <c r="AJ170" s="169"/>
      <c r="AK170" s="169"/>
      <c r="AL170" s="169"/>
      <c r="AM170" s="197" t="e">
        <f t="shared" si="67"/>
        <v>#N/A</v>
      </c>
      <c r="AN170" s="432"/>
      <c r="AO170" s="169"/>
      <c r="AP170" s="169"/>
      <c r="AQ170" s="169"/>
      <c r="AR170" s="197" t="e">
        <f t="shared" si="68"/>
        <v>#N/A</v>
      </c>
      <c r="AS170" s="432"/>
      <c r="AT170" s="197"/>
      <c r="AU170" s="195"/>
      <c r="AV170" s="195"/>
      <c r="AW170" s="197" t="e">
        <f t="shared" si="69"/>
        <v>#N/A</v>
      </c>
      <c r="AX170" s="432"/>
    </row>
    <row r="171" spans="2:50">
      <c r="B171" s="422"/>
      <c r="C171" s="197">
        <v>25</v>
      </c>
      <c r="D171" s="225"/>
      <c r="E171" s="169"/>
      <c r="F171" s="197"/>
      <c r="G171" s="195"/>
      <c r="H171" s="429"/>
      <c r="I171" s="169"/>
      <c r="J171" s="169"/>
      <c r="K171" s="195"/>
      <c r="L171" s="429"/>
      <c r="M171" s="169" t="e">
        <f>RANK(K171, K$147:$K$176)</f>
        <v>#DIV/0!</v>
      </c>
      <c r="N171" s="423"/>
      <c r="O171" s="423"/>
      <c r="P171" s="197"/>
      <c r="Q171" s="195"/>
      <c r="R171" s="195"/>
      <c r="S171" s="197" t="e">
        <f t="shared" si="63"/>
        <v>#N/A</v>
      </c>
      <c r="T171" s="432"/>
      <c r="U171" s="197"/>
      <c r="V171" s="195"/>
      <c r="W171" s="195"/>
      <c r="X171" s="197" t="e">
        <f t="shared" si="64"/>
        <v>#N/A</v>
      </c>
      <c r="Y171" s="432"/>
      <c r="Z171" s="197"/>
      <c r="AA171" s="195"/>
      <c r="AB171" s="195"/>
      <c r="AC171" s="197" t="e">
        <f t="shared" si="65"/>
        <v>#N/A</v>
      </c>
      <c r="AD171" s="432"/>
      <c r="AE171" s="197"/>
      <c r="AF171" s="195"/>
      <c r="AG171" s="195"/>
      <c r="AH171" s="197" t="e">
        <f t="shared" si="66"/>
        <v>#N/A</v>
      </c>
      <c r="AI171" s="432"/>
      <c r="AJ171" s="197"/>
      <c r="AK171" s="195"/>
      <c r="AL171" s="195"/>
      <c r="AM171" s="197" t="e">
        <f t="shared" si="67"/>
        <v>#N/A</v>
      </c>
      <c r="AN171" s="432"/>
      <c r="AO171" s="197"/>
      <c r="AP171" s="195"/>
      <c r="AQ171" s="195"/>
      <c r="AR171" s="197" t="e">
        <f t="shared" si="68"/>
        <v>#N/A</v>
      </c>
      <c r="AS171" s="432"/>
      <c r="AT171" s="197"/>
      <c r="AU171" s="195"/>
      <c r="AV171" s="195"/>
      <c r="AW171" s="197" t="e">
        <f t="shared" si="69"/>
        <v>#N/A</v>
      </c>
      <c r="AX171" s="432"/>
    </row>
    <row r="172" spans="2:50">
      <c r="B172" s="422"/>
      <c r="C172" s="197">
        <v>26</v>
      </c>
      <c r="D172" s="225"/>
      <c r="E172" s="169"/>
      <c r="F172" s="197"/>
      <c r="G172" s="195"/>
      <c r="H172" s="429"/>
      <c r="I172" s="169"/>
      <c r="J172" s="169"/>
      <c r="K172" s="195"/>
      <c r="L172" s="429"/>
      <c r="M172" s="169" t="e">
        <f>RANK(K172, K$147:$K$176)</f>
        <v>#DIV/0!</v>
      </c>
      <c r="N172" s="423"/>
      <c r="O172" s="423"/>
      <c r="P172" s="197"/>
      <c r="Q172" s="195"/>
      <c r="R172" s="195"/>
      <c r="S172" s="197" t="e">
        <f t="shared" si="63"/>
        <v>#N/A</v>
      </c>
      <c r="T172" s="432"/>
      <c r="U172" s="197"/>
      <c r="V172" s="195"/>
      <c r="W172" s="195"/>
      <c r="X172" s="197" t="e">
        <f t="shared" si="64"/>
        <v>#N/A</v>
      </c>
      <c r="Y172" s="432"/>
      <c r="Z172" s="197"/>
      <c r="AA172" s="195"/>
      <c r="AB172" s="195"/>
      <c r="AC172" s="197" t="e">
        <f t="shared" si="65"/>
        <v>#N/A</v>
      </c>
      <c r="AD172" s="432"/>
      <c r="AE172" s="197"/>
      <c r="AF172" s="195"/>
      <c r="AG172" s="195"/>
      <c r="AH172" s="197" t="e">
        <f t="shared" si="66"/>
        <v>#N/A</v>
      </c>
      <c r="AI172" s="432"/>
      <c r="AJ172" s="197"/>
      <c r="AK172" s="195"/>
      <c r="AL172" s="195"/>
      <c r="AM172" s="197" t="e">
        <f t="shared" si="67"/>
        <v>#N/A</v>
      </c>
      <c r="AN172" s="432"/>
      <c r="AO172" s="197"/>
      <c r="AP172" s="195"/>
      <c r="AQ172" s="195"/>
      <c r="AR172" s="197" t="e">
        <f t="shared" si="68"/>
        <v>#N/A</v>
      </c>
      <c r="AS172" s="432"/>
      <c r="AT172" s="197"/>
      <c r="AU172" s="195"/>
      <c r="AV172" s="195"/>
      <c r="AW172" s="197" t="e">
        <f t="shared" si="69"/>
        <v>#N/A</v>
      </c>
      <c r="AX172" s="432"/>
    </row>
    <row r="173" spans="2:50">
      <c r="B173" s="422"/>
      <c r="C173" s="197">
        <v>27</v>
      </c>
      <c r="D173" s="225"/>
      <c r="E173" s="169"/>
      <c r="F173" s="197"/>
      <c r="G173" s="195"/>
      <c r="H173" s="429"/>
      <c r="I173" s="169"/>
      <c r="J173" s="169"/>
      <c r="K173" s="195"/>
      <c r="L173" s="429"/>
      <c r="M173" s="169" t="e">
        <f>RANK(K173, K$147:$K$176)</f>
        <v>#DIV/0!</v>
      </c>
      <c r="N173" s="423"/>
      <c r="O173" s="423"/>
      <c r="P173" s="197"/>
      <c r="Q173" s="195"/>
      <c r="R173" s="195"/>
      <c r="S173" s="197" t="e">
        <f t="shared" si="63"/>
        <v>#N/A</v>
      </c>
      <c r="T173" s="432"/>
      <c r="U173" s="197"/>
      <c r="V173" s="195"/>
      <c r="W173" s="195"/>
      <c r="X173" s="197" t="e">
        <f t="shared" si="64"/>
        <v>#N/A</v>
      </c>
      <c r="Y173" s="432"/>
      <c r="Z173" s="197"/>
      <c r="AA173" s="195"/>
      <c r="AB173" s="195"/>
      <c r="AC173" s="197" t="e">
        <f t="shared" si="65"/>
        <v>#N/A</v>
      </c>
      <c r="AD173" s="432"/>
      <c r="AE173" s="197"/>
      <c r="AF173" s="195"/>
      <c r="AG173" s="195"/>
      <c r="AH173" s="197" t="e">
        <f t="shared" si="66"/>
        <v>#N/A</v>
      </c>
      <c r="AI173" s="432"/>
      <c r="AJ173" s="197"/>
      <c r="AK173" s="195"/>
      <c r="AL173" s="195"/>
      <c r="AM173" s="197" t="e">
        <f t="shared" si="67"/>
        <v>#N/A</v>
      </c>
      <c r="AN173" s="432"/>
      <c r="AO173" s="197"/>
      <c r="AP173" s="195"/>
      <c r="AQ173" s="195"/>
      <c r="AR173" s="197" t="e">
        <f t="shared" si="68"/>
        <v>#N/A</v>
      </c>
      <c r="AS173" s="432"/>
      <c r="AT173" s="197"/>
      <c r="AU173" s="195"/>
      <c r="AV173" s="195"/>
      <c r="AW173" s="197" t="e">
        <f t="shared" si="69"/>
        <v>#N/A</v>
      </c>
      <c r="AX173" s="432"/>
    </row>
    <row r="174" spans="2:50">
      <c r="B174" s="422"/>
      <c r="C174" s="197">
        <v>28</v>
      </c>
      <c r="D174" s="225"/>
      <c r="E174" s="169"/>
      <c r="F174" s="197"/>
      <c r="G174" s="195"/>
      <c r="H174" s="429"/>
      <c r="I174" s="169"/>
      <c r="J174" s="169"/>
      <c r="K174" s="195"/>
      <c r="L174" s="429"/>
      <c r="M174" s="169" t="e">
        <f>RANK(K174, K$147:$K$176)</f>
        <v>#DIV/0!</v>
      </c>
      <c r="N174" s="423"/>
      <c r="O174" s="423"/>
      <c r="P174" s="197"/>
      <c r="Q174" s="195"/>
      <c r="R174" s="195"/>
      <c r="S174" s="197" t="e">
        <f t="shared" si="63"/>
        <v>#N/A</v>
      </c>
      <c r="T174" s="432"/>
      <c r="U174" s="197"/>
      <c r="V174" s="195"/>
      <c r="W174" s="195"/>
      <c r="X174" s="197" t="e">
        <f t="shared" si="64"/>
        <v>#N/A</v>
      </c>
      <c r="Y174" s="432"/>
      <c r="Z174" s="197"/>
      <c r="AA174" s="195"/>
      <c r="AB174" s="195"/>
      <c r="AC174" s="197" t="e">
        <f t="shared" si="65"/>
        <v>#N/A</v>
      </c>
      <c r="AD174" s="432"/>
      <c r="AE174" s="197"/>
      <c r="AF174" s="195"/>
      <c r="AG174" s="195"/>
      <c r="AH174" s="197" t="e">
        <f t="shared" si="66"/>
        <v>#N/A</v>
      </c>
      <c r="AI174" s="432"/>
      <c r="AJ174" s="197"/>
      <c r="AK174" s="195"/>
      <c r="AL174" s="195"/>
      <c r="AM174" s="197" t="e">
        <f t="shared" si="67"/>
        <v>#N/A</v>
      </c>
      <c r="AN174" s="432"/>
      <c r="AO174" s="197"/>
      <c r="AP174" s="195"/>
      <c r="AQ174" s="195"/>
      <c r="AR174" s="197" t="e">
        <f t="shared" si="68"/>
        <v>#N/A</v>
      </c>
      <c r="AS174" s="432"/>
      <c r="AT174" s="197"/>
      <c r="AU174" s="195"/>
      <c r="AV174" s="195"/>
      <c r="AW174" s="197" t="e">
        <f t="shared" si="69"/>
        <v>#N/A</v>
      </c>
      <c r="AX174" s="432"/>
    </row>
    <row r="175" spans="2:50">
      <c r="B175" s="422"/>
      <c r="C175" s="197">
        <v>29</v>
      </c>
      <c r="D175" s="225"/>
      <c r="E175" s="169"/>
      <c r="F175" s="197"/>
      <c r="G175" s="195"/>
      <c r="H175" s="429"/>
      <c r="I175" s="197"/>
      <c r="J175" s="197"/>
      <c r="K175" s="197"/>
      <c r="L175" s="429"/>
      <c r="M175" s="169" t="e">
        <f>RANK(K175, K$147:$K$176)</f>
        <v>#DIV/0!</v>
      </c>
      <c r="N175" s="423"/>
      <c r="O175" s="423"/>
      <c r="P175" s="197"/>
      <c r="Q175" s="197"/>
      <c r="R175" s="197"/>
      <c r="S175" s="197" t="e">
        <f t="shared" si="63"/>
        <v>#N/A</v>
      </c>
      <c r="T175" s="432"/>
      <c r="U175" s="197"/>
      <c r="V175" s="197"/>
      <c r="W175" s="197"/>
      <c r="X175" s="197" t="e">
        <f t="shared" si="64"/>
        <v>#N/A</v>
      </c>
      <c r="Y175" s="432"/>
      <c r="Z175" s="197"/>
      <c r="AA175" s="197"/>
      <c r="AB175" s="197"/>
      <c r="AC175" s="197" t="e">
        <f t="shared" si="65"/>
        <v>#N/A</v>
      </c>
      <c r="AD175" s="432"/>
      <c r="AE175" s="197"/>
      <c r="AF175" s="197"/>
      <c r="AG175" s="197"/>
      <c r="AH175" s="197" t="e">
        <f t="shared" si="66"/>
        <v>#N/A</v>
      </c>
      <c r="AI175" s="432"/>
      <c r="AJ175" s="197"/>
      <c r="AK175" s="197"/>
      <c r="AL175" s="197"/>
      <c r="AM175" s="197" t="e">
        <f t="shared" si="67"/>
        <v>#N/A</v>
      </c>
      <c r="AN175" s="432"/>
      <c r="AO175" s="197"/>
      <c r="AP175" s="197"/>
      <c r="AQ175" s="197"/>
      <c r="AR175" s="197" t="e">
        <f t="shared" si="68"/>
        <v>#N/A</v>
      </c>
      <c r="AS175" s="432"/>
      <c r="AT175" s="197"/>
      <c r="AU175" s="197"/>
      <c r="AV175" s="197"/>
      <c r="AW175" s="197" t="e">
        <f t="shared" si="69"/>
        <v>#N/A</v>
      </c>
      <c r="AX175" s="432"/>
    </row>
    <row r="176" spans="2:50">
      <c r="B176" s="422"/>
      <c r="C176" s="197">
        <v>30</v>
      </c>
      <c r="D176" s="225"/>
      <c r="E176" s="169"/>
      <c r="F176" s="197"/>
      <c r="G176" s="195"/>
      <c r="H176" s="430"/>
      <c r="I176" s="197"/>
      <c r="J176" s="197"/>
      <c r="K176" s="197"/>
      <c r="L176" s="430"/>
      <c r="M176" s="169" t="e">
        <f>RANK(K176, K$147:$K$176)</f>
        <v>#DIV/0!</v>
      </c>
      <c r="N176" s="423"/>
      <c r="O176" s="423"/>
      <c r="P176" s="197"/>
      <c r="Q176" s="197"/>
      <c r="R176" s="197"/>
      <c r="S176" s="197" t="e">
        <f t="shared" si="56"/>
        <v>#N/A</v>
      </c>
      <c r="T176" s="432"/>
      <c r="U176" s="197"/>
      <c r="V176" s="197"/>
      <c r="W176" s="197"/>
      <c r="X176" s="197" t="e">
        <f t="shared" si="57"/>
        <v>#N/A</v>
      </c>
      <c r="Y176" s="432"/>
      <c r="Z176" s="197"/>
      <c r="AA176" s="197"/>
      <c r="AB176" s="197"/>
      <c r="AC176" s="197" t="e">
        <f t="shared" si="58"/>
        <v>#N/A</v>
      </c>
      <c r="AD176" s="432"/>
      <c r="AE176" s="197"/>
      <c r="AF176" s="197"/>
      <c r="AG176" s="197"/>
      <c r="AH176" s="197" t="e">
        <f t="shared" si="59"/>
        <v>#N/A</v>
      </c>
      <c r="AI176" s="432"/>
      <c r="AJ176" s="197"/>
      <c r="AK176" s="197"/>
      <c r="AL176" s="197"/>
      <c r="AM176" s="197" t="e">
        <f t="shared" si="60"/>
        <v>#N/A</v>
      </c>
      <c r="AN176" s="432"/>
      <c r="AO176" s="197"/>
      <c r="AP176" s="197"/>
      <c r="AQ176" s="197"/>
      <c r="AR176" s="197" t="e">
        <f t="shared" si="61"/>
        <v>#N/A</v>
      </c>
      <c r="AS176" s="432"/>
      <c r="AT176" s="197"/>
      <c r="AU176" s="197"/>
      <c r="AV176" s="197"/>
      <c r="AW176" s="197" t="e">
        <f t="shared" si="62"/>
        <v>#N/A</v>
      </c>
      <c r="AX176" s="432"/>
    </row>
  </sheetData>
  <mergeCells count="295"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101"/>
  <sheetViews>
    <sheetView zoomScale="70" zoomScaleNormal="70" workbookViewId="0">
      <pane xSplit="15" topLeftCell="AD1" activePane="topRight" state="frozen"/>
      <selection pane="topRight" activeCell="E44" sqref="E44:G44"/>
      <selection sqref="A1:L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15" t="s">
        <v>246</v>
      </c>
      <c r="C1" s="216">
        <f>AVERAGE(L7,L27,L47,L67,L87)</f>
        <v>66.929844260869814</v>
      </c>
    </row>
    <row r="2" spans="1:50" ht="15.75">
      <c r="A2" s="79"/>
      <c r="B2" s="396" t="s">
        <v>202</v>
      </c>
      <c r="C2" s="396"/>
      <c r="D2" s="396"/>
      <c r="E2" s="396"/>
      <c r="F2" s="396"/>
      <c r="G2" s="396"/>
      <c r="H2" s="396"/>
      <c r="I2" s="198"/>
      <c r="J2" s="198"/>
      <c r="K2" s="198"/>
      <c r="L2" s="198"/>
      <c r="M2" s="193"/>
      <c r="N2" s="401" t="s">
        <v>203</v>
      </c>
      <c r="O2" s="401" t="s">
        <v>150</v>
      </c>
      <c r="P2" s="416">
        <v>45895</v>
      </c>
      <c r="Q2" s="417"/>
      <c r="R2" s="417"/>
      <c r="S2" s="417"/>
      <c r="T2" s="418"/>
      <c r="U2" s="421">
        <f>P2+1</f>
        <v>45896</v>
      </c>
      <c r="V2" s="422"/>
      <c r="W2" s="422"/>
      <c r="X2" s="422"/>
      <c r="Y2" s="422"/>
      <c r="Z2" s="421">
        <f>U2+1</f>
        <v>45897</v>
      </c>
      <c r="AA2" s="422"/>
      <c r="AB2" s="422"/>
      <c r="AC2" s="422"/>
      <c r="AD2" s="422"/>
      <c r="AE2" s="421">
        <f>Z2+1</f>
        <v>45898</v>
      </c>
      <c r="AF2" s="422"/>
      <c r="AG2" s="422"/>
      <c r="AH2" s="422"/>
      <c r="AI2" s="422"/>
      <c r="AJ2" s="421">
        <f>AE2+1</f>
        <v>45899</v>
      </c>
      <c r="AK2" s="422"/>
      <c r="AL2" s="422"/>
      <c r="AM2" s="422"/>
      <c r="AN2" s="422"/>
      <c r="AO2" s="421">
        <f>AJ2+1</f>
        <v>45900</v>
      </c>
      <c r="AP2" s="422"/>
      <c r="AQ2" s="422"/>
      <c r="AR2" s="422"/>
      <c r="AS2" s="422"/>
      <c r="AT2" s="421">
        <f>AO2+1</f>
        <v>45901</v>
      </c>
      <c r="AU2" s="422"/>
      <c r="AV2" s="422"/>
      <c r="AW2" s="422"/>
      <c r="AX2" s="422"/>
    </row>
    <row r="3" spans="1:50" ht="15.75">
      <c r="A3" s="79"/>
      <c r="B3" s="397"/>
      <c r="C3" s="397"/>
      <c r="D3" s="397"/>
      <c r="E3" s="397"/>
      <c r="F3" s="397"/>
      <c r="G3" s="397"/>
      <c r="H3" s="397"/>
      <c r="I3" s="199"/>
      <c r="J3" s="199"/>
      <c r="K3" s="199"/>
      <c r="L3" s="199"/>
      <c r="M3" s="194"/>
      <c r="N3" s="403"/>
      <c r="O3" s="403"/>
      <c r="P3" s="416" t="s">
        <v>204</v>
      </c>
      <c r="Q3" s="417"/>
      <c r="R3" s="417"/>
      <c r="S3" s="417"/>
      <c r="T3" s="418"/>
      <c r="U3" s="416" t="s">
        <v>205</v>
      </c>
      <c r="V3" s="417"/>
      <c r="W3" s="417"/>
      <c r="X3" s="417"/>
      <c r="Y3" s="418"/>
      <c r="Z3" s="416" t="s">
        <v>206</v>
      </c>
      <c r="AA3" s="417"/>
      <c r="AB3" s="417"/>
      <c r="AC3" s="417"/>
      <c r="AD3" s="418"/>
      <c r="AE3" s="416" t="s">
        <v>207</v>
      </c>
      <c r="AF3" s="417"/>
      <c r="AG3" s="417"/>
      <c r="AH3" s="417"/>
      <c r="AI3" s="418"/>
      <c r="AJ3" s="416" t="s">
        <v>208</v>
      </c>
      <c r="AK3" s="417"/>
      <c r="AL3" s="417"/>
      <c r="AM3" s="417"/>
      <c r="AN3" s="418"/>
      <c r="AO3" s="416" t="s">
        <v>157</v>
      </c>
      <c r="AP3" s="417"/>
      <c r="AQ3" s="417"/>
      <c r="AR3" s="417"/>
      <c r="AS3" s="418"/>
      <c r="AT3" s="416" t="s">
        <v>209</v>
      </c>
      <c r="AU3" s="417"/>
      <c r="AV3" s="417"/>
      <c r="AW3" s="417"/>
      <c r="AX3" s="418"/>
    </row>
    <row r="4" spans="1:50">
      <c r="A4" s="79"/>
      <c r="B4" s="423" t="s">
        <v>210</v>
      </c>
      <c r="C4" s="423" t="s">
        <v>211</v>
      </c>
      <c r="D4" s="423"/>
      <c r="E4" s="423" t="s">
        <v>212</v>
      </c>
      <c r="F4" s="423"/>
      <c r="G4" s="423"/>
      <c r="H4" s="404" t="s">
        <v>213</v>
      </c>
      <c r="I4" s="423" t="s">
        <v>214</v>
      </c>
      <c r="J4" s="423"/>
      <c r="K4" s="423"/>
      <c r="L4" s="404" t="s">
        <v>213</v>
      </c>
      <c r="M4" s="401" t="s">
        <v>215</v>
      </c>
      <c r="N4" s="423"/>
      <c r="O4" s="423" t="s">
        <v>216</v>
      </c>
      <c r="P4" s="413" t="s">
        <v>217</v>
      </c>
      <c r="Q4" s="414"/>
      <c r="R4" s="414"/>
      <c r="S4" s="415"/>
      <c r="T4" s="423" t="s">
        <v>213</v>
      </c>
      <c r="U4" s="413" t="s">
        <v>217</v>
      </c>
      <c r="V4" s="414"/>
      <c r="W4" s="414"/>
      <c r="X4" s="415"/>
      <c r="Y4" s="423" t="s">
        <v>213</v>
      </c>
      <c r="Z4" s="413" t="s">
        <v>217</v>
      </c>
      <c r="AA4" s="414"/>
      <c r="AB4" s="414"/>
      <c r="AC4" s="415"/>
      <c r="AD4" s="423" t="s">
        <v>213</v>
      </c>
      <c r="AE4" s="413" t="s">
        <v>217</v>
      </c>
      <c r="AF4" s="414"/>
      <c r="AG4" s="414"/>
      <c r="AH4" s="415"/>
      <c r="AI4" s="423" t="s">
        <v>213</v>
      </c>
      <c r="AJ4" s="413" t="s">
        <v>217</v>
      </c>
      <c r="AK4" s="414"/>
      <c r="AL4" s="414"/>
      <c r="AM4" s="415"/>
      <c r="AN4" s="423" t="s">
        <v>213</v>
      </c>
      <c r="AO4" s="413" t="s">
        <v>217</v>
      </c>
      <c r="AP4" s="414"/>
      <c r="AQ4" s="414"/>
      <c r="AR4" s="415"/>
      <c r="AS4" s="423" t="s">
        <v>213</v>
      </c>
      <c r="AT4" s="413" t="s">
        <v>217</v>
      </c>
      <c r="AU4" s="414"/>
      <c r="AV4" s="414"/>
      <c r="AW4" s="415"/>
      <c r="AX4" s="423" t="s">
        <v>213</v>
      </c>
    </row>
    <row r="5" spans="1:50">
      <c r="A5" s="79"/>
      <c r="B5" s="423"/>
      <c r="C5" s="423"/>
      <c r="D5" s="423"/>
      <c r="E5" s="423" t="s">
        <v>218</v>
      </c>
      <c r="F5" s="423"/>
      <c r="G5" s="423"/>
      <c r="H5" s="406"/>
      <c r="I5" s="423" t="s">
        <v>218</v>
      </c>
      <c r="J5" s="423"/>
      <c r="K5" s="423"/>
      <c r="L5" s="406"/>
      <c r="M5" s="402"/>
      <c r="N5" s="423"/>
      <c r="O5" s="423"/>
      <c r="P5" s="413" t="s">
        <v>219</v>
      </c>
      <c r="Q5" s="414"/>
      <c r="R5" s="414"/>
      <c r="S5" s="415"/>
      <c r="T5" s="423"/>
      <c r="U5" s="413" t="s">
        <v>219</v>
      </c>
      <c r="V5" s="414"/>
      <c r="W5" s="414"/>
      <c r="X5" s="415"/>
      <c r="Y5" s="423"/>
      <c r="Z5" s="413" t="s">
        <v>219</v>
      </c>
      <c r="AA5" s="414"/>
      <c r="AB5" s="414"/>
      <c r="AC5" s="415"/>
      <c r="AD5" s="423"/>
      <c r="AE5" s="413" t="s">
        <v>219</v>
      </c>
      <c r="AF5" s="414"/>
      <c r="AG5" s="414"/>
      <c r="AH5" s="415"/>
      <c r="AI5" s="423"/>
      <c r="AJ5" s="413" t="s">
        <v>219</v>
      </c>
      <c r="AK5" s="414"/>
      <c r="AL5" s="414"/>
      <c r="AM5" s="415"/>
      <c r="AN5" s="423"/>
      <c r="AO5" s="413" t="s">
        <v>219</v>
      </c>
      <c r="AP5" s="414"/>
      <c r="AQ5" s="414"/>
      <c r="AR5" s="415"/>
      <c r="AS5" s="423"/>
      <c r="AT5" s="413" t="s">
        <v>219</v>
      </c>
      <c r="AU5" s="414"/>
      <c r="AV5" s="414"/>
      <c r="AW5" s="415"/>
      <c r="AX5" s="423"/>
    </row>
    <row r="6" spans="1:50">
      <c r="A6" s="77"/>
      <c r="B6" s="423"/>
      <c r="C6" s="423"/>
      <c r="D6" s="423"/>
      <c r="E6" s="297" t="s">
        <v>220</v>
      </c>
      <c r="F6" s="297" t="s">
        <v>221</v>
      </c>
      <c r="G6" s="297" t="s">
        <v>222</v>
      </c>
      <c r="H6" s="408"/>
      <c r="I6" s="297" t="s">
        <v>220</v>
      </c>
      <c r="J6" s="297" t="s">
        <v>221</v>
      </c>
      <c r="K6" s="297" t="s">
        <v>222</v>
      </c>
      <c r="L6" s="408"/>
      <c r="M6" s="403"/>
      <c r="N6" s="423"/>
      <c r="O6" s="423"/>
      <c r="P6" s="297" t="s">
        <v>220</v>
      </c>
      <c r="Q6" s="297" t="s">
        <v>221</v>
      </c>
      <c r="R6" s="297" t="s">
        <v>222</v>
      </c>
      <c r="S6" s="297" t="s">
        <v>215</v>
      </c>
      <c r="T6" s="423"/>
      <c r="U6" s="297" t="s">
        <v>220</v>
      </c>
      <c r="V6" s="297" t="s">
        <v>221</v>
      </c>
      <c r="W6" s="297" t="s">
        <v>222</v>
      </c>
      <c r="X6" s="297" t="s">
        <v>215</v>
      </c>
      <c r="Y6" s="423"/>
      <c r="Z6" s="297" t="s">
        <v>220</v>
      </c>
      <c r="AA6" s="297" t="s">
        <v>221</v>
      </c>
      <c r="AB6" s="297" t="s">
        <v>222</v>
      </c>
      <c r="AC6" s="297" t="s">
        <v>215</v>
      </c>
      <c r="AD6" s="423"/>
      <c r="AE6" s="297" t="s">
        <v>220</v>
      </c>
      <c r="AF6" s="297" t="s">
        <v>221</v>
      </c>
      <c r="AG6" s="297" t="s">
        <v>222</v>
      </c>
      <c r="AH6" s="297" t="s">
        <v>215</v>
      </c>
      <c r="AI6" s="423"/>
      <c r="AJ6" s="297" t="s">
        <v>220</v>
      </c>
      <c r="AK6" s="297" t="s">
        <v>221</v>
      </c>
      <c r="AL6" s="297" t="s">
        <v>222</v>
      </c>
      <c r="AM6" s="297" t="s">
        <v>215</v>
      </c>
      <c r="AN6" s="423"/>
      <c r="AO6" s="297" t="s">
        <v>220</v>
      </c>
      <c r="AP6" s="297" t="s">
        <v>221</v>
      </c>
      <c r="AQ6" s="297" t="s">
        <v>222</v>
      </c>
      <c r="AR6" s="297" t="s">
        <v>215</v>
      </c>
      <c r="AS6" s="423"/>
      <c r="AT6" s="297" t="s">
        <v>220</v>
      </c>
      <c r="AU6" s="297" t="s">
        <v>221</v>
      </c>
      <c r="AV6" s="297" t="s">
        <v>222</v>
      </c>
      <c r="AW6" s="297" t="s">
        <v>215</v>
      </c>
      <c r="AX6" s="423"/>
    </row>
    <row r="7" spans="1:50">
      <c r="A7" s="79"/>
      <c r="B7" s="423" t="s">
        <v>188</v>
      </c>
      <c r="C7" s="197">
        <v>1</v>
      </c>
      <c r="D7" s="225" t="s">
        <v>295</v>
      </c>
      <c r="E7" s="169">
        <v>19</v>
      </c>
      <c r="F7" s="197">
        <v>1440</v>
      </c>
      <c r="G7" s="195">
        <v>75.78947368421052</v>
      </c>
      <c r="H7" s="428">
        <f>AVERAGE(G7:G21)</f>
        <v>76.060274767801857</v>
      </c>
      <c r="I7" s="169">
        <f>AVERAGE(P7,U7,Z7,AE7,AJ7,AO7,AT7)</f>
        <v>19</v>
      </c>
      <c r="J7" s="169">
        <f>AVERAGE(Q7,V7,AA7,AF7,AK7,AP7,AU7)</f>
        <v>1289.6788346316287</v>
      </c>
      <c r="K7" s="195">
        <f>AVERAGE(R7,W7,AB7,AG7,AL7,AQ7,AV7)</f>
        <v>67.877833401664688</v>
      </c>
      <c r="L7" s="428">
        <f>IFERROR(AVERAGE(K7:K21),"-")</f>
        <v>64.558339136708696</v>
      </c>
      <c r="M7" s="196">
        <f>RANK(K7, K$7:$K$21)</f>
        <v>3</v>
      </c>
      <c r="N7" s="423"/>
      <c r="O7" s="423"/>
      <c r="P7" s="197">
        <v>19</v>
      </c>
      <c r="Q7" s="195">
        <v>1265.2173913043478</v>
      </c>
      <c r="R7" s="195">
        <v>66.590389016018307</v>
      </c>
      <c r="S7" s="197">
        <f t="shared" ref="S7:S21" si="0">RANK(R7, R$7:R$21)</f>
        <v>4</v>
      </c>
      <c r="T7" s="428">
        <f>AVERAGE(R7:R21)</f>
        <v>64.021657489563509</v>
      </c>
      <c r="U7" s="197">
        <v>19</v>
      </c>
      <c r="V7" s="195">
        <v>1256.793893129771</v>
      </c>
      <c r="W7" s="195">
        <v>66.14704700683005</v>
      </c>
      <c r="X7" s="197">
        <f t="shared" ref="X7:X21" si="1">RANK(W7, W$7:W$21)</f>
        <v>4</v>
      </c>
      <c r="Y7" s="428">
        <f>AVERAGE(W7:W21)</f>
        <v>63.904260649613455</v>
      </c>
      <c r="Z7" s="197">
        <v>19</v>
      </c>
      <c r="AA7" s="195">
        <v>1299.5000000000002</v>
      </c>
      <c r="AB7" s="195">
        <v>68.394736842105274</v>
      </c>
      <c r="AC7" s="197">
        <f t="shared" ref="AC7:AC21" si="2">RANK(AB7, AB$7:AB$21)</f>
        <v>2</v>
      </c>
      <c r="AD7" s="428">
        <f>AVERAGE(AB7:AB21)</f>
        <v>65.513611728782195</v>
      </c>
      <c r="AE7" s="197">
        <v>19</v>
      </c>
      <c r="AF7" s="195">
        <v>1306.8571428571424</v>
      </c>
      <c r="AG7" s="195">
        <v>68.781954887218021</v>
      </c>
      <c r="AH7" s="197">
        <f t="shared" ref="AH7:AH21" si="3">RANK(AG7, AG$7:AG$21)</f>
        <v>2</v>
      </c>
      <c r="AI7" s="428">
        <f>AVERAGE(AG7:AG21)</f>
        <v>65.230770243927054</v>
      </c>
      <c r="AJ7" s="197">
        <v>19</v>
      </c>
      <c r="AK7" s="195">
        <v>1282.3728813559323</v>
      </c>
      <c r="AL7" s="195">
        <v>67.493309545049073</v>
      </c>
      <c r="AM7" s="197">
        <f t="shared" ref="AM7:AM21" si="4">RANK(AL7, AL$7:AL$21)</f>
        <v>3</v>
      </c>
      <c r="AN7" s="428">
        <f>AVERAGE(AL7:AL21)</f>
        <v>64.796360093744909</v>
      </c>
      <c r="AO7" s="197">
        <v>19</v>
      </c>
      <c r="AP7" s="195">
        <v>1303.9726027397257</v>
      </c>
      <c r="AQ7" s="195">
        <v>68.630136986301352</v>
      </c>
      <c r="AR7" s="197">
        <f t="shared" ref="AR7:AR21" si="5">RANK(AQ7, AQ$7:AQ$21)</f>
        <v>2</v>
      </c>
      <c r="AS7" s="428">
        <f>AVERAGE(AQ7:AQ21)</f>
        <v>64.766119095942287</v>
      </c>
      <c r="AT7" s="197">
        <v>19</v>
      </c>
      <c r="AU7" s="195">
        <v>1313.0379310344829</v>
      </c>
      <c r="AV7" s="195">
        <v>69.107259528130683</v>
      </c>
      <c r="AW7" s="197">
        <f t="shared" ref="AW7:AW21" si="6">RANK(AV7, AV$7:AV$21)</f>
        <v>2</v>
      </c>
      <c r="AX7" s="432">
        <f>AVERAGE(AV7:AV21)</f>
        <v>65.559247998309161</v>
      </c>
    </row>
    <row r="8" spans="1:50" ht="15" customHeight="1">
      <c r="A8" s="79"/>
      <c r="B8" s="422"/>
      <c r="C8" s="197">
        <v>2</v>
      </c>
      <c r="D8" s="225" t="s">
        <v>296</v>
      </c>
      <c r="E8" s="169">
        <v>20</v>
      </c>
      <c r="F8" s="197">
        <v>1440</v>
      </c>
      <c r="G8" s="195">
        <v>72</v>
      </c>
      <c r="H8" s="429"/>
      <c r="I8" s="169">
        <f t="shared" ref="I8:K14" si="7">AVERAGE(P8,U8,Z8,AE8,AJ8,AO8,AT8)</f>
        <v>19.714285714285715</v>
      </c>
      <c r="J8" s="169">
        <f t="shared" si="7"/>
        <v>1085.8550336718606</v>
      </c>
      <c r="K8" s="195">
        <f t="shared" si="7"/>
        <v>55.106917152412151</v>
      </c>
      <c r="L8" s="429"/>
      <c r="M8" s="196">
        <f>RANK(K8, K$7:$K$21)</f>
        <v>8</v>
      </c>
      <c r="N8" s="423"/>
      <c r="O8" s="423"/>
      <c r="P8" s="197">
        <v>20</v>
      </c>
      <c r="Q8" s="195">
        <v>1077.3529411764691</v>
      </c>
      <c r="R8" s="195">
        <v>53.867647058823458</v>
      </c>
      <c r="S8" s="197">
        <f t="shared" si="0"/>
        <v>8</v>
      </c>
      <c r="T8" s="429"/>
      <c r="U8" s="197">
        <v>20</v>
      </c>
      <c r="V8" s="195">
        <v>1102.5000000000014</v>
      </c>
      <c r="W8" s="195">
        <v>55.125000000000071</v>
      </c>
      <c r="X8" s="197">
        <f t="shared" si="1"/>
        <v>8</v>
      </c>
      <c r="Y8" s="429"/>
      <c r="Z8" s="197">
        <v>20</v>
      </c>
      <c r="AA8" s="195">
        <v>1084.6875000000014</v>
      </c>
      <c r="AB8" s="195">
        <v>54.234375000000071</v>
      </c>
      <c r="AC8" s="197">
        <f t="shared" si="2"/>
        <v>8</v>
      </c>
      <c r="AD8" s="429"/>
      <c r="AE8" s="197">
        <v>20</v>
      </c>
      <c r="AF8" s="195">
        <v>1083.3962264150948</v>
      </c>
      <c r="AG8" s="195">
        <v>54.169811320754739</v>
      </c>
      <c r="AH8" s="197">
        <f t="shared" si="3"/>
        <v>8</v>
      </c>
      <c r="AI8" s="429"/>
      <c r="AJ8" s="197">
        <v>20</v>
      </c>
      <c r="AK8" s="195">
        <v>1087.3684210526324</v>
      </c>
      <c r="AL8" s="195">
        <v>54.368421052631618</v>
      </c>
      <c r="AM8" s="197">
        <f t="shared" si="4"/>
        <v>8</v>
      </c>
      <c r="AN8" s="429"/>
      <c r="AO8" s="197">
        <v>19</v>
      </c>
      <c r="AP8" s="195">
        <v>1064.1176470588248</v>
      </c>
      <c r="AQ8" s="195">
        <v>56.006191950464462</v>
      </c>
      <c r="AR8" s="197">
        <f t="shared" si="5"/>
        <v>7</v>
      </c>
      <c r="AS8" s="429"/>
      <c r="AT8" s="197">
        <v>19</v>
      </c>
      <c r="AU8" s="195">
        <v>1101.5625000000014</v>
      </c>
      <c r="AV8" s="195">
        <v>57.976973684210598</v>
      </c>
      <c r="AW8" s="197">
        <f t="shared" si="6"/>
        <v>7</v>
      </c>
      <c r="AX8" s="432"/>
    </row>
    <row r="9" spans="1:50">
      <c r="A9" s="79"/>
      <c r="B9" s="422"/>
      <c r="C9" s="197">
        <v>3</v>
      </c>
      <c r="D9" s="225" t="s">
        <v>297</v>
      </c>
      <c r="E9" s="169">
        <v>18</v>
      </c>
      <c r="F9" s="197">
        <v>1440</v>
      </c>
      <c r="G9" s="195">
        <v>80</v>
      </c>
      <c r="H9" s="429"/>
      <c r="I9" s="169">
        <f t="shared" si="7"/>
        <v>18</v>
      </c>
      <c r="J9" s="169">
        <f t="shared" si="7"/>
        <v>1224.8082649102341</v>
      </c>
      <c r="K9" s="195">
        <f t="shared" si="7"/>
        <v>68.044903606124123</v>
      </c>
      <c r="L9" s="429"/>
      <c r="M9" s="196">
        <f>RANK(K9, K$7:$K$21)</f>
        <v>2</v>
      </c>
      <c r="N9" s="423"/>
      <c r="O9" s="423"/>
      <c r="P9" s="197">
        <v>18</v>
      </c>
      <c r="Q9" s="195">
        <v>1219.1489361702129</v>
      </c>
      <c r="R9" s="195">
        <v>67.730496453900713</v>
      </c>
      <c r="S9" s="197">
        <f t="shared" si="0"/>
        <v>2</v>
      </c>
      <c r="T9" s="429"/>
      <c r="U9" s="197">
        <v>18</v>
      </c>
      <c r="V9" s="195">
        <v>1218.6666666666665</v>
      </c>
      <c r="W9" s="195">
        <v>67.703703703703695</v>
      </c>
      <c r="X9" s="197">
        <f t="shared" si="1"/>
        <v>2</v>
      </c>
      <c r="Y9" s="429"/>
      <c r="Z9" s="197">
        <v>18</v>
      </c>
      <c r="AA9" s="195">
        <v>1212</v>
      </c>
      <c r="AB9" s="195">
        <v>67.333333333333329</v>
      </c>
      <c r="AC9" s="197">
        <f t="shared" si="2"/>
        <v>3</v>
      </c>
      <c r="AD9" s="429"/>
      <c r="AE9" s="197">
        <v>18</v>
      </c>
      <c r="AF9" s="195">
        <v>1230.7317073170727</v>
      </c>
      <c r="AG9" s="195">
        <v>68.373983739837371</v>
      </c>
      <c r="AH9" s="197">
        <f t="shared" si="3"/>
        <v>3</v>
      </c>
      <c r="AI9" s="429"/>
      <c r="AJ9" s="197">
        <v>18</v>
      </c>
      <c r="AK9" s="195">
        <v>1234.6666666666667</v>
      </c>
      <c r="AL9" s="195">
        <v>68.592592592592595</v>
      </c>
      <c r="AM9" s="197">
        <f t="shared" si="4"/>
        <v>2</v>
      </c>
      <c r="AN9" s="429"/>
      <c r="AO9" s="197">
        <v>18</v>
      </c>
      <c r="AP9" s="195">
        <v>1243.7500000000002</v>
      </c>
      <c r="AQ9" s="195">
        <v>69.097222222222229</v>
      </c>
      <c r="AR9" s="197">
        <f t="shared" si="5"/>
        <v>1</v>
      </c>
      <c r="AS9" s="429"/>
      <c r="AT9" s="197">
        <v>18</v>
      </c>
      <c r="AU9" s="195">
        <v>1214.6938775510207</v>
      </c>
      <c r="AV9" s="195">
        <v>67.48299319727893</v>
      </c>
      <c r="AW9" s="197">
        <f t="shared" si="6"/>
        <v>3</v>
      </c>
      <c r="AX9" s="432"/>
    </row>
    <row r="10" spans="1:50">
      <c r="A10" s="79"/>
      <c r="B10" s="422"/>
      <c r="C10" s="197">
        <v>4</v>
      </c>
      <c r="D10" s="225" t="s">
        <v>298</v>
      </c>
      <c r="E10" s="169">
        <v>17</v>
      </c>
      <c r="F10" s="197">
        <v>1440</v>
      </c>
      <c r="G10" s="195">
        <v>84.705882352941174</v>
      </c>
      <c r="H10" s="429"/>
      <c r="I10" s="169">
        <f t="shared" si="7"/>
        <v>16.857142857142858</v>
      </c>
      <c r="J10" s="169">
        <f t="shared" si="7"/>
        <v>1296.5669267354126</v>
      </c>
      <c r="K10" s="195">
        <f t="shared" si="7"/>
        <v>77.40523658542088</v>
      </c>
      <c r="L10" s="429"/>
      <c r="M10" s="196">
        <f>RANK(K10, K$7:$K$21)</f>
        <v>1</v>
      </c>
      <c r="N10" s="423"/>
      <c r="O10" s="423"/>
      <c r="P10" s="197">
        <v>16</v>
      </c>
      <c r="Q10" s="195">
        <v>1292.3181818181818</v>
      </c>
      <c r="R10" s="195">
        <v>80.76988636363636</v>
      </c>
      <c r="S10" s="197">
        <f t="shared" si="0"/>
        <v>1</v>
      </c>
      <c r="T10" s="429"/>
      <c r="U10" s="197">
        <v>16</v>
      </c>
      <c r="V10" s="195">
        <v>1284.0944881889759</v>
      </c>
      <c r="W10" s="195">
        <v>80.255905511810994</v>
      </c>
      <c r="X10" s="197">
        <f t="shared" si="1"/>
        <v>1</v>
      </c>
      <c r="Y10" s="429"/>
      <c r="Z10" s="197">
        <v>16</v>
      </c>
      <c r="AA10" s="195">
        <v>1307.7983193277305</v>
      </c>
      <c r="AB10" s="195">
        <v>81.737394957983156</v>
      </c>
      <c r="AC10" s="197">
        <f t="shared" si="2"/>
        <v>1</v>
      </c>
      <c r="AD10" s="429"/>
      <c r="AE10" s="197">
        <v>16</v>
      </c>
      <c r="AF10" s="195">
        <v>1283.1578947368412</v>
      </c>
      <c r="AG10" s="195">
        <v>80.197368421052573</v>
      </c>
      <c r="AH10" s="197">
        <f t="shared" si="3"/>
        <v>1</v>
      </c>
      <c r="AI10" s="429"/>
      <c r="AJ10" s="197">
        <v>16</v>
      </c>
      <c r="AK10" s="195">
        <v>1293.6206896551716</v>
      </c>
      <c r="AL10" s="195">
        <v>80.851293103448228</v>
      </c>
      <c r="AM10" s="197">
        <f t="shared" si="4"/>
        <v>1</v>
      </c>
      <c r="AN10" s="429"/>
      <c r="AO10" s="197">
        <v>20</v>
      </c>
      <c r="AP10" s="195">
        <v>1305.3237410071943</v>
      </c>
      <c r="AQ10" s="195">
        <v>65.266187050359719</v>
      </c>
      <c r="AR10" s="197">
        <f t="shared" si="5"/>
        <v>5</v>
      </c>
      <c r="AS10" s="429"/>
      <c r="AT10" s="197">
        <v>18</v>
      </c>
      <c r="AU10" s="195">
        <v>1309.6551724137923</v>
      </c>
      <c r="AV10" s="195">
        <v>72.758620689655132</v>
      </c>
      <c r="AW10" s="197">
        <f t="shared" si="6"/>
        <v>1</v>
      </c>
      <c r="AX10" s="432"/>
    </row>
    <row r="11" spans="1:50">
      <c r="A11" s="79"/>
      <c r="B11" s="422"/>
      <c r="C11" s="197">
        <v>5</v>
      </c>
      <c r="D11" s="225" t="s">
        <v>299</v>
      </c>
      <c r="E11" s="169">
        <v>19</v>
      </c>
      <c r="F11" s="197">
        <v>1440</v>
      </c>
      <c r="G11" s="195">
        <v>75.78947368421052</v>
      </c>
      <c r="H11" s="429"/>
      <c r="I11" s="169">
        <f t="shared" si="7"/>
        <v>18</v>
      </c>
      <c r="J11" s="169">
        <f t="shared" si="7"/>
        <v>1204.6890378723185</v>
      </c>
      <c r="K11" s="195">
        <f t="shared" si="7"/>
        <v>66.927168770684361</v>
      </c>
      <c r="L11" s="429"/>
      <c r="M11" s="196">
        <f>RANK(K11, K$7:$K$21)</f>
        <v>4</v>
      </c>
      <c r="N11" s="423"/>
      <c r="O11" s="423"/>
      <c r="P11" s="197">
        <v>18</v>
      </c>
      <c r="Q11" s="195">
        <v>1198.8235294117651</v>
      </c>
      <c r="R11" s="195">
        <v>66.60130718954251</v>
      </c>
      <c r="S11" s="197">
        <f t="shared" si="0"/>
        <v>3</v>
      </c>
      <c r="T11" s="429"/>
      <c r="U11" s="197">
        <v>18</v>
      </c>
      <c r="V11" s="195">
        <v>1200.0000000000005</v>
      </c>
      <c r="W11" s="195">
        <v>66.666666666666686</v>
      </c>
      <c r="X11" s="197">
        <f t="shared" si="1"/>
        <v>3</v>
      </c>
      <c r="Y11" s="429"/>
      <c r="Z11" s="197">
        <v>18</v>
      </c>
      <c r="AA11" s="195">
        <v>1209.1304347826085</v>
      </c>
      <c r="AB11" s="195">
        <v>67.173913043478251</v>
      </c>
      <c r="AC11" s="197">
        <f t="shared" si="2"/>
        <v>4</v>
      </c>
      <c r="AD11" s="429"/>
      <c r="AE11" s="197">
        <v>18</v>
      </c>
      <c r="AF11" s="195">
        <v>1228.5714285714282</v>
      </c>
      <c r="AG11" s="195">
        <v>68.253968253968239</v>
      </c>
      <c r="AH11" s="197">
        <f t="shared" si="3"/>
        <v>4</v>
      </c>
      <c r="AI11" s="429"/>
      <c r="AJ11" s="197">
        <v>18</v>
      </c>
      <c r="AK11" s="195">
        <v>1178.2978723404256</v>
      </c>
      <c r="AL11" s="195">
        <v>65.460992907801426</v>
      </c>
      <c r="AM11" s="197">
        <f t="shared" si="4"/>
        <v>4</v>
      </c>
      <c r="AN11" s="429"/>
      <c r="AO11" s="197">
        <v>18</v>
      </c>
      <c r="AP11" s="195">
        <v>1213.2000000000003</v>
      </c>
      <c r="AQ11" s="195">
        <v>67.40000000000002</v>
      </c>
      <c r="AR11" s="197">
        <f t="shared" si="5"/>
        <v>3</v>
      </c>
      <c r="AS11" s="429"/>
      <c r="AT11" s="197">
        <v>18</v>
      </c>
      <c r="AU11" s="195">
        <v>1204.8000000000004</v>
      </c>
      <c r="AV11" s="195">
        <v>66.933333333333351</v>
      </c>
      <c r="AW11" s="197">
        <f t="shared" si="6"/>
        <v>4</v>
      </c>
      <c r="AX11" s="432"/>
    </row>
    <row r="12" spans="1:50">
      <c r="A12" s="79"/>
      <c r="B12" s="422"/>
      <c r="C12" s="197">
        <v>6</v>
      </c>
      <c r="D12" s="225" t="s">
        <v>300</v>
      </c>
      <c r="E12" s="169">
        <v>19</v>
      </c>
      <c r="F12" s="197">
        <v>1500</v>
      </c>
      <c r="G12" s="195">
        <v>78.94736842105263</v>
      </c>
      <c r="H12" s="429"/>
      <c r="I12" s="169">
        <f t="shared" si="7"/>
        <v>19</v>
      </c>
      <c r="J12" s="169">
        <f t="shared" si="7"/>
        <v>1094.9333333333343</v>
      </c>
      <c r="K12" s="195">
        <f t="shared" si="7"/>
        <v>57.628070175438651</v>
      </c>
      <c r="L12" s="429"/>
      <c r="M12" s="196">
        <f>RANK(K12, K$7:$K$21)</f>
        <v>7</v>
      </c>
      <c r="N12" s="423"/>
      <c r="O12" s="423"/>
      <c r="P12" s="197">
        <v>19</v>
      </c>
      <c r="Q12" s="195">
        <v>1080.0000000000039</v>
      </c>
      <c r="R12" s="195">
        <v>56.842105263158096</v>
      </c>
      <c r="S12" s="197">
        <f t="shared" si="0"/>
        <v>7</v>
      </c>
      <c r="T12" s="429"/>
      <c r="U12" s="197">
        <v>19</v>
      </c>
      <c r="V12" s="195">
        <v>1074.0000000000036</v>
      </c>
      <c r="W12" s="195">
        <v>56.526315789473877</v>
      </c>
      <c r="X12" s="197">
        <f t="shared" si="1"/>
        <v>7</v>
      </c>
      <c r="Y12" s="429"/>
      <c r="Z12" s="197">
        <v>19</v>
      </c>
      <c r="AA12" s="195">
        <v>1113.3333333333323</v>
      </c>
      <c r="AB12" s="195">
        <v>58.596491228070121</v>
      </c>
      <c r="AC12" s="197">
        <f t="shared" si="2"/>
        <v>7</v>
      </c>
      <c r="AD12" s="429"/>
      <c r="AE12" s="197">
        <v>19</v>
      </c>
      <c r="AF12" s="195">
        <v>1103.3333333333326</v>
      </c>
      <c r="AG12" s="195">
        <v>58.070175438596451</v>
      </c>
      <c r="AH12" s="197">
        <f t="shared" si="3"/>
        <v>7</v>
      </c>
      <c r="AI12" s="429"/>
      <c r="AJ12" s="197">
        <v>19</v>
      </c>
      <c r="AK12" s="195">
        <v>1103.9999999999998</v>
      </c>
      <c r="AL12" s="195">
        <v>58.105263157894726</v>
      </c>
      <c r="AM12" s="197">
        <f t="shared" si="4"/>
        <v>7</v>
      </c>
      <c r="AN12" s="429"/>
      <c r="AO12" s="197"/>
      <c r="AP12" s="195"/>
      <c r="AQ12" s="195"/>
      <c r="AR12" s="197" t="e">
        <f t="shared" si="5"/>
        <v>#N/A</v>
      </c>
      <c r="AS12" s="429"/>
      <c r="AT12" s="197"/>
      <c r="AU12" s="195"/>
      <c r="AV12" s="195"/>
      <c r="AW12" s="197" t="e">
        <f t="shared" si="6"/>
        <v>#N/A</v>
      </c>
      <c r="AX12" s="432"/>
    </row>
    <row r="13" spans="1:50">
      <c r="A13" s="79"/>
      <c r="B13" s="422"/>
      <c r="C13" s="197">
        <v>7</v>
      </c>
      <c r="D13" s="225" t="s">
        <v>301</v>
      </c>
      <c r="E13" s="169">
        <v>20</v>
      </c>
      <c r="F13" s="197">
        <v>1385</v>
      </c>
      <c r="G13" s="195">
        <v>69.25</v>
      </c>
      <c r="H13" s="429"/>
      <c r="I13" s="169">
        <f t="shared" si="7"/>
        <v>20</v>
      </c>
      <c r="J13" s="169">
        <f t="shared" si="7"/>
        <v>1193.423833543505</v>
      </c>
      <c r="K13" s="195">
        <f t="shared" si="7"/>
        <v>59.671191677175251</v>
      </c>
      <c r="L13" s="429"/>
      <c r="M13" s="196">
        <f>RANK(K13, K$7:$K$21)</f>
        <v>6</v>
      </c>
      <c r="N13" s="423"/>
      <c r="O13" s="423"/>
      <c r="P13" s="197">
        <v>20</v>
      </c>
      <c r="Q13" s="195">
        <v>1212.5714285714291</v>
      </c>
      <c r="R13" s="195">
        <v>60.628571428571455</v>
      </c>
      <c r="S13" s="197">
        <f t="shared" si="0"/>
        <v>5</v>
      </c>
      <c r="T13" s="429"/>
      <c r="U13" s="197">
        <v>20</v>
      </c>
      <c r="V13" s="195">
        <v>1177.3770491803275</v>
      </c>
      <c r="W13" s="195">
        <v>58.868852459016374</v>
      </c>
      <c r="X13" s="197">
        <f t="shared" si="1"/>
        <v>6</v>
      </c>
      <c r="Y13" s="429"/>
      <c r="Z13" s="197">
        <v>20</v>
      </c>
      <c r="AA13" s="195">
        <v>1205.689655172413</v>
      </c>
      <c r="AB13" s="195">
        <v>60.284482758620655</v>
      </c>
      <c r="AC13" s="197">
        <f t="shared" si="2"/>
        <v>6</v>
      </c>
      <c r="AD13" s="429"/>
      <c r="AE13" s="197">
        <v>20</v>
      </c>
      <c r="AF13" s="195">
        <v>1191.0891089108916</v>
      </c>
      <c r="AG13" s="195">
        <v>59.554455445544576</v>
      </c>
      <c r="AH13" s="197">
        <f t="shared" si="3"/>
        <v>6</v>
      </c>
      <c r="AI13" s="429"/>
      <c r="AJ13" s="197">
        <v>20</v>
      </c>
      <c r="AK13" s="195">
        <v>1182.2608695652182</v>
      </c>
      <c r="AL13" s="195">
        <v>59.113043478260906</v>
      </c>
      <c r="AM13" s="197">
        <f t="shared" si="4"/>
        <v>6</v>
      </c>
      <c r="AN13" s="429"/>
      <c r="AO13" s="197">
        <v>20</v>
      </c>
      <c r="AP13" s="195">
        <v>1202.9787234042556</v>
      </c>
      <c r="AQ13" s="195">
        <v>60.148936170212778</v>
      </c>
      <c r="AR13" s="197">
        <f t="shared" si="5"/>
        <v>6</v>
      </c>
      <c r="AS13" s="429"/>
      <c r="AT13" s="197">
        <v>20</v>
      </c>
      <c r="AU13" s="195">
        <v>1181.9999999999995</v>
      </c>
      <c r="AV13" s="195">
        <v>59.09999999999998</v>
      </c>
      <c r="AW13" s="197">
        <f t="shared" si="6"/>
        <v>6</v>
      </c>
      <c r="AX13" s="432"/>
    </row>
    <row r="14" spans="1:50">
      <c r="A14" s="79"/>
      <c r="B14" s="422"/>
      <c r="C14" s="197">
        <v>8</v>
      </c>
      <c r="D14" s="225" t="s">
        <v>302</v>
      </c>
      <c r="E14" s="169">
        <v>20</v>
      </c>
      <c r="F14" s="197">
        <v>1440</v>
      </c>
      <c r="G14" s="195">
        <v>72</v>
      </c>
      <c r="H14" s="429"/>
      <c r="I14" s="169">
        <f t="shared" si="7"/>
        <v>18.571428571428573</v>
      </c>
      <c r="J14" s="169">
        <f t="shared" si="7"/>
        <v>1182.5208942461359</v>
      </c>
      <c r="K14" s="195">
        <f t="shared" si="7"/>
        <v>63.805391724749413</v>
      </c>
      <c r="L14" s="429"/>
      <c r="M14" s="196">
        <f>RANK(K14, K$7:$K$21)</f>
        <v>5</v>
      </c>
      <c r="N14" s="423"/>
      <c r="O14" s="423"/>
      <c r="P14" s="197">
        <v>20</v>
      </c>
      <c r="Q14" s="195">
        <v>1182.8571428571431</v>
      </c>
      <c r="R14" s="195">
        <v>59.142857142857153</v>
      </c>
      <c r="S14" s="197">
        <f t="shared" si="0"/>
        <v>6</v>
      </c>
      <c r="T14" s="429"/>
      <c r="U14" s="197">
        <v>20</v>
      </c>
      <c r="V14" s="195">
        <v>1198.8118811881193</v>
      </c>
      <c r="W14" s="195">
        <v>59.940594059405967</v>
      </c>
      <c r="X14" s="197">
        <f t="shared" si="1"/>
        <v>5</v>
      </c>
      <c r="Y14" s="429"/>
      <c r="Z14" s="197">
        <v>18</v>
      </c>
      <c r="AA14" s="195">
        <v>1194.3750000000005</v>
      </c>
      <c r="AB14" s="195">
        <v>66.354166666666686</v>
      </c>
      <c r="AC14" s="197">
        <f t="shared" si="2"/>
        <v>5</v>
      </c>
      <c r="AD14" s="429"/>
      <c r="AE14" s="197">
        <v>18</v>
      </c>
      <c r="AF14" s="195">
        <v>1159.9999999999995</v>
      </c>
      <c r="AG14" s="195">
        <v>64.444444444444414</v>
      </c>
      <c r="AH14" s="197">
        <f t="shared" si="3"/>
        <v>5</v>
      </c>
      <c r="AI14" s="429"/>
      <c r="AJ14" s="197">
        <v>18</v>
      </c>
      <c r="AK14" s="195">
        <v>1158.9473684210527</v>
      </c>
      <c r="AL14" s="195">
        <v>64.385964912280713</v>
      </c>
      <c r="AM14" s="197">
        <f t="shared" si="4"/>
        <v>5</v>
      </c>
      <c r="AN14" s="429"/>
      <c r="AO14" s="197">
        <v>18</v>
      </c>
      <c r="AP14" s="195">
        <v>1202.654867256638</v>
      </c>
      <c r="AQ14" s="195">
        <v>66.814159292035441</v>
      </c>
      <c r="AR14" s="197">
        <f t="shared" si="5"/>
        <v>4</v>
      </c>
      <c r="AS14" s="429"/>
      <c r="AT14" s="197">
        <v>18</v>
      </c>
      <c r="AU14" s="195">
        <v>1179.9999999999991</v>
      </c>
      <c r="AV14" s="195">
        <v>65.5555555555555</v>
      </c>
      <c r="AW14" s="197">
        <f t="shared" si="6"/>
        <v>5</v>
      </c>
      <c r="AX14" s="432"/>
    </row>
    <row r="15" spans="1:50">
      <c r="A15" s="79"/>
      <c r="B15" s="422"/>
      <c r="C15" s="197">
        <v>9</v>
      </c>
      <c r="D15" s="225"/>
      <c r="E15" s="169"/>
      <c r="F15" s="197"/>
      <c r="G15" s="195"/>
      <c r="H15" s="429"/>
      <c r="I15" s="169"/>
      <c r="J15" s="169"/>
      <c r="K15" s="195"/>
      <c r="L15" s="429"/>
      <c r="M15" s="196" t="e">
        <f>RANK(K15, K$7:$K$21)</f>
        <v>#N/A</v>
      </c>
      <c r="N15" s="423"/>
      <c r="O15" s="423"/>
      <c r="P15" s="197"/>
      <c r="Q15" s="195"/>
      <c r="R15" s="195"/>
      <c r="S15" s="197" t="e">
        <f t="shared" si="0"/>
        <v>#N/A</v>
      </c>
      <c r="T15" s="429"/>
      <c r="U15" s="197"/>
      <c r="V15" s="195"/>
      <c r="W15" s="195"/>
      <c r="X15" s="197" t="e">
        <f t="shared" si="1"/>
        <v>#N/A</v>
      </c>
      <c r="Y15" s="429"/>
      <c r="Z15" s="197"/>
      <c r="AA15" s="195"/>
      <c r="AB15" s="195"/>
      <c r="AC15" s="197" t="e">
        <f t="shared" si="2"/>
        <v>#N/A</v>
      </c>
      <c r="AD15" s="429"/>
      <c r="AE15" s="197"/>
      <c r="AF15" s="195"/>
      <c r="AG15" s="195"/>
      <c r="AH15" s="197" t="e">
        <f t="shared" si="3"/>
        <v>#N/A</v>
      </c>
      <c r="AI15" s="429"/>
      <c r="AJ15" s="197"/>
      <c r="AK15" s="195"/>
      <c r="AL15" s="195"/>
      <c r="AM15" s="197" t="e">
        <f t="shared" si="4"/>
        <v>#N/A</v>
      </c>
      <c r="AN15" s="429"/>
      <c r="AO15" s="197"/>
      <c r="AP15" s="195"/>
      <c r="AQ15" s="195"/>
      <c r="AR15" s="197" t="e">
        <f t="shared" si="5"/>
        <v>#N/A</v>
      </c>
      <c r="AS15" s="429"/>
      <c r="AT15" s="197"/>
      <c r="AU15" s="195"/>
      <c r="AV15" s="195"/>
      <c r="AW15" s="197" t="e">
        <f t="shared" si="6"/>
        <v>#N/A</v>
      </c>
      <c r="AX15" s="432"/>
    </row>
    <row r="16" spans="1:50">
      <c r="A16" s="79"/>
      <c r="B16" s="422"/>
      <c r="C16" s="197">
        <v>10</v>
      </c>
      <c r="D16" s="225"/>
      <c r="E16" s="169"/>
      <c r="F16" s="197"/>
      <c r="G16" s="195"/>
      <c r="H16" s="429"/>
      <c r="I16" s="169"/>
      <c r="J16" s="169"/>
      <c r="K16" s="195"/>
      <c r="L16" s="429"/>
      <c r="M16" s="196" t="e">
        <f>RANK(K16, K$7:$K$21)</f>
        <v>#N/A</v>
      </c>
      <c r="N16" s="423"/>
      <c r="O16" s="423"/>
      <c r="P16" s="197"/>
      <c r="Q16" s="195"/>
      <c r="R16" s="195"/>
      <c r="S16" s="197" t="e">
        <f t="shared" si="0"/>
        <v>#N/A</v>
      </c>
      <c r="T16" s="429"/>
      <c r="U16" s="197"/>
      <c r="V16" s="195"/>
      <c r="W16" s="195"/>
      <c r="X16" s="197" t="e">
        <f t="shared" si="1"/>
        <v>#N/A</v>
      </c>
      <c r="Y16" s="429"/>
      <c r="Z16" s="197"/>
      <c r="AA16" s="195"/>
      <c r="AB16" s="195"/>
      <c r="AC16" s="197" t="e">
        <f t="shared" si="2"/>
        <v>#N/A</v>
      </c>
      <c r="AD16" s="429"/>
      <c r="AE16" s="197"/>
      <c r="AF16" s="195"/>
      <c r="AG16" s="195"/>
      <c r="AH16" s="197" t="e">
        <f t="shared" si="3"/>
        <v>#N/A</v>
      </c>
      <c r="AI16" s="429"/>
      <c r="AJ16" s="197"/>
      <c r="AK16" s="195"/>
      <c r="AL16" s="195"/>
      <c r="AM16" s="197" t="e">
        <f t="shared" si="4"/>
        <v>#N/A</v>
      </c>
      <c r="AN16" s="429"/>
      <c r="AO16" s="197"/>
      <c r="AP16" s="195"/>
      <c r="AQ16" s="195"/>
      <c r="AR16" s="197" t="e">
        <f t="shared" si="5"/>
        <v>#N/A</v>
      </c>
      <c r="AS16" s="429"/>
      <c r="AT16" s="197"/>
      <c r="AU16" s="195"/>
      <c r="AV16" s="195"/>
      <c r="AW16" s="197" t="e">
        <f t="shared" si="6"/>
        <v>#N/A</v>
      </c>
      <c r="AX16" s="432"/>
    </row>
    <row r="17" spans="2:50">
      <c r="B17" s="422"/>
      <c r="C17" s="197">
        <v>11</v>
      </c>
      <c r="D17" s="225"/>
      <c r="E17" s="169"/>
      <c r="F17" s="197"/>
      <c r="G17" s="195"/>
      <c r="H17" s="429"/>
      <c r="I17" s="197"/>
      <c r="J17" s="197"/>
      <c r="K17" s="197"/>
      <c r="L17" s="429"/>
      <c r="M17" s="196" t="e">
        <f>RANK(K17, K$7:$K$21)</f>
        <v>#N/A</v>
      </c>
      <c r="N17" s="423"/>
      <c r="O17" s="423"/>
      <c r="P17" s="197"/>
      <c r="Q17" s="195"/>
      <c r="R17" s="195"/>
      <c r="S17" s="197" t="e">
        <f t="shared" si="0"/>
        <v>#N/A</v>
      </c>
      <c r="T17" s="429"/>
      <c r="U17" s="197"/>
      <c r="V17" s="195"/>
      <c r="W17" s="195"/>
      <c r="X17" s="197" t="e">
        <f t="shared" si="1"/>
        <v>#N/A</v>
      </c>
      <c r="Y17" s="429"/>
      <c r="Z17" s="197"/>
      <c r="AA17" s="195"/>
      <c r="AB17" s="195"/>
      <c r="AC17" s="197" t="e">
        <f t="shared" si="2"/>
        <v>#N/A</v>
      </c>
      <c r="AD17" s="429"/>
      <c r="AE17" s="197"/>
      <c r="AF17" s="195"/>
      <c r="AG17" s="195"/>
      <c r="AH17" s="197" t="e">
        <f t="shared" si="3"/>
        <v>#N/A</v>
      </c>
      <c r="AI17" s="429"/>
      <c r="AJ17" s="197"/>
      <c r="AK17" s="195"/>
      <c r="AL17" s="195"/>
      <c r="AM17" s="197" t="e">
        <f t="shared" si="4"/>
        <v>#N/A</v>
      </c>
      <c r="AN17" s="429"/>
      <c r="AO17" s="197"/>
      <c r="AP17" s="195"/>
      <c r="AQ17" s="195"/>
      <c r="AR17" s="197" t="e">
        <f t="shared" si="5"/>
        <v>#N/A</v>
      </c>
      <c r="AS17" s="429"/>
      <c r="AT17" s="197"/>
      <c r="AU17" s="195"/>
      <c r="AV17" s="195"/>
      <c r="AW17" s="197" t="e">
        <f t="shared" si="6"/>
        <v>#N/A</v>
      </c>
      <c r="AX17" s="432"/>
    </row>
    <row r="18" spans="2:50">
      <c r="B18" s="422"/>
      <c r="C18" s="197">
        <v>12</v>
      </c>
      <c r="D18" s="225"/>
      <c r="E18" s="169"/>
      <c r="F18" s="197"/>
      <c r="G18" s="195"/>
      <c r="H18" s="429"/>
      <c r="I18" s="197"/>
      <c r="J18" s="197"/>
      <c r="K18" s="197"/>
      <c r="L18" s="429"/>
      <c r="M18" s="196" t="e">
        <f>RANK(K18, K$7:$K$21)</f>
        <v>#N/A</v>
      </c>
      <c r="N18" s="423"/>
      <c r="O18" s="423"/>
      <c r="P18" s="197"/>
      <c r="Q18" s="195"/>
      <c r="R18" s="195"/>
      <c r="S18" s="197" t="e">
        <f t="shared" si="0"/>
        <v>#N/A</v>
      </c>
      <c r="T18" s="429"/>
      <c r="U18" s="197"/>
      <c r="V18" s="197"/>
      <c r="W18" s="197"/>
      <c r="X18" s="197" t="e">
        <f t="shared" si="1"/>
        <v>#N/A</v>
      </c>
      <c r="Y18" s="429"/>
      <c r="Z18" s="197"/>
      <c r="AA18" s="197"/>
      <c r="AB18" s="197"/>
      <c r="AC18" s="197" t="e">
        <f t="shared" si="2"/>
        <v>#N/A</v>
      </c>
      <c r="AD18" s="429"/>
      <c r="AE18" s="197"/>
      <c r="AF18" s="197"/>
      <c r="AG18" s="197"/>
      <c r="AH18" s="197" t="e">
        <f t="shared" si="3"/>
        <v>#N/A</v>
      </c>
      <c r="AI18" s="429"/>
      <c r="AJ18" s="197"/>
      <c r="AK18" s="197"/>
      <c r="AL18" s="197"/>
      <c r="AM18" s="197" t="e">
        <f t="shared" si="4"/>
        <v>#N/A</v>
      </c>
      <c r="AN18" s="429"/>
      <c r="AO18" s="197"/>
      <c r="AP18" s="197"/>
      <c r="AQ18" s="197"/>
      <c r="AR18" s="197" t="e">
        <f t="shared" si="5"/>
        <v>#N/A</v>
      </c>
      <c r="AS18" s="429"/>
      <c r="AT18" s="197"/>
      <c r="AU18" s="197"/>
      <c r="AV18" s="197"/>
      <c r="AW18" s="197" t="e">
        <f t="shared" si="6"/>
        <v>#N/A</v>
      </c>
      <c r="AX18" s="432"/>
    </row>
    <row r="19" spans="2:50">
      <c r="B19" s="422"/>
      <c r="C19" s="197">
        <v>13</v>
      </c>
      <c r="D19" s="225"/>
      <c r="E19" s="169"/>
      <c r="F19" s="197"/>
      <c r="G19" s="195"/>
      <c r="H19" s="429"/>
      <c r="I19" s="197"/>
      <c r="J19" s="197"/>
      <c r="K19" s="197"/>
      <c r="L19" s="429"/>
      <c r="M19" s="196" t="e">
        <f>RANK(K19, K$7:$K$21)</f>
        <v>#N/A</v>
      </c>
      <c r="N19" s="423"/>
      <c r="O19" s="423"/>
      <c r="P19" s="197"/>
      <c r="Q19" s="195"/>
      <c r="R19" s="195"/>
      <c r="S19" s="197" t="e">
        <f t="shared" si="0"/>
        <v>#N/A</v>
      </c>
      <c r="T19" s="429"/>
      <c r="U19" s="197"/>
      <c r="V19" s="197"/>
      <c r="W19" s="197"/>
      <c r="X19" s="197" t="e">
        <f t="shared" si="1"/>
        <v>#N/A</v>
      </c>
      <c r="Y19" s="429"/>
      <c r="Z19" s="197"/>
      <c r="AA19" s="197"/>
      <c r="AB19" s="197"/>
      <c r="AC19" s="197" t="e">
        <f t="shared" si="2"/>
        <v>#N/A</v>
      </c>
      <c r="AD19" s="429"/>
      <c r="AE19" s="197"/>
      <c r="AF19" s="197"/>
      <c r="AG19" s="197"/>
      <c r="AH19" s="197" t="e">
        <f t="shared" si="3"/>
        <v>#N/A</v>
      </c>
      <c r="AI19" s="429"/>
      <c r="AJ19" s="197"/>
      <c r="AK19" s="197"/>
      <c r="AL19" s="197"/>
      <c r="AM19" s="197" t="e">
        <f t="shared" si="4"/>
        <v>#N/A</v>
      </c>
      <c r="AN19" s="429"/>
      <c r="AO19" s="197"/>
      <c r="AP19" s="197"/>
      <c r="AQ19" s="197"/>
      <c r="AR19" s="197" t="e">
        <f t="shared" si="5"/>
        <v>#N/A</v>
      </c>
      <c r="AS19" s="429"/>
      <c r="AT19" s="197"/>
      <c r="AU19" s="197"/>
      <c r="AV19" s="197"/>
      <c r="AW19" s="197" t="e">
        <f t="shared" si="6"/>
        <v>#N/A</v>
      </c>
      <c r="AX19" s="432"/>
    </row>
    <row r="20" spans="2:50">
      <c r="B20" s="422"/>
      <c r="C20" s="197">
        <v>14</v>
      </c>
      <c r="D20" s="225"/>
      <c r="E20" s="169"/>
      <c r="F20" s="197"/>
      <c r="G20" s="195"/>
      <c r="H20" s="429"/>
      <c r="I20" s="197"/>
      <c r="J20" s="197"/>
      <c r="K20" s="197"/>
      <c r="L20" s="429"/>
      <c r="M20" s="196" t="e">
        <f>RANK(K20, K$7:$K$21)</f>
        <v>#N/A</v>
      </c>
      <c r="N20" s="423"/>
      <c r="O20" s="423"/>
      <c r="P20" s="197"/>
      <c r="Q20" s="195"/>
      <c r="R20" s="195"/>
      <c r="S20" s="197" t="e">
        <f t="shared" si="0"/>
        <v>#N/A</v>
      </c>
      <c r="T20" s="429"/>
      <c r="U20" s="197"/>
      <c r="V20" s="197"/>
      <c r="W20" s="197"/>
      <c r="X20" s="197" t="e">
        <f t="shared" si="1"/>
        <v>#N/A</v>
      </c>
      <c r="Y20" s="429"/>
      <c r="Z20" s="197"/>
      <c r="AA20" s="197"/>
      <c r="AB20" s="197"/>
      <c r="AC20" s="197" t="e">
        <f t="shared" si="2"/>
        <v>#N/A</v>
      </c>
      <c r="AD20" s="429"/>
      <c r="AE20" s="197"/>
      <c r="AF20" s="197"/>
      <c r="AG20" s="197"/>
      <c r="AH20" s="197" t="e">
        <f t="shared" si="3"/>
        <v>#N/A</v>
      </c>
      <c r="AI20" s="429"/>
      <c r="AJ20" s="197"/>
      <c r="AK20" s="197"/>
      <c r="AL20" s="197"/>
      <c r="AM20" s="197" t="e">
        <f t="shared" si="4"/>
        <v>#N/A</v>
      </c>
      <c r="AN20" s="429"/>
      <c r="AO20" s="197"/>
      <c r="AP20" s="197"/>
      <c r="AQ20" s="197"/>
      <c r="AR20" s="197" t="e">
        <f t="shared" si="5"/>
        <v>#N/A</v>
      </c>
      <c r="AS20" s="429"/>
      <c r="AT20" s="197"/>
      <c r="AU20" s="197"/>
      <c r="AV20" s="197"/>
      <c r="AW20" s="197" t="e">
        <f t="shared" si="6"/>
        <v>#N/A</v>
      </c>
      <c r="AX20" s="432"/>
    </row>
    <row r="21" spans="2:50">
      <c r="B21" s="422"/>
      <c r="C21" s="197">
        <v>15</v>
      </c>
      <c r="D21" s="225"/>
      <c r="E21" s="169"/>
      <c r="F21" s="197"/>
      <c r="G21" s="195"/>
      <c r="H21" s="430"/>
      <c r="I21" s="197"/>
      <c r="J21" s="197"/>
      <c r="K21" s="197"/>
      <c r="L21" s="430"/>
      <c r="M21" s="169" t="e">
        <f>RANK(K21, K$7:$K$21)</f>
        <v>#N/A</v>
      </c>
      <c r="N21" s="423"/>
      <c r="O21" s="423"/>
      <c r="P21" s="197"/>
      <c r="Q21" s="195"/>
      <c r="R21" s="195"/>
      <c r="S21" s="197" t="e">
        <f t="shared" si="0"/>
        <v>#N/A</v>
      </c>
      <c r="T21" s="430"/>
      <c r="U21" s="197"/>
      <c r="V21" s="197"/>
      <c r="W21" s="197"/>
      <c r="X21" s="197" t="e">
        <f t="shared" si="1"/>
        <v>#N/A</v>
      </c>
      <c r="Y21" s="430"/>
      <c r="Z21" s="197"/>
      <c r="AA21" s="197"/>
      <c r="AB21" s="197"/>
      <c r="AC21" s="197" t="e">
        <f t="shared" si="2"/>
        <v>#N/A</v>
      </c>
      <c r="AD21" s="430"/>
      <c r="AE21" s="197"/>
      <c r="AF21" s="197"/>
      <c r="AG21" s="197"/>
      <c r="AH21" s="197" t="e">
        <f t="shared" si="3"/>
        <v>#N/A</v>
      </c>
      <c r="AI21" s="430"/>
      <c r="AJ21" s="197"/>
      <c r="AK21" s="197"/>
      <c r="AL21" s="197"/>
      <c r="AM21" s="197" t="e">
        <f t="shared" si="4"/>
        <v>#N/A</v>
      </c>
      <c r="AN21" s="430"/>
      <c r="AO21" s="197"/>
      <c r="AP21" s="197"/>
      <c r="AQ21" s="197"/>
      <c r="AR21" s="197" t="e">
        <f t="shared" si="5"/>
        <v>#N/A</v>
      </c>
      <c r="AS21" s="430"/>
      <c r="AT21" s="197"/>
      <c r="AU21" s="197"/>
      <c r="AV21" s="197"/>
      <c r="AW21" s="197" t="e">
        <f t="shared" si="6"/>
        <v>#N/A</v>
      </c>
      <c r="AX21" s="432"/>
    </row>
    <row r="22" spans="2:50" ht="15.75">
      <c r="B22" s="424" t="s">
        <v>202</v>
      </c>
      <c r="C22" s="425"/>
      <c r="D22" s="425"/>
      <c r="E22" s="425"/>
      <c r="F22" s="425"/>
      <c r="G22" s="425"/>
      <c r="H22" s="425"/>
      <c r="I22" s="198"/>
      <c r="J22" s="198"/>
      <c r="K22" s="198"/>
      <c r="L22" s="198"/>
      <c r="M22" s="193"/>
      <c r="N22" s="401" t="s">
        <v>203</v>
      </c>
      <c r="O22" s="401" t="s">
        <v>150</v>
      </c>
      <c r="P22" s="419">
        <f>AT2+1</f>
        <v>45902</v>
      </c>
      <c r="Q22" s="420"/>
      <c r="R22" s="420"/>
      <c r="S22" s="420"/>
      <c r="T22" s="420"/>
      <c r="U22" s="421">
        <f>P22+1</f>
        <v>45903</v>
      </c>
      <c r="V22" s="422"/>
      <c r="W22" s="422"/>
      <c r="X22" s="422"/>
      <c r="Y22" s="422"/>
      <c r="Z22" s="421">
        <f>U22+1</f>
        <v>45904</v>
      </c>
      <c r="AA22" s="422"/>
      <c r="AB22" s="422"/>
      <c r="AC22" s="422"/>
      <c r="AD22" s="422"/>
      <c r="AE22" s="421">
        <f>Z22+1</f>
        <v>45905</v>
      </c>
      <c r="AF22" s="422"/>
      <c r="AG22" s="422"/>
      <c r="AH22" s="422"/>
      <c r="AI22" s="422"/>
      <c r="AJ22" s="421">
        <f>AE22+1</f>
        <v>45906</v>
      </c>
      <c r="AK22" s="422"/>
      <c r="AL22" s="422"/>
      <c r="AM22" s="422"/>
      <c r="AN22" s="422"/>
      <c r="AO22" s="421">
        <f>AJ22+1</f>
        <v>45907</v>
      </c>
      <c r="AP22" s="422"/>
      <c r="AQ22" s="422"/>
      <c r="AR22" s="422"/>
      <c r="AS22" s="422"/>
      <c r="AT22" s="421">
        <f>AO22+1</f>
        <v>45908</v>
      </c>
      <c r="AU22" s="422"/>
      <c r="AV22" s="422"/>
      <c r="AW22" s="422"/>
      <c r="AX22" s="422"/>
    </row>
    <row r="23" spans="2:50" ht="15.75">
      <c r="B23" s="426"/>
      <c r="C23" s="426"/>
      <c r="D23" s="426"/>
      <c r="E23" s="426"/>
      <c r="F23" s="426"/>
      <c r="G23" s="426"/>
      <c r="H23" s="426"/>
      <c r="I23" s="199"/>
      <c r="J23" s="199"/>
      <c r="K23" s="199"/>
      <c r="L23" s="199"/>
      <c r="M23" s="194"/>
      <c r="N23" s="403"/>
      <c r="O23" s="403"/>
      <c r="P23" s="421" t="s">
        <v>204</v>
      </c>
      <c r="Q23" s="422"/>
      <c r="R23" s="422"/>
      <c r="S23" s="422"/>
      <c r="T23" s="422"/>
      <c r="U23" s="421" t="s">
        <v>205</v>
      </c>
      <c r="V23" s="422"/>
      <c r="W23" s="422"/>
      <c r="X23" s="422"/>
      <c r="Y23" s="422"/>
      <c r="Z23" s="421" t="s">
        <v>206</v>
      </c>
      <c r="AA23" s="422"/>
      <c r="AB23" s="422"/>
      <c r="AC23" s="422"/>
      <c r="AD23" s="422"/>
      <c r="AE23" s="421" t="s">
        <v>207</v>
      </c>
      <c r="AF23" s="422"/>
      <c r="AG23" s="422"/>
      <c r="AH23" s="422"/>
      <c r="AI23" s="422"/>
      <c r="AJ23" s="421" t="s">
        <v>208</v>
      </c>
      <c r="AK23" s="422"/>
      <c r="AL23" s="422"/>
      <c r="AM23" s="422"/>
      <c r="AN23" s="422"/>
      <c r="AO23" s="421" t="s">
        <v>157</v>
      </c>
      <c r="AP23" s="422"/>
      <c r="AQ23" s="422"/>
      <c r="AR23" s="422"/>
      <c r="AS23" s="422"/>
      <c r="AT23" s="421" t="s">
        <v>209</v>
      </c>
      <c r="AU23" s="422"/>
      <c r="AV23" s="422"/>
      <c r="AW23" s="422"/>
      <c r="AX23" s="422"/>
    </row>
    <row r="24" spans="2:50">
      <c r="B24" s="423" t="s">
        <v>210</v>
      </c>
      <c r="C24" s="423" t="s">
        <v>211</v>
      </c>
      <c r="D24" s="423"/>
      <c r="E24" s="423" t="s">
        <v>212</v>
      </c>
      <c r="F24" s="423"/>
      <c r="G24" s="423"/>
      <c r="H24" s="404" t="s">
        <v>213</v>
      </c>
      <c r="I24" s="423" t="s">
        <v>214</v>
      </c>
      <c r="J24" s="423"/>
      <c r="K24" s="423"/>
      <c r="L24" s="404" t="s">
        <v>213</v>
      </c>
      <c r="M24" s="401" t="s">
        <v>215</v>
      </c>
      <c r="N24" s="423"/>
      <c r="O24" s="423" t="s">
        <v>216</v>
      </c>
      <c r="P24" s="413" t="s">
        <v>217</v>
      </c>
      <c r="Q24" s="414"/>
      <c r="R24" s="414"/>
      <c r="S24" s="415"/>
      <c r="T24" s="423" t="s">
        <v>213</v>
      </c>
      <c r="U24" s="413" t="s">
        <v>217</v>
      </c>
      <c r="V24" s="414"/>
      <c r="W24" s="414"/>
      <c r="X24" s="415"/>
      <c r="Y24" s="423" t="s">
        <v>213</v>
      </c>
      <c r="Z24" s="413" t="s">
        <v>217</v>
      </c>
      <c r="AA24" s="414"/>
      <c r="AB24" s="414"/>
      <c r="AC24" s="415"/>
      <c r="AD24" s="423" t="s">
        <v>213</v>
      </c>
      <c r="AE24" s="413" t="s">
        <v>217</v>
      </c>
      <c r="AF24" s="414"/>
      <c r="AG24" s="414"/>
      <c r="AH24" s="415"/>
      <c r="AI24" s="423" t="s">
        <v>213</v>
      </c>
      <c r="AJ24" s="413" t="s">
        <v>217</v>
      </c>
      <c r="AK24" s="414"/>
      <c r="AL24" s="414"/>
      <c r="AM24" s="415"/>
      <c r="AN24" s="423" t="s">
        <v>213</v>
      </c>
      <c r="AO24" s="413" t="s">
        <v>217</v>
      </c>
      <c r="AP24" s="414"/>
      <c r="AQ24" s="414"/>
      <c r="AR24" s="415"/>
      <c r="AS24" s="423" t="s">
        <v>213</v>
      </c>
      <c r="AT24" s="413" t="s">
        <v>217</v>
      </c>
      <c r="AU24" s="414"/>
      <c r="AV24" s="414"/>
      <c r="AW24" s="415"/>
      <c r="AX24" s="423" t="s">
        <v>213</v>
      </c>
    </row>
    <row r="25" spans="2:50">
      <c r="B25" s="423"/>
      <c r="C25" s="423"/>
      <c r="D25" s="423"/>
      <c r="E25" s="423" t="s">
        <v>218</v>
      </c>
      <c r="F25" s="423"/>
      <c r="G25" s="423"/>
      <c r="H25" s="406"/>
      <c r="I25" s="423" t="s">
        <v>218</v>
      </c>
      <c r="J25" s="423"/>
      <c r="K25" s="423"/>
      <c r="L25" s="406"/>
      <c r="M25" s="402"/>
      <c r="N25" s="423"/>
      <c r="O25" s="423"/>
      <c r="P25" s="413" t="s">
        <v>219</v>
      </c>
      <c r="Q25" s="414"/>
      <c r="R25" s="414"/>
      <c r="S25" s="415"/>
      <c r="T25" s="423"/>
      <c r="U25" s="413" t="s">
        <v>219</v>
      </c>
      <c r="V25" s="414"/>
      <c r="W25" s="414"/>
      <c r="X25" s="415"/>
      <c r="Y25" s="423"/>
      <c r="Z25" s="413" t="s">
        <v>219</v>
      </c>
      <c r="AA25" s="414"/>
      <c r="AB25" s="414"/>
      <c r="AC25" s="415"/>
      <c r="AD25" s="423"/>
      <c r="AE25" s="413" t="s">
        <v>219</v>
      </c>
      <c r="AF25" s="414"/>
      <c r="AG25" s="414"/>
      <c r="AH25" s="415"/>
      <c r="AI25" s="423"/>
      <c r="AJ25" s="413" t="s">
        <v>219</v>
      </c>
      <c r="AK25" s="414"/>
      <c r="AL25" s="414"/>
      <c r="AM25" s="415"/>
      <c r="AN25" s="423"/>
      <c r="AO25" s="413" t="s">
        <v>219</v>
      </c>
      <c r="AP25" s="414"/>
      <c r="AQ25" s="414"/>
      <c r="AR25" s="415"/>
      <c r="AS25" s="423"/>
      <c r="AT25" s="413" t="s">
        <v>219</v>
      </c>
      <c r="AU25" s="414"/>
      <c r="AV25" s="414"/>
      <c r="AW25" s="415"/>
      <c r="AX25" s="423"/>
    </row>
    <row r="26" spans="2:50">
      <c r="B26" s="423"/>
      <c r="C26" s="423"/>
      <c r="D26" s="423"/>
      <c r="E26" s="297" t="s">
        <v>220</v>
      </c>
      <c r="F26" s="297" t="s">
        <v>221</v>
      </c>
      <c r="G26" s="297" t="s">
        <v>222</v>
      </c>
      <c r="H26" s="408"/>
      <c r="I26" s="297" t="s">
        <v>220</v>
      </c>
      <c r="J26" s="297" t="s">
        <v>221</v>
      </c>
      <c r="K26" s="297" t="s">
        <v>222</v>
      </c>
      <c r="L26" s="408"/>
      <c r="M26" s="403"/>
      <c r="N26" s="423"/>
      <c r="O26" s="423"/>
      <c r="P26" s="297" t="s">
        <v>220</v>
      </c>
      <c r="Q26" s="297" t="s">
        <v>221</v>
      </c>
      <c r="R26" s="297" t="s">
        <v>222</v>
      </c>
      <c r="S26" s="297" t="s">
        <v>215</v>
      </c>
      <c r="T26" s="423"/>
      <c r="U26" s="297" t="s">
        <v>220</v>
      </c>
      <c r="V26" s="297" t="s">
        <v>221</v>
      </c>
      <c r="W26" s="297" t="s">
        <v>222</v>
      </c>
      <c r="X26" s="297" t="s">
        <v>215</v>
      </c>
      <c r="Y26" s="423"/>
      <c r="Z26" s="297" t="s">
        <v>220</v>
      </c>
      <c r="AA26" s="297" t="s">
        <v>221</v>
      </c>
      <c r="AB26" s="297" t="s">
        <v>222</v>
      </c>
      <c r="AC26" s="297" t="s">
        <v>215</v>
      </c>
      <c r="AD26" s="423"/>
      <c r="AE26" s="297" t="s">
        <v>220</v>
      </c>
      <c r="AF26" s="297" t="s">
        <v>221</v>
      </c>
      <c r="AG26" s="297" t="s">
        <v>222</v>
      </c>
      <c r="AH26" s="297" t="s">
        <v>215</v>
      </c>
      <c r="AI26" s="423"/>
      <c r="AJ26" s="297" t="s">
        <v>220</v>
      </c>
      <c r="AK26" s="297" t="s">
        <v>221</v>
      </c>
      <c r="AL26" s="297" t="s">
        <v>222</v>
      </c>
      <c r="AM26" s="297" t="s">
        <v>215</v>
      </c>
      <c r="AN26" s="423"/>
      <c r="AO26" s="297" t="s">
        <v>220</v>
      </c>
      <c r="AP26" s="297" t="s">
        <v>221</v>
      </c>
      <c r="AQ26" s="297" t="s">
        <v>222</v>
      </c>
      <c r="AR26" s="297" t="s">
        <v>215</v>
      </c>
      <c r="AS26" s="423"/>
      <c r="AT26" s="297" t="s">
        <v>220</v>
      </c>
      <c r="AU26" s="297" t="s">
        <v>221</v>
      </c>
      <c r="AV26" s="297" t="s">
        <v>222</v>
      </c>
      <c r="AW26" s="297" t="s">
        <v>215</v>
      </c>
      <c r="AX26" s="423"/>
    </row>
    <row r="27" spans="2:50">
      <c r="B27" s="423" t="s">
        <v>188</v>
      </c>
      <c r="C27" s="197">
        <v>1</v>
      </c>
      <c r="D27" s="225" t="s">
        <v>295</v>
      </c>
      <c r="E27" s="169">
        <v>19</v>
      </c>
      <c r="F27" s="197">
        <v>1440</v>
      </c>
      <c r="G27" s="195">
        <v>75.78947368421052</v>
      </c>
      <c r="H27" s="428">
        <f>AVERAGE(G27:G41)</f>
        <v>78.50851393188853</v>
      </c>
      <c r="I27" s="169">
        <f>AVERAGE(P27,U27,Z27,AE27,AJ27,AO27,AT27)</f>
        <v>18.714285714285715</v>
      </c>
      <c r="J27" s="169">
        <f>AVERAGE(Q27,V27,AA27,AF27,AK27,AP27,AU27)</f>
        <v>1235.3982253478487</v>
      </c>
      <c r="K27" s="195">
        <f>AVERAGE(R27,W27,AB27,AG27,AL27,AQ27,AV27)</f>
        <v>66.057645169242804</v>
      </c>
      <c r="L27" s="428">
        <f>IFERROR(AVERAGE(K27:K41),"-")</f>
        <v>68.168322453709834</v>
      </c>
      <c r="M27" s="196">
        <f>RANK(K27, K$27:$K$41)</f>
        <v>3</v>
      </c>
      <c r="N27" s="423"/>
      <c r="O27" s="423"/>
      <c r="P27" s="197">
        <v>19</v>
      </c>
      <c r="Q27" s="195">
        <v>1230.0487804878055</v>
      </c>
      <c r="R27" s="195">
        <v>64.739409499358189</v>
      </c>
      <c r="S27" s="197">
        <f t="shared" ref="S27:S41" si="8">RANK(R27, R$27:R$41)</f>
        <v>3</v>
      </c>
      <c r="T27" s="428">
        <f>AVERAGE(R27:R41)</f>
        <v>67.813217779455627</v>
      </c>
      <c r="U27" s="197">
        <v>19</v>
      </c>
      <c r="V27" s="195">
        <v>1238.9317073170737</v>
      </c>
      <c r="W27" s="195">
        <v>65.206931964056508</v>
      </c>
      <c r="X27" s="197">
        <f t="shared" ref="X27:X41" si="9">RANK(W27, W$27:W$41)</f>
        <v>5</v>
      </c>
      <c r="Y27" s="428">
        <f>AVERAGE(W27:W41)</f>
        <v>68.348210582023597</v>
      </c>
      <c r="Z27" s="197">
        <v>18</v>
      </c>
      <c r="AA27" s="195">
        <v>1264.3902439024387</v>
      </c>
      <c r="AB27" s="195">
        <v>70.243902439024367</v>
      </c>
      <c r="AC27" s="197">
        <f t="shared" ref="AC27:AC41" si="10">RANK(AB27, AB$27:AB$41)</f>
        <v>3</v>
      </c>
      <c r="AD27" s="428">
        <f>AVERAGE(AB27:AB41)</f>
        <v>69.261050328176296</v>
      </c>
      <c r="AE27" s="197">
        <v>19</v>
      </c>
      <c r="AF27" s="195">
        <v>1247.64705882353</v>
      </c>
      <c r="AG27" s="195">
        <v>65.665634674922629</v>
      </c>
      <c r="AH27" s="197">
        <f t="shared" ref="AH27:AH41" si="11">RANK(AG27, AG$27:AG$41)</f>
        <v>3</v>
      </c>
      <c r="AI27" s="428">
        <f>AVERAGE(AG27:AG41)</f>
        <v>67.474238471756479</v>
      </c>
      <c r="AJ27" s="197">
        <v>18</v>
      </c>
      <c r="AK27" s="195">
        <v>1217.4358974358977</v>
      </c>
      <c r="AL27" s="195">
        <v>67.635327635327656</v>
      </c>
      <c r="AM27" s="197">
        <f t="shared" ref="AM27:AM41" si="12">RANK(AL27, AL$27:AL$41)</f>
        <v>3</v>
      </c>
      <c r="AN27" s="428">
        <f>AVERAGE(AL27:AL41)</f>
        <v>68.6300474547878</v>
      </c>
      <c r="AO27" s="197">
        <v>19</v>
      </c>
      <c r="AP27" s="195">
        <v>1234.2857142857144</v>
      </c>
      <c r="AQ27" s="195">
        <v>64.962406015037601</v>
      </c>
      <c r="AR27" s="197">
        <f t="shared" ref="AR27:AR41" si="13">RANK(AQ27, AQ$27:AQ$41)</f>
        <v>3</v>
      </c>
      <c r="AS27" s="428">
        <f>AVERAGE(AQ27:AQ41)</f>
        <v>67.948684047452801</v>
      </c>
      <c r="AT27" s="197">
        <v>19</v>
      </c>
      <c r="AU27" s="195">
        <v>1215.0481751824818</v>
      </c>
      <c r="AV27" s="195">
        <v>63.949903956972726</v>
      </c>
      <c r="AW27" s="197">
        <f t="shared" ref="AW27:AW41" si="14">RANK(AV27, AV$27:AV$41)</f>
        <v>4</v>
      </c>
      <c r="AX27" s="432">
        <f>AVERAGE(AV27:AV41)</f>
        <v>67.702808512316253</v>
      </c>
    </row>
    <row r="28" spans="2:50">
      <c r="B28" s="422"/>
      <c r="C28" s="197">
        <v>2</v>
      </c>
      <c r="D28" s="225" t="s">
        <v>296</v>
      </c>
      <c r="E28" s="169">
        <v>19</v>
      </c>
      <c r="F28" s="197">
        <v>1440</v>
      </c>
      <c r="G28" s="195">
        <v>75.78947368421052</v>
      </c>
      <c r="H28" s="429"/>
      <c r="I28" s="169">
        <f t="shared" ref="I28:I33" si="15">AVERAGE(P28,U28,Z28,AE28,AJ28,AO28,AT28)</f>
        <v>19</v>
      </c>
      <c r="J28" s="169">
        <f t="shared" ref="J28:J33" si="16">AVERAGE(Q28,V28,AA28,AF28,AK28,AP28,AU28)</f>
        <v>1235.541892832339</v>
      </c>
      <c r="K28" s="195">
        <f t="shared" ref="K28:K33" si="17">AVERAGE(R28,W28,AB28,AG28,AL28,AQ28,AV28)</f>
        <v>65.028520675386261</v>
      </c>
      <c r="L28" s="429"/>
      <c r="M28" s="196">
        <f>RANK(K28, K$27:$K$41)</f>
        <v>4</v>
      </c>
      <c r="N28" s="423"/>
      <c r="O28" s="423"/>
      <c r="P28" s="197">
        <v>19</v>
      </c>
      <c r="Q28" s="195">
        <v>1219.2857142857151</v>
      </c>
      <c r="R28" s="195">
        <v>64.172932330827109</v>
      </c>
      <c r="S28" s="197">
        <f t="shared" si="8"/>
        <v>4</v>
      </c>
      <c r="T28" s="429"/>
      <c r="U28" s="197">
        <v>19</v>
      </c>
      <c r="V28" s="195">
        <v>1256.6666666666674</v>
      </c>
      <c r="W28" s="195">
        <v>66.140350877193029</v>
      </c>
      <c r="X28" s="197">
        <f t="shared" si="9"/>
        <v>3</v>
      </c>
      <c r="Y28" s="429"/>
      <c r="Z28" s="197">
        <v>19</v>
      </c>
      <c r="AA28" s="195">
        <v>1263.5294117647065</v>
      </c>
      <c r="AB28" s="195">
        <v>66.501547987616135</v>
      </c>
      <c r="AC28" s="197">
        <f t="shared" si="10"/>
        <v>4</v>
      </c>
      <c r="AD28" s="429"/>
      <c r="AE28" s="197">
        <v>19</v>
      </c>
      <c r="AF28" s="195">
        <v>1223.7500000000005</v>
      </c>
      <c r="AG28" s="195">
        <v>64.407894736842124</v>
      </c>
      <c r="AH28" s="197">
        <f t="shared" si="11"/>
        <v>5</v>
      </c>
      <c r="AI28" s="429"/>
      <c r="AJ28" s="197">
        <v>19</v>
      </c>
      <c r="AK28" s="195">
        <v>1222.8000000000004</v>
      </c>
      <c r="AL28" s="195">
        <v>64.357894736842127</v>
      </c>
      <c r="AM28" s="197">
        <f t="shared" si="12"/>
        <v>5</v>
      </c>
      <c r="AN28" s="429"/>
      <c r="AO28" s="197">
        <v>19</v>
      </c>
      <c r="AP28" s="195">
        <v>1221.8918918918923</v>
      </c>
      <c r="AQ28" s="195">
        <v>64.310099573257489</v>
      </c>
      <c r="AR28" s="197">
        <f t="shared" si="13"/>
        <v>4</v>
      </c>
      <c r="AS28" s="429"/>
      <c r="AT28" s="197">
        <v>19</v>
      </c>
      <c r="AU28" s="195">
        <v>1240.8695652173901</v>
      </c>
      <c r="AV28" s="195">
        <v>65.3089244851258</v>
      </c>
      <c r="AW28" s="197">
        <f t="shared" si="14"/>
        <v>3</v>
      </c>
      <c r="AX28" s="432"/>
    </row>
    <row r="29" spans="2:50">
      <c r="B29" s="422"/>
      <c r="C29" s="197">
        <v>3</v>
      </c>
      <c r="D29" s="225" t="s">
        <v>297</v>
      </c>
      <c r="E29" s="169">
        <v>17</v>
      </c>
      <c r="F29" s="197">
        <v>1636</v>
      </c>
      <c r="G29" s="195">
        <v>96.235294117647058</v>
      </c>
      <c r="H29" s="429"/>
      <c r="I29" s="169">
        <f t="shared" si="15"/>
        <v>17</v>
      </c>
      <c r="J29" s="169">
        <f t="shared" si="16"/>
        <v>1382.1649717290693</v>
      </c>
      <c r="K29" s="195">
        <f t="shared" si="17"/>
        <v>81.303821866415859</v>
      </c>
      <c r="L29" s="429"/>
      <c r="M29" s="196">
        <f>RANK(K29, K$27:$K$41)</f>
        <v>1</v>
      </c>
      <c r="N29" s="423"/>
      <c r="O29" s="423"/>
      <c r="P29" s="197">
        <v>17</v>
      </c>
      <c r="Q29" s="195">
        <v>1341.8181818181818</v>
      </c>
      <c r="R29" s="195">
        <v>78.930481283422452</v>
      </c>
      <c r="S29" s="197">
        <f t="shared" si="8"/>
        <v>1</v>
      </c>
      <c r="T29" s="429"/>
      <c r="U29" s="197">
        <v>17</v>
      </c>
      <c r="V29" s="195">
        <v>1403.0769230769224</v>
      </c>
      <c r="W29" s="195">
        <v>82.533936651583673</v>
      </c>
      <c r="X29" s="197">
        <f t="shared" si="9"/>
        <v>1</v>
      </c>
      <c r="Y29" s="429"/>
      <c r="Z29" s="197">
        <v>17</v>
      </c>
      <c r="AA29" s="195">
        <v>1401.0810810810799</v>
      </c>
      <c r="AB29" s="195">
        <v>82.416534181239996</v>
      </c>
      <c r="AC29" s="197">
        <f t="shared" si="10"/>
        <v>1</v>
      </c>
      <c r="AD29" s="429"/>
      <c r="AE29" s="197">
        <v>17</v>
      </c>
      <c r="AF29" s="195">
        <v>1340.5714285714273</v>
      </c>
      <c r="AG29" s="195">
        <v>78.857142857142776</v>
      </c>
      <c r="AH29" s="197">
        <f t="shared" si="11"/>
        <v>1</v>
      </c>
      <c r="AI29" s="429"/>
      <c r="AJ29" s="197">
        <v>17</v>
      </c>
      <c r="AK29" s="195">
        <v>1415.2941176470606</v>
      </c>
      <c r="AL29" s="195">
        <v>83.252595155709443</v>
      </c>
      <c r="AM29" s="197">
        <f t="shared" si="12"/>
        <v>1</v>
      </c>
      <c r="AN29" s="429"/>
      <c r="AO29" s="197">
        <v>17</v>
      </c>
      <c r="AP29" s="195">
        <v>1397.1428571428567</v>
      </c>
      <c r="AQ29" s="195">
        <v>82.18487394957981</v>
      </c>
      <c r="AR29" s="197">
        <f t="shared" si="13"/>
        <v>1</v>
      </c>
      <c r="AS29" s="429"/>
      <c r="AT29" s="197">
        <v>17</v>
      </c>
      <c r="AU29" s="195">
        <v>1376.1702127659578</v>
      </c>
      <c r="AV29" s="195">
        <v>80.951188986232808</v>
      </c>
      <c r="AW29" s="197">
        <f t="shared" si="14"/>
        <v>1</v>
      </c>
      <c r="AX29" s="432"/>
    </row>
    <row r="30" spans="2:50">
      <c r="B30" s="422"/>
      <c r="C30" s="197">
        <v>4</v>
      </c>
      <c r="D30" s="225" t="s">
        <v>298</v>
      </c>
      <c r="E30" s="169">
        <v>17</v>
      </c>
      <c r="F30" s="197">
        <v>1440</v>
      </c>
      <c r="G30" s="195">
        <v>84.705882352941174</v>
      </c>
      <c r="H30" s="429"/>
      <c r="I30" s="169">
        <f t="shared" si="15"/>
        <v>17</v>
      </c>
      <c r="J30" s="169">
        <f t="shared" si="16"/>
        <v>1289.4014079364081</v>
      </c>
      <c r="K30" s="195">
        <f t="shared" si="17"/>
        <v>75.84714164331811</v>
      </c>
      <c r="L30" s="429"/>
      <c r="M30" s="196">
        <f>RANK(K30, K$27:$K$41)</f>
        <v>2</v>
      </c>
      <c r="N30" s="423"/>
      <c r="O30" s="423"/>
      <c r="P30" s="197">
        <v>17</v>
      </c>
      <c r="Q30" s="195">
        <v>1316.2299999999993</v>
      </c>
      <c r="R30" s="195">
        <v>77.425294117647013</v>
      </c>
      <c r="S30" s="197">
        <f t="shared" si="8"/>
        <v>2</v>
      </c>
      <c r="T30" s="429"/>
      <c r="U30" s="197">
        <v>17</v>
      </c>
      <c r="V30" s="195">
        <v>1290.5454545454538</v>
      </c>
      <c r="W30" s="195">
        <v>75.914438502673761</v>
      </c>
      <c r="X30" s="197">
        <f t="shared" si="9"/>
        <v>2</v>
      </c>
      <c r="Y30" s="429"/>
      <c r="Z30" s="197">
        <v>17</v>
      </c>
      <c r="AA30" s="195">
        <v>1283.9999999999995</v>
      </c>
      <c r="AB30" s="195">
        <v>75.529411764705856</v>
      </c>
      <c r="AC30" s="197">
        <f t="shared" si="10"/>
        <v>2</v>
      </c>
      <c r="AD30" s="429"/>
      <c r="AE30" s="197">
        <v>17</v>
      </c>
      <c r="AF30" s="195">
        <v>1261.8000000000002</v>
      </c>
      <c r="AG30" s="195">
        <v>74.223529411764716</v>
      </c>
      <c r="AH30" s="197">
        <f t="shared" si="11"/>
        <v>2</v>
      </c>
      <c r="AI30" s="429"/>
      <c r="AJ30" s="197">
        <v>17</v>
      </c>
      <c r="AK30" s="195">
        <v>1263.3027522935788</v>
      </c>
      <c r="AL30" s="195">
        <v>74.311926605504638</v>
      </c>
      <c r="AM30" s="197">
        <f t="shared" si="12"/>
        <v>2</v>
      </c>
      <c r="AN30" s="429"/>
      <c r="AO30" s="197">
        <v>17</v>
      </c>
      <c r="AP30" s="195">
        <v>1311.549295774648</v>
      </c>
      <c r="AQ30" s="195">
        <v>77.149958574979294</v>
      </c>
      <c r="AR30" s="197">
        <f t="shared" si="13"/>
        <v>2</v>
      </c>
      <c r="AS30" s="429"/>
      <c r="AT30" s="197">
        <v>17</v>
      </c>
      <c r="AU30" s="195">
        <v>1298.3823529411766</v>
      </c>
      <c r="AV30" s="195">
        <v>76.375432525951567</v>
      </c>
      <c r="AW30" s="197">
        <f t="shared" si="14"/>
        <v>2</v>
      </c>
      <c r="AX30" s="432"/>
    </row>
    <row r="31" spans="2:50">
      <c r="B31" s="422"/>
      <c r="C31" s="197">
        <v>5</v>
      </c>
      <c r="D31" s="225" t="s">
        <v>299</v>
      </c>
      <c r="E31" s="169">
        <v>19</v>
      </c>
      <c r="F31" s="197">
        <v>1440</v>
      </c>
      <c r="G31" s="195">
        <v>75.78947368421052</v>
      </c>
      <c r="H31" s="429"/>
      <c r="I31" s="169">
        <f t="shared" si="15"/>
        <v>19</v>
      </c>
      <c r="J31" s="169">
        <f t="shared" si="16"/>
        <v>1234.2624963831688</v>
      </c>
      <c r="K31" s="195">
        <f t="shared" si="17"/>
        <v>64.961184020166783</v>
      </c>
      <c r="L31" s="429"/>
      <c r="M31" s="196">
        <f>RANK(K31, K$27:$K$41)</f>
        <v>5</v>
      </c>
      <c r="N31" s="423"/>
      <c r="O31" s="423"/>
      <c r="P31" s="197">
        <v>19</v>
      </c>
      <c r="Q31" s="195">
        <v>1216.4705882352946</v>
      </c>
      <c r="R31" s="195">
        <v>64.024767801857607</v>
      </c>
      <c r="S31" s="197">
        <f t="shared" si="8"/>
        <v>5</v>
      </c>
      <c r="T31" s="429"/>
      <c r="U31" s="197">
        <v>19</v>
      </c>
      <c r="V31" s="195">
        <v>1251.6000000000004</v>
      </c>
      <c r="W31" s="195">
        <v>65.873684210526335</v>
      </c>
      <c r="X31" s="197">
        <f t="shared" si="9"/>
        <v>4</v>
      </c>
      <c r="Y31" s="429"/>
      <c r="Z31" s="197">
        <v>19</v>
      </c>
      <c r="AA31" s="195">
        <v>1262.6666666666667</v>
      </c>
      <c r="AB31" s="195">
        <v>66.456140350877192</v>
      </c>
      <c r="AC31" s="197">
        <f t="shared" si="10"/>
        <v>5</v>
      </c>
      <c r="AD31" s="429"/>
      <c r="AE31" s="197">
        <v>19</v>
      </c>
      <c r="AF31" s="195">
        <v>1243.062857142856</v>
      </c>
      <c r="AG31" s="195">
        <v>65.424360902255586</v>
      </c>
      <c r="AH31" s="197">
        <f t="shared" si="11"/>
        <v>4</v>
      </c>
      <c r="AI31" s="429"/>
      <c r="AJ31" s="197">
        <v>19</v>
      </c>
      <c r="AK31" s="195">
        <v>1241.4769230769225</v>
      </c>
      <c r="AL31" s="195">
        <v>65.34089068825908</v>
      </c>
      <c r="AM31" s="197">
        <f t="shared" si="12"/>
        <v>4</v>
      </c>
      <c r="AN31" s="429"/>
      <c r="AO31" s="197">
        <v>19</v>
      </c>
      <c r="AP31" s="195">
        <v>1210.7142857142867</v>
      </c>
      <c r="AQ31" s="195">
        <v>63.721804511278243</v>
      </c>
      <c r="AR31" s="197">
        <f t="shared" si="13"/>
        <v>5</v>
      </c>
      <c r="AS31" s="429"/>
      <c r="AT31" s="197">
        <v>19</v>
      </c>
      <c r="AU31" s="195">
        <v>1213.8461538461545</v>
      </c>
      <c r="AV31" s="195">
        <v>63.886639676113397</v>
      </c>
      <c r="AW31" s="197">
        <f t="shared" si="14"/>
        <v>5</v>
      </c>
      <c r="AX31" s="432"/>
    </row>
    <row r="32" spans="2:50">
      <c r="B32" s="422"/>
      <c r="C32" s="197">
        <v>6</v>
      </c>
      <c r="D32" s="225" t="s">
        <v>301</v>
      </c>
      <c r="E32" s="169">
        <v>20</v>
      </c>
      <c r="F32" s="197">
        <v>1385</v>
      </c>
      <c r="G32" s="195">
        <v>69.25</v>
      </c>
      <c r="H32" s="429"/>
      <c r="I32" s="169">
        <f t="shared" si="15"/>
        <v>20</v>
      </c>
      <c r="J32" s="169">
        <f t="shared" si="16"/>
        <v>1237.6887704964395</v>
      </c>
      <c r="K32" s="195">
        <f t="shared" si="17"/>
        <v>61.884438524821967</v>
      </c>
      <c r="L32" s="429"/>
      <c r="M32" s="196">
        <f>RANK(K32, K$27:$K$41)</f>
        <v>7</v>
      </c>
      <c r="N32" s="423"/>
      <c r="O32" s="423"/>
      <c r="P32" s="197">
        <v>20</v>
      </c>
      <c r="Q32" s="195">
        <v>1252.0312499999998</v>
      </c>
      <c r="R32" s="195">
        <v>62.601562499999986</v>
      </c>
      <c r="S32" s="197">
        <f t="shared" si="8"/>
        <v>7</v>
      </c>
      <c r="T32" s="429"/>
      <c r="U32" s="197">
        <v>20</v>
      </c>
      <c r="V32" s="195">
        <v>1217.0769230769229</v>
      </c>
      <c r="W32" s="195">
        <v>60.853846153846142</v>
      </c>
      <c r="X32" s="197">
        <f t="shared" si="9"/>
        <v>7</v>
      </c>
      <c r="Y32" s="429"/>
      <c r="Z32" s="197">
        <v>20</v>
      </c>
      <c r="AA32" s="195">
        <v>1216.7213114754093</v>
      </c>
      <c r="AB32" s="195">
        <v>60.836065573770462</v>
      </c>
      <c r="AC32" s="197">
        <f t="shared" si="10"/>
        <v>7</v>
      </c>
      <c r="AD32" s="429"/>
      <c r="AE32" s="197">
        <v>20</v>
      </c>
      <c r="AF32" s="195">
        <v>1263.9130434782608</v>
      </c>
      <c r="AG32" s="195">
        <v>63.195652173913039</v>
      </c>
      <c r="AH32" s="197">
        <f t="shared" si="11"/>
        <v>6</v>
      </c>
      <c r="AI32" s="429"/>
      <c r="AJ32" s="197">
        <v>20</v>
      </c>
      <c r="AK32" s="195">
        <v>1257.5510204081636</v>
      </c>
      <c r="AL32" s="195">
        <v>62.877551020408177</v>
      </c>
      <c r="AM32" s="197">
        <f t="shared" si="12"/>
        <v>6</v>
      </c>
      <c r="AN32" s="429"/>
      <c r="AO32" s="197">
        <v>20</v>
      </c>
      <c r="AP32" s="195">
        <v>1248.8135593220334</v>
      </c>
      <c r="AQ32" s="195">
        <v>62.440677966101667</v>
      </c>
      <c r="AR32" s="197">
        <f t="shared" si="13"/>
        <v>6</v>
      </c>
      <c r="AS32" s="429"/>
      <c r="AT32" s="197">
        <v>20</v>
      </c>
      <c r="AU32" s="195">
        <v>1207.714285714286</v>
      </c>
      <c r="AV32" s="195">
        <v>60.3857142857143</v>
      </c>
      <c r="AW32" s="197">
        <f t="shared" si="14"/>
        <v>7</v>
      </c>
      <c r="AX32" s="432"/>
    </row>
    <row r="33" spans="2:50">
      <c r="B33" s="422"/>
      <c r="C33" s="197">
        <v>7</v>
      </c>
      <c r="D33" s="225" t="s">
        <v>302</v>
      </c>
      <c r="E33" s="169">
        <v>20</v>
      </c>
      <c r="F33" s="197">
        <v>1440</v>
      </c>
      <c r="G33" s="195">
        <v>72</v>
      </c>
      <c r="H33" s="429"/>
      <c r="I33" s="169">
        <f t="shared" si="15"/>
        <v>20</v>
      </c>
      <c r="J33" s="169">
        <f t="shared" si="16"/>
        <v>1241.9101055323408</v>
      </c>
      <c r="K33" s="195">
        <f t="shared" si="17"/>
        <v>62.095505276617033</v>
      </c>
      <c r="L33" s="429"/>
      <c r="M33" s="196">
        <f>RANK(K33, K$27:$K$41)</f>
        <v>6</v>
      </c>
      <c r="N33" s="423"/>
      <c r="O33" s="423"/>
      <c r="P33" s="197">
        <v>20</v>
      </c>
      <c r="Q33" s="195">
        <v>1255.9615384615392</v>
      </c>
      <c r="R33" s="195">
        <v>62.798076923076962</v>
      </c>
      <c r="S33" s="197">
        <f t="shared" si="8"/>
        <v>6</v>
      </c>
      <c r="T33" s="429"/>
      <c r="U33" s="197">
        <v>20</v>
      </c>
      <c r="V33" s="195">
        <v>1238.2857142857149</v>
      </c>
      <c r="W33" s="195">
        <v>61.914285714285747</v>
      </c>
      <c r="X33" s="197">
        <f t="shared" si="9"/>
        <v>6</v>
      </c>
      <c r="Y33" s="429"/>
      <c r="Z33" s="197">
        <v>20</v>
      </c>
      <c r="AA33" s="195">
        <v>1256.8750000000002</v>
      </c>
      <c r="AB33" s="195">
        <v>62.843750000000014</v>
      </c>
      <c r="AC33" s="197">
        <f t="shared" si="10"/>
        <v>6</v>
      </c>
      <c r="AD33" s="429"/>
      <c r="AE33" s="197">
        <v>20</v>
      </c>
      <c r="AF33" s="195">
        <v>1210.9090909090901</v>
      </c>
      <c r="AG33" s="195">
        <v>60.545454545454504</v>
      </c>
      <c r="AH33" s="197">
        <f t="shared" si="11"/>
        <v>7</v>
      </c>
      <c r="AI33" s="429"/>
      <c r="AJ33" s="197">
        <v>20</v>
      </c>
      <c r="AK33" s="195">
        <v>1252.6829268292679</v>
      </c>
      <c r="AL33" s="195">
        <v>62.634146341463392</v>
      </c>
      <c r="AM33" s="197">
        <f t="shared" si="12"/>
        <v>7</v>
      </c>
      <c r="AN33" s="429"/>
      <c r="AO33" s="197">
        <v>20</v>
      </c>
      <c r="AP33" s="195">
        <v>1217.4193548387098</v>
      </c>
      <c r="AQ33" s="195">
        <v>60.870967741935488</v>
      </c>
      <c r="AR33" s="197">
        <f t="shared" si="13"/>
        <v>7</v>
      </c>
      <c r="AS33" s="429"/>
      <c r="AT33" s="197">
        <v>20</v>
      </c>
      <c r="AU33" s="195">
        <v>1261.2371134020623</v>
      </c>
      <c r="AV33" s="195">
        <v>63.061855670103114</v>
      </c>
      <c r="AW33" s="197">
        <f t="shared" si="14"/>
        <v>6</v>
      </c>
      <c r="AX33" s="432"/>
    </row>
    <row r="34" spans="2:50">
      <c r="B34" s="422"/>
      <c r="C34" s="197">
        <v>8</v>
      </c>
      <c r="D34" s="225"/>
      <c r="E34" s="169"/>
      <c r="F34" s="197"/>
      <c r="G34" s="195"/>
      <c r="H34" s="429"/>
      <c r="I34" s="169"/>
      <c r="J34" s="169"/>
      <c r="K34" s="195"/>
      <c r="L34" s="429"/>
      <c r="M34" s="196" t="e">
        <f>RANK(K34, K$27:$K$41)</f>
        <v>#N/A</v>
      </c>
      <c r="N34" s="423"/>
      <c r="O34" s="423"/>
      <c r="P34" s="197"/>
      <c r="Q34" s="195"/>
      <c r="R34" s="195"/>
      <c r="S34" s="197" t="e">
        <f t="shared" si="8"/>
        <v>#N/A</v>
      </c>
      <c r="T34" s="429"/>
      <c r="U34" s="197"/>
      <c r="V34" s="195"/>
      <c r="W34" s="195"/>
      <c r="X34" s="197" t="e">
        <f t="shared" si="9"/>
        <v>#N/A</v>
      </c>
      <c r="Y34" s="429"/>
      <c r="Z34" s="197"/>
      <c r="AA34" s="195"/>
      <c r="AB34" s="195"/>
      <c r="AC34" s="197" t="e">
        <f t="shared" si="10"/>
        <v>#N/A</v>
      </c>
      <c r="AD34" s="429"/>
      <c r="AE34" s="197"/>
      <c r="AF34" s="195"/>
      <c r="AG34" s="195"/>
      <c r="AH34" s="197" t="e">
        <f t="shared" si="11"/>
        <v>#N/A</v>
      </c>
      <c r="AI34" s="429"/>
      <c r="AJ34" s="197"/>
      <c r="AK34" s="195"/>
      <c r="AL34" s="195"/>
      <c r="AM34" s="197" t="e">
        <f t="shared" si="12"/>
        <v>#N/A</v>
      </c>
      <c r="AN34" s="429"/>
      <c r="AO34" s="197"/>
      <c r="AP34" s="195"/>
      <c r="AQ34" s="195"/>
      <c r="AR34" s="197" t="e">
        <f t="shared" si="13"/>
        <v>#N/A</v>
      </c>
      <c r="AS34" s="429"/>
      <c r="AT34" s="197"/>
      <c r="AU34" s="195"/>
      <c r="AV34" s="195"/>
      <c r="AW34" s="197" t="e">
        <f t="shared" si="14"/>
        <v>#N/A</v>
      </c>
      <c r="AX34" s="432"/>
    </row>
    <row r="35" spans="2:50">
      <c r="B35" s="422"/>
      <c r="C35" s="197">
        <v>9</v>
      </c>
      <c r="D35" s="225"/>
      <c r="E35" s="169"/>
      <c r="F35" s="197"/>
      <c r="G35" s="195"/>
      <c r="H35" s="429"/>
      <c r="I35" s="169"/>
      <c r="J35" s="169"/>
      <c r="K35" s="195"/>
      <c r="L35" s="429"/>
      <c r="M35" s="196" t="e">
        <f>RANK(K35, K$27:$K$41)</f>
        <v>#N/A</v>
      </c>
      <c r="N35" s="423"/>
      <c r="O35" s="423"/>
      <c r="P35" s="197"/>
      <c r="Q35" s="195"/>
      <c r="R35" s="195"/>
      <c r="S35" s="197" t="e">
        <f t="shared" si="8"/>
        <v>#N/A</v>
      </c>
      <c r="T35" s="429"/>
      <c r="U35" s="197"/>
      <c r="V35" s="195"/>
      <c r="W35" s="195"/>
      <c r="X35" s="197" t="e">
        <f t="shared" si="9"/>
        <v>#N/A</v>
      </c>
      <c r="Y35" s="429"/>
      <c r="Z35" s="197"/>
      <c r="AA35" s="195"/>
      <c r="AB35" s="195"/>
      <c r="AC35" s="197" t="e">
        <f t="shared" si="10"/>
        <v>#N/A</v>
      </c>
      <c r="AD35" s="429"/>
      <c r="AE35" s="197"/>
      <c r="AF35" s="195"/>
      <c r="AG35" s="195"/>
      <c r="AH35" s="197" t="e">
        <f t="shared" si="11"/>
        <v>#N/A</v>
      </c>
      <c r="AI35" s="429"/>
      <c r="AJ35" s="197"/>
      <c r="AK35" s="195"/>
      <c r="AL35" s="195"/>
      <c r="AM35" s="197" t="e">
        <f t="shared" si="12"/>
        <v>#N/A</v>
      </c>
      <c r="AN35" s="429"/>
      <c r="AO35" s="197"/>
      <c r="AP35" s="195"/>
      <c r="AQ35" s="195"/>
      <c r="AR35" s="197" t="e">
        <f t="shared" si="13"/>
        <v>#N/A</v>
      </c>
      <c r="AS35" s="429"/>
      <c r="AT35" s="197"/>
      <c r="AU35" s="195"/>
      <c r="AV35" s="195"/>
      <c r="AW35" s="197" t="e">
        <f t="shared" si="14"/>
        <v>#N/A</v>
      </c>
      <c r="AX35" s="432"/>
    </row>
    <row r="36" spans="2:50">
      <c r="B36" s="422"/>
      <c r="C36" s="197">
        <v>10</v>
      </c>
      <c r="D36" s="225"/>
      <c r="E36" s="169"/>
      <c r="F36" s="197"/>
      <c r="G36" s="195"/>
      <c r="H36" s="429"/>
      <c r="I36" s="169"/>
      <c r="J36" s="169"/>
      <c r="K36" s="195"/>
      <c r="L36" s="429"/>
      <c r="M36" s="196" t="e">
        <f>RANK(K36, K$27:$K$41)</f>
        <v>#N/A</v>
      </c>
      <c r="N36" s="423"/>
      <c r="O36" s="423"/>
      <c r="P36" s="197"/>
      <c r="Q36" s="195"/>
      <c r="R36" s="195"/>
      <c r="S36" s="197" t="e">
        <f t="shared" si="8"/>
        <v>#N/A</v>
      </c>
      <c r="T36" s="429"/>
      <c r="U36" s="197"/>
      <c r="V36" s="195"/>
      <c r="W36" s="195"/>
      <c r="X36" s="197" t="e">
        <f t="shared" si="9"/>
        <v>#N/A</v>
      </c>
      <c r="Y36" s="429"/>
      <c r="Z36" s="197"/>
      <c r="AA36" s="195"/>
      <c r="AB36" s="195"/>
      <c r="AC36" s="197" t="e">
        <f t="shared" si="10"/>
        <v>#N/A</v>
      </c>
      <c r="AD36" s="429"/>
      <c r="AE36" s="197"/>
      <c r="AF36" s="195"/>
      <c r="AG36" s="195"/>
      <c r="AH36" s="197" t="e">
        <f t="shared" si="11"/>
        <v>#N/A</v>
      </c>
      <c r="AI36" s="429"/>
      <c r="AJ36" s="197"/>
      <c r="AK36" s="195"/>
      <c r="AL36" s="195"/>
      <c r="AM36" s="197" t="e">
        <f t="shared" si="12"/>
        <v>#N/A</v>
      </c>
      <c r="AN36" s="429"/>
      <c r="AO36" s="197"/>
      <c r="AP36" s="195"/>
      <c r="AQ36" s="195"/>
      <c r="AR36" s="197" t="e">
        <f t="shared" si="13"/>
        <v>#N/A</v>
      </c>
      <c r="AS36" s="429"/>
      <c r="AT36" s="197"/>
      <c r="AU36" s="195"/>
      <c r="AV36" s="195"/>
      <c r="AW36" s="197" t="e">
        <f t="shared" si="14"/>
        <v>#N/A</v>
      </c>
      <c r="AX36" s="432"/>
    </row>
    <row r="37" spans="2:50">
      <c r="B37" s="422"/>
      <c r="C37" s="197">
        <v>11</v>
      </c>
      <c r="D37" s="225"/>
      <c r="E37" s="169"/>
      <c r="F37" s="197"/>
      <c r="G37" s="195"/>
      <c r="H37" s="429"/>
      <c r="I37" s="197"/>
      <c r="J37" s="197"/>
      <c r="K37" s="197"/>
      <c r="L37" s="429"/>
      <c r="M37" s="196" t="e">
        <f>RANK(K37, K$27:$K$41)</f>
        <v>#N/A</v>
      </c>
      <c r="N37" s="423"/>
      <c r="O37" s="423"/>
      <c r="P37" s="197"/>
      <c r="Q37" s="195"/>
      <c r="R37" s="195"/>
      <c r="S37" s="197" t="e">
        <f t="shared" si="8"/>
        <v>#N/A</v>
      </c>
      <c r="T37" s="429"/>
      <c r="U37" s="197"/>
      <c r="V37" s="195"/>
      <c r="W37" s="195"/>
      <c r="X37" s="197" t="e">
        <f t="shared" si="9"/>
        <v>#N/A</v>
      </c>
      <c r="Y37" s="429"/>
      <c r="Z37" s="197"/>
      <c r="AA37" s="195"/>
      <c r="AB37" s="195"/>
      <c r="AC37" s="197" t="e">
        <f t="shared" si="10"/>
        <v>#N/A</v>
      </c>
      <c r="AD37" s="429"/>
      <c r="AE37" s="197"/>
      <c r="AF37" s="195"/>
      <c r="AG37" s="195"/>
      <c r="AH37" s="197" t="e">
        <f t="shared" si="11"/>
        <v>#N/A</v>
      </c>
      <c r="AI37" s="429"/>
      <c r="AJ37" s="197"/>
      <c r="AK37" s="195"/>
      <c r="AL37" s="195"/>
      <c r="AM37" s="197" t="e">
        <f t="shared" si="12"/>
        <v>#N/A</v>
      </c>
      <c r="AN37" s="429"/>
      <c r="AO37" s="197"/>
      <c r="AP37" s="195"/>
      <c r="AQ37" s="195"/>
      <c r="AR37" s="197" t="e">
        <f t="shared" si="13"/>
        <v>#N/A</v>
      </c>
      <c r="AS37" s="429"/>
      <c r="AT37" s="197"/>
      <c r="AU37" s="195"/>
      <c r="AV37" s="195"/>
      <c r="AW37" s="197" t="e">
        <f t="shared" si="14"/>
        <v>#N/A</v>
      </c>
      <c r="AX37" s="432"/>
    </row>
    <row r="38" spans="2:50">
      <c r="B38" s="422"/>
      <c r="C38" s="197">
        <v>12</v>
      </c>
      <c r="D38" s="225"/>
      <c r="E38" s="169"/>
      <c r="F38" s="197"/>
      <c r="G38" s="195"/>
      <c r="H38" s="429"/>
      <c r="I38" s="197"/>
      <c r="J38" s="197"/>
      <c r="K38" s="197"/>
      <c r="L38" s="429"/>
      <c r="M38" s="196" t="e">
        <f>RANK(K38, K$27:$K$41)</f>
        <v>#N/A</v>
      </c>
      <c r="N38" s="423"/>
      <c r="O38" s="423"/>
      <c r="P38" s="197"/>
      <c r="Q38" s="195"/>
      <c r="R38" s="195"/>
      <c r="S38" s="197" t="e">
        <f t="shared" si="8"/>
        <v>#N/A</v>
      </c>
      <c r="T38" s="429"/>
      <c r="U38" s="197"/>
      <c r="V38" s="197"/>
      <c r="W38" s="197"/>
      <c r="X38" s="197" t="e">
        <f t="shared" si="9"/>
        <v>#N/A</v>
      </c>
      <c r="Y38" s="429"/>
      <c r="Z38" s="197"/>
      <c r="AA38" s="197"/>
      <c r="AB38" s="197"/>
      <c r="AC38" s="197" t="e">
        <f t="shared" si="10"/>
        <v>#N/A</v>
      </c>
      <c r="AD38" s="429"/>
      <c r="AE38" s="197"/>
      <c r="AF38" s="197"/>
      <c r="AG38" s="197"/>
      <c r="AH38" s="197" t="e">
        <f t="shared" si="11"/>
        <v>#N/A</v>
      </c>
      <c r="AI38" s="429"/>
      <c r="AJ38" s="197"/>
      <c r="AK38" s="197"/>
      <c r="AL38" s="197"/>
      <c r="AM38" s="197" t="e">
        <f t="shared" si="12"/>
        <v>#N/A</v>
      </c>
      <c r="AN38" s="429"/>
      <c r="AO38" s="197"/>
      <c r="AP38" s="197"/>
      <c r="AQ38" s="197"/>
      <c r="AR38" s="197" t="e">
        <f t="shared" si="13"/>
        <v>#N/A</v>
      </c>
      <c r="AS38" s="429"/>
      <c r="AT38" s="197"/>
      <c r="AU38" s="197"/>
      <c r="AV38" s="197"/>
      <c r="AW38" s="197" t="e">
        <f t="shared" si="14"/>
        <v>#N/A</v>
      </c>
      <c r="AX38" s="432"/>
    </row>
    <row r="39" spans="2:50">
      <c r="B39" s="422"/>
      <c r="C39" s="197">
        <v>13</v>
      </c>
      <c r="D39" s="225"/>
      <c r="E39" s="169"/>
      <c r="F39" s="197"/>
      <c r="G39" s="195"/>
      <c r="H39" s="429"/>
      <c r="I39" s="197"/>
      <c r="J39" s="197"/>
      <c r="K39" s="197"/>
      <c r="L39" s="429"/>
      <c r="M39" s="196" t="e">
        <f>RANK(K39, K$27:$K$41)</f>
        <v>#N/A</v>
      </c>
      <c r="N39" s="423"/>
      <c r="O39" s="423"/>
      <c r="P39" s="197"/>
      <c r="Q39" s="195"/>
      <c r="R39" s="195"/>
      <c r="S39" s="197" t="e">
        <f t="shared" si="8"/>
        <v>#N/A</v>
      </c>
      <c r="T39" s="429"/>
      <c r="U39" s="197"/>
      <c r="V39" s="197"/>
      <c r="W39" s="197"/>
      <c r="X39" s="197" t="e">
        <f t="shared" si="9"/>
        <v>#N/A</v>
      </c>
      <c r="Y39" s="429"/>
      <c r="Z39" s="197"/>
      <c r="AA39" s="197"/>
      <c r="AB39" s="197"/>
      <c r="AC39" s="197" t="e">
        <f t="shared" si="10"/>
        <v>#N/A</v>
      </c>
      <c r="AD39" s="429"/>
      <c r="AE39" s="197"/>
      <c r="AF39" s="197"/>
      <c r="AG39" s="197"/>
      <c r="AH39" s="197" t="e">
        <f t="shared" si="11"/>
        <v>#N/A</v>
      </c>
      <c r="AI39" s="429"/>
      <c r="AJ39" s="197"/>
      <c r="AK39" s="197"/>
      <c r="AL39" s="197"/>
      <c r="AM39" s="197" t="e">
        <f t="shared" si="12"/>
        <v>#N/A</v>
      </c>
      <c r="AN39" s="429"/>
      <c r="AO39" s="197"/>
      <c r="AP39" s="197"/>
      <c r="AQ39" s="197"/>
      <c r="AR39" s="197" t="e">
        <f t="shared" si="13"/>
        <v>#N/A</v>
      </c>
      <c r="AS39" s="429"/>
      <c r="AT39" s="197"/>
      <c r="AU39" s="197"/>
      <c r="AV39" s="197"/>
      <c r="AW39" s="197" t="e">
        <f t="shared" si="14"/>
        <v>#N/A</v>
      </c>
      <c r="AX39" s="432"/>
    </row>
    <row r="40" spans="2:50">
      <c r="B40" s="422"/>
      <c r="C40" s="197">
        <v>14</v>
      </c>
      <c r="D40" s="225"/>
      <c r="E40" s="169"/>
      <c r="F40" s="197"/>
      <c r="G40" s="195"/>
      <c r="H40" s="429"/>
      <c r="I40" s="197"/>
      <c r="J40" s="197"/>
      <c r="K40" s="197"/>
      <c r="L40" s="429"/>
      <c r="M40" s="196" t="e">
        <f>RANK(K40, K$27:$K$41)</f>
        <v>#N/A</v>
      </c>
      <c r="N40" s="423"/>
      <c r="O40" s="423"/>
      <c r="P40" s="197"/>
      <c r="Q40" s="195"/>
      <c r="R40" s="195"/>
      <c r="S40" s="197" t="e">
        <f t="shared" si="8"/>
        <v>#N/A</v>
      </c>
      <c r="T40" s="429"/>
      <c r="U40" s="197"/>
      <c r="V40" s="197"/>
      <c r="W40" s="197"/>
      <c r="X40" s="197" t="e">
        <f t="shared" si="9"/>
        <v>#N/A</v>
      </c>
      <c r="Y40" s="429"/>
      <c r="Z40" s="197"/>
      <c r="AA40" s="197"/>
      <c r="AB40" s="197"/>
      <c r="AC40" s="197" t="e">
        <f t="shared" si="10"/>
        <v>#N/A</v>
      </c>
      <c r="AD40" s="429"/>
      <c r="AE40" s="197"/>
      <c r="AF40" s="197"/>
      <c r="AG40" s="197"/>
      <c r="AH40" s="197" t="e">
        <f t="shared" si="11"/>
        <v>#N/A</v>
      </c>
      <c r="AI40" s="429"/>
      <c r="AJ40" s="197"/>
      <c r="AK40" s="197"/>
      <c r="AL40" s="197"/>
      <c r="AM40" s="197" t="e">
        <f t="shared" si="12"/>
        <v>#N/A</v>
      </c>
      <c r="AN40" s="429"/>
      <c r="AO40" s="197"/>
      <c r="AP40" s="197"/>
      <c r="AQ40" s="197"/>
      <c r="AR40" s="197" t="e">
        <f t="shared" si="13"/>
        <v>#N/A</v>
      </c>
      <c r="AS40" s="429"/>
      <c r="AT40" s="197"/>
      <c r="AU40" s="197"/>
      <c r="AV40" s="197"/>
      <c r="AW40" s="197" t="e">
        <f t="shared" si="14"/>
        <v>#N/A</v>
      </c>
      <c r="AX40" s="432"/>
    </row>
    <row r="41" spans="2:50">
      <c r="B41" s="422"/>
      <c r="C41" s="197">
        <v>15</v>
      </c>
      <c r="D41" s="225"/>
      <c r="E41" s="169"/>
      <c r="F41" s="197"/>
      <c r="G41" s="195"/>
      <c r="H41" s="430"/>
      <c r="I41" s="197"/>
      <c r="J41" s="197"/>
      <c r="K41" s="197"/>
      <c r="L41" s="430"/>
      <c r="M41" s="169" t="e">
        <f>RANK(K41, K$27:$K$41)</f>
        <v>#N/A</v>
      </c>
      <c r="N41" s="423"/>
      <c r="O41" s="423"/>
      <c r="P41" s="197"/>
      <c r="Q41" s="195"/>
      <c r="R41" s="195"/>
      <c r="S41" s="197" t="e">
        <f t="shared" si="8"/>
        <v>#N/A</v>
      </c>
      <c r="T41" s="430"/>
      <c r="U41" s="197"/>
      <c r="V41" s="197"/>
      <c r="W41" s="197"/>
      <c r="X41" s="197" t="e">
        <f t="shared" si="9"/>
        <v>#N/A</v>
      </c>
      <c r="Y41" s="430"/>
      <c r="Z41" s="197"/>
      <c r="AA41" s="197"/>
      <c r="AB41" s="197"/>
      <c r="AC41" s="197" t="e">
        <f t="shared" si="10"/>
        <v>#N/A</v>
      </c>
      <c r="AD41" s="430"/>
      <c r="AE41" s="197"/>
      <c r="AF41" s="197"/>
      <c r="AG41" s="197"/>
      <c r="AH41" s="197" t="e">
        <f t="shared" si="11"/>
        <v>#N/A</v>
      </c>
      <c r="AI41" s="430"/>
      <c r="AJ41" s="197"/>
      <c r="AK41" s="197"/>
      <c r="AL41" s="197"/>
      <c r="AM41" s="197" t="e">
        <f t="shared" si="12"/>
        <v>#N/A</v>
      </c>
      <c r="AN41" s="430"/>
      <c r="AO41" s="197"/>
      <c r="AP41" s="197"/>
      <c r="AQ41" s="197"/>
      <c r="AR41" s="197" t="e">
        <f t="shared" si="13"/>
        <v>#N/A</v>
      </c>
      <c r="AS41" s="430"/>
      <c r="AT41" s="197"/>
      <c r="AU41" s="197"/>
      <c r="AV41" s="197"/>
      <c r="AW41" s="197" t="e">
        <f t="shared" si="14"/>
        <v>#N/A</v>
      </c>
      <c r="AX41" s="432"/>
    </row>
    <row r="42" spans="2:50" ht="15.75">
      <c r="B42" s="424" t="s">
        <v>202</v>
      </c>
      <c r="C42" s="425"/>
      <c r="D42" s="425"/>
      <c r="E42" s="425"/>
      <c r="F42" s="425"/>
      <c r="G42" s="425"/>
      <c r="H42" s="425"/>
      <c r="I42" s="201"/>
      <c r="J42" s="198"/>
      <c r="K42" s="201"/>
      <c r="L42" s="201"/>
      <c r="M42" s="193"/>
      <c r="N42" s="401" t="s">
        <v>203</v>
      </c>
      <c r="O42" s="401" t="s">
        <v>150</v>
      </c>
      <c r="P42" s="421">
        <f>P22+7</f>
        <v>45909</v>
      </c>
      <c r="Q42" s="422"/>
      <c r="R42" s="422"/>
      <c r="S42" s="422"/>
      <c r="T42" s="422"/>
      <c r="U42" s="416">
        <f>P42+1</f>
        <v>45910</v>
      </c>
      <c r="V42" s="417"/>
      <c r="W42" s="417"/>
      <c r="X42" s="417"/>
      <c r="Y42" s="418"/>
      <c r="Z42" s="416">
        <f>U42+1</f>
        <v>45911</v>
      </c>
      <c r="AA42" s="417"/>
      <c r="AB42" s="417"/>
      <c r="AC42" s="417"/>
      <c r="AD42" s="418"/>
      <c r="AE42" s="416">
        <f t="shared" ref="AE42" si="18">Z42+1</f>
        <v>45912</v>
      </c>
      <c r="AF42" s="417"/>
      <c r="AG42" s="417"/>
      <c r="AH42" s="417"/>
      <c r="AI42" s="418"/>
      <c r="AJ42" s="416">
        <f t="shared" ref="AJ42" si="19">AE42+1</f>
        <v>45913</v>
      </c>
      <c r="AK42" s="417"/>
      <c r="AL42" s="417"/>
      <c r="AM42" s="417"/>
      <c r="AN42" s="418"/>
      <c r="AO42" s="416">
        <f t="shared" ref="AO42" si="20">AJ42+1</f>
        <v>45914</v>
      </c>
      <c r="AP42" s="417"/>
      <c r="AQ42" s="417"/>
      <c r="AR42" s="417"/>
      <c r="AS42" s="418"/>
      <c r="AT42" s="416">
        <f t="shared" ref="AT42" si="21">AO42+1</f>
        <v>45915</v>
      </c>
      <c r="AU42" s="417"/>
      <c r="AV42" s="417"/>
      <c r="AW42" s="417"/>
      <c r="AX42" s="418"/>
    </row>
    <row r="43" spans="2:50" ht="15.75">
      <c r="B43" s="426"/>
      <c r="C43" s="426"/>
      <c r="D43" s="426"/>
      <c r="E43" s="426"/>
      <c r="F43" s="426"/>
      <c r="G43" s="426"/>
      <c r="H43" s="426"/>
      <c r="I43" s="199"/>
      <c r="J43" s="199"/>
      <c r="K43" s="199"/>
      <c r="L43" s="199"/>
      <c r="M43" s="194"/>
      <c r="N43" s="403"/>
      <c r="O43" s="403"/>
      <c r="P43" s="421" t="s">
        <v>204</v>
      </c>
      <c r="Q43" s="422"/>
      <c r="R43" s="422"/>
      <c r="S43" s="422"/>
      <c r="T43" s="422"/>
      <c r="U43" s="421" t="s">
        <v>205</v>
      </c>
      <c r="V43" s="422"/>
      <c r="W43" s="422"/>
      <c r="X43" s="422"/>
      <c r="Y43" s="422"/>
      <c r="Z43" s="421" t="s">
        <v>206</v>
      </c>
      <c r="AA43" s="422"/>
      <c r="AB43" s="422"/>
      <c r="AC43" s="422"/>
      <c r="AD43" s="422"/>
      <c r="AE43" s="421" t="s">
        <v>207</v>
      </c>
      <c r="AF43" s="422"/>
      <c r="AG43" s="422"/>
      <c r="AH43" s="422"/>
      <c r="AI43" s="422"/>
      <c r="AJ43" s="421" t="s">
        <v>208</v>
      </c>
      <c r="AK43" s="422"/>
      <c r="AL43" s="422"/>
      <c r="AM43" s="422"/>
      <c r="AN43" s="422"/>
      <c r="AO43" s="421" t="s">
        <v>157</v>
      </c>
      <c r="AP43" s="422"/>
      <c r="AQ43" s="422"/>
      <c r="AR43" s="422"/>
      <c r="AS43" s="422"/>
      <c r="AT43" s="421" t="s">
        <v>209</v>
      </c>
      <c r="AU43" s="422"/>
      <c r="AV43" s="422"/>
      <c r="AW43" s="422"/>
      <c r="AX43" s="422"/>
    </row>
    <row r="44" spans="2:50">
      <c r="B44" s="423" t="s">
        <v>210</v>
      </c>
      <c r="C44" s="423" t="s">
        <v>211</v>
      </c>
      <c r="D44" s="423"/>
      <c r="E44" s="423" t="s">
        <v>212</v>
      </c>
      <c r="F44" s="423"/>
      <c r="G44" s="423"/>
      <c r="H44" s="404" t="s">
        <v>213</v>
      </c>
      <c r="I44" s="423" t="s">
        <v>214</v>
      </c>
      <c r="J44" s="423"/>
      <c r="K44" s="423"/>
      <c r="L44" s="404" t="s">
        <v>213</v>
      </c>
      <c r="M44" s="401" t="s">
        <v>215</v>
      </c>
      <c r="N44" s="423"/>
      <c r="O44" s="423" t="s">
        <v>216</v>
      </c>
      <c r="P44" s="413" t="s">
        <v>217</v>
      </c>
      <c r="Q44" s="414"/>
      <c r="R44" s="414"/>
      <c r="S44" s="415"/>
      <c r="T44" s="423" t="s">
        <v>213</v>
      </c>
      <c r="U44" s="413" t="s">
        <v>217</v>
      </c>
      <c r="V44" s="414"/>
      <c r="W44" s="414"/>
      <c r="X44" s="415"/>
      <c r="Y44" s="423" t="s">
        <v>213</v>
      </c>
      <c r="Z44" s="413" t="s">
        <v>217</v>
      </c>
      <c r="AA44" s="414"/>
      <c r="AB44" s="414"/>
      <c r="AC44" s="415"/>
      <c r="AD44" s="423" t="s">
        <v>213</v>
      </c>
      <c r="AE44" s="413" t="s">
        <v>217</v>
      </c>
      <c r="AF44" s="414"/>
      <c r="AG44" s="414"/>
      <c r="AH44" s="415"/>
      <c r="AI44" s="423" t="s">
        <v>213</v>
      </c>
      <c r="AJ44" s="413" t="s">
        <v>217</v>
      </c>
      <c r="AK44" s="414"/>
      <c r="AL44" s="414"/>
      <c r="AM44" s="415"/>
      <c r="AN44" s="423" t="s">
        <v>213</v>
      </c>
      <c r="AO44" s="413" t="s">
        <v>217</v>
      </c>
      <c r="AP44" s="414"/>
      <c r="AQ44" s="414"/>
      <c r="AR44" s="415"/>
      <c r="AS44" s="423" t="s">
        <v>213</v>
      </c>
      <c r="AT44" s="413" t="s">
        <v>217</v>
      </c>
      <c r="AU44" s="414"/>
      <c r="AV44" s="414"/>
      <c r="AW44" s="415"/>
      <c r="AX44" s="423" t="s">
        <v>213</v>
      </c>
    </row>
    <row r="45" spans="2:50">
      <c r="B45" s="423"/>
      <c r="C45" s="423"/>
      <c r="D45" s="423"/>
      <c r="E45" s="423" t="s">
        <v>218</v>
      </c>
      <c r="F45" s="423"/>
      <c r="G45" s="423"/>
      <c r="H45" s="406"/>
      <c r="I45" s="423" t="s">
        <v>218</v>
      </c>
      <c r="J45" s="423"/>
      <c r="K45" s="423"/>
      <c r="L45" s="406"/>
      <c r="M45" s="402"/>
      <c r="N45" s="423"/>
      <c r="O45" s="423"/>
      <c r="P45" s="413" t="s">
        <v>219</v>
      </c>
      <c r="Q45" s="414"/>
      <c r="R45" s="414"/>
      <c r="S45" s="415"/>
      <c r="T45" s="423"/>
      <c r="U45" s="413" t="s">
        <v>219</v>
      </c>
      <c r="V45" s="414"/>
      <c r="W45" s="414"/>
      <c r="X45" s="415"/>
      <c r="Y45" s="423"/>
      <c r="Z45" s="413" t="s">
        <v>219</v>
      </c>
      <c r="AA45" s="414"/>
      <c r="AB45" s="414"/>
      <c r="AC45" s="415"/>
      <c r="AD45" s="423"/>
      <c r="AE45" s="413" t="s">
        <v>219</v>
      </c>
      <c r="AF45" s="414"/>
      <c r="AG45" s="414"/>
      <c r="AH45" s="415"/>
      <c r="AI45" s="423"/>
      <c r="AJ45" s="413" t="s">
        <v>219</v>
      </c>
      <c r="AK45" s="414"/>
      <c r="AL45" s="414"/>
      <c r="AM45" s="415"/>
      <c r="AN45" s="423"/>
      <c r="AO45" s="413" t="s">
        <v>219</v>
      </c>
      <c r="AP45" s="414"/>
      <c r="AQ45" s="414"/>
      <c r="AR45" s="415"/>
      <c r="AS45" s="423"/>
      <c r="AT45" s="413" t="s">
        <v>219</v>
      </c>
      <c r="AU45" s="414"/>
      <c r="AV45" s="414"/>
      <c r="AW45" s="415"/>
      <c r="AX45" s="423"/>
    </row>
    <row r="46" spans="2:50">
      <c r="B46" s="423"/>
      <c r="C46" s="423"/>
      <c r="D46" s="423"/>
      <c r="E46" s="297" t="s">
        <v>220</v>
      </c>
      <c r="F46" s="297" t="s">
        <v>221</v>
      </c>
      <c r="G46" s="297" t="s">
        <v>222</v>
      </c>
      <c r="H46" s="408"/>
      <c r="I46" s="297" t="s">
        <v>220</v>
      </c>
      <c r="J46" s="297" t="s">
        <v>221</v>
      </c>
      <c r="K46" s="297" t="s">
        <v>222</v>
      </c>
      <c r="L46" s="408"/>
      <c r="M46" s="403"/>
      <c r="N46" s="423"/>
      <c r="O46" s="423"/>
      <c r="P46" s="297" t="s">
        <v>220</v>
      </c>
      <c r="Q46" s="297" t="s">
        <v>221</v>
      </c>
      <c r="R46" s="297" t="s">
        <v>222</v>
      </c>
      <c r="S46" s="297" t="s">
        <v>215</v>
      </c>
      <c r="T46" s="423"/>
      <c r="U46" s="297" t="s">
        <v>220</v>
      </c>
      <c r="V46" s="297" t="s">
        <v>221</v>
      </c>
      <c r="W46" s="297" t="s">
        <v>222</v>
      </c>
      <c r="X46" s="297" t="s">
        <v>215</v>
      </c>
      <c r="Y46" s="423"/>
      <c r="Z46" s="297" t="s">
        <v>220</v>
      </c>
      <c r="AA46" s="297" t="s">
        <v>221</v>
      </c>
      <c r="AB46" s="297" t="s">
        <v>222</v>
      </c>
      <c r="AC46" s="297" t="s">
        <v>215</v>
      </c>
      <c r="AD46" s="423"/>
      <c r="AE46" s="297" t="s">
        <v>220</v>
      </c>
      <c r="AF46" s="297" t="s">
        <v>221</v>
      </c>
      <c r="AG46" s="297" t="s">
        <v>222</v>
      </c>
      <c r="AH46" s="297" t="s">
        <v>215</v>
      </c>
      <c r="AI46" s="423"/>
      <c r="AJ46" s="297" t="s">
        <v>220</v>
      </c>
      <c r="AK46" s="297" t="s">
        <v>221</v>
      </c>
      <c r="AL46" s="297" t="s">
        <v>222</v>
      </c>
      <c r="AM46" s="297" t="s">
        <v>215</v>
      </c>
      <c r="AN46" s="423"/>
      <c r="AO46" s="297" t="s">
        <v>220</v>
      </c>
      <c r="AP46" s="297" t="s">
        <v>221</v>
      </c>
      <c r="AQ46" s="297" t="s">
        <v>222</v>
      </c>
      <c r="AR46" s="297" t="s">
        <v>215</v>
      </c>
      <c r="AS46" s="423"/>
      <c r="AT46" s="297" t="s">
        <v>220</v>
      </c>
      <c r="AU46" s="297" t="s">
        <v>221</v>
      </c>
      <c r="AV46" s="297" t="s">
        <v>222</v>
      </c>
      <c r="AW46" s="297" t="s">
        <v>215</v>
      </c>
      <c r="AX46" s="423"/>
    </row>
    <row r="47" spans="2:50">
      <c r="B47" s="423" t="s">
        <v>188</v>
      </c>
      <c r="C47" s="197">
        <v>1</v>
      </c>
      <c r="D47" s="225" t="s">
        <v>295</v>
      </c>
      <c r="E47" s="169">
        <v>19</v>
      </c>
      <c r="F47" s="197">
        <v>1440</v>
      </c>
      <c r="G47" s="195">
        <v>75.78947368421052</v>
      </c>
      <c r="H47" s="428">
        <f>AVERAGE(G47:G61)</f>
        <v>78.50851393188853</v>
      </c>
      <c r="I47" s="169">
        <f>AVERAGE(P47,U47,Z47,AE47,AJ47,AO47,AT47)</f>
        <v>19</v>
      </c>
      <c r="J47" s="169">
        <f>AVERAGE(Q47,V47,AA47,AF47,AK47,AP47,AU47)</f>
        <v>1246.9947197878428</v>
      </c>
      <c r="K47" s="195">
        <f>AVERAGE(R47,W47,AB47,AG47,AL47,AQ47,AV47)</f>
        <v>65.63130104146542</v>
      </c>
      <c r="L47" s="428">
        <f>IFERROR(AVERAGE(K47:K61),"-")</f>
        <v>68.06287119219094</v>
      </c>
      <c r="M47" s="196">
        <f>RANK(K47, K$47:$K$61)</f>
        <v>3</v>
      </c>
      <c r="N47" s="423"/>
      <c r="O47" s="423"/>
      <c r="P47" s="197">
        <v>19</v>
      </c>
      <c r="Q47" s="195">
        <v>1267.1541984732823</v>
      </c>
      <c r="R47" s="195">
        <v>66.692326235435914</v>
      </c>
      <c r="S47" s="197">
        <f>RANK(R47, R$47:R$61)</f>
        <v>3</v>
      </c>
      <c r="T47" s="428">
        <f>AVERAGE(R47:R61)</f>
        <v>68.889219704278489</v>
      </c>
      <c r="U47" s="197">
        <v>19</v>
      </c>
      <c r="V47" s="195">
        <v>1260.514285714286</v>
      </c>
      <c r="W47" s="195">
        <v>66.342857142857156</v>
      </c>
      <c r="X47" s="197">
        <f>RANK(W47, W$47:W$61)</f>
        <v>3</v>
      </c>
      <c r="Y47" s="428">
        <f>AVERAGE(W47:W61)</f>
        <v>68.479767435179667</v>
      </c>
      <c r="Z47" s="197">
        <v>19</v>
      </c>
      <c r="AA47" s="195">
        <v>1259.3068965517241</v>
      </c>
      <c r="AB47" s="195">
        <v>66.279310344827579</v>
      </c>
      <c r="AC47" s="197">
        <f>RANK(AB47, AB$47:AB$61)</f>
        <v>3</v>
      </c>
      <c r="AD47" s="428">
        <f>AVERAGE(AB47:AB61)</f>
        <v>68.303055403370337</v>
      </c>
      <c r="AE47" s="197">
        <v>19</v>
      </c>
      <c r="AF47" s="195">
        <v>1247.0905263157895</v>
      </c>
      <c r="AG47" s="195">
        <v>65.636343490304711</v>
      </c>
      <c r="AH47" s="197">
        <f>RANK(AG47, AG$47:AG$61)</f>
        <v>3</v>
      </c>
      <c r="AI47" s="428">
        <f>AVERAGE(AG47:AG61)</f>
        <v>68.142991098812544</v>
      </c>
      <c r="AJ47" s="197">
        <v>19</v>
      </c>
      <c r="AK47" s="195">
        <v>1220.7222222222222</v>
      </c>
      <c r="AL47" s="195">
        <v>64.248538011695899</v>
      </c>
      <c r="AM47" s="197">
        <f>RANK(AL47, AL$47:AL$61)</f>
        <v>5</v>
      </c>
      <c r="AN47" s="428">
        <f>AVERAGE(AL47:AL61)</f>
        <v>67.869466956875087</v>
      </c>
      <c r="AO47" s="197">
        <v>19</v>
      </c>
      <c r="AP47" s="195">
        <v>1251.8776119402985</v>
      </c>
      <c r="AQ47" s="195">
        <v>65.888295365278864</v>
      </c>
      <c r="AR47" s="197">
        <f>RANK(AQ47, AQ$47:AQ$61)</f>
        <v>4</v>
      </c>
      <c r="AS47" s="428">
        <f>AVERAGE(AQ47:AQ61)</f>
        <v>67.609977451565683</v>
      </c>
      <c r="AT47" s="197">
        <v>19</v>
      </c>
      <c r="AU47" s="195">
        <v>1222.2972972972971</v>
      </c>
      <c r="AV47" s="195">
        <v>64.331436699857747</v>
      </c>
      <c r="AW47" s="197">
        <f>RANK(AV47, AV$47:AV$61)</f>
        <v>5</v>
      </c>
      <c r="AX47" s="432">
        <f>AVERAGE(AV47:AV61)</f>
        <v>67.145620295254759</v>
      </c>
    </row>
    <row r="48" spans="2:50">
      <c r="B48" s="422"/>
      <c r="C48" s="197">
        <v>2</v>
      </c>
      <c r="D48" s="225" t="s">
        <v>296</v>
      </c>
      <c r="E48" s="169">
        <v>19</v>
      </c>
      <c r="F48" s="197">
        <v>1440</v>
      </c>
      <c r="G48" s="195">
        <v>75.78947368421052</v>
      </c>
      <c r="H48" s="429"/>
      <c r="I48" s="169">
        <f t="shared" ref="I48:I53" si="22">AVERAGE(P48,U48,Z48,AE48,AJ48,AO48,AT48)</f>
        <v>19</v>
      </c>
      <c r="J48" s="169">
        <f t="shared" ref="J48:J53" si="23">AVERAGE(Q48,V48,AA48,AF48,AK48,AP48,AU48)</f>
        <v>1241.4475760067476</v>
      </c>
      <c r="K48" s="195">
        <f t="shared" ref="K48:K53" si="24">AVERAGE(R48,W48,AB48,AG48,AL48,AQ48,AV48)</f>
        <v>65.339346105618304</v>
      </c>
      <c r="L48" s="429"/>
      <c r="M48" s="196">
        <f>RANK(K48, K$47:$K$61)</f>
        <v>4</v>
      </c>
      <c r="N48" s="423"/>
      <c r="O48" s="423"/>
      <c r="P48" s="197">
        <v>19</v>
      </c>
      <c r="Q48" s="195">
        <v>1260.8695652173899</v>
      </c>
      <c r="R48" s="195">
        <v>66.361556064073156</v>
      </c>
      <c r="S48" s="197">
        <f t="shared" ref="S48:S61" si="25">RANK(R48, R$47:R$61)</f>
        <v>4</v>
      </c>
      <c r="T48" s="429"/>
      <c r="U48" s="197">
        <v>19</v>
      </c>
      <c r="V48" s="195">
        <v>1239.7183098591536</v>
      </c>
      <c r="W48" s="195">
        <v>65.248332097850195</v>
      </c>
      <c r="X48" s="197">
        <f t="shared" ref="X48:X61" si="26">RANK(W48, W$47:W$61)</f>
        <v>5</v>
      </c>
      <c r="Y48" s="429"/>
      <c r="Z48" s="197">
        <v>19</v>
      </c>
      <c r="AA48" s="195">
        <v>1255.3846153846152</v>
      </c>
      <c r="AB48" s="195">
        <v>66.072874493927117</v>
      </c>
      <c r="AC48" s="197">
        <f t="shared" ref="AC48:AC61" si="27">RANK(AB48, AB$47:AB$61)</f>
        <v>4</v>
      </c>
      <c r="AD48" s="429"/>
      <c r="AE48" s="197">
        <v>19</v>
      </c>
      <c r="AF48" s="195">
        <v>1222.9787234042553</v>
      </c>
      <c r="AG48" s="195">
        <v>64.367301231802912</v>
      </c>
      <c r="AH48" s="197">
        <f t="shared" ref="AH48:AH61" si="28">RANK(AG48, AG$47:AG$61)</f>
        <v>4</v>
      </c>
      <c r="AI48" s="429"/>
      <c r="AJ48" s="197">
        <v>19</v>
      </c>
      <c r="AK48" s="195">
        <v>1247.7272727272727</v>
      </c>
      <c r="AL48" s="195">
        <v>65.669856459330148</v>
      </c>
      <c r="AM48" s="197">
        <f t="shared" ref="AM48:AM61" si="29">RANK(AL48, AL$47:AL$61)</f>
        <v>4</v>
      </c>
      <c r="AN48" s="429"/>
      <c r="AO48" s="197">
        <v>19</v>
      </c>
      <c r="AP48" s="195">
        <v>1215.4545454545455</v>
      </c>
      <c r="AQ48" s="195">
        <v>63.971291866028707</v>
      </c>
      <c r="AR48" s="197">
        <f t="shared" ref="AR48:AR61" si="30">RANK(AQ48, AQ$47:AQ$61)</f>
        <v>5</v>
      </c>
      <c r="AS48" s="429"/>
      <c r="AT48" s="197">
        <v>19</v>
      </c>
      <c r="AU48" s="195">
        <v>1248.0000000000014</v>
      </c>
      <c r="AV48" s="195">
        <v>65.684210526315866</v>
      </c>
      <c r="AW48" s="197">
        <f t="shared" ref="AW48:AW61" si="31">RANK(AV48, AV$47:AV$61)</f>
        <v>3</v>
      </c>
      <c r="AX48" s="432"/>
    </row>
    <row r="49" spans="2:50">
      <c r="B49" s="422"/>
      <c r="C49" s="197">
        <v>3</v>
      </c>
      <c r="D49" s="225" t="s">
        <v>297</v>
      </c>
      <c r="E49" s="169">
        <v>17</v>
      </c>
      <c r="F49" s="197">
        <v>1636</v>
      </c>
      <c r="G49" s="195">
        <v>96.235294117647058</v>
      </c>
      <c r="H49" s="429"/>
      <c r="I49" s="169">
        <f t="shared" si="22"/>
        <v>17</v>
      </c>
      <c r="J49" s="169">
        <f t="shared" si="23"/>
        <v>1386.0361377752677</v>
      </c>
      <c r="K49" s="195">
        <f t="shared" si="24"/>
        <v>81.531537516192216</v>
      </c>
      <c r="L49" s="429"/>
      <c r="M49" s="196">
        <f>RANK(K49, K$47:$K$61)</f>
        <v>1</v>
      </c>
      <c r="N49" s="423"/>
      <c r="O49" s="423"/>
      <c r="P49" s="197">
        <v>17</v>
      </c>
      <c r="Q49" s="195">
        <v>1390.4347826086957</v>
      </c>
      <c r="R49" s="195">
        <v>81.790281329923275</v>
      </c>
      <c r="S49" s="197">
        <f t="shared" si="25"/>
        <v>1</v>
      </c>
      <c r="T49" s="429"/>
      <c r="U49" s="197">
        <v>17</v>
      </c>
      <c r="V49" s="195">
        <v>1388.9999999999995</v>
      </c>
      <c r="W49" s="195">
        <v>81.705882352941146</v>
      </c>
      <c r="X49" s="197">
        <f t="shared" si="26"/>
        <v>1</v>
      </c>
      <c r="Y49" s="429"/>
      <c r="Z49" s="197">
        <v>17</v>
      </c>
      <c r="AA49" s="195">
        <v>1408.3333333333321</v>
      </c>
      <c r="AB49" s="195">
        <v>82.84313725490189</v>
      </c>
      <c r="AC49" s="197">
        <f t="shared" si="27"/>
        <v>1</v>
      </c>
      <c r="AD49" s="429"/>
      <c r="AE49" s="197">
        <v>17</v>
      </c>
      <c r="AF49" s="195">
        <v>1401.6666666666656</v>
      </c>
      <c r="AG49" s="195">
        <v>82.450980392156794</v>
      </c>
      <c r="AH49" s="197">
        <f t="shared" si="28"/>
        <v>1</v>
      </c>
      <c r="AI49" s="429"/>
      <c r="AJ49" s="197">
        <v>17</v>
      </c>
      <c r="AK49" s="195">
        <v>1349.9999999999995</v>
      </c>
      <c r="AL49" s="195">
        <v>79.41176470588232</v>
      </c>
      <c r="AM49" s="197">
        <f t="shared" si="29"/>
        <v>1</v>
      </c>
      <c r="AN49" s="429"/>
      <c r="AO49" s="197">
        <v>17</v>
      </c>
      <c r="AP49" s="195">
        <v>1376</v>
      </c>
      <c r="AQ49" s="195">
        <v>80.941176470588232</v>
      </c>
      <c r="AR49" s="197">
        <f t="shared" si="30"/>
        <v>1</v>
      </c>
      <c r="AS49" s="429"/>
      <c r="AT49" s="197">
        <v>17</v>
      </c>
      <c r="AU49" s="195">
        <v>1386.8181818181818</v>
      </c>
      <c r="AV49" s="195">
        <v>81.577540106951872</v>
      </c>
      <c r="AW49" s="197">
        <f t="shared" si="31"/>
        <v>1</v>
      </c>
      <c r="AX49" s="432"/>
    </row>
    <row r="50" spans="2:50">
      <c r="B50" s="422"/>
      <c r="C50" s="197">
        <v>4</v>
      </c>
      <c r="D50" s="331" t="s">
        <v>298</v>
      </c>
      <c r="E50" s="169">
        <v>17</v>
      </c>
      <c r="F50" s="197">
        <v>1440</v>
      </c>
      <c r="G50" s="195">
        <v>84.705882352941174</v>
      </c>
      <c r="H50" s="429"/>
      <c r="I50" s="169">
        <f t="shared" si="22"/>
        <v>17.142857142857142</v>
      </c>
      <c r="J50" s="169">
        <f t="shared" si="23"/>
        <v>1268.4583119340457</v>
      </c>
      <c r="K50" s="195">
        <f t="shared" si="24"/>
        <v>74.03704355914553</v>
      </c>
      <c r="L50" s="429"/>
      <c r="M50" s="196">
        <f>RANK(K50, K$47:$K$61)</f>
        <v>2</v>
      </c>
      <c r="N50" s="423"/>
      <c r="O50" s="423"/>
      <c r="P50" s="197">
        <v>17</v>
      </c>
      <c r="Q50" s="195">
        <v>1269.0000000000002</v>
      </c>
      <c r="R50" s="195">
        <v>74.64705882352942</v>
      </c>
      <c r="S50" s="197">
        <f t="shared" si="25"/>
        <v>2</v>
      </c>
      <c r="T50" s="429"/>
      <c r="U50" s="197">
        <v>17</v>
      </c>
      <c r="V50" s="195">
        <v>1280.5714285714284</v>
      </c>
      <c r="W50" s="195">
        <v>75.327731092436963</v>
      </c>
      <c r="X50" s="197">
        <f t="shared" si="26"/>
        <v>2</v>
      </c>
      <c r="Y50" s="429"/>
      <c r="Z50" s="197">
        <v>17</v>
      </c>
      <c r="AA50" s="195">
        <v>1289.2499999999991</v>
      </c>
      <c r="AB50" s="195">
        <v>75.838235294117595</v>
      </c>
      <c r="AC50" s="197">
        <f t="shared" si="27"/>
        <v>2</v>
      </c>
      <c r="AD50" s="429"/>
      <c r="AE50" s="197">
        <v>17</v>
      </c>
      <c r="AF50" s="195">
        <v>1280.0000000000009</v>
      </c>
      <c r="AG50" s="195">
        <v>75.294117647058883</v>
      </c>
      <c r="AH50" s="197">
        <f t="shared" si="28"/>
        <v>2</v>
      </c>
      <c r="AI50" s="429"/>
      <c r="AJ50" s="197">
        <v>17</v>
      </c>
      <c r="AK50" s="195">
        <v>1259.9999999999995</v>
      </c>
      <c r="AL50" s="195">
        <v>74.117647058823508</v>
      </c>
      <c r="AM50" s="197">
        <f t="shared" si="29"/>
        <v>2</v>
      </c>
      <c r="AN50" s="429"/>
      <c r="AO50" s="197">
        <v>17</v>
      </c>
      <c r="AP50" s="195">
        <v>1261.9867549668877</v>
      </c>
      <c r="AQ50" s="195">
        <v>74.234514998052219</v>
      </c>
      <c r="AR50" s="197">
        <f t="shared" si="30"/>
        <v>2</v>
      </c>
      <c r="AS50" s="429"/>
      <c r="AT50" s="197">
        <v>18</v>
      </c>
      <c r="AU50" s="195">
        <v>1238.4000000000042</v>
      </c>
      <c r="AV50" s="195">
        <v>68.800000000000239</v>
      </c>
      <c r="AW50" s="197">
        <f t="shared" si="31"/>
        <v>2</v>
      </c>
      <c r="AX50" s="432"/>
    </row>
    <row r="51" spans="2:50">
      <c r="B51" s="422"/>
      <c r="C51" s="197">
        <v>5</v>
      </c>
      <c r="D51" s="225" t="s">
        <v>299</v>
      </c>
      <c r="E51" s="169">
        <v>19</v>
      </c>
      <c r="F51" s="197">
        <v>1440</v>
      </c>
      <c r="G51" s="195">
        <v>75.78947368421052</v>
      </c>
      <c r="H51" s="429"/>
      <c r="I51" s="169">
        <f t="shared" si="22"/>
        <v>19</v>
      </c>
      <c r="J51" s="169">
        <f t="shared" si="23"/>
        <v>1240.7366540079311</v>
      </c>
      <c r="K51" s="195">
        <f t="shared" si="24"/>
        <v>65.301929158312149</v>
      </c>
      <c r="L51" s="429"/>
      <c r="M51" s="196">
        <f>RANK(K51, K$47:$K$61)</f>
        <v>5</v>
      </c>
      <c r="N51" s="423"/>
      <c r="O51" s="423"/>
      <c r="P51" s="197">
        <v>19</v>
      </c>
      <c r="Q51" s="195">
        <v>1254.4444444444453</v>
      </c>
      <c r="R51" s="195">
        <v>66.02339181286554</v>
      </c>
      <c r="S51" s="197">
        <f t="shared" si="25"/>
        <v>5</v>
      </c>
      <c r="T51" s="429"/>
      <c r="U51" s="197">
        <v>19</v>
      </c>
      <c r="V51" s="195">
        <v>1257.6923076923085</v>
      </c>
      <c r="W51" s="195">
        <v>66.194331983805711</v>
      </c>
      <c r="X51" s="197">
        <f t="shared" si="26"/>
        <v>4</v>
      </c>
      <c r="Y51" s="429"/>
      <c r="Z51" s="197">
        <v>19</v>
      </c>
      <c r="AA51" s="195">
        <v>1221.1764705882358</v>
      </c>
      <c r="AB51" s="195">
        <v>64.272445820433461</v>
      </c>
      <c r="AC51" s="197">
        <f t="shared" si="27"/>
        <v>5</v>
      </c>
      <c r="AD51" s="429"/>
      <c r="AE51" s="197">
        <v>19</v>
      </c>
      <c r="AF51" s="195">
        <v>1214.0425531914896</v>
      </c>
      <c r="AG51" s="195">
        <v>63.896976483762607</v>
      </c>
      <c r="AH51" s="197">
        <f t="shared" si="28"/>
        <v>5</v>
      </c>
      <c r="AI51" s="429"/>
      <c r="AJ51" s="197">
        <v>19</v>
      </c>
      <c r="AK51" s="195">
        <v>1251.2500000000002</v>
      </c>
      <c r="AL51" s="195">
        <v>65.855263157894754</v>
      </c>
      <c r="AM51" s="197">
        <f t="shared" si="29"/>
        <v>3</v>
      </c>
      <c r="AN51" s="429"/>
      <c r="AO51" s="197">
        <v>19</v>
      </c>
      <c r="AP51" s="195">
        <v>1253.823529411763</v>
      </c>
      <c r="AQ51" s="195">
        <v>65.990712074303318</v>
      </c>
      <c r="AR51" s="197">
        <f t="shared" si="30"/>
        <v>3</v>
      </c>
      <c r="AS51" s="429"/>
      <c r="AT51" s="197">
        <v>19</v>
      </c>
      <c r="AU51" s="195">
        <v>1232.7272727272741</v>
      </c>
      <c r="AV51" s="195">
        <v>64.880382775119685</v>
      </c>
      <c r="AW51" s="197">
        <f t="shared" si="31"/>
        <v>4</v>
      </c>
      <c r="AX51" s="432"/>
    </row>
    <row r="52" spans="2:50">
      <c r="B52" s="422"/>
      <c r="C52" s="197">
        <v>6</v>
      </c>
      <c r="D52" s="225" t="s">
        <v>301</v>
      </c>
      <c r="E52" s="169">
        <v>20</v>
      </c>
      <c r="F52" s="197">
        <v>1385</v>
      </c>
      <c r="G52" s="195">
        <v>69.25</v>
      </c>
      <c r="H52" s="429"/>
      <c r="I52" s="169">
        <f t="shared" si="22"/>
        <v>20</v>
      </c>
      <c r="J52" s="169">
        <f t="shared" si="23"/>
        <v>1251.6056533381668</v>
      </c>
      <c r="K52" s="195">
        <f t="shared" si="24"/>
        <v>62.580282666908339</v>
      </c>
      <c r="L52" s="429"/>
      <c r="M52" s="196">
        <f>RANK(K52, K$47:$K$61)</f>
        <v>6</v>
      </c>
      <c r="N52" s="423"/>
      <c r="O52" s="423"/>
      <c r="P52" s="197">
        <v>20</v>
      </c>
      <c r="Q52" s="195">
        <v>1274.1984732824428</v>
      </c>
      <c r="R52" s="195">
        <v>63.709923664122144</v>
      </c>
      <c r="S52" s="197">
        <f t="shared" si="25"/>
        <v>6</v>
      </c>
      <c r="T52" s="429"/>
      <c r="U52" s="197">
        <v>20</v>
      </c>
      <c r="V52" s="195">
        <v>1233.9705882352941</v>
      </c>
      <c r="W52" s="195">
        <v>61.69852941176471</v>
      </c>
      <c r="X52" s="197">
        <f t="shared" si="26"/>
        <v>7</v>
      </c>
      <c r="Y52" s="429"/>
      <c r="Z52" s="197">
        <v>20</v>
      </c>
      <c r="AA52" s="195">
        <v>1251.6923076923076</v>
      </c>
      <c r="AB52" s="195">
        <v>62.584615384615383</v>
      </c>
      <c r="AC52" s="197">
        <f t="shared" si="27"/>
        <v>6</v>
      </c>
      <c r="AD52" s="429"/>
      <c r="AE52" s="197">
        <v>20</v>
      </c>
      <c r="AF52" s="195">
        <v>1244.8543689320393</v>
      </c>
      <c r="AG52" s="195">
        <v>62.242718446601963</v>
      </c>
      <c r="AH52" s="197">
        <f t="shared" si="28"/>
        <v>7</v>
      </c>
      <c r="AI52" s="429"/>
      <c r="AJ52" s="197">
        <v>20</v>
      </c>
      <c r="AK52" s="195">
        <v>1257.757009345795</v>
      </c>
      <c r="AL52" s="195">
        <v>62.887850467289752</v>
      </c>
      <c r="AM52" s="197">
        <f t="shared" si="29"/>
        <v>7</v>
      </c>
      <c r="AN52" s="429"/>
      <c r="AO52" s="197">
        <v>20</v>
      </c>
      <c r="AP52" s="195">
        <v>1228.9795918367352</v>
      </c>
      <c r="AQ52" s="195">
        <v>61.448979591836761</v>
      </c>
      <c r="AR52" s="197">
        <f t="shared" si="30"/>
        <v>6</v>
      </c>
      <c r="AS52" s="429"/>
      <c r="AT52" s="197">
        <v>20</v>
      </c>
      <c r="AU52" s="195">
        <v>1269.7872340425536</v>
      </c>
      <c r="AV52" s="195">
        <v>63.489361702127681</v>
      </c>
      <c r="AW52" s="197">
        <f t="shared" si="31"/>
        <v>6</v>
      </c>
      <c r="AX52" s="432"/>
    </row>
    <row r="53" spans="2:50">
      <c r="B53" s="422"/>
      <c r="C53" s="197">
        <v>7</v>
      </c>
      <c r="D53" s="225" t="s">
        <v>302</v>
      </c>
      <c r="E53" s="169">
        <v>20</v>
      </c>
      <c r="F53" s="197">
        <v>1440</v>
      </c>
      <c r="G53" s="195">
        <v>72</v>
      </c>
      <c r="H53" s="429"/>
      <c r="I53" s="169">
        <f t="shared" si="22"/>
        <v>20</v>
      </c>
      <c r="J53" s="169">
        <f t="shared" si="23"/>
        <v>1240.3731659538921</v>
      </c>
      <c r="K53" s="195">
        <f t="shared" si="24"/>
        <v>62.018658297694607</v>
      </c>
      <c r="L53" s="429"/>
      <c r="M53" s="196">
        <f>RANK(K53, K$47:$K$61)</f>
        <v>7</v>
      </c>
      <c r="N53" s="423"/>
      <c r="O53" s="423"/>
      <c r="P53" s="197">
        <v>20</v>
      </c>
      <c r="Q53" s="195">
        <v>1260.0000000000005</v>
      </c>
      <c r="R53" s="195">
        <v>63.000000000000021</v>
      </c>
      <c r="S53" s="197">
        <f t="shared" si="25"/>
        <v>7</v>
      </c>
      <c r="T53" s="429"/>
      <c r="U53" s="197">
        <v>20</v>
      </c>
      <c r="V53" s="195">
        <v>1256.8141592920344</v>
      </c>
      <c r="W53" s="195">
        <v>62.840707964601719</v>
      </c>
      <c r="X53" s="197">
        <f t="shared" si="26"/>
        <v>6</v>
      </c>
      <c r="Y53" s="429"/>
      <c r="Z53" s="197">
        <v>20</v>
      </c>
      <c r="AA53" s="195">
        <v>1204.6153846153852</v>
      </c>
      <c r="AB53" s="195">
        <v>60.230769230769262</v>
      </c>
      <c r="AC53" s="197">
        <f t="shared" si="27"/>
        <v>7</v>
      </c>
      <c r="AD53" s="429"/>
      <c r="AE53" s="197">
        <v>20</v>
      </c>
      <c r="AF53" s="195">
        <v>1262.2499999999995</v>
      </c>
      <c r="AG53" s="195">
        <v>63.112499999999976</v>
      </c>
      <c r="AH53" s="197">
        <f t="shared" si="28"/>
        <v>6</v>
      </c>
      <c r="AI53" s="429"/>
      <c r="AJ53" s="197">
        <v>20</v>
      </c>
      <c r="AK53" s="195">
        <v>1257.9069767441858</v>
      </c>
      <c r="AL53" s="195">
        <v>62.895348837209291</v>
      </c>
      <c r="AM53" s="197">
        <f t="shared" si="29"/>
        <v>6</v>
      </c>
      <c r="AN53" s="429"/>
      <c r="AO53" s="197">
        <v>20</v>
      </c>
      <c r="AP53" s="195">
        <v>1215.8974358974351</v>
      </c>
      <c r="AQ53" s="195">
        <v>60.794871794871753</v>
      </c>
      <c r="AR53" s="197">
        <f t="shared" si="30"/>
        <v>7</v>
      </c>
      <c r="AS53" s="429"/>
      <c r="AT53" s="197">
        <v>20</v>
      </c>
      <c r="AU53" s="195">
        <v>1225.1282051282046</v>
      </c>
      <c r="AV53" s="195">
        <v>61.256410256410234</v>
      </c>
      <c r="AW53" s="197">
        <f t="shared" si="31"/>
        <v>7</v>
      </c>
      <c r="AX53" s="432"/>
    </row>
    <row r="54" spans="2:50">
      <c r="B54" s="422"/>
      <c r="C54" s="197">
        <v>8</v>
      </c>
      <c r="D54" s="225"/>
      <c r="E54" s="169"/>
      <c r="F54" s="197"/>
      <c r="G54" s="195"/>
      <c r="H54" s="429"/>
      <c r="I54" s="169"/>
      <c r="J54" s="169"/>
      <c r="K54" s="195"/>
      <c r="L54" s="429"/>
      <c r="M54" s="196" t="e">
        <f>RANK(K54, K$87:$K$101)</f>
        <v>#DIV/0!</v>
      </c>
      <c r="N54" s="423"/>
      <c r="O54" s="423"/>
      <c r="P54" s="197"/>
      <c r="Q54" s="195"/>
      <c r="R54" s="195"/>
      <c r="S54" s="197" t="e">
        <f t="shared" si="25"/>
        <v>#N/A</v>
      </c>
      <c r="T54" s="429"/>
      <c r="U54" s="197"/>
      <c r="V54" s="195"/>
      <c r="W54" s="195"/>
      <c r="X54" s="197" t="e">
        <f t="shared" si="26"/>
        <v>#N/A</v>
      </c>
      <c r="Y54" s="429"/>
      <c r="Z54" s="197"/>
      <c r="AA54" s="195"/>
      <c r="AB54" s="195"/>
      <c r="AC54" s="197" t="e">
        <f t="shared" si="27"/>
        <v>#N/A</v>
      </c>
      <c r="AD54" s="429"/>
      <c r="AE54" s="197"/>
      <c r="AF54" s="195"/>
      <c r="AG54" s="195"/>
      <c r="AH54" s="197" t="e">
        <f t="shared" si="28"/>
        <v>#N/A</v>
      </c>
      <c r="AI54" s="429"/>
      <c r="AJ54" s="197"/>
      <c r="AK54" s="195"/>
      <c r="AL54" s="195"/>
      <c r="AM54" s="197" t="e">
        <f t="shared" si="29"/>
        <v>#N/A</v>
      </c>
      <c r="AN54" s="429"/>
      <c r="AO54" s="197"/>
      <c r="AP54" s="195"/>
      <c r="AQ54" s="195"/>
      <c r="AR54" s="197" t="e">
        <f t="shared" si="30"/>
        <v>#N/A</v>
      </c>
      <c r="AS54" s="429"/>
      <c r="AT54" s="197"/>
      <c r="AU54" s="195"/>
      <c r="AV54" s="195"/>
      <c r="AW54" s="197" t="e">
        <f t="shared" si="31"/>
        <v>#N/A</v>
      </c>
      <c r="AX54" s="432"/>
    </row>
    <row r="55" spans="2:50">
      <c r="B55" s="422"/>
      <c r="C55" s="197">
        <v>9</v>
      </c>
      <c r="D55" s="225"/>
      <c r="E55" s="169"/>
      <c r="F55" s="197"/>
      <c r="G55" s="195"/>
      <c r="H55" s="429"/>
      <c r="I55" s="169"/>
      <c r="J55" s="169"/>
      <c r="K55" s="195"/>
      <c r="L55" s="429"/>
      <c r="M55" s="196" t="e">
        <f>RANK(K55, K$87:$K$101)</f>
        <v>#DIV/0!</v>
      </c>
      <c r="N55" s="423"/>
      <c r="O55" s="423"/>
      <c r="P55" s="197"/>
      <c r="Q55" s="195"/>
      <c r="R55" s="195"/>
      <c r="S55" s="197" t="e">
        <f t="shared" si="25"/>
        <v>#N/A</v>
      </c>
      <c r="T55" s="429"/>
      <c r="U55" s="197"/>
      <c r="V55" s="195"/>
      <c r="W55" s="195"/>
      <c r="X55" s="197" t="e">
        <f t="shared" si="26"/>
        <v>#N/A</v>
      </c>
      <c r="Y55" s="429"/>
      <c r="Z55" s="197"/>
      <c r="AA55" s="195"/>
      <c r="AB55" s="195"/>
      <c r="AC55" s="197" t="e">
        <f t="shared" si="27"/>
        <v>#N/A</v>
      </c>
      <c r="AD55" s="429"/>
      <c r="AE55" s="197"/>
      <c r="AF55" s="195"/>
      <c r="AG55" s="195"/>
      <c r="AH55" s="197" t="e">
        <f t="shared" si="28"/>
        <v>#N/A</v>
      </c>
      <c r="AI55" s="429"/>
      <c r="AJ55" s="197"/>
      <c r="AK55" s="195"/>
      <c r="AL55" s="195"/>
      <c r="AM55" s="197" t="e">
        <f t="shared" si="29"/>
        <v>#N/A</v>
      </c>
      <c r="AN55" s="429"/>
      <c r="AO55" s="197"/>
      <c r="AP55" s="195"/>
      <c r="AQ55" s="195"/>
      <c r="AR55" s="197" t="e">
        <f t="shared" si="30"/>
        <v>#N/A</v>
      </c>
      <c r="AS55" s="429"/>
      <c r="AT55" s="197"/>
      <c r="AU55" s="195"/>
      <c r="AV55" s="195"/>
      <c r="AW55" s="197" t="e">
        <f t="shared" si="31"/>
        <v>#N/A</v>
      </c>
      <c r="AX55" s="432"/>
    </row>
    <row r="56" spans="2:50">
      <c r="B56" s="422"/>
      <c r="C56" s="197">
        <v>10</v>
      </c>
      <c r="D56" s="225"/>
      <c r="E56" s="169"/>
      <c r="F56" s="197"/>
      <c r="G56" s="195"/>
      <c r="H56" s="429"/>
      <c r="I56" s="169"/>
      <c r="J56" s="169"/>
      <c r="K56" s="195"/>
      <c r="L56" s="429"/>
      <c r="M56" s="196" t="e">
        <f>RANK(K56, K$87:$K$101)</f>
        <v>#DIV/0!</v>
      </c>
      <c r="N56" s="423"/>
      <c r="O56" s="423"/>
      <c r="P56" s="197"/>
      <c r="Q56" s="195"/>
      <c r="R56" s="195"/>
      <c r="S56" s="197" t="e">
        <f t="shared" si="25"/>
        <v>#N/A</v>
      </c>
      <c r="T56" s="429"/>
      <c r="U56" s="197"/>
      <c r="V56" s="195"/>
      <c r="W56" s="195"/>
      <c r="X56" s="197" t="e">
        <f t="shared" si="26"/>
        <v>#N/A</v>
      </c>
      <c r="Y56" s="429"/>
      <c r="Z56" s="197"/>
      <c r="AA56" s="195"/>
      <c r="AB56" s="195"/>
      <c r="AC56" s="197" t="e">
        <f t="shared" si="27"/>
        <v>#N/A</v>
      </c>
      <c r="AD56" s="429"/>
      <c r="AE56" s="197"/>
      <c r="AF56" s="195"/>
      <c r="AG56" s="195"/>
      <c r="AH56" s="197" t="e">
        <f t="shared" si="28"/>
        <v>#N/A</v>
      </c>
      <c r="AI56" s="429"/>
      <c r="AJ56" s="197"/>
      <c r="AK56" s="195"/>
      <c r="AL56" s="195"/>
      <c r="AM56" s="197" t="e">
        <f t="shared" si="29"/>
        <v>#N/A</v>
      </c>
      <c r="AN56" s="429"/>
      <c r="AO56" s="197"/>
      <c r="AP56" s="195"/>
      <c r="AQ56" s="195"/>
      <c r="AR56" s="197" t="e">
        <f t="shared" si="30"/>
        <v>#N/A</v>
      </c>
      <c r="AS56" s="429"/>
      <c r="AT56" s="197"/>
      <c r="AU56" s="195"/>
      <c r="AV56" s="195"/>
      <c r="AW56" s="197" t="e">
        <f t="shared" si="31"/>
        <v>#N/A</v>
      </c>
      <c r="AX56" s="432"/>
    </row>
    <row r="57" spans="2:50">
      <c r="B57" s="422"/>
      <c r="C57" s="197">
        <v>11</v>
      </c>
      <c r="D57" s="225"/>
      <c r="E57" s="169"/>
      <c r="F57" s="197"/>
      <c r="G57" s="195"/>
      <c r="H57" s="429"/>
      <c r="I57" s="197"/>
      <c r="J57" s="197"/>
      <c r="K57" s="197"/>
      <c r="L57" s="429"/>
      <c r="M57" s="196" t="e">
        <f>RANK(K57, K$87:$K$101)</f>
        <v>#DIV/0!</v>
      </c>
      <c r="N57" s="423"/>
      <c r="O57" s="423"/>
      <c r="P57" s="197"/>
      <c r="Q57" s="195"/>
      <c r="R57" s="195"/>
      <c r="S57" s="197" t="e">
        <f t="shared" si="25"/>
        <v>#N/A</v>
      </c>
      <c r="T57" s="429"/>
      <c r="U57" s="197"/>
      <c r="V57" s="195"/>
      <c r="W57" s="195"/>
      <c r="X57" s="197" t="e">
        <f t="shared" si="26"/>
        <v>#N/A</v>
      </c>
      <c r="Y57" s="429"/>
      <c r="Z57" s="197"/>
      <c r="AA57" s="195"/>
      <c r="AB57" s="195"/>
      <c r="AC57" s="197" t="e">
        <f t="shared" si="27"/>
        <v>#N/A</v>
      </c>
      <c r="AD57" s="429"/>
      <c r="AE57" s="197"/>
      <c r="AF57" s="195"/>
      <c r="AG57" s="195"/>
      <c r="AH57" s="197" t="e">
        <f t="shared" si="28"/>
        <v>#N/A</v>
      </c>
      <c r="AI57" s="429"/>
      <c r="AJ57" s="197"/>
      <c r="AK57" s="195"/>
      <c r="AL57" s="195"/>
      <c r="AM57" s="197" t="e">
        <f t="shared" si="29"/>
        <v>#N/A</v>
      </c>
      <c r="AN57" s="429"/>
      <c r="AO57" s="197"/>
      <c r="AP57" s="195"/>
      <c r="AQ57" s="195"/>
      <c r="AR57" s="197" t="e">
        <f t="shared" si="30"/>
        <v>#N/A</v>
      </c>
      <c r="AS57" s="429"/>
      <c r="AT57" s="197"/>
      <c r="AU57" s="195"/>
      <c r="AV57" s="195"/>
      <c r="AW57" s="197" t="e">
        <f t="shared" si="31"/>
        <v>#N/A</v>
      </c>
      <c r="AX57" s="432"/>
    </row>
    <row r="58" spans="2:50">
      <c r="B58" s="422"/>
      <c r="C58" s="197">
        <v>12</v>
      </c>
      <c r="D58" s="225"/>
      <c r="E58" s="169"/>
      <c r="F58" s="197"/>
      <c r="G58" s="195"/>
      <c r="H58" s="429"/>
      <c r="I58" s="197"/>
      <c r="J58" s="197"/>
      <c r="K58" s="197"/>
      <c r="L58" s="429"/>
      <c r="M58" s="196" t="e">
        <f>RANK(K58, K$87:$K$101)</f>
        <v>#DIV/0!</v>
      </c>
      <c r="N58" s="423"/>
      <c r="O58" s="423"/>
      <c r="P58" s="197"/>
      <c r="Q58" s="195"/>
      <c r="R58" s="195"/>
      <c r="S58" s="197" t="e">
        <f t="shared" si="25"/>
        <v>#N/A</v>
      </c>
      <c r="T58" s="429"/>
      <c r="U58" s="197"/>
      <c r="V58" s="195"/>
      <c r="W58" s="195"/>
      <c r="X58" s="197" t="e">
        <f t="shared" si="26"/>
        <v>#N/A</v>
      </c>
      <c r="Y58" s="429"/>
      <c r="Z58" s="197"/>
      <c r="AA58" s="195"/>
      <c r="AB58" s="195"/>
      <c r="AC58" s="197" t="e">
        <f t="shared" si="27"/>
        <v>#N/A</v>
      </c>
      <c r="AD58" s="429"/>
      <c r="AE58" s="197"/>
      <c r="AF58" s="195"/>
      <c r="AG58" s="195"/>
      <c r="AH58" s="197" t="e">
        <f t="shared" si="28"/>
        <v>#N/A</v>
      </c>
      <c r="AI58" s="429"/>
      <c r="AJ58" s="197"/>
      <c r="AK58" s="195"/>
      <c r="AL58" s="195"/>
      <c r="AM58" s="197" t="e">
        <f t="shared" si="29"/>
        <v>#N/A</v>
      </c>
      <c r="AN58" s="429"/>
      <c r="AO58" s="197"/>
      <c r="AP58" s="195"/>
      <c r="AQ58" s="195"/>
      <c r="AR58" s="197" t="e">
        <f t="shared" si="30"/>
        <v>#N/A</v>
      </c>
      <c r="AS58" s="429"/>
      <c r="AT58" s="197"/>
      <c r="AU58" s="195"/>
      <c r="AV58" s="195"/>
      <c r="AW58" s="197" t="e">
        <f t="shared" si="31"/>
        <v>#N/A</v>
      </c>
      <c r="AX58" s="432"/>
    </row>
    <row r="59" spans="2:50">
      <c r="B59" s="422"/>
      <c r="C59" s="197">
        <v>13</v>
      </c>
      <c r="D59" s="225"/>
      <c r="E59" s="169"/>
      <c r="F59" s="197"/>
      <c r="G59" s="195"/>
      <c r="H59" s="429"/>
      <c r="I59" s="197"/>
      <c r="J59" s="197"/>
      <c r="K59" s="197"/>
      <c r="L59" s="429"/>
      <c r="M59" s="196" t="e">
        <f>RANK(K59, K$87:$K$101)</f>
        <v>#DIV/0!</v>
      </c>
      <c r="N59" s="423"/>
      <c r="O59" s="423"/>
      <c r="P59" s="197"/>
      <c r="Q59" s="195"/>
      <c r="R59" s="195"/>
      <c r="S59" s="197" t="e">
        <f t="shared" si="25"/>
        <v>#N/A</v>
      </c>
      <c r="T59" s="429"/>
      <c r="U59" s="197"/>
      <c r="V59" s="195"/>
      <c r="W59" s="195"/>
      <c r="X59" s="197" t="e">
        <f t="shared" si="26"/>
        <v>#N/A</v>
      </c>
      <c r="Y59" s="429"/>
      <c r="Z59" s="197"/>
      <c r="AA59" s="195"/>
      <c r="AB59" s="195"/>
      <c r="AC59" s="197" t="e">
        <f t="shared" si="27"/>
        <v>#N/A</v>
      </c>
      <c r="AD59" s="429"/>
      <c r="AE59" s="197"/>
      <c r="AF59" s="195"/>
      <c r="AG59" s="195"/>
      <c r="AH59" s="197" t="e">
        <f t="shared" si="28"/>
        <v>#N/A</v>
      </c>
      <c r="AI59" s="429"/>
      <c r="AJ59" s="197"/>
      <c r="AK59" s="195"/>
      <c r="AL59" s="195"/>
      <c r="AM59" s="197" t="e">
        <f t="shared" si="29"/>
        <v>#N/A</v>
      </c>
      <c r="AN59" s="429"/>
      <c r="AO59" s="197"/>
      <c r="AP59" s="195"/>
      <c r="AQ59" s="195"/>
      <c r="AR59" s="197" t="e">
        <f t="shared" si="30"/>
        <v>#N/A</v>
      </c>
      <c r="AS59" s="429"/>
      <c r="AT59" s="197"/>
      <c r="AU59" s="195"/>
      <c r="AV59" s="195"/>
      <c r="AW59" s="197" t="e">
        <f t="shared" si="31"/>
        <v>#N/A</v>
      </c>
      <c r="AX59" s="432"/>
    </row>
    <row r="60" spans="2:50">
      <c r="B60" s="422"/>
      <c r="C60" s="197">
        <v>14</v>
      </c>
      <c r="D60" s="225"/>
      <c r="E60" s="169"/>
      <c r="F60" s="197"/>
      <c r="G60" s="195"/>
      <c r="H60" s="429"/>
      <c r="I60" s="197"/>
      <c r="J60" s="197"/>
      <c r="K60" s="197"/>
      <c r="L60" s="429"/>
      <c r="M60" s="196" t="e">
        <f>RANK(K60, K$87:$K$101)</f>
        <v>#DIV/0!</v>
      </c>
      <c r="N60" s="423"/>
      <c r="O60" s="423"/>
      <c r="P60" s="197"/>
      <c r="Q60" s="195"/>
      <c r="R60" s="195"/>
      <c r="S60" s="197" t="e">
        <f t="shared" si="25"/>
        <v>#N/A</v>
      </c>
      <c r="T60" s="429"/>
      <c r="U60" s="197"/>
      <c r="V60" s="195"/>
      <c r="W60" s="195"/>
      <c r="X60" s="197" t="e">
        <f t="shared" si="26"/>
        <v>#N/A</v>
      </c>
      <c r="Y60" s="429"/>
      <c r="Z60" s="197"/>
      <c r="AA60" s="195"/>
      <c r="AB60" s="195"/>
      <c r="AC60" s="197" t="e">
        <f t="shared" si="27"/>
        <v>#N/A</v>
      </c>
      <c r="AD60" s="429"/>
      <c r="AE60" s="197"/>
      <c r="AF60" s="195"/>
      <c r="AG60" s="195"/>
      <c r="AH60" s="197" t="e">
        <f t="shared" si="28"/>
        <v>#N/A</v>
      </c>
      <c r="AI60" s="429"/>
      <c r="AJ60" s="197"/>
      <c r="AK60" s="195"/>
      <c r="AL60" s="195"/>
      <c r="AM60" s="197" t="e">
        <f t="shared" si="29"/>
        <v>#N/A</v>
      </c>
      <c r="AN60" s="429"/>
      <c r="AO60" s="197"/>
      <c r="AP60" s="195"/>
      <c r="AQ60" s="195"/>
      <c r="AR60" s="197" t="e">
        <f t="shared" si="30"/>
        <v>#N/A</v>
      </c>
      <c r="AS60" s="429"/>
      <c r="AT60" s="197"/>
      <c r="AU60" s="195"/>
      <c r="AV60" s="195"/>
      <c r="AW60" s="197" t="e">
        <f t="shared" si="31"/>
        <v>#N/A</v>
      </c>
      <c r="AX60" s="432"/>
    </row>
    <row r="61" spans="2:50">
      <c r="B61" s="422"/>
      <c r="C61" s="197">
        <v>15</v>
      </c>
      <c r="D61" s="225"/>
      <c r="E61" s="169"/>
      <c r="F61" s="197"/>
      <c r="G61" s="195"/>
      <c r="H61" s="430"/>
      <c r="I61" s="197"/>
      <c r="J61" s="197"/>
      <c r="K61" s="197"/>
      <c r="L61" s="430"/>
      <c r="M61" s="169" t="e">
        <f>RANK(K61, K$87:$K$101)</f>
        <v>#DIV/0!</v>
      </c>
      <c r="N61" s="423"/>
      <c r="O61" s="423"/>
      <c r="P61" s="197"/>
      <c r="Q61" s="195"/>
      <c r="R61" s="195"/>
      <c r="S61" s="197" t="e">
        <f t="shared" si="25"/>
        <v>#N/A</v>
      </c>
      <c r="T61" s="430"/>
      <c r="U61" s="197"/>
      <c r="V61" s="195"/>
      <c r="W61" s="195"/>
      <c r="X61" s="197" t="e">
        <f t="shared" si="26"/>
        <v>#N/A</v>
      </c>
      <c r="Y61" s="430"/>
      <c r="Z61" s="197"/>
      <c r="AA61" s="195"/>
      <c r="AB61" s="195"/>
      <c r="AC61" s="197" t="e">
        <f t="shared" si="27"/>
        <v>#N/A</v>
      </c>
      <c r="AD61" s="430"/>
      <c r="AE61" s="197"/>
      <c r="AF61" s="195"/>
      <c r="AG61" s="195"/>
      <c r="AH61" s="197" t="e">
        <f t="shared" si="28"/>
        <v>#N/A</v>
      </c>
      <c r="AI61" s="430"/>
      <c r="AJ61" s="197"/>
      <c r="AK61" s="195"/>
      <c r="AL61" s="195"/>
      <c r="AM61" s="197" t="e">
        <f t="shared" si="29"/>
        <v>#N/A</v>
      </c>
      <c r="AN61" s="430"/>
      <c r="AO61" s="197"/>
      <c r="AP61" s="195"/>
      <c r="AQ61" s="195"/>
      <c r="AR61" s="197" t="e">
        <f t="shared" si="30"/>
        <v>#N/A</v>
      </c>
      <c r="AS61" s="430"/>
      <c r="AT61" s="197"/>
      <c r="AU61" s="195"/>
      <c r="AV61" s="195"/>
      <c r="AW61" s="197" t="e">
        <f t="shared" si="31"/>
        <v>#N/A</v>
      </c>
      <c r="AX61" s="432"/>
    </row>
    <row r="62" spans="2:50" ht="15.75">
      <c r="B62" s="396" t="s">
        <v>202</v>
      </c>
      <c r="C62" s="427"/>
      <c r="D62" s="427"/>
      <c r="E62" s="427"/>
      <c r="F62" s="427"/>
      <c r="G62" s="427"/>
      <c r="H62" s="427"/>
      <c r="I62" s="201"/>
      <c r="J62" s="201"/>
      <c r="K62" s="201"/>
      <c r="L62" s="201"/>
      <c r="M62" s="200"/>
      <c r="N62" s="401" t="s">
        <v>203</v>
      </c>
      <c r="O62" s="401" t="s">
        <v>150</v>
      </c>
      <c r="P62" s="421">
        <f>P42+7</f>
        <v>45916</v>
      </c>
      <c r="Q62" s="422"/>
      <c r="R62" s="422"/>
      <c r="S62" s="422"/>
      <c r="T62" s="422"/>
      <c r="U62" s="416">
        <f>P62+1</f>
        <v>45917</v>
      </c>
      <c r="V62" s="417"/>
      <c r="W62" s="417"/>
      <c r="X62" s="417"/>
      <c r="Y62" s="418"/>
      <c r="Z62" s="416">
        <f>U62+1</f>
        <v>45918</v>
      </c>
      <c r="AA62" s="417"/>
      <c r="AB62" s="417"/>
      <c r="AC62" s="417"/>
      <c r="AD62" s="418"/>
      <c r="AE62" s="416">
        <f t="shared" ref="AE62" si="32">Z62+1</f>
        <v>45919</v>
      </c>
      <c r="AF62" s="417"/>
      <c r="AG62" s="417"/>
      <c r="AH62" s="417"/>
      <c r="AI62" s="418"/>
      <c r="AJ62" s="416">
        <f t="shared" ref="AJ62" si="33">AE62+1</f>
        <v>45920</v>
      </c>
      <c r="AK62" s="417"/>
      <c r="AL62" s="417"/>
      <c r="AM62" s="417"/>
      <c r="AN62" s="418"/>
      <c r="AO62" s="416">
        <f t="shared" ref="AO62" si="34">AJ62+1</f>
        <v>45921</v>
      </c>
      <c r="AP62" s="417"/>
      <c r="AQ62" s="417"/>
      <c r="AR62" s="417"/>
      <c r="AS62" s="418"/>
      <c r="AT62" s="416">
        <f t="shared" ref="AT62" si="35">AO62+1</f>
        <v>45922</v>
      </c>
      <c r="AU62" s="417"/>
      <c r="AV62" s="417"/>
      <c r="AW62" s="417"/>
      <c r="AX62" s="418"/>
    </row>
    <row r="63" spans="2:50" ht="15.75">
      <c r="B63" s="426"/>
      <c r="C63" s="426"/>
      <c r="D63" s="426"/>
      <c r="E63" s="426"/>
      <c r="F63" s="426"/>
      <c r="G63" s="426"/>
      <c r="H63" s="426"/>
      <c r="I63" s="199"/>
      <c r="J63" s="199"/>
      <c r="K63" s="199"/>
      <c r="L63" s="199"/>
      <c r="M63" s="194"/>
      <c r="N63" s="403"/>
      <c r="O63" s="403"/>
      <c r="P63" s="421" t="s">
        <v>204</v>
      </c>
      <c r="Q63" s="422"/>
      <c r="R63" s="422"/>
      <c r="S63" s="422"/>
      <c r="T63" s="422"/>
      <c r="U63" s="421" t="s">
        <v>205</v>
      </c>
      <c r="V63" s="422"/>
      <c r="W63" s="422"/>
      <c r="X63" s="422"/>
      <c r="Y63" s="422"/>
      <c r="Z63" s="421" t="s">
        <v>206</v>
      </c>
      <c r="AA63" s="422"/>
      <c r="AB63" s="422"/>
      <c r="AC63" s="422"/>
      <c r="AD63" s="422"/>
      <c r="AE63" s="421" t="s">
        <v>207</v>
      </c>
      <c r="AF63" s="422"/>
      <c r="AG63" s="422"/>
      <c r="AH63" s="422"/>
      <c r="AI63" s="422"/>
      <c r="AJ63" s="421" t="s">
        <v>208</v>
      </c>
      <c r="AK63" s="422"/>
      <c r="AL63" s="422"/>
      <c r="AM63" s="422"/>
      <c r="AN63" s="422"/>
      <c r="AO63" s="421" t="s">
        <v>157</v>
      </c>
      <c r="AP63" s="422"/>
      <c r="AQ63" s="422"/>
      <c r="AR63" s="422"/>
      <c r="AS63" s="422"/>
      <c r="AT63" s="421" t="s">
        <v>209</v>
      </c>
      <c r="AU63" s="422"/>
      <c r="AV63" s="422"/>
      <c r="AW63" s="422"/>
      <c r="AX63" s="422"/>
    </row>
    <row r="64" spans="2:50">
      <c r="B64" s="423" t="s">
        <v>210</v>
      </c>
      <c r="C64" s="423" t="s">
        <v>211</v>
      </c>
      <c r="D64" s="423"/>
      <c r="E64" s="423" t="s">
        <v>212</v>
      </c>
      <c r="F64" s="423"/>
      <c r="G64" s="423"/>
      <c r="H64" s="404" t="s">
        <v>213</v>
      </c>
      <c r="I64" s="423" t="s">
        <v>214</v>
      </c>
      <c r="J64" s="423"/>
      <c r="K64" s="423"/>
      <c r="L64" s="404" t="s">
        <v>213</v>
      </c>
      <c r="M64" s="401" t="s">
        <v>215</v>
      </c>
      <c r="N64" s="423"/>
      <c r="O64" s="423" t="s">
        <v>216</v>
      </c>
      <c r="P64" s="413" t="s">
        <v>217</v>
      </c>
      <c r="Q64" s="414"/>
      <c r="R64" s="414"/>
      <c r="S64" s="415"/>
      <c r="T64" s="423" t="s">
        <v>213</v>
      </c>
      <c r="U64" s="413" t="s">
        <v>217</v>
      </c>
      <c r="V64" s="414"/>
      <c r="W64" s="414"/>
      <c r="X64" s="415"/>
      <c r="Y64" s="423" t="s">
        <v>213</v>
      </c>
      <c r="Z64" s="413" t="s">
        <v>217</v>
      </c>
      <c r="AA64" s="414"/>
      <c r="AB64" s="414"/>
      <c r="AC64" s="415"/>
      <c r="AD64" s="423" t="s">
        <v>213</v>
      </c>
      <c r="AE64" s="413" t="s">
        <v>217</v>
      </c>
      <c r="AF64" s="414"/>
      <c r="AG64" s="414"/>
      <c r="AH64" s="415"/>
      <c r="AI64" s="423" t="s">
        <v>213</v>
      </c>
      <c r="AJ64" s="413" t="s">
        <v>217</v>
      </c>
      <c r="AK64" s="414"/>
      <c r="AL64" s="414"/>
      <c r="AM64" s="415"/>
      <c r="AN64" s="423" t="s">
        <v>213</v>
      </c>
      <c r="AO64" s="413" t="s">
        <v>217</v>
      </c>
      <c r="AP64" s="414"/>
      <c r="AQ64" s="414"/>
      <c r="AR64" s="415"/>
      <c r="AS64" s="423" t="s">
        <v>213</v>
      </c>
      <c r="AT64" s="413" t="s">
        <v>217</v>
      </c>
      <c r="AU64" s="414"/>
      <c r="AV64" s="414"/>
      <c r="AW64" s="415"/>
      <c r="AX64" s="423" t="s">
        <v>213</v>
      </c>
    </row>
    <row r="65" spans="2:50">
      <c r="B65" s="423"/>
      <c r="C65" s="423"/>
      <c r="D65" s="423"/>
      <c r="E65" s="423" t="s">
        <v>218</v>
      </c>
      <c r="F65" s="423"/>
      <c r="G65" s="423"/>
      <c r="H65" s="406"/>
      <c r="I65" s="423" t="s">
        <v>218</v>
      </c>
      <c r="J65" s="423"/>
      <c r="K65" s="423"/>
      <c r="L65" s="406"/>
      <c r="M65" s="402"/>
      <c r="N65" s="423"/>
      <c r="O65" s="423"/>
      <c r="P65" s="413" t="s">
        <v>219</v>
      </c>
      <c r="Q65" s="414"/>
      <c r="R65" s="414"/>
      <c r="S65" s="415"/>
      <c r="T65" s="423"/>
      <c r="U65" s="413" t="s">
        <v>219</v>
      </c>
      <c r="V65" s="414"/>
      <c r="W65" s="414"/>
      <c r="X65" s="415"/>
      <c r="Y65" s="423"/>
      <c r="Z65" s="413" t="s">
        <v>219</v>
      </c>
      <c r="AA65" s="414"/>
      <c r="AB65" s="414"/>
      <c r="AC65" s="415"/>
      <c r="AD65" s="423"/>
      <c r="AE65" s="413" t="s">
        <v>219</v>
      </c>
      <c r="AF65" s="414"/>
      <c r="AG65" s="414"/>
      <c r="AH65" s="415"/>
      <c r="AI65" s="423"/>
      <c r="AJ65" s="413" t="s">
        <v>219</v>
      </c>
      <c r="AK65" s="414"/>
      <c r="AL65" s="414"/>
      <c r="AM65" s="415"/>
      <c r="AN65" s="423"/>
      <c r="AO65" s="413" t="s">
        <v>219</v>
      </c>
      <c r="AP65" s="414"/>
      <c r="AQ65" s="414"/>
      <c r="AR65" s="415"/>
      <c r="AS65" s="423"/>
      <c r="AT65" s="413" t="s">
        <v>219</v>
      </c>
      <c r="AU65" s="414"/>
      <c r="AV65" s="414"/>
      <c r="AW65" s="415"/>
      <c r="AX65" s="423"/>
    </row>
    <row r="66" spans="2:50">
      <c r="B66" s="423"/>
      <c r="C66" s="423"/>
      <c r="D66" s="423"/>
      <c r="E66" s="297" t="s">
        <v>220</v>
      </c>
      <c r="F66" s="297" t="s">
        <v>221</v>
      </c>
      <c r="G66" s="297" t="s">
        <v>222</v>
      </c>
      <c r="H66" s="408"/>
      <c r="I66" s="297" t="s">
        <v>220</v>
      </c>
      <c r="J66" s="297" t="s">
        <v>221</v>
      </c>
      <c r="K66" s="297" t="s">
        <v>222</v>
      </c>
      <c r="L66" s="408"/>
      <c r="M66" s="403"/>
      <c r="N66" s="423"/>
      <c r="O66" s="423"/>
      <c r="P66" s="297" t="s">
        <v>220</v>
      </c>
      <c r="Q66" s="297" t="s">
        <v>221</v>
      </c>
      <c r="R66" s="297" t="s">
        <v>222</v>
      </c>
      <c r="S66" s="297" t="s">
        <v>215</v>
      </c>
      <c r="T66" s="423"/>
      <c r="U66" s="297" t="s">
        <v>220</v>
      </c>
      <c r="V66" s="297" t="s">
        <v>221</v>
      </c>
      <c r="W66" s="297" t="s">
        <v>222</v>
      </c>
      <c r="X66" s="297" t="s">
        <v>215</v>
      </c>
      <c r="Y66" s="423"/>
      <c r="Z66" s="297" t="s">
        <v>220</v>
      </c>
      <c r="AA66" s="297" t="s">
        <v>221</v>
      </c>
      <c r="AB66" s="297" t="s">
        <v>222</v>
      </c>
      <c r="AC66" s="297" t="s">
        <v>215</v>
      </c>
      <c r="AD66" s="423"/>
      <c r="AE66" s="297" t="s">
        <v>220</v>
      </c>
      <c r="AF66" s="297" t="s">
        <v>221</v>
      </c>
      <c r="AG66" s="297" t="s">
        <v>222</v>
      </c>
      <c r="AH66" s="297" t="s">
        <v>215</v>
      </c>
      <c r="AI66" s="423"/>
      <c r="AJ66" s="297" t="s">
        <v>220</v>
      </c>
      <c r="AK66" s="297" t="s">
        <v>221</v>
      </c>
      <c r="AL66" s="297" t="s">
        <v>222</v>
      </c>
      <c r="AM66" s="297" t="s">
        <v>215</v>
      </c>
      <c r="AN66" s="423"/>
      <c r="AO66" s="297" t="s">
        <v>220</v>
      </c>
      <c r="AP66" s="297" t="s">
        <v>221</v>
      </c>
      <c r="AQ66" s="297" t="s">
        <v>222</v>
      </c>
      <c r="AR66" s="297" t="s">
        <v>215</v>
      </c>
      <c r="AS66" s="423"/>
      <c r="AT66" s="297" t="s">
        <v>220</v>
      </c>
      <c r="AU66" s="297" t="s">
        <v>221</v>
      </c>
      <c r="AV66" s="297" t="s">
        <v>222</v>
      </c>
      <c r="AW66" s="297" t="s">
        <v>215</v>
      </c>
      <c r="AX66" s="423"/>
    </row>
    <row r="67" spans="2:50">
      <c r="B67" s="423" t="s">
        <v>188</v>
      </c>
      <c r="C67" s="197">
        <v>1</v>
      </c>
      <c r="D67" s="225"/>
      <c r="E67" s="169"/>
      <c r="F67" s="197"/>
      <c r="G67" s="195"/>
      <c r="H67" s="428" t="e">
        <f>AVERAGE(G67:G81)</f>
        <v>#DIV/0!</v>
      </c>
      <c r="I67" s="169" t="e">
        <f>AVERAGE(P67,U67,Z67,AE67,AJ67,AO67,AT67)</f>
        <v>#DIV/0!</v>
      </c>
      <c r="J67" s="169" t="e">
        <f>AVERAGE(Q67,V67,AA67,AF67,AK67,AP67,AU67)</f>
        <v>#DIV/0!</v>
      </c>
      <c r="K67" s="195" t="e">
        <f>AVERAGE(R67,W67,AB67,AG67,AL67,AQ67,AV67)</f>
        <v>#DIV/0!</v>
      </c>
      <c r="L67" s="428" t="str">
        <f>IFERROR(AVERAGE(K67:K81),"-")</f>
        <v>-</v>
      </c>
      <c r="M67" s="196" t="e">
        <f>RANK(K67, K$87:$K$101)</f>
        <v>#DIV/0!</v>
      </c>
      <c r="N67" s="423"/>
      <c r="O67" s="423"/>
      <c r="P67" s="197"/>
      <c r="Q67" s="195"/>
      <c r="R67" s="195"/>
      <c r="S67" s="197" t="e">
        <f>RANK(R67, R$87:R$101)</f>
        <v>#N/A</v>
      </c>
      <c r="T67" s="428" t="e">
        <f>AVERAGE(R67:R81)</f>
        <v>#DIV/0!</v>
      </c>
      <c r="U67" s="197"/>
      <c r="V67" s="195"/>
      <c r="W67" s="195"/>
      <c r="X67" s="197" t="e">
        <f>RANK(W67, W$87:W$101)</f>
        <v>#N/A</v>
      </c>
      <c r="Y67" s="428" t="e">
        <f>AVERAGE(W67:W81)</f>
        <v>#DIV/0!</v>
      </c>
      <c r="Z67" s="197"/>
      <c r="AA67" s="195"/>
      <c r="AB67" s="195"/>
      <c r="AC67" s="197" t="e">
        <f>RANK(AB67, AB$87:AB$101)</f>
        <v>#N/A</v>
      </c>
      <c r="AD67" s="428" t="e">
        <f>AVERAGE(AB67:AB81)</f>
        <v>#DIV/0!</v>
      </c>
      <c r="AE67" s="197"/>
      <c r="AF67" s="195"/>
      <c r="AG67" s="195"/>
      <c r="AH67" s="197" t="e">
        <f>RANK(AG67, AG$87:AG$101)</f>
        <v>#N/A</v>
      </c>
      <c r="AI67" s="428" t="e">
        <f>AVERAGE(AG67:AG81)</f>
        <v>#DIV/0!</v>
      </c>
      <c r="AJ67" s="197"/>
      <c r="AK67" s="195"/>
      <c r="AL67" s="195"/>
      <c r="AM67" s="197" t="e">
        <f>RANK(AL67, AL$87:AL$101)</f>
        <v>#N/A</v>
      </c>
      <c r="AN67" s="428" t="e">
        <f>AVERAGE(AL67:AL81)</f>
        <v>#DIV/0!</v>
      </c>
      <c r="AO67" s="197"/>
      <c r="AP67" s="195"/>
      <c r="AQ67" s="195"/>
      <c r="AR67" s="197" t="e">
        <f>RANK(AQ67, AQ$87:AQ$101)</f>
        <v>#N/A</v>
      </c>
      <c r="AS67" s="428" t="e">
        <f>AVERAGE(AQ67:AQ81)</f>
        <v>#DIV/0!</v>
      </c>
      <c r="AT67" s="197"/>
      <c r="AU67" s="195"/>
      <c r="AV67" s="195"/>
      <c r="AW67" s="197" t="e">
        <f>RANK(AV67, AV$87:AV$101)</f>
        <v>#N/A</v>
      </c>
      <c r="AX67" s="432" t="e">
        <f>AVERAGE(AV67:AV81)</f>
        <v>#DIV/0!</v>
      </c>
    </row>
    <row r="68" spans="2:50">
      <c r="B68" s="422"/>
      <c r="C68" s="197">
        <v>2</v>
      </c>
      <c r="D68" s="225"/>
      <c r="E68" s="169"/>
      <c r="F68" s="197"/>
      <c r="G68" s="195"/>
      <c r="H68" s="429"/>
      <c r="I68" s="169" t="e">
        <f t="shared" ref="I68:I74" si="36">AVERAGE(P68,U68,Z68,AE68,AJ68,AO68,AT68)</f>
        <v>#DIV/0!</v>
      </c>
      <c r="J68" s="169" t="e">
        <f t="shared" ref="J68:J74" si="37">AVERAGE(Q68,V68,AA68,AF68,AK68,AP68,AU68)</f>
        <v>#DIV/0!</v>
      </c>
      <c r="K68" s="195" t="e">
        <f t="shared" ref="K68:K74" si="38">AVERAGE(R68,W68,AB68,AG68,AL68,AQ68,AV68)</f>
        <v>#DIV/0!</v>
      </c>
      <c r="L68" s="429"/>
      <c r="M68" s="196" t="e">
        <f>RANK(K68, K$87:$K$101)</f>
        <v>#DIV/0!</v>
      </c>
      <c r="N68" s="423"/>
      <c r="O68" s="423"/>
      <c r="P68" s="197"/>
      <c r="Q68" s="195"/>
      <c r="R68" s="195"/>
      <c r="S68" s="197" t="e">
        <f t="shared" ref="S68:S81" si="39">RANK(R68, R$87:R$101)</f>
        <v>#N/A</v>
      </c>
      <c r="T68" s="429"/>
      <c r="U68" s="197"/>
      <c r="V68" s="195"/>
      <c r="W68" s="195"/>
      <c r="X68" s="197" t="e">
        <f t="shared" ref="X68:X81" si="40">RANK(W68, W$87:W$101)</f>
        <v>#N/A</v>
      </c>
      <c r="Y68" s="429"/>
      <c r="Z68" s="197"/>
      <c r="AA68" s="195"/>
      <c r="AB68" s="195"/>
      <c r="AC68" s="197" t="e">
        <f t="shared" ref="AC68:AC81" si="41">RANK(AB68, AB$87:AB$101)</f>
        <v>#N/A</v>
      </c>
      <c r="AD68" s="429"/>
      <c r="AE68" s="197"/>
      <c r="AF68" s="195"/>
      <c r="AG68" s="195"/>
      <c r="AH68" s="197" t="e">
        <f t="shared" ref="AH68:AH81" si="42">RANK(AG68, AG$87:AG$101)</f>
        <v>#N/A</v>
      </c>
      <c r="AI68" s="429"/>
      <c r="AJ68" s="197"/>
      <c r="AK68" s="195"/>
      <c r="AL68" s="195"/>
      <c r="AM68" s="197" t="e">
        <f t="shared" ref="AM68:AM81" si="43">RANK(AL68, AL$87:AL$101)</f>
        <v>#N/A</v>
      </c>
      <c r="AN68" s="429"/>
      <c r="AO68" s="197"/>
      <c r="AP68" s="195"/>
      <c r="AQ68" s="195"/>
      <c r="AR68" s="197" t="e">
        <f t="shared" ref="AR68:AR81" si="44">RANK(AQ68, AQ$87:AQ$101)</f>
        <v>#N/A</v>
      </c>
      <c r="AS68" s="429"/>
      <c r="AT68" s="197"/>
      <c r="AU68" s="195"/>
      <c r="AV68" s="195"/>
      <c r="AW68" s="197" t="e">
        <f t="shared" ref="AW68:AW81" si="45">RANK(AV68, AV$87:AV$101)</f>
        <v>#N/A</v>
      </c>
      <c r="AX68" s="432"/>
    </row>
    <row r="69" spans="2:50">
      <c r="B69" s="422"/>
      <c r="C69" s="197">
        <v>3</v>
      </c>
      <c r="D69" s="225"/>
      <c r="E69" s="169"/>
      <c r="F69" s="197"/>
      <c r="G69" s="195"/>
      <c r="H69" s="429"/>
      <c r="I69" s="169" t="e">
        <f t="shared" si="36"/>
        <v>#DIV/0!</v>
      </c>
      <c r="J69" s="169" t="e">
        <f t="shared" si="37"/>
        <v>#DIV/0!</v>
      </c>
      <c r="K69" s="195" t="e">
        <f t="shared" si="38"/>
        <v>#DIV/0!</v>
      </c>
      <c r="L69" s="429"/>
      <c r="M69" s="196" t="e">
        <f>RANK(K69, K$87:$K$101)</f>
        <v>#DIV/0!</v>
      </c>
      <c r="N69" s="423"/>
      <c r="O69" s="423"/>
      <c r="P69" s="197"/>
      <c r="Q69" s="195"/>
      <c r="R69" s="195"/>
      <c r="S69" s="197" t="e">
        <f t="shared" si="39"/>
        <v>#N/A</v>
      </c>
      <c r="T69" s="429"/>
      <c r="U69" s="197"/>
      <c r="V69" s="195"/>
      <c r="W69" s="195"/>
      <c r="X69" s="197" t="e">
        <f t="shared" si="40"/>
        <v>#N/A</v>
      </c>
      <c r="Y69" s="429"/>
      <c r="Z69" s="197"/>
      <c r="AA69" s="195"/>
      <c r="AB69" s="195"/>
      <c r="AC69" s="197" t="e">
        <f t="shared" si="41"/>
        <v>#N/A</v>
      </c>
      <c r="AD69" s="429"/>
      <c r="AE69" s="197"/>
      <c r="AF69" s="195"/>
      <c r="AG69" s="195"/>
      <c r="AH69" s="197" t="e">
        <f t="shared" si="42"/>
        <v>#N/A</v>
      </c>
      <c r="AI69" s="429"/>
      <c r="AJ69" s="197"/>
      <c r="AK69" s="195"/>
      <c r="AL69" s="195"/>
      <c r="AM69" s="197" t="e">
        <f t="shared" si="43"/>
        <v>#N/A</v>
      </c>
      <c r="AN69" s="429"/>
      <c r="AO69" s="197"/>
      <c r="AP69" s="195"/>
      <c r="AQ69" s="195"/>
      <c r="AR69" s="197" t="e">
        <f t="shared" si="44"/>
        <v>#N/A</v>
      </c>
      <c r="AS69" s="429"/>
      <c r="AT69" s="197"/>
      <c r="AU69" s="195"/>
      <c r="AV69" s="195"/>
      <c r="AW69" s="197" t="e">
        <f t="shared" si="45"/>
        <v>#N/A</v>
      </c>
      <c r="AX69" s="432"/>
    </row>
    <row r="70" spans="2:50">
      <c r="B70" s="422"/>
      <c r="C70" s="197">
        <v>4</v>
      </c>
      <c r="D70" s="225"/>
      <c r="E70" s="169"/>
      <c r="F70" s="197"/>
      <c r="G70" s="195"/>
      <c r="H70" s="429"/>
      <c r="I70" s="169" t="e">
        <f t="shared" si="36"/>
        <v>#DIV/0!</v>
      </c>
      <c r="J70" s="169" t="e">
        <f t="shared" si="37"/>
        <v>#DIV/0!</v>
      </c>
      <c r="K70" s="195" t="e">
        <f t="shared" si="38"/>
        <v>#DIV/0!</v>
      </c>
      <c r="L70" s="429"/>
      <c r="M70" s="196" t="e">
        <f>RANK(K70, K$87:$K$101)</f>
        <v>#DIV/0!</v>
      </c>
      <c r="N70" s="423"/>
      <c r="O70" s="423"/>
      <c r="P70" s="197"/>
      <c r="Q70" s="195"/>
      <c r="R70" s="195"/>
      <c r="S70" s="197" t="e">
        <f t="shared" si="39"/>
        <v>#N/A</v>
      </c>
      <c r="T70" s="429"/>
      <c r="U70" s="197"/>
      <c r="V70" s="195"/>
      <c r="W70" s="195"/>
      <c r="X70" s="197" t="e">
        <f t="shared" si="40"/>
        <v>#N/A</v>
      </c>
      <c r="Y70" s="429"/>
      <c r="Z70" s="197"/>
      <c r="AA70" s="195"/>
      <c r="AB70" s="195"/>
      <c r="AC70" s="197" t="e">
        <f t="shared" si="41"/>
        <v>#N/A</v>
      </c>
      <c r="AD70" s="429"/>
      <c r="AE70" s="197"/>
      <c r="AF70" s="195"/>
      <c r="AG70" s="195"/>
      <c r="AH70" s="197" t="e">
        <f t="shared" si="42"/>
        <v>#N/A</v>
      </c>
      <c r="AI70" s="429"/>
      <c r="AJ70" s="197"/>
      <c r="AK70" s="195"/>
      <c r="AL70" s="195"/>
      <c r="AM70" s="197" t="e">
        <f t="shared" si="43"/>
        <v>#N/A</v>
      </c>
      <c r="AN70" s="429"/>
      <c r="AO70" s="197"/>
      <c r="AP70" s="195"/>
      <c r="AQ70" s="195"/>
      <c r="AR70" s="197" t="e">
        <f t="shared" si="44"/>
        <v>#N/A</v>
      </c>
      <c r="AS70" s="429"/>
      <c r="AT70" s="197"/>
      <c r="AU70" s="195"/>
      <c r="AV70" s="195"/>
      <c r="AW70" s="197" t="e">
        <f t="shared" si="45"/>
        <v>#N/A</v>
      </c>
      <c r="AX70" s="432"/>
    </row>
    <row r="71" spans="2:50">
      <c r="B71" s="422"/>
      <c r="C71" s="197">
        <v>5</v>
      </c>
      <c r="D71" s="225"/>
      <c r="E71" s="169"/>
      <c r="F71" s="197"/>
      <c r="G71" s="195"/>
      <c r="H71" s="429"/>
      <c r="I71" s="169" t="e">
        <f t="shared" si="36"/>
        <v>#DIV/0!</v>
      </c>
      <c r="J71" s="169" t="e">
        <f t="shared" si="37"/>
        <v>#DIV/0!</v>
      </c>
      <c r="K71" s="195" t="e">
        <f t="shared" si="38"/>
        <v>#DIV/0!</v>
      </c>
      <c r="L71" s="429"/>
      <c r="M71" s="196" t="e">
        <f>RANK(K71, K$87:$K$101)</f>
        <v>#DIV/0!</v>
      </c>
      <c r="N71" s="423"/>
      <c r="O71" s="423"/>
      <c r="P71" s="197"/>
      <c r="Q71" s="195"/>
      <c r="R71" s="195"/>
      <c r="S71" s="197" t="e">
        <f t="shared" si="39"/>
        <v>#N/A</v>
      </c>
      <c r="T71" s="429"/>
      <c r="U71" s="197"/>
      <c r="V71" s="195"/>
      <c r="W71" s="195"/>
      <c r="X71" s="197" t="e">
        <f t="shared" si="40"/>
        <v>#N/A</v>
      </c>
      <c r="Y71" s="429"/>
      <c r="Z71" s="197"/>
      <c r="AA71" s="195"/>
      <c r="AB71" s="195"/>
      <c r="AC71" s="197" t="e">
        <f t="shared" si="41"/>
        <v>#N/A</v>
      </c>
      <c r="AD71" s="429"/>
      <c r="AE71" s="197"/>
      <c r="AF71" s="195"/>
      <c r="AG71" s="195"/>
      <c r="AH71" s="197" t="e">
        <f t="shared" si="42"/>
        <v>#N/A</v>
      </c>
      <c r="AI71" s="429"/>
      <c r="AJ71" s="197"/>
      <c r="AK71" s="195"/>
      <c r="AL71" s="195"/>
      <c r="AM71" s="197" t="e">
        <f t="shared" si="43"/>
        <v>#N/A</v>
      </c>
      <c r="AN71" s="429"/>
      <c r="AO71" s="197"/>
      <c r="AP71" s="195"/>
      <c r="AQ71" s="195"/>
      <c r="AR71" s="197" t="e">
        <f t="shared" si="44"/>
        <v>#N/A</v>
      </c>
      <c r="AS71" s="429"/>
      <c r="AT71" s="197"/>
      <c r="AU71" s="195"/>
      <c r="AV71" s="195"/>
      <c r="AW71" s="197" t="e">
        <f t="shared" si="45"/>
        <v>#N/A</v>
      </c>
      <c r="AX71" s="432"/>
    </row>
    <row r="72" spans="2:50">
      <c r="B72" s="422"/>
      <c r="C72" s="197">
        <v>6</v>
      </c>
      <c r="D72" s="225"/>
      <c r="E72" s="169"/>
      <c r="F72" s="197"/>
      <c r="G72" s="195"/>
      <c r="H72" s="429"/>
      <c r="I72" s="169" t="e">
        <f t="shared" si="36"/>
        <v>#DIV/0!</v>
      </c>
      <c r="J72" s="169" t="e">
        <f t="shared" si="37"/>
        <v>#DIV/0!</v>
      </c>
      <c r="K72" s="195" t="e">
        <f t="shared" si="38"/>
        <v>#DIV/0!</v>
      </c>
      <c r="L72" s="429"/>
      <c r="M72" s="196" t="e">
        <f>RANK(K72, K$87:$K$101)</f>
        <v>#DIV/0!</v>
      </c>
      <c r="N72" s="423"/>
      <c r="O72" s="423"/>
      <c r="P72" s="197"/>
      <c r="Q72" s="195"/>
      <c r="R72" s="195"/>
      <c r="S72" s="197" t="e">
        <f t="shared" si="39"/>
        <v>#N/A</v>
      </c>
      <c r="T72" s="429"/>
      <c r="U72" s="197"/>
      <c r="V72" s="195"/>
      <c r="W72" s="195"/>
      <c r="X72" s="197" t="e">
        <f t="shared" si="40"/>
        <v>#N/A</v>
      </c>
      <c r="Y72" s="429"/>
      <c r="Z72" s="197"/>
      <c r="AA72" s="195"/>
      <c r="AB72" s="195"/>
      <c r="AC72" s="197" t="e">
        <f t="shared" si="41"/>
        <v>#N/A</v>
      </c>
      <c r="AD72" s="429"/>
      <c r="AE72" s="197"/>
      <c r="AF72" s="195"/>
      <c r="AG72" s="195"/>
      <c r="AH72" s="197" t="e">
        <f t="shared" si="42"/>
        <v>#N/A</v>
      </c>
      <c r="AI72" s="429"/>
      <c r="AJ72" s="197"/>
      <c r="AK72" s="195"/>
      <c r="AL72" s="195"/>
      <c r="AM72" s="197" t="e">
        <f t="shared" si="43"/>
        <v>#N/A</v>
      </c>
      <c r="AN72" s="429"/>
      <c r="AO72" s="197"/>
      <c r="AP72" s="195"/>
      <c r="AQ72" s="195"/>
      <c r="AR72" s="197" t="e">
        <f t="shared" si="44"/>
        <v>#N/A</v>
      </c>
      <c r="AS72" s="429"/>
      <c r="AT72" s="197"/>
      <c r="AU72" s="195"/>
      <c r="AV72" s="195"/>
      <c r="AW72" s="197" t="e">
        <f t="shared" si="45"/>
        <v>#N/A</v>
      </c>
      <c r="AX72" s="432"/>
    </row>
    <row r="73" spans="2:50">
      <c r="B73" s="422"/>
      <c r="C73" s="197">
        <v>7</v>
      </c>
      <c r="D73" s="225"/>
      <c r="E73" s="169"/>
      <c r="F73" s="197"/>
      <c r="G73" s="195"/>
      <c r="H73" s="429"/>
      <c r="I73" s="169" t="e">
        <f t="shared" si="36"/>
        <v>#DIV/0!</v>
      </c>
      <c r="J73" s="169" t="e">
        <f t="shared" si="37"/>
        <v>#DIV/0!</v>
      </c>
      <c r="K73" s="195" t="e">
        <f t="shared" si="38"/>
        <v>#DIV/0!</v>
      </c>
      <c r="L73" s="429"/>
      <c r="M73" s="196" t="e">
        <f>RANK(K73, K$87:$K$101)</f>
        <v>#DIV/0!</v>
      </c>
      <c r="N73" s="423"/>
      <c r="O73" s="423"/>
      <c r="P73" s="197"/>
      <c r="Q73" s="195"/>
      <c r="R73" s="195"/>
      <c r="S73" s="197" t="e">
        <f t="shared" si="39"/>
        <v>#N/A</v>
      </c>
      <c r="T73" s="429"/>
      <c r="U73" s="197"/>
      <c r="V73" s="195"/>
      <c r="W73" s="195"/>
      <c r="X73" s="197" t="e">
        <f t="shared" si="40"/>
        <v>#N/A</v>
      </c>
      <c r="Y73" s="429"/>
      <c r="Z73" s="197"/>
      <c r="AA73" s="195"/>
      <c r="AB73" s="195"/>
      <c r="AC73" s="197" t="e">
        <f t="shared" si="41"/>
        <v>#N/A</v>
      </c>
      <c r="AD73" s="429"/>
      <c r="AE73" s="197"/>
      <c r="AF73" s="195"/>
      <c r="AG73" s="195"/>
      <c r="AH73" s="197" t="e">
        <f t="shared" si="42"/>
        <v>#N/A</v>
      </c>
      <c r="AI73" s="429"/>
      <c r="AJ73" s="197"/>
      <c r="AK73" s="195"/>
      <c r="AL73" s="195"/>
      <c r="AM73" s="197" t="e">
        <f t="shared" si="43"/>
        <v>#N/A</v>
      </c>
      <c r="AN73" s="429"/>
      <c r="AO73" s="197"/>
      <c r="AP73" s="195"/>
      <c r="AQ73" s="195"/>
      <c r="AR73" s="197" t="e">
        <f t="shared" si="44"/>
        <v>#N/A</v>
      </c>
      <c r="AS73" s="429"/>
      <c r="AT73" s="197"/>
      <c r="AU73" s="195"/>
      <c r="AV73" s="195"/>
      <c r="AW73" s="197" t="e">
        <f t="shared" si="45"/>
        <v>#N/A</v>
      </c>
      <c r="AX73" s="432"/>
    </row>
    <row r="74" spans="2:50">
      <c r="B74" s="422"/>
      <c r="C74" s="197">
        <v>8</v>
      </c>
      <c r="D74" s="225"/>
      <c r="E74" s="169"/>
      <c r="F74" s="197"/>
      <c r="G74" s="195"/>
      <c r="H74" s="429"/>
      <c r="I74" s="169" t="e">
        <f t="shared" si="36"/>
        <v>#DIV/0!</v>
      </c>
      <c r="J74" s="169" t="e">
        <f t="shared" si="37"/>
        <v>#DIV/0!</v>
      </c>
      <c r="K74" s="195" t="e">
        <f t="shared" si="38"/>
        <v>#DIV/0!</v>
      </c>
      <c r="L74" s="429"/>
      <c r="M74" s="196" t="e">
        <f>RANK(K74, K$87:$K$101)</f>
        <v>#DIV/0!</v>
      </c>
      <c r="N74" s="423"/>
      <c r="O74" s="423"/>
      <c r="P74" s="197"/>
      <c r="Q74" s="195"/>
      <c r="R74" s="195"/>
      <c r="S74" s="197" t="e">
        <f t="shared" si="39"/>
        <v>#N/A</v>
      </c>
      <c r="T74" s="429"/>
      <c r="U74" s="197"/>
      <c r="V74" s="195"/>
      <c r="W74" s="195"/>
      <c r="X74" s="197" t="e">
        <f t="shared" si="40"/>
        <v>#N/A</v>
      </c>
      <c r="Y74" s="429"/>
      <c r="Z74" s="197"/>
      <c r="AA74" s="195"/>
      <c r="AB74" s="195"/>
      <c r="AC74" s="197" t="e">
        <f t="shared" si="41"/>
        <v>#N/A</v>
      </c>
      <c r="AD74" s="429"/>
      <c r="AE74" s="197"/>
      <c r="AF74" s="195"/>
      <c r="AG74" s="195"/>
      <c r="AH74" s="197" t="e">
        <f t="shared" si="42"/>
        <v>#N/A</v>
      </c>
      <c r="AI74" s="429"/>
      <c r="AJ74" s="197"/>
      <c r="AK74" s="195"/>
      <c r="AL74" s="195"/>
      <c r="AM74" s="197" t="e">
        <f t="shared" si="43"/>
        <v>#N/A</v>
      </c>
      <c r="AN74" s="429"/>
      <c r="AO74" s="197"/>
      <c r="AP74" s="195"/>
      <c r="AQ74" s="195"/>
      <c r="AR74" s="197" t="e">
        <f t="shared" si="44"/>
        <v>#N/A</v>
      </c>
      <c r="AS74" s="429"/>
      <c r="AT74" s="197"/>
      <c r="AU74" s="195"/>
      <c r="AV74" s="195"/>
      <c r="AW74" s="197" t="e">
        <f t="shared" si="45"/>
        <v>#N/A</v>
      </c>
      <c r="AX74" s="432"/>
    </row>
    <row r="75" spans="2:50">
      <c r="B75" s="422"/>
      <c r="C75" s="197">
        <v>9</v>
      </c>
      <c r="D75" s="225"/>
      <c r="E75" s="169"/>
      <c r="F75" s="197"/>
      <c r="G75" s="195"/>
      <c r="H75" s="429"/>
      <c r="I75" s="169"/>
      <c r="J75" s="169"/>
      <c r="K75" s="195"/>
      <c r="L75" s="429"/>
      <c r="M75" s="196" t="e">
        <f>RANK(K75, K$87:$K$101)</f>
        <v>#DIV/0!</v>
      </c>
      <c r="N75" s="423"/>
      <c r="O75" s="423"/>
      <c r="P75" s="197"/>
      <c r="Q75" s="195"/>
      <c r="R75" s="195"/>
      <c r="S75" s="197" t="e">
        <f t="shared" si="39"/>
        <v>#N/A</v>
      </c>
      <c r="T75" s="429"/>
      <c r="U75" s="197"/>
      <c r="V75" s="195"/>
      <c r="W75" s="195"/>
      <c r="X75" s="197" t="e">
        <f t="shared" si="40"/>
        <v>#N/A</v>
      </c>
      <c r="Y75" s="429"/>
      <c r="Z75" s="197"/>
      <c r="AA75" s="195"/>
      <c r="AB75" s="195"/>
      <c r="AC75" s="197" t="e">
        <f t="shared" si="41"/>
        <v>#N/A</v>
      </c>
      <c r="AD75" s="429"/>
      <c r="AE75" s="197"/>
      <c r="AF75" s="195"/>
      <c r="AG75" s="195"/>
      <c r="AH75" s="197" t="e">
        <f t="shared" si="42"/>
        <v>#N/A</v>
      </c>
      <c r="AI75" s="429"/>
      <c r="AJ75" s="197"/>
      <c r="AK75" s="195"/>
      <c r="AL75" s="195"/>
      <c r="AM75" s="197" t="e">
        <f t="shared" si="43"/>
        <v>#N/A</v>
      </c>
      <c r="AN75" s="429"/>
      <c r="AO75" s="197"/>
      <c r="AP75" s="195"/>
      <c r="AQ75" s="195"/>
      <c r="AR75" s="197" t="e">
        <f t="shared" si="44"/>
        <v>#N/A</v>
      </c>
      <c r="AS75" s="429"/>
      <c r="AT75" s="197"/>
      <c r="AU75" s="195"/>
      <c r="AV75" s="195"/>
      <c r="AW75" s="197" t="e">
        <f t="shared" si="45"/>
        <v>#N/A</v>
      </c>
      <c r="AX75" s="432"/>
    </row>
    <row r="76" spans="2:50">
      <c r="B76" s="422"/>
      <c r="C76" s="197">
        <v>10</v>
      </c>
      <c r="D76" s="225"/>
      <c r="E76" s="169"/>
      <c r="F76" s="197"/>
      <c r="G76" s="195"/>
      <c r="H76" s="429"/>
      <c r="I76" s="169"/>
      <c r="J76" s="169"/>
      <c r="K76" s="195"/>
      <c r="L76" s="429"/>
      <c r="M76" s="196" t="e">
        <f>RANK(K76, K$87:$K$101)</f>
        <v>#DIV/0!</v>
      </c>
      <c r="N76" s="423"/>
      <c r="O76" s="423"/>
      <c r="P76" s="197"/>
      <c r="Q76" s="195"/>
      <c r="R76" s="195"/>
      <c r="S76" s="197" t="e">
        <f t="shared" si="39"/>
        <v>#N/A</v>
      </c>
      <c r="T76" s="429"/>
      <c r="U76" s="197"/>
      <c r="V76" s="195"/>
      <c r="W76" s="195"/>
      <c r="X76" s="197" t="e">
        <f t="shared" si="40"/>
        <v>#N/A</v>
      </c>
      <c r="Y76" s="429"/>
      <c r="Z76" s="197"/>
      <c r="AA76" s="195"/>
      <c r="AB76" s="195"/>
      <c r="AC76" s="197" t="e">
        <f t="shared" si="41"/>
        <v>#N/A</v>
      </c>
      <c r="AD76" s="429"/>
      <c r="AE76" s="197"/>
      <c r="AF76" s="195"/>
      <c r="AG76" s="195"/>
      <c r="AH76" s="197" t="e">
        <f t="shared" si="42"/>
        <v>#N/A</v>
      </c>
      <c r="AI76" s="429"/>
      <c r="AJ76" s="197"/>
      <c r="AK76" s="195"/>
      <c r="AL76" s="195"/>
      <c r="AM76" s="197" t="e">
        <f t="shared" si="43"/>
        <v>#N/A</v>
      </c>
      <c r="AN76" s="429"/>
      <c r="AO76" s="197"/>
      <c r="AP76" s="195"/>
      <c r="AQ76" s="195"/>
      <c r="AR76" s="197" t="e">
        <f t="shared" si="44"/>
        <v>#N/A</v>
      </c>
      <c r="AS76" s="429"/>
      <c r="AT76" s="197"/>
      <c r="AU76" s="195"/>
      <c r="AV76" s="195"/>
      <c r="AW76" s="197" t="e">
        <f t="shared" si="45"/>
        <v>#N/A</v>
      </c>
      <c r="AX76" s="432"/>
    </row>
    <row r="77" spans="2:50">
      <c r="B77" s="422"/>
      <c r="C77" s="197">
        <v>11</v>
      </c>
      <c r="D77" s="225"/>
      <c r="E77" s="169"/>
      <c r="F77" s="197"/>
      <c r="G77" s="195"/>
      <c r="H77" s="429"/>
      <c r="I77" s="197"/>
      <c r="J77" s="197"/>
      <c r="K77" s="197"/>
      <c r="L77" s="429"/>
      <c r="M77" s="196" t="e">
        <f>RANK(K77, K$87:$K$101)</f>
        <v>#DIV/0!</v>
      </c>
      <c r="N77" s="423"/>
      <c r="O77" s="423"/>
      <c r="P77" s="197"/>
      <c r="Q77" s="195"/>
      <c r="R77" s="195"/>
      <c r="S77" s="197" t="e">
        <f t="shared" si="39"/>
        <v>#N/A</v>
      </c>
      <c r="T77" s="429"/>
      <c r="U77" s="197"/>
      <c r="V77" s="195"/>
      <c r="W77" s="195"/>
      <c r="X77" s="197" t="e">
        <f t="shared" si="40"/>
        <v>#N/A</v>
      </c>
      <c r="Y77" s="429"/>
      <c r="Z77" s="197"/>
      <c r="AA77" s="195"/>
      <c r="AB77" s="195"/>
      <c r="AC77" s="197" t="e">
        <f t="shared" si="41"/>
        <v>#N/A</v>
      </c>
      <c r="AD77" s="429"/>
      <c r="AE77" s="197"/>
      <c r="AF77" s="195"/>
      <c r="AG77" s="195"/>
      <c r="AH77" s="197" t="e">
        <f t="shared" si="42"/>
        <v>#N/A</v>
      </c>
      <c r="AI77" s="429"/>
      <c r="AJ77" s="197"/>
      <c r="AK77" s="195"/>
      <c r="AL77" s="195"/>
      <c r="AM77" s="197" t="e">
        <f t="shared" si="43"/>
        <v>#N/A</v>
      </c>
      <c r="AN77" s="429"/>
      <c r="AO77" s="197"/>
      <c r="AP77" s="195"/>
      <c r="AQ77" s="195"/>
      <c r="AR77" s="197" t="e">
        <f t="shared" si="44"/>
        <v>#N/A</v>
      </c>
      <c r="AS77" s="429"/>
      <c r="AT77" s="197"/>
      <c r="AU77" s="195"/>
      <c r="AV77" s="195"/>
      <c r="AW77" s="197" t="e">
        <f t="shared" si="45"/>
        <v>#N/A</v>
      </c>
      <c r="AX77" s="432"/>
    </row>
    <row r="78" spans="2:50">
      <c r="B78" s="422"/>
      <c r="C78" s="197">
        <v>12</v>
      </c>
      <c r="D78" s="225"/>
      <c r="E78" s="169"/>
      <c r="F78" s="197"/>
      <c r="G78" s="195"/>
      <c r="H78" s="429"/>
      <c r="I78" s="197"/>
      <c r="J78" s="197"/>
      <c r="K78" s="197"/>
      <c r="L78" s="429"/>
      <c r="M78" s="196" t="e">
        <f>RANK(K78, K$87:$K$101)</f>
        <v>#DIV/0!</v>
      </c>
      <c r="N78" s="423"/>
      <c r="O78" s="423"/>
      <c r="P78" s="197"/>
      <c r="Q78" s="195"/>
      <c r="R78" s="195"/>
      <c r="S78" s="197" t="e">
        <f t="shared" si="39"/>
        <v>#N/A</v>
      </c>
      <c r="T78" s="429"/>
      <c r="U78" s="197"/>
      <c r="V78" s="195"/>
      <c r="W78" s="195"/>
      <c r="X78" s="197" t="e">
        <f t="shared" si="40"/>
        <v>#N/A</v>
      </c>
      <c r="Y78" s="429"/>
      <c r="Z78" s="197"/>
      <c r="AA78" s="195"/>
      <c r="AB78" s="195"/>
      <c r="AC78" s="197" t="e">
        <f t="shared" si="41"/>
        <v>#N/A</v>
      </c>
      <c r="AD78" s="429"/>
      <c r="AE78" s="197"/>
      <c r="AF78" s="195"/>
      <c r="AG78" s="195"/>
      <c r="AH78" s="197" t="e">
        <f t="shared" si="42"/>
        <v>#N/A</v>
      </c>
      <c r="AI78" s="429"/>
      <c r="AJ78" s="197"/>
      <c r="AK78" s="195"/>
      <c r="AL78" s="195"/>
      <c r="AM78" s="197" t="e">
        <f t="shared" si="43"/>
        <v>#N/A</v>
      </c>
      <c r="AN78" s="429"/>
      <c r="AO78" s="197"/>
      <c r="AP78" s="195"/>
      <c r="AQ78" s="195"/>
      <c r="AR78" s="197" t="e">
        <f t="shared" si="44"/>
        <v>#N/A</v>
      </c>
      <c r="AS78" s="429"/>
      <c r="AT78" s="197"/>
      <c r="AU78" s="197"/>
      <c r="AV78" s="197"/>
      <c r="AW78" s="197" t="e">
        <f t="shared" si="45"/>
        <v>#N/A</v>
      </c>
      <c r="AX78" s="432"/>
    </row>
    <row r="79" spans="2:50">
      <c r="B79" s="422"/>
      <c r="C79" s="197">
        <v>13</v>
      </c>
      <c r="D79" s="225"/>
      <c r="E79" s="169"/>
      <c r="F79" s="197"/>
      <c r="G79" s="195"/>
      <c r="H79" s="429"/>
      <c r="I79" s="197"/>
      <c r="J79" s="197"/>
      <c r="K79" s="197"/>
      <c r="L79" s="429"/>
      <c r="M79" s="196" t="e">
        <f>RANK(K79, K$87:$K$101)</f>
        <v>#DIV/0!</v>
      </c>
      <c r="N79" s="423"/>
      <c r="O79" s="423"/>
      <c r="P79" s="197"/>
      <c r="Q79" s="195"/>
      <c r="R79" s="195"/>
      <c r="S79" s="197" t="e">
        <f t="shared" si="39"/>
        <v>#N/A</v>
      </c>
      <c r="T79" s="429"/>
      <c r="U79" s="197"/>
      <c r="V79" s="195"/>
      <c r="W79" s="195"/>
      <c r="X79" s="197" t="e">
        <f t="shared" si="40"/>
        <v>#N/A</v>
      </c>
      <c r="Y79" s="429"/>
      <c r="Z79" s="197"/>
      <c r="AA79" s="195"/>
      <c r="AB79" s="195"/>
      <c r="AC79" s="197" t="e">
        <f t="shared" si="41"/>
        <v>#N/A</v>
      </c>
      <c r="AD79" s="429"/>
      <c r="AE79" s="197"/>
      <c r="AF79" s="195"/>
      <c r="AG79" s="195"/>
      <c r="AH79" s="197" t="e">
        <f t="shared" si="42"/>
        <v>#N/A</v>
      </c>
      <c r="AI79" s="429"/>
      <c r="AJ79" s="197"/>
      <c r="AK79" s="195"/>
      <c r="AL79" s="195"/>
      <c r="AM79" s="197" t="e">
        <f t="shared" si="43"/>
        <v>#N/A</v>
      </c>
      <c r="AN79" s="429"/>
      <c r="AO79" s="197"/>
      <c r="AP79" s="195"/>
      <c r="AQ79" s="195"/>
      <c r="AR79" s="197" t="e">
        <f t="shared" si="44"/>
        <v>#N/A</v>
      </c>
      <c r="AS79" s="429"/>
      <c r="AT79" s="197"/>
      <c r="AU79" s="197"/>
      <c r="AV79" s="197"/>
      <c r="AW79" s="197" t="e">
        <f t="shared" si="45"/>
        <v>#N/A</v>
      </c>
      <c r="AX79" s="432"/>
    </row>
    <row r="80" spans="2:50">
      <c r="B80" s="422"/>
      <c r="C80" s="197">
        <v>14</v>
      </c>
      <c r="D80" s="225"/>
      <c r="E80" s="169"/>
      <c r="F80" s="197"/>
      <c r="G80" s="195"/>
      <c r="H80" s="429"/>
      <c r="I80" s="197"/>
      <c r="J80" s="197"/>
      <c r="K80" s="197"/>
      <c r="L80" s="429"/>
      <c r="M80" s="196" t="e">
        <f>RANK(K80, K$87:$K$101)</f>
        <v>#DIV/0!</v>
      </c>
      <c r="N80" s="423"/>
      <c r="O80" s="423"/>
      <c r="P80" s="197"/>
      <c r="Q80" s="195"/>
      <c r="R80" s="195"/>
      <c r="S80" s="197" t="e">
        <f t="shared" si="39"/>
        <v>#N/A</v>
      </c>
      <c r="T80" s="429"/>
      <c r="U80" s="197"/>
      <c r="V80" s="195"/>
      <c r="W80" s="195"/>
      <c r="X80" s="197" t="e">
        <f t="shared" si="40"/>
        <v>#N/A</v>
      </c>
      <c r="Y80" s="429"/>
      <c r="Z80" s="197"/>
      <c r="AA80" s="195"/>
      <c r="AB80" s="195"/>
      <c r="AC80" s="197" t="e">
        <f t="shared" si="41"/>
        <v>#N/A</v>
      </c>
      <c r="AD80" s="429"/>
      <c r="AE80" s="197"/>
      <c r="AF80" s="195"/>
      <c r="AG80" s="195"/>
      <c r="AH80" s="197" t="e">
        <f t="shared" si="42"/>
        <v>#N/A</v>
      </c>
      <c r="AI80" s="429"/>
      <c r="AJ80" s="197"/>
      <c r="AK80" s="195"/>
      <c r="AL80" s="195"/>
      <c r="AM80" s="197" t="e">
        <f t="shared" si="43"/>
        <v>#N/A</v>
      </c>
      <c r="AN80" s="429"/>
      <c r="AO80" s="197"/>
      <c r="AP80" s="195"/>
      <c r="AQ80" s="195"/>
      <c r="AR80" s="197" t="e">
        <f t="shared" si="44"/>
        <v>#N/A</v>
      </c>
      <c r="AS80" s="429"/>
      <c r="AT80" s="197"/>
      <c r="AU80" s="197"/>
      <c r="AV80" s="197"/>
      <c r="AW80" s="197" t="e">
        <f t="shared" si="45"/>
        <v>#N/A</v>
      </c>
      <c r="AX80" s="432"/>
    </row>
    <row r="81" spans="2:50">
      <c r="B81" s="422"/>
      <c r="C81" s="197">
        <v>15</v>
      </c>
      <c r="D81" s="225"/>
      <c r="E81" s="169"/>
      <c r="F81" s="197"/>
      <c r="G81" s="195"/>
      <c r="H81" s="430"/>
      <c r="I81" s="197"/>
      <c r="J81" s="197"/>
      <c r="K81" s="197"/>
      <c r="L81" s="430"/>
      <c r="M81" s="169" t="e">
        <f>RANK(K81, K$87:$K$101)</f>
        <v>#DIV/0!</v>
      </c>
      <c r="N81" s="423"/>
      <c r="O81" s="423"/>
      <c r="P81" s="197"/>
      <c r="Q81" s="195"/>
      <c r="R81" s="195"/>
      <c r="S81" s="197" t="e">
        <f t="shared" si="39"/>
        <v>#N/A</v>
      </c>
      <c r="T81" s="430"/>
      <c r="U81" s="197"/>
      <c r="V81" s="195"/>
      <c r="W81" s="195"/>
      <c r="X81" s="197" t="e">
        <f t="shared" si="40"/>
        <v>#N/A</v>
      </c>
      <c r="Y81" s="430"/>
      <c r="Z81" s="197"/>
      <c r="AA81" s="195"/>
      <c r="AB81" s="195"/>
      <c r="AC81" s="197" t="e">
        <f t="shared" si="41"/>
        <v>#N/A</v>
      </c>
      <c r="AD81" s="430"/>
      <c r="AE81" s="197"/>
      <c r="AF81" s="195"/>
      <c r="AG81" s="195"/>
      <c r="AH81" s="197" t="e">
        <f t="shared" si="42"/>
        <v>#N/A</v>
      </c>
      <c r="AI81" s="430"/>
      <c r="AJ81" s="197"/>
      <c r="AK81" s="195"/>
      <c r="AL81" s="195"/>
      <c r="AM81" s="197" t="e">
        <f t="shared" si="43"/>
        <v>#N/A</v>
      </c>
      <c r="AN81" s="430"/>
      <c r="AO81" s="197"/>
      <c r="AP81" s="195"/>
      <c r="AQ81" s="195"/>
      <c r="AR81" s="197" t="e">
        <f t="shared" si="44"/>
        <v>#N/A</v>
      </c>
      <c r="AS81" s="430"/>
      <c r="AT81" s="197"/>
      <c r="AU81" s="197"/>
      <c r="AV81" s="197"/>
      <c r="AW81" s="197" t="e">
        <f t="shared" si="45"/>
        <v>#N/A</v>
      </c>
      <c r="AX81" s="432"/>
    </row>
    <row r="82" spans="2:50" ht="15.75">
      <c r="B82" s="396" t="s">
        <v>202</v>
      </c>
      <c r="C82" s="427"/>
      <c r="D82" s="427"/>
      <c r="E82" s="427"/>
      <c r="F82" s="427"/>
      <c r="G82" s="427"/>
      <c r="H82" s="427"/>
      <c r="I82" s="201"/>
      <c r="J82" s="201"/>
      <c r="K82" s="201"/>
      <c r="L82" s="201"/>
      <c r="M82" s="200"/>
      <c r="N82" s="401" t="s">
        <v>203</v>
      </c>
      <c r="O82" s="401" t="s">
        <v>150</v>
      </c>
      <c r="P82" s="421">
        <f>P62+7</f>
        <v>45923</v>
      </c>
      <c r="Q82" s="422"/>
      <c r="R82" s="422"/>
      <c r="S82" s="422"/>
      <c r="T82" s="422"/>
      <c r="U82" s="416">
        <f>P82+1</f>
        <v>45924</v>
      </c>
      <c r="V82" s="417"/>
      <c r="W82" s="417"/>
      <c r="X82" s="417"/>
      <c r="Y82" s="418"/>
      <c r="Z82" s="416">
        <f>U82+1</f>
        <v>45925</v>
      </c>
      <c r="AA82" s="417"/>
      <c r="AB82" s="417"/>
      <c r="AC82" s="417"/>
      <c r="AD82" s="418"/>
      <c r="AE82" s="416">
        <f t="shared" ref="AE82" si="46">Z82+1</f>
        <v>45926</v>
      </c>
      <c r="AF82" s="417"/>
      <c r="AG82" s="417"/>
      <c r="AH82" s="417"/>
      <c r="AI82" s="418"/>
      <c r="AJ82" s="416">
        <f t="shared" ref="AJ82" si="47">AE82+1</f>
        <v>45927</v>
      </c>
      <c r="AK82" s="417"/>
      <c r="AL82" s="417"/>
      <c r="AM82" s="417"/>
      <c r="AN82" s="418"/>
      <c r="AO82" s="416">
        <f t="shared" ref="AO82" si="48">AJ82+1</f>
        <v>45928</v>
      </c>
      <c r="AP82" s="417"/>
      <c r="AQ82" s="417"/>
      <c r="AR82" s="417"/>
      <c r="AS82" s="418"/>
      <c r="AT82" s="416">
        <f t="shared" ref="AT82" si="49">AO82+1</f>
        <v>45929</v>
      </c>
      <c r="AU82" s="417"/>
      <c r="AV82" s="417"/>
      <c r="AW82" s="417"/>
      <c r="AX82" s="418"/>
    </row>
    <row r="83" spans="2:50" ht="15.75">
      <c r="B83" s="426"/>
      <c r="C83" s="426"/>
      <c r="D83" s="426"/>
      <c r="E83" s="426"/>
      <c r="F83" s="426"/>
      <c r="G83" s="426"/>
      <c r="H83" s="426"/>
      <c r="I83" s="199"/>
      <c r="J83" s="199"/>
      <c r="K83" s="199"/>
      <c r="L83" s="199"/>
      <c r="M83" s="194"/>
      <c r="N83" s="403"/>
      <c r="O83" s="403"/>
      <c r="P83" s="421" t="s">
        <v>204</v>
      </c>
      <c r="Q83" s="422"/>
      <c r="R83" s="422"/>
      <c r="S83" s="422"/>
      <c r="T83" s="422"/>
      <c r="U83" s="421" t="s">
        <v>205</v>
      </c>
      <c r="V83" s="422"/>
      <c r="W83" s="422"/>
      <c r="X83" s="422"/>
      <c r="Y83" s="422"/>
      <c r="Z83" s="421" t="s">
        <v>206</v>
      </c>
      <c r="AA83" s="422"/>
      <c r="AB83" s="422"/>
      <c r="AC83" s="422"/>
      <c r="AD83" s="422"/>
      <c r="AE83" s="421" t="s">
        <v>207</v>
      </c>
      <c r="AF83" s="422"/>
      <c r="AG83" s="422"/>
      <c r="AH83" s="422"/>
      <c r="AI83" s="422"/>
      <c r="AJ83" s="421" t="s">
        <v>208</v>
      </c>
      <c r="AK83" s="422"/>
      <c r="AL83" s="422"/>
      <c r="AM83" s="422"/>
      <c r="AN83" s="422"/>
      <c r="AO83" s="421" t="s">
        <v>157</v>
      </c>
      <c r="AP83" s="422"/>
      <c r="AQ83" s="422"/>
      <c r="AR83" s="422"/>
      <c r="AS83" s="422"/>
      <c r="AT83" s="421" t="s">
        <v>209</v>
      </c>
      <c r="AU83" s="422"/>
      <c r="AV83" s="422"/>
      <c r="AW83" s="422"/>
      <c r="AX83" s="422"/>
    </row>
    <row r="84" spans="2:50">
      <c r="B84" s="423" t="s">
        <v>210</v>
      </c>
      <c r="C84" s="423" t="s">
        <v>211</v>
      </c>
      <c r="D84" s="423"/>
      <c r="E84" s="423" t="s">
        <v>212</v>
      </c>
      <c r="F84" s="423"/>
      <c r="G84" s="423"/>
      <c r="H84" s="404" t="s">
        <v>213</v>
      </c>
      <c r="I84" s="423" t="s">
        <v>214</v>
      </c>
      <c r="J84" s="423"/>
      <c r="K84" s="423"/>
      <c r="L84" s="404" t="s">
        <v>213</v>
      </c>
      <c r="M84" s="401" t="s">
        <v>215</v>
      </c>
      <c r="N84" s="423"/>
      <c r="O84" s="423" t="s">
        <v>216</v>
      </c>
      <c r="P84" s="413" t="s">
        <v>217</v>
      </c>
      <c r="Q84" s="414"/>
      <c r="R84" s="414"/>
      <c r="S84" s="415"/>
      <c r="T84" s="423" t="s">
        <v>213</v>
      </c>
      <c r="U84" s="413" t="s">
        <v>217</v>
      </c>
      <c r="V84" s="414"/>
      <c r="W84" s="414"/>
      <c r="X84" s="415"/>
      <c r="Y84" s="423" t="s">
        <v>213</v>
      </c>
      <c r="Z84" s="413" t="s">
        <v>217</v>
      </c>
      <c r="AA84" s="414"/>
      <c r="AB84" s="414"/>
      <c r="AC84" s="415"/>
      <c r="AD84" s="423" t="s">
        <v>213</v>
      </c>
      <c r="AE84" s="413" t="s">
        <v>217</v>
      </c>
      <c r="AF84" s="414"/>
      <c r="AG84" s="414"/>
      <c r="AH84" s="415"/>
      <c r="AI84" s="423" t="s">
        <v>213</v>
      </c>
      <c r="AJ84" s="413" t="s">
        <v>217</v>
      </c>
      <c r="AK84" s="414"/>
      <c r="AL84" s="414"/>
      <c r="AM84" s="415"/>
      <c r="AN84" s="423" t="s">
        <v>213</v>
      </c>
      <c r="AO84" s="413" t="s">
        <v>217</v>
      </c>
      <c r="AP84" s="414"/>
      <c r="AQ84" s="414"/>
      <c r="AR84" s="415"/>
      <c r="AS84" s="423" t="s">
        <v>213</v>
      </c>
      <c r="AT84" s="413" t="s">
        <v>217</v>
      </c>
      <c r="AU84" s="414"/>
      <c r="AV84" s="414"/>
      <c r="AW84" s="415"/>
      <c r="AX84" s="423" t="s">
        <v>213</v>
      </c>
    </row>
    <row r="85" spans="2:50">
      <c r="B85" s="423"/>
      <c r="C85" s="423"/>
      <c r="D85" s="423"/>
      <c r="E85" s="423" t="s">
        <v>218</v>
      </c>
      <c r="F85" s="423"/>
      <c r="G85" s="423"/>
      <c r="H85" s="406"/>
      <c r="I85" s="423" t="s">
        <v>218</v>
      </c>
      <c r="J85" s="423"/>
      <c r="K85" s="423"/>
      <c r="L85" s="406"/>
      <c r="M85" s="402"/>
      <c r="N85" s="423"/>
      <c r="O85" s="423"/>
      <c r="P85" s="413" t="s">
        <v>219</v>
      </c>
      <c r="Q85" s="414"/>
      <c r="R85" s="414"/>
      <c r="S85" s="415"/>
      <c r="T85" s="423"/>
      <c r="U85" s="413" t="s">
        <v>219</v>
      </c>
      <c r="V85" s="414"/>
      <c r="W85" s="414"/>
      <c r="X85" s="415"/>
      <c r="Y85" s="423"/>
      <c r="Z85" s="413" t="s">
        <v>219</v>
      </c>
      <c r="AA85" s="414"/>
      <c r="AB85" s="414"/>
      <c r="AC85" s="415"/>
      <c r="AD85" s="423"/>
      <c r="AE85" s="413" t="s">
        <v>219</v>
      </c>
      <c r="AF85" s="414"/>
      <c r="AG85" s="414"/>
      <c r="AH85" s="415"/>
      <c r="AI85" s="423"/>
      <c r="AJ85" s="413" t="s">
        <v>219</v>
      </c>
      <c r="AK85" s="414"/>
      <c r="AL85" s="414"/>
      <c r="AM85" s="415"/>
      <c r="AN85" s="423"/>
      <c r="AO85" s="413" t="s">
        <v>219</v>
      </c>
      <c r="AP85" s="414"/>
      <c r="AQ85" s="414"/>
      <c r="AR85" s="415"/>
      <c r="AS85" s="423"/>
      <c r="AT85" s="413" t="s">
        <v>219</v>
      </c>
      <c r="AU85" s="414"/>
      <c r="AV85" s="414"/>
      <c r="AW85" s="415"/>
      <c r="AX85" s="423"/>
    </row>
    <row r="86" spans="2:50">
      <c r="B86" s="423"/>
      <c r="C86" s="423"/>
      <c r="D86" s="423"/>
      <c r="E86" s="297" t="s">
        <v>220</v>
      </c>
      <c r="F86" s="297" t="s">
        <v>221</v>
      </c>
      <c r="G86" s="297" t="s">
        <v>222</v>
      </c>
      <c r="H86" s="408"/>
      <c r="I86" s="297" t="s">
        <v>220</v>
      </c>
      <c r="J86" s="297" t="s">
        <v>221</v>
      </c>
      <c r="K86" s="297" t="s">
        <v>222</v>
      </c>
      <c r="L86" s="408"/>
      <c r="M86" s="403"/>
      <c r="N86" s="423"/>
      <c r="O86" s="423"/>
      <c r="P86" s="297" t="s">
        <v>220</v>
      </c>
      <c r="Q86" s="297" t="s">
        <v>221</v>
      </c>
      <c r="R86" s="297" t="s">
        <v>222</v>
      </c>
      <c r="S86" s="297" t="s">
        <v>215</v>
      </c>
      <c r="T86" s="423"/>
      <c r="U86" s="297" t="s">
        <v>220</v>
      </c>
      <c r="V86" s="297" t="s">
        <v>221</v>
      </c>
      <c r="W86" s="297" t="s">
        <v>222</v>
      </c>
      <c r="X86" s="297" t="s">
        <v>215</v>
      </c>
      <c r="Y86" s="423"/>
      <c r="Z86" s="297" t="s">
        <v>220</v>
      </c>
      <c r="AA86" s="297" t="s">
        <v>221</v>
      </c>
      <c r="AB86" s="297" t="s">
        <v>222</v>
      </c>
      <c r="AC86" s="297" t="s">
        <v>215</v>
      </c>
      <c r="AD86" s="423"/>
      <c r="AE86" s="297" t="s">
        <v>220</v>
      </c>
      <c r="AF86" s="297" t="s">
        <v>221</v>
      </c>
      <c r="AG86" s="297" t="s">
        <v>222</v>
      </c>
      <c r="AH86" s="297" t="s">
        <v>215</v>
      </c>
      <c r="AI86" s="423"/>
      <c r="AJ86" s="297" t="s">
        <v>220</v>
      </c>
      <c r="AK86" s="297" t="s">
        <v>221</v>
      </c>
      <c r="AL86" s="297" t="s">
        <v>222</v>
      </c>
      <c r="AM86" s="297" t="s">
        <v>215</v>
      </c>
      <c r="AN86" s="423"/>
      <c r="AO86" s="297" t="s">
        <v>220</v>
      </c>
      <c r="AP86" s="297" t="s">
        <v>221</v>
      </c>
      <c r="AQ86" s="297" t="s">
        <v>222</v>
      </c>
      <c r="AR86" s="297" t="s">
        <v>215</v>
      </c>
      <c r="AS86" s="423"/>
      <c r="AT86" s="297" t="s">
        <v>220</v>
      </c>
      <c r="AU86" s="297" t="s">
        <v>221</v>
      </c>
      <c r="AV86" s="297" t="s">
        <v>222</v>
      </c>
      <c r="AW86" s="297" t="s">
        <v>215</v>
      </c>
      <c r="AX86" s="423"/>
    </row>
    <row r="87" spans="2:50">
      <c r="B87" s="423" t="s">
        <v>188</v>
      </c>
      <c r="C87" s="197">
        <v>1</v>
      </c>
      <c r="D87" s="225"/>
      <c r="E87" s="169"/>
      <c r="F87" s="197"/>
      <c r="G87" s="195"/>
      <c r="H87" s="428" t="e">
        <f>AVERAGE(G87:G101)</f>
        <v>#DIV/0!</v>
      </c>
      <c r="I87" s="169" t="e">
        <f>AVERAGE(P87,U87,Z87,AE87,AJ87,AO87,AT87)</f>
        <v>#DIV/0!</v>
      </c>
      <c r="J87" s="169" t="e">
        <f>AVERAGE(Q87,V87,AA87,AF87,AK87,AP87,AU87)</f>
        <v>#DIV/0!</v>
      </c>
      <c r="K87" s="195" t="e">
        <f>AVERAGE(R87,W87,AB87,AG87,AL87,AQ87,AV87)</f>
        <v>#DIV/0!</v>
      </c>
      <c r="L87" s="428" t="str">
        <f>IFERROR(AVERAGE(K87:K101),"-")</f>
        <v>-</v>
      </c>
      <c r="M87" s="196" t="e">
        <f>RANK(K87, K$87:$K$101)</f>
        <v>#DIV/0!</v>
      </c>
      <c r="N87" s="423"/>
      <c r="O87" s="423"/>
      <c r="P87" s="197"/>
      <c r="Q87" s="195"/>
      <c r="R87" s="195"/>
      <c r="S87" s="197" t="e">
        <f>RANK(R87, R$87:R$101)</f>
        <v>#N/A</v>
      </c>
      <c r="T87" s="428" t="e">
        <f>AVERAGE(R87:R101)</f>
        <v>#DIV/0!</v>
      </c>
      <c r="U87" s="197"/>
      <c r="V87" s="195"/>
      <c r="W87" s="195"/>
      <c r="X87" s="197" t="e">
        <f>RANK(W87, W$87:W$101)</f>
        <v>#N/A</v>
      </c>
      <c r="Y87" s="428" t="e">
        <f>AVERAGE(W87:W101)</f>
        <v>#DIV/0!</v>
      </c>
      <c r="Z87" s="197"/>
      <c r="AA87" s="195"/>
      <c r="AB87" s="195"/>
      <c r="AC87" s="197" t="e">
        <f>RANK(AB87, AB$87:AB$101)</f>
        <v>#N/A</v>
      </c>
      <c r="AD87" s="428" t="e">
        <f>AVERAGE(AB87:AB101)</f>
        <v>#DIV/0!</v>
      </c>
      <c r="AE87" s="197"/>
      <c r="AF87" s="195"/>
      <c r="AG87" s="195"/>
      <c r="AH87" s="197" t="e">
        <f>RANK(AG87, AG$87:AG$101)</f>
        <v>#N/A</v>
      </c>
      <c r="AI87" s="428" t="e">
        <f>AVERAGE(AG87:AG101)</f>
        <v>#DIV/0!</v>
      </c>
      <c r="AJ87" s="197"/>
      <c r="AK87" s="195"/>
      <c r="AL87" s="195"/>
      <c r="AM87" s="197" t="e">
        <f>RANK(AL87, AL$87:AL$101)</f>
        <v>#N/A</v>
      </c>
      <c r="AN87" s="428" t="e">
        <f>AVERAGE(AL87:AL101)</f>
        <v>#DIV/0!</v>
      </c>
      <c r="AO87" s="197"/>
      <c r="AP87" s="195"/>
      <c r="AQ87" s="195"/>
      <c r="AR87" s="197" t="e">
        <f>RANK(AQ87, AQ$87:AQ$101)</f>
        <v>#N/A</v>
      </c>
      <c r="AS87" s="428" t="e">
        <f>AVERAGE(AQ87:AQ101)</f>
        <v>#DIV/0!</v>
      </c>
      <c r="AT87" s="197"/>
      <c r="AU87" s="195"/>
      <c r="AV87" s="195"/>
      <c r="AW87" s="197" t="e">
        <f>RANK(AV87, AV$87:AV$101)</f>
        <v>#N/A</v>
      </c>
      <c r="AX87" s="432" t="e">
        <f>AVERAGE(AV87:AV101)</f>
        <v>#DIV/0!</v>
      </c>
    </row>
    <row r="88" spans="2:50">
      <c r="B88" s="422"/>
      <c r="C88" s="197">
        <v>2</v>
      </c>
      <c r="D88" s="225"/>
      <c r="E88" s="169"/>
      <c r="F88" s="197"/>
      <c r="G88" s="195"/>
      <c r="H88" s="429"/>
      <c r="I88" s="169" t="e">
        <f t="shared" ref="I88:K94" si="50">AVERAGE(P88,U88,Z88,AE88,AJ88,AO88,AT88)</f>
        <v>#DIV/0!</v>
      </c>
      <c r="J88" s="169" t="e">
        <f t="shared" si="50"/>
        <v>#DIV/0!</v>
      </c>
      <c r="K88" s="195" t="e">
        <f t="shared" si="50"/>
        <v>#DIV/0!</v>
      </c>
      <c r="L88" s="429"/>
      <c r="M88" s="196" t="e">
        <f>RANK(K88, K$87:$K$101)</f>
        <v>#DIV/0!</v>
      </c>
      <c r="N88" s="423"/>
      <c r="O88" s="423"/>
      <c r="P88" s="197"/>
      <c r="Q88" s="195"/>
      <c r="R88" s="195"/>
      <c r="S88" s="197" t="e">
        <f t="shared" ref="S88:S101" si="51">RANK(R88, R$87:R$101)</f>
        <v>#N/A</v>
      </c>
      <c r="T88" s="429"/>
      <c r="U88" s="197"/>
      <c r="V88" s="195"/>
      <c r="W88" s="195"/>
      <c r="X88" s="197" t="e">
        <f t="shared" ref="X88:X101" si="52">RANK(W88, W$87:W$101)</f>
        <v>#N/A</v>
      </c>
      <c r="Y88" s="429"/>
      <c r="Z88" s="197"/>
      <c r="AA88" s="195"/>
      <c r="AB88" s="195"/>
      <c r="AC88" s="197" t="e">
        <f t="shared" ref="AC88:AC101" si="53">RANK(AB88, AB$87:AB$101)</f>
        <v>#N/A</v>
      </c>
      <c r="AD88" s="429"/>
      <c r="AE88" s="197"/>
      <c r="AF88" s="195"/>
      <c r="AG88" s="195"/>
      <c r="AH88" s="197" t="e">
        <f t="shared" ref="AH88:AH101" si="54">RANK(AG88, AG$87:AG$101)</f>
        <v>#N/A</v>
      </c>
      <c r="AI88" s="429"/>
      <c r="AJ88" s="197"/>
      <c r="AK88" s="195"/>
      <c r="AL88" s="195"/>
      <c r="AM88" s="197" t="e">
        <f t="shared" ref="AM88:AM101" si="55">RANK(AL88, AL$87:AL$101)</f>
        <v>#N/A</v>
      </c>
      <c r="AN88" s="429"/>
      <c r="AO88" s="197"/>
      <c r="AP88" s="195"/>
      <c r="AQ88" s="195"/>
      <c r="AR88" s="197" t="e">
        <f t="shared" ref="AR88:AR101" si="56">RANK(AQ88, AQ$87:AQ$101)</f>
        <v>#N/A</v>
      </c>
      <c r="AS88" s="429"/>
      <c r="AT88" s="197"/>
      <c r="AU88" s="195"/>
      <c r="AV88" s="195"/>
      <c r="AW88" s="197" t="e">
        <f t="shared" ref="AW88:AW101" si="57">RANK(AV88, AV$87:AV$101)</f>
        <v>#N/A</v>
      </c>
      <c r="AX88" s="432"/>
    </row>
    <row r="89" spans="2:50">
      <c r="B89" s="422"/>
      <c r="C89" s="197">
        <v>3</v>
      </c>
      <c r="D89" s="225"/>
      <c r="E89" s="169"/>
      <c r="F89" s="197"/>
      <c r="G89" s="195"/>
      <c r="H89" s="429"/>
      <c r="I89" s="169" t="e">
        <f t="shared" si="50"/>
        <v>#DIV/0!</v>
      </c>
      <c r="J89" s="169" t="e">
        <f t="shared" si="50"/>
        <v>#DIV/0!</v>
      </c>
      <c r="K89" s="195" t="e">
        <f t="shared" si="50"/>
        <v>#DIV/0!</v>
      </c>
      <c r="L89" s="429"/>
      <c r="M89" s="196" t="e">
        <f>RANK(K89, K$87:$K$101)</f>
        <v>#DIV/0!</v>
      </c>
      <c r="N89" s="423"/>
      <c r="O89" s="423"/>
      <c r="P89" s="197"/>
      <c r="Q89" s="195"/>
      <c r="R89" s="195"/>
      <c r="S89" s="197" t="e">
        <f t="shared" si="51"/>
        <v>#N/A</v>
      </c>
      <c r="T89" s="429"/>
      <c r="U89" s="197"/>
      <c r="V89" s="195"/>
      <c r="W89" s="195"/>
      <c r="X89" s="197" t="e">
        <f t="shared" si="52"/>
        <v>#N/A</v>
      </c>
      <c r="Y89" s="429"/>
      <c r="Z89" s="197"/>
      <c r="AA89" s="195"/>
      <c r="AB89" s="195"/>
      <c r="AC89" s="197" t="e">
        <f t="shared" si="53"/>
        <v>#N/A</v>
      </c>
      <c r="AD89" s="429"/>
      <c r="AE89" s="197"/>
      <c r="AF89" s="195"/>
      <c r="AG89" s="195"/>
      <c r="AH89" s="197" t="e">
        <f t="shared" si="54"/>
        <v>#N/A</v>
      </c>
      <c r="AI89" s="429"/>
      <c r="AJ89" s="197"/>
      <c r="AK89" s="195"/>
      <c r="AL89" s="195"/>
      <c r="AM89" s="197" t="e">
        <f t="shared" si="55"/>
        <v>#N/A</v>
      </c>
      <c r="AN89" s="429"/>
      <c r="AO89" s="197"/>
      <c r="AP89" s="195"/>
      <c r="AQ89" s="195"/>
      <c r="AR89" s="197" t="e">
        <f t="shared" si="56"/>
        <v>#N/A</v>
      </c>
      <c r="AS89" s="429"/>
      <c r="AT89" s="197"/>
      <c r="AU89" s="195"/>
      <c r="AV89" s="195"/>
      <c r="AW89" s="197" t="e">
        <f t="shared" si="57"/>
        <v>#N/A</v>
      </c>
      <c r="AX89" s="432"/>
    </row>
    <row r="90" spans="2:50">
      <c r="B90" s="422"/>
      <c r="C90" s="197">
        <v>4</v>
      </c>
      <c r="D90" s="225"/>
      <c r="E90" s="169"/>
      <c r="F90" s="197"/>
      <c r="G90" s="195"/>
      <c r="H90" s="429"/>
      <c r="I90" s="169" t="e">
        <f t="shared" si="50"/>
        <v>#DIV/0!</v>
      </c>
      <c r="J90" s="169" t="e">
        <f t="shared" si="50"/>
        <v>#DIV/0!</v>
      </c>
      <c r="K90" s="195" t="e">
        <f t="shared" si="50"/>
        <v>#DIV/0!</v>
      </c>
      <c r="L90" s="429"/>
      <c r="M90" s="196" t="e">
        <f>RANK(K90, K$87:$K$101)</f>
        <v>#DIV/0!</v>
      </c>
      <c r="N90" s="423"/>
      <c r="O90" s="423"/>
      <c r="P90" s="197"/>
      <c r="Q90" s="195"/>
      <c r="R90" s="195"/>
      <c r="S90" s="197" t="e">
        <f t="shared" si="51"/>
        <v>#N/A</v>
      </c>
      <c r="T90" s="429"/>
      <c r="U90" s="197"/>
      <c r="V90" s="195"/>
      <c r="W90" s="195"/>
      <c r="X90" s="197" t="e">
        <f t="shared" si="52"/>
        <v>#N/A</v>
      </c>
      <c r="Y90" s="429"/>
      <c r="Z90" s="197"/>
      <c r="AA90" s="195"/>
      <c r="AB90" s="195"/>
      <c r="AC90" s="197" t="e">
        <f t="shared" si="53"/>
        <v>#N/A</v>
      </c>
      <c r="AD90" s="429"/>
      <c r="AE90" s="197"/>
      <c r="AF90" s="195"/>
      <c r="AG90" s="195"/>
      <c r="AH90" s="197" t="e">
        <f t="shared" si="54"/>
        <v>#N/A</v>
      </c>
      <c r="AI90" s="429"/>
      <c r="AJ90" s="197"/>
      <c r="AK90" s="195"/>
      <c r="AL90" s="195"/>
      <c r="AM90" s="197" t="e">
        <f t="shared" si="55"/>
        <v>#N/A</v>
      </c>
      <c r="AN90" s="429"/>
      <c r="AO90" s="197"/>
      <c r="AP90" s="195"/>
      <c r="AQ90" s="195"/>
      <c r="AR90" s="197" t="e">
        <f t="shared" si="56"/>
        <v>#N/A</v>
      </c>
      <c r="AS90" s="429"/>
      <c r="AT90" s="197"/>
      <c r="AU90" s="195"/>
      <c r="AV90" s="195"/>
      <c r="AW90" s="197" t="e">
        <f t="shared" si="57"/>
        <v>#N/A</v>
      </c>
      <c r="AX90" s="432"/>
    </row>
    <row r="91" spans="2:50">
      <c r="B91" s="422"/>
      <c r="C91" s="197">
        <v>5</v>
      </c>
      <c r="D91" s="225"/>
      <c r="E91" s="169"/>
      <c r="F91" s="197"/>
      <c r="G91" s="195"/>
      <c r="H91" s="429"/>
      <c r="I91" s="169" t="e">
        <f t="shared" si="50"/>
        <v>#DIV/0!</v>
      </c>
      <c r="J91" s="169" t="e">
        <f t="shared" si="50"/>
        <v>#DIV/0!</v>
      </c>
      <c r="K91" s="195" t="e">
        <f t="shared" si="50"/>
        <v>#DIV/0!</v>
      </c>
      <c r="L91" s="429"/>
      <c r="M91" s="196" t="e">
        <f>RANK(K91, K$87:$K$101)</f>
        <v>#DIV/0!</v>
      </c>
      <c r="N91" s="423"/>
      <c r="O91" s="423"/>
      <c r="P91" s="197"/>
      <c r="Q91" s="195"/>
      <c r="R91" s="195"/>
      <c r="S91" s="197" t="e">
        <f t="shared" si="51"/>
        <v>#N/A</v>
      </c>
      <c r="T91" s="429"/>
      <c r="U91" s="197"/>
      <c r="V91" s="195"/>
      <c r="W91" s="195"/>
      <c r="X91" s="197" t="e">
        <f t="shared" si="52"/>
        <v>#N/A</v>
      </c>
      <c r="Y91" s="429"/>
      <c r="Z91" s="197"/>
      <c r="AA91" s="195"/>
      <c r="AB91" s="195"/>
      <c r="AC91" s="197" t="e">
        <f t="shared" si="53"/>
        <v>#N/A</v>
      </c>
      <c r="AD91" s="429"/>
      <c r="AE91" s="197"/>
      <c r="AF91" s="195"/>
      <c r="AG91" s="195"/>
      <c r="AH91" s="197" t="e">
        <f t="shared" si="54"/>
        <v>#N/A</v>
      </c>
      <c r="AI91" s="429"/>
      <c r="AJ91" s="197"/>
      <c r="AK91" s="195"/>
      <c r="AL91" s="195"/>
      <c r="AM91" s="197" t="e">
        <f t="shared" si="55"/>
        <v>#N/A</v>
      </c>
      <c r="AN91" s="429"/>
      <c r="AO91" s="197"/>
      <c r="AP91" s="195"/>
      <c r="AQ91" s="195"/>
      <c r="AR91" s="197" t="e">
        <f t="shared" si="56"/>
        <v>#N/A</v>
      </c>
      <c r="AS91" s="429"/>
      <c r="AT91" s="197"/>
      <c r="AU91" s="195"/>
      <c r="AV91" s="195"/>
      <c r="AW91" s="197" t="e">
        <f t="shared" si="57"/>
        <v>#N/A</v>
      </c>
      <c r="AX91" s="432"/>
    </row>
    <row r="92" spans="2:50">
      <c r="B92" s="422"/>
      <c r="C92" s="197">
        <v>6</v>
      </c>
      <c r="D92" s="225"/>
      <c r="E92" s="169"/>
      <c r="F92" s="197"/>
      <c r="G92" s="195"/>
      <c r="H92" s="429"/>
      <c r="I92" s="169" t="e">
        <f t="shared" si="50"/>
        <v>#DIV/0!</v>
      </c>
      <c r="J92" s="169" t="e">
        <f t="shared" si="50"/>
        <v>#DIV/0!</v>
      </c>
      <c r="K92" s="195" t="e">
        <f t="shared" si="50"/>
        <v>#DIV/0!</v>
      </c>
      <c r="L92" s="429"/>
      <c r="M92" s="196" t="e">
        <f>RANK(K92, K$87:$K$101)</f>
        <v>#DIV/0!</v>
      </c>
      <c r="N92" s="423"/>
      <c r="O92" s="423"/>
      <c r="P92" s="197"/>
      <c r="Q92" s="195"/>
      <c r="R92" s="195"/>
      <c r="S92" s="197" t="e">
        <f t="shared" si="51"/>
        <v>#N/A</v>
      </c>
      <c r="T92" s="429"/>
      <c r="U92" s="197"/>
      <c r="V92" s="195"/>
      <c r="W92" s="195"/>
      <c r="X92" s="197" t="e">
        <f t="shared" si="52"/>
        <v>#N/A</v>
      </c>
      <c r="Y92" s="429"/>
      <c r="Z92" s="197"/>
      <c r="AA92" s="195"/>
      <c r="AB92" s="195"/>
      <c r="AC92" s="197" t="e">
        <f t="shared" si="53"/>
        <v>#N/A</v>
      </c>
      <c r="AD92" s="429"/>
      <c r="AE92" s="197"/>
      <c r="AF92" s="195"/>
      <c r="AG92" s="195"/>
      <c r="AH92" s="197" t="e">
        <f t="shared" si="54"/>
        <v>#N/A</v>
      </c>
      <c r="AI92" s="429"/>
      <c r="AJ92" s="197"/>
      <c r="AK92" s="195"/>
      <c r="AL92" s="195"/>
      <c r="AM92" s="197" t="e">
        <f t="shared" si="55"/>
        <v>#N/A</v>
      </c>
      <c r="AN92" s="429"/>
      <c r="AO92" s="197"/>
      <c r="AP92" s="195"/>
      <c r="AQ92" s="195"/>
      <c r="AR92" s="197" t="e">
        <f t="shared" si="56"/>
        <v>#N/A</v>
      </c>
      <c r="AS92" s="429"/>
      <c r="AT92" s="197"/>
      <c r="AU92" s="195"/>
      <c r="AV92" s="195"/>
      <c r="AW92" s="197" t="e">
        <f t="shared" si="57"/>
        <v>#N/A</v>
      </c>
      <c r="AX92" s="432"/>
    </row>
    <row r="93" spans="2:50">
      <c r="B93" s="422"/>
      <c r="C93" s="197">
        <v>7</v>
      </c>
      <c r="D93" s="225"/>
      <c r="E93" s="169"/>
      <c r="F93" s="197"/>
      <c r="G93" s="195"/>
      <c r="H93" s="429"/>
      <c r="I93" s="169" t="e">
        <f t="shared" si="50"/>
        <v>#DIV/0!</v>
      </c>
      <c r="J93" s="169" t="e">
        <f t="shared" si="50"/>
        <v>#DIV/0!</v>
      </c>
      <c r="K93" s="195" t="e">
        <f t="shared" si="50"/>
        <v>#DIV/0!</v>
      </c>
      <c r="L93" s="429"/>
      <c r="M93" s="196" t="e">
        <f>RANK(K93, K$87:$K$101)</f>
        <v>#DIV/0!</v>
      </c>
      <c r="N93" s="423"/>
      <c r="O93" s="423"/>
      <c r="P93" s="197"/>
      <c r="Q93" s="195"/>
      <c r="R93" s="195"/>
      <c r="S93" s="197" t="e">
        <f t="shared" si="51"/>
        <v>#N/A</v>
      </c>
      <c r="T93" s="429"/>
      <c r="U93" s="197"/>
      <c r="V93" s="195"/>
      <c r="W93" s="195"/>
      <c r="X93" s="197" t="e">
        <f t="shared" si="52"/>
        <v>#N/A</v>
      </c>
      <c r="Y93" s="429"/>
      <c r="Z93" s="197"/>
      <c r="AA93" s="195"/>
      <c r="AB93" s="195"/>
      <c r="AC93" s="197" t="e">
        <f t="shared" si="53"/>
        <v>#N/A</v>
      </c>
      <c r="AD93" s="429"/>
      <c r="AE93" s="197"/>
      <c r="AF93" s="195"/>
      <c r="AG93" s="195"/>
      <c r="AH93" s="197" t="e">
        <f t="shared" si="54"/>
        <v>#N/A</v>
      </c>
      <c r="AI93" s="429"/>
      <c r="AJ93" s="197"/>
      <c r="AK93" s="195"/>
      <c r="AL93" s="195"/>
      <c r="AM93" s="197" t="e">
        <f t="shared" si="55"/>
        <v>#N/A</v>
      </c>
      <c r="AN93" s="429"/>
      <c r="AO93" s="197"/>
      <c r="AP93" s="195"/>
      <c r="AQ93" s="195"/>
      <c r="AR93" s="197" t="e">
        <f t="shared" si="56"/>
        <v>#N/A</v>
      </c>
      <c r="AS93" s="429"/>
      <c r="AT93" s="197"/>
      <c r="AU93" s="195"/>
      <c r="AV93" s="195"/>
      <c r="AW93" s="197" t="e">
        <f t="shared" si="57"/>
        <v>#N/A</v>
      </c>
      <c r="AX93" s="432"/>
    </row>
    <row r="94" spans="2:50">
      <c r="B94" s="422"/>
      <c r="C94" s="197">
        <v>8</v>
      </c>
      <c r="D94" s="225"/>
      <c r="E94" s="169"/>
      <c r="F94" s="197"/>
      <c r="G94" s="195"/>
      <c r="H94" s="429"/>
      <c r="I94" s="169" t="e">
        <f t="shared" si="50"/>
        <v>#DIV/0!</v>
      </c>
      <c r="J94" s="169" t="e">
        <f t="shared" si="50"/>
        <v>#DIV/0!</v>
      </c>
      <c r="K94" s="195" t="e">
        <f t="shared" si="50"/>
        <v>#DIV/0!</v>
      </c>
      <c r="L94" s="429"/>
      <c r="M94" s="196" t="e">
        <f>RANK(K94, K$87:$K$101)</f>
        <v>#DIV/0!</v>
      </c>
      <c r="N94" s="423"/>
      <c r="O94" s="423"/>
      <c r="P94" s="197"/>
      <c r="Q94" s="195"/>
      <c r="R94" s="195"/>
      <c r="S94" s="197" t="e">
        <f t="shared" si="51"/>
        <v>#N/A</v>
      </c>
      <c r="T94" s="429"/>
      <c r="U94" s="197"/>
      <c r="V94" s="195"/>
      <c r="W94" s="195"/>
      <c r="X94" s="197" t="e">
        <f t="shared" si="52"/>
        <v>#N/A</v>
      </c>
      <c r="Y94" s="429"/>
      <c r="Z94" s="197"/>
      <c r="AA94" s="195"/>
      <c r="AB94" s="195"/>
      <c r="AC94" s="197" t="e">
        <f t="shared" si="53"/>
        <v>#N/A</v>
      </c>
      <c r="AD94" s="429"/>
      <c r="AE94" s="197"/>
      <c r="AF94" s="195"/>
      <c r="AG94" s="195"/>
      <c r="AH94" s="197" t="e">
        <f t="shared" si="54"/>
        <v>#N/A</v>
      </c>
      <c r="AI94" s="429"/>
      <c r="AJ94" s="197"/>
      <c r="AK94" s="195"/>
      <c r="AL94" s="195"/>
      <c r="AM94" s="197" t="e">
        <f t="shared" si="55"/>
        <v>#N/A</v>
      </c>
      <c r="AN94" s="429"/>
      <c r="AO94" s="197"/>
      <c r="AP94" s="195"/>
      <c r="AQ94" s="195"/>
      <c r="AR94" s="197" t="e">
        <f t="shared" si="56"/>
        <v>#N/A</v>
      </c>
      <c r="AS94" s="429"/>
      <c r="AT94" s="197"/>
      <c r="AU94" s="195"/>
      <c r="AV94" s="195"/>
      <c r="AW94" s="197" t="e">
        <f t="shared" si="57"/>
        <v>#N/A</v>
      </c>
      <c r="AX94" s="432"/>
    </row>
    <row r="95" spans="2:50">
      <c r="B95" s="422"/>
      <c r="C95" s="197">
        <v>9</v>
      </c>
      <c r="D95" s="225"/>
      <c r="E95" s="169"/>
      <c r="F95" s="197"/>
      <c r="G95" s="195"/>
      <c r="H95" s="429"/>
      <c r="I95" s="169"/>
      <c r="J95" s="169"/>
      <c r="K95" s="195"/>
      <c r="L95" s="429"/>
      <c r="M95" s="196" t="e">
        <f>RANK(K95, K$87:$K$101)</f>
        <v>#DIV/0!</v>
      </c>
      <c r="N95" s="423"/>
      <c r="O95" s="423"/>
      <c r="P95" s="197"/>
      <c r="Q95" s="195"/>
      <c r="R95" s="195"/>
      <c r="S95" s="197" t="e">
        <f t="shared" si="51"/>
        <v>#N/A</v>
      </c>
      <c r="T95" s="429"/>
      <c r="U95" s="197"/>
      <c r="V95" s="195"/>
      <c r="W95" s="195"/>
      <c r="X95" s="197" t="e">
        <f t="shared" si="52"/>
        <v>#N/A</v>
      </c>
      <c r="Y95" s="429"/>
      <c r="Z95" s="197"/>
      <c r="AA95" s="195"/>
      <c r="AB95" s="195"/>
      <c r="AC95" s="197" t="e">
        <f t="shared" si="53"/>
        <v>#N/A</v>
      </c>
      <c r="AD95" s="429"/>
      <c r="AE95" s="197"/>
      <c r="AF95" s="195"/>
      <c r="AG95" s="195"/>
      <c r="AH95" s="197" t="e">
        <f t="shared" si="54"/>
        <v>#N/A</v>
      </c>
      <c r="AI95" s="429"/>
      <c r="AJ95" s="197"/>
      <c r="AK95" s="195"/>
      <c r="AL95" s="195"/>
      <c r="AM95" s="197" t="e">
        <f t="shared" si="55"/>
        <v>#N/A</v>
      </c>
      <c r="AN95" s="429"/>
      <c r="AO95" s="197"/>
      <c r="AP95" s="195"/>
      <c r="AQ95" s="195"/>
      <c r="AR95" s="197" t="e">
        <f t="shared" si="56"/>
        <v>#N/A</v>
      </c>
      <c r="AS95" s="429"/>
      <c r="AT95" s="197"/>
      <c r="AU95" s="195"/>
      <c r="AV95" s="195"/>
      <c r="AW95" s="197" t="e">
        <f t="shared" si="57"/>
        <v>#N/A</v>
      </c>
      <c r="AX95" s="432"/>
    </row>
    <row r="96" spans="2:50">
      <c r="B96" s="422"/>
      <c r="C96" s="197">
        <v>10</v>
      </c>
      <c r="D96" s="225"/>
      <c r="E96" s="169"/>
      <c r="F96" s="197"/>
      <c r="G96" s="195"/>
      <c r="H96" s="429"/>
      <c r="I96" s="169"/>
      <c r="J96" s="169"/>
      <c r="K96" s="195"/>
      <c r="L96" s="429"/>
      <c r="M96" s="196" t="e">
        <f>RANK(K96, K$87:$K$101)</f>
        <v>#DIV/0!</v>
      </c>
      <c r="N96" s="423"/>
      <c r="O96" s="423"/>
      <c r="P96" s="197"/>
      <c r="Q96" s="195"/>
      <c r="R96" s="195"/>
      <c r="S96" s="197" t="e">
        <f t="shared" si="51"/>
        <v>#N/A</v>
      </c>
      <c r="T96" s="429"/>
      <c r="U96" s="197"/>
      <c r="V96" s="195"/>
      <c r="W96" s="195"/>
      <c r="X96" s="197" t="e">
        <f t="shared" si="52"/>
        <v>#N/A</v>
      </c>
      <c r="Y96" s="429"/>
      <c r="Z96" s="197"/>
      <c r="AA96" s="195"/>
      <c r="AB96" s="195"/>
      <c r="AC96" s="197" t="e">
        <f t="shared" si="53"/>
        <v>#N/A</v>
      </c>
      <c r="AD96" s="429"/>
      <c r="AE96" s="197"/>
      <c r="AF96" s="195"/>
      <c r="AG96" s="195"/>
      <c r="AH96" s="197" t="e">
        <f t="shared" si="54"/>
        <v>#N/A</v>
      </c>
      <c r="AI96" s="429"/>
      <c r="AJ96" s="197"/>
      <c r="AK96" s="195"/>
      <c r="AL96" s="195"/>
      <c r="AM96" s="197" t="e">
        <f t="shared" si="55"/>
        <v>#N/A</v>
      </c>
      <c r="AN96" s="429"/>
      <c r="AO96" s="197"/>
      <c r="AP96" s="195"/>
      <c r="AQ96" s="195"/>
      <c r="AR96" s="197" t="e">
        <f t="shared" si="56"/>
        <v>#N/A</v>
      </c>
      <c r="AS96" s="429"/>
      <c r="AT96" s="197"/>
      <c r="AU96" s="195"/>
      <c r="AV96" s="195"/>
      <c r="AW96" s="197" t="e">
        <f t="shared" si="57"/>
        <v>#N/A</v>
      </c>
      <c r="AX96" s="432"/>
    </row>
    <row r="97" spans="2:50">
      <c r="B97" s="422"/>
      <c r="C97" s="197">
        <v>11</v>
      </c>
      <c r="D97" s="225"/>
      <c r="E97" s="169"/>
      <c r="F97" s="197"/>
      <c r="G97" s="195"/>
      <c r="H97" s="429"/>
      <c r="I97" s="197"/>
      <c r="J97" s="197"/>
      <c r="K97" s="197"/>
      <c r="L97" s="429"/>
      <c r="M97" s="196" t="e">
        <f>RANK(K97, K$87:$K$101)</f>
        <v>#DIV/0!</v>
      </c>
      <c r="N97" s="423"/>
      <c r="O97" s="423"/>
      <c r="P97" s="197"/>
      <c r="Q97" s="195"/>
      <c r="R97" s="195"/>
      <c r="S97" s="197" t="e">
        <f t="shared" si="51"/>
        <v>#N/A</v>
      </c>
      <c r="T97" s="429"/>
      <c r="U97" s="197"/>
      <c r="V97" s="195"/>
      <c r="W97" s="195"/>
      <c r="X97" s="197" t="e">
        <f t="shared" si="52"/>
        <v>#N/A</v>
      </c>
      <c r="Y97" s="429"/>
      <c r="Z97" s="197"/>
      <c r="AA97" s="195"/>
      <c r="AB97" s="195"/>
      <c r="AC97" s="197" t="e">
        <f t="shared" si="53"/>
        <v>#N/A</v>
      </c>
      <c r="AD97" s="429"/>
      <c r="AE97" s="197"/>
      <c r="AF97" s="195"/>
      <c r="AG97" s="195"/>
      <c r="AH97" s="197" t="e">
        <f t="shared" si="54"/>
        <v>#N/A</v>
      </c>
      <c r="AI97" s="429"/>
      <c r="AJ97" s="197"/>
      <c r="AK97" s="195"/>
      <c r="AL97" s="195"/>
      <c r="AM97" s="197" t="e">
        <f t="shared" si="55"/>
        <v>#N/A</v>
      </c>
      <c r="AN97" s="429"/>
      <c r="AO97" s="197"/>
      <c r="AP97" s="195"/>
      <c r="AQ97" s="195"/>
      <c r="AR97" s="197" t="e">
        <f t="shared" si="56"/>
        <v>#N/A</v>
      </c>
      <c r="AS97" s="429"/>
      <c r="AT97" s="197"/>
      <c r="AU97" s="195"/>
      <c r="AV97" s="195"/>
      <c r="AW97" s="197" t="e">
        <f t="shared" si="57"/>
        <v>#N/A</v>
      </c>
      <c r="AX97" s="432"/>
    </row>
    <row r="98" spans="2:50">
      <c r="B98" s="422"/>
      <c r="C98" s="197">
        <v>12</v>
      </c>
      <c r="D98" s="225"/>
      <c r="E98" s="169"/>
      <c r="F98" s="197"/>
      <c r="G98" s="195"/>
      <c r="H98" s="429"/>
      <c r="I98" s="197"/>
      <c r="J98" s="197"/>
      <c r="K98" s="197"/>
      <c r="L98" s="429"/>
      <c r="M98" s="196" t="e">
        <f>RANK(K98, K$87:$K$101)</f>
        <v>#DIV/0!</v>
      </c>
      <c r="N98" s="423"/>
      <c r="O98" s="423"/>
      <c r="P98" s="197"/>
      <c r="Q98" s="195"/>
      <c r="R98" s="195"/>
      <c r="S98" s="197" t="e">
        <f t="shared" si="51"/>
        <v>#N/A</v>
      </c>
      <c r="T98" s="429"/>
      <c r="U98" s="197"/>
      <c r="V98" s="195"/>
      <c r="W98" s="195"/>
      <c r="X98" s="197" t="e">
        <f t="shared" si="52"/>
        <v>#N/A</v>
      </c>
      <c r="Y98" s="429"/>
      <c r="Z98" s="197"/>
      <c r="AA98" s="195"/>
      <c r="AB98" s="195"/>
      <c r="AC98" s="197" t="e">
        <f t="shared" si="53"/>
        <v>#N/A</v>
      </c>
      <c r="AD98" s="429"/>
      <c r="AE98" s="197"/>
      <c r="AF98" s="195"/>
      <c r="AG98" s="195"/>
      <c r="AH98" s="197" t="e">
        <f t="shared" si="54"/>
        <v>#N/A</v>
      </c>
      <c r="AI98" s="429"/>
      <c r="AJ98" s="197"/>
      <c r="AK98" s="195"/>
      <c r="AL98" s="195"/>
      <c r="AM98" s="197" t="e">
        <f t="shared" si="55"/>
        <v>#N/A</v>
      </c>
      <c r="AN98" s="429"/>
      <c r="AO98" s="197"/>
      <c r="AP98" s="195"/>
      <c r="AQ98" s="195"/>
      <c r="AR98" s="197" t="e">
        <f t="shared" si="56"/>
        <v>#N/A</v>
      </c>
      <c r="AS98" s="429"/>
      <c r="AT98" s="197"/>
      <c r="AU98" s="197"/>
      <c r="AV98" s="197"/>
      <c r="AW98" s="197" t="e">
        <f t="shared" si="57"/>
        <v>#N/A</v>
      </c>
      <c r="AX98" s="432"/>
    </row>
    <row r="99" spans="2:50">
      <c r="B99" s="422"/>
      <c r="C99" s="197">
        <v>13</v>
      </c>
      <c r="D99" s="225"/>
      <c r="E99" s="169"/>
      <c r="F99" s="197"/>
      <c r="G99" s="195"/>
      <c r="H99" s="429"/>
      <c r="I99" s="197"/>
      <c r="J99" s="197"/>
      <c r="K99" s="197"/>
      <c r="L99" s="429"/>
      <c r="M99" s="196" t="e">
        <f>RANK(K99, K$87:$K$101)</f>
        <v>#DIV/0!</v>
      </c>
      <c r="N99" s="423"/>
      <c r="O99" s="423"/>
      <c r="P99" s="197"/>
      <c r="Q99" s="195"/>
      <c r="R99" s="195"/>
      <c r="S99" s="197" t="e">
        <f t="shared" si="51"/>
        <v>#N/A</v>
      </c>
      <c r="T99" s="429"/>
      <c r="U99" s="197"/>
      <c r="V99" s="195"/>
      <c r="W99" s="195"/>
      <c r="X99" s="197" t="e">
        <f t="shared" si="52"/>
        <v>#N/A</v>
      </c>
      <c r="Y99" s="429"/>
      <c r="Z99" s="197"/>
      <c r="AA99" s="195"/>
      <c r="AB99" s="195"/>
      <c r="AC99" s="197" t="e">
        <f t="shared" si="53"/>
        <v>#N/A</v>
      </c>
      <c r="AD99" s="429"/>
      <c r="AE99" s="197"/>
      <c r="AF99" s="195"/>
      <c r="AG99" s="195"/>
      <c r="AH99" s="197" t="e">
        <f t="shared" si="54"/>
        <v>#N/A</v>
      </c>
      <c r="AI99" s="429"/>
      <c r="AJ99" s="197"/>
      <c r="AK99" s="195"/>
      <c r="AL99" s="195"/>
      <c r="AM99" s="197" t="e">
        <f t="shared" si="55"/>
        <v>#N/A</v>
      </c>
      <c r="AN99" s="429"/>
      <c r="AO99" s="197"/>
      <c r="AP99" s="195"/>
      <c r="AQ99" s="195"/>
      <c r="AR99" s="197" t="e">
        <f t="shared" si="56"/>
        <v>#N/A</v>
      </c>
      <c r="AS99" s="429"/>
      <c r="AT99" s="197"/>
      <c r="AU99" s="197"/>
      <c r="AV99" s="197"/>
      <c r="AW99" s="197" t="e">
        <f t="shared" si="57"/>
        <v>#N/A</v>
      </c>
      <c r="AX99" s="432"/>
    </row>
    <row r="100" spans="2:50">
      <c r="B100" s="422"/>
      <c r="C100" s="197">
        <v>14</v>
      </c>
      <c r="D100" s="225"/>
      <c r="E100" s="169"/>
      <c r="F100" s="197"/>
      <c r="G100" s="195"/>
      <c r="H100" s="429"/>
      <c r="I100" s="197"/>
      <c r="J100" s="197"/>
      <c r="K100" s="197"/>
      <c r="L100" s="429"/>
      <c r="M100" s="196" t="e">
        <f>RANK(K100, K$87:$K$101)</f>
        <v>#DIV/0!</v>
      </c>
      <c r="N100" s="423"/>
      <c r="O100" s="423"/>
      <c r="P100" s="197"/>
      <c r="Q100" s="195"/>
      <c r="R100" s="195"/>
      <c r="S100" s="197" t="e">
        <f t="shared" si="51"/>
        <v>#N/A</v>
      </c>
      <c r="T100" s="429"/>
      <c r="U100" s="197"/>
      <c r="V100" s="195"/>
      <c r="W100" s="195"/>
      <c r="X100" s="197" t="e">
        <f t="shared" si="52"/>
        <v>#N/A</v>
      </c>
      <c r="Y100" s="429"/>
      <c r="Z100" s="197"/>
      <c r="AA100" s="195"/>
      <c r="AB100" s="195"/>
      <c r="AC100" s="197" t="e">
        <f t="shared" si="53"/>
        <v>#N/A</v>
      </c>
      <c r="AD100" s="429"/>
      <c r="AE100" s="197"/>
      <c r="AF100" s="195"/>
      <c r="AG100" s="195"/>
      <c r="AH100" s="197" t="e">
        <f t="shared" si="54"/>
        <v>#N/A</v>
      </c>
      <c r="AI100" s="429"/>
      <c r="AJ100" s="197"/>
      <c r="AK100" s="195"/>
      <c r="AL100" s="195"/>
      <c r="AM100" s="197" t="e">
        <f t="shared" si="55"/>
        <v>#N/A</v>
      </c>
      <c r="AN100" s="429"/>
      <c r="AO100" s="197"/>
      <c r="AP100" s="195"/>
      <c r="AQ100" s="195"/>
      <c r="AR100" s="197" t="e">
        <f t="shared" si="56"/>
        <v>#N/A</v>
      </c>
      <c r="AS100" s="429"/>
      <c r="AT100" s="197"/>
      <c r="AU100" s="197"/>
      <c r="AV100" s="197"/>
      <c r="AW100" s="197" t="e">
        <f t="shared" si="57"/>
        <v>#N/A</v>
      </c>
      <c r="AX100" s="432"/>
    </row>
    <row r="101" spans="2:50">
      <c r="B101" s="422"/>
      <c r="C101" s="197">
        <v>15</v>
      </c>
      <c r="D101" s="225"/>
      <c r="E101" s="169"/>
      <c r="F101" s="197"/>
      <c r="G101" s="195"/>
      <c r="H101" s="430"/>
      <c r="I101" s="197"/>
      <c r="J101" s="197"/>
      <c r="K101" s="197"/>
      <c r="L101" s="430"/>
      <c r="M101" s="169" t="e">
        <f>RANK(K101, K$87:$K$101)</f>
        <v>#DIV/0!</v>
      </c>
      <c r="N101" s="423"/>
      <c r="O101" s="423"/>
      <c r="P101" s="197"/>
      <c r="Q101" s="195"/>
      <c r="R101" s="195"/>
      <c r="S101" s="197" t="e">
        <f t="shared" si="51"/>
        <v>#N/A</v>
      </c>
      <c r="T101" s="430"/>
      <c r="U101" s="197"/>
      <c r="V101" s="195"/>
      <c r="W101" s="195"/>
      <c r="X101" s="197" t="e">
        <f t="shared" si="52"/>
        <v>#N/A</v>
      </c>
      <c r="Y101" s="430"/>
      <c r="Z101" s="197"/>
      <c r="AA101" s="195"/>
      <c r="AB101" s="195"/>
      <c r="AC101" s="197" t="e">
        <f t="shared" si="53"/>
        <v>#N/A</v>
      </c>
      <c r="AD101" s="430"/>
      <c r="AE101" s="197"/>
      <c r="AF101" s="195"/>
      <c r="AG101" s="195"/>
      <c r="AH101" s="197" t="e">
        <f t="shared" si="54"/>
        <v>#N/A</v>
      </c>
      <c r="AI101" s="430"/>
      <c r="AJ101" s="197"/>
      <c r="AK101" s="195"/>
      <c r="AL101" s="195"/>
      <c r="AM101" s="197" t="e">
        <f t="shared" si="55"/>
        <v>#N/A</v>
      </c>
      <c r="AN101" s="430"/>
      <c r="AO101" s="197"/>
      <c r="AP101" s="195"/>
      <c r="AQ101" s="195"/>
      <c r="AR101" s="197" t="e">
        <f t="shared" si="56"/>
        <v>#N/A</v>
      </c>
      <c r="AS101" s="430"/>
      <c r="AT101" s="197"/>
      <c r="AU101" s="197"/>
      <c r="AV101" s="197"/>
      <c r="AW101" s="197" t="e">
        <f t="shared" si="57"/>
        <v>#N/A</v>
      </c>
      <c r="AX101" s="432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101"/>
  <sheetViews>
    <sheetView topLeftCell="A28" zoomScale="85" zoomScaleNormal="85" workbookViewId="0">
      <pane xSplit="15" topLeftCell="P1" activePane="topRight" state="frozen"/>
      <selection pane="topRight" activeCell="K54" sqref="K54"/>
      <selection sqref="A1:L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15" t="s">
        <v>246</v>
      </c>
      <c r="C1" s="102">
        <f>AVERAGE(L7,L27,L47,L67,L87)</f>
        <v>87.393165279301272</v>
      </c>
    </row>
    <row r="2" spans="1:50" ht="15.75">
      <c r="A2" s="79"/>
      <c r="B2" s="396" t="s">
        <v>202</v>
      </c>
      <c r="C2" s="396"/>
      <c r="D2" s="396"/>
      <c r="E2" s="396"/>
      <c r="F2" s="396"/>
      <c r="G2" s="396"/>
      <c r="H2" s="396"/>
      <c r="I2" s="198"/>
      <c r="J2" s="198"/>
      <c r="K2" s="198"/>
      <c r="L2" s="198"/>
      <c r="M2" s="193"/>
      <c r="N2" s="401" t="s">
        <v>203</v>
      </c>
      <c r="O2" s="401" t="s">
        <v>150</v>
      </c>
      <c r="P2" s="416">
        <v>45895</v>
      </c>
      <c r="Q2" s="417"/>
      <c r="R2" s="417"/>
      <c r="S2" s="417"/>
      <c r="T2" s="418"/>
      <c r="U2" s="421">
        <f>P2+1</f>
        <v>45896</v>
      </c>
      <c r="V2" s="422"/>
      <c r="W2" s="422"/>
      <c r="X2" s="422"/>
      <c r="Y2" s="422"/>
      <c r="Z2" s="421">
        <f>U2+1</f>
        <v>45897</v>
      </c>
      <c r="AA2" s="422"/>
      <c r="AB2" s="422"/>
      <c r="AC2" s="422"/>
      <c r="AD2" s="422"/>
      <c r="AE2" s="421">
        <f>Z2+1</f>
        <v>45898</v>
      </c>
      <c r="AF2" s="422"/>
      <c r="AG2" s="422"/>
      <c r="AH2" s="422"/>
      <c r="AI2" s="422"/>
      <c r="AJ2" s="421">
        <f>AE2+1</f>
        <v>45899</v>
      </c>
      <c r="AK2" s="422"/>
      <c r="AL2" s="422"/>
      <c r="AM2" s="422"/>
      <c r="AN2" s="422"/>
      <c r="AO2" s="421">
        <f>AJ2+1</f>
        <v>45900</v>
      </c>
      <c r="AP2" s="422"/>
      <c r="AQ2" s="422"/>
      <c r="AR2" s="422"/>
      <c r="AS2" s="422"/>
      <c r="AT2" s="421">
        <f>AO2+1</f>
        <v>45901</v>
      </c>
      <c r="AU2" s="422"/>
      <c r="AV2" s="422"/>
      <c r="AW2" s="422"/>
      <c r="AX2" s="422"/>
    </row>
    <row r="3" spans="1:50" ht="15.75">
      <c r="A3" s="79"/>
      <c r="B3" s="397"/>
      <c r="C3" s="397"/>
      <c r="D3" s="397"/>
      <c r="E3" s="397"/>
      <c r="F3" s="397"/>
      <c r="G3" s="397"/>
      <c r="H3" s="397"/>
      <c r="I3" s="199"/>
      <c r="J3" s="199"/>
      <c r="K3" s="199"/>
      <c r="L3" s="199"/>
      <c r="M3" s="194"/>
      <c r="N3" s="403"/>
      <c r="O3" s="403"/>
      <c r="P3" s="416" t="s">
        <v>204</v>
      </c>
      <c r="Q3" s="417"/>
      <c r="R3" s="417"/>
      <c r="S3" s="417"/>
      <c r="T3" s="418"/>
      <c r="U3" s="416" t="s">
        <v>205</v>
      </c>
      <c r="V3" s="417"/>
      <c r="W3" s="417"/>
      <c r="X3" s="417"/>
      <c r="Y3" s="418"/>
      <c r="Z3" s="416" t="s">
        <v>206</v>
      </c>
      <c r="AA3" s="417"/>
      <c r="AB3" s="417"/>
      <c r="AC3" s="417"/>
      <c r="AD3" s="418"/>
      <c r="AE3" s="416" t="s">
        <v>207</v>
      </c>
      <c r="AF3" s="417"/>
      <c r="AG3" s="417"/>
      <c r="AH3" s="417"/>
      <c r="AI3" s="418"/>
      <c r="AJ3" s="416" t="s">
        <v>208</v>
      </c>
      <c r="AK3" s="417"/>
      <c r="AL3" s="417"/>
      <c r="AM3" s="417"/>
      <c r="AN3" s="418"/>
      <c r="AO3" s="416" t="s">
        <v>157</v>
      </c>
      <c r="AP3" s="417"/>
      <c r="AQ3" s="417"/>
      <c r="AR3" s="417"/>
      <c r="AS3" s="418"/>
      <c r="AT3" s="416" t="s">
        <v>209</v>
      </c>
      <c r="AU3" s="417"/>
      <c r="AV3" s="417"/>
      <c r="AW3" s="417"/>
      <c r="AX3" s="418"/>
    </row>
    <row r="4" spans="1:50">
      <c r="A4" s="79"/>
      <c r="B4" s="423" t="s">
        <v>210</v>
      </c>
      <c r="C4" s="423" t="s">
        <v>211</v>
      </c>
      <c r="D4" s="423"/>
      <c r="E4" s="423" t="s">
        <v>212</v>
      </c>
      <c r="F4" s="423"/>
      <c r="G4" s="423"/>
      <c r="H4" s="404" t="s">
        <v>213</v>
      </c>
      <c r="I4" s="423" t="s">
        <v>214</v>
      </c>
      <c r="J4" s="423"/>
      <c r="K4" s="423"/>
      <c r="L4" s="404" t="s">
        <v>213</v>
      </c>
      <c r="M4" s="401" t="s">
        <v>215</v>
      </c>
      <c r="N4" s="423"/>
      <c r="O4" s="423" t="s">
        <v>216</v>
      </c>
      <c r="P4" s="413" t="s">
        <v>217</v>
      </c>
      <c r="Q4" s="414"/>
      <c r="R4" s="414"/>
      <c r="S4" s="415"/>
      <c r="T4" s="423" t="s">
        <v>213</v>
      </c>
      <c r="U4" s="413" t="s">
        <v>217</v>
      </c>
      <c r="V4" s="414"/>
      <c r="W4" s="414"/>
      <c r="X4" s="415"/>
      <c r="Y4" s="423" t="s">
        <v>213</v>
      </c>
      <c r="Z4" s="413" t="s">
        <v>217</v>
      </c>
      <c r="AA4" s="414"/>
      <c r="AB4" s="414"/>
      <c r="AC4" s="415"/>
      <c r="AD4" s="423" t="s">
        <v>213</v>
      </c>
      <c r="AE4" s="413" t="s">
        <v>217</v>
      </c>
      <c r="AF4" s="414"/>
      <c r="AG4" s="414"/>
      <c r="AH4" s="415"/>
      <c r="AI4" s="423" t="s">
        <v>213</v>
      </c>
      <c r="AJ4" s="413" t="s">
        <v>217</v>
      </c>
      <c r="AK4" s="414"/>
      <c r="AL4" s="414"/>
      <c r="AM4" s="415"/>
      <c r="AN4" s="423" t="s">
        <v>213</v>
      </c>
      <c r="AO4" s="413" t="s">
        <v>217</v>
      </c>
      <c r="AP4" s="414"/>
      <c r="AQ4" s="414"/>
      <c r="AR4" s="415"/>
      <c r="AS4" s="423" t="s">
        <v>213</v>
      </c>
      <c r="AT4" s="413" t="s">
        <v>217</v>
      </c>
      <c r="AU4" s="414"/>
      <c r="AV4" s="414"/>
      <c r="AW4" s="415"/>
      <c r="AX4" s="423" t="s">
        <v>213</v>
      </c>
    </row>
    <row r="5" spans="1:50">
      <c r="A5" s="79"/>
      <c r="B5" s="423"/>
      <c r="C5" s="423"/>
      <c r="D5" s="423"/>
      <c r="E5" s="423" t="s">
        <v>218</v>
      </c>
      <c r="F5" s="423"/>
      <c r="G5" s="423"/>
      <c r="H5" s="406"/>
      <c r="I5" s="423" t="s">
        <v>218</v>
      </c>
      <c r="J5" s="423"/>
      <c r="K5" s="423"/>
      <c r="L5" s="406"/>
      <c r="M5" s="402"/>
      <c r="N5" s="423"/>
      <c r="O5" s="423"/>
      <c r="P5" s="413" t="s">
        <v>219</v>
      </c>
      <c r="Q5" s="414"/>
      <c r="R5" s="414"/>
      <c r="S5" s="415"/>
      <c r="T5" s="423"/>
      <c r="U5" s="413" t="s">
        <v>219</v>
      </c>
      <c r="V5" s="414"/>
      <c r="W5" s="414"/>
      <c r="X5" s="415"/>
      <c r="Y5" s="423"/>
      <c r="Z5" s="413" t="s">
        <v>219</v>
      </c>
      <c r="AA5" s="414"/>
      <c r="AB5" s="414"/>
      <c r="AC5" s="415"/>
      <c r="AD5" s="423"/>
      <c r="AE5" s="413" t="s">
        <v>219</v>
      </c>
      <c r="AF5" s="414"/>
      <c r="AG5" s="414"/>
      <c r="AH5" s="415"/>
      <c r="AI5" s="423"/>
      <c r="AJ5" s="413" t="s">
        <v>219</v>
      </c>
      <c r="AK5" s="414"/>
      <c r="AL5" s="414"/>
      <c r="AM5" s="415"/>
      <c r="AN5" s="423"/>
      <c r="AO5" s="413" t="s">
        <v>219</v>
      </c>
      <c r="AP5" s="414"/>
      <c r="AQ5" s="414"/>
      <c r="AR5" s="415"/>
      <c r="AS5" s="423"/>
      <c r="AT5" s="413" t="s">
        <v>219</v>
      </c>
      <c r="AU5" s="414"/>
      <c r="AV5" s="414"/>
      <c r="AW5" s="415"/>
      <c r="AX5" s="423"/>
    </row>
    <row r="6" spans="1:50">
      <c r="A6" s="77"/>
      <c r="B6" s="423"/>
      <c r="C6" s="423"/>
      <c r="D6" s="423"/>
      <c r="E6" s="297" t="s">
        <v>220</v>
      </c>
      <c r="F6" s="297" t="s">
        <v>221</v>
      </c>
      <c r="G6" s="297" t="s">
        <v>222</v>
      </c>
      <c r="H6" s="408"/>
      <c r="I6" s="297" t="s">
        <v>220</v>
      </c>
      <c r="J6" s="297" t="s">
        <v>221</v>
      </c>
      <c r="K6" s="297" t="s">
        <v>222</v>
      </c>
      <c r="L6" s="408"/>
      <c r="M6" s="403"/>
      <c r="N6" s="423"/>
      <c r="O6" s="423"/>
      <c r="P6" s="297" t="s">
        <v>220</v>
      </c>
      <c r="Q6" s="297" t="s">
        <v>221</v>
      </c>
      <c r="R6" s="297" t="s">
        <v>222</v>
      </c>
      <c r="S6" s="297" t="s">
        <v>215</v>
      </c>
      <c r="T6" s="423"/>
      <c r="U6" s="297" t="s">
        <v>220</v>
      </c>
      <c r="V6" s="297" t="s">
        <v>221</v>
      </c>
      <c r="W6" s="297" t="s">
        <v>222</v>
      </c>
      <c r="X6" s="297" t="s">
        <v>215</v>
      </c>
      <c r="Y6" s="423"/>
      <c r="Z6" s="297" t="s">
        <v>220</v>
      </c>
      <c r="AA6" s="297" t="s">
        <v>221</v>
      </c>
      <c r="AB6" s="297" t="s">
        <v>222</v>
      </c>
      <c r="AC6" s="297" t="s">
        <v>215</v>
      </c>
      <c r="AD6" s="423"/>
      <c r="AE6" s="297" t="s">
        <v>220</v>
      </c>
      <c r="AF6" s="297" t="s">
        <v>221</v>
      </c>
      <c r="AG6" s="297" t="s">
        <v>222</v>
      </c>
      <c r="AH6" s="297" t="s">
        <v>215</v>
      </c>
      <c r="AI6" s="423"/>
      <c r="AJ6" s="297" t="s">
        <v>220</v>
      </c>
      <c r="AK6" s="297" t="s">
        <v>221</v>
      </c>
      <c r="AL6" s="297" t="s">
        <v>222</v>
      </c>
      <c r="AM6" s="297" t="s">
        <v>215</v>
      </c>
      <c r="AN6" s="423"/>
      <c r="AO6" s="297" t="s">
        <v>220</v>
      </c>
      <c r="AP6" s="297" t="s">
        <v>221</v>
      </c>
      <c r="AQ6" s="297" t="s">
        <v>222</v>
      </c>
      <c r="AR6" s="297" t="s">
        <v>215</v>
      </c>
      <c r="AS6" s="423"/>
      <c r="AT6" s="297" t="s">
        <v>220</v>
      </c>
      <c r="AU6" s="297" t="s">
        <v>221</v>
      </c>
      <c r="AV6" s="297" t="s">
        <v>222</v>
      </c>
      <c r="AW6" s="297" t="s">
        <v>215</v>
      </c>
      <c r="AX6" s="423"/>
    </row>
    <row r="7" spans="1:50">
      <c r="A7" s="79"/>
      <c r="B7" s="423" t="s">
        <v>303</v>
      </c>
      <c r="C7" s="197">
        <v>1</v>
      </c>
      <c r="D7" s="225" t="s">
        <v>304</v>
      </c>
      <c r="E7" s="169">
        <v>19</v>
      </c>
      <c r="F7" s="197">
        <v>1636</v>
      </c>
      <c r="G7" s="195">
        <v>86.10526315789474</v>
      </c>
      <c r="H7" s="428">
        <f>AVERAGE(G7:G21)</f>
        <v>95.049247769283156</v>
      </c>
      <c r="I7" s="169">
        <f>AVERAGE(P7,U7,Z7,AE7,AJ7,AO7,AT7)</f>
        <v>19</v>
      </c>
      <c r="J7" s="169">
        <f>AVERAGE(Q7,V7,AA7,AF7,AK7,AP7,AU7)</f>
        <v>1382.2361707179055</v>
      </c>
      <c r="K7" s="195">
        <f>AVERAGE(R7,W7,AB7,AG7,AL7,AQ7,AV7)</f>
        <v>72.749272143047648</v>
      </c>
      <c r="L7" s="428">
        <f>IFERROR(AVERAGE(K7:K21),"-")</f>
        <v>87.552348375596253</v>
      </c>
      <c r="M7" s="196">
        <f>RANK(K7, K$7:$K$21)</f>
        <v>7</v>
      </c>
      <c r="N7" s="423"/>
      <c r="O7" s="423"/>
      <c r="P7" s="169">
        <v>19</v>
      </c>
      <c r="Q7" s="169">
        <v>1349.6842105263154</v>
      </c>
      <c r="R7" s="169">
        <v>71.036011080332386</v>
      </c>
      <c r="S7" s="197">
        <f t="shared" ref="S7:S21" si="0">RANK(R7, R$7:R$21)</f>
        <v>6</v>
      </c>
      <c r="T7" s="432">
        <f>AVERAGE(R7:R21)</f>
        <v>85.463663562237073</v>
      </c>
      <c r="U7" s="169">
        <v>19</v>
      </c>
      <c r="V7" s="169">
        <v>1394.6808510638293</v>
      </c>
      <c r="W7" s="169">
        <v>73.404255319148916</v>
      </c>
      <c r="X7" s="197">
        <f t="shared" ref="X7:X21" si="1">RANK(W7, W$7:W$21)</f>
        <v>6</v>
      </c>
      <c r="Y7" s="432">
        <f>AVERAGE(W7:W21)</f>
        <v>87.236459533284616</v>
      </c>
      <c r="Z7" s="169">
        <v>19</v>
      </c>
      <c r="AA7" s="169">
        <v>1384.7727272727273</v>
      </c>
      <c r="AB7" s="169">
        <v>72.882775119617222</v>
      </c>
      <c r="AC7" s="197">
        <f t="shared" ref="AC7:AC21" si="2">RANK(AB7, AB$7:AB$21)</f>
        <v>6</v>
      </c>
      <c r="AD7" s="432">
        <f>AVERAGE(AB7:AB21)</f>
        <v>89.745435003295029</v>
      </c>
      <c r="AE7" s="169">
        <v>19</v>
      </c>
      <c r="AF7" s="169">
        <v>1408.0519480519481</v>
      </c>
      <c r="AG7" s="169">
        <v>74.10799726589201</v>
      </c>
      <c r="AH7" s="197">
        <f t="shared" ref="AH7:AH21" si="3">RANK(AG7, AG$7:AG$21)</f>
        <v>5</v>
      </c>
      <c r="AI7" s="432">
        <f>AVERAGE(AG7:AG21)</f>
        <v>89.260491469306416</v>
      </c>
      <c r="AJ7" s="169">
        <v>19</v>
      </c>
      <c r="AK7" s="169">
        <v>1368.0000000000005</v>
      </c>
      <c r="AL7" s="169">
        <v>72.000000000000028</v>
      </c>
      <c r="AM7" s="197">
        <f t="shared" ref="AM7:AM21" si="4">RANK(AL7, AL$7:AL$21)</f>
        <v>6</v>
      </c>
      <c r="AN7" s="432">
        <f>AVERAGE(AL7:AL21)</f>
        <v>87.722333908861415</v>
      </c>
      <c r="AO7" s="169">
        <v>19</v>
      </c>
      <c r="AP7" s="169">
        <v>1374.705882352941</v>
      </c>
      <c r="AQ7" s="169">
        <v>72.35294117647058</v>
      </c>
      <c r="AR7" s="197">
        <f t="shared" ref="AR7:AR21" si="5">RANK(AQ7, AQ$7:AQ$21)</f>
        <v>6</v>
      </c>
      <c r="AS7" s="432">
        <f>AVERAGE(AQ7:AQ21)</f>
        <v>91.005289612132103</v>
      </c>
      <c r="AT7" s="169">
        <v>19</v>
      </c>
      <c r="AU7" s="169">
        <v>1395.7575757575755</v>
      </c>
      <c r="AV7" s="169">
        <v>73.460925039872393</v>
      </c>
      <c r="AW7" s="197">
        <f t="shared" ref="AW7:AW21" si="6">RANK(AV7, AV$7:AV$21)</f>
        <v>6</v>
      </c>
      <c r="AX7" s="432">
        <f>AVERAGE(AV7:AV21)</f>
        <v>90.835582290722982</v>
      </c>
    </row>
    <row r="8" spans="1:50" ht="15" customHeight="1">
      <c r="A8" s="79"/>
      <c r="B8" s="422"/>
      <c r="C8" s="197">
        <v>2</v>
      </c>
      <c r="D8" s="225" t="s">
        <v>305</v>
      </c>
      <c r="E8" s="169">
        <v>17</v>
      </c>
      <c r="F8" s="197">
        <v>1500</v>
      </c>
      <c r="G8" s="195">
        <v>88.235294117647058</v>
      </c>
      <c r="H8" s="429"/>
      <c r="I8" s="169">
        <f t="shared" ref="I8:K13" si="7">AVERAGE(P8,U8,Z8,AE8,AJ8,AO8,AT8)</f>
        <v>17</v>
      </c>
      <c r="J8" s="169">
        <f t="shared" si="7"/>
        <v>1325.1480111008327</v>
      </c>
      <c r="K8" s="195">
        <f t="shared" si="7"/>
        <v>77.949883005931326</v>
      </c>
      <c r="L8" s="429"/>
      <c r="M8" s="196">
        <f>RANK(K8, K$7:$K$21)</f>
        <v>3</v>
      </c>
      <c r="N8" s="423"/>
      <c r="O8" s="423"/>
      <c r="P8" s="169">
        <v>17</v>
      </c>
      <c r="Q8" s="169">
        <v>1323.9130434782608</v>
      </c>
      <c r="R8" s="169">
        <v>77.8772378516624</v>
      </c>
      <c r="S8" s="197">
        <f t="shared" si="0"/>
        <v>2</v>
      </c>
      <c r="T8" s="432"/>
      <c r="U8" s="169">
        <v>17</v>
      </c>
      <c r="V8" s="169">
        <v>1326.3829787234044</v>
      </c>
      <c r="W8" s="169">
        <v>78.022528160200267</v>
      </c>
      <c r="X8" s="197">
        <f t="shared" si="1"/>
        <v>2</v>
      </c>
      <c r="Y8" s="432"/>
      <c r="Z8" s="169"/>
      <c r="AA8" s="169"/>
      <c r="AB8" s="169"/>
      <c r="AC8" s="197" t="e">
        <f t="shared" si="2"/>
        <v>#N/A</v>
      </c>
      <c r="AD8" s="432"/>
      <c r="AE8" s="169"/>
      <c r="AF8" s="169"/>
      <c r="AG8" s="169"/>
      <c r="AH8" s="197" t="e">
        <f t="shared" si="3"/>
        <v>#N/A</v>
      </c>
      <c r="AI8" s="432"/>
      <c r="AJ8" s="169"/>
      <c r="AK8" s="169"/>
      <c r="AL8" s="169"/>
      <c r="AM8" s="197" t="e">
        <f t="shared" si="4"/>
        <v>#N/A</v>
      </c>
      <c r="AN8" s="432"/>
      <c r="AO8" s="169"/>
      <c r="AP8" s="169"/>
      <c r="AQ8" s="169"/>
      <c r="AR8" s="197" t="e">
        <f t="shared" si="5"/>
        <v>#N/A</v>
      </c>
      <c r="AS8" s="432"/>
      <c r="AT8" s="169"/>
      <c r="AU8" s="169"/>
      <c r="AV8" s="169"/>
      <c r="AW8" s="197" t="e">
        <f t="shared" si="6"/>
        <v>#N/A</v>
      </c>
      <c r="AX8" s="432"/>
    </row>
    <row r="9" spans="1:50">
      <c r="A9" s="79"/>
      <c r="B9" s="422"/>
      <c r="C9" s="197">
        <v>3</v>
      </c>
      <c r="D9" s="225" t="s">
        <v>306</v>
      </c>
      <c r="E9" s="169">
        <v>18</v>
      </c>
      <c r="F9" s="197">
        <v>1636</v>
      </c>
      <c r="G9" s="195">
        <v>90.888888888888886</v>
      </c>
      <c r="H9" s="429"/>
      <c r="I9" s="169">
        <f t="shared" si="7"/>
        <v>18</v>
      </c>
      <c r="J9" s="169">
        <f t="shared" si="7"/>
        <v>1377.8133884522979</v>
      </c>
      <c r="K9" s="195">
        <f t="shared" si="7"/>
        <v>76.545188247349898</v>
      </c>
      <c r="L9" s="429"/>
      <c r="M9" s="196">
        <f>RANK(K9, K$7:$K$21)</f>
        <v>4</v>
      </c>
      <c r="N9" s="423"/>
      <c r="O9" s="423"/>
      <c r="P9" s="169">
        <v>18</v>
      </c>
      <c r="Q9" s="169">
        <v>1353.9749999999999</v>
      </c>
      <c r="R9" s="169">
        <v>75.220833333333331</v>
      </c>
      <c r="S9" s="197">
        <f t="shared" si="0"/>
        <v>3</v>
      </c>
      <c r="T9" s="432"/>
      <c r="U9" s="169">
        <v>18</v>
      </c>
      <c r="V9" s="169">
        <v>1383.1428571428569</v>
      </c>
      <c r="W9" s="169">
        <v>76.841269841269821</v>
      </c>
      <c r="X9" s="197">
        <f t="shared" si="1"/>
        <v>3</v>
      </c>
      <c r="Y9" s="432"/>
      <c r="Z9" s="169">
        <v>18</v>
      </c>
      <c r="AA9" s="169">
        <v>1366.0279720279721</v>
      </c>
      <c r="AB9" s="169">
        <v>75.890442890442898</v>
      </c>
      <c r="AC9" s="197">
        <f t="shared" si="2"/>
        <v>4</v>
      </c>
      <c r="AD9" s="432"/>
      <c r="AE9" s="169">
        <v>18</v>
      </c>
      <c r="AF9" s="169">
        <v>1381.4594594594594</v>
      </c>
      <c r="AG9" s="169">
        <v>76.747747747747738</v>
      </c>
      <c r="AH9" s="197">
        <f t="shared" si="3"/>
        <v>3</v>
      </c>
      <c r="AI9" s="432"/>
      <c r="AJ9" s="169">
        <v>18</v>
      </c>
      <c r="AK9" s="169">
        <v>1361.0270270270269</v>
      </c>
      <c r="AL9" s="169">
        <v>75.612612612612608</v>
      </c>
      <c r="AM9" s="197">
        <f t="shared" si="4"/>
        <v>3</v>
      </c>
      <c r="AN9" s="432"/>
      <c r="AO9" s="169">
        <v>18</v>
      </c>
      <c r="AP9" s="169">
        <v>1416.394736842105</v>
      </c>
      <c r="AQ9" s="169">
        <v>78.688596491228054</v>
      </c>
      <c r="AR9" s="197">
        <f t="shared" si="5"/>
        <v>3</v>
      </c>
      <c r="AS9" s="432"/>
      <c r="AT9" s="169">
        <v>18</v>
      </c>
      <c r="AU9" s="169">
        <v>1382.6666666666667</v>
      </c>
      <c r="AV9" s="169">
        <v>76.814814814814824</v>
      </c>
      <c r="AW9" s="197">
        <f t="shared" si="6"/>
        <v>3</v>
      </c>
      <c r="AX9" s="432"/>
    </row>
    <row r="10" spans="1:50">
      <c r="A10" s="79"/>
      <c r="B10" s="422"/>
      <c r="C10" s="197">
        <v>4</v>
      </c>
      <c r="D10" s="225" t="s">
        <v>307</v>
      </c>
      <c r="E10" s="169">
        <v>19</v>
      </c>
      <c r="F10" s="197">
        <v>1636</v>
      </c>
      <c r="G10" s="195">
        <v>86.10526315789474</v>
      </c>
      <c r="H10" s="429"/>
      <c r="I10" s="169">
        <f t="shared" si="7"/>
        <v>17.142857142857142</v>
      </c>
      <c r="J10" s="169">
        <f t="shared" si="7"/>
        <v>1340.1093142338602</v>
      </c>
      <c r="K10" s="195">
        <f t="shared" si="7"/>
        <v>78.463042544099707</v>
      </c>
      <c r="L10" s="429"/>
      <c r="M10" s="196">
        <f>RANK(K10, K$7:$K$21)</f>
        <v>2</v>
      </c>
      <c r="N10" s="423"/>
      <c r="O10" s="423"/>
      <c r="P10" s="169">
        <v>18</v>
      </c>
      <c r="Q10" s="169">
        <v>1339.3749999999998</v>
      </c>
      <c r="R10" s="169">
        <v>74.409722222222214</v>
      </c>
      <c r="S10" s="197">
        <f t="shared" si="0"/>
        <v>4</v>
      </c>
      <c r="T10" s="432"/>
      <c r="U10" s="169">
        <v>18</v>
      </c>
      <c r="V10" s="169">
        <v>1351.3333333333326</v>
      </c>
      <c r="W10" s="169">
        <v>75.074074074074034</v>
      </c>
      <c r="X10" s="197">
        <f t="shared" si="1"/>
        <v>5</v>
      </c>
      <c r="Y10" s="432"/>
      <c r="Z10" s="169">
        <v>16</v>
      </c>
      <c r="AA10" s="169">
        <v>1342.7586206896551</v>
      </c>
      <c r="AB10" s="169">
        <v>83.922413793103445</v>
      </c>
      <c r="AC10" s="197">
        <f t="shared" si="2"/>
        <v>2</v>
      </c>
      <c r="AD10" s="432"/>
      <c r="AE10" s="169">
        <v>18</v>
      </c>
      <c r="AF10" s="169">
        <v>1332.6315789473681</v>
      </c>
      <c r="AG10" s="169">
        <v>74.035087719298232</v>
      </c>
      <c r="AH10" s="197">
        <f t="shared" si="3"/>
        <v>6</v>
      </c>
      <c r="AI10" s="432"/>
      <c r="AJ10" s="169">
        <v>18</v>
      </c>
      <c r="AK10" s="169">
        <v>1312.8000000000006</v>
      </c>
      <c r="AL10" s="169">
        <v>72.933333333333366</v>
      </c>
      <c r="AM10" s="197">
        <f t="shared" si="4"/>
        <v>5</v>
      </c>
      <c r="AN10" s="432"/>
      <c r="AO10" s="169">
        <v>16</v>
      </c>
      <c r="AP10" s="169">
        <v>1333.1999999999998</v>
      </c>
      <c r="AQ10" s="169">
        <v>83.324999999999989</v>
      </c>
      <c r="AR10" s="197">
        <f t="shared" si="5"/>
        <v>2</v>
      </c>
      <c r="AS10" s="432"/>
      <c r="AT10" s="169">
        <v>16</v>
      </c>
      <c r="AU10" s="169">
        <v>1368.6666666666661</v>
      </c>
      <c r="AV10" s="169">
        <v>85.541666666666629</v>
      </c>
      <c r="AW10" s="197">
        <f t="shared" si="6"/>
        <v>2</v>
      </c>
      <c r="AX10" s="432"/>
    </row>
    <row r="11" spans="1:50">
      <c r="A11" s="79"/>
      <c r="B11" s="422"/>
      <c r="C11" s="197">
        <v>5</v>
      </c>
      <c r="D11" s="225" t="s">
        <v>308</v>
      </c>
      <c r="E11" s="169">
        <v>21</v>
      </c>
      <c r="F11" s="197">
        <v>1636</v>
      </c>
      <c r="G11" s="195">
        <v>77.904761904761898</v>
      </c>
      <c r="H11" s="429"/>
      <c r="I11" s="169">
        <f t="shared" si="7"/>
        <v>17.285714285714285</v>
      </c>
      <c r="J11" s="169">
        <f t="shared" si="7"/>
        <v>1280.9569002111682</v>
      </c>
      <c r="K11" s="195">
        <f t="shared" si="7"/>
        <v>74.146591035497565</v>
      </c>
      <c r="L11" s="429"/>
      <c r="M11" s="196">
        <f>RANK(K11, K$7:$K$21)</f>
        <v>6</v>
      </c>
      <c r="N11" s="423"/>
      <c r="O11" s="423"/>
      <c r="P11" s="169">
        <v>18</v>
      </c>
      <c r="Q11" s="169">
        <v>1260</v>
      </c>
      <c r="R11" s="169">
        <v>70</v>
      </c>
      <c r="S11" s="197">
        <f t="shared" si="0"/>
        <v>7</v>
      </c>
      <c r="T11" s="432"/>
      <c r="U11" s="169">
        <v>18</v>
      </c>
      <c r="V11" s="169">
        <v>1318.571428571428</v>
      </c>
      <c r="W11" s="169">
        <v>73.253968253968225</v>
      </c>
      <c r="X11" s="197">
        <f t="shared" si="1"/>
        <v>7</v>
      </c>
      <c r="Y11" s="432"/>
      <c r="Z11" s="169">
        <v>17</v>
      </c>
      <c r="AA11" s="169">
        <v>1272.0000000000002</v>
      </c>
      <c r="AB11" s="169">
        <v>74.823529411764724</v>
      </c>
      <c r="AC11" s="197">
        <f t="shared" si="2"/>
        <v>5</v>
      </c>
      <c r="AD11" s="432"/>
      <c r="AE11" s="169">
        <v>17</v>
      </c>
      <c r="AF11" s="169">
        <v>1290.4166666666661</v>
      </c>
      <c r="AG11" s="169">
        <v>75.90686274509801</v>
      </c>
      <c r="AH11" s="197">
        <f t="shared" si="3"/>
        <v>4</v>
      </c>
      <c r="AI11" s="432"/>
      <c r="AJ11" s="169">
        <v>17</v>
      </c>
      <c r="AK11" s="169">
        <v>1265.4193548387098</v>
      </c>
      <c r="AL11" s="169">
        <v>74.436432637571158</v>
      </c>
      <c r="AM11" s="197">
        <f t="shared" si="4"/>
        <v>4</v>
      </c>
      <c r="AN11" s="432"/>
      <c r="AO11" s="169">
        <v>17</v>
      </c>
      <c r="AP11" s="169">
        <v>1282.2580645161286</v>
      </c>
      <c r="AQ11" s="169">
        <v>75.426944971536969</v>
      </c>
      <c r="AR11" s="197">
        <f t="shared" si="5"/>
        <v>4</v>
      </c>
      <c r="AS11" s="432"/>
      <c r="AT11" s="169">
        <v>17</v>
      </c>
      <c r="AU11" s="169">
        <v>1278.032786885246</v>
      </c>
      <c r="AV11" s="169">
        <v>75.178399228543881</v>
      </c>
      <c r="AW11" s="197">
        <f t="shared" si="6"/>
        <v>5</v>
      </c>
      <c r="AX11" s="432"/>
    </row>
    <row r="12" spans="1:50">
      <c r="A12" s="79"/>
      <c r="B12" s="422"/>
      <c r="C12" s="197">
        <v>6</v>
      </c>
      <c r="D12" s="225" t="s">
        <v>309</v>
      </c>
      <c r="E12" s="169">
        <v>19</v>
      </c>
      <c r="F12" s="197">
        <v>1636</v>
      </c>
      <c r="G12" s="195">
        <v>86.10526315789474</v>
      </c>
      <c r="H12" s="429"/>
      <c r="I12" s="169">
        <f t="shared" si="7"/>
        <v>17.142857142857142</v>
      </c>
      <c r="J12" s="169">
        <f t="shared" si="7"/>
        <v>1295.3892322835106</v>
      </c>
      <c r="K12" s="195">
        <f t="shared" si="7"/>
        <v>75.5893883478753</v>
      </c>
      <c r="L12" s="429"/>
      <c r="M12" s="196">
        <f>RANK(K12, K$7:$K$21)</f>
        <v>5</v>
      </c>
      <c r="N12" s="423"/>
      <c r="O12" s="423"/>
      <c r="P12" s="169">
        <v>18</v>
      </c>
      <c r="Q12" s="169">
        <v>1306.5734265734263</v>
      </c>
      <c r="R12" s="169">
        <v>72.587412587412572</v>
      </c>
      <c r="S12" s="197">
        <f t="shared" si="0"/>
        <v>5</v>
      </c>
      <c r="T12" s="432"/>
      <c r="U12" s="169">
        <v>17</v>
      </c>
      <c r="V12" s="169">
        <v>1279.3469387755101</v>
      </c>
      <c r="W12" s="169">
        <v>75.255702280912359</v>
      </c>
      <c r="X12" s="197">
        <f t="shared" si="1"/>
        <v>4</v>
      </c>
      <c r="Y12" s="432"/>
      <c r="Z12" s="169">
        <v>17</v>
      </c>
      <c r="AA12" s="169">
        <v>1310.5945945945946</v>
      </c>
      <c r="AB12" s="169">
        <v>77.09379968203497</v>
      </c>
      <c r="AC12" s="197">
        <f t="shared" si="2"/>
        <v>3</v>
      </c>
      <c r="AD12" s="432"/>
      <c r="AE12" s="169">
        <v>17</v>
      </c>
      <c r="AF12" s="169">
        <v>1312.9846153846156</v>
      </c>
      <c r="AG12" s="169">
        <v>77.234389140271503</v>
      </c>
      <c r="AH12" s="197">
        <f t="shared" si="3"/>
        <v>2</v>
      </c>
      <c r="AI12" s="432"/>
      <c r="AJ12" s="169">
        <v>17</v>
      </c>
      <c r="AK12" s="169">
        <v>1301.8064516129034</v>
      </c>
      <c r="AL12" s="169">
        <v>76.576850094876676</v>
      </c>
      <c r="AM12" s="197">
        <f t="shared" si="4"/>
        <v>2</v>
      </c>
      <c r="AN12" s="432"/>
      <c r="AO12" s="169">
        <v>17</v>
      </c>
      <c r="AP12" s="169">
        <v>1270.55033557047</v>
      </c>
      <c r="AQ12" s="169">
        <v>74.738255033557053</v>
      </c>
      <c r="AR12" s="197">
        <f t="shared" si="5"/>
        <v>5</v>
      </c>
      <c r="AS12" s="432"/>
      <c r="AT12" s="169">
        <v>17</v>
      </c>
      <c r="AU12" s="169">
        <v>1285.8682634730537</v>
      </c>
      <c r="AV12" s="169">
        <v>75.639309616061979</v>
      </c>
      <c r="AW12" s="197">
        <f t="shared" si="6"/>
        <v>4</v>
      </c>
      <c r="AX12" s="432"/>
    </row>
    <row r="13" spans="1:50">
      <c r="A13" s="79"/>
      <c r="B13" s="422"/>
      <c r="C13" s="197">
        <v>7</v>
      </c>
      <c r="D13" s="225" t="s">
        <v>310</v>
      </c>
      <c r="E13" s="169">
        <v>10</v>
      </c>
      <c r="F13" s="197">
        <v>1500</v>
      </c>
      <c r="G13" s="195">
        <v>150</v>
      </c>
      <c r="H13" s="429"/>
      <c r="I13" s="169">
        <f t="shared" si="7"/>
        <v>9</v>
      </c>
      <c r="J13" s="169">
        <f t="shared" si="7"/>
        <v>1416.8076597483507</v>
      </c>
      <c r="K13" s="195">
        <f t="shared" si="7"/>
        <v>157.4230733053723</v>
      </c>
      <c r="L13" s="429"/>
      <c r="M13" s="196">
        <f>RANK(K13, K$7:$K$21)</f>
        <v>1</v>
      </c>
      <c r="N13" s="423"/>
      <c r="O13" s="423"/>
      <c r="P13" s="169">
        <v>9</v>
      </c>
      <c r="Q13" s="169">
        <v>1414.0298507462687</v>
      </c>
      <c r="R13" s="169">
        <v>157.11442786069654</v>
      </c>
      <c r="S13" s="197">
        <f t="shared" si="0"/>
        <v>1</v>
      </c>
      <c r="T13" s="432"/>
      <c r="U13" s="169">
        <v>9</v>
      </c>
      <c r="V13" s="169">
        <v>1429.2307692307684</v>
      </c>
      <c r="W13" s="169">
        <v>158.80341880341871</v>
      </c>
      <c r="X13" s="197">
        <f t="shared" si="1"/>
        <v>1</v>
      </c>
      <c r="Y13" s="432"/>
      <c r="Z13" s="169">
        <v>9</v>
      </c>
      <c r="AA13" s="169">
        <v>1384.7368421052622</v>
      </c>
      <c r="AB13" s="169">
        <v>153.8596491228069</v>
      </c>
      <c r="AC13" s="197">
        <f t="shared" si="2"/>
        <v>1</v>
      </c>
      <c r="AD13" s="432"/>
      <c r="AE13" s="169">
        <v>9</v>
      </c>
      <c r="AF13" s="169">
        <v>1417.7777777777785</v>
      </c>
      <c r="AG13" s="169">
        <v>157.53086419753095</v>
      </c>
      <c r="AH13" s="197">
        <f t="shared" si="3"/>
        <v>1</v>
      </c>
      <c r="AI13" s="432"/>
      <c r="AJ13" s="169">
        <v>9</v>
      </c>
      <c r="AK13" s="169">
        <v>1392.972972972972</v>
      </c>
      <c r="AL13" s="169">
        <v>154.77477477477467</v>
      </c>
      <c r="AM13" s="197">
        <f t="shared" si="4"/>
        <v>1</v>
      </c>
      <c r="AN13" s="432"/>
      <c r="AO13" s="169">
        <v>9</v>
      </c>
      <c r="AP13" s="169">
        <v>1453.4999999999995</v>
      </c>
      <c r="AQ13" s="169">
        <v>161.49999999999994</v>
      </c>
      <c r="AR13" s="197">
        <f t="shared" si="5"/>
        <v>1</v>
      </c>
      <c r="AS13" s="432"/>
      <c r="AT13" s="169">
        <v>9</v>
      </c>
      <c r="AU13" s="169">
        <v>1425.4054054054045</v>
      </c>
      <c r="AV13" s="169">
        <v>158.37837837837827</v>
      </c>
      <c r="AW13" s="197">
        <f t="shared" si="6"/>
        <v>1</v>
      </c>
      <c r="AX13" s="432"/>
    </row>
    <row r="14" spans="1:50">
      <c r="A14" s="79"/>
      <c r="B14" s="422"/>
      <c r="C14" s="197">
        <v>8</v>
      </c>
      <c r="D14" s="225"/>
      <c r="E14" s="169"/>
      <c r="F14" s="197"/>
      <c r="G14" s="195"/>
      <c r="H14" s="429"/>
      <c r="I14" s="169"/>
      <c r="J14" s="169"/>
      <c r="K14" s="195"/>
      <c r="L14" s="429"/>
      <c r="M14" s="196" t="e">
        <f>RANK(K14, K$7:$K$21)</f>
        <v>#N/A</v>
      </c>
      <c r="N14" s="423"/>
      <c r="O14" s="423"/>
      <c r="P14" s="169"/>
      <c r="Q14" s="169"/>
      <c r="R14" s="169"/>
      <c r="S14" s="197" t="e">
        <f t="shared" si="0"/>
        <v>#N/A</v>
      </c>
      <c r="T14" s="432"/>
      <c r="U14" s="169"/>
      <c r="V14" s="169"/>
      <c r="W14" s="169"/>
      <c r="X14" s="197" t="e">
        <f t="shared" si="1"/>
        <v>#N/A</v>
      </c>
      <c r="Y14" s="432"/>
      <c r="Z14" s="169"/>
      <c r="AA14" s="169"/>
      <c r="AB14" s="169"/>
      <c r="AC14" s="197" t="e">
        <f t="shared" si="2"/>
        <v>#N/A</v>
      </c>
      <c r="AD14" s="432"/>
      <c r="AE14" s="169"/>
      <c r="AF14" s="169"/>
      <c r="AG14" s="169"/>
      <c r="AH14" s="197" t="e">
        <f t="shared" si="3"/>
        <v>#N/A</v>
      </c>
      <c r="AI14" s="432"/>
      <c r="AJ14" s="169"/>
      <c r="AK14" s="169"/>
      <c r="AL14" s="169"/>
      <c r="AM14" s="197" t="e">
        <f t="shared" si="4"/>
        <v>#N/A</v>
      </c>
      <c r="AN14" s="432"/>
      <c r="AO14" s="169"/>
      <c r="AP14" s="169"/>
      <c r="AQ14" s="169"/>
      <c r="AR14" s="197" t="e">
        <f t="shared" si="5"/>
        <v>#N/A</v>
      </c>
      <c r="AS14" s="432"/>
      <c r="AT14" s="169"/>
      <c r="AU14" s="169"/>
      <c r="AV14" s="169"/>
      <c r="AW14" s="197" t="e">
        <f t="shared" si="6"/>
        <v>#N/A</v>
      </c>
      <c r="AX14" s="432"/>
    </row>
    <row r="15" spans="1:50">
      <c r="A15" s="79"/>
      <c r="B15" s="422"/>
      <c r="C15" s="197">
        <v>9</v>
      </c>
      <c r="D15" s="225"/>
      <c r="E15" s="169"/>
      <c r="F15" s="197"/>
      <c r="G15" s="195"/>
      <c r="H15" s="429"/>
      <c r="I15" s="169"/>
      <c r="J15" s="169"/>
      <c r="K15" s="195"/>
      <c r="L15" s="429"/>
      <c r="M15" s="196" t="e">
        <f>RANK(K15, K$7:$K$21)</f>
        <v>#N/A</v>
      </c>
      <c r="N15" s="423"/>
      <c r="O15" s="423"/>
      <c r="P15" s="169"/>
      <c r="Q15" s="169"/>
      <c r="R15" s="169"/>
      <c r="S15" s="197" t="e">
        <f t="shared" si="0"/>
        <v>#N/A</v>
      </c>
      <c r="T15" s="432"/>
      <c r="U15" s="169"/>
      <c r="V15" s="169"/>
      <c r="W15" s="195"/>
      <c r="X15" s="197" t="e">
        <f t="shared" si="1"/>
        <v>#N/A</v>
      </c>
      <c r="Y15" s="432"/>
      <c r="Z15" s="169"/>
      <c r="AA15" s="169"/>
      <c r="AB15" s="195"/>
      <c r="AC15" s="197" t="e">
        <f t="shared" si="2"/>
        <v>#N/A</v>
      </c>
      <c r="AD15" s="432"/>
      <c r="AE15" s="169"/>
      <c r="AF15" s="169"/>
      <c r="AG15" s="195"/>
      <c r="AH15" s="197" t="e">
        <f t="shared" si="3"/>
        <v>#N/A</v>
      </c>
      <c r="AI15" s="432"/>
      <c r="AJ15" s="169"/>
      <c r="AK15" s="169"/>
      <c r="AL15" s="195"/>
      <c r="AM15" s="197" t="e">
        <f t="shared" si="4"/>
        <v>#N/A</v>
      </c>
      <c r="AN15" s="432"/>
      <c r="AO15" s="169"/>
      <c r="AP15" s="169"/>
      <c r="AQ15" s="195"/>
      <c r="AR15" s="197" t="e">
        <f t="shared" si="5"/>
        <v>#N/A</v>
      </c>
      <c r="AS15" s="432"/>
      <c r="AT15" s="169"/>
      <c r="AU15" s="169"/>
      <c r="AV15" s="195"/>
      <c r="AW15" s="197" t="e">
        <f t="shared" si="6"/>
        <v>#N/A</v>
      </c>
      <c r="AX15" s="432"/>
    </row>
    <row r="16" spans="1:50">
      <c r="A16" s="79"/>
      <c r="B16" s="422"/>
      <c r="C16" s="197">
        <v>10</v>
      </c>
      <c r="D16" s="225"/>
      <c r="E16" s="169"/>
      <c r="F16" s="197"/>
      <c r="G16" s="195"/>
      <c r="H16" s="429"/>
      <c r="I16" s="169"/>
      <c r="J16" s="169"/>
      <c r="K16" s="195"/>
      <c r="L16" s="429"/>
      <c r="M16" s="196" t="e">
        <f>RANK(K16, K$7:$K$21)</f>
        <v>#N/A</v>
      </c>
      <c r="N16" s="423"/>
      <c r="O16" s="423"/>
      <c r="P16" s="169"/>
      <c r="Q16" s="169"/>
      <c r="R16" s="169"/>
      <c r="S16" s="197" t="e">
        <f t="shared" si="0"/>
        <v>#N/A</v>
      </c>
      <c r="T16" s="432"/>
      <c r="U16" s="169"/>
      <c r="V16" s="169"/>
      <c r="W16" s="195"/>
      <c r="X16" s="197" t="e">
        <f t="shared" si="1"/>
        <v>#N/A</v>
      </c>
      <c r="Y16" s="432"/>
      <c r="Z16" s="169"/>
      <c r="AA16" s="169"/>
      <c r="AB16" s="195"/>
      <c r="AC16" s="197" t="e">
        <f t="shared" si="2"/>
        <v>#N/A</v>
      </c>
      <c r="AD16" s="432"/>
      <c r="AE16" s="169"/>
      <c r="AF16" s="169"/>
      <c r="AG16" s="195"/>
      <c r="AH16" s="197" t="e">
        <f t="shared" si="3"/>
        <v>#N/A</v>
      </c>
      <c r="AI16" s="432"/>
      <c r="AJ16" s="169"/>
      <c r="AK16" s="169"/>
      <c r="AL16" s="195"/>
      <c r="AM16" s="197" t="e">
        <f t="shared" si="4"/>
        <v>#N/A</v>
      </c>
      <c r="AN16" s="432"/>
      <c r="AO16" s="169"/>
      <c r="AP16" s="169"/>
      <c r="AQ16" s="195"/>
      <c r="AR16" s="197" t="e">
        <f t="shared" si="5"/>
        <v>#N/A</v>
      </c>
      <c r="AS16" s="432"/>
      <c r="AT16" s="169"/>
      <c r="AU16" s="169"/>
      <c r="AV16" s="195"/>
      <c r="AW16" s="197" t="e">
        <f t="shared" si="6"/>
        <v>#N/A</v>
      </c>
      <c r="AX16" s="432"/>
    </row>
    <row r="17" spans="2:50">
      <c r="B17" s="422"/>
      <c r="C17" s="197">
        <v>11</v>
      </c>
      <c r="D17" s="225"/>
      <c r="E17" s="169"/>
      <c r="F17" s="197"/>
      <c r="G17" s="195"/>
      <c r="H17" s="429"/>
      <c r="I17" s="197"/>
      <c r="J17" s="197"/>
      <c r="K17" s="197"/>
      <c r="L17" s="429"/>
      <c r="M17" s="196" t="e">
        <f>RANK(K17, K$7:$K$21)</f>
        <v>#N/A</v>
      </c>
      <c r="N17" s="423"/>
      <c r="O17" s="423"/>
      <c r="P17" s="169"/>
      <c r="Q17" s="169"/>
      <c r="R17" s="169"/>
      <c r="S17" s="197" t="e">
        <f t="shared" si="0"/>
        <v>#N/A</v>
      </c>
      <c r="T17" s="432"/>
      <c r="U17" s="169"/>
      <c r="V17" s="169"/>
      <c r="W17" s="195"/>
      <c r="X17" s="197" t="e">
        <f t="shared" si="1"/>
        <v>#N/A</v>
      </c>
      <c r="Y17" s="432"/>
      <c r="Z17" s="169"/>
      <c r="AA17" s="169"/>
      <c r="AB17" s="195"/>
      <c r="AC17" s="197" t="e">
        <f t="shared" si="2"/>
        <v>#N/A</v>
      </c>
      <c r="AD17" s="432"/>
      <c r="AE17" s="169"/>
      <c r="AF17" s="169"/>
      <c r="AG17" s="195"/>
      <c r="AH17" s="197" t="e">
        <f t="shared" si="3"/>
        <v>#N/A</v>
      </c>
      <c r="AI17" s="432"/>
      <c r="AJ17" s="169"/>
      <c r="AK17" s="169"/>
      <c r="AL17" s="195"/>
      <c r="AM17" s="197" t="e">
        <f t="shared" si="4"/>
        <v>#N/A</v>
      </c>
      <c r="AN17" s="432"/>
      <c r="AO17" s="169"/>
      <c r="AP17" s="169"/>
      <c r="AQ17" s="195"/>
      <c r="AR17" s="197" t="e">
        <f t="shared" si="5"/>
        <v>#N/A</v>
      </c>
      <c r="AS17" s="432"/>
      <c r="AT17" s="169"/>
      <c r="AU17" s="169"/>
      <c r="AV17" s="195"/>
      <c r="AW17" s="197" t="e">
        <f t="shared" si="6"/>
        <v>#N/A</v>
      </c>
      <c r="AX17" s="432"/>
    </row>
    <row r="18" spans="2:50">
      <c r="B18" s="422"/>
      <c r="C18" s="197">
        <v>12</v>
      </c>
      <c r="D18" s="225"/>
      <c r="E18" s="169"/>
      <c r="F18" s="197"/>
      <c r="G18" s="195"/>
      <c r="H18" s="429"/>
      <c r="I18" s="197"/>
      <c r="J18" s="197"/>
      <c r="K18" s="197"/>
      <c r="L18" s="429"/>
      <c r="M18" s="196" t="e">
        <f>RANK(K18, K$7:$K$21)</f>
        <v>#N/A</v>
      </c>
      <c r="N18" s="423"/>
      <c r="O18" s="423"/>
      <c r="P18" s="169"/>
      <c r="Q18" s="169"/>
      <c r="R18" s="169"/>
      <c r="S18" s="197" t="e">
        <f t="shared" si="0"/>
        <v>#N/A</v>
      </c>
      <c r="T18" s="432"/>
      <c r="U18" s="169"/>
      <c r="V18" s="169"/>
      <c r="W18" s="195"/>
      <c r="X18" s="197" t="e">
        <f t="shared" si="1"/>
        <v>#N/A</v>
      </c>
      <c r="Y18" s="432"/>
      <c r="Z18" s="169"/>
      <c r="AA18" s="169"/>
      <c r="AB18" s="195"/>
      <c r="AC18" s="197" t="e">
        <f t="shared" si="2"/>
        <v>#N/A</v>
      </c>
      <c r="AD18" s="432"/>
      <c r="AE18" s="169"/>
      <c r="AF18" s="169"/>
      <c r="AG18" s="195"/>
      <c r="AH18" s="197" t="e">
        <f t="shared" si="3"/>
        <v>#N/A</v>
      </c>
      <c r="AI18" s="432"/>
      <c r="AJ18" s="169"/>
      <c r="AK18" s="169"/>
      <c r="AL18" s="195"/>
      <c r="AM18" s="197" t="e">
        <f t="shared" si="4"/>
        <v>#N/A</v>
      </c>
      <c r="AN18" s="432"/>
      <c r="AO18" s="169"/>
      <c r="AP18" s="169"/>
      <c r="AQ18" s="195"/>
      <c r="AR18" s="197" t="e">
        <f t="shared" si="5"/>
        <v>#N/A</v>
      </c>
      <c r="AS18" s="432"/>
      <c r="AT18" s="169"/>
      <c r="AU18" s="169"/>
      <c r="AV18" s="195"/>
      <c r="AW18" s="197" t="e">
        <f t="shared" si="6"/>
        <v>#N/A</v>
      </c>
      <c r="AX18" s="432"/>
    </row>
    <row r="19" spans="2:50">
      <c r="B19" s="422"/>
      <c r="C19" s="197">
        <v>13</v>
      </c>
      <c r="D19" s="225"/>
      <c r="E19" s="169"/>
      <c r="F19" s="197"/>
      <c r="G19" s="195"/>
      <c r="H19" s="429"/>
      <c r="I19" s="197"/>
      <c r="J19" s="197"/>
      <c r="K19" s="197"/>
      <c r="L19" s="429"/>
      <c r="M19" s="196" t="e">
        <f>RANK(K19, K$7:$K$21)</f>
        <v>#N/A</v>
      </c>
      <c r="N19" s="423"/>
      <c r="O19" s="423"/>
      <c r="P19" s="169"/>
      <c r="Q19" s="169"/>
      <c r="R19" s="169"/>
      <c r="S19" s="197" t="e">
        <f t="shared" si="0"/>
        <v>#N/A</v>
      </c>
      <c r="T19" s="432"/>
      <c r="U19" s="169"/>
      <c r="V19" s="169"/>
      <c r="W19" s="195"/>
      <c r="X19" s="197" t="e">
        <f t="shared" si="1"/>
        <v>#N/A</v>
      </c>
      <c r="Y19" s="432"/>
      <c r="Z19" s="169"/>
      <c r="AA19" s="169"/>
      <c r="AB19" s="195"/>
      <c r="AC19" s="197" t="e">
        <f t="shared" si="2"/>
        <v>#N/A</v>
      </c>
      <c r="AD19" s="432"/>
      <c r="AE19" s="169"/>
      <c r="AF19" s="169"/>
      <c r="AG19" s="195"/>
      <c r="AH19" s="197" t="e">
        <f t="shared" si="3"/>
        <v>#N/A</v>
      </c>
      <c r="AI19" s="432"/>
      <c r="AJ19" s="169"/>
      <c r="AK19" s="169"/>
      <c r="AL19" s="195"/>
      <c r="AM19" s="197" t="e">
        <f t="shared" si="4"/>
        <v>#N/A</v>
      </c>
      <c r="AN19" s="432"/>
      <c r="AO19" s="169"/>
      <c r="AP19" s="169"/>
      <c r="AQ19" s="195"/>
      <c r="AR19" s="197" t="e">
        <f t="shared" si="5"/>
        <v>#N/A</v>
      </c>
      <c r="AS19" s="432"/>
      <c r="AT19" s="169"/>
      <c r="AU19" s="169"/>
      <c r="AV19" s="195"/>
      <c r="AW19" s="197" t="e">
        <f t="shared" si="6"/>
        <v>#N/A</v>
      </c>
      <c r="AX19" s="432"/>
    </row>
    <row r="20" spans="2:50">
      <c r="B20" s="422"/>
      <c r="C20" s="197">
        <v>14</v>
      </c>
      <c r="D20" s="225"/>
      <c r="E20" s="169"/>
      <c r="F20" s="197"/>
      <c r="G20" s="195"/>
      <c r="H20" s="429"/>
      <c r="I20" s="197"/>
      <c r="J20" s="197"/>
      <c r="K20" s="197"/>
      <c r="L20" s="429"/>
      <c r="M20" s="196" t="e">
        <f>RANK(K20, K$7:$K$21)</f>
        <v>#N/A</v>
      </c>
      <c r="N20" s="423"/>
      <c r="O20" s="423"/>
      <c r="P20" s="169"/>
      <c r="Q20" s="169"/>
      <c r="R20" s="169"/>
      <c r="S20" s="197" t="e">
        <f t="shared" si="0"/>
        <v>#N/A</v>
      </c>
      <c r="T20" s="432"/>
      <c r="U20" s="169"/>
      <c r="V20" s="169"/>
      <c r="W20" s="195"/>
      <c r="X20" s="197" t="e">
        <f t="shared" si="1"/>
        <v>#N/A</v>
      </c>
      <c r="Y20" s="432"/>
      <c r="Z20" s="169"/>
      <c r="AA20" s="169"/>
      <c r="AB20" s="195"/>
      <c r="AC20" s="197" t="e">
        <f t="shared" si="2"/>
        <v>#N/A</v>
      </c>
      <c r="AD20" s="432"/>
      <c r="AE20" s="169"/>
      <c r="AF20" s="169"/>
      <c r="AG20" s="195"/>
      <c r="AH20" s="197" t="e">
        <f t="shared" si="3"/>
        <v>#N/A</v>
      </c>
      <c r="AI20" s="432"/>
      <c r="AJ20" s="169"/>
      <c r="AK20" s="169"/>
      <c r="AL20" s="195"/>
      <c r="AM20" s="197" t="e">
        <f t="shared" si="4"/>
        <v>#N/A</v>
      </c>
      <c r="AN20" s="432"/>
      <c r="AO20" s="169"/>
      <c r="AP20" s="169"/>
      <c r="AQ20" s="195"/>
      <c r="AR20" s="197" t="e">
        <f t="shared" si="5"/>
        <v>#N/A</v>
      </c>
      <c r="AS20" s="432"/>
      <c r="AT20" s="169"/>
      <c r="AU20" s="169"/>
      <c r="AV20" s="195"/>
      <c r="AW20" s="197" t="e">
        <f t="shared" si="6"/>
        <v>#N/A</v>
      </c>
      <c r="AX20" s="432"/>
    </row>
    <row r="21" spans="2:50">
      <c r="B21" s="422"/>
      <c r="C21" s="197">
        <v>15</v>
      </c>
      <c r="D21" s="225"/>
      <c r="E21" s="169"/>
      <c r="F21" s="197"/>
      <c r="G21" s="195"/>
      <c r="H21" s="430"/>
      <c r="I21" s="197"/>
      <c r="J21" s="197"/>
      <c r="K21" s="197"/>
      <c r="L21" s="430"/>
      <c r="M21" s="169" t="e">
        <f>RANK(K21, K$7:$K$21)</f>
        <v>#N/A</v>
      </c>
      <c r="N21" s="423"/>
      <c r="O21" s="423"/>
      <c r="P21" s="169"/>
      <c r="Q21" s="169"/>
      <c r="R21" s="169"/>
      <c r="S21" s="197" t="e">
        <f t="shared" si="0"/>
        <v>#N/A</v>
      </c>
      <c r="T21" s="432"/>
      <c r="U21" s="169"/>
      <c r="V21" s="169"/>
      <c r="W21" s="195"/>
      <c r="X21" s="197" t="e">
        <f t="shared" si="1"/>
        <v>#N/A</v>
      </c>
      <c r="Y21" s="432"/>
      <c r="Z21" s="169"/>
      <c r="AA21" s="169"/>
      <c r="AB21" s="195"/>
      <c r="AC21" s="197" t="e">
        <f t="shared" si="2"/>
        <v>#N/A</v>
      </c>
      <c r="AD21" s="432"/>
      <c r="AE21" s="169"/>
      <c r="AF21" s="169"/>
      <c r="AG21" s="195"/>
      <c r="AH21" s="197" t="e">
        <f t="shared" si="3"/>
        <v>#N/A</v>
      </c>
      <c r="AI21" s="432"/>
      <c r="AJ21" s="169"/>
      <c r="AK21" s="169"/>
      <c r="AL21" s="195"/>
      <c r="AM21" s="197" t="e">
        <f t="shared" si="4"/>
        <v>#N/A</v>
      </c>
      <c r="AN21" s="432"/>
      <c r="AO21" s="169"/>
      <c r="AP21" s="169"/>
      <c r="AQ21" s="195"/>
      <c r="AR21" s="197" t="e">
        <f t="shared" si="5"/>
        <v>#N/A</v>
      </c>
      <c r="AS21" s="432"/>
      <c r="AT21" s="169"/>
      <c r="AU21" s="169"/>
      <c r="AV21" s="195"/>
      <c r="AW21" s="197" t="e">
        <f t="shared" si="6"/>
        <v>#N/A</v>
      </c>
      <c r="AX21" s="432"/>
    </row>
    <row r="22" spans="2:50" ht="15.75">
      <c r="B22" s="424" t="s">
        <v>202</v>
      </c>
      <c r="C22" s="425"/>
      <c r="D22" s="425"/>
      <c r="E22" s="425"/>
      <c r="F22" s="425"/>
      <c r="G22" s="425"/>
      <c r="H22" s="425"/>
      <c r="I22" s="198"/>
      <c r="J22" s="198"/>
      <c r="K22" s="198"/>
      <c r="L22" s="198"/>
      <c r="M22" s="193"/>
      <c r="N22" s="401" t="s">
        <v>203</v>
      </c>
      <c r="O22" s="401" t="s">
        <v>150</v>
      </c>
      <c r="P22" s="419">
        <f>AT2+1</f>
        <v>45902</v>
      </c>
      <c r="Q22" s="420"/>
      <c r="R22" s="420"/>
      <c r="S22" s="420"/>
      <c r="T22" s="420"/>
      <c r="U22" s="421">
        <f>P22+1</f>
        <v>45903</v>
      </c>
      <c r="V22" s="422"/>
      <c r="W22" s="422"/>
      <c r="X22" s="422"/>
      <c r="Y22" s="422"/>
      <c r="Z22" s="421">
        <f>U22+1</f>
        <v>45904</v>
      </c>
      <c r="AA22" s="422"/>
      <c r="AB22" s="422"/>
      <c r="AC22" s="422"/>
      <c r="AD22" s="422"/>
      <c r="AE22" s="421">
        <f>Z22+1</f>
        <v>45905</v>
      </c>
      <c r="AF22" s="422"/>
      <c r="AG22" s="422"/>
      <c r="AH22" s="422"/>
      <c r="AI22" s="422"/>
      <c r="AJ22" s="421">
        <f>AE22+1</f>
        <v>45906</v>
      </c>
      <c r="AK22" s="422"/>
      <c r="AL22" s="422"/>
      <c r="AM22" s="422"/>
      <c r="AN22" s="422"/>
      <c r="AO22" s="421">
        <f>AJ22+1</f>
        <v>45907</v>
      </c>
      <c r="AP22" s="422"/>
      <c r="AQ22" s="422"/>
      <c r="AR22" s="422"/>
      <c r="AS22" s="422"/>
      <c r="AT22" s="421">
        <f>AO22+1</f>
        <v>45908</v>
      </c>
      <c r="AU22" s="422"/>
      <c r="AV22" s="422"/>
      <c r="AW22" s="422"/>
      <c r="AX22" s="422"/>
    </row>
    <row r="23" spans="2:50" ht="15.75">
      <c r="B23" s="426"/>
      <c r="C23" s="426"/>
      <c r="D23" s="426"/>
      <c r="E23" s="426"/>
      <c r="F23" s="426"/>
      <c r="G23" s="426"/>
      <c r="H23" s="426"/>
      <c r="I23" s="199"/>
      <c r="J23" s="199"/>
      <c r="K23" s="199"/>
      <c r="L23" s="199"/>
      <c r="M23" s="194"/>
      <c r="N23" s="403"/>
      <c r="O23" s="403"/>
      <c r="P23" s="421" t="s">
        <v>204</v>
      </c>
      <c r="Q23" s="422"/>
      <c r="R23" s="422"/>
      <c r="S23" s="422"/>
      <c r="T23" s="422"/>
      <c r="U23" s="421" t="s">
        <v>205</v>
      </c>
      <c r="V23" s="422"/>
      <c r="W23" s="422"/>
      <c r="X23" s="422"/>
      <c r="Y23" s="422"/>
      <c r="Z23" s="421" t="s">
        <v>206</v>
      </c>
      <c r="AA23" s="422"/>
      <c r="AB23" s="422"/>
      <c r="AC23" s="422"/>
      <c r="AD23" s="422"/>
      <c r="AE23" s="421" t="s">
        <v>207</v>
      </c>
      <c r="AF23" s="422"/>
      <c r="AG23" s="422"/>
      <c r="AH23" s="422"/>
      <c r="AI23" s="422"/>
      <c r="AJ23" s="421" t="s">
        <v>208</v>
      </c>
      <c r="AK23" s="422"/>
      <c r="AL23" s="422"/>
      <c r="AM23" s="422"/>
      <c r="AN23" s="422"/>
      <c r="AO23" s="421" t="s">
        <v>157</v>
      </c>
      <c r="AP23" s="422"/>
      <c r="AQ23" s="422"/>
      <c r="AR23" s="422"/>
      <c r="AS23" s="422"/>
      <c r="AT23" s="421" t="s">
        <v>209</v>
      </c>
      <c r="AU23" s="422"/>
      <c r="AV23" s="422"/>
      <c r="AW23" s="422"/>
      <c r="AX23" s="422"/>
    </row>
    <row r="24" spans="2:50">
      <c r="B24" s="423" t="s">
        <v>210</v>
      </c>
      <c r="C24" s="423" t="s">
        <v>211</v>
      </c>
      <c r="D24" s="423"/>
      <c r="E24" s="423" t="s">
        <v>212</v>
      </c>
      <c r="F24" s="423"/>
      <c r="G24" s="423"/>
      <c r="H24" s="404" t="s">
        <v>213</v>
      </c>
      <c r="I24" s="423" t="s">
        <v>214</v>
      </c>
      <c r="J24" s="423"/>
      <c r="K24" s="423"/>
      <c r="L24" s="404" t="s">
        <v>213</v>
      </c>
      <c r="M24" s="401" t="s">
        <v>215</v>
      </c>
      <c r="N24" s="423"/>
      <c r="O24" s="423" t="s">
        <v>216</v>
      </c>
      <c r="P24" s="413" t="s">
        <v>217</v>
      </c>
      <c r="Q24" s="414"/>
      <c r="R24" s="414"/>
      <c r="S24" s="415"/>
      <c r="T24" s="423" t="s">
        <v>213</v>
      </c>
      <c r="U24" s="413" t="s">
        <v>217</v>
      </c>
      <c r="V24" s="414"/>
      <c r="W24" s="414"/>
      <c r="X24" s="415"/>
      <c r="Y24" s="423" t="s">
        <v>213</v>
      </c>
      <c r="Z24" s="413" t="s">
        <v>217</v>
      </c>
      <c r="AA24" s="414"/>
      <c r="AB24" s="414"/>
      <c r="AC24" s="415"/>
      <c r="AD24" s="423" t="s">
        <v>213</v>
      </c>
      <c r="AE24" s="413" t="s">
        <v>217</v>
      </c>
      <c r="AF24" s="414"/>
      <c r="AG24" s="414"/>
      <c r="AH24" s="415"/>
      <c r="AI24" s="423" t="s">
        <v>213</v>
      </c>
      <c r="AJ24" s="413" t="s">
        <v>217</v>
      </c>
      <c r="AK24" s="414"/>
      <c r="AL24" s="414"/>
      <c r="AM24" s="415"/>
      <c r="AN24" s="423" t="s">
        <v>213</v>
      </c>
      <c r="AO24" s="413" t="s">
        <v>217</v>
      </c>
      <c r="AP24" s="414"/>
      <c r="AQ24" s="414"/>
      <c r="AR24" s="415"/>
      <c r="AS24" s="423" t="s">
        <v>213</v>
      </c>
      <c r="AT24" s="413" t="s">
        <v>217</v>
      </c>
      <c r="AU24" s="414"/>
      <c r="AV24" s="414"/>
      <c r="AW24" s="415"/>
      <c r="AX24" s="423" t="s">
        <v>213</v>
      </c>
    </row>
    <row r="25" spans="2:50">
      <c r="B25" s="423"/>
      <c r="C25" s="423"/>
      <c r="D25" s="423"/>
      <c r="E25" s="423" t="s">
        <v>218</v>
      </c>
      <c r="F25" s="423"/>
      <c r="G25" s="423"/>
      <c r="H25" s="406"/>
      <c r="I25" s="423" t="s">
        <v>218</v>
      </c>
      <c r="J25" s="423"/>
      <c r="K25" s="423"/>
      <c r="L25" s="406"/>
      <c r="M25" s="402"/>
      <c r="N25" s="423"/>
      <c r="O25" s="423"/>
      <c r="P25" s="413" t="s">
        <v>219</v>
      </c>
      <c r="Q25" s="414"/>
      <c r="R25" s="414"/>
      <c r="S25" s="415"/>
      <c r="T25" s="423"/>
      <c r="U25" s="413" t="s">
        <v>219</v>
      </c>
      <c r="V25" s="414"/>
      <c r="W25" s="414"/>
      <c r="X25" s="415"/>
      <c r="Y25" s="423"/>
      <c r="Z25" s="413" t="s">
        <v>219</v>
      </c>
      <c r="AA25" s="414"/>
      <c r="AB25" s="414"/>
      <c r="AC25" s="415"/>
      <c r="AD25" s="423"/>
      <c r="AE25" s="413" t="s">
        <v>219</v>
      </c>
      <c r="AF25" s="414"/>
      <c r="AG25" s="414"/>
      <c r="AH25" s="415"/>
      <c r="AI25" s="423"/>
      <c r="AJ25" s="413" t="s">
        <v>219</v>
      </c>
      <c r="AK25" s="414"/>
      <c r="AL25" s="414"/>
      <c r="AM25" s="415"/>
      <c r="AN25" s="423"/>
      <c r="AO25" s="413" t="s">
        <v>219</v>
      </c>
      <c r="AP25" s="414"/>
      <c r="AQ25" s="414"/>
      <c r="AR25" s="415"/>
      <c r="AS25" s="423"/>
      <c r="AT25" s="413" t="s">
        <v>219</v>
      </c>
      <c r="AU25" s="414"/>
      <c r="AV25" s="414"/>
      <c r="AW25" s="415"/>
      <c r="AX25" s="423"/>
    </row>
    <row r="26" spans="2:50">
      <c r="B26" s="423"/>
      <c r="C26" s="423"/>
      <c r="D26" s="423"/>
      <c r="E26" s="297" t="s">
        <v>220</v>
      </c>
      <c r="F26" s="297" t="s">
        <v>221</v>
      </c>
      <c r="G26" s="297" t="s">
        <v>222</v>
      </c>
      <c r="H26" s="408"/>
      <c r="I26" s="297" t="s">
        <v>220</v>
      </c>
      <c r="J26" s="297" t="s">
        <v>221</v>
      </c>
      <c r="K26" s="297" t="s">
        <v>222</v>
      </c>
      <c r="L26" s="408"/>
      <c r="M26" s="403"/>
      <c r="N26" s="423"/>
      <c r="O26" s="423"/>
      <c r="P26" s="297" t="s">
        <v>220</v>
      </c>
      <c r="Q26" s="297" t="s">
        <v>221</v>
      </c>
      <c r="R26" s="297" t="s">
        <v>222</v>
      </c>
      <c r="S26" s="297" t="s">
        <v>215</v>
      </c>
      <c r="T26" s="423"/>
      <c r="U26" s="297" t="s">
        <v>220</v>
      </c>
      <c r="V26" s="297" t="s">
        <v>221</v>
      </c>
      <c r="W26" s="297" t="s">
        <v>222</v>
      </c>
      <c r="X26" s="297" t="s">
        <v>215</v>
      </c>
      <c r="Y26" s="423"/>
      <c r="Z26" s="297" t="s">
        <v>220</v>
      </c>
      <c r="AA26" s="297" t="s">
        <v>221</v>
      </c>
      <c r="AB26" s="297" t="s">
        <v>222</v>
      </c>
      <c r="AC26" s="297" t="s">
        <v>215</v>
      </c>
      <c r="AD26" s="423"/>
      <c r="AE26" s="297" t="s">
        <v>220</v>
      </c>
      <c r="AF26" s="297" t="s">
        <v>221</v>
      </c>
      <c r="AG26" s="297" t="s">
        <v>222</v>
      </c>
      <c r="AH26" s="297" t="s">
        <v>215</v>
      </c>
      <c r="AI26" s="423"/>
      <c r="AJ26" s="297" t="s">
        <v>220</v>
      </c>
      <c r="AK26" s="297" t="s">
        <v>221</v>
      </c>
      <c r="AL26" s="297" t="s">
        <v>222</v>
      </c>
      <c r="AM26" s="297" t="s">
        <v>215</v>
      </c>
      <c r="AN26" s="423"/>
      <c r="AO26" s="297" t="s">
        <v>220</v>
      </c>
      <c r="AP26" s="297" t="s">
        <v>221</v>
      </c>
      <c r="AQ26" s="297" t="s">
        <v>222</v>
      </c>
      <c r="AR26" s="297" t="s">
        <v>215</v>
      </c>
      <c r="AS26" s="423"/>
      <c r="AT26" s="297" t="s">
        <v>220</v>
      </c>
      <c r="AU26" s="297" t="s">
        <v>221</v>
      </c>
      <c r="AV26" s="297" t="s">
        <v>222</v>
      </c>
      <c r="AW26" s="297" t="s">
        <v>215</v>
      </c>
      <c r="AX26" s="423"/>
    </row>
    <row r="27" spans="2:50">
      <c r="B27" s="423" t="s">
        <v>303</v>
      </c>
      <c r="C27" s="197">
        <v>1</v>
      </c>
      <c r="D27" s="225" t="s">
        <v>304</v>
      </c>
      <c r="E27" s="169">
        <v>19</v>
      </c>
      <c r="F27" s="197">
        <v>1636</v>
      </c>
      <c r="G27" s="195">
        <v>86.10526315789474</v>
      </c>
      <c r="H27" s="428">
        <f>AVERAGE(G27:G41)</f>
        <v>88.773471749146225</v>
      </c>
      <c r="I27" s="169">
        <f>AVERAGE(P27,U27,Z27,AE27,AJ27,AO27,AT27)</f>
        <v>19</v>
      </c>
      <c r="J27" s="169">
        <f>AVERAGE(Q27,V27,AA27,AF27,AK27,AP27,AU27)</f>
        <v>1390.8508240280692</v>
      </c>
      <c r="K27" s="195">
        <f>AVERAGE(R27,W27,AB27,AG27,AL27,AQ27,AV27)</f>
        <v>73.202674948845726</v>
      </c>
      <c r="L27" s="428">
        <f>IFERROR(AVERAGE(K27:K41),"-")</f>
        <v>87.833649179499915</v>
      </c>
      <c r="M27" s="196">
        <f>RANK(K27, K$27:$K$41)</f>
        <v>4</v>
      </c>
      <c r="N27" s="423"/>
      <c r="O27" s="423"/>
      <c r="P27" s="169">
        <v>19</v>
      </c>
      <c r="Q27" s="169">
        <v>1396.0824742268039</v>
      </c>
      <c r="R27" s="169">
        <v>73.478024959305472</v>
      </c>
      <c r="S27" s="197">
        <f t="shared" ref="S27:S41" si="8">RANK(R27, R$27:R$41)</f>
        <v>5</v>
      </c>
      <c r="T27" s="432">
        <f>AVERAGE(R27:R41)</f>
        <v>88.317321965031297</v>
      </c>
      <c r="U27" s="169">
        <v>19</v>
      </c>
      <c r="V27" s="169">
        <v>1354.1538461538462</v>
      </c>
      <c r="W27" s="169">
        <v>71.271255060728748</v>
      </c>
      <c r="X27" s="197">
        <f t="shared" ref="X27:X41" si="9">RANK(W27, W$27:W$41)</f>
        <v>6</v>
      </c>
      <c r="Y27" s="432">
        <f>AVERAGE(W27:W41)</f>
        <v>88.746980299160143</v>
      </c>
      <c r="Z27" s="169">
        <v>19</v>
      </c>
      <c r="AA27" s="169">
        <v>1412.0000000000002</v>
      </c>
      <c r="AB27" s="169">
        <v>74.31578947368422</v>
      </c>
      <c r="AC27" s="197">
        <f t="shared" ref="AC27:AC41" si="10">RANK(AB27, AB$27:AB$41)</f>
        <v>4</v>
      </c>
      <c r="AD27" s="432">
        <f>AVERAGE(AB27:AB41)</f>
        <v>88.350581807371768</v>
      </c>
      <c r="AE27" s="169">
        <v>19</v>
      </c>
      <c r="AF27" s="169">
        <v>1377.5675675675673</v>
      </c>
      <c r="AG27" s="169">
        <v>72.503556187766705</v>
      </c>
      <c r="AH27" s="197">
        <f t="shared" ref="AH27:AH41" si="11">RANK(AG27, AG$27:AG$41)</f>
        <v>4</v>
      </c>
      <c r="AI27" s="432">
        <f>AVERAGE(AG27:AG41)</f>
        <v>86.086010152854413</v>
      </c>
      <c r="AJ27" s="169">
        <v>19</v>
      </c>
      <c r="AK27" s="169">
        <v>1374.9397590361448</v>
      </c>
      <c r="AL27" s="169">
        <v>72.365250475586564</v>
      </c>
      <c r="AM27" s="197">
        <f t="shared" ref="AM27:AM41" si="12">RANK(AL27, AL$27:AL$41)</f>
        <v>4</v>
      </c>
      <c r="AN27" s="432">
        <f>AVERAGE(AL27:AL41)</f>
        <v>87.77466906306357</v>
      </c>
      <c r="AO27" s="169">
        <v>19</v>
      </c>
      <c r="AP27" s="169">
        <v>1415.7575757575755</v>
      </c>
      <c r="AQ27" s="169">
        <v>74.513556618819763</v>
      </c>
      <c r="AR27" s="197">
        <f t="shared" ref="AR27:AR41" si="13">RANK(AQ27, AQ$27:AQ$41)</f>
        <v>5</v>
      </c>
      <c r="AS27" s="432">
        <f>AVERAGE(AQ27:AQ41)</f>
        <v>88.093645766157934</v>
      </c>
      <c r="AT27" s="169">
        <v>19</v>
      </c>
      <c r="AU27" s="169">
        <v>1405.4545454545453</v>
      </c>
      <c r="AV27" s="169">
        <v>73.971291866028693</v>
      </c>
      <c r="AW27" s="197">
        <f t="shared" ref="AW27:AW41" si="14">RANK(AV27, AV$27:AV$41)</f>
        <v>5</v>
      </c>
      <c r="AX27" s="432">
        <f>AVERAGE(AV27:AV41)</f>
        <v>87.466335202860321</v>
      </c>
    </row>
    <row r="28" spans="2:50">
      <c r="B28" s="422"/>
      <c r="C28" s="197">
        <v>2</v>
      </c>
      <c r="D28" s="225" t="s">
        <v>311</v>
      </c>
      <c r="E28" s="169">
        <v>19</v>
      </c>
      <c r="F28" s="197">
        <v>1440</v>
      </c>
      <c r="G28" s="195">
        <v>75.78947368421052</v>
      </c>
      <c r="H28" s="429"/>
      <c r="I28" s="169">
        <f t="shared" ref="I28:I33" si="15">AVERAGE(P28,U28,Z28,AE28,AJ28,AO28,AT28)</f>
        <v>18.714285714285715</v>
      </c>
      <c r="J28" s="169">
        <f t="shared" ref="J28:J33" si="16">AVERAGE(Q28,V28,AA28,AF28,AK28,AP28,AU28)</f>
        <v>1347.7357329924323</v>
      </c>
      <c r="K28" s="195">
        <f t="shared" ref="K28:K33" si="17">AVERAGE(R28,W28,AB28,AG28,AL28,AQ28,AV28)</f>
        <v>72.069544220464948</v>
      </c>
      <c r="L28" s="429"/>
      <c r="M28" s="196">
        <f>RANK(K28, K$27:$K$41)</f>
        <v>5</v>
      </c>
      <c r="N28" s="423"/>
      <c r="O28" s="423"/>
      <c r="P28" s="169">
        <v>19</v>
      </c>
      <c r="Q28" s="169">
        <v>1347.4500000000003</v>
      </c>
      <c r="R28" s="169">
        <v>70.918421052631587</v>
      </c>
      <c r="S28" s="197">
        <f t="shared" si="8"/>
        <v>6</v>
      </c>
      <c r="T28" s="432"/>
      <c r="U28" s="169">
        <v>19</v>
      </c>
      <c r="V28" s="169">
        <v>1313.8807947019866</v>
      </c>
      <c r="W28" s="169">
        <v>69.151620773788764</v>
      </c>
      <c r="X28" s="197">
        <f t="shared" si="9"/>
        <v>7</v>
      </c>
      <c r="Y28" s="432"/>
      <c r="Z28" s="169">
        <v>19</v>
      </c>
      <c r="AA28" s="169">
        <v>1351.5384615384617</v>
      </c>
      <c r="AB28" s="169">
        <v>71.133603238866399</v>
      </c>
      <c r="AC28" s="197">
        <f t="shared" si="10"/>
        <v>5</v>
      </c>
      <c r="AD28" s="432"/>
      <c r="AE28" s="169">
        <v>19</v>
      </c>
      <c r="AF28" s="169">
        <v>1352.5531914893618</v>
      </c>
      <c r="AG28" s="169">
        <v>71.187010078387459</v>
      </c>
      <c r="AH28" s="197">
        <f t="shared" si="11"/>
        <v>5</v>
      </c>
      <c r="AI28" s="432"/>
      <c r="AJ28" s="169">
        <v>19</v>
      </c>
      <c r="AK28" s="169">
        <v>1348.9411764705885</v>
      </c>
      <c r="AL28" s="169">
        <v>70.996904024767815</v>
      </c>
      <c r="AM28" s="197">
        <f t="shared" si="12"/>
        <v>5</v>
      </c>
      <c r="AN28" s="432"/>
      <c r="AO28" s="169">
        <v>18</v>
      </c>
      <c r="AP28" s="169">
        <v>1359.3517241379309</v>
      </c>
      <c r="AQ28" s="169">
        <v>75.519540229885052</v>
      </c>
      <c r="AR28" s="197">
        <f t="shared" si="13"/>
        <v>4</v>
      </c>
      <c r="AS28" s="432"/>
      <c r="AT28" s="169">
        <v>18</v>
      </c>
      <c r="AU28" s="169">
        <v>1360.4347826086951</v>
      </c>
      <c r="AV28" s="169">
        <v>75.579710144927503</v>
      </c>
      <c r="AW28" s="197">
        <f t="shared" si="14"/>
        <v>4</v>
      </c>
      <c r="AX28" s="432"/>
    </row>
    <row r="29" spans="2:50">
      <c r="B29" s="422"/>
      <c r="C29" s="197">
        <v>3</v>
      </c>
      <c r="D29" s="225" t="s">
        <v>306</v>
      </c>
      <c r="E29" s="169">
        <v>17</v>
      </c>
      <c r="F29" s="197">
        <v>1636</v>
      </c>
      <c r="G29" s="195">
        <v>96.235294117647058</v>
      </c>
      <c r="H29" s="429"/>
      <c r="I29" s="169">
        <f t="shared" si="15"/>
        <v>17.142857142857142</v>
      </c>
      <c r="J29" s="169">
        <f t="shared" si="16"/>
        <v>1377.6140741264662</v>
      </c>
      <c r="K29" s="195">
        <f t="shared" si="17"/>
        <v>80.387342966410998</v>
      </c>
      <c r="L29" s="429"/>
      <c r="M29" s="196">
        <f>RANK(K29, K$27:$K$41)</f>
        <v>2</v>
      </c>
      <c r="N29" s="423"/>
      <c r="O29" s="423"/>
      <c r="P29" s="169">
        <v>18</v>
      </c>
      <c r="Q29" s="169">
        <v>1389.6847058823532</v>
      </c>
      <c r="R29" s="169">
        <v>77.204705882352954</v>
      </c>
      <c r="S29" s="197">
        <f t="shared" si="8"/>
        <v>2</v>
      </c>
      <c r="T29" s="432"/>
      <c r="U29" s="169">
        <v>17</v>
      </c>
      <c r="V29" s="169">
        <v>1365.859090909091</v>
      </c>
      <c r="W29" s="169">
        <v>80.344652406417126</v>
      </c>
      <c r="X29" s="197">
        <f t="shared" si="9"/>
        <v>2</v>
      </c>
      <c r="Y29" s="432"/>
      <c r="Z29" s="169">
        <v>17</v>
      </c>
      <c r="AA29" s="169">
        <v>1401.6294478527611</v>
      </c>
      <c r="AB29" s="169">
        <v>82.448791050162413</v>
      </c>
      <c r="AC29" s="197">
        <f t="shared" si="10"/>
        <v>2</v>
      </c>
      <c r="AD29" s="432"/>
      <c r="AE29" s="169">
        <v>17</v>
      </c>
      <c r="AF29" s="169">
        <v>1355.3424657534242</v>
      </c>
      <c r="AG29" s="169">
        <v>79.726027397260253</v>
      </c>
      <c r="AH29" s="197">
        <f t="shared" si="11"/>
        <v>2</v>
      </c>
      <c r="AI29" s="432"/>
      <c r="AJ29" s="169">
        <v>17</v>
      </c>
      <c r="AK29" s="169">
        <v>1375.2317880794699</v>
      </c>
      <c r="AL29" s="169">
        <v>80.895987534086458</v>
      </c>
      <c r="AM29" s="197">
        <f t="shared" si="12"/>
        <v>2</v>
      </c>
      <c r="AN29" s="432"/>
      <c r="AO29" s="169">
        <v>17</v>
      </c>
      <c r="AP29" s="169">
        <v>1385.714285714286</v>
      </c>
      <c r="AQ29" s="169">
        <v>81.51260504201683</v>
      </c>
      <c r="AR29" s="197">
        <f t="shared" si="13"/>
        <v>2</v>
      </c>
      <c r="AS29" s="432"/>
      <c r="AT29" s="169">
        <v>17</v>
      </c>
      <c r="AU29" s="169">
        <v>1369.8367346938774</v>
      </c>
      <c r="AV29" s="169">
        <v>80.578631452581021</v>
      </c>
      <c r="AW29" s="197">
        <f t="shared" si="14"/>
        <v>2</v>
      </c>
      <c r="AX29" s="432"/>
    </row>
    <row r="30" spans="2:50">
      <c r="B30" s="422"/>
      <c r="C30" s="197">
        <v>4</v>
      </c>
      <c r="D30" s="225" t="s">
        <v>307</v>
      </c>
      <c r="E30" s="169">
        <v>18</v>
      </c>
      <c r="F30" s="197">
        <v>1636</v>
      </c>
      <c r="G30" s="195">
        <v>90.888888888888886</v>
      </c>
      <c r="H30" s="429"/>
      <c r="I30" s="169">
        <f t="shared" si="15"/>
        <v>18</v>
      </c>
      <c r="J30" s="169">
        <f t="shared" si="16"/>
        <v>1387.680598194604</v>
      </c>
      <c r="K30" s="195">
        <f t="shared" si="17"/>
        <v>77.093366566366896</v>
      </c>
      <c r="L30" s="429"/>
      <c r="M30" s="196">
        <f>RANK(K30, K$27:$K$41)</f>
        <v>3</v>
      </c>
      <c r="N30" s="423"/>
      <c r="O30" s="423"/>
      <c r="P30" s="169">
        <v>18</v>
      </c>
      <c r="Q30" s="169">
        <v>1374.8780487804879</v>
      </c>
      <c r="R30" s="169">
        <v>76.382113821138219</v>
      </c>
      <c r="S30" s="197">
        <f t="shared" si="8"/>
        <v>3</v>
      </c>
      <c r="T30" s="432"/>
      <c r="U30" s="169">
        <v>18</v>
      </c>
      <c r="V30" s="169">
        <v>1396.6265060240967</v>
      </c>
      <c r="W30" s="169">
        <v>77.590361445783145</v>
      </c>
      <c r="X30" s="197">
        <f t="shared" si="9"/>
        <v>3</v>
      </c>
      <c r="Y30" s="432"/>
      <c r="Z30" s="169">
        <v>18</v>
      </c>
      <c r="AA30" s="169">
        <v>1405.5999999999997</v>
      </c>
      <c r="AB30" s="169">
        <v>78.088888888888874</v>
      </c>
      <c r="AC30" s="197">
        <f t="shared" si="10"/>
        <v>3</v>
      </c>
      <c r="AD30" s="432"/>
      <c r="AE30" s="169">
        <v>18</v>
      </c>
      <c r="AF30" s="169">
        <v>1380.9836065573772</v>
      </c>
      <c r="AG30" s="169">
        <v>76.721311475409848</v>
      </c>
      <c r="AH30" s="197">
        <f t="shared" si="11"/>
        <v>3</v>
      </c>
      <c r="AI30" s="432"/>
      <c r="AJ30" s="169">
        <v>18</v>
      </c>
      <c r="AK30" s="169">
        <v>1390.7462686567164</v>
      </c>
      <c r="AL30" s="169">
        <v>77.263681592039802</v>
      </c>
      <c r="AM30" s="197">
        <f t="shared" si="12"/>
        <v>3</v>
      </c>
      <c r="AN30" s="432"/>
      <c r="AO30" s="169">
        <v>18</v>
      </c>
      <c r="AP30" s="169">
        <v>1381.4814814814818</v>
      </c>
      <c r="AQ30" s="169">
        <v>76.748971193415656</v>
      </c>
      <c r="AR30" s="197">
        <f t="shared" si="13"/>
        <v>3</v>
      </c>
      <c r="AS30" s="432"/>
      <c r="AT30" s="169">
        <v>18</v>
      </c>
      <c r="AU30" s="169">
        <v>1383.4482758620688</v>
      </c>
      <c r="AV30" s="169">
        <v>76.858237547892713</v>
      </c>
      <c r="AW30" s="197">
        <f t="shared" si="14"/>
        <v>3</v>
      </c>
      <c r="AX30" s="432"/>
    </row>
    <row r="31" spans="2:50">
      <c r="B31" s="422"/>
      <c r="C31" s="197">
        <v>5</v>
      </c>
      <c r="D31" s="225" t="s">
        <v>308</v>
      </c>
      <c r="E31" s="169">
        <v>22</v>
      </c>
      <c r="F31" s="197">
        <v>1636</v>
      </c>
      <c r="G31" s="195">
        <v>74.36363636363636</v>
      </c>
      <c r="H31" s="429"/>
      <c r="I31" s="169">
        <f t="shared" si="15"/>
        <v>20.428571428571427</v>
      </c>
      <c r="J31" s="169">
        <f t="shared" si="16"/>
        <v>1391.0919158268637</v>
      </c>
      <c r="K31" s="195">
        <f t="shared" si="17"/>
        <v>68.248684058299318</v>
      </c>
      <c r="L31" s="429"/>
      <c r="M31" s="196">
        <f>RANK(K31, K$27:$K$41)</f>
        <v>7</v>
      </c>
      <c r="N31" s="423"/>
      <c r="O31" s="423"/>
      <c r="P31" s="169">
        <v>20</v>
      </c>
      <c r="Q31" s="169">
        <v>1398.2727272727275</v>
      </c>
      <c r="R31" s="169">
        <v>69.913636363636371</v>
      </c>
      <c r="S31" s="197">
        <f t="shared" si="8"/>
        <v>7</v>
      </c>
      <c r="T31" s="432"/>
      <c r="U31" s="169">
        <v>19</v>
      </c>
      <c r="V31" s="169">
        <v>1387.0072992700725</v>
      </c>
      <c r="W31" s="169">
        <v>73.000384172109079</v>
      </c>
      <c r="X31" s="197">
        <f t="shared" si="9"/>
        <v>5</v>
      </c>
      <c r="Y31" s="432"/>
      <c r="Z31" s="169">
        <v>20</v>
      </c>
      <c r="AA31" s="169">
        <v>1383.8400000000004</v>
      </c>
      <c r="AB31" s="169">
        <v>69.192000000000021</v>
      </c>
      <c r="AC31" s="197">
        <f t="shared" si="10"/>
        <v>7</v>
      </c>
      <c r="AD31" s="432"/>
      <c r="AE31" s="169">
        <v>22</v>
      </c>
      <c r="AF31" s="169">
        <v>1419.6116504854365</v>
      </c>
      <c r="AG31" s="169">
        <v>64.527802294792565</v>
      </c>
      <c r="AH31" s="197">
        <f t="shared" si="11"/>
        <v>7</v>
      </c>
      <c r="AI31" s="432"/>
      <c r="AJ31" s="169">
        <v>20</v>
      </c>
      <c r="AK31" s="169">
        <v>1390.6194690265488</v>
      </c>
      <c r="AL31" s="169">
        <v>69.530973451327441</v>
      </c>
      <c r="AM31" s="197">
        <f t="shared" si="12"/>
        <v>6</v>
      </c>
      <c r="AN31" s="432"/>
      <c r="AO31" s="169">
        <v>22</v>
      </c>
      <c r="AP31" s="169">
        <v>1394.4966442953025</v>
      </c>
      <c r="AQ31" s="169">
        <v>63.386211104331935</v>
      </c>
      <c r="AR31" s="197">
        <f t="shared" si="13"/>
        <v>7</v>
      </c>
      <c r="AS31" s="432"/>
      <c r="AT31" s="169">
        <v>20</v>
      </c>
      <c r="AU31" s="169">
        <v>1363.7956204379561</v>
      </c>
      <c r="AV31" s="169">
        <v>68.189781021897801</v>
      </c>
      <c r="AW31" s="197">
        <f t="shared" si="14"/>
        <v>7</v>
      </c>
      <c r="AX31" s="432"/>
    </row>
    <row r="32" spans="2:50">
      <c r="B32" s="422"/>
      <c r="C32" s="197">
        <v>6</v>
      </c>
      <c r="D32" s="225" t="s">
        <v>309</v>
      </c>
      <c r="E32" s="169">
        <v>18</v>
      </c>
      <c r="F32" s="197">
        <v>1636</v>
      </c>
      <c r="G32" s="195">
        <v>90.888888888888886</v>
      </c>
      <c r="H32" s="429"/>
      <c r="I32" s="169">
        <f t="shared" si="15"/>
        <v>18</v>
      </c>
      <c r="J32" s="169">
        <f t="shared" si="16"/>
        <v>1289.9771599368396</v>
      </c>
      <c r="K32" s="195">
        <f t="shared" si="17"/>
        <v>71.665397774268868</v>
      </c>
      <c r="L32" s="429"/>
      <c r="M32" s="196">
        <f>RANK(K32, K$27:$K$41)</f>
        <v>6</v>
      </c>
      <c r="N32" s="423"/>
      <c r="O32" s="423"/>
      <c r="P32" s="169">
        <v>18</v>
      </c>
      <c r="Q32" s="169">
        <v>1329.3677419354817</v>
      </c>
      <c r="R32" s="169">
        <v>73.853763440860092</v>
      </c>
      <c r="S32" s="197">
        <f t="shared" si="8"/>
        <v>4</v>
      </c>
      <c r="T32" s="432"/>
      <c r="U32" s="169">
        <v>18</v>
      </c>
      <c r="V32" s="169">
        <v>1388.6999999999957</v>
      </c>
      <c r="W32" s="169">
        <v>77.149999999999764</v>
      </c>
      <c r="X32" s="197">
        <f t="shared" si="9"/>
        <v>4</v>
      </c>
      <c r="Y32" s="432"/>
      <c r="Z32" s="169">
        <v>18</v>
      </c>
      <c r="AA32" s="169">
        <v>1273.9500000000044</v>
      </c>
      <c r="AB32" s="169">
        <v>70.775000000000247</v>
      </c>
      <c r="AC32" s="197">
        <f t="shared" si="10"/>
        <v>6</v>
      </c>
      <c r="AD32" s="432"/>
      <c r="AE32" s="169">
        <v>18</v>
      </c>
      <c r="AF32" s="169">
        <v>1247.4000000000044</v>
      </c>
      <c r="AG32" s="169">
        <v>69.300000000000239</v>
      </c>
      <c r="AH32" s="197">
        <f t="shared" si="11"/>
        <v>6</v>
      </c>
      <c r="AI32" s="432"/>
      <c r="AJ32" s="169">
        <v>18</v>
      </c>
      <c r="AK32" s="169">
        <v>1250.3454545454588</v>
      </c>
      <c r="AL32" s="169">
        <v>69.463636363636596</v>
      </c>
      <c r="AM32" s="197">
        <f t="shared" si="12"/>
        <v>7</v>
      </c>
      <c r="AN32" s="432"/>
      <c r="AO32" s="169">
        <v>18</v>
      </c>
      <c r="AP32" s="169">
        <v>1297.2461538461584</v>
      </c>
      <c r="AQ32" s="169">
        <v>72.069230769231027</v>
      </c>
      <c r="AR32" s="197">
        <f t="shared" si="13"/>
        <v>6</v>
      </c>
      <c r="AS32" s="432"/>
      <c r="AT32" s="169">
        <v>18</v>
      </c>
      <c r="AU32" s="169">
        <v>1242.8307692307735</v>
      </c>
      <c r="AV32" s="169">
        <v>69.046153846154084</v>
      </c>
      <c r="AW32" s="197">
        <f t="shared" si="14"/>
        <v>6</v>
      </c>
      <c r="AX32" s="432"/>
    </row>
    <row r="33" spans="2:50">
      <c r="B33" s="422"/>
      <c r="C33" s="197">
        <v>7</v>
      </c>
      <c r="D33" s="225" t="s">
        <v>310</v>
      </c>
      <c r="E33" s="169">
        <v>14</v>
      </c>
      <c r="F33" s="197">
        <v>1500</v>
      </c>
      <c r="G33" s="195">
        <v>107.14285714285714</v>
      </c>
      <c r="H33" s="429"/>
      <c r="I33" s="169">
        <f t="shared" si="15"/>
        <v>8</v>
      </c>
      <c r="J33" s="169">
        <f t="shared" si="16"/>
        <v>1377.3482697747411</v>
      </c>
      <c r="K33" s="195">
        <f t="shared" si="17"/>
        <v>172.16853372184264</v>
      </c>
      <c r="L33" s="429"/>
      <c r="M33" s="196">
        <f>RANK(K33, K$27:$K$41)</f>
        <v>1</v>
      </c>
      <c r="N33" s="423"/>
      <c r="O33" s="423"/>
      <c r="P33" s="169">
        <v>8</v>
      </c>
      <c r="Q33" s="169">
        <v>1411.7647058823547</v>
      </c>
      <c r="R33" s="169">
        <v>176.47058823529434</v>
      </c>
      <c r="S33" s="197">
        <f t="shared" si="8"/>
        <v>1</v>
      </c>
      <c r="T33" s="432"/>
      <c r="U33" s="169">
        <v>8</v>
      </c>
      <c r="V33" s="169">
        <v>1381.7647058823547</v>
      </c>
      <c r="W33" s="169">
        <v>172.72058823529434</v>
      </c>
      <c r="X33" s="197">
        <f t="shared" si="9"/>
        <v>1</v>
      </c>
      <c r="Y33" s="432"/>
      <c r="Z33" s="169">
        <v>8</v>
      </c>
      <c r="AA33" s="169">
        <v>1380.0000000000016</v>
      </c>
      <c r="AB33" s="169">
        <v>172.5000000000002</v>
      </c>
      <c r="AC33" s="197">
        <f t="shared" si="10"/>
        <v>1</v>
      </c>
      <c r="AD33" s="432"/>
      <c r="AE33" s="169">
        <v>8</v>
      </c>
      <c r="AF33" s="169">
        <v>1349.0909090909106</v>
      </c>
      <c r="AG33" s="169">
        <v>168.63636363636382</v>
      </c>
      <c r="AH33" s="197">
        <f t="shared" si="11"/>
        <v>1</v>
      </c>
      <c r="AI33" s="432"/>
      <c r="AJ33" s="169">
        <v>8</v>
      </c>
      <c r="AK33" s="169">
        <v>1391.2500000000016</v>
      </c>
      <c r="AL33" s="169">
        <v>173.9062500000002</v>
      </c>
      <c r="AM33" s="197">
        <f t="shared" si="12"/>
        <v>1</v>
      </c>
      <c r="AN33" s="432"/>
      <c r="AO33" s="169">
        <v>8</v>
      </c>
      <c r="AP33" s="169">
        <v>1383.243243243242</v>
      </c>
      <c r="AQ33" s="169">
        <v>172.90540540540525</v>
      </c>
      <c r="AR33" s="197">
        <f t="shared" si="13"/>
        <v>1</v>
      </c>
      <c r="AS33" s="432"/>
      <c r="AT33" s="169">
        <v>8</v>
      </c>
      <c r="AU33" s="169">
        <v>1344.3243243243232</v>
      </c>
      <c r="AV33" s="169">
        <v>168.04054054054041</v>
      </c>
      <c r="AW33" s="197">
        <f t="shared" si="14"/>
        <v>1</v>
      </c>
      <c r="AX33" s="432"/>
    </row>
    <row r="34" spans="2:50">
      <c r="B34" s="422"/>
      <c r="C34" s="197">
        <v>8</v>
      </c>
      <c r="D34" s="225"/>
      <c r="E34" s="169"/>
      <c r="F34" s="197"/>
      <c r="G34" s="195"/>
      <c r="H34" s="429"/>
      <c r="I34" s="169"/>
      <c r="J34" s="169"/>
      <c r="K34" s="195"/>
      <c r="L34" s="429"/>
      <c r="M34" s="196" t="e">
        <f>RANK(K34, K$27:$K$41)</f>
        <v>#N/A</v>
      </c>
      <c r="N34" s="423"/>
      <c r="O34" s="423"/>
      <c r="P34" s="169"/>
      <c r="Q34" s="169"/>
      <c r="R34" s="169"/>
      <c r="S34" s="197" t="e">
        <f t="shared" si="8"/>
        <v>#N/A</v>
      </c>
      <c r="T34" s="432"/>
      <c r="U34" s="169"/>
      <c r="V34" s="169"/>
      <c r="W34" s="169"/>
      <c r="X34" s="197" t="e">
        <f t="shared" si="9"/>
        <v>#N/A</v>
      </c>
      <c r="Y34" s="432"/>
      <c r="Z34" s="169"/>
      <c r="AA34" s="169"/>
      <c r="AB34" s="169"/>
      <c r="AC34" s="197" t="e">
        <f t="shared" si="10"/>
        <v>#N/A</v>
      </c>
      <c r="AD34" s="432"/>
      <c r="AE34" s="169"/>
      <c r="AF34" s="169"/>
      <c r="AG34" s="169"/>
      <c r="AH34" s="197" t="e">
        <f t="shared" si="11"/>
        <v>#N/A</v>
      </c>
      <c r="AI34" s="432"/>
      <c r="AJ34" s="169"/>
      <c r="AK34" s="169"/>
      <c r="AL34" s="169"/>
      <c r="AM34" s="197" t="e">
        <f t="shared" si="12"/>
        <v>#N/A</v>
      </c>
      <c r="AN34" s="432"/>
      <c r="AO34" s="169"/>
      <c r="AP34" s="169"/>
      <c r="AQ34" s="169"/>
      <c r="AR34" s="197" t="e">
        <f t="shared" si="13"/>
        <v>#N/A</v>
      </c>
      <c r="AS34" s="432"/>
      <c r="AT34" s="169"/>
      <c r="AU34" s="169"/>
      <c r="AV34" s="169"/>
      <c r="AW34" s="197" t="e">
        <f t="shared" si="14"/>
        <v>#N/A</v>
      </c>
      <c r="AX34" s="432"/>
    </row>
    <row r="35" spans="2:50">
      <c r="B35" s="422"/>
      <c r="C35" s="197">
        <v>9</v>
      </c>
      <c r="D35" s="225"/>
      <c r="E35" s="169"/>
      <c r="F35" s="197"/>
      <c r="G35" s="195"/>
      <c r="H35" s="429"/>
      <c r="I35" s="169"/>
      <c r="J35" s="169"/>
      <c r="K35" s="195"/>
      <c r="L35" s="429"/>
      <c r="M35" s="196" t="e">
        <f>RANK(K35, K$27:$K$41)</f>
        <v>#N/A</v>
      </c>
      <c r="N35" s="423"/>
      <c r="O35" s="423"/>
      <c r="P35" s="169"/>
      <c r="Q35" s="169"/>
      <c r="R35" s="169"/>
      <c r="S35" s="197" t="e">
        <f t="shared" si="8"/>
        <v>#N/A</v>
      </c>
      <c r="T35" s="432"/>
      <c r="U35" s="169"/>
      <c r="V35" s="169"/>
      <c r="W35" s="169"/>
      <c r="X35" s="197" t="e">
        <f t="shared" si="9"/>
        <v>#N/A</v>
      </c>
      <c r="Y35" s="432"/>
      <c r="Z35" s="169"/>
      <c r="AA35" s="169"/>
      <c r="AB35" s="169"/>
      <c r="AC35" s="197" t="e">
        <f t="shared" si="10"/>
        <v>#N/A</v>
      </c>
      <c r="AD35" s="432"/>
      <c r="AE35" s="169"/>
      <c r="AF35" s="169"/>
      <c r="AG35" s="169"/>
      <c r="AH35" s="197" t="e">
        <f t="shared" si="11"/>
        <v>#N/A</v>
      </c>
      <c r="AI35" s="432"/>
      <c r="AJ35" s="169"/>
      <c r="AK35" s="169"/>
      <c r="AL35" s="169"/>
      <c r="AM35" s="197" t="e">
        <f t="shared" si="12"/>
        <v>#N/A</v>
      </c>
      <c r="AN35" s="432"/>
      <c r="AO35" s="169"/>
      <c r="AP35" s="169"/>
      <c r="AQ35" s="169"/>
      <c r="AR35" s="197" t="e">
        <f t="shared" si="13"/>
        <v>#N/A</v>
      </c>
      <c r="AS35" s="432"/>
      <c r="AT35" s="169"/>
      <c r="AU35" s="169"/>
      <c r="AV35" s="195"/>
      <c r="AW35" s="197" t="e">
        <f t="shared" si="14"/>
        <v>#N/A</v>
      </c>
      <c r="AX35" s="432"/>
    </row>
    <row r="36" spans="2:50">
      <c r="B36" s="422"/>
      <c r="C36" s="197">
        <v>10</v>
      </c>
      <c r="D36" s="225"/>
      <c r="E36" s="169"/>
      <c r="F36" s="197"/>
      <c r="G36" s="195"/>
      <c r="H36" s="429"/>
      <c r="I36" s="169"/>
      <c r="J36" s="169"/>
      <c r="K36" s="195"/>
      <c r="L36" s="429"/>
      <c r="M36" s="196" t="e">
        <f>RANK(K36, K$27:$K$41)</f>
        <v>#N/A</v>
      </c>
      <c r="N36" s="423"/>
      <c r="O36" s="423"/>
      <c r="P36" s="169"/>
      <c r="Q36" s="169"/>
      <c r="R36" s="169"/>
      <c r="S36" s="197" t="e">
        <f t="shared" si="8"/>
        <v>#N/A</v>
      </c>
      <c r="T36" s="432"/>
      <c r="U36" s="169"/>
      <c r="V36" s="169"/>
      <c r="W36" s="169"/>
      <c r="X36" s="197" t="e">
        <f t="shared" si="9"/>
        <v>#N/A</v>
      </c>
      <c r="Y36" s="432"/>
      <c r="Z36" s="169"/>
      <c r="AA36" s="169"/>
      <c r="AB36" s="169"/>
      <c r="AC36" s="197" t="e">
        <f t="shared" si="10"/>
        <v>#N/A</v>
      </c>
      <c r="AD36" s="432"/>
      <c r="AE36" s="169"/>
      <c r="AF36" s="169"/>
      <c r="AG36" s="169"/>
      <c r="AH36" s="197" t="e">
        <f t="shared" si="11"/>
        <v>#N/A</v>
      </c>
      <c r="AI36" s="432"/>
      <c r="AJ36" s="169"/>
      <c r="AK36" s="169"/>
      <c r="AL36" s="169"/>
      <c r="AM36" s="197" t="e">
        <f t="shared" si="12"/>
        <v>#N/A</v>
      </c>
      <c r="AN36" s="432"/>
      <c r="AO36" s="169"/>
      <c r="AP36" s="169"/>
      <c r="AQ36" s="169"/>
      <c r="AR36" s="197" t="e">
        <f t="shared" si="13"/>
        <v>#N/A</v>
      </c>
      <c r="AS36" s="432"/>
      <c r="AT36" s="169"/>
      <c r="AU36" s="169"/>
      <c r="AV36" s="195"/>
      <c r="AW36" s="197" t="e">
        <f t="shared" si="14"/>
        <v>#N/A</v>
      </c>
      <c r="AX36" s="432"/>
    </row>
    <row r="37" spans="2:50">
      <c r="B37" s="422"/>
      <c r="C37" s="197">
        <v>11</v>
      </c>
      <c r="D37" s="225"/>
      <c r="E37" s="169"/>
      <c r="F37" s="197"/>
      <c r="G37" s="195"/>
      <c r="H37" s="429"/>
      <c r="I37" s="197"/>
      <c r="J37" s="197"/>
      <c r="K37" s="197"/>
      <c r="L37" s="429"/>
      <c r="M37" s="196" t="e">
        <f>RANK(K37, K$27:$K$41)</f>
        <v>#N/A</v>
      </c>
      <c r="N37" s="423"/>
      <c r="O37" s="423"/>
      <c r="P37" s="169"/>
      <c r="Q37" s="169"/>
      <c r="R37" s="169"/>
      <c r="S37" s="197" t="e">
        <f t="shared" si="8"/>
        <v>#N/A</v>
      </c>
      <c r="T37" s="432"/>
      <c r="U37" s="169"/>
      <c r="V37" s="169"/>
      <c r="W37" s="169"/>
      <c r="X37" s="197" t="e">
        <f t="shared" si="9"/>
        <v>#N/A</v>
      </c>
      <c r="Y37" s="432"/>
      <c r="Z37" s="169"/>
      <c r="AA37" s="169"/>
      <c r="AB37" s="169"/>
      <c r="AC37" s="197" t="e">
        <f t="shared" si="10"/>
        <v>#N/A</v>
      </c>
      <c r="AD37" s="432"/>
      <c r="AE37" s="169"/>
      <c r="AF37" s="169"/>
      <c r="AG37" s="169"/>
      <c r="AH37" s="197" t="e">
        <f t="shared" si="11"/>
        <v>#N/A</v>
      </c>
      <c r="AI37" s="432"/>
      <c r="AJ37" s="169"/>
      <c r="AK37" s="169"/>
      <c r="AL37" s="169"/>
      <c r="AM37" s="197" t="e">
        <f t="shared" si="12"/>
        <v>#N/A</v>
      </c>
      <c r="AN37" s="432"/>
      <c r="AO37" s="169"/>
      <c r="AP37" s="169"/>
      <c r="AQ37" s="169"/>
      <c r="AR37" s="197" t="e">
        <f t="shared" si="13"/>
        <v>#N/A</v>
      </c>
      <c r="AS37" s="432"/>
      <c r="AT37" s="169"/>
      <c r="AU37" s="169"/>
      <c r="AV37" s="195"/>
      <c r="AW37" s="197" t="e">
        <f t="shared" si="14"/>
        <v>#N/A</v>
      </c>
      <c r="AX37" s="432"/>
    </row>
    <row r="38" spans="2:50">
      <c r="B38" s="422"/>
      <c r="C38" s="197">
        <v>12</v>
      </c>
      <c r="D38" s="225"/>
      <c r="E38" s="169"/>
      <c r="F38" s="197"/>
      <c r="G38" s="195"/>
      <c r="H38" s="429"/>
      <c r="I38" s="197"/>
      <c r="J38" s="197"/>
      <c r="K38" s="197"/>
      <c r="L38" s="429"/>
      <c r="M38" s="196" t="e">
        <f>RANK(K38, K$27:$K$41)</f>
        <v>#N/A</v>
      </c>
      <c r="N38" s="423"/>
      <c r="O38" s="423"/>
      <c r="P38" s="169"/>
      <c r="Q38" s="169"/>
      <c r="R38" s="169"/>
      <c r="S38" s="197" t="e">
        <f t="shared" si="8"/>
        <v>#N/A</v>
      </c>
      <c r="T38" s="432"/>
      <c r="U38" s="169"/>
      <c r="V38" s="169"/>
      <c r="W38" s="169"/>
      <c r="X38" s="197" t="e">
        <f t="shared" si="9"/>
        <v>#N/A</v>
      </c>
      <c r="Y38" s="432"/>
      <c r="Z38" s="169"/>
      <c r="AA38" s="169"/>
      <c r="AB38" s="169"/>
      <c r="AC38" s="197" t="e">
        <f t="shared" si="10"/>
        <v>#N/A</v>
      </c>
      <c r="AD38" s="432"/>
      <c r="AE38" s="169"/>
      <c r="AF38" s="169"/>
      <c r="AG38" s="169"/>
      <c r="AH38" s="197" t="e">
        <f t="shared" si="11"/>
        <v>#N/A</v>
      </c>
      <c r="AI38" s="432"/>
      <c r="AJ38" s="169"/>
      <c r="AK38" s="169"/>
      <c r="AL38" s="169"/>
      <c r="AM38" s="197" t="e">
        <f t="shared" si="12"/>
        <v>#N/A</v>
      </c>
      <c r="AN38" s="432"/>
      <c r="AO38" s="169"/>
      <c r="AP38" s="169"/>
      <c r="AQ38" s="169"/>
      <c r="AR38" s="197" t="e">
        <f t="shared" si="13"/>
        <v>#N/A</v>
      </c>
      <c r="AS38" s="432"/>
      <c r="AT38" s="169"/>
      <c r="AU38" s="169"/>
      <c r="AV38" s="195"/>
      <c r="AW38" s="197" t="e">
        <f t="shared" si="14"/>
        <v>#N/A</v>
      </c>
      <c r="AX38" s="432"/>
    </row>
    <row r="39" spans="2:50">
      <c r="B39" s="422"/>
      <c r="C39" s="197">
        <v>13</v>
      </c>
      <c r="D39" s="225"/>
      <c r="E39" s="169"/>
      <c r="F39" s="197"/>
      <c r="G39" s="195"/>
      <c r="H39" s="429"/>
      <c r="I39" s="197"/>
      <c r="J39" s="197"/>
      <c r="K39" s="197"/>
      <c r="L39" s="429"/>
      <c r="M39" s="196" t="e">
        <f>RANK(K39, K$27:$K$41)</f>
        <v>#N/A</v>
      </c>
      <c r="N39" s="423"/>
      <c r="O39" s="423"/>
      <c r="P39" s="169"/>
      <c r="Q39" s="169"/>
      <c r="R39" s="169"/>
      <c r="S39" s="197" t="e">
        <f t="shared" si="8"/>
        <v>#N/A</v>
      </c>
      <c r="T39" s="432"/>
      <c r="U39" s="169"/>
      <c r="V39" s="169"/>
      <c r="W39" s="169"/>
      <c r="X39" s="197" t="e">
        <f t="shared" si="9"/>
        <v>#N/A</v>
      </c>
      <c r="Y39" s="432"/>
      <c r="Z39" s="169"/>
      <c r="AA39" s="169"/>
      <c r="AB39" s="169"/>
      <c r="AC39" s="197" t="e">
        <f t="shared" si="10"/>
        <v>#N/A</v>
      </c>
      <c r="AD39" s="432"/>
      <c r="AE39" s="169"/>
      <c r="AF39" s="169"/>
      <c r="AG39" s="169"/>
      <c r="AH39" s="197" t="e">
        <f t="shared" si="11"/>
        <v>#N/A</v>
      </c>
      <c r="AI39" s="432"/>
      <c r="AJ39" s="169"/>
      <c r="AK39" s="169"/>
      <c r="AL39" s="169"/>
      <c r="AM39" s="197" t="e">
        <f t="shared" si="12"/>
        <v>#N/A</v>
      </c>
      <c r="AN39" s="432"/>
      <c r="AO39" s="169"/>
      <c r="AP39" s="169"/>
      <c r="AQ39" s="169"/>
      <c r="AR39" s="197" t="e">
        <f t="shared" si="13"/>
        <v>#N/A</v>
      </c>
      <c r="AS39" s="432"/>
      <c r="AT39" s="169"/>
      <c r="AU39" s="169"/>
      <c r="AV39" s="195"/>
      <c r="AW39" s="197" t="e">
        <f t="shared" si="14"/>
        <v>#N/A</v>
      </c>
      <c r="AX39" s="432"/>
    </row>
    <row r="40" spans="2:50">
      <c r="B40" s="422"/>
      <c r="C40" s="197">
        <v>14</v>
      </c>
      <c r="D40" s="225"/>
      <c r="E40" s="169"/>
      <c r="F40" s="197"/>
      <c r="G40" s="195"/>
      <c r="H40" s="429"/>
      <c r="I40" s="197"/>
      <c r="J40" s="197"/>
      <c r="K40" s="197"/>
      <c r="L40" s="429"/>
      <c r="M40" s="196" t="e">
        <f>RANK(K40, K$27:$K$41)</f>
        <v>#N/A</v>
      </c>
      <c r="N40" s="423"/>
      <c r="O40" s="423"/>
      <c r="P40" s="169"/>
      <c r="Q40" s="169"/>
      <c r="R40" s="169"/>
      <c r="S40" s="197" t="e">
        <f t="shared" si="8"/>
        <v>#N/A</v>
      </c>
      <c r="T40" s="432"/>
      <c r="U40" s="169"/>
      <c r="V40" s="169"/>
      <c r="W40" s="169"/>
      <c r="X40" s="197" t="e">
        <f t="shared" si="9"/>
        <v>#N/A</v>
      </c>
      <c r="Y40" s="432"/>
      <c r="Z40" s="169"/>
      <c r="AA40" s="169"/>
      <c r="AB40" s="169"/>
      <c r="AC40" s="197" t="e">
        <f t="shared" si="10"/>
        <v>#N/A</v>
      </c>
      <c r="AD40" s="432"/>
      <c r="AE40" s="169"/>
      <c r="AF40" s="169"/>
      <c r="AG40" s="169"/>
      <c r="AH40" s="197" t="e">
        <f t="shared" si="11"/>
        <v>#N/A</v>
      </c>
      <c r="AI40" s="432"/>
      <c r="AJ40" s="169"/>
      <c r="AK40" s="169"/>
      <c r="AL40" s="169"/>
      <c r="AM40" s="197" t="e">
        <f t="shared" si="12"/>
        <v>#N/A</v>
      </c>
      <c r="AN40" s="432"/>
      <c r="AO40" s="169"/>
      <c r="AP40" s="169"/>
      <c r="AQ40" s="169"/>
      <c r="AR40" s="197" t="e">
        <f t="shared" si="13"/>
        <v>#N/A</v>
      </c>
      <c r="AS40" s="432"/>
      <c r="AT40" s="169"/>
      <c r="AU40" s="169"/>
      <c r="AV40" s="195"/>
      <c r="AW40" s="197" t="e">
        <f t="shared" si="14"/>
        <v>#N/A</v>
      </c>
      <c r="AX40" s="432"/>
    </row>
    <row r="41" spans="2:50">
      <c r="B41" s="422"/>
      <c r="C41" s="197">
        <v>15</v>
      </c>
      <c r="D41" s="225"/>
      <c r="E41" s="169"/>
      <c r="F41" s="197"/>
      <c r="G41" s="195"/>
      <c r="H41" s="430"/>
      <c r="I41" s="197"/>
      <c r="J41" s="197"/>
      <c r="K41" s="197"/>
      <c r="L41" s="430"/>
      <c r="M41" s="169" t="e">
        <f>RANK(K41, K$27:$K$41)</f>
        <v>#N/A</v>
      </c>
      <c r="N41" s="423"/>
      <c r="O41" s="423"/>
      <c r="P41" s="169"/>
      <c r="Q41" s="169"/>
      <c r="R41" s="169"/>
      <c r="S41" s="197" t="e">
        <f t="shared" si="8"/>
        <v>#N/A</v>
      </c>
      <c r="T41" s="432"/>
      <c r="U41" s="169"/>
      <c r="V41" s="169"/>
      <c r="W41" s="169"/>
      <c r="X41" s="197" t="e">
        <f t="shared" si="9"/>
        <v>#N/A</v>
      </c>
      <c r="Y41" s="432"/>
      <c r="Z41" s="169"/>
      <c r="AA41" s="169"/>
      <c r="AB41" s="169"/>
      <c r="AC41" s="197" t="e">
        <f t="shared" si="10"/>
        <v>#N/A</v>
      </c>
      <c r="AD41" s="432"/>
      <c r="AE41" s="169"/>
      <c r="AF41" s="169"/>
      <c r="AG41" s="169"/>
      <c r="AH41" s="197" t="e">
        <f t="shared" si="11"/>
        <v>#N/A</v>
      </c>
      <c r="AI41" s="432"/>
      <c r="AJ41" s="169"/>
      <c r="AK41" s="169"/>
      <c r="AL41" s="169"/>
      <c r="AM41" s="197" t="e">
        <f t="shared" si="12"/>
        <v>#N/A</v>
      </c>
      <c r="AN41" s="432"/>
      <c r="AO41" s="169"/>
      <c r="AP41" s="169"/>
      <c r="AQ41" s="169"/>
      <c r="AR41" s="197" t="e">
        <f t="shared" si="13"/>
        <v>#N/A</v>
      </c>
      <c r="AS41" s="432"/>
      <c r="AT41" s="169"/>
      <c r="AU41" s="169"/>
      <c r="AV41" s="195"/>
      <c r="AW41" s="197" t="e">
        <f t="shared" si="14"/>
        <v>#N/A</v>
      </c>
      <c r="AX41" s="432"/>
    </row>
    <row r="42" spans="2:50" ht="15.75">
      <c r="B42" s="424" t="s">
        <v>202</v>
      </c>
      <c r="C42" s="425"/>
      <c r="D42" s="425"/>
      <c r="E42" s="425"/>
      <c r="F42" s="425"/>
      <c r="G42" s="425"/>
      <c r="H42" s="425"/>
      <c r="I42" s="201"/>
      <c r="J42" s="198"/>
      <c r="K42" s="201"/>
      <c r="L42" s="201"/>
      <c r="M42" s="193"/>
      <c r="N42" s="401" t="s">
        <v>203</v>
      </c>
      <c r="O42" s="401" t="s">
        <v>150</v>
      </c>
      <c r="P42" s="421">
        <f>P22+7</f>
        <v>45909</v>
      </c>
      <c r="Q42" s="422"/>
      <c r="R42" s="422"/>
      <c r="S42" s="422"/>
      <c r="T42" s="422"/>
      <c r="U42" s="416">
        <f>P42+1</f>
        <v>45910</v>
      </c>
      <c r="V42" s="417"/>
      <c r="W42" s="417"/>
      <c r="X42" s="417"/>
      <c r="Y42" s="418"/>
      <c r="Z42" s="416">
        <f>U42+1</f>
        <v>45911</v>
      </c>
      <c r="AA42" s="417"/>
      <c r="AB42" s="417"/>
      <c r="AC42" s="417"/>
      <c r="AD42" s="418"/>
      <c r="AE42" s="416">
        <f t="shared" ref="AE42" si="18">Z42+1</f>
        <v>45912</v>
      </c>
      <c r="AF42" s="417"/>
      <c r="AG42" s="417"/>
      <c r="AH42" s="417"/>
      <c r="AI42" s="418"/>
      <c r="AJ42" s="416">
        <f t="shared" ref="AJ42" si="19">AE42+1</f>
        <v>45913</v>
      </c>
      <c r="AK42" s="417"/>
      <c r="AL42" s="417"/>
      <c r="AM42" s="417"/>
      <c r="AN42" s="418"/>
      <c r="AO42" s="416">
        <f t="shared" ref="AO42" si="20">AJ42+1</f>
        <v>45914</v>
      </c>
      <c r="AP42" s="417"/>
      <c r="AQ42" s="417"/>
      <c r="AR42" s="417"/>
      <c r="AS42" s="418"/>
      <c r="AT42" s="416">
        <f t="shared" ref="AT42" si="21">AO42+1</f>
        <v>45915</v>
      </c>
      <c r="AU42" s="417"/>
      <c r="AV42" s="417"/>
      <c r="AW42" s="417"/>
      <c r="AX42" s="418"/>
    </row>
    <row r="43" spans="2:50" ht="15.75">
      <c r="B43" s="426"/>
      <c r="C43" s="426"/>
      <c r="D43" s="426"/>
      <c r="E43" s="426"/>
      <c r="F43" s="426"/>
      <c r="G43" s="426"/>
      <c r="H43" s="426"/>
      <c r="I43" s="199"/>
      <c r="J43" s="199"/>
      <c r="K43" s="199"/>
      <c r="L43" s="199"/>
      <c r="M43" s="194"/>
      <c r="N43" s="403"/>
      <c r="O43" s="403"/>
      <c r="P43" s="421" t="s">
        <v>204</v>
      </c>
      <c r="Q43" s="422"/>
      <c r="R43" s="422"/>
      <c r="S43" s="422"/>
      <c r="T43" s="422"/>
      <c r="U43" s="421" t="s">
        <v>205</v>
      </c>
      <c r="V43" s="422"/>
      <c r="W43" s="422"/>
      <c r="X43" s="422"/>
      <c r="Y43" s="422"/>
      <c r="Z43" s="421" t="s">
        <v>206</v>
      </c>
      <c r="AA43" s="422"/>
      <c r="AB43" s="422"/>
      <c r="AC43" s="422"/>
      <c r="AD43" s="422"/>
      <c r="AE43" s="421" t="s">
        <v>207</v>
      </c>
      <c r="AF43" s="422"/>
      <c r="AG43" s="422"/>
      <c r="AH43" s="422"/>
      <c r="AI43" s="422"/>
      <c r="AJ43" s="421" t="s">
        <v>208</v>
      </c>
      <c r="AK43" s="422"/>
      <c r="AL43" s="422"/>
      <c r="AM43" s="422"/>
      <c r="AN43" s="422"/>
      <c r="AO43" s="421" t="s">
        <v>157</v>
      </c>
      <c r="AP43" s="422"/>
      <c r="AQ43" s="422"/>
      <c r="AR43" s="422"/>
      <c r="AS43" s="422"/>
      <c r="AT43" s="421" t="s">
        <v>209</v>
      </c>
      <c r="AU43" s="422"/>
      <c r="AV43" s="422"/>
      <c r="AW43" s="422"/>
      <c r="AX43" s="422"/>
    </row>
    <row r="44" spans="2:50">
      <c r="B44" s="423" t="s">
        <v>210</v>
      </c>
      <c r="C44" s="423" t="s">
        <v>211</v>
      </c>
      <c r="D44" s="423"/>
      <c r="E44" s="423" t="s">
        <v>212</v>
      </c>
      <c r="F44" s="423"/>
      <c r="G44" s="423"/>
      <c r="H44" s="404" t="s">
        <v>213</v>
      </c>
      <c r="I44" s="423" t="s">
        <v>214</v>
      </c>
      <c r="J44" s="423"/>
      <c r="K44" s="423"/>
      <c r="L44" s="404" t="s">
        <v>213</v>
      </c>
      <c r="M44" s="401" t="s">
        <v>215</v>
      </c>
      <c r="N44" s="423"/>
      <c r="O44" s="423" t="s">
        <v>216</v>
      </c>
      <c r="P44" s="413" t="s">
        <v>217</v>
      </c>
      <c r="Q44" s="414"/>
      <c r="R44" s="414"/>
      <c r="S44" s="415"/>
      <c r="T44" s="423" t="s">
        <v>213</v>
      </c>
      <c r="U44" s="413" t="s">
        <v>217</v>
      </c>
      <c r="V44" s="414"/>
      <c r="W44" s="414"/>
      <c r="X44" s="415"/>
      <c r="Y44" s="423" t="s">
        <v>213</v>
      </c>
      <c r="Z44" s="413" t="s">
        <v>217</v>
      </c>
      <c r="AA44" s="414"/>
      <c r="AB44" s="414"/>
      <c r="AC44" s="415"/>
      <c r="AD44" s="423" t="s">
        <v>213</v>
      </c>
      <c r="AE44" s="413" t="s">
        <v>217</v>
      </c>
      <c r="AF44" s="414"/>
      <c r="AG44" s="414"/>
      <c r="AH44" s="415"/>
      <c r="AI44" s="423" t="s">
        <v>213</v>
      </c>
      <c r="AJ44" s="413" t="s">
        <v>217</v>
      </c>
      <c r="AK44" s="414"/>
      <c r="AL44" s="414"/>
      <c r="AM44" s="415"/>
      <c r="AN44" s="423" t="s">
        <v>213</v>
      </c>
      <c r="AO44" s="413" t="s">
        <v>217</v>
      </c>
      <c r="AP44" s="414"/>
      <c r="AQ44" s="414"/>
      <c r="AR44" s="415"/>
      <c r="AS44" s="423" t="s">
        <v>213</v>
      </c>
      <c r="AT44" s="413" t="s">
        <v>217</v>
      </c>
      <c r="AU44" s="414"/>
      <c r="AV44" s="414"/>
      <c r="AW44" s="415"/>
      <c r="AX44" s="423" t="s">
        <v>213</v>
      </c>
    </row>
    <row r="45" spans="2:50">
      <c r="B45" s="423"/>
      <c r="C45" s="423"/>
      <c r="D45" s="423"/>
      <c r="E45" s="423" t="s">
        <v>218</v>
      </c>
      <c r="F45" s="423"/>
      <c r="G45" s="423"/>
      <c r="H45" s="406"/>
      <c r="I45" s="423" t="s">
        <v>218</v>
      </c>
      <c r="J45" s="423"/>
      <c r="K45" s="423"/>
      <c r="L45" s="406"/>
      <c r="M45" s="402"/>
      <c r="N45" s="423"/>
      <c r="O45" s="423"/>
      <c r="P45" s="413" t="s">
        <v>219</v>
      </c>
      <c r="Q45" s="414"/>
      <c r="R45" s="414"/>
      <c r="S45" s="415"/>
      <c r="T45" s="423"/>
      <c r="U45" s="413" t="s">
        <v>219</v>
      </c>
      <c r="V45" s="414"/>
      <c r="W45" s="414"/>
      <c r="X45" s="415"/>
      <c r="Y45" s="423"/>
      <c r="Z45" s="413" t="s">
        <v>219</v>
      </c>
      <c r="AA45" s="414"/>
      <c r="AB45" s="414"/>
      <c r="AC45" s="415"/>
      <c r="AD45" s="423"/>
      <c r="AE45" s="413" t="s">
        <v>219</v>
      </c>
      <c r="AF45" s="414"/>
      <c r="AG45" s="414"/>
      <c r="AH45" s="415"/>
      <c r="AI45" s="423"/>
      <c r="AJ45" s="413" t="s">
        <v>219</v>
      </c>
      <c r="AK45" s="414"/>
      <c r="AL45" s="414"/>
      <c r="AM45" s="415"/>
      <c r="AN45" s="423"/>
      <c r="AO45" s="413" t="s">
        <v>219</v>
      </c>
      <c r="AP45" s="414"/>
      <c r="AQ45" s="414"/>
      <c r="AR45" s="415"/>
      <c r="AS45" s="423"/>
      <c r="AT45" s="413" t="s">
        <v>219</v>
      </c>
      <c r="AU45" s="414"/>
      <c r="AV45" s="414"/>
      <c r="AW45" s="415"/>
      <c r="AX45" s="423"/>
    </row>
    <row r="46" spans="2:50">
      <c r="B46" s="423"/>
      <c r="C46" s="423"/>
      <c r="D46" s="423"/>
      <c r="E46" s="297" t="s">
        <v>220</v>
      </c>
      <c r="F46" s="297" t="s">
        <v>221</v>
      </c>
      <c r="G46" s="297" t="s">
        <v>222</v>
      </c>
      <c r="H46" s="408"/>
      <c r="I46" s="297" t="s">
        <v>220</v>
      </c>
      <c r="J46" s="297" t="s">
        <v>221</v>
      </c>
      <c r="K46" s="297" t="s">
        <v>222</v>
      </c>
      <c r="L46" s="408"/>
      <c r="M46" s="403"/>
      <c r="N46" s="423"/>
      <c r="O46" s="423"/>
      <c r="P46" s="297" t="s">
        <v>220</v>
      </c>
      <c r="Q46" s="297" t="s">
        <v>221</v>
      </c>
      <c r="R46" s="297" t="s">
        <v>222</v>
      </c>
      <c r="S46" s="297" t="s">
        <v>215</v>
      </c>
      <c r="T46" s="423"/>
      <c r="U46" s="297" t="s">
        <v>220</v>
      </c>
      <c r="V46" s="297" t="s">
        <v>221</v>
      </c>
      <c r="W46" s="297" t="s">
        <v>222</v>
      </c>
      <c r="X46" s="297" t="s">
        <v>215</v>
      </c>
      <c r="Y46" s="423"/>
      <c r="Z46" s="297" t="s">
        <v>220</v>
      </c>
      <c r="AA46" s="297" t="s">
        <v>221</v>
      </c>
      <c r="AB46" s="297" t="s">
        <v>222</v>
      </c>
      <c r="AC46" s="297" t="s">
        <v>215</v>
      </c>
      <c r="AD46" s="423"/>
      <c r="AE46" s="297" t="s">
        <v>220</v>
      </c>
      <c r="AF46" s="297" t="s">
        <v>221</v>
      </c>
      <c r="AG46" s="297" t="s">
        <v>222</v>
      </c>
      <c r="AH46" s="297" t="s">
        <v>215</v>
      </c>
      <c r="AI46" s="423"/>
      <c r="AJ46" s="297" t="s">
        <v>220</v>
      </c>
      <c r="AK46" s="297" t="s">
        <v>221</v>
      </c>
      <c r="AL46" s="297" t="s">
        <v>222</v>
      </c>
      <c r="AM46" s="297" t="s">
        <v>215</v>
      </c>
      <c r="AN46" s="423"/>
      <c r="AO46" s="297" t="s">
        <v>220</v>
      </c>
      <c r="AP46" s="297" t="s">
        <v>221</v>
      </c>
      <c r="AQ46" s="297" t="s">
        <v>222</v>
      </c>
      <c r="AR46" s="297" t="s">
        <v>215</v>
      </c>
      <c r="AS46" s="423"/>
      <c r="AT46" s="297" t="s">
        <v>220</v>
      </c>
      <c r="AU46" s="297" t="s">
        <v>221</v>
      </c>
      <c r="AV46" s="297" t="s">
        <v>222</v>
      </c>
      <c r="AW46" s="297" t="s">
        <v>215</v>
      </c>
      <c r="AX46" s="423"/>
    </row>
    <row r="47" spans="2:50">
      <c r="B47" s="423" t="s">
        <v>303</v>
      </c>
      <c r="C47" s="197">
        <v>1</v>
      </c>
      <c r="D47" s="225" t="s">
        <v>304</v>
      </c>
      <c r="E47" s="169">
        <v>19</v>
      </c>
      <c r="F47" s="197">
        <v>1636</v>
      </c>
      <c r="G47" s="195">
        <v>86.10526315789474</v>
      </c>
      <c r="H47" s="428">
        <f>AVERAGE(G47:G61)</f>
        <v>89.037898891614063</v>
      </c>
      <c r="I47" s="169">
        <f>AVERAGE(P47,U47,Z47,AE47,AJ47,AO47,AT47)</f>
        <v>19</v>
      </c>
      <c r="J47" s="169">
        <f>AVERAGE(Q47,V47,AA47,AF47,AK47,AP47,AU47)</f>
        <v>1390.1156580381071</v>
      </c>
      <c r="K47" s="195">
        <f>AVERAGE(R47,W47,AB47,AG47,AL47,AQ47,AV47)</f>
        <v>73.163982002005625</v>
      </c>
      <c r="L47" s="428">
        <f>IFERROR(AVERAGE(K47:K61),"-")</f>
        <v>86.793498282807619</v>
      </c>
      <c r="M47" s="196" t="e">
        <f>RANK(K47, K$87:$K$101)</f>
        <v>#DIV/0!</v>
      </c>
      <c r="N47" s="423"/>
      <c r="O47" s="423"/>
      <c r="P47" s="169">
        <v>19</v>
      </c>
      <c r="Q47" s="169">
        <v>1395.151515151515</v>
      </c>
      <c r="R47" s="169">
        <v>73.429027113237638</v>
      </c>
      <c r="S47" s="197">
        <f>RANK(R47, R$47:R$61)</f>
        <v>5</v>
      </c>
      <c r="T47" s="432">
        <f>AVERAGE(R47:R61)</f>
        <v>87.00841259370128</v>
      </c>
      <c r="U47" s="169">
        <v>19</v>
      </c>
      <c r="V47" s="169">
        <v>1381.8367346938774</v>
      </c>
      <c r="W47" s="169">
        <v>72.728249194414602</v>
      </c>
      <c r="X47" s="197">
        <f>RANK(W47, W$47:W$61)</f>
        <v>7</v>
      </c>
      <c r="Y47" s="432">
        <f>AVERAGE(W47:W61)</f>
        <v>87.547598331019856</v>
      </c>
      <c r="Z47" s="169">
        <v>19</v>
      </c>
      <c r="AA47" s="169">
        <v>1396.6666666666667</v>
      </c>
      <c r="AB47" s="169">
        <v>73.508771929824562</v>
      </c>
      <c r="AC47" s="197">
        <f>RANK(AB47, AB$47:AB$61)</f>
        <v>7</v>
      </c>
      <c r="AD47" s="432">
        <f>AVERAGE(AB47:AB61)</f>
        <v>88.999053996015093</v>
      </c>
      <c r="AE47" s="169">
        <v>19</v>
      </c>
      <c r="AF47" s="169">
        <v>1367.5324675324675</v>
      </c>
      <c r="AG47" s="169">
        <v>71.975393028024612</v>
      </c>
      <c r="AH47" s="197">
        <f>RANK(AG47, AG$47:AG$61)</f>
        <v>7</v>
      </c>
      <c r="AI47" s="432">
        <f>AVERAGE(AG47:AG61)</f>
        <v>83.532959615781593</v>
      </c>
      <c r="AJ47" s="169">
        <v>19</v>
      </c>
      <c r="AK47" s="169">
        <v>1426.666666666667</v>
      </c>
      <c r="AL47" s="169">
        <v>75.087719298245631</v>
      </c>
      <c r="AM47" s="197">
        <f>RANK(AL47, AL$47:AL$61)</f>
        <v>6</v>
      </c>
      <c r="AN47" s="432">
        <f>AVERAGE(AL47:AL61)</f>
        <v>84.525742859719159</v>
      </c>
      <c r="AO47" s="169">
        <v>19</v>
      </c>
      <c r="AP47" s="169">
        <v>1397.3999999999999</v>
      </c>
      <c r="AQ47" s="169">
        <v>73.547368421052624</v>
      </c>
      <c r="AR47" s="197">
        <f>RANK(AQ47, AQ$47:AQ$61)</f>
        <v>7</v>
      </c>
      <c r="AS47" s="432">
        <f>AVERAGE(AQ47:AQ61)</f>
        <v>88.295427649432256</v>
      </c>
      <c r="AT47" s="169">
        <v>19</v>
      </c>
      <c r="AU47" s="169">
        <v>1365.5555555555561</v>
      </c>
      <c r="AV47" s="169">
        <v>71.871345029239791</v>
      </c>
      <c r="AW47" s="197">
        <f>RANK(AV47, AV$47:AV$61)</f>
        <v>7</v>
      </c>
      <c r="AX47" s="432">
        <f>AVERAGE(AV47:AV61)</f>
        <v>87.645292933984024</v>
      </c>
    </row>
    <row r="48" spans="2:50">
      <c r="B48" s="422"/>
      <c r="C48" s="197">
        <v>2</v>
      </c>
      <c r="D48" s="225" t="s">
        <v>311</v>
      </c>
      <c r="E48" s="169">
        <v>19</v>
      </c>
      <c r="F48" s="197">
        <v>1440</v>
      </c>
      <c r="G48" s="195">
        <v>75.78947368421052</v>
      </c>
      <c r="H48" s="429"/>
      <c r="I48" s="169">
        <f t="shared" ref="I48:I53" si="22">AVERAGE(P48,U48,Z48,AE48,AJ48,AO48,AT48)</f>
        <v>18.142857142857142</v>
      </c>
      <c r="J48" s="169">
        <f t="shared" ref="J48:J53" si="23">AVERAGE(Q48,V48,AA48,AF48,AK48,AP48,AU48)</f>
        <v>1327.7942107782026</v>
      </c>
      <c r="K48" s="195">
        <f t="shared" ref="K48:K53" si="24">AVERAGE(R48,W48,AB48,AG48,AL48,AQ48,AV48)</f>
        <v>73.215378585994472</v>
      </c>
      <c r="L48" s="429"/>
      <c r="M48" s="196" t="e">
        <f>RANK(K48, K$87:$K$101)</f>
        <v>#DIV/0!</v>
      </c>
      <c r="N48" s="423"/>
      <c r="O48" s="423"/>
      <c r="P48" s="169">
        <v>18</v>
      </c>
      <c r="Q48" s="169">
        <v>1316.9545454545453</v>
      </c>
      <c r="R48" s="169">
        <v>73.164141414141397</v>
      </c>
      <c r="S48" s="197">
        <f t="shared" ref="S48:S61" si="25">RANK(R48, R$47:R$61)</f>
        <v>6</v>
      </c>
      <c r="T48" s="432"/>
      <c r="U48" s="169">
        <v>18</v>
      </c>
      <c r="V48" s="169">
        <v>1333.3478260869565</v>
      </c>
      <c r="W48" s="169">
        <v>74.074879227053145</v>
      </c>
      <c r="X48" s="197">
        <f t="shared" ref="X48:X61" si="26">RANK(W48, W$47:W$61)</f>
        <v>6</v>
      </c>
      <c r="Y48" s="432"/>
      <c r="Z48" s="169">
        <v>18</v>
      </c>
      <c r="AA48" s="169">
        <v>1330.9333333333334</v>
      </c>
      <c r="AB48" s="169">
        <v>73.94074074074075</v>
      </c>
      <c r="AC48" s="197">
        <f t="shared" ref="AC48:AC61" si="27">RANK(AB48, AB$47:AB$61)</f>
        <v>6</v>
      </c>
      <c r="AD48" s="432"/>
      <c r="AE48" s="169">
        <v>18</v>
      </c>
      <c r="AF48" s="169">
        <v>1317.4100719424457</v>
      </c>
      <c r="AG48" s="169">
        <v>73.189448441246981</v>
      </c>
      <c r="AH48" s="197">
        <f t="shared" ref="AH48:AH61" si="28">RANK(AG48, AG$47:AG$61)</f>
        <v>6</v>
      </c>
      <c r="AI48" s="432"/>
      <c r="AJ48" s="169">
        <v>19</v>
      </c>
      <c r="AK48" s="169">
        <v>1319.0136986301375</v>
      </c>
      <c r="AL48" s="169">
        <v>69.421773612112503</v>
      </c>
      <c r="AM48" s="197">
        <f t="shared" ref="AM48:AM61" si="29">RANK(AL48, AL$47:AL$61)</f>
        <v>7</v>
      </c>
      <c r="AN48" s="432"/>
      <c r="AO48" s="169">
        <v>18</v>
      </c>
      <c r="AP48" s="169">
        <v>1343.9999999999998</v>
      </c>
      <c r="AQ48" s="169">
        <v>74.666666666666657</v>
      </c>
      <c r="AR48" s="197">
        <f t="shared" ref="AR48:AR61" si="30">RANK(AQ48, AQ$47:AQ$61)</f>
        <v>6</v>
      </c>
      <c r="AS48" s="432"/>
      <c r="AT48" s="169">
        <v>18</v>
      </c>
      <c r="AU48" s="169">
        <v>1332.8999999999999</v>
      </c>
      <c r="AV48" s="169">
        <v>74.05</v>
      </c>
      <c r="AW48" s="197">
        <f t="shared" ref="AW48:AW61" si="31">RANK(AV48, AV$47:AV$61)</f>
        <v>6</v>
      </c>
      <c r="AX48" s="432"/>
    </row>
    <row r="49" spans="2:50">
      <c r="B49" s="422"/>
      <c r="C49" s="197">
        <v>3</v>
      </c>
      <c r="D49" s="225" t="s">
        <v>306</v>
      </c>
      <c r="E49" s="169">
        <v>17</v>
      </c>
      <c r="F49" s="197">
        <v>1636</v>
      </c>
      <c r="G49" s="195">
        <v>96.235294117647058</v>
      </c>
      <c r="H49" s="429"/>
      <c r="I49" s="169">
        <f t="shared" si="22"/>
        <v>17.142857142857142</v>
      </c>
      <c r="J49" s="169">
        <f t="shared" si="23"/>
        <v>1383.2366380052933</v>
      </c>
      <c r="K49" s="195">
        <f t="shared" si="24"/>
        <v>80.706427404191444</v>
      </c>
      <c r="L49" s="429"/>
      <c r="M49" s="196" t="e">
        <f>RANK(K49, K$87:$K$101)</f>
        <v>#DIV/0!</v>
      </c>
      <c r="N49" s="423"/>
      <c r="O49" s="423"/>
      <c r="P49" s="169">
        <v>17</v>
      </c>
      <c r="Q49" s="169">
        <v>1361.0969072164949</v>
      </c>
      <c r="R49" s="169">
        <v>80.064523953911461</v>
      </c>
      <c r="S49" s="197">
        <f t="shared" si="25"/>
        <v>2</v>
      </c>
      <c r="T49" s="432"/>
      <c r="U49" s="169">
        <v>17</v>
      </c>
      <c r="V49" s="169">
        <v>1390.9770491803279</v>
      </c>
      <c r="W49" s="169">
        <v>81.822179363548699</v>
      </c>
      <c r="X49" s="197">
        <f t="shared" si="26"/>
        <v>2</v>
      </c>
      <c r="Y49" s="432"/>
      <c r="Z49" s="169">
        <v>17</v>
      </c>
      <c r="AA49" s="169">
        <v>1360.6560000000002</v>
      </c>
      <c r="AB49" s="169">
        <v>80.038588235294128</v>
      </c>
      <c r="AC49" s="197">
        <f t="shared" si="27"/>
        <v>3</v>
      </c>
      <c r="AD49" s="432"/>
      <c r="AE49" s="169">
        <v>18</v>
      </c>
      <c r="AF49" s="169">
        <v>1414.6488888888889</v>
      </c>
      <c r="AG49" s="169">
        <v>78.591604938271601</v>
      </c>
      <c r="AH49" s="197">
        <f t="shared" si="28"/>
        <v>3</v>
      </c>
      <c r="AI49" s="432"/>
      <c r="AJ49" s="169">
        <v>17</v>
      </c>
      <c r="AK49" s="169">
        <v>1364.6769230769235</v>
      </c>
      <c r="AL49" s="169">
        <v>80.275113122171973</v>
      </c>
      <c r="AM49" s="197">
        <f t="shared" si="29"/>
        <v>2</v>
      </c>
      <c r="AN49" s="432"/>
      <c r="AO49" s="169">
        <v>17</v>
      </c>
      <c r="AP49" s="169">
        <v>1415.76</v>
      </c>
      <c r="AQ49" s="169">
        <v>83.28</v>
      </c>
      <c r="AR49" s="197">
        <f t="shared" si="30"/>
        <v>2</v>
      </c>
      <c r="AS49" s="432"/>
      <c r="AT49" s="169">
        <v>17</v>
      </c>
      <c r="AU49" s="169">
        <v>1374.8406976744182</v>
      </c>
      <c r="AV49" s="169">
        <v>80.872982216142248</v>
      </c>
      <c r="AW49" s="197">
        <f t="shared" si="31"/>
        <v>2</v>
      </c>
      <c r="AX49" s="432"/>
    </row>
    <row r="50" spans="2:50">
      <c r="B50" s="422"/>
      <c r="C50" s="197">
        <v>4</v>
      </c>
      <c r="D50" s="225" t="s">
        <v>307</v>
      </c>
      <c r="E50" s="169">
        <v>18</v>
      </c>
      <c r="F50" s="197">
        <v>1636</v>
      </c>
      <c r="G50" s="195">
        <v>90.888888888888886</v>
      </c>
      <c r="H50" s="429"/>
      <c r="I50" s="169">
        <f t="shared" si="22"/>
        <v>18</v>
      </c>
      <c r="J50" s="169">
        <f t="shared" si="23"/>
        <v>1374.4619798879983</v>
      </c>
      <c r="K50" s="195">
        <f t="shared" si="24"/>
        <v>76.358998882666569</v>
      </c>
      <c r="L50" s="429"/>
      <c r="M50" s="196" t="e">
        <f>RANK(K50, K$87:$K$101)</f>
        <v>#DIV/0!</v>
      </c>
      <c r="N50" s="423"/>
      <c r="O50" s="423"/>
      <c r="P50" s="169">
        <v>18</v>
      </c>
      <c r="Q50" s="169">
        <v>1356.4556962025317</v>
      </c>
      <c r="R50" s="169">
        <v>75.358649789029542</v>
      </c>
      <c r="S50" s="197">
        <f t="shared" si="25"/>
        <v>4</v>
      </c>
      <c r="T50" s="432"/>
      <c r="U50" s="169">
        <v>18</v>
      </c>
      <c r="V50" s="169">
        <v>1357.4025974025974</v>
      </c>
      <c r="W50" s="169">
        <v>75.411255411255411</v>
      </c>
      <c r="X50" s="197">
        <f t="shared" si="26"/>
        <v>5</v>
      </c>
      <c r="Y50" s="432"/>
      <c r="Z50" s="169">
        <v>18</v>
      </c>
      <c r="AA50" s="169">
        <v>1398.5294117647059</v>
      </c>
      <c r="AB50" s="169">
        <v>77.696078431372541</v>
      </c>
      <c r="AC50" s="197">
        <f t="shared" si="27"/>
        <v>4</v>
      </c>
      <c r="AD50" s="432"/>
      <c r="AE50" s="169">
        <v>18</v>
      </c>
      <c r="AF50" s="169">
        <v>1358.0000000000005</v>
      </c>
      <c r="AG50" s="169">
        <v>75.444444444444471</v>
      </c>
      <c r="AH50" s="197">
        <f t="shared" si="28"/>
        <v>5</v>
      </c>
      <c r="AI50" s="432"/>
      <c r="AJ50" s="169">
        <v>18</v>
      </c>
      <c r="AK50" s="169">
        <v>1422.4615384615381</v>
      </c>
      <c r="AL50" s="169">
        <v>79.025641025641008</v>
      </c>
      <c r="AM50" s="197">
        <f t="shared" si="29"/>
        <v>3</v>
      </c>
      <c r="AN50" s="432"/>
      <c r="AO50" s="169">
        <v>18</v>
      </c>
      <c r="AP50" s="169">
        <v>1375.3846153846155</v>
      </c>
      <c r="AQ50" s="169">
        <v>76.410256410256409</v>
      </c>
      <c r="AR50" s="197">
        <f t="shared" si="30"/>
        <v>5</v>
      </c>
      <c r="AS50" s="432"/>
      <c r="AT50" s="169">
        <v>18</v>
      </c>
      <c r="AU50" s="169">
        <v>1353</v>
      </c>
      <c r="AV50" s="169">
        <v>75.166666666666671</v>
      </c>
      <c r="AW50" s="197">
        <f t="shared" si="31"/>
        <v>5</v>
      </c>
      <c r="AX50" s="432"/>
    </row>
    <row r="51" spans="2:50">
      <c r="B51" s="422"/>
      <c r="C51" s="197">
        <v>5</v>
      </c>
      <c r="D51" s="225" t="s">
        <v>308</v>
      </c>
      <c r="E51" s="169">
        <v>22</v>
      </c>
      <c r="F51" s="197">
        <v>1636</v>
      </c>
      <c r="G51" s="195">
        <v>74.36363636363636</v>
      </c>
      <c r="H51" s="429"/>
      <c r="I51" s="169">
        <f t="shared" si="22"/>
        <v>20</v>
      </c>
      <c r="J51" s="169">
        <f t="shared" si="23"/>
        <v>1390.8496808893219</v>
      </c>
      <c r="K51" s="195">
        <f t="shared" si="24"/>
        <v>69.542484044466093</v>
      </c>
      <c r="L51" s="429"/>
      <c r="M51" s="196" t="e">
        <f>RANK(K51, K$87:$K$101)</f>
        <v>#DIV/0!</v>
      </c>
      <c r="N51" s="423"/>
      <c r="O51" s="423"/>
      <c r="P51" s="169">
        <v>20</v>
      </c>
      <c r="Q51" s="169">
        <v>1407.0731707317068</v>
      </c>
      <c r="R51" s="169">
        <v>70.353658536585343</v>
      </c>
      <c r="S51" s="197">
        <f t="shared" si="25"/>
        <v>8</v>
      </c>
      <c r="T51" s="432"/>
      <c r="U51" s="169">
        <v>20</v>
      </c>
      <c r="V51" s="169">
        <v>1355.0769230769233</v>
      </c>
      <c r="W51" s="169">
        <v>67.753846153846169</v>
      </c>
      <c r="X51" s="197">
        <f t="shared" si="26"/>
        <v>8</v>
      </c>
      <c r="Y51" s="432"/>
      <c r="Z51" s="169">
        <v>20</v>
      </c>
      <c r="AA51" s="169">
        <v>1384.5762711864404</v>
      </c>
      <c r="AB51" s="169">
        <v>69.22881355932202</v>
      </c>
      <c r="AC51" s="197">
        <f t="shared" si="27"/>
        <v>8</v>
      </c>
      <c r="AD51" s="432"/>
      <c r="AE51" s="169">
        <v>20</v>
      </c>
      <c r="AF51" s="169">
        <v>1392.4752475247517</v>
      </c>
      <c r="AG51" s="169">
        <v>69.623762376237579</v>
      </c>
      <c r="AH51" s="197">
        <f t="shared" si="28"/>
        <v>8</v>
      </c>
      <c r="AI51" s="432"/>
      <c r="AJ51" s="169">
        <v>20</v>
      </c>
      <c r="AK51" s="169">
        <v>1378.333333333333</v>
      </c>
      <c r="AL51" s="169">
        <v>68.916666666666657</v>
      </c>
      <c r="AM51" s="197">
        <f t="shared" si="29"/>
        <v>8</v>
      </c>
      <c r="AN51" s="432"/>
      <c r="AO51" s="169">
        <v>20</v>
      </c>
      <c r="AP51" s="169">
        <v>1402.7737226277372</v>
      </c>
      <c r="AQ51" s="169">
        <v>70.138686131386862</v>
      </c>
      <c r="AR51" s="197">
        <f t="shared" si="30"/>
        <v>8</v>
      </c>
      <c r="AS51" s="432"/>
      <c r="AT51" s="169">
        <v>20</v>
      </c>
      <c r="AU51" s="169">
        <v>1415.6390977443609</v>
      </c>
      <c r="AV51" s="169">
        <v>70.781954887218049</v>
      </c>
      <c r="AW51" s="197">
        <f t="shared" si="31"/>
        <v>8</v>
      </c>
      <c r="AX51" s="432"/>
    </row>
    <row r="52" spans="2:50">
      <c r="B52" s="422"/>
      <c r="C52" s="197">
        <v>6</v>
      </c>
      <c r="D52" s="225" t="s">
        <v>309</v>
      </c>
      <c r="E52" s="169">
        <v>18</v>
      </c>
      <c r="F52" s="197">
        <v>1636</v>
      </c>
      <c r="G52" s="195">
        <v>90.888888888888886</v>
      </c>
      <c r="H52" s="429"/>
      <c r="I52" s="169">
        <f t="shared" si="22"/>
        <v>18</v>
      </c>
      <c r="J52" s="169">
        <f t="shared" si="23"/>
        <v>1376.1041029795711</v>
      </c>
      <c r="K52" s="195">
        <f t="shared" si="24"/>
        <v>76.450227943309514</v>
      </c>
      <c r="L52" s="429"/>
      <c r="M52" s="196" t="e">
        <f>RANK(K52, K$87:$K$101)</f>
        <v>#DIV/0!</v>
      </c>
      <c r="N52" s="423"/>
      <c r="O52" s="423"/>
      <c r="P52" s="169">
        <v>18</v>
      </c>
      <c r="Q52" s="169">
        <v>1303.3636363636408</v>
      </c>
      <c r="R52" s="169">
        <v>72.409090909091162</v>
      </c>
      <c r="S52" s="197">
        <f t="shared" si="25"/>
        <v>7</v>
      </c>
      <c r="T52" s="432"/>
      <c r="U52" s="169">
        <v>18</v>
      </c>
      <c r="V52" s="169">
        <v>1375.3398058252424</v>
      </c>
      <c r="W52" s="169">
        <v>76.407766990291236</v>
      </c>
      <c r="X52" s="197">
        <f t="shared" si="26"/>
        <v>4</v>
      </c>
      <c r="Y52" s="432"/>
      <c r="Z52" s="169">
        <v>18</v>
      </c>
      <c r="AA52" s="169">
        <v>1384.4680851063831</v>
      </c>
      <c r="AB52" s="169">
        <v>76.914893617021278</v>
      </c>
      <c r="AC52" s="197">
        <f t="shared" si="27"/>
        <v>5</v>
      </c>
      <c r="AD52" s="432"/>
      <c r="AE52" s="169">
        <v>18</v>
      </c>
      <c r="AF52" s="169">
        <v>1425.1851851851848</v>
      </c>
      <c r="AG52" s="169">
        <v>79.176954732510268</v>
      </c>
      <c r="AH52" s="197">
        <f t="shared" si="28"/>
        <v>2</v>
      </c>
      <c r="AI52" s="432"/>
      <c r="AJ52" s="169">
        <v>18</v>
      </c>
      <c r="AK52" s="169">
        <v>1361.8750000000005</v>
      </c>
      <c r="AL52" s="169">
        <v>75.659722222222243</v>
      </c>
      <c r="AM52" s="197">
        <f t="shared" si="29"/>
        <v>5</v>
      </c>
      <c r="AN52" s="432"/>
      <c r="AO52" s="169">
        <v>18</v>
      </c>
      <c r="AP52" s="169">
        <v>1411.304347826087</v>
      </c>
      <c r="AQ52" s="169">
        <v>78.405797101449281</v>
      </c>
      <c r="AR52" s="197">
        <f t="shared" si="30"/>
        <v>3</v>
      </c>
      <c r="AS52" s="432"/>
      <c r="AT52" s="169">
        <v>18</v>
      </c>
      <c r="AU52" s="169">
        <v>1371.1926605504586</v>
      </c>
      <c r="AV52" s="169">
        <v>76.177370030581031</v>
      </c>
      <c r="AW52" s="197">
        <f t="shared" si="31"/>
        <v>4</v>
      </c>
      <c r="AX52" s="432"/>
    </row>
    <row r="53" spans="2:50">
      <c r="B53" s="422"/>
      <c r="C53" s="197">
        <v>7</v>
      </c>
      <c r="D53" s="225" t="s">
        <v>310</v>
      </c>
      <c r="E53" s="169">
        <v>14</v>
      </c>
      <c r="F53" s="197">
        <v>1500</v>
      </c>
      <c r="G53" s="195">
        <v>107.14285714285714</v>
      </c>
      <c r="H53" s="429"/>
      <c r="I53" s="169">
        <f t="shared" si="22"/>
        <v>8</v>
      </c>
      <c r="J53" s="169">
        <f t="shared" si="23"/>
        <v>1325.0420601499779</v>
      </c>
      <c r="K53" s="195">
        <f t="shared" si="24"/>
        <v>165.63025751874724</v>
      </c>
      <c r="L53" s="429"/>
      <c r="M53" s="196" t="e">
        <f>RANK(K53, K$87:$K$101)</f>
        <v>#DIV/0!</v>
      </c>
      <c r="N53" s="423"/>
      <c r="O53" s="423"/>
      <c r="P53" s="169">
        <v>8</v>
      </c>
      <c r="Q53" s="169">
        <v>1400.6250000000016</v>
      </c>
      <c r="R53" s="169">
        <v>175.0781250000002</v>
      </c>
      <c r="S53" s="197">
        <f t="shared" si="25"/>
        <v>1</v>
      </c>
      <c r="T53" s="432"/>
      <c r="U53" s="169">
        <v>8</v>
      </c>
      <c r="V53" s="169">
        <v>1395.4838709677433</v>
      </c>
      <c r="W53" s="169">
        <v>174.43548387096791</v>
      </c>
      <c r="X53" s="197">
        <f t="shared" si="26"/>
        <v>1</v>
      </c>
      <c r="Y53" s="432"/>
      <c r="Z53" s="169">
        <v>8</v>
      </c>
      <c r="AA53" s="169">
        <v>1360.0000000000007</v>
      </c>
      <c r="AB53" s="169">
        <v>170.00000000000009</v>
      </c>
      <c r="AC53" s="197">
        <f t="shared" si="27"/>
        <v>1</v>
      </c>
      <c r="AD53" s="432"/>
      <c r="AE53" s="169">
        <v>8</v>
      </c>
      <c r="AF53" s="169">
        <v>1144.1379310344837</v>
      </c>
      <c r="AG53" s="169">
        <v>143.01724137931046</v>
      </c>
      <c r="AH53" s="197">
        <f t="shared" si="28"/>
        <v>1</v>
      </c>
      <c r="AI53" s="432"/>
      <c r="AJ53" s="169">
        <v>8</v>
      </c>
      <c r="AK53" s="169">
        <v>1198.0000000000011</v>
      </c>
      <c r="AL53" s="169">
        <v>149.75000000000014</v>
      </c>
      <c r="AM53" s="197">
        <f t="shared" si="29"/>
        <v>1</v>
      </c>
      <c r="AN53" s="432"/>
      <c r="AO53" s="169">
        <v>8</v>
      </c>
      <c r="AP53" s="169">
        <v>1383.3333333333321</v>
      </c>
      <c r="AQ53" s="169">
        <v>172.91666666666652</v>
      </c>
      <c r="AR53" s="197">
        <f t="shared" si="30"/>
        <v>1</v>
      </c>
      <c r="AS53" s="432"/>
      <c r="AT53" s="169">
        <v>8</v>
      </c>
      <c r="AU53" s="169">
        <v>1393.7142857142844</v>
      </c>
      <c r="AV53" s="169">
        <v>174.21428571428555</v>
      </c>
      <c r="AW53" s="197">
        <f t="shared" si="31"/>
        <v>1</v>
      </c>
      <c r="AX53" s="432"/>
    </row>
    <row r="54" spans="2:50">
      <c r="B54" s="422"/>
      <c r="C54" s="197">
        <v>8</v>
      </c>
      <c r="D54" s="326" t="s">
        <v>312</v>
      </c>
      <c r="E54" s="169">
        <v>18</v>
      </c>
      <c r="F54" s="197">
        <v>1636</v>
      </c>
      <c r="G54" s="195">
        <v>90.888888888888886</v>
      </c>
      <c r="H54" s="429"/>
      <c r="I54" s="169">
        <f t="shared" ref="I54" si="32">AVERAGE(P54,U54,Z54,AE54,AJ54,AO54,AT54)</f>
        <v>17.571428571428573</v>
      </c>
      <c r="J54" s="169">
        <f t="shared" ref="J54" si="33">AVERAGE(Q54,V54,AA54,AF54,AK54,AP54,AU54)</f>
        <v>1388.187904093204</v>
      </c>
      <c r="K54" s="327">
        <f t="shared" ref="K54" si="34">AVERAGE(R54,W54,AB54,AG54,AL54,AQ54,AV54)</f>
        <v>79.280229881079876</v>
      </c>
      <c r="L54" s="429"/>
      <c r="M54" s="196" t="e">
        <f>RANK(K54, K$87:$K$101)</f>
        <v>#DIV/0!</v>
      </c>
      <c r="N54" s="423"/>
      <c r="O54" s="423"/>
      <c r="P54" s="169">
        <v>18</v>
      </c>
      <c r="Q54" s="169">
        <v>1371.7815126050421</v>
      </c>
      <c r="R54" s="169">
        <v>76.210084033613441</v>
      </c>
      <c r="S54" s="197">
        <f t="shared" si="25"/>
        <v>3</v>
      </c>
      <c r="T54" s="432"/>
      <c r="U54" s="169">
        <v>18</v>
      </c>
      <c r="V54" s="169">
        <v>1399.44827586207</v>
      </c>
      <c r="W54" s="169">
        <v>77.74712643678167</v>
      </c>
      <c r="X54" s="197">
        <f t="shared" si="26"/>
        <v>3</v>
      </c>
      <c r="Y54" s="432"/>
      <c r="Z54" s="169">
        <v>15</v>
      </c>
      <c r="AA54" s="169">
        <v>1359.9681818181816</v>
      </c>
      <c r="AB54" s="169">
        <v>90.664545454545447</v>
      </c>
      <c r="AC54" s="197">
        <f t="shared" si="27"/>
        <v>2</v>
      </c>
      <c r="AD54" s="432"/>
      <c r="AE54" s="169">
        <v>18</v>
      </c>
      <c r="AF54" s="169">
        <v>1390.4068965517238</v>
      </c>
      <c r="AG54" s="169">
        <v>77.244827586206881</v>
      </c>
      <c r="AH54" s="197">
        <f t="shared" si="28"/>
        <v>4</v>
      </c>
      <c r="AI54" s="432"/>
      <c r="AJ54" s="169">
        <v>18</v>
      </c>
      <c r="AK54" s="169">
        <v>1405.2475247524746</v>
      </c>
      <c r="AL54" s="169">
        <v>78.069306930693031</v>
      </c>
      <c r="AM54" s="197">
        <f t="shared" si="29"/>
        <v>4</v>
      </c>
      <c r="AN54" s="432"/>
      <c r="AO54" s="169">
        <v>18</v>
      </c>
      <c r="AP54" s="169">
        <v>1385.9636363636357</v>
      </c>
      <c r="AQ54" s="169">
        <v>76.997979797979767</v>
      </c>
      <c r="AR54" s="197">
        <f t="shared" si="30"/>
        <v>4</v>
      </c>
      <c r="AS54" s="432"/>
      <c r="AT54" s="169">
        <v>18</v>
      </c>
      <c r="AU54" s="169">
        <v>1404.4993006993009</v>
      </c>
      <c r="AV54" s="169">
        <v>78.027738927738937</v>
      </c>
      <c r="AW54" s="197">
        <f t="shared" si="31"/>
        <v>3</v>
      </c>
      <c r="AX54" s="432"/>
    </row>
    <row r="55" spans="2:50">
      <c r="B55" s="422"/>
      <c r="C55" s="197">
        <v>9</v>
      </c>
      <c r="D55" s="225"/>
      <c r="E55" s="169"/>
      <c r="F55" s="197"/>
      <c r="G55" s="195"/>
      <c r="H55" s="429"/>
      <c r="I55" s="169"/>
      <c r="J55" s="169"/>
      <c r="K55" s="195"/>
      <c r="L55" s="429"/>
      <c r="M55" s="196" t="e">
        <f>RANK(K55, K$87:$K$101)</f>
        <v>#DIV/0!</v>
      </c>
      <c r="N55" s="423"/>
      <c r="O55" s="423"/>
      <c r="P55" s="169"/>
      <c r="Q55" s="169"/>
      <c r="R55" s="169"/>
      <c r="S55" s="197" t="e">
        <f t="shared" si="25"/>
        <v>#N/A</v>
      </c>
      <c r="T55" s="432"/>
      <c r="U55" s="169"/>
      <c r="V55" s="169"/>
      <c r="W55" s="169"/>
      <c r="X55" s="197" t="e">
        <f t="shared" si="26"/>
        <v>#N/A</v>
      </c>
      <c r="Y55" s="432"/>
      <c r="Z55" s="169"/>
      <c r="AA55" s="169"/>
      <c r="AB55" s="169"/>
      <c r="AC55" s="197" t="e">
        <f t="shared" si="27"/>
        <v>#N/A</v>
      </c>
      <c r="AD55" s="432"/>
      <c r="AE55" s="169"/>
      <c r="AF55" s="169"/>
      <c r="AG55" s="169"/>
      <c r="AH55" s="197" t="e">
        <f t="shared" si="28"/>
        <v>#N/A</v>
      </c>
      <c r="AI55" s="432"/>
      <c r="AJ55" s="169"/>
      <c r="AK55" s="169"/>
      <c r="AL55" s="169"/>
      <c r="AM55" s="197" t="e">
        <f t="shared" si="29"/>
        <v>#N/A</v>
      </c>
      <c r="AN55" s="432"/>
      <c r="AO55" s="169"/>
      <c r="AP55" s="169"/>
      <c r="AQ55" s="169"/>
      <c r="AR55" s="197" t="e">
        <f t="shared" si="30"/>
        <v>#N/A</v>
      </c>
      <c r="AS55" s="432"/>
      <c r="AT55" s="169"/>
      <c r="AU55" s="169"/>
      <c r="AV55" s="169"/>
      <c r="AW55" s="197" t="e">
        <f t="shared" si="31"/>
        <v>#N/A</v>
      </c>
      <c r="AX55" s="432"/>
    </row>
    <row r="56" spans="2:50">
      <c r="B56" s="422"/>
      <c r="C56" s="197">
        <v>10</v>
      </c>
      <c r="D56" s="225"/>
      <c r="E56" s="169"/>
      <c r="F56" s="197"/>
      <c r="G56" s="195"/>
      <c r="H56" s="429"/>
      <c r="I56" s="169"/>
      <c r="J56" s="169"/>
      <c r="K56" s="195"/>
      <c r="L56" s="429"/>
      <c r="M56" s="196" t="e">
        <f>RANK(K56, K$87:$K$101)</f>
        <v>#DIV/0!</v>
      </c>
      <c r="N56" s="423"/>
      <c r="O56" s="423"/>
      <c r="P56" s="169"/>
      <c r="Q56" s="169"/>
      <c r="R56" s="169"/>
      <c r="S56" s="197" t="e">
        <f t="shared" si="25"/>
        <v>#N/A</v>
      </c>
      <c r="T56" s="432"/>
      <c r="U56" s="169"/>
      <c r="V56" s="169"/>
      <c r="W56" s="169"/>
      <c r="X56" s="197" t="e">
        <f t="shared" si="26"/>
        <v>#N/A</v>
      </c>
      <c r="Y56" s="432"/>
      <c r="Z56" s="169"/>
      <c r="AA56" s="169"/>
      <c r="AB56" s="169"/>
      <c r="AC56" s="197" t="e">
        <f t="shared" si="27"/>
        <v>#N/A</v>
      </c>
      <c r="AD56" s="432"/>
      <c r="AE56" s="169"/>
      <c r="AF56" s="169"/>
      <c r="AG56" s="169"/>
      <c r="AH56" s="197" t="e">
        <f t="shared" si="28"/>
        <v>#N/A</v>
      </c>
      <c r="AI56" s="432"/>
      <c r="AJ56" s="169"/>
      <c r="AK56" s="169"/>
      <c r="AL56" s="169"/>
      <c r="AM56" s="197" t="e">
        <f t="shared" si="29"/>
        <v>#N/A</v>
      </c>
      <c r="AN56" s="432"/>
      <c r="AO56" s="169"/>
      <c r="AP56" s="169"/>
      <c r="AQ56" s="169"/>
      <c r="AR56" s="197" t="e">
        <f t="shared" si="30"/>
        <v>#N/A</v>
      </c>
      <c r="AS56" s="432"/>
      <c r="AT56" s="169"/>
      <c r="AU56" s="169"/>
      <c r="AV56" s="169"/>
      <c r="AW56" s="197" t="e">
        <f t="shared" si="31"/>
        <v>#N/A</v>
      </c>
      <c r="AX56" s="432"/>
    </row>
    <row r="57" spans="2:50">
      <c r="B57" s="422"/>
      <c r="C57" s="197">
        <v>11</v>
      </c>
      <c r="D57" s="225"/>
      <c r="E57" s="169"/>
      <c r="F57" s="197"/>
      <c r="G57" s="195"/>
      <c r="H57" s="429"/>
      <c r="I57" s="197"/>
      <c r="J57" s="197"/>
      <c r="K57" s="197"/>
      <c r="L57" s="429"/>
      <c r="M57" s="196" t="e">
        <f>RANK(K57, K$87:$K$101)</f>
        <v>#DIV/0!</v>
      </c>
      <c r="N57" s="423"/>
      <c r="O57" s="423"/>
      <c r="P57" s="169"/>
      <c r="Q57" s="169"/>
      <c r="R57" s="169"/>
      <c r="S57" s="197" t="e">
        <f t="shared" si="25"/>
        <v>#N/A</v>
      </c>
      <c r="T57" s="432"/>
      <c r="U57" s="169"/>
      <c r="V57" s="169"/>
      <c r="W57" s="169"/>
      <c r="X57" s="197" t="e">
        <f t="shared" si="26"/>
        <v>#N/A</v>
      </c>
      <c r="Y57" s="432"/>
      <c r="Z57" s="169"/>
      <c r="AA57" s="169"/>
      <c r="AB57" s="169"/>
      <c r="AC57" s="197" t="e">
        <f t="shared" si="27"/>
        <v>#N/A</v>
      </c>
      <c r="AD57" s="432"/>
      <c r="AE57" s="169"/>
      <c r="AF57" s="169"/>
      <c r="AG57" s="169"/>
      <c r="AH57" s="197" t="e">
        <f t="shared" si="28"/>
        <v>#N/A</v>
      </c>
      <c r="AI57" s="432"/>
      <c r="AJ57" s="169"/>
      <c r="AK57" s="169"/>
      <c r="AL57" s="169"/>
      <c r="AM57" s="197" t="e">
        <f t="shared" si="29"/>
        <v>#N/A</v>
      </c>
      <c r="AN57" s="432"/>
      <c r="AO57" s="169"/>
      <c r="AP57" s="169"/>
      <c r="AQ57" s="169"/>
      <c r="AR57" s="197" t="e">
        <f t="shared" si="30"/>
        <v>#N/A</v>
      </c>
      <c r="AS57" s="432"/>
      <c r="AT57" s="169"/>
      <c r="AU57" s="169"/>
      <c r="AV57" s="169"/>
      <c r="AW57" s="197" t="e">
        <f t="shared" si="31"/>
        <v>#N/A</v>
      </c>
      <c r="AX57" s="432"/>
    </row>
    <row r="58" spans="2:50">
      <c r="B58" s="422"/>
      <c r="C58" s="197">
        <v>12</v>
      </c>
      <c r="D58" s="225"/>
      <c r="E58" s="169"/>
      <c r="F58" s="197"/>
      <c r="G58" s="195"/>
      <c r="H58" s="429"/>
      <c r="I58" s="197"/>
      <c r="J58" s="197"/>
      <c r="K58" s="197"/>
      <c r="L58" s="429"/>
      <c r="M58" s="196" t="e">
        <f>RANK(K58, K$87:$K$101)</f>
        <v>#DIV/0!</v>
      </c>
      <c r="N58" s="423"/>
      <c r="O58" s="423"/>
      <c r="P58" s="169"/>
      <c r="Q58" s="169"/>
      <c r="R58" s="169"/>
      <c r="S58" s="197" t="e">
        <f t="shared" si="25"/>
        <v>#N/A</v>
      </c>
      <c r="T58" s="432"/>
      <c r="U58" s="169"/>
      <c r="V58" s="169"/>
      <c r="W58" s="169"/>
      <c r="X58" s="197" t="e">
        <f t="shared" si="26"/>
        <v>#N/A</v>
      </c>
      <c r="Y58" s="432"/>
      <c r="Z58" s="169"/>
      <c r="AA58" s="169"/>
      <c r="AB58" s="169"/>
      <c r="AC58" s="197" t="e">
        <f t="shared" si="27"/>
        <v>#N/A</v>
      </c>
      <c r="AD58" s="432"/>
      <c r="AE58" s="169"/>
      <c r="AF58" s="169"/>
      <c r="AG58" s="169"/>
      <c r="AH58" s="197" t="e">
        <f t="shared" si="28"/>
        <v>#N/A</v>
      </c>
      <c r="AI58" s="432"/>
      <c r="AJ58" s="169"/>
      <c r="AK58" s="169"/>
      <c r="AL58" s="169"/>
      <c r="AM58" s="197" t="e">
        <f t="shared" si="29"/>
        <v>#N/A</v>
      </c>
      <c r="AN58" s="432"/>
      <c r="AO58" s="169"/>
      <c r="AP58" s="169"/>
      <c r="AQ58" s="169"/>
      <c r="AR58" s="197" t="e">
        <f t="shared" si="30"/>
        <v>#N/A</v>
      </c>
      <c r="AS58" s="432"/>
      <c r="AT58" s="169"/>
      <c r="AU58" s="169"/>
      <c r="AV58" s="169"/>
      <c r="AW58" s="197" t="e">
        <f t="shared" si="31"/>
        <v>#N/A</v>
      </c>
      <c r="AX58" s="432"/>
    </row>
    <row r="59" spans="2:50">
      <c r="B59" s="422"/>
      <c r="C59" s="197">
        <v>13</v>
      </c>
      <c r="D59" s="225"/>
      <c r="E59" s="169"/>
      <c r="F59" s="197"/>
      <c r="G59" s="195"/>
      <c r="H59" s="429"/>
      <c r="I59" s="197"/>
      <c r="J59" s="197"/>
      <c r="K59" s="197"/>
      <c r="L59" s="429"/>
      <c r="M59" s="196" t="e">
        <f>RANK(K59, K$87:$K$101)</f>
        <v>#DIV/0!</v>
      </c>
      <c r="N59" s="423"/>
      <c r="O59" s="423"/>
      <c r="P59" s="169"/>
      <c r="Q59" s="169"/>
      <c r="R59" s="169"/>
      <c r="S59" s="197" t="e">
        <f t="shared" si="25"/>
        <v>#N/A</v>
      </c>
      <c r="T59" s="432"/>
      <c r="U59" s="169"/>
      <c r="V59" s="169"/>
      <c r="W59" s="169"/>
      <c r="X59" s="197" t="e">
        <f t="shared" si="26"/>
        <v>#N/A</v>
      </c>
      <c r="Y59" s="432"/>
      <c r="Z59" s="169"/>
      <c r="AA59" s="169"/>
      <c r="AB59" s="169"/>
      <c r="AC59" s="197" t="e">
        <f t="shared" si="27"/>
        <v>#N/A</v>
      </c>
      <c r="AD59" s="432"/>
      <c r="AE59" s="169"/>
      <c r="AF59" s="169"/>
      <c r="AG59" s="169"/>
      <c r="AH59" s="197" t="e">
        <f t="shared" si="28"/>
        <v>#N/A</v>
      </c>
      <c r="AI59" s="432"/>
      <c r="AJ59" s="169"/>
      <c r="AK59" s="169"/>
      <c r="AL59" s="169"/>
      <c r="AM59" s="197" t="e">
        <f t="shared" si="29"/>
        <v>#N/A</v>
      </c>
      <c r="AN59" s="432"/>
      <c r="AO59" s="169"/>
      <c r="AP59" s="169"/>
      <c r="AQ59" s="169"/>
      <c r="AR59" s="197" t="e">
        <f t="shared" si="30"/>
        <v>#N/A</v>
      </c>
      <c r="AS59" s="432"/>
      <c r="AT59" s="169"/>
      <c r="AU59" s="169"/>
      <c r="AV59" s="169"/>
      <c r="AW59" s="197" t="e">
        <f t="shared" si="31"/>
        <v>#N/A</v>
      </c>
      <c r="AX59" s="432"/>
    </row>
    <row r="60" spans="2:50">
      <c r="B60" s="422"/>
      <c r="C60" s="197">
        <v>14</v>
      </c>
      <c r="D60" s="225"/>
      <c r="E60" s="169"/>
      <c r="F60" s="197"/>
      <c r="G60" s="195"/>
      <c r="H60" s="429"/>
      <c r="I60" s="197"/>
      <c r="J60" s="197"/>
      <c r="K60" s="197"/>
      <c r="L60" s="429"/>
      <c r="M60" s="196" t="e">
        <f>RANK(K60, K$87:$K$101)</f>
        <v>#DIV/0!</v>
      </c>
      <c r="N60" s="423"/>
      <c r="O60" s="423"/>
      <c r="P60" s="169"/>
      <c r="Q60" s="169"/>
      <c r="R60" s="169"/>
      <c r="S60" s="197" t="e">
        <f t="shared" si="25"/>
        <v>#N/A</v>
      </c>
      <c r="T60" s="432"/>
      <c r="U60" s="169"/>
      <c r="V60" s="169"/>
      <c r="W60" s="169"/>
      <c r="X60" s="197" t="e">
        <f t="shared" si="26"/>
        <v>#N/A</v>
      </c>
      <c r="Y60" s="432"/>
      <c r="Z60" s="169"/>
      <c r="AA60" s="169"/>
      <c r="AB60" s="169"/>
      <c r="AC60" s="197" t="e">
        <f t="shared" si="27"/>
        <v>#N/A</v>
      </c>
      <c r="AD60" s="432"/>
      <c r="AE60" s="169"/>
      <c r="AF60" s="169"/>
      <c r="AG60" s="169"/>
      <c r="AH60" s="197" t="e">
        <f t="shared" si="28"/>
        <v>#N/A</v>
      </c>
      <c r="AI60" s="432"/>
      <c r="AJ60" s="169"/>
      <c r="AK60" s="169"/>
      <c r="AL60" s="169"/>
      <c r="AM60" s="197" t="e">
        <f t="shared" si="29"/>
        <v>#N/A</v>
      </c>
      <c r="AN60" s="432"/>
      <c r="AO60" s="169"/>
      <c r="AP60" s="169"/>
      <c r="AQ60" s="169"/>
      <c r="AR60" s="197" t="e">
        <f t="shared" si="30"/>
        <v>#N/A</v>
      </c>
      <c r="AS60" s="432"/>
      <c r="AT60" s="169"/>
      <c r="AU60" s="169"/>
      <c r="AV60" s="169"/>
      <c r="AW60" s="197" t="e">
        <f t="shared" si="31"/>
        <v>#N/A</v>
      </c>
      <c r="AX60" s="432"/>
    </row>
    <row r="61" spans="2:50">
      <c r="B61" s="422"/>
      <c r="C61" s="197">
        <v>15</v>
      </c>
      <c r="D61" s="225"/>
      <c r="E61" s="169"/>
      <c r="F61" s="197"/>
      <c r="G61" s="195"/>
      <c r="H61" s="430"/>
      <c r="I61" s="197"/>
      <c r="J61" s="197"/>
      <c r="K61" s="197"/>
      <c r="L61" s="430"/>
      <c r="M61" s="169" t="e">
        <f>RANK(K61, K$87:$K$101)</f>
        <v>#DIV/0!</v>
      </c>
      <c r="N61" s="423"/>
      <c r="O61" s="423"/>
      <c r="P61" s="169"/>
      <c r="Q61" s="169"/>
      <c r="R61" s="169"/>
      <c r="S61" s="197" t="e">
        <f t="shared" si="25"/>
        <v>#N/A</v>
      </c>
      <c r="T61" s="432"/>
      <c r="U61" s="169"/>
      <c r="V61" s="169"/>
      <c r="W61" s="169"/>
      <c r="X61" s="197" t="e">
        <f t="shared" si="26"/>
        <v>#N/A</v>
      </c>
      <c r="Y61" s="432"/>
      <c r="Z61" s="169"/>
      <c r="AA61" s="169"/>
      <c r="AB61" s="169"/>
      <c r="AC61" s="197" t="e">
        <f t="shared" si="27"/>
        <v>#N/A</v>
      </c>
      <c r="AD61" s="432"/>
      <c r="AE61" s="169"/>
      <c r="AF61" s="169"/>
      <c r="AG61" s="169"/>
      <c r="AH61" s="197" t="e">
        <f t="shared" si="28"/>
        <v>#N/A</v>
      </c>
      <c r="AI61" s="432"/>
      <c r="AJ61" s="169"/>
      <c r="AK61" s="169"/>
      <c r="AL61" s="169"/>
      <c r="AM61" s="197" t="e">
        <f t="shared" si="29"/>
        <v>#N/A</v>
      </c>
      <c r="AN61" s="432"/>
      <c r="AO61" s="169"/>
      <c r="AP61" s="169"/>
      <c r="AQ61" s="169"/>
      <c r="AR61" s="197" t="e">
        <f t="shared" si="30"/>
        <v>#N/A</v>
      </c>
      <c r="AS61" s="432"/>
      <c r="AT61" s="169"/>
      <c r="AU61" s="169"/>
      <c r="AV61" s="169"/>
      <c r="AW61" s="197" t="e">
        <f t="shared" si="31"/>
        <v>#N/A</v>
      </c>
      <c r="AX61" s="432"/>
    </row>
    <row r="62" spans="2:50" ht="15.75">
      <c r="B62" s="396" t="s">
        <v>202</v>
      </c>
      <c r="C62" s="427"/>
      <c r="D62" s="427"/>
      <c r="E62" s="427"/>
      <c r="F62" s="427"/>
      <c r="G62" s="427"/>
      <c r="H62" s="427"/>
      <c r="I62" s="201"/>
      <c r="J62" s="201"/>
      <c r="K62" s="201"/>
      <c r="L62" s="201"/>
      <c r="M62" s="200"/>
      <c r="N62" s="401" t="s">
        <v>203</v>
      </c>
      <c r="O62" s="401" t="s">
        <v>150</v>
      </c>
      <c r="P62" s="421">
        <f>P42+7</f>
        <v>45916</v>
      </c>
      <c r="Q62" s="422"/>
      <c r="R62" s="422"/>
      <c r="S62" s="422"/>
      <c r="T62" s="422"/>
      <c r="U62" s="416">
        <f>P62+1</f>
        <v>45917</v>
      </c>
      <c r="V62" s="417"/>
      <c r="W62" s="417"/>
      <c r="X62" s="417"/>
      <c r="Y62" s="418"/>
      <c r="Z62" s="416">
        <f>U62+1</f>
        <v>45918</v>
      </c>
      <c r="AA62" s="417"/>
      <c r="AB62" s="417"/>
      <c r="AC62" s="417"/>
      <c r="AD62" s="418"/>
      <c r="AE62" s="416">
        <f t="shared" ref="AE62" si="35">Z62+1</f>
        <v>45919</v>
      </c>
      <c r="AF62" s="417"/>
      <c r="AG62" s="417"/>
      <c r="AH62" s="417"/>
      <c r="AI62" s="418"/>
      <c r="AJ62" s="416">
        <f t="shared" ref="AJ62" si="36">AE62+1</f>
        <v>45920</v>
      </c>
      <c r="AK62" s="417"/>
      <c r="AL62" s="417"/>
      <c r="AM62" s="417"/>
      <c r="AN62" s="418"/>
      <c r="AO62" s="416">
        <f t="shared" ref="AO62" si="37">AJ62+1</f>
        <v>45921</v>
      </c>
      <c r="AP62" s="417"/>
      <c r="AQ62" s="417"/>
      <c r="AR62" s="417"/>
      <c r="AS62" s="418"/>
      <c r="AT62" s="416">
        <f t="shared" ref="AT62" si="38">AO62+1</f>
        <v>45922</v>
      </c>
      <c r="AU62" s="417"/>
      <c r="AV62" s="417"/>
      <c r="AW62" s="417"/>
      <c r="AX62" s="418"/>
    </row>
    <row r="63" spans="2:50" ht="15.75">
      <c r="B63" s="426"/>
      <c r="C63" s="426"/>
      <c r="D63" s="426"/>
      <c r="E63" s="426"/>
      <c r="F63" s="426"/>
      <c r="G63" s="426"/>
      <c r="H63" s="426"/>
      <c r="I63" s="199"/>
      <c r="J63" s="199"/>
      <c r="K63" s="199"/>
      <c r="L63" s="199"/>
      <c r="M63" s="194"/>
      <c r="N63" s="403"/>
      <c r="O63" s="403"/>
      <c r="P63" s="421" t="s">
        <v>204</v>
      </c>
      <c r="Q63" s="422"/>
      <c r="R63" s="422"/>
      <c r="S63" s="422"/>
      <c r="T63" s="422"/>
      <c r="U63" s="421" t="s">
        <v>205</v>
      </c>
      <c r="V63" s="422"/>
      <c r="W63" s="422"/>
      <c r="X63" s="422"/>
      <c r="Y63" s="422"/>
      <c r="Z63" s="421" t="s">
        <v>206</v>
      </c>
      <c r="AA63" s="422"/>
      <c r="AB63" s="422"/>
      <c r="AC63" s="422"/>
      <c r="AD63" s="422"/>
      <c r="AE63" s="421" t="s">
        <v>207</v>
      </c>
      <c r="AF63" s="422"/>
      <c r="AG63" s="422"/>
      <c r="AH63" s="422"/>
      <c r="AI63" s="422"/>
      <c r="AJ63" s="421" t="s">
        <v>208</v>
      </c>
      <c r="AK63" s="422"/>
      <c r="AL63" s="422"/>
      <c r="AM63" s="422"/>
      <c r="AN63" s="422"/>
      <c r="AO63" s="421" t="s">
        <v>157</v>
      </c>
      <c r="AP63" s="422"/>
      <c r="AQ63" s="422"/>
      <c r="AR63" s="422"/>
      <c r="AS63" s="422"/>
      <c r="AT63" s="421" t="s">
        <v>209</v>
      </c>
      <c r="AU63" s="422"/>
      <c r="AV63" s="422"/>
      <c r="AW63" s="422"/>
      <c r="AX63" s="422"/>
    </row>
    <row r="64" spans="2:50">
      <c r="B64" s="423" t="s">
        <v>210</v>
      </c>
      <c r="C64" s="423" t="s">
        <v>211</v>
      </c>
      <c r="D64" s="423"/>
      <c r="E64" s="423" t="s">
        <v>212</v>
      </c>
      <c r="F64" s="423"/>
      <c r="G64" s="423"/>
      <c r="H64" s="404" t="s">
        <v>213</v>
      </c>
      <c r="I64" s="423" t="s">
        <v>214</v>
      </c>
      <c r="J64" s="423"/>
      <c r="K64" s="423"/>
      <c r="L64" s="404" t="s">
        <v>213</v>
      </c>
      <c r="M64" s="401" t="s">
        <v>215</v>
      </c>
      <c r="N64" s="423"/>
      <c r="O64" s="423" t="s">
        <v>216</v>
      </c>
      <c r="P64" s="413" t="s">
        <v>217</v>
      </c>
      <c r="Q64" s="414"/>
      <c r="R64" s="414"/>
      <c r="S64" s="415"/>
      <c r="T64" s="423" t="s">
        <v>213</v>
      </c>
      <c r="U64" s="413" t="s">
        <v>217</v>
      </c>
      <c r="V64" s="414"/>
      <c r="W64" s="414"/>
      <c r="X64" s="415"/>
      <c r="Y64" s="423" t="s">
        <v>213</v>
      </c>
      <c r="Z64" s="413" t="s">
        <v>217</v>
      </c>
      <c r="AA64" s="414"/>
      <c r="AB64" s="414"/>
      <c r="AC64" s="415"/>
      <c r="AD64" s="423" t="s">
        <v>213</v>
      </c>
      <c r="AE64" s="413" t="s">
        <v>217</v>
      </c>
      <c r="AF64" s="414"/>
      <c r="AG64" s="414"/>
      <c r="AH64" s="415"/>
      <c r="AI64" s="423" t="s">
        <v>213</v>
      </c>
      <c r="AJ64" s="413" t="s">
        <v>217</v>
      </c>
      <c r="AK64" s="414"/>
      <c r="AL64" s="414"/>
      <c r="AM64" s="415"/>
      <c r="AN64" s="423" t="s">
        <v>213</v>
      </c>
      <c r="AO64" s="413" t="s">
        <v>217</v>
      </c>
      <c r="AP64" s="414"/>
      <c r="AQ64" s="414"/>
      <c r="AR64" s="415"/>
      <c r="AS64" s="423" t="s">
        <v>213</v>
      </c>
      <c r="AT64" s="413" t="s">
        <v>217</v>
      </c>
      <c r="AU64" s="414"/>
      <c r="AV64" s="414"/>
      <c r="AW64" s="415"/>
      <c r="AX64" s="423" t="s">
        <v>213</v>
      </c>
    </row>
    <row r="65" spans="2:50">
      <c r="B65" s="423"/>
      <c r="C65" s="423"/>
      <c r="D65" s="423"/>
      <c r="E65" s="423" t="s">
        <v>218</v>
      </c>
      <c r="F65" s="423"/>
      <c r="G65" s="423"/>
      <c r="H65" s="406"/>
      <c r="I65" s="423" t="s">
        <v>218</v>
      </c>
      <c r="J65" s="423"/>
      <c r="K65" s="423"/>
      <c r="L65" s="406"/>
      <c r="M65" s="402"/>
      <c r="N65" s="423"/>
      <c r="O65" s="423"/>
      <c r="P65" s="413" t="s">
        <v>219</v>
      </c>
      <c r="Q65" s="414"/>
      <c r="R65" s="414"/>
      <c r="S65" s="415"/>
      <c r="T65" s="423"/>
      <c r="U65" s="413" t="s">
        <v>219</v>
      </c>
      <c r="V65" s="414"/>
      <c r="W65" s="414"/>
      <c r="X65" s="415"/>
      <c r="Y65" s="423"/>
      <c r="Z65" s="413" t="s">
        <v>219</v>
      </c>
      <c r="AA65" s="414"/>
      <c r="AB65" s="414"/>
      <c r="AC65" s="415"/>
      <c r="AD65" s="423"/>
      <c r="AE65" s="413" t="s">
        <v>219</v>
      </c>
      <c r="AF65" s="414"/>
      <c r="AG65" s="414"/>
      <c r="AH65" s="415"/>
      <c r="AI65" s="423"/>
      <c r="AJ65" s="413" t="s">
        <v>219</v>
      </c>
      <c r="AK65" s="414"/>
      <c r="AL65" s="414"/>
      <c r="AM65" s="415"/>
      <c r="AN65" s="423"/>
      <c r="AO65" s="413" t="s">
        <v>219</v>
      </c>
      <c r="AP65" s="414"/>
      <c r="AQ65" s="414"/>
      <c r="AR65" s="415"/>
      <c r="AS65" s="423"/>
      <c r="AT65" s="413" t="s">
        <v>219</v>
      </c>
      <c r="AU65" s="414"/>
      <c r="AV65" s="414"/>
      <c r="AW65" s="415"/>
      <c r="AX65" s="423"/>
    </row>
    <row r="66" spans="2:50">
      <c r="B66" s="423"/>
      <c r="C66" s="423"/>
      <c r="D66" s="423"/>
      <c r="E66" s="297" t="s">
        <v>220</v>
      </c>
      <c r="F66" s="297" t="s">
        <v>221</v>
      </c>
      <c r="G66" s="297" t="s">
        <v>222</v>
      </c>
      <c r="H66" s="408"/>
      <c r="I66" s="297" t="s">
        <v>220</v>
      </c>
      <c r="J66" s="297" t="s">
        <v>221</v>
      </c>
      <c r="K66" s="297" t="s">
        <v>222</v>
      </c>
      <c r="L66" s="408"/>
      <c r="M66" s="403"/>
      <c r="N66" s="423"/>
      <c r="O66" s="423"/>
      <c r="P66" s="297" t="s">
        <v>220</v>
      </c>
      <c r="Q66" s="297" t="s">
        <v>221</v>
      </c>
      <c r="R66" s="297" t="s">
        <v>222</v>
      </c>
      <c r="S66" s="297" t="s">
        <v>215</v>
      </c>
      <c r="T66" s="423"/>
      <c r="U66" s="297" t="s">
        <v>220</v>
      </c>
      <c r="V66" s="297" t="s">
        <v>221</v>
      </c>
      <c r="W66" s="297" t="s">
        <v>222</v>
      </c>
      <c r="X66" s="297" t="s">
        <v>215</v>
      </c>
      <c r="Y66" s="423"/>
      <c r="Z66" s="297" t="s">
        <v>220</v>
      </c>
      <c r="AA66" s="297" t="s">
        <v>221</v>
      </c>
      <c r="AB66" s="297" t="s">
        <v>222</v>
      </c>
      <c r="AC66" s="297" t="s">
        <v>215</v>
      </c>
      <c r="AD66" s="423"/>
      <c r="AE66" s="297" t="s">
        <v>220</v>
      </c>
      <c r="AF66" s="297" t="s">
        <v>221</v>
      </c>
      <c r="AG66" s="297" t="s">
        <v>222</v>
      </c>
      <c r="AH66" s="297" t="s">
        <v>215</v>
      </c>
      <c r="AI66" s="423"/>
      <c r="AJ66" s="297" t="s">
        <v>220</v>
      </c>
      <c r="AK66" s="297" t="s">
        <v>221</v>
      </c>
      <c r="AL66" s="297" t="s">
        <v>222</v>
      </c>
      <c r="AM66" s="297" t="s">
        <v>215</v>
      </c>
      <c r="AN66" s="423"/>
      <c r="AO66" s="297" t="s">
        <v>220</v>
      </c>
      <c r="AP66" s="297" t="s">
        <v>221</v>
      </c>
      <c r="AQ66" s="297" t="s">
        <v>222</v>
      </c>
      <c r="AR66" s="297" t="s">
        <v>215</v>
      </c>
      <c r="AS66" s="423"/>
      <c r="AT66" s="297" t="s">
        <v>220</v>
      </c>
      <c r="AU66" s="297" t="s">
        <v>221</v>
      </c>
      <c r="AV66" s="297" t="s">
        <v>222</v>
      </c>
      <c r="AW66" s="297" t="s">
        <v>215</v>
      </c>
      <c r="AX66" s="423"/>
    </row>
    <row r="67" spans="2:50">
      <c r="B67" s="423" t="s">
        <v>303</v>
      </c>
      <c r="C67" s="197">
        <v>1</v>
      </c>
      <c r="D67" s="225"/>
      <c r="E67" s="169"/>
      <c r="F67" s="197"/>
      <c r="G67" s="195"/>
      <c r="H67" s="428" t="e">
        <f>AVERAGE(G67:G81)</f>
        <v>#DIV/0!</v>
      </c>
      <c r="I67" s="169" t="e">
        <f>AVERAGE(P67,U67,Z67,AE67,AJ67,AO67,AT67)</f>
        <v>#DIV/0!</v>
      </c>
      <c r="J67" s="169" t="e">
        <f>AVERAGE(Q67,V67,AA67,AF67,AK67,AP67,AU67)</f>
        <v>#DIV/0!</v>
      </c>
      <c r="K67" s="195" t="e">
        <f>AVERAGE(R67,W67,AB67,AG67,AL67,AQ67,AV67)</f>
        <v>#DIV/0!</v>
      </c>
      <c r="L67" s="428" t="str">
        <f>IFERROR(AVERAGE(K67:K81),"-")</f>
        <v>-</v>
      </c>
      <c r="M67" s="196" t="e">
        <f>RANK(K67, K$87:$K$101)</f>
        <v>#DIV/0!</v>
      </c>
      <c r="N67" s="423"/>
      <c r="O67" s="423"/>
      <c r="P67" s="169"/>
      <c r="Q67" s="169"/>
      <c r="R67" s="169"/>
      <c r="S67" s="197" t="e">
        <f>RANK(R67, R$87:R$101)</f>
        <v>#N/A</v>
      </c>
      <c r="T67" s="432" t="e">
        <f>AVERAGE(R67:R81)</f>
        <v>#DIV/0!</v>
      </c>
      <c r="U67" s="169"/>
      <c r="V67" s="169"/>
      <c r="W67" s="169"/>
      <c r="X67" s="197" t="e">
        <f>RANK(W67, W$87:W$101)</f>
        <v>#N/A</v>
      </c>
      <c r="Y67" s="432" t="e">
        <f>AVERAGE(W67:W81)</f>
        <v>#DIV/0!</v>
      </c>
      <c r="Z67" s="169"/>
      <c r="AA67" s="169"/>
      <c r="AB67" s="169"/>
      <c r="AC67" s="197" t="e">
        <f>RANK(AB67, AB$87:AB$101)</f>
        <v>#N/A</v>
      </c>
      <c r="AD67" s="432" t="e">
        <f>AVERAGE(AB67:AB81)</f>
        <v>#DIV/0!</v>
      </c>
      <c r="AE67" s="169"/>
      <c r="AF67" s="169"/>
      <c r="AG67" s="169"/>
      <c r="AH67" s="197" t="e">
        <f>RANK(AG67, AG$87:AG$101)</f>
        <v>#N/A</v>
      </c>
      <c r="AI67" s="432" t="e">
        <f>AVERAGE(AG67:AG81)</f>
        <v>#DIV/0!</v>
      </c>
      <c r="AJ67" s="169"/>
      <c r="AK67" s="169"/>
      <c r="AL67" s="169"/>
      <c r="AM67" s="197" t="e">
        <f>RANK(AL67, AL$87:AL$101)</f>
        <v>#N/A</v>
      </c>
      <c r="AN67" s="432" t="e">
        <f>AVERAGE(AL67:AL81)</f>
        <v>#DIV/0!</v>
      </c>
      <c r="AO67" s="169"/>
      <c r="AP67" s="169"/>
      <c r="AQ67" s="169"/>
      <c r="AR67" s="197" t="e">
        <f>RANK(AQ67, AQ$87:AQ$101)</f>
        <v>#N/A</v>
      </c>
      <c r="AS67" s="432" t="e">
        <f>AVERAGE(AQ67:AQ81)</f>
        <v>#DIV/0!</v>
      </c>
      <c r="AT67" s="169"/>
      <c r="AU67" s="169"/>
      <c r="AV67" s="169"/>
      <c r="AW67" s="197" t="e">
        <f>RANK(AV67, AV$87:AV$101)</f>
        <v>#N/A</v>
      </c>
      <c r="AX67" s="432" t="e">
        <f>AVERAGE(AV67:AV81)</f>
        <v>#DIV/0!</v>
      </c>
    </row>
    <row r="68" spans="2:50">
      <c r="B68" s="422"/>
      <c r="C68" s="197">
        <v>2</v>
      </c>
      <c r="D68" s="225"/>
      <c r="E68" s="169"/>
      <c r="F68" s="197"/>
      <c r="G68" s="195"/>
      <c r="H68" s="429"/>
      <c r="I68" s="169" t="e">
        <f t="shared" ref="I68:I73" si="39">AVERAGE(P68,U68,Z68,AE68,AJ68,AO68,AT68)</f>
        <v>#DIV/0!</v>
      </c>
      <c r="J68" s="169" t="e">
        <f t="shared" ref="J68:J73" si="40">AVERAGE(Q68,V68,AA68,AF68,AK68,AP68,AU68)</f>
        <v>#DIV/0!</v>
      </c>
      <c r="K68" s="195" t="e">
        <f t="shared" ref="K68:K73" si="41">AVERAGE(R68,W68,AB68,AG68,AL68,AQ68,AV68)</f>
        <v>#DIV/0!</v>
      </c>
      <c r="L68" s="429"/>
      <c r="M68" s="196" t="e">
        <f>RANK(K68, K$87:$K$101)</f>
        <v>#DIV/0!</v>
      </c>
      <c r="N68" s="423"/>
      <c r="O68" s="423"/>
      <c r="P68" s="169"/>
      <c r="Q68" s="169"/>
      <c r="R68" s="169"/>
      <c r="S68" s="197" t="e">
        <f t="shared" ref="S68:S81" si="42">RANK(R68, R$87:R$101)</f>
        <v>#N/A</v>
      </c>
      <c r="T68" s="432"/>
      <c r="U68" s="169"/>
      <c r="V68" s="169"/>
      <c r="W68" s="169"/>
      <c r="X68" s="197" t="e">
        <f t="shared" ref="X68:X81" si="43">RANK(W68, W$87:W$101)</f>
        <v>#N/A</v>
      </c>
      <c r="Y68" s="432"/>
      <c r="Z68" s="169"/>
      <c r="AA68" s="169"/>
      <c r="AB68" s="169"/>
      <c r="AC68" s="197" t="e">
        <f t="shared" ref="AC68:AC81" si="44">RANK(AB68, AB$87:AB$101)</f>
        <v>#N/A</v>
      </c>
      <c r="AD68" s="432"/>
      <c r="AE68" s="169"/>
      <c r="AF68" s="169"/>
      <c r="AG68" s="169"/>
      <c r="AH68" s="197" t="e">
        <f t="shared" ref="AH68:AH81" si="45">RANK(AG68, AG$87:AG$101)</f>
        <v>#N/A</v>
      </c>
      <c r="AI68" s="432"/>
      <c r="AJ68" s="169"/>
      <c r="AK68" s="169"/>
      <c r="AL68" s="169"/>
      <c r="AM68" s="197" t="e">
        <f t="shared" ref="AM68:AM81" si="46">RANK(AL68, AL$87:AL$101)</f>
        <v>#N/A</v>
      </c>
      <c r="AN68" s="432"/>
      <c r="AO68" s="169"/>
      <c r="AP68" s="169"/>
      <c r="AQ68" s="169"/>
      <c r="AR68" s="197" t="e">
        <f t="shared" ref="AR68:AR81" si="47">RANK(AQ68, AQ$87:AQ$101)</f>
        <v>#N/A</v>
      </c>
      <c r="AS68" s="432"/>
      <c r="AT68" s="169"/>
      <c r="AU68" s="169"/>
      <c r="AV68" s="169"/>
      <c r="AW68" s="197" t="e">
        <f t="shared" ref="AW68:AW81" si="48">RANK(AV68, AV$87:AV$101)</f>
        <v>#N/A</v>
      </c>
      <c r="AX68" s="432"/>
    </row>
    <row r="69" spans="2:50">
      <c r="B69" s="422"/>
      <c r="C69" s="197">
        <v>3</v>
      </c>
      <c r="D69" s="225"/>
      <c r="E69" s="169"/>
      <c r="F69" s="197"/>
      <c r="G69" s="195"/>
      <c r="H69" s="429"/>
      <c r="I69" s="169" t="e">
        <f t="shared" si="39"/>
        <v>#DIV/0!</v>
      </c>
      <c r="J69" s="169" t="e">
        <f t="shared" si="40"/>
        <v>#DIV/0!</v>
      </c>
      <c r="K69" s="195" t="e">
        <f t="shared" si="41"/>
        <v>#DIV/0!</v>
      </c>
      <c r="L69" s="429"/>
      <c r="M69" s="196" t="e">
        <f>RANK(K69, K$87:$K$101)</f>
        <v>#DIV/0!</v>
      </c>
      <c r="N69" s="423"/>
      <c r="O69" s="423"/>
      <c r="P69" s="169"/>
      <c r="Q69" s="169"/>
      <c r="R69" s="169"/>
      <c r="S69" s="197" t="e">
        <f t="shared" si="42"/>
        <v>#N/A</v>
      </c>
      <c r="T69" s="432"/>
      <c r="U69" s="169"/>
      <c r="V69" s="169"/>
      <c r="W69" s="169"/>
      <c r="X69" s="197" t="e">
        <f t="shared" si="43"/>
        <v>#N/A</v>
      </c>
      <c r="Y69" s="432"/>
      <c r="Z69" s="169"/>
      <c r="AA69" s="169"/>
      <c r="AB69" s="169"/>
      <c r="AC69" s="197" t="e">
        <f t="shared" si="44"/>
        <v>#N/A</v>
      </c>
      <c r="AD69" s="432"/>
      <c r="AE69" s="169"/>
      <c r="AF69" s="169"/>
      <c r="AG69" s="169"/>
      <c r="AH69" s="197" t="e">
        <f t="shared" si="45"/>
        <v>#N/A</v>
      </c>
      <c r="AI69" s="432"/>
      <c r="AJ69" s="169"/>
      <c r="AK69" s="169"/>
      <c r="AL69" s="169"/>
      <c r="AM69" s="197" t="e">
        <f t="shared" si="46"/>
        <v>#N/A</v>
      </c>
      <c r="AN69" s="432"/>
      <c r="AO69" s="169"/>
      <c r="AP69" s="169"/>
      <c r="AQ69" s="169"/>
      <c r="AR69" s="197" t="e">
        <f t="shared" si="47"/>
        <v>#N/A</v>
      </c>
      <c r="AS69" s="432"/>
      <c r="AT69" s="169"/>
      <c r="AU69" s="169"/>
      <c r="AV69" s="169"/>
      <c r="AW69" s="197" t="e">
        <f t="shared" si="48"/>
        <v>#N/A</v>
      </c>
      <c r="AX69" s="432"/>
    </row>
    <row r="70" spans="2:50">
      <c r="B70" s="422"/>
      <c r="C70" s="197">
        <v>4</v>
      </c>
      <c r="D70" s="225"/>
      <c r="E70" s="169"/>
      <c r="F70" s="197"/>
      <c r="G70" s="195"/>
      <c r="H70" s="429"/>
      <c r="I70" s="169" t="e">
        <f t="shared" si="39"/>
        <v>#DIV/0!</v>
      </c>
      <c r="J70" s="169" t="e">
        <f t="shared" si="40"/>
        <v>#DIV/0!</v>
      </c>
      <c r="K70" s="195" t="e">
        <f t="shared" si="41"/>
        <v>#DIV/0!</v>
      </c>
      <c r="L70" s="429"/>
      <c r="M70" s="196" t="e">
        <f>RANK(K70, K$87:$K$101)</f>
        <v>#DIV/0!</v>
      </c>
      <c r="N70" s="423"/>
      <c r="O70" s="423"/>
      <c r="P70" s="169"/>
      <c r="Q70" s="169"/>
      <c r="R70" s="169"/>
      <c r="S70" s="197" t="e">
        <f t="shared" si="42"/>
        <v>#N/A</v>
      </c>
      <c r="T70" s="432"/>
      <c r="U70" s="169"/>
      <c r="V70" s="169"/>
      <c r="W70" s="169"/>
      <c r="X70" s="197" t="e">
        <f t="shared" si="43"/>
        <v>#N/A</v>
      </c>
      <c r="Y70" s="432"/>
      <c r="Z70" s="169"/>
      <c r="AA70" s="169"/>
      <c r="AB70" s="169"/>
      <c r="AC70" s="197" t="e">
        <f t="shared" si="44"/>
        <v>#N/A</v>
      </c>
      <c r="AD70" s="432"/>
      <c r="AE70" s="169"/>
      <c r="AF70" s="169"/>
      <c r="AG70" s="169"/>
      <c r="AH70" s="197" t="e">
        <f t="shared" si="45"/>
        <v>#N/A</v>
      </c>
      <c r="AI70" s="432"/>
      <c r="AJ70" s="169"/>
      <c r="AK70" s="169"/>
      <c r="AL70" s="169"/>
      <c r="AM70" s="197" t="e">
        <f t="shared" si="46"/>
        <v>#N/A</v>
      </c>
      <c r="AN70" s="432"/>
      <c r="AO70" s="169"/>
      <c r="AP70" s="169"/>
      <c r="AQ70" s="169"/>
      <c r="AR70" s="197" t="e">
        <f t="shared" si="47"/>
        <v>#N/A</v>
      </c>
      <c r="AS70" s="432"/>
      <c r="AT70" s="169"/>
      <c r="AU70" s="169"/>
      <c r="AV70" s="169"/>
      <c r="AW70" s="197" t="e">
        <f t="shared" si="48"/>
        <v>#N/A</v>
      </c>
      <c r="AX70" s="432"/>
    </row>
    <row r="71" spans="2:50">
      <c r="B71" s="422"/>
      <c r="C71" s="197">
        <v>5</v>
      </c>
      <c r="D71" s="225"/>
      <c r="E71" s="169"/>
      <c r="F71" s="197"/>
      <c r="G71" s="195"/>
      <c r="H71" s="429"/>
      <c r="I71" s="169" t="e">
        <f t="shared" si="39"/>
        <v>#DIV/0!</v>
      </c>
      <c r="J71" s="169" t="e">
        <f t="shared" si="40"/>
        <v>#DIV/0!</v>
      </c>
      <c r="K71" s="195" t="e">
        <f t="shared" si="41"/>
        <v>#DIV/0!</v>
      </c>
      <c r="L71" s="429"/>
      <c r="M71" s="196" t="e">
        <f>RANK(K71, K$87:$K$101)</f>
        <v>#DIV/0!</v>
      </c>
      <c r="N71" s="423"/>
      <c r="O71" s="423"/>
      <c r="P71" s="169"/>
      <c r="Q71" s="169"/>
      <c r="R71" s="169"/>
      <c r="S71" s="197" t="e">
        <f t="shared" si="42"/>
        <v>#N/A</v>
      </c>
      <c r="T71" s="432"/>
      <c r="U71" s="169"/>
      <c r="V71" s="169"/>
      <c r="W71" s="169"/>
      <c r="X71" s="197" t="e">
        <f t="shared" si="43"/>
        <v>#N/A</v>
      </c>
      <c r="Y71" s="432"/>
      <c r="Z71" s="169"/>
      <c r="AA71" s="169"/>
      <c r="AB71" s="169"/>
      <c r="AC71" s="197" t="e">
        <f t="shared" si="44"/>
        <v>#N/A</v>
      </c>
      <c r="AD71" s="432"/>
      <c r="AE71" s="169"/>
      <c r="AF71" s="169"/>
      <c r="AG71" s="169"/>
      <c r="AH71" s="197" t="e">
        <f t="shared" si="45"/>
        <v>#N/A</v>
      </c>
      <c r="AI71" s="432"/>
      <c r="AJ71" s="169"/>
      <c r="AK71" s="169"/>
      <c r="AL71" s="169"/>
      <c r="AM71" s="197" t="e">
        <f t="shared" si="46"/>
        <v>#N/A</v>
      </c>
      <c r="AN71" s="432"/>
      <c r="AO71" s="169"/>
      <c r="AP71" s="169"/>
      <c r="AQ71" s="169"/>
      <c r="AR71" s="197" t="e">
        <f t="shared" si="47"/>
        <v>#N/A</v>
      </c>
      <c r="AS71" s="432"/>
      <c r="AT71" s="169"/>
      <c r="AU71" s="169"/>
      <c r="AV71" s="169"/>
      <c r="AW71" s="197" t="e">
        <f t="shared" si="48"/>
        <v>#N/A</v>
      </c>
      <c r="AX71" s="432"/>
    </row>
    <row r="72" spans="2:50">
      <c r="B72" s="422"/>
      <c r="C72" s="197">
        <v>6</v>
      </c>
      <c r="D72" s="225"/>
      <c r="E72" s="169"/>
      <c r="F72" s="197"/>
      <c r="G72" s="195"/>
      <c r="H72" s="429"/>
      <c r="I72" s="169" t="e">
        <f t="shared" si="39"/>
        <v>#DIV/0!</v>
      </c>
      <c r="J72" s="169" t="e">
        <f t="shared" si="40"/>
        <v>#DIV/0!</v>
      </c>
      <c r="K72" s="195" t="e">
        <f t="shared" si="41"/>
        <v>#DIV/0!</v>
      </c>
      <c r="L72" s="429"/>
      <c r="M72" s="196" t="e">
        <f>RANK(K72, K$87:$K$101)</f>
        <v>#DIV/0!</v>
      </c>
      <c r="N72" s="423"/>
      <c r="O72" s="423"/>
      <c r="P72" s="169"/>
      <c r="Q72" s="169"/>
      <c r="R72" s="169"/>
      <c r="S72" s="197" t="e">
        <f t="shared" si="42"/>
        <v>#N/A</v>
      </c>
      <c r="T72" s="432"/>
      <c r="U72" s="169"/>
      <c r="V72" s="169"/>
      <c r="W72" s="169"/>
      <c r="X72" s="197" t="e">
        <f t="shared" si="43"/>
        <v>#N/A</v>
      </c>
      <c r="Y72" s="432"/>
      <c r="Z72" s="169"/>
      <c r="AA72" s="169"/>
      <c r="AB72" s="169"/>
      <c r="AC72" s="197" t="e">
        <f t="shared" si="44"/>
        <v>#N/A</v>
      </c>
      <c r="AD72" s="432"/>
      <c r="AE72" s="169"/>
      <c r="AF72" s="169"/>
      <c r="AG72" s="169"/>
      <c r="AH72" s="197" t="e">
        <f t="shared" si="45"/>
        <v>#N/A</v>
      </c>
      <c r="AI72" s="432"/>
      <c r="AJ72" s="169"/>
      <c r="AK72" s="169"/>
      <c r="AL72" s="169"/>
      <c r="AM72" s="197" t="e">
        <f t="shared" si="46"/>
        <v>#N/A</v>
      </c>
      <c r="AN72" s="432"/>
      <c r="AO72" s="169"/>
      <c r="AP72" s="169"/>
      <c r="AQ72" s="169"/>
      <c r="AR72" s="197" t="e">
        <f t="shared" si="47"/>
        <v>#N/A</v>
      </c>
      <c r="AS72" s="432"/>
      <c r="AT72" s="169"/>
      <c r="AU72" s="169"/>
      <c r="AV72" s="169"/>
      <c r="AW72" s="197" t="e">
        <f t="shared" si="48"/>
        <v>#N/A</v>
      </c>
      <c r="AX72" s="432"/>
    </row>
    <row r="73" spans="2:50">
      <c r="B73" s="422"/>
      <c r="C73" s="197">
        <v>7</v>
      </c>
      <c r="D73" s="225"/>
      <c r="E73" s="169"/>
      <c r="F73" s="197"/>
      <c r="G73" s="195"/>
      <c r="H73" s="429"/>
      <c r="I73" s="169" t="e">
        <f t="shared" si="39"/>
        <v>#DIV/0!</v>
      </c>
      <c r="J73" s="169" t="e">
        <f t="shared" si="40"/>
        <v>#DIV/0!</v>
      </c>
      <c r="K73" s="195" t="e">
        <f t="shared" si="41"/>
        <v>#DIV/0!</v>
      </c>
      <c r="L73" s="429"/>
      <c r="M73" s="196" t="e">
        <f>RANK(K73, K$87:$K$101)</f>
        <v>#DIV/0!</v>
      </c>
      <c r="N73" s="423"/>
      <c r="O73" s="423"/>
      <c r="P73" s="169"/>
      <c r="Q73" s="169"/>
      <c r="R73" s="169"/>
      <c r="S73" s="197" t="e">
        <f t="shared" si="42"/>
        <v>#N/A</v>
      </c>
      <c r="T73" s="432"/>
      <c r="U73" s="169"/>
      <c r="V73" s="169"/>
      <c r="W73" s="169"/>
      <c r="X73" s="197" t="e">
        <f t="shared" si="43"/>
        <v>#N/A</v>
      </c>
      <c r="Y73" s="432"/>
      <c r="Z73" s="169"/>
      <c r="AA73" s="169"/>
      <c r="AB73" s="169"/>
      <c r="AC73" s="197" t="e">
        <f t="shared" si="44"/>
        <v>#N/A</v>
      </c>
      <c r="AD73" s="432"/>
      <c r="AE73" s="169"/>
      <c r="AF73" s="169"/>
      <c r="AG73" s="169"/>
      <c r="AH73" s="197" t="e">
        <f t="shared" si="45"/>
        <v>#N/A</v>
      </c>
      <c r="AI73" s="432"/>
      <c r="AJ73" s="169"/>
      <c r="AK73" s="169"/>
      <c r="AL73" s="169"/>
      <c r="AM73" s="197" t="e">
        <f t="shared" si="46"/>
        <v>#N/A</v>
      </c>
      <c r="AN73" s="432"/>
      <c r="AO73" s="169"/>
      <c r="AP73" s="169"/>
      <c r="AQ73" s="169"/>
      <c r="AR73" s="197" t="e">
        <f t="shared" si="47"/>
        <v>#N/A</v>
      </c>
      <c r="AS73" s="432"/>
      <c r="AT73" s="169"/>
      <c r="AU73" s="169"/>
      <c r="AV73" s="169"/>
      <c r="AW73" s="197" t="e">
        <f t="shared" si="48"/>
        <v>#N/A</v>
      </c>
      <c r="AX73" s="432"/>
    </row>
    <row r="74" spans="2:50">
      <c r="B74" s="422"/>
      <c r="C74" s="197">
        <v>8</v>
      </c>
      <c r="D74" s="225"/>
      <c r="E74" s="169"/>
      <c r="F74" s="197"/>
      <c r="G74" s="195"/>
      <c r="H74" s="429"/>
      <c r="I74" s="169"/>
      <c r="J74" s="169"/>
      <c r="K74" s="195"/>
      <c r="L74" s="429"/>
      <c r="M74" s="196" t="e">
        <f>RANK(K74, K$87:$K$101)</f>
        <v>#DIV/0!</v>
      </c>
      <c r="N74" s="423"/>
      <c r="O74" s="423"/>
      <c r="P74" s="169"/>
      <c r="Q74" s="169"/>
      <c r="R74" s="169"/>
      <c r="S74" s="197" t="e">
        <f t="shared" si="42"/>
        <v>#N/A</v>
      </c>
      <c r="T74" s="432"/>
      <c r="U74" s="169"/>
      <c r="V74" s="169"/>
      <c r="W74" s="169"/>
      <c r="X74" s="197" t="e">
        <f t="shared" si="43"/>
        <v>#N/A</v>
      </c>
      <c r="Y74" s="432"/>
      <c r="Z74" s="169"/>
      <c r="AA74" s="169"/>
      <c r="AB74" s="169"/>
      <c r="AC74" s="197" t="e">
        <f t="shared" si="44"/>
        <v>#N/A</v>
      </c>
      <c r="AD74" s="432"/>
      <c r="AE74" s="169"/>
      <c r="AF74" s="169"/>
      <c r="AG74" s="169"/>
      <c r="AH74" s="197" t="e">
        <f t="shared" si="45"/>
        <v>#N/A</v>
      </c>
      <c r="AI74" s="432"/>
      <c r="AJ74" s="169"/>
      <c r="AK74" s="169"/>
      <c r="AL74" s="169"/>
      <c r="AM74" s="197" t="e">
        <f t="shared" si="46"/>
        <v>#N/A</v>
      </c>
      <c r="AN74" s="432"/>
      <c r="AO74" s="169"/>
      <c r="AP74" s="169"/>
      <c r="AQ74" s="169"/>
      <c r="AR74" s="197" t="e">
        <f t="shared" si="47"/>
        <v>#N/A</v>
      </c>
      <c r="AS74" s="432"/>
      <c r="AT74" s="169"/>
      <c r="AU74" s="169"/>
      <c r="AV74" s="169"/>
      <c r="AW74" s="197" t="e">
        <f t="shared" si="48"/>
        <v>#N/A</v>
      </c>
      <c r="AX74" s="432"/>
    </row>
    <row r="75" spans="2:50">
      <c r="B75" s="422"/>
      <c r="C75" s="197">
        <v>9</v>
      </c>
      <c r="D75" s="225"/>
      <c r="E75" s="169"/>
      <c r="F75" s="197"/>
      <c r="G75" s="195"/>
      <c r="H75" s="429"/>
      <c r="I75" s="169"/>
      <c r="J75" s="169"/>
      <c r="K75" s="195"/>
      <c r="L75" s="429"/>
      <c r="M75" s="196" t="e">
        <f>RANK(K75, K$87:$K$101)</f>
        <v>#DIV/0!</v>
      </c>
      <c r="N75" s="423"/>
      <c r="O75" s="423"/>
      <c r="P75" s="169"/>
      <c r="Q75" s="169"/>
      <c r="R75" s="169"/>
      <c r="S75" s="197" t="e">
        <f t="shared" si="42"/>
        <v>#N/A</v>
      </c>
      <c r="T75" s="432"/>
      <c r="U75" s="169"/>
      <c r="V75" s="169"/>
      <c r="W75" s="169"/>
      <c r="X75" s="197" t="e">
        <f t="shared" si="43"/>
        <v>#N/A</v>
      </c>
      <c r="Y75" s="432"/>
      <c r="Z75" s="169"/>
      <c r="AA75" s="169"/>
      <c r="AB75" s="169"/>
      <c r="AC75" s="197" t="e">
        <f t="shared" si="44"/>
        <v>#N/A</v>
      </c>
      <c r="AD75" s="432"/>
      <c r="AE75" s="169"/>
      <c r="AF75" s="169"/>
      <c r="AG75" s="169"/>
      <c r="AH75" s="197" t="e">
        <f t="shared" si="45"/>
        <v>#N/A</v>
      </c>
      <c r="AI75" s="432"/>
      <c r="AJ75" s="169"/>
      <c r="AK75" s="169"/>
      <c r="AL75" s="169"/>
      <c r="AM75" s="197" t="e">
        <f t="shared" si="46"/>
        <v>#N/A</v>
      </c>
      <c r="AN75" s="432"/>
      <c r="AO75" s="169"/>
      <c r="AP75" s="169"/>
      <c r="AQ75" s="169"/>
      <c r="AR75" s="197" t="e">
        <f t="shared" si="47"/>
        <v>#N/A</v>
      </c>
      <c r="AS75" s="432"/>
      <c r="AT75" s="169"/>
      <c r="AU75" s="169"/>
      <c r="AV75" s="195"/>
      <c r="AW75" s="197" t="e">
        <f t="shared" si="48"/>
        <v>#N/A</v>
      </c>
      <c r="AX75" s="432"/>
    </row>
    <row r="76" spans="2:50">
      <c r="B76" s="422"/>
      <c r="C76" s="197">
        <v>10</v>
      </c>
      <c r="D76" s="225"/>
      <c r="E76" s="169"/>
      <c r="F76" s="197"/>
      <c r="G76" s="195"/>
      <c r="H76" s="429"/>
      <c r="I76" s="169"/>
      <c r="J76" s="169"/>
      <c r="K76" s="195"/>
      <c r="L76" s="429"/>
      <c r="M76" s="196" t="e">
        <f>RANK(K76, K$87:$K$101)</f>
        <v>#DIV/0!</v>
      </c>
      <c r="N76" s="423"/>
      <c r="O76" s="423"/>
      <c r="P76" s="169"/>
      <c r="Q76" s="169"/>
      <c r="R76" s="169"/>
      <c r="S76" s="197" t="e">
        <f t="shared" si="42"/>
        <v>#N/A</v>
      </c>
      <c r="T76" s="432"/>
      <c r="U76" s="169"/>
      <c r="V76" s="169"/>
      <c r="W76" s="169"/>
      <c r="X76" s="197" t="e">
        <f t="shared" si="43"/>
        <v>#N/A</v>
      </c>
      <c r="Y76" s="432"/>
      <c r="Z76" s="169"/>
      <c r="AA76" s="169"/>
      <c r="AB76" s="169"/>
      <c r="AC76" s="197" t="e">
        <f t="shared" si="44"/>
        <v>#N/A</v>
      </c>
      <c r="AD76" s="432"/>
      <c r="AE76" s="169"/>
      <c r="AF76" s="169"/>
      <c r="AG76" s="169"/>
      <c r="AH76" s="197" t="e">
        <f t="shared" si="45"/>
        <v>#N/A</v>
      </c>
      <c r="AI76" s="432"/>
      <c r="AJ76" s="169"/>
      <c r="AK76" s="169"/>
      <c r="AL76" s="169"/>
      <c r="AM76" s="197" t="e">
        <f t="shared" si="46"/>
        <v>#N/A</v>
      </c>
      <c r="AN76" s="432"/>
      <c r="AO76" s="169"/>
      <c r="AP76" s="169"/>
      <c r="AQ76" s="169"/>
      <c r="AR76" s="197" t="e">
        <f t="shared" si="47"/>
        <v>#N/A</v>
      </c>
      <c r="AS76" s="432"/>
      <c r="AT76" s="169"/>
      <c r="AU76" s="169"/>
      <c r="AV76" s="195"/>
      <c r="AW76" s="197" t="e">
        <f t="shared" si="48"/>
        <v>#N/A</v>
      </c>
      <c r="AX76" s="432"/>
    </row>
    <row r="77" spans="2:50">
      <c r="B77" s="422"/>
      <c r="C77" s="197">
        <v>11</v>
      </c>
      <c r="D77" s="225"/>
      <c r="E77" s="169"/>
      <c r="F77" s="197"/>
      <c r="G77" s="195"/>
      <c r="H77" s="429"/>
      <c r="I77" s="197"/>
      <c r="J77" s="197"/>
      <c r="K77" s="197"/>
      <c r="L77" s="429"/>
      <c r="M77" s="196" t="e">
        <f>RANK(K77, K$87:$K$101)</f>
        <v>#DIV/0!</v>
      </c>
      <c r="N77" s="423"/>
      <c r="O77" s="423"/>
      <c r="P77" s="169"/>
      <c r="Q77" s="169"/>
      <c r="R77" s="169"/>
      <c r="S77" s="197" t="e">
        <f t="shared" si="42"/>
        <v>#N/A</v>
      </c>
      <c r="T77" s="432"/>
      <c r="U77" s="169"/>
      <c r="V77" s="169"/>
      <c r="W77" s="169"/>
      <c r="X77" s="197" t="e">
        <f t="shared" si="43"/>
        <v>#N/A</v>
      </c>
      <c r="Y77" s="432"/>
      <c r="Z77" s="169"/>
      <c r="AA77" s="169"/>
      <c r="AB77" s="169"/>
      <c r="AC77" s="197" t="e">
        <f t="shared" si="44"/>
        <v>#N/A</v>
      </c>
      <c r="AD77" s="432"/>
      <c r="AE77" s="169"/>
      <c r="AF77" s="169"/>
      <c r="AG77" s="169"/>
      <c r="AH77" s="197" t="e">
        <f t="shared" si="45"/>
        <v>#N/A</v>
      </c>
      <c r="AI77" s="432"/>
      <c r="AJ77" s="169"/>
      <c r="AK77" s="169"/>
      <c r="AL77" s="169"/>
      <c r="AM77" s="197" t="e">
        <f t="shared" si="46"/>
        <v>#N/A</v>
      </c>
      <c r="AN77" s="432"/>
      <c r="AO77" s="169"/>
      <c r="AP77" s="169"/>
      <c r="AQ77" s="169"/>
      <c r="AR77" s="197" t="e">
        <f t="shared" si="47"/>
        <v>#N/A</v>
      </c>
      <c r="AS77" s="432"/>
      <c r="AT77" s="169"/>
      <c r="AU77" s="169"/>
      <c r="AV77" s="195"/>
      <c r="AW77" s="197" t="e">
        <f t="shared" si="48"/>
        <v>#N/A</v>
      </c>
      <c r="AX77" s="432"/>
    </row>
    <row r="78" spans="2:50">
      <c r="B78" s="422"/>
      <c r="C78" s="197">
        <v>12</v>
      </c>
      <c r="D78" s="225"/>
      <c r="E78" s="169"/>
      <c r="F78" s="197"/>
      <c r="G78" s="195"/>
      <c r="H78" s="429"/>
      <c r="I78" s="197"/>
      <c r="J78" s="197"/>
      <c r="K78" s="197"/>
      <c r="L78" s="429"/>
      <c r="M78" s="196" t="e">
        <f>RANK(K78, K$87:$K$101)</f>
        <v>#DIV/0!</v>
      </c>
      <c r="N78" s="423"/>
      <c r="O78" s="423"/>
      <c r="P78" s="169"/>
      <c r="Q78" s="169"/>
      <c r="R78" s="169"/>
      <c r="S78" s="197" t="e">
        <f t="shared" si="42"/>
        <v>#N/A</v>
      </c>
      <c r="T78" s="432"/>
      <c r="U78" s="169"/>
      <c r="V78" s="169"/>
      <c r="W78" s="169"/>
      <c r="X78" s="197" t="e">
        <f t="shared" si="43"/>
        <v>#N/A</v>
      </c>
      <c r="Y78" s="432"/>
      <c r="Z78" s="169"/>
      <c r="AA78" s="169"/>
      <c r="AB78" s="169"/>
      <c r="AC78" s="197" t="e">
        <f t="shared" si="44"/>
        <v>#N/A</v>
      </c>
      <c r="AD78" s="432"/>
      <c r="AE78" s="169"/>
      <c r="AF78" s="169"/>
      <c r="AG78" s="169"/>
      <c r="AH78" s="197" t="e">
        <f t="shared" si="45"/>
        <v>#N/A</v>
      </c>
      <c r="AI78" s="432"/>
      <c r="AJ78" s="169"/>
      <c r="AK78" s="169"/>
      <c r="AL78" s="169"/>
      <c r="AM78" s="197" t="e">
        <f t="shared" si="46"/>
        <v>#N/A</v>
      </c>
      <c r="AN78" s="432"/>
      <c r="AO78" s="169"/>
      <c r="AP78" s="169"/>
      <c r="AQ78" s="169"/>
      <c r="AR78" s="197" t="e">
        <f t="shared" si="47"/>
        <v>#N/A</v>
      </c>
      <c r="AS78" s="432"/>
      <c r="AT78" s="169"/>
      <c r="AU78" s="169"/>
      <c r="AV78" s="195"/>
      <c r="AW78" s="197" t="e">
        <f t="shared" si="48"/>
        <v>#N/A</v>
      </c>
      <c r="AX78" s="432"/>
    </row>
    <row r="79" spans="2:50">
      <c r="B79" s="422"/>
      <c r="C79" s="197">
        <v>13</v>
      </c>
      <c r="D79" s="225"/>
      <c r="E79" s="169"/>
      <c r="F79" s="197"/>
      <c r="G79" s="195"/>
      <c r="H79" s="429"/>
      <c r="I79" s="197"/>
      <c r="J79" s="197"/>
      <c r="K79" s="197"/>
      <c r="L79" s="429"/>
      <c r="M79" s="196" t="e">
        <f>RANK(K79, K$87:$K$101)</f>
        <v>#DIV/0!</v>
      </c>
      <c r="N79" s="423"/>
      <c r="O79" s="423"/>
      <c r="P79" s="169"/>
      <c r="Q79" s="169"/>
      <c r="R79" s="169"/>
      <c r="S79" s="197" t="e">
        <f t="shared" si="42"/>
        <v>#N/A</v>
      </c>
      <c r="T79" s="432"/>
      <c r="U79" s="169"/>
      <c r="V79" s="169"/>
      <c r="W79" s="169"/>
      <c r="X79" s="197" t="e">
        <f t="shared" si="43"/>
        <v>#N/A</v>
      </c>
      <c r="Y79" s="432"/>
      <c r="Z79" s="169"/>
      <c r="AA79" s="169"/>
      <c r="AB79" s="169"/>
      <c r="AC79" s="197" t="e">
        <f t="shared" si="44"/>
        <v>#N/A</v>
      </c>
      <c r="AD79" s="432"/>
      <c r="AE79" s="169"/>
      <c r="AF79" s="169"/>
      <c r="AG79" s="169"/>
      <c r="AH79" s="197" t="e">
        <f t="shared" si="45"/>
        <v>#N/A</v>
      </c>
      <c r="AI79" s="432"/>
      <c r="AJ79" s="169"/>
      <c r="AK79" s="169"/>
      <c r="AL79" s="169"/>
      <c r="AM79" s="197" t="e">
        <f t="shared" si="46"/>
        <v>#N/A</v>
      </c>
      <c r="AN79" s="432"/>
      <c r="AO79" s="169"/>
      <c r="AP79" s="169"/>
      <c r="AQ79" s="169"/>
      <c r="AR79" s="197" t="e">
        <f t="shared" si="47"/>
        <v>#N/A</v>
      </c>
      <c r="AS79" s="432"/>
      <c r="AT79" s="169"/>
      <c r="AU79" s="169"/>
      <c r="AV79" s="195"/>
      <c r="AW79" s="197" t="e">
        <f t="shared" si="48"/>
        <v>#N/A</v>
      </c>
      <c r="AX79" s="432"/>
    </row>
    <row r="80" spans="2:50">
      <c r="B80" s="422"/>
      <c r="C80" s="197">
        <v>14</v>
      </c>
      <c r="D80" s="225"/>
      <c r="E80" s="169"/>
      <c r="F80" s="197"/>
      <c r="G80" s="195"/>
      <c r="H80" s="429"/>
      <c r="I80" s="197"/>
      <c r="J80" s="197"/>
      <c r="K80" s="197"/>
      <c r="L80" s="429"/>
      <c r="M80" s="196" t="e">
        <f>RANK(K80, K$87:$K$101)</f>
        <v>#DIV/0!</v>
      </c>
      <c r="N80" s="423"/>
      <c r="O80" s="423"/>
      <c r="P80" s="169"/>
      <c r="Q80" s="169"/>
      <c r="R80" s="169"/>
      <c r="S80" s="197" t="e">
        <f t="shared" si="42"/>
        <v>#N/A</v>
      </c>
      <c r="T80" s="432"/>
      <c r="U80" s="169"/>
      <c r="V80" s="169"/>
      <c r="W80" s="169"/>
      <c r="X80" s="197" t="e">
        <f t="shared" si="43"/>
        <v>#N/A</v>
      </c>
      <c r="Y80" s="432"/>
      <c r="Z80" s="169"/>
      <c r="AA80" s="169"/>
      <c r="AB80" s="169"/>
      <c r="AC80" s="197" t="e">
        <f t="shared" si="44"/>
        <v>#N/A</v>
      </c>
      <c r="AD80" s="432"/>
      <c r="AE80" s="169"/>
      <c r="AF80" s="169"/>
      <c r="AG80" s="169"/>
      <c r="AH80" s="197" t="e">
        <f t="shared" si="45"/>
        <v>#N/A</v>
      </c>
      <c r="AI80" s="432"/>
      <c r="AJ80" s="169"/>
      <c r="AK80" s="169"/>
      <c r="AL80" s="169"/>
      <c r="AM80" s="197" t="e">
        <f t="shared" si="46"/>
        <v>#N/A</v>
      </c>
      <c r="AN80" s="432"/>
      <c r="AO80" s="169"/>
      <c r="AP80" s="169"/>
      <c r="AQ80" s="169"/>
      <c r="AR80" s="197" t="e">
        <f t="shared" si="47"/>
        <v>#N/A</v>
      </c>
      <c r="AS80" s="432"/>
      <c r="AT80" s="169"/>
      <c r="AU80" s="169"/>
      <c r="AV80" s="195"/>
      <c r="AW80" s="197" t="e">
        <f t="shared" si="48"/>
        <v>#N/A</v>
      </c>
      <c r="AX80" s="432"/>
    </row>
    <row r="81" spans="2:50">
      <c r="B81" s="422"/>
      <c r="C81" s="197">
        <v>15</v>
      </c>
      <c r="D81" s="225"/>
      <c r="E81" s="169"/>
      <c r="F81" s="197"/>
      <c r="G81" s="195"/>
      <c r="H81" s="430"/>
      <c r="I81" s="197"/>
      <c r="J81" s="197"/>
      <c r="K81" s="197"/>
      <c r="L81" s="430"/>
      <c r="M81" s="169" t="e">
        <f>RANK(K81, K$87:$K$101)</f>
        <v>#DIV/0!</v>
      </c>
      <c r="N81" s="423"/>
      <c r="O81" s="423"/>
      <c r="P81" s="169"/>
      <c r="Q81" s="169"/>
      <c r="R81" s="169"/>
      <c r="S81" s="197" t="e">
        <f t="shared" si="42"/>
        <v>#N/A</v>
      </c>
      <c r="T81" s="432"/>
      <c r="U81" s="169"/>
      <c r="V81" s="169"/>
      <c r="W81" s="169"/>
      <c r="X81" s="197" t="e">
        <f t="shared" si="43"/>
        <v>#N/A</v>
      </c>
      <c r="Y81" s="432"/>
      <c r="Z81" s="169"/>
      <c r="AA81" s="169"/>
      <c r="AB81" s="169"/>
      <c r="AC81" s="197" t="e">
        <f t="shared" si="44"/>
        <v>#N/A</v>
      </c>
      <c r="AD81" s="432"/>
      <c r="AE81" s="169"/>
      <c r="AF81" s="169"/>
      <c r="AG81" s="169"/>
      <c r="AH81" s="197" t="e">
        <f t="shared" si="45"/>
        <v>#N/A</v>
      </c>
      <c r="AI81" s="432"/>
      <c r="AJ81" s="169"/>
      <c r="AK81" s="169"/>
      <c r="AL81" s="169"/>
      <c r="AM81" s="197" t="e">
        <f t="shared" si="46"/>
        <v>#N/A</v>
      </c>
      <c r="AN81" s="432"/>
      <c r="AO81" s="169"/>
      <c r="AP81" s="169"/>
      <c r="AQ81" s="169"/>
      <c r="AR81" s="197" t="e">
        <f t="shared" si="47"/>
        <v>#N/A</v>
      </c>
      <c r="AS81" s="432"/>
      <c r="AT81" s="169"/>
      <c r="AU81" s="169"/>
      <c r="AV81" s="195"/>
      <c r="AW81" s="197" t="e">
        <f t="shared" si="48"/>
        <v>#N/A</v>
      </c>
      <c r="AX81" s="432"/>
    </row>
    <row r="82" spans="2:50" ht="15.75">
      <c r="B82" s="396" t="s">
        <v>202</v>
      </c>
      <c r="C82" s="427"/>
      <c r="D82" s="427"/>
      <c r="E82" s="427"/>
      <c r="F82" s="427"/>
      <c r="G82" s="427"/>
      <c r="H82" s="427"/>
      <c r="I82" s="201"/>
      <c r="J82" s="201"/>
      <c r="K82" s="201"/>
      <c r="L82" s="201"/>
      <c r="M82" s="200"/>
      <c r="N82" s="401" t="s">
        <v>203</v>
      </c>
      <c r="O82" s="401" t="s">
        <v>150</v>
      </c>
      <c r="P82" s="421">
        <f>P62+7</f>
        <v>45923</v>
      </c>
      <c r="Q82" s="422"/>
      <c r="R82" s="422"/>
      <c r="S82" s="422"/>
      <c r="T82" s="422"/>
      <c r="U82" s="416">
        <f>P82+1</f>
        <v>45924</v>
      </c>
      <c r="V82" s="417"/>
      <c r="W82" s="417"/>
      <c r="X82" s="417"/>
      <c r="Y82" s="418"/>
      <c r="Z82" s="416">
        <f>U82+1</f>
        <v>45925</v>
      </c>
      <c r="AA82" s="417"/>
      <c r="AB82" s="417"/>
      <c r="AC82" s="417"/>
      <c r="AD82" s="418"/>
      <c r="AE82" s="416">
        <f t="shared" ref="AE82" si="49">Z82+1</f>
        <v>45926</v>
      </c>
      <c r="AF82" s="417"/>
      <c r="AG82" s="417"/>
      <c r="AH82" s="417"/>
      <c r="AI82" s="418"/>
      <c r="AJ82" s="416">
        <f t="shared" ref="AJ82" si="50">AE82+1</f>
        <v>45927</v>
      </c>
      <c r="AK82" s="417"/>
      <c r="AL82" s="417"/>
      <c r="AM82" s="417"/>
      <c r="AN82" s="418"/>
      <c r="AO82" s="416">
        <f t="shared" ref="AO82" si="51">AJ82+1</f>
        <v>45928</v>
      </c>
      <c r="AP82" s="417"/>
      <c r="AQ82" s="417"/>
      <c r="AR82" s="417"/>
      <c r="AS82" s="418"/>
      <c r="AT82" s="416">
        <f t="shared" ref="AT82" si="52">AO82+1</f>
        <v>45929</v>
      </c>
      <c r="AU82" s="417"/>
      <c r="AV82" s="417"/>
      <c r="AW82" s="417"/>
      <c r="AX82" s="418"/>
    </row>
    <row r="83" spans="2:50" ht="15.75">
      <c r="B83" s="426"/>
      <c r="C83" s="426"/>
      <c r="D83" s="426"/>
      <c r="E83" s="426"/>
      <c r="F83" s="426"/>
      <c r="G83" s="426"/>
      <c r="H83" s="426"/>
      <c r="I83" s="199"/>
      <c r="J83" s="199"/>
      <c r="K83" s="199"/>
      <c r="L83" s="199"/>
      <c r="M83" s="194"/>
      <c r="N83" s="403"/>
      <c r="O83" s="403"/>
      <c r="P83" s="421" t="s">
        <v>204</v>
      </c>
      <c r="Q83" s="422"/>
      <c r="R83" s="422"/>
      <c r="S83" s="422"/>
      <c r="T83" s="422"/>
      <c r="U83" s="421" t="s">
        <v>205</v>
      </c>
      <c r="V83" s="422"/>
      <c r="W83" s="422"/>
      <c r="X83" s="422"/>
      <c r="Y83" s="422"/>
      <c r="Z83" s="421" t="s">
        <v>206</v>
      </c>
      <c r="AA83" s="422"/>
      <c r="AB83" s="422"/>
      <c r="AC83" s="422"/>
      <c r="AD83" s="422"/>
      <c r="AE83" s="421" t="s">
        <v>207</v>
      </c>
      <c r="AF83" s="422"/>
      <c r="AG83" s="422"/>
      <c r="AH83" s="422"/>
      <c r="AI83" s="422"/>
      <c r="AJ83" s="421" t="s">
        <v>208</v>
      </c>
      <c r="AK83" s="422"/>
      <c r="AL83" s="422"/>
      <c r="AM83" s="422"/>
      <c r="AN83" s="422"/>
      <c r="AO83" s="421" t="s">
        <v>157</v>
      </c>
      <c r="AP83" s="422"/>
      <c r="AQ83" s="422"/>
      <c r="AR83" s="422"/>
      <c r="AS83" s="422"/>
      <c r="AT83" s="421" t="s">
        <v>209</v>
      </c>
      <c r="AU83" s="422"/>
      <c r="AV83" s="422"/>
      <c r="AW83" s="422"/>
      <c r="AX83" s="422"/>
    </row>
    <row r="84" spans="2:50">
      <c r="B84" s="423" t="s">
        <v>210</v>
      </c>
      <c r="C84" s="423" t="s">
        <v>211</v>
      </c>
      <c r="D84" s="423"/>
      <c r="E84" s="423" t="s">
        <v>212</v>
      </c>
      <c r="F84" s="423"/>
      <c r="G84" s="423"/>
      <c r="H84" s="404" t="s">
        <v>213</v>
      </c>
      <c r="I84" s="423" t="s">
        <v>214</v>
      </c>
      <c r="J84" s="423"/>
      <c r="K84" s="423"/>
      <c r="L84" s="404" t="s">
        <v>213</v>
      </c>
      <c r="M84" s="401" t="s">
        <v>215</v>
      </c>
      <c r="N84" s="423"/>
      <c r="O84" s="423" t="s">
        <v>216</v>
      </c>
      <c r="P84" s="413" t="s">
        <v>217</v>
      </c>
      <c r="Q84" s="414"/>
      <c r="R84" s="414"/>
      <c r="S84" s="415"/>
      <c r="T84" s="423" t="s">
        <v>213</v>
      </c>
      <c r="U84" s="413" t="s">
        <v>217</v>
      </c>
      <c r="V84" s="414"/>
      <c r="W84" s="414"/>
      <c r="X84" s="415"/>
      <c r="Y84" s="423" t="s">
        <v>213</v>
      </c>
      <c r="Z84" s="413" t="s">
        <v>217</v>
      </c>
      <c r="AA84" s="414"/>
      <c r="AB84" s="414"/>
      <c r="AC84" s="415"/>
      <c r="AD84" s="423" t="s">
        <v>213</v>
      </c>
      <c r="AE84" s="413" t="s">
        <v>217</v>
      </c>
      <c r="AF84" s="414"/>
      <c r="AG84" s="414"/>
      <c r="AH84" s="415"/>
      <c r="AI84" s="423" t="s">
        <v>213</v>
      </c>
      <c r="AJ84" s="413" t="s">
        <v>217</v>
      </c>
      <c r="AK84" s="414"/>
      <c r="AL84" s="414"/>
      <c r="AM84" s="415"/>
      <c r="AN84" s="423" t="s">
        <v>213</v>
      </c>
      <c r="AO84" s="413" t="s">
        <v>217</v>
      </c>
      <c r="AP84" s="414"/>
      <c r="AQ84" s="414"/>
      <c r="AR84" s="415"/>
      <c r="AS84" s="423" t="s">
        <v>213</v>
      </c>
      <c r="AT84" s="413" t="s">
        <v>217</v>
      </c>
      <c r="AU84" s="414"/>
      <c r="AV84" s="414"/>
      <c r="AW84" s="415"/>
      <c r="AX84" s="423" t="s">
        <v>213</v>
      </c>
    </row>
    <row r="85" spans="2:50">
      <c r="B85" s="423"/>
      <c r="C85" s="423"/>
      <c r="D85" s="423"/>
      <c r="E85" s="423" t="s">
        <v>218</v>
      </c>
      <c r="F85" s="423"/>
      <c r="G85" s="423"/>
      <c r="H85" s="406"/>
      <c r="I85" s="423" t="s">
        <v>218</v>
      </c>
      <c r="J85" s="423"/>
      <c r="K85" s="423"/>
      <c r="L85" s="406"/>
      <c r="M85" s="402"/>
      <c r="N85" s="423"/>
      <c r="O85" s="423"/>
      <c r="P85" s="413" t="s">
        <v>219</v>
      </c>
      <c r="Q85" s="414"/>
      <c r="R85" s="414"/>
      <c r="S85" s="415"/>
      <c r="T85" s="423"/>
      <c r="U85" s="413" t="s">
        <v>219</v>
      </c>
      <c r="V85" s="414"/>
      <c r="W85" s="414"/>
      <c r="X85" s="415"/>
      <c r="Y85" s="423"/>
      <c r="Z85" s="413" t="s">
        <v>219</v>
      </c>
      <c r="AA85" s="414"/>
      <c r="AB85" s="414"/>
      <c r="AC85" s="415"/>
      <c r="AD85" s="423"/>
      <c r="AE85" s="413" t="s">
        <v>219</v>
      </c>
      <c r="AF85" s="414"/>
      <c r="AG85" s="414"/>
      <c r="AH85" s="415"/>
      <c r="AI85" s="423"/>
      <c r="AJ85" s="413" t="s">
        <v>219</v>
      </c>
      <c r="AK85" s="414"/>
      <c r="AL85" s="414"/>
      <c r="AM85" s="415"/>
      <c r="AN85" s="423"/>
      <c r="AO85" s="413" t="s">
        <v>219</v>
      </c>
      <c r="AP85" s="414"/>
      <c r="AQ85" s="414"/>
      <c r="AR85" s="415"/>
      <c r="AS85" s="423"/>
      <c r="AT85" s="413" t="s">
        <v>219</v>
      </c>
      <c r="AU85" s="414"/>
      <c r="AV85" s="414"/>
      <c r="AW85" s="415"/>
      <c r="AX85" s="423"/>
    </row>
    <row r="86" spans="2:50">
      <c r="B86" s="423"/>
      <c r="C86" s="423"/>
      <c r="D86" s="423"/>
      <c r="E86" s="297" t="s">
        <v>220</v>
      </c>
      <c r="F86" s="297" t="s">
        <v>221</v>
      </c>
      <c r="G86" s="297" t="s">
        <v>222</v>
      </c>
      <c r="H86" s="408"/>
      <c r="I86" s="297" t="s">
        <v>220</v>
      </c>
      <c r="J86" s="297" t="s">
        <v>221</v>
      </c>
      <c r="K86" s="297" t="s">
        <v>222</v>
      </c>
      <c r="L86" s="408"/>
      <c r="M86" s="403"/>
      <c r="N86" s="423"/>
      <c r="O86" s="423"/>
      <c r="P86" s="297" t="s">
        <v>220</v>
      </c>
      <c r="Q86" s="297" t="s">
        <v>221</v>
      </c>
      <c r="R86" s="297" t="s">
        <v>222</v>
      </c>
      <c r="S86" s="297" t="s">
        <v>215</v>
      </c>
      <c r="T86" s="423"/>
      <c r="U86" s="297" t="s">
        <v>220</v>
      </c>
      <c r="V86" s="297" t="s">
        <v>221</v>
      </c>
      <c r="W86" s="297" t="s">
        <v>222</v>
      </c>
      <c r="X86" s="297" t="s">
        <v>215</v>
      </c>
      <c r="Y86" s="423"/>
      <c r="Z86" s="297" t="s">
        <v>220</v>
      </c>
      <c r="AA86" s="297" t="s">
        <v>221</v>
      </c>
      <c r="AB86" s="297" t="s">
        <v>222</v>
      </c>
      <c r="AC86" s="297" t="s">
        <v>215</v>
      </c>
      <c r="AD86" s="423"/>
      <c r="AE86" s="297" t="s">
        <v>220</v>
      </c>
      <c r="AF86" s="297" t="s">
        <v>221</v>
      </c>
      <c r="AG86" s="297" t="s">
        <v>222</v>
      </c>
      <c r="AH86" s="297" t="s">
        <v>215</v>
      </c>
      <c r="AI86" s="423"/>
      <c r="AJ86" s="297" t="s">
        <v>220</v>
      </c>
      <c r="AK86" s="297" t="s">
        <v>221</v>
      </c>
      <c r="AL86" s="297" t="s">
        <v>222</v>
      </c>
      <c r="AM86" s="297" t="s">
        <v>215</v>
      </c>
      <c r="AN86" s="423"/>
      <c r="AO86" s="297" t="s">
        <v>220</v>
      </c>
      <c r="AP86" s="297" t="s">
        <v>221</v>
      </c>
      <c r="AQ86" s="297" t="s">
        <v>222</v>
      </c>
      <c r="AR86" s="297" t="s">
        <v>215</v>
      </c>
      <c r="AS86" s="423"/>
      <c r="AT86" s="297" t="s">
        <v>220</v>
      </c>
      <c r="AU86" s="297" t="s">
        <v>221</v>
      </c>
      <c r="AV86" s="297" t="s">
        <v>222</v>
      </c>
      <c r="AW86" s="297" t="s">
        <v>215</v>
      </c>
      <c r="AX86" s="423"/>
    </row>
    <row r="87" spans="2:50">
      <c r="B87" s="423" t="s">
        <v>303</v>
      </c>
      <c r="C87" s="197">
        <v>1</v>
      </c>
      <c r="D87" s="225"/>
      <c r="E87" s="169"/>
      <c r="F87" s="197"/>
      <c r="G87" s="195"/>
      <c r="H87" s="428" t="e">
        <f>AVERAGE(G87:G101)</f>
        <v>#DIV/0!</v>
      </c>
      <c r="I87" s="169" t="e">
        <f>AVERAGE(P87,U87,Z87,AE87,AJ87,AO87,AT87)</f>
        <v>#DIV/0!</v>
      </c>
      <c r="J87" s="169" t="e">
        <f>AVERAGE(Q87,V87,AA87,AF87,AK87,AP87,AU87)</f>
        <v>#DIV/0!</v>
      </c>
      <c r="K87" s="195" t="e">
        <f>AVERAGE(R87,W87,AB87,AG87,AL87,AQ87,AV87)</f>
        <v>#DIV/0!</v>
      </c>
      <c r="L87" s="428" t="str">
        <f>IFERROR(AVERAGE(K87:K101),"-")</f>
        <v>-</v>
      </c>
      <c r="M87" s="196" t="e">
        <f>RANK(K87, K$87:$K$101)</f>
        <v>#DIV/0!</v>
      </c>
      <c r="N87" s="423"/>
      <c r="O87" s="423"/>
      <c r="P87" s="169"/>
      <c r="Q87" s="169"/>
      <c r="R87" s="169"/>
      <c r="S87" s="197" t="e">
        <f>RANK(R87, R$87:R$101)</f>
        <v>#N/A</v>
      </c>
      <c r="T87" s="432" t="e">
        <f>AVERAGE(R87:R101)</f>
        <v>#DIV/0!</v>
      </c>
      <c r="U87" s="169"/>
      <c r="V87" s="169"/>
      <c r="W87" s="169"/>
      <c r="X87" s="197" t="e">
        <f>RANK(W87, W$87:W$101)</f>
        <v>#N/A</v>
      </c>
      <c r="Y87" s="432" t="e">
        <f>AVERAGE(W87:W101)</f>
        <v>#DIV/0!</v>
      </c>
      <c r="Z87" s="169"/>
      <c r="AA87" s="169"/>
      <c r="AB87" s="169"/>
      <c r="AC87" s="197" t="e">
        <f>RANK(AB87, AB$87:AB$101)</f>
        <v>#N/A</v>
      </c>
      <c r="AD87" s="432" t="e">
        <f>AVERAGE(AB87:AB101)</f>
        <v>#DIV/0!</v>
      </c>
      <c r="AE87" s="169"/>
      <c r="AF87" s="169"/>
      <c r="AG87" s="169"/>
      <c r="AH87" s="197" t="e">
        <f>RANK(AG87, AG$87:AG$101)</f>
        <v>#N/A</v>
      </c>
      <c r="AI87" s="432" t="e">
        <f>AVERAGE(AG87:AG101)</f>
        <v>#DIV/0!</v>
      </c>
      <c r="AJ87" s="169"/>
      <c r="AK87" s="169"/>
      <c r="AL87" s="169"/>
      <c r="AM87" s="197" t="e">
        <f>RANK(AL87, AL$87:AL$101)</f>
        <v>#N/A</v>
      </c>
      <c r="AN87" s="432" t="e">
        <f>AVERAGE(AL87:AL101)</f>
        <v>#DIV/0!</v>
      </c>
      <c r="AO87" s="169"/>
      <c r="AP87" s="169"/>
      <c r="AQ87" s="169"/>
      <c r="AR87" s="197" t="e">
        <f>RANK(AQ87, AQ$87:AQ$101)</f>
        <v>#N/A</v>
      </c>
      <c r="AS87" s="432" t="e">
        <f>AVERAGE(AQ87:AQ101)</f>
        <v>#DIV/0!</v>
      </c>
      <c r="AT87" s="169"/>
      <c r="AU87" s="169"/>
      <c r="AV87" s="169"/>
      <c r="AW87" s="197" t="e">
        <f>RANK(AV87, AV$87:AV$101)</f>
        <v>#N/A</v>
      </c>
      <c r="AX87" s="432" t="e">
        <f>AVERAGE(AV87:AV101)</f>
        <v>#DIV/0!</v>
      </c>
    </row>
    <row r="88" spans="2:50">
      <c r="B88" s="422"/>
      <c r="C88" s="197">
        <v>2</v>
      </c>
      <c r="D88" s="225"/>
      <c r="E88" s="169"/>
      <c r="F88" s="197"/>
      <c r="G88" s="195"/>
      <c r="H88" s="429"/>
      <c r="I88" s="169" t="e">
        <f t="shared" ref="I88:K93" si="53">AVERAGE(P88,U88,Z88,AE88,AJ88,AO88,AT88)</f>
        <v>#DIV/0!</v>
      </c>
      <c r="J88" s="169" t="e">
        <f t="shared" si="53"/>
        <v>#DIV/0!</v>
      </c>
      <c r="K88" s="195" t="e">
        <f t="shared" si="53"/>
        <v>#DIV/0!</v>
      </c>
      <c r="L88" s="429"/>
      <c r="M88" s="196" t="e">
        <f>RANK(K88, K$87:$K$101)</f>
        <v>#DIV/0!</v>
      </c>
      <c r="N88" s="423"/>
      <c r="O88" s="423"/>
      <c r="P88" s="169"/>
      <c r="Q88" s="169"/>
      <c r="R88" s="169"/>
      <c r="S88" s="197" t="e">
        <f t="shared" ref="S88:S101" si="54">RANK(R88, R$87:R$101)</f>
        <v>#N/A</v>
      </c>
      <c r="T88" s="432"/>
      <c r="U88" s="169"/>
      <c r="V88" s="169"/>
      <c r="W88" s="169"/>
      <c r="X88" s="197" t="e">
        <f t="shared" ref="X88:X101" si="55">RANK(W88, W$87:W$101)</f>
        <v>#N/A</v>
      </c>
      <c r="Y88" s="432"/>
      <c r="Z88" s="169"/>
      <c r="AA88" s="169"/>
      <c r="AB88" s="169"/>
      <c r="AC88" s="197" t="e">
        <f t="shared" ref="AC88:AC101" si="56">RANK(AB88, AB$87:AB$101)</f>
        <v>#N/A</v>
      </c>
      <c r="AD88" s="432"/>
      <c r="AE88" s="169"/>
      <c r="AF88" s="169"/>
      <c r="AG88" s="169"/>
      <c r="AH88" s="197" t="e">
        <f t="shared" ref="AH88:AH101" si="57">RANK(AG88, AG$87:AG$101)</f>
        <v>#N/A</v>
      </c>
      <c r="AI88" s="432"/>
      <c r="AJ88" s="169"/>
      <c r="AK88" s="169"/>
      <c r="AL88" s="169"/>
      <c r="AM88" s="197" t="e">
        <f t="shared" ref="AM88:AM101" si="58">RANK(AL88, AL$87:AL$101)</f>
        <v>#N/A</v>
      </c>
      <c r="AN88" s="432"/>
      <c r="AO88" s="169"/>
      <c r="AP88" s="169"/>
      <c r="AQ88" s="169"/>
      <c r="AR88" s="197" t="e">
        <f t="shared" ref="AR88:AR101" si="59">RANK(AQ88, AQ$87:AQ$101)</f>
        <v>#N/A</v>
      </c>
      <c r="AS88" s="432"/>
      <c r="AT88" s="169"/>
      <c r="AU88" s="169"/>
      <c r="AV88" s="169"/>
      <c r="AW88" s="197" t="e">
        <f t="shared" ref="AW88:AW101" si="60">RANK(AV88, AV$87:AV$101)</f>
        <v>#N/A</v>
      </c>
      <c r="AX88" s="432"/>
    </row>
    <row r="89" spans="2:50">
      <c r="B89" s="422"/>
      <c r="C89" s="197">
        <v>3</v>
      </c>
      <c r="D89" s="225"/>
      <c r="E89" s="169"/>
      <c r="F89" s="197"/>
      <c r="G89" s="195"/>
      <c r="H89" s="429"/>
      <c r="I89" s="169" t="e">
        <f t="shared" si="53"/>
        <v>#DIV/0!</v>
      </c>
      <c r="J89" s="169" t="e">
        <f t="shared" si="53"/>
        <v>#DIV/0!</v>
      </c>
      <c r="K89" s="195" t="e">
        <f t="shared" si="53"/>
        <v>#DIV/0!</v>
      </c>
      <c r="L89" s="429"/>
      <c r="M89" s="196" t="e">
        <f>RANK(K89, K$87:$K$101)</f>
        <v>#DIV/0!</v>
      </c>
      <c r="N89" s="423"/>
      <c r="O89" s="423"/>
      <c r="P89" s="169"/>
      <c r="Q89" s="169"/>
      <c r="R89" s="169"/>
      <c r="S89" s="197" t="e">
        <f t="shared" si="54"/>
        <v>#N/A</v>
      </c>
      <c r="T89" s="432"/>
      <c r="U89" s="169"/>
      <c r="V89" s="169"/>
      <c r="W89" s="169"/>
      <c r="X89" s="197" t="e">
        <f t="shared" si="55"/>
        <v>#N/A</v>
      </c>
      <c r="Y89" s="432"/>
      <c r="Z89" s="169"/>
      <c r="AA89" s="169"/>
      <c r="AB89" s="169"/>
      <c r="AC89" s="197" t="e">
        <f t="shared" si="56"/>
        <v>#N/A</v>
      </c>
      <c r="AD89" s="432"/>
      <c r="AE89" s="169"/>
      <c r="AF89" s="169"/>
      <c r="AG89" s="169"/>
      <c r="AH89" s="197" t="e">
        <f t="shared" si="57"/>
        <v>#N/A</v>
      </c>
      <c r="AI89" s="432"/>
      <c r="AJ89" s="169"/>
      <c r="AK89" s="169"/>
      <c r="AL89" s="169"/>
      <c r="AM89" s="197" t="e">
        <f t="shared" si="58"/>
        <v>#N/A</v>
      </c>
      <c r="AN89" s="432"/>
      <c r="AO89" s="169"/>
      <c r="AP89" s="169"/>
      <c r="AQ89" s="169"/>
      <c r="AR89" s="197" t="e">
        <f t="shared" si="59"/>
        <v>#N/A</v>
      </c>
      <c r="AS89" s="432"/>
      <c r="AT89" s="169"/>
      <c r="AU89" s="169"/>
      <c r="AV89" s="169"/>
      <c r="AW89" s="197" t="e">
        <f t="shared" si="60"/>
        <v>#N/A</v>
      </c>
      <c r="AX89" s="432"/>
    </row>
    <row r="90" spans="2:50">
      <c r="B90" s="422"/>
      <c r="C90" s="197">
        <v>4</v>
      </c>
      <c r="D90" s="225"/>
      <c r="E90" s="169"/>
      <c r="F90" s="197"/>
      <c r="G90" s="195"/>
      <c r="H90" s="429"/>
      <c r="I90" s="169" t="e">
        <f t="shared" si="53"/>
        <v>#DIV/0!</v>
      </c>
      <c r="J90" s="169" t="e">
        <f t="shared" si="53"/>
        <v>#DIV/0!</v>
      </c>
      <c r="K90" s="195" t="e">
        <f t="shared" si="53"/>
        <v>#DIV/0!</v>
      </c>
      <c r="L90" s="429"/>
      <c r="M90" s="196" t="e">
        <f>RANK(K90, K$87:$K$101)</f>
        <v>#DIV/0!</v>
      </c>
      <c r="N90" s="423"/>
      <c r="O90" s="423"/>
      <c r="P90" s="169"/>
      <c r="Q90" s="169"/>
      <c r="R90" s="169"/>
      <c r="S90" s="197" t="e">
        <f t="shared" si="54"/>
        <v>#N/A</v>
      </c>
      <c r="T90" s="432"/>
      <c r="U90" s="169"/>
      <c r="V90" s="169"/>
      <c r="W90" s="169"/>
      <c r="X90" s="197" t="e">
        <f t="shared" si="55"/>
        <v>#N/A</v>
      </c>
      <c r="Y90" s="432"/>
      <c r="Z90" s="169"/>
      <c r="AA90" s="169"/>
      <c r="AB90" s="169"/>
      <c r="AC90" s="197" t="e">
        <f t="shared" si="56"/>
        <v>#N/A</v>
      </c>
      <c r="AD90" s="432"/>
      <c r="AE90" s="169"/>
      <c r="AF90" s="169"/>
      <c r="AG90" s="169"/>
      <c r="AH90" s="197" t="e">
        <f t="shared" si="57"/>
        <v>#N/A</v>
      </c>
      <c r="AI90" s="432"/>
      <c r="AJ90" s="169"/>
      <c r="AK90" s="169"/>
      <c r="AL90" s="169"/>
      <c r="AM90" s="197" t="e">
        <f t="shared" si="58"/>
        <v>#N/A</v>
      </c>
      <c r="AN90" s="432"/>
      <c r="AO90" s="169"/>
      <c r="AP90" s="169"/>
      <c r="AQ90" s="169"/>
      <c r="AR90" s="197" t="e">
        <f t="shared" si="59"/>
        <v>#N/A</v>
      </c>
      <c r="AS90" s="432"/>
      <c r="AT90" s="169"/>
      <c r="AU90" s="169"/>
      <c r="AV90" s="169"/>
      <c r="AW90" s="197" t="e">
        <f t="shared" si="60"/>
        <v>#N/A</v>
      </c>
      <c r="AX90" s="432"/>
    </row>
    <row r="91" spans="2:50">
      <c r="B91" s="422"/>
      <c r="C91" s="197">
        <v>5</v>
      </c>
      <c r="D91" s="225"/>
      <c r="E91" s="169"/>
      <c r="F91" s="197"/>
      <c r="G91" s="195"/>
      <c r="H91" s="429"/>
      <c r="I91" s="169" t="e">
        <f t="shared" si="53"/>
        <v>#DIV/0!</v>
      </c>
      <c r="J91" s="169" t="e">
        <f t="shared" si="53"/>
        <v>#DIV/0!</v>
      </c>
      <c r="K91" s="195" t="e">
        <f t="shared" si="53"/>
        <v>#DIV/0!</v>
      </c>
      <c r="L91" s="429"/>
      <c r="M91" s="196" t="e">
        <f>RANK(K91, K$87:$K$101)</f>
        <v>#DIV/0!</v>
      </c>
      <c r="N91" s="423"/>
      <c r="O91" s="423"/>
      <c r="P91" s="169"/>
      <c r="Q91" s="169"/>
      <c r="R91" s="169"/>
      <c r="S91" s="197" t="e">
        <f t="shared" si="54"/>
        <v>#N/A</v>
      </c>
      <c r="T91" s="432"/>
      <c r="U91" s="169"/>
      <c r="V91" s="169"/>
      <c r="W91" s="169"/>
      <c r="X91" s="197" t="e">
        <f t="shared" si="55"/>
        <v>#N/A</v>
      </c>
      <c r="Y91" s="432"/>
      <c r="Z91" s="169"/>
      <c r="AA91" s="169"/>
      <c r="AB91" s="169"/>
      <c r="AC91" s="197" t="e">
        <f t="shared" si="56"/>
        <v>#N/A</v>
      </c>
      <c r="AD91" s="432"/>
      <c r="AE91" s="169"/>
      <c r="AF91" s="169"/>
      <c r="AG91" s="169"/>
      <c r="AH91" s="197" t="e">
        <f t="shared" si="57"/>
        <v>#N/A</v>
      </c>
      <c r="AI91" s="432"/>
      <c r="AJ91" s="169"/>
      <c r="AK91" s="169"/>
      <c r="AL91" s="169"/>
      <c r="AM91" s="197" t="e">
        <f t="shared" si="58"/>
        <v>#N/A</v>
      </c>
      <c r="AN91" s="432"/>
      <c r="AO91" s="169"/>
      <c r="AP91" s="169"/>
      <c r="AQ91" s="169"/>
      <c r="AR91" s="197" t="e">
        <f t="shared" si="59"/>
        <v>#N/A</v>
      </c>
      <c r="AS91" s="432"/>
      <c r="AT91" s="169"/>
      <c r="AU91" s="169"/>
      <c r="AV91" s="169"/>
      <c r="AW91" s="197" t="e">
        <f t="shared" si="60"/>
        <v>#N/A</v>
      </c>
      <c r="AX91" s="432"/>
    </row>
    <row r="92" spans="2:50">
      <c r="B92" s="422"/>
      <c r="C92" s="197">
        <v>6</v>
      </c>
      <c r="D92" s="225"/>
      <c r="E92" s="169"/>
      <c r="F92" s="197"/>
      <c r="G92" s="195"/>
      <c r="H92" s="429"/>
      <c r="I92" s="169" t="e">
        <f t="shared" si="53"/>
        <v>#DIV/0!</v>
      </c>
      <c r="J92" s="169" t="e">
        <f t="shared" si="53"/>
        <v>#DIV/0!</v>
      </c>
      <c r="K92" s="195" t="e">
        <f t="shared" si="53"/>
        <v>#DIV/0!</v>
      </c>
      <c r="L92" s="429"/>
      <c r="M92" s="196" t="e">
        <f>RANK(K92, K$87:$K$101)</f>
        <v>#DIV/0!</v>
      </c>
      <c r="N92" s="423"/>
      <c r="O92" s="423"/>
      <c r="P92" s="169"/>
      <c r="Q92" s="169"/>
      <c r="R92" s="169"/>
      <c r="S92" s="197" t="e">
        <f t="shared" si="54"/>
        <v>#N/A</v>
      </c>
      <c r="T92" s="432"/>
      <c r="U92" s="169"/>
      <c r="V92" s="169"/>
      <c r="W92" s="169"/>
      <c r="X92" s="197" t="e">
        <f t="shared" si="55"/>
        <v>#N/A</v>
      </c>
      <c r="Y92" s="432"/>
      <c r="Z92" s="169"/>
      <c r="AA92" s="169"/>
      <c r="AB92" s="169"/>
      <c r="AC92" s="197" t="e">
        <f t="shared" si="56"/>
        <v>#N/A</v>
      </c>
      <c r="AD92" s="432"/>
      <c r="AE92" s="169"/>
      <c r="AF92" s="169"/>
      <c r="AG92" s="169"/>
      <c r="AH92" s="197" t="e">
        <f t="shared" si="57"/>
        <v>#N/A</v>
      </c>
      <c r="AI92" s="432"/>
      <c r="AJ92" s="169"/>
      <c r="AK92" s="169"/>
      <c r="AL92" s="169"/>
      <c r="AM92" s="197" t="e">
        <f t="shared" si="58"/>
        <v>#N/A</v>
      </c>
      <c r="AN92" s="432"/>
      <c r="AO92" s="169"/>
      <c r="AP92" s="169"/>
      <c r="AQ92" s="169"/>
      <c r="AR92" s="197" t="e">
        <f t="shared" si="59"/>
        <v>#N/A</v>
      </c>
      <c r="AS92" s="432"/>
      <c r="AT92" s="169"/>
      <c r="AU92" s="169"/>
      <c r="AV92" s="169"/>
      <c r="AW92" s="197" t="e">
        <f t="shared" si="60"/>
        <v>#N/A</v>
      </c>
      <c r="AX92" s="432"/>
    </row>
    <row r="93" spans="2:50">
      <c r="B93" s="422"/>
      <c r="C93" s="197">
        <v>7</v>
      </c>
      <c r="D93" s="225"/>
      <c r="E93" s="169"/>
      <c r="F93" s="197"/>
      <c r="G93" s="195"/>
      <c r="H93" s="429"/>
      <c r="I93" s="169" t="e">
        <f t="shared" si="53"/>
        <v>#DIV/0!</v>
      </c>
      <c r="J93" s="169" t="e">
        <f t="shared" si="53"/>
        <v>#DIV/0!</v>
      </c>
      <c r="K93" s="195" t="e">
        <f t="shared" si="53"/>
        <v>#DIV/0!</v>
      </c>
      <c r="L93" s="429"/>
      <c r="M93" s="196" t="e">
        <f>RANK(K93, K$87:$K$101)</f>
        <v>#DIV/0!</v>
      </c>
      <c r="N93" s="423"/>
      <c r="O93" s="423"/>
      <c r="P93" s="169"/>
      <c r="Q93" s="169"/>
      <c r="R93" s="169"/>
      <c r="S93" s="197" t="e">
        <f t="shared" si="54"/>
        <v>#N/A</v>
      </c>
      <c r="T93" s="432"/>
      <c r="U93" s="169"/>
      <c r="V93" s="169"/>
      <c r="W93" s="169"/>
      <c r="X93" s="197" t="e">
        <f t="shared" si="55"/>
        <v>#N/A</v>
      </c>
      <c r="Y93" s="432"/>
      <c r="Z93" s="169"/>
      <c r="AA93" s="169"/>
      <c r="AB93" s="169"/>
      <c r="AC93" s="197" t="e">
        <f t="shared" si="56"/>
        <v>#N/A</v>
      </c>
      <c r="AD93" s="432"/>
      <c r="AE93" s="169"/>
      <c r="AF93" s="169"/>
      <c r="AG93" s="169"/>
      <c r="AH93" s="197" t="e">
        <f t="shared" si="57"/>
        <v>#N/A</v>
      </c>
      <c r="AI93" s="432"/>
      <c r="AJ93" s="169"/>
      <c r="AK93" s="169"/>
      <c r="AL93" s="169"/>
      <c r="AM93" s="197" t="e">
        <f t="shared" si="58"/>
        <v>#N/A</v>
      </c>
      <c r="AN93" s="432"/>
      <c r="AO93" s="169"/>
      <c r="AP93" s="169"/>
      <c r="AQ93" s="169"/>
      <c r="AR93" s="197" t="e">
        <f t="shared" si="59"/>
        <v>#N/A</v>
      </c>
      <c r="AS93" s="432"/>
      <c r="AT93" s="169"/>
      <c r="AU93" s="169"/>
      <c r="AV93" s="169"/>
      <c r="AW93" s="197" t="e">
        <f t="shared" si="60"/>
        <v>#N/A</v>
      </c>
      <c r="AX93" s="432"/>
    </row>
    <row r="94" spans="2:50">
      <c r="B94" s="422"/>
      <c r="C94" s="197">
        <v>8</v>
      </c>
      <c r="D94" s="225"/>
      <c r="E94" s="169"/>
      <c r="F94" s="197"/>
      <c r="G94" s="195"/>
      <c r="H94" s="429"/>
      <c r="I94" s="169"/>
      <c r="J94" s="169"/>
      <c r="K94" s="195"/>
      <c r="L94" s="429"/>
      <c r="M94" s="196" t="e">
        <f>RANK(K94, K$87:$K$101)</f>
        <v>#DIV/0!</v>
      </c>
      <c r="N94" s="423"/>
      <c r="O94" s="423"/>
      <c r="P94" s="169"/>
      <c r="Q94" s="169"/>
      <c r="R94" s="169"/>
      <c r="S94" s="197" t="e">
        <f t="shared" si="54"/>
        <v>#N/A</v>
      </c>
      <c r="T94" s="432"/>
      <c r="U94" s="169"/>
      <c r="V94" s="169"/>
      <c r="W94" s="169"/>
      <c r="X94" s="197" t="e">
        <f t="shared" si="55"/>
        <v>#N/A</v>
      </c>
      <c r="Y94" s="432"/>
      <c r="Z94" s="169"/>
      <c r="AA94" s="169"/>
      <c r="AB94" s="169"/>
      <c r="AC94" s="197" t="e">
        <f t="shared" si="56"/>
        <v>#N/A</v>
      </c>
      <c r="AD94" s="432"/>
      <c r="AE94" s="169"/>
      <c r="AF94" s="169"/>
      <c r="AG94" s="169"/>
      <c r="AH94" s="197" t="e">
        <f t="shared" si="57"/>
        <v>#N/A</v>
      </c>
      <c r="AI94" s="432"/>
      <c r="AJ94" s="169"/>
      <c r="AK94" s="169"/>
      <c r="AL94" s="169"/>
      <c r="AM94" s="197" t="e">
        <f t="shared" si="58"/>
        <v>#N/A</v>
      </c>
      <c r="AN94" s="432"/>
      <c r="AO94" s="169"/>
      <c r="AP94" s="169"/>
      <c r="AQ94" s="169"/>
      <c r="AR94" s="197" t="e">
        <f t="shared" si="59"/>
        <v>#N/A</v>
      </c>
      <c r="AS94" s="432"/>
      <c r="AT94" s="169"/>
      <c r="AU94" s="169"/>
      <c r="AV94" s="169"/>
      <c r="AW94" s="197" t="e">
        <f t="shared" si="60"/>
        <v>#N/A</v>
      </c>
      <c r="AX94" s="432"/>
    </row>
    <row r="95" spans="2:50">
      <c r="B95" s="422"/>
      <c r="C95" s="197">
        <v>9</v>
      </c>
      <c r="D95" s="225"/>
      <c r="E95" s="169"/>
      <c r="F95" s="197"/>
      <c r="G95" s="195"/>
      <c r="H95" s="429"/>
      <c r="I95" s="169"/>
      <c r="J95" s="169"/>
      <c r="K95" s="195"/>
      <c r="L95" s="429"/>
      <c r="M95" s="196" t="e">
        <f>RANK(K95, K$87:$K$101)</f>
        <v>#DIV/0!</v>
      </c>
      <c r="N95" s="423"/>
      <c r="O95" s="423"/>
      <c r="P95" s="169"/>
      <c r="Q95" s="169"/>
      <c r="R95" s="169"/>
      <c r="S95" s="197" t="e">
        <f t="shared" si="54"/>
        <v>#N/A</v>
      </c>
      <c r="T95" s="432"/>
      <c r="U95" s="169"/>
      <c r="V95" s="169"/>
      <c r="W95" s="169"/>
      <c r="X95" s="197" t="e">
        <f t="shared" si="55"/>
        <v>#N/A</v>
      </c>
      <c r="Y95" s="432"/>
      <c r="Z95" s="169"/>
      <c r="AA95" s="169"/>
      <c r="AB95" s="169"/>
      <c r="AC95" s="197" t="e">
        <f t="shared" si="56"/>
        <v>#N/A</v>
      </c>
      <c r="AD95" s="432"/>
      <c r="AE95" s="169"/>
      <c r="AF95" s="169"/>
      <c r="AG95" s="169"/>
      <c r="AH95" s="197" t="e">
        <f t="shared" si="57"/>
        <v>#N/A</v>
      </c>
      <c r="AI95" s="432"/>
      <c r="AJ95" s="169"/>
      <c r="AK95" s="169"/>
      <c r="AL95" s="169"/>
      <c r="AM95" s="197" t="e">
        <f t="shared" si="58"/>
        <v>#N/A</v>
      </c>
      <c r="AN95" s="432"/>
      <c r="AO95" s="169"/>
      <c r="AP95" s="169"/>
      <c r="AQ95" s="169"/>
      <c r="AR95" s="197" t="e">
        <f t="shared" si="59"/>
        <v>#N/A</v>
      </c>
      <c r="AS95" s="432"/>
      <c r="AT95" s="169"/>
      <c r="AU95" s="169"/>
      <c r="AV95" s="195"/>
      <c r="AW95" s="197" t="e">
        <f t="shared" si="60"/>
        <v>#N/A</v>
      </c>
      <c r="AX95" s="432"/>
    </row>
    <row r="96" spans="2:50">
      <c r="B96" s="422"/>
      <c r="C96" s="197">
        <v>10</v>
      </c>
      <c r="D96" s="225"/>
      <c r="E96" s="169"/>
      <c r="F96" s="197"/>
      <c r="G96" s="195"/>
      <c r="H96" s="429"/>
      <c r="I96" s="169"/>
      <c r="J96" s="169"/>
      <c r="K96" s="195"/>
      <c r="L96" s="429"/>
      <c r="M96" s="196" t="e">
        <f>RANK(K96, K$87:$K$101)</f>
        <v>#DIV/0!</v>
      </c>
      <c r="N96" s="423"/>
      <c r="O96" s="423"/>
      <c r="P96" s="169"/>
      <c r="Q96" s="169"/>
      <c r="R96" s="169"/>
      <c r="S96" s="197" t="e">
        <f t="shared" si="54"/>
        <v>#N/A</v>
      </c>
      <c r="T96" s="432"/>
      <c r="U96" s="169"/>
      <c r="V96" s="169"/>
      <c r="W96" s="169"/>
      <c r="X96" s="197" t="e">
        <f t="shared" si="55"/>
        <v>#N/A</v>
      </c>
      <c r="Y96" s="432"/>
      <c r="Z96" s="169"/>
      <c r="AA96" s="169"/>
      <c r="AB96" s="169"/>
      <c r="AC96" s="197" t="e">
        <f t="shared" si="56"/>
        <v>#N/A</v>
      </c>
      <c r="AD96" s="432"/>
      <c r="AE96" s="169"/>
      <c r="AF96" s="169"/>
      <c r="AG96" s="169"/>
      <c r="AH96" s="197" t="e">
        <f t="shared" si="57"/>
        <v>#N/A</v>
      </c>
      <c r="AI96" s="432"/>
      <c r="AJ96" s="169"/>
      <c r="AK96" s="169"/>
      <c r="AL96" s="169"/>
      <c r="AM96" s="197" t="e">
        <f t="shared" si="58"/>
        <v>#N/A</v>
      </c>
      <c r="AN96" s="432"/>
      <c r="AO96" s="169"/>
      <c r="AP96" s="169"/>
      <c r="AQ96" s="169"/>
      <c r="AR96" s="197" t="e">
        <f t="shared" si="59"/>
        <v>#N/A</v>
      </c>
      <c r="AS96" s="432"/>
      <c r="AT96" s="169"/>
      <c r="AU96" s="169"/>
      <c r="AV96" s="195"/>
      <c r="AW96" s="197" t="e">
        <f t="shared" si="60"/>
        <v>#N/A</v>
      </c>
      <c r="AX96" s="432"/>
    </row>
    <row r="97" spans="2:50">
      <c r="B97" s="422"/>
      <c r="C97" s="197">
        <v>11</v>
      </c>
      <c r="D97" s="225"/>
      <c r="E97" s="169"/>
      <c r="F97" s="197"/>
      <c r="G97" s="195"/>
      <c r="H97" s="429"/>
      <c r="I97" s="197"/>
      <c r="J97" s="197"/>
      <c r="K97" s="197"/>
      <c r="L97" s="429"/>
      <c r="M97" s="196" t="e">
        <f>RANK(K97, K$87:$K$101)</f>
        <v>#DIV/0!</v>
      </c>
      <c r="N97" s="423"/>
      <c r="O97" s="423"/>
      <c r="P97" s="169"/>
      <c r="Q97" s="169"/>
      <c r="R97" s="169"/>
      <c r="S97" s="197" t="e">
        <f t="shared" si="54"/>
        <v>#N/A</v>
      </c>
      <c r="T97" s="432"/>
      <c r="U97" s="169"/>
      <c r="V97" s="169"/>
      <c r="W97" s="169"/>
      <c r="X97" s="197" t="e">
        <f t="shared" si="55"/>
        <v>#N/A</v>
      </c>
      <c r="Y97" s="432"/>
      <c r="Z97" s="169"/>
      <c r="AA97" s="169"/>
      <c r="AB97" s="169"/>
      <c r="AC97" s="197" t="e">
        <f t="shared" si="56"/>
        <v>#N/A</v>
      </c>
      <c r="AD97" s="432"/>
      <c r="AE97" s="169"/>
      <c r="AF97" s="169"/>
      <c r="AG97" s="169"/>
      <c r="AH97" s="197" t="e">
        <f t="shared" si="57"/>
        <v>#N/A</v>
      </c>
      <c r="AI97" s="432"/>
      <c r="AJ97" s="169"/>
      <c r="AK97" s="169"/>
      <c r="AL97" s="169"/>
      <c r="AM97" s="197" t="e">
        <f t="shared" si="58"/>
        <v>#N/A</v>
      </c>
      <c r="AN97" s="432"/>
      <c r="AO97" s="169"/>
      <c r="AP97" s="169"/>
      <c r="AQ97" s="169"/>
      <c r="AR97" s="197" t="e">
        <f t="shared" si="59"/>
        <v>#N/A</v>
      </c>
      <c r="AS97" s="432"/>
      <c r="AT97" s="169"/>
      <c r="AU97" s="169"/>
      <c r="AV97" s="195"/>
      <c r="AW97" s="197" t="e">
        <f t="shared" si="60"/>
        <v>#N/A</v>
      </c>
      <c r="AX97" s="432"/>
    </row>
    <row r="98" spans="2:50">
      <c r="B98" s="422"/>
      <c r="C98" s="197">
        <v>12</v>
      </c>
      <c r="D98" s="225"/>
      <c r="E98" s="169"/>
      <c r="F98" s="197"/>
      <c r="G98" s="195"/>
      <c r="H98" s="429"/>
      <c r="I98" s="197"/>
      <c r="J98" s="197"/>
      <c r="K98" s="197"/>
      <c r="L98" s="429"/>
      <c r="M98" s="196" t="e">
        <f>RANK(K98, K$87:$K$101)</f>
        <v>#DIV/0!</v>
      </c>
      <c r="N98" s="423"/>
      <c r="O98" s="423"/>
      <c r="P98" s="169"/>
      <c r="Q98" s="169"/>
      <c r="R98" s="169"/>
      <c r="S98" s="197" t="e">
        <f t="shared" si="54"/>
        <v>#N/A</v>
      </c>
      <c r="T98" s="432"/>
      <c r="U98" s="169"/>
      <c r="V98" s="169"/>
      <c r="W98" s="169"/>
      <c r="X98" s="197" t="e">
        <f t="shared" si="55"/>
        <v>#N/A</v>
      </c>
      <c r="Y98" s="432"/>
      <c r="Z98" s="169"/>
      <c r="AA98" s="169"/>
      <c r="AB98" s="169"/>
      <c r="AC98" s="197" t="e">
        <f t="shared" si="56"/>
        <v>#N/A</v>
      </c>
      <c r="AD98" s="432"/>
      <c r="AE98" s="169"/>
      <c r="AF98" s="169"/>
      <c r="AG98" s="169"/>
      <c r="AH98" s="197" t="e">
        <f t="shared" si="57"/>
        <v>#N/A</v>
      </c>
      <c r="AI98" s="432"/>
      <c r="AJ98" s="169"/>
      <c r="AK98" s="169"/>
      <c r="AL98" s="169"/>
      <c r="AM98" s="197" t="e">
        <f t="shared" si="58"/>
        <v>#N/A</v>
      </c>
      <c r="AN98" s="432"/>
      <c r="AO98" s="169"/>
      <c r="AP98" s="169"/>
      <c r="AQ98" s="169"/>
      <c r="AR98" s="197" t="e">
        <f t="shared" si="59"/>
        <v>#N/A</v>
      </c>
      <c r="AS98" s="432"/>
      <c r="AT98" s="169"/>
      <c r="AU98" s="169"/>
      <c r="AV98" s="195"/>
      <c r="AW98" s="197" t="e">
        <f t="shared" si="60"/>
        <v>#N/A</v>
      </c>
      <c r="AX98" s="432"/>
    </row>
    <row r="99" spans="2:50">
      <c r="B99" s="422"/>
      <c r="C99" s="197">
        <v>13</v>
      </c>
      <c r="D99" s="225"/>
      <c r="E99" s="169"/>
      <c r="F99" s="197"/>
      <c r="G99" s="195"/>
      <c r="H99" s="429"/>
      <c r="I99" s="197"/>
      <c r="J99" s="197"/>
      <c r="K99" s="197"/>
      <c r="L99" s="429"/>
      <c r="M99" s="196" t="e">
        <f>RANK(K99, K$87:$K$101)</f>
        <v>#DIV/0!</v>
      </c>
      <c r="N99" s="423"/>
      <c r="O99" s="423"/>
      <c r="P99" s="169"/>
      <c r="Q99" s="169"/>
      <c r="R99" s="169"/>
      <c r="S99" s="197" t="e">
        <f t="shared" si="54"/>
        <v>#N/A</v>
      </c>
      <c r="T99" s="432"/>
      <c r="U99" s="169"/>
      <c r="V99" s="169"/>
      <c r="W99" s="169"/>
      <c r="X99" s="197" t="e">
        <f t="shared" si="55"/>
        <v>#N/A</v>
      </c>
      <c r="Y99" s="432"/>
      <c r="Z99" s="169"/>
      <c r="AA99" s="169"/>
      <c r="AB99" s="169"/>
      <c r="AC99" s="197" t="e">
        <f t="shared" si="56"/>
        <v>#N/A</v>
      </c>
      <c r="AD99" s="432"/>
      <c r="AE99" s="169"/>
      <c r="AF99" s="169"/>
      <c r="AG99" s="169"/>
      <c r="AH99" s="197" t="e">
        <f t="shared" si="57"/>
        <v>#N/A</v>
      </c>
      <c r="AI99" s="432"/>
      <c r="AJ99" s="169"/>
      <c r="AK99" s="169"/>
      <c r="AL99" s="169"/>
      <c r="AM99" s="197" t="e">
        <f t="shared" si="58"/>
        <v>#N/A</v>
      </c>
      <c r="AN99" s="432"/>
      <c r="AO99" s="169"/>
      <c r="AP99" s="169"/>
      <c r="AQ99" s="169"/>
      <c r="AR99" s="197" t="e">
        <f t="shared" si="59"/>
        <v>#N/A</v>
      </c>
      <c r="AS99" s="432"/>
      <c r="AT99" s="169"/>
      <c r="AU99" s="169"/>
      <c r="AV99" s="195"/>
      <c r="AW99" s="197" t="e">
        <f t="shared" si="60"/>
        <v>#N/A</v>
      </c>
      <c r="AX99" s="432"/>
    </row>
    <row r="100" spans="2:50">
      <c r="B100" s="422"/>
      <c r="C100" s="197">
        <v>14</v>
      </c>
      <c r="D100" s="225"/>
      <c r="E100" s="169"/>
      <c r="F100" s="197"/>
      <c r="G100" s="195"/>
      <c r="H100" s="429"/>
      <c r="I100" s="197"/>
      <c r="J100" s="197"/>
      <c r="K100" s="197"/>
      <c r="L100" s="429"/>
      <c r="M100" s="196" t="e">
        <f>RANK(K100, K$87:$K$101)</f>
        <v>#DIV/0!</v>
      </c>
      <c r="N100" s="423"/>
      <c r="O100" s="423"/>
      <c r="P100" s="169"/>
      <c r="Q100" s="169"/>
      <c r="R100" s="169"/>
      <c r="S100" s="197" t="e">
        <f t="shared" si="54"/>
        <v>#N/A</v>
      </c>
      <c r="T100" s="432"/>
      <c r="U100" s="169"/>
      <c r="V100" s="169"/>
      <c r="W100" s="169"/>
      <c r="X100" s="197" t="e">
        <f t="shared" si="55"/>
        <v>#N/A</v>
      </c>
      <c r="Y100" s="432"/>
      <c r="Z100" s="169"/>
      <c r="AA100" s="169"/>
      <c r="AB100" s="169"/>
      <c r="AC100" s="197" t="e">
        <f t="shared" si="56"/>
        <v>#N/A</v>
      </c>
      <c r="AD100" s="432"/>
      <c r="AE100" s="169"/>
      <c r="AF100" s="169"/>
      <c r="AG100" s="169"/>
      <c r="AH100" s="197" t="e">
        <f t="shared" si="57"/>
        <v>#N/A</v>
      </c>
      <c r="AI100" s="432"/>
      <c r="AJ100" s="169"/>
      <c r="AK100" s="169"/>
      <c r="AL100" s="169"/>
      <c r="AM100" s="197" t="e">
        <f t="shared" si="58"/>
        <v>#N/A</v>
      </c>
      <c r="AN100" s="432"/>
      <c r="AO100" s="169"/>
      <c r="AP100" s="169"/>
      <c r="AQ100" s="169"/>
      <c r="AR100" s="197" t="e">
        <f t="shared" si="59"/>
        <v>#N/A</v>
      </c>
      <c r="AS100" s="432"/>
      <c r="AT100" s="169"/>
      <c r="AU100" s="169"/>
      <c r="AV100" s="195"/>
      <c r="AW100" s="197" t="e">
        <f t="shared" si="60"/>
        <v>#N/A</v>
      </c>
      <c r="AX100" s="432"/>
    </row>
    <row r="101" spans="2:50">
      <c r="B101" s="422"/>
      <c r="C101" s="197">
        <v>15</v>
      </c>
      <c r="D101" s="225"/>
      <c r="E101" s="169"/>
      <c r="F101" s="197"/>
      <c r="G101" s="195"/>
      <c r="H101" s="430"/>
      <c r="I101" s="197"/>
      <c r="J101" s="197"/>
      <c r="K101" s="197"/>
      <c r="L101" s="430"/>
      <c r="M101" s="169" t="e">
        <f>RANK(K101, K$87:$K$101)</f>
        <v>#DIV/0!</v>
      </c>
      <c r="N101" s="423"/>
      <c r="O101" s="423"/>
      <c r="P101" s="169"/>
      <c r="Q101" s="169"/>
      <c r="R101" s="169"/>
      <c r="S101" s="197" t="e">
        <f t="shared" si="54"/>
        <v>#N/A</v>
      </c>
      <c r="T101" s="432"/>
      <c r="U101" s="169"/>
      <c r="V101" s="169"/>
      <c r="W101" s="169"/>
      <c r="X101" s="197" t="e">
        <f t="shared" si="55"/>
        <v>#N/A</v>
      </c>
      <c r="Y101" s="432"/>
      <c r="Z101" s="169"/>
      <c r="AA101" s="169"/>
      <c r="AB101" s="169"/>
      <c r="AC101" s="197" t="e">
        <f t="shared" si="56"/>
        <v>#N/A</v>
      </c>
      <c r="AD101" s="432"/>
      <c r="AE101" s="169"/>
      <c r="AF101" s="169"/>
      <c r="AG101" s="169"/>
      <c r="AH101" s="197" t="e">
        <f t="shared" si="57"/>
        <v>#N/A</v>
      </c>
      <c r="AI101" s="432"/>
      <c r="AJ101" s="169"/>
      <c r="AK101" s="169"/>
      <c r="AL101" s="169"/>
      <c r="AM101" s="197" t="e">
        <f t="shared" si="58"/>
        <v>#N/A</v>
      </c>
      <c r="AN101" s="432"/>
      <c r="AO101" s="169"/>
      <c r="AP101" s="169"/>
      <c r="AQ101" s="169"/>
      <c r="AR101" s="197" t="e">
        <f t="shared" si="59"/>
        <v>#N/A</v>
      </c>
      <c r="AS101" s="432"/>
      <c r="AT101" s="169"/>
      <c r="AU101" s="169"/>
      <c r="AV101" s="195"/>
      <c r="AW101" s="197" t="e">
        <f t="shared" si="60"/>
        <v>#N/A</v>
      </c>
      <c r="AX101" s="432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101"/>
  <sheetViews>
    <sheetView topLeftCell="A28" zoomScale="50" zoomScaleNormal="50" workbookViewId="0">
      <pane xSplit="15" topLeftCell="S1" activePane="topRight" state="frozen"/>
      <selection pane="topRight" activeCell="AT53" sqref="AT53"/>
      <selection sqref="A1:L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15" t="s">
        <v>246</v>
      </c>
      <c r="C1" s="102">
        <f>AVERAGE(L7,L27,L47,L67,L87)</f>
        <v>117.40788742791322</v>
      </c>
    </row>
    <row r="2" spans="1:50" ht="15.75">
      <c r="A2" s="79"/>
      <c r="B2" s="396" t="s">
        <v>202</v>
      </c>
      <c r="C2" s="396"/>
      <c r="D2" s="396"/>
      <c r="E2" s="396"/>
      <c r="F2" s="396"/>
      <c r="G2" s="396"/>
      <c r="H2" s="396"/>
      <c r="I2" s="198"/>
      <c r="J2" s="198"/>
      <c r="K2" s="198"/>
      <c r="L2" s="198"/>
      <c r="M2" s="193"/>
      <c r="N2" s="401" t="s">
        <v>203</v>
      </c>
      <c r="O2" s="401" t="s">
        <v>150</v>
      </c>
      <c r="P2" s="416">
        <v>45895</v>
      </c>
      <c r="Q2" s="417"/>
      <c r="R2" s="417"/>
      <c r="S2" s="417"/>
      <c r="T2" s="418"/>
      <c r="U2" s="421">
        <f>P2+1</f>
        <v>45896</v>
      </c>
      <c r="V2" s="422"/>
      <c r="W2" s="422"/>
      <c r="X2" s="422"/>
      <c r="Y2" s="422"/>
      <c r="Z2" s="421">
        <f>U2+1</f>
        <v>45897</v>
      </c>
      <c r="AA2" s="422"/>
      <c r="AB2" s="422"/>
      <c r="AC2" s="422"/>
      <c r="AD2" s="422"/>
      <c r="AE2" s="421">
        <f>Z2+1</f>
        <v>45898</v>
      </c>
      <c r="AF2" s="422"/>
      <c r="AG2" s="422"/>
      <c r="AH2" s="422"/>
      <c r="AI2" s="422"/>
      <c r="AJ2" s="421">
        <f>AE2+1</f>
        <v>45899</v>
      </c>
      <c r="AK2" s="422"/>
      <c r="AL2" s="422"/>
      <c r="AM2" s="422"/>
      <c r="AN2" s="422"/>
      <c r="AO2" s="421">
        <f>AJ2+1</f>
        <v>45900</v>
      </c>
      <c r="AP2" s="422"/>
      <c r="AQ2" s="422"/>
      <c r="AR2" s="422"/>
      <c r="AS2" s="422"/>
      <c r="AT2" s="421">
        <f>AO2+1</f>
        <v>45901</v>
      </c>
      <c r="AU2" s="422"/>
      <c r="AV2" s="422"/>
      <c r="AW2" s="422"/>
      <c r="AX2" s="422"/>
    </row>
    <row r="3" spans="1:50" ht="15.75">
      <c r="A3" s="79"/>
      <c r="B3" s="397"/>
      <c r="C3" s="397"/>
      <c r="D3" s="397"/>
      <c r="E3" s="397"/>
      <c r="F3" s="397"/>
      <c r="G3" s="397"/>
      <c r="H3" s="397"/>
      <c r="I3" s="199"/>
      <c r="J3" s="199"/>
      <c r="K3" s="199"/>
      <c r="L3" s="199"/>
      <c r="M3" s="194"/>
      <c r="N3" s="403"/>
      <c r="O3" s="403"/>
      <c r="P3" s="416" t="s">
        <v>204</v>
      </c>
      <c r="Q3" s="417"/>
      <c r="R3" s="417"/>
      <c r="S3" s="417"/>
      <c r="T3" s="418"/>
      <c r="U3" s="416" t="s">
        <v>205</v>
      </c>
      <c r="V3" s="417"/>
      <c r="W3" s="417"/>
      <c r="X3" s="417"/>
      <c r="Y3" s="418"/>
      <c r="Z3" s="416" t="s">
        <v>206</v>
      </c>
      <c r="AA3" s="417"/>
      <c r="AB3" s="417"/>
      <c r="AC3" s="417"/>
      <c r="AD3" s="418"/>
      <c r="AE3" s="416" t="s">
        <v>207</v>
      </c>
      <c r="AF3" s="417"/>
      <c r="AG3" s="417"/>
      <c r="AH3" s="417"/>
      <c r="AI3" s="418"/>
      <c r="AJ3" s="416" t="s">
        <v>208</v>
      </c>
      <c r="AK3" s="417"/>
      <c r="AL3" s="417"/>
      <c r="AM3" s="417"/>
      <c r="AN3" s="418"/>
      <c r="AO3" s="416" t="s">
        <v>157</v>
      </c>
      <c r="AP3" s="417"/>
      <c r="AQ3" s="417"/>
      <c r="AR3" s="417"/>
      <c r="AS3" s="418"/>
      <c r="AT3" s="416" t="s">
        <v>209</v>
      </c>
      <c r="AU3" s="417"/>
      <c r="AV3" s="417"/>
      <c r="AW3" s="417"/>
      <c r="AX3" s="418"/>
    </row>
    <row r="4" spans="1:50">
      <c r="A4" s="79"/>
      <c r="B4" s="423" t="s">
        <v>210</v>
      </c>
      <c r="C4" s="423" t="s">
        <v>211</v>
      </c>
      <c r="D4" s="423"/>
      <c r="E4" s="423" t="s">
        <v>212</v>
      </c>
      <c r="F4" s="423"/>
      <c r="G4" s="423"/>
      <c r="H4" s="404" t="s">
        <v>213</v>
      </c>
      <c r="I4" s="423" t="s">
        <v>214</v>
      </c>
      <c r="J4" s="423"/>
      <c r="K4" s="423"/>
      <c r="L4" s="404" t="s">
        <v>213</v>
      </c>
      <c r="M4" s="401" t="s">
        <v>215</v>
      </c>
      <c r="N4" s="423"/>
      <c r="O4" s="423" t="s">
        <v>216</v>
      </c>
      <c r="P4" s="413" t="s">
        <v>217</v>
      </c>
      <c r="Q4" s="414"/>
      <c r="R4" s="414"/>
      <c r="S4" s="415"/>
      <c r="T4" s="423" t="s">
        <v>213</v>
      </c>
      <c r="U4" s="413" t="s">
        <v>217</v>
      </c>
      <c r="V4" s="414"/>
      <c r="W4" s="414"/>
      <c r="X4" s="415"/>
      <c r="Y4" s="423" t="s">
        <v>213</v>
      </c>
      <c r="Z4" s="413" t="s">
        <v>217</v>
      </c>
      <c r="AA4" s="414"/>
      <c r="AB4" s="414"/>
      <c r="AC4" s="415"/>
      <c r="AD4" s="423" t="s">
        <v>213</v>
      </c>
      <c r="AE4" s="413" t="s">
        <v>217</v>
      </c>
      <c r="AF4" s="414"/>
      <c r="AG4" s="414"/>
      <c r="AH4" s="415"/>
      <c r="AI4" s="423" t="s">
        <v>213</v>
      </c>
      <c r="AJ4" s="413" t="s">
        <v>217</v>
      </c>
      <c r="AK4" s="414"/>
      <c r="AL4" s="414"/>
      <c r="AM4" s="415"/>
      <c r="AN4" s="423" t="s">
        <v>213</v>
      </c>
      <c r="AO4" s="413" t="s">
        <v>217</v>
      </c>
      <c r="AP4" s="414"/>
      <c r="AQ4" s="414"/>
      <c r="AR4" s="415"/>
      <c r="AS4" s="423" t="s">
        <v>213</v>
      </c>
      <c r="AT4" s="413" t="s">
        <v>217</v>
      </c>
      <c r="AU4" s="414"/>
      <c r="AV4" s="414"/>
      <c r="AW4" s="415"/>
      <c r="AX4" s="423" t="s">
        <v>213</v>
      </c>
    </row>
    <row r="5" spans="1:50">
      <c r="A5" s="79"/>
      <c r="B5" s="423"/>
      <c r="C5" s="423"/>
      <c r="D5" s="423"/>
      <c r="E5" s="423" t="s">
        <v>218</v>
      </c>
      <c r="F5" s="423"/>
      <c r="G5" s="423"/>
      <c r="H5" s="406"/>
      <c r="I5" s="423" t="s">
        <v>218</v>
      </c>
      <c r="J5" s="423"/>
      <c r="K5" s="423"/>
      <c r="L5" s="406"/>
      <c r="M5" s="402"/>
      <c r="N5" s="423"/>
      <c r="O5" s="423"/>
      <c r="P5" s="413" t="s">
        <v>219</v>
      </c>
      <c r="Q5" s="414"/>
      <c r="R5" s="414"/>
      <c r="S5" s="415"/>
      <c r="T5" s="423"/>
      <c r="U5" s="413" t="s">
        <v>219</v>
      </c>
      <c r="V5" s="414"/>
      <c r="W5" s="414"/>
      <c r="X5" s="415"/>
      <c r="Y5" s="423"/>
      <c r="Z5" s="413" t="s">
        <v>219</v>
      </c>
      <c r="AA5" s="414"/>
      <c r="AB5" s="414"/>
      <c r="AC5" s="415"/>
      <c r="AD5" s="423"/>
      <c r="AE5" s="413" t="s">
        <v>219</v>
      </c>
      <c r="AF5" s="414"/>
      <c r="AG5" s="414"/>
      <c r="AH5" s="415"/>
      <c r="AI5" s="423"/>
      <c r="AJ5" s="413" t="s">
        <v>219</v>
      </c>
      <c r="AK5" s="414"/>
      <c r="AL5" s="414"/>
      <c r="AM5" s="415"/>
      <c r="AN5" s="423"/>
      <c r="AO5" s="413" t="s">
        <v>219</v>
      </c>
      <c r="AP5" s="414"/>
      <c r="AQ5" s="414"/>
      <c r="AR5" s="415"/>
      <c r="AS5" s="423"/>
      <c r="AT5" s="413" t="s">
        <v>219</v>
      </c>
      <c r="AU5" s="414"/>
      <c r="AV5" s="414"/>
      <c r="AW5" s="415"/>
      <c r="AX5" s="423"/>
    </row>
    <row r="6" spans="1:50">
      <c r="A6" s="77"/>
      <c r="B6" s="423"/>
      <c r="C6" s="423"/>
      <c r="D6" s="423"/>
      <c r="E6" s="297" t="s">
        <v>220</v>
      </c>
      <c r="F6" s="297" t="s">
        <v>221</v>
      </c>
      <c r="G6" s="297" t="s">
        <v>222</v>
      </c>
      <c r="H6" s="408"/>
      <c r="I6" s="297" t="s">
        <v>220</v>
      </c>
      <c r="J6" s="297" t="s">
        <v>221</v>
      </c>
      <c r="K6" s="297" t="s">
        <v>222</v>
      </c>
      <c r="L6" s="408"/>
      <c r="M6" s="403"/>
      <c r="N6" s="423"/>
      <c r="O6" s="423"/>
      <c r="P6" s="297" t="s">
        <v>220</v>
      </c>
      <c r="Q6" s="297" t="s">
        <v>221</v>
      </c>
      <c r="R6" s="297" t="s">
        <v>222</v>
      </c>
      <c r="S6" s="297" t="s">
        <v>215</v>
      </c>
      <c r="T6" s="423"/>
      <c r="U6" s="297" t="s">
        <v>220</v>
      </c>
      <c r="V6" s="297" t="s">
        <v>221</v>
      </c>
      <c r="W6" s="297" t="s">
        <v>222</v>
      </c>
      <c r="X6" s="297" t="s">
        <v>215</v>
      </c>
      <c r="Y6" s="423"/>
      <c r="Z6" s="297" t="s">
        <v>220</v>
      </c>
      <c r="AA6" s="297" t="s">
        <v>221</v>
      </c>
      <c r="AB6" s="297" t="s">
        <v>222</v>
      </c>
      <c r="AC6" s="297" t="s">
        <v>215</v>
      </c>
      <c r="AD6" s="423"/>
      <c r="AE6" s="297" t="s">
        <v>220</v>
      </c>
      <c r="AF6" s="297" t="s">
        <v>221</v>
      </c>
      <c r="AG6" s="297" t="s">
        <v>222</v>
      </c>
      <c r="AH6" s="297" t="s">
        <v>215</v>
      </c>
      <c r="AI6" s="423"/>
      <c r="AJ6" s="297" t="s">
        <v>220</v>
      </c>
      <c r="AK6" s="297" t="s">
        <v>221</v>
      </c>
      <c r="AL6" s="297" t="s">
        <v>222</v>
      </c>
      <c r="AM6" s="297" t="s">
        <v>215</v>
      </c>
      <c r="AN6" s="423"/>
      <c r="AO6" s="297" t="s">
        <v>220</v>
      </c>
      <c r="AP6" s="297" t="s">
        <v>221</v>
      </c>
      <c r="AQ6" s="297" t="s">
        <v>222</v>
      </c>
      <c r="AR6" s="297" t="s">
        <v>215</v>
      </c>
      <c r="AS6" s="423"/>
      <c r="AT6" s="297" t="s">
        <v>220</v>
      </c>
      <c r="AU6" s="297" t="s">
        <v>221</v>
      </c>
      <c r="AV6" s="297" t="s">
        <v>222</v>
      </c>
      <c r="AW6" s="297" t="s">
        <v>215</v>
      </c>
      <c r="AX6" s="423"/>
    </row>
    <row r="7" spans="1:50">
      <c r="A7" s="79"/>
      <c r="B7" s="423" t="s">
        <v>313</v>
      </c>
      <c r="C7" s="197">
        <v>1</v>
      </c>
      <c r="D7" s="225" t="s">
        <v>314</v>
      </c>
      <c r="E7" s="169">
        <v>21</v>
      </c>
      <c r="F7" s="197">
        <v>2400</v>
      </c>
      <c r="G7" s="195">
        <v>114.28571428571429</v>
      </c>
      <c r="H7" s="428">
        <f>AVERAGE(G7:G21)</f>
        <v>128.05012531328322</v>
      </c>
      <c r="I7" s="169">
        <f>AVERAGE(P7,U7,Z7,AE7,AJ7,AO7,AT7)</f>
        <v>21</v>
      </c>
      <c r="J7" s="169">
        <f>AVERAGE(Q7,V7,AA7,AF7,AK7,AP7,AU7)</f>
        <v>2177.7979316210358</v>
      </c>
      <c r="K7" s="195">
        <f>AVERAGE(R7,W7,AB7,AG7,AL7,AQ7,AV7)</f>
        <v>103.7046634105255</v>
      </c>
      <c r="L7" s="428">
        <f>IFERROR(AVERAGE(K7:K21),"-")</f>
        <v>116.94994015983767</v>
      </c>
      <c r="M7" s="196">
        <f>RANK(K7, K$7:$K$21)</f>
        <v>5</v>
      </c>
      <c r="N7" s="423"/>
      <c r="O7" s="423"/>
      <c r="P7" s="197">
        <v>21</v>
      </c>
      <c r="Q7" s="195">
        <v>2213.1645569620268</v>
      </c>
      <c r="R7" s="195">
        <v>105.38878842676318</v>
      </c>
      <c r="S7" s="197">
        <f t="shared" ref="S7:S21" si="0">RANK(R7, R$7:R$21)</f>
        <v>5</v>
      </c>
      <c r="T7" s="428">
        <f>AVERAGE(R7:R21)</f>
        <v>117.39670851947876</v>
      </c>
      <c r="U7" s="197">
        <v>21</v>
      </c>
      <c r="V7" s="195">
        <v>2151.9512195121943</v>
      </c>
      <c r="W7" s="195">
        <v>102.47386759581877</v>
      </c>
      <c r="X7" s="197">
        <f t="shared" ref="X7:X21" si="1">RANK(W7, W$7:W$21)</f>
        <v>5</v>
      </c>
      <c r="Y7" s="428">
        <f>AVERAGE(W7:W21)</f>
        <v>116.29588132283727</v>
      </c>
      <c r="Z7" s="197">
        <v>21</v>
      </c>
      <c r="AA7" s="195">
        <v>2199.2307692307704</v>
      </c>
      <c r="AB7" s="195">
        <v>104.72527472527479</v>
      </c>
      <c r="AC7" s="197">
        <f t="shared" ref="AC7:AC21" si="2">RANK(AB7, AB$7:AB$21)</f>
        <v>5</v>
      </c>
      <c r="AD7" s="428">
        <f>AVERAGE(AB7:AB21)</f>
        <v>116.29529348700078</v>
      </c>
      <c r="AE7" s="197">
        <v>21</v>
      </c>
      <c r="AF7" s="195">
        <v>2196.3157894736851</v>
      </c>
      <c r="AG7" s="195">
        <v>104.58646616541357</v>
      </c>
      <c r="AH7" s="197">
        <f t="shared" ref="AH7:AH21" si="3">RANK(AG7, AG$7:AG$21)</f>
        <v>5</v>
      </c>
      <c r="AI7" s="428">
        <f>AVERAGE(AG7:AG21)</f>
        <v>117.3333651587587</v>
      </c>
      <c r="AJ7" s="197">
        <v>21</v>
      </c>
      <c r="AK7" s="195">
        <v>2184.8000000000011</v>
      </c>
      <c r="AL7" s="195">
        <v>104.03809523809529</v>
      </c>
      <c r="AM7" s="197">
        <f t="shared" ref="AM7:AM21" si="4">RANK(AL7, AL$7:AL$21)</f>
        <v>5</v>
      </c>
      <c r="AN7" s="428">
        <f>AVERAGE(AL7:AL21)</f>
        <v>117.89282913165266</v>
      </c>
      <c r="AO7" s="197">
        <v>21</v>
      </c>
      <c r="AP7" s="195">
        <v>2149.7560975609749</v>
      </c>
      <c r="AQ7" s="195">
        <v>102.36933797909404</v>
      </c>
      <c r="AR7" s="197">
        <f t="shared" ref="AR7:AR21" si="5">RANK(AQ7, AQ$7:AQ$21)</f>
        <v>5</v>
      </c>
      <c r="AS7" s="428">
        <f>AVERAGE(AQ7:AQ21)</f>
        <v>116.58936880289835</v>
      </c>
      <c r="AT7" s="197">
        <v>21</v>
      </c>
      <c r="AU7" s="195">
        <v>2149.3670886075961</v>
      </c>
      <c r="AV7" s="195">
        <v>102.35081374321886</v>
      </c>
      <c r="AW7" s="197">
        <f t="shared" ref="AW7:AW21" si="6">RANK(AV7, AV$7:AV$21)</f>
        <v>5</v>
      </c>
      <c r="AX7" s="432">
        <f>AVERAGE(AV7:AV21)</f>
        <v>116.8461346962371</v>
      </c>
    </row>
    <row r="8" spans="1:50" ht="15" customHeight="1">
      <c r="A8" s="79"/>
      <c r="B8" s="422"/>
      <c r="C8" s="197">
        <v>2</v>
      </c>
      <c r="D8" s="225" t="s">
        <v>315</v>
      </c>
      <c r="E8" s="169">
        <v>18</v>
      </c>
      <c r="F8" s="197">
        <v>2571</v>
      </c>
      <c r="G8" s="195">
        <v>142.83333333333334</v>
      </c>
      <c r="H8" s="429"/>
      <c r="I8" s="169">
        <f t="shared" ref="I8:K11" si="7">AVERAGE(P8,U8,Z8,AE8,AJ8,AO8,AT8)</f>
        <v>20</v>
      </c>
      <c r="J8" s="169">
        <f t="shared" si="7"/>
        <v>2389.0129057421541</v>
      </c>
      <c r="K8" s="195">
        <f t="shared" si="7"/>
        <v>119.4506452871077</v>
      </c>
      <c r="L8" s="429"/>
      <c r="M8" s="196">
        <f>RANK(K8, K$7:$K$21)</f>
        <v>3</v>
      </c>
      <c r="N8" s="423"/>
      <c r="O8" s="423"/>
      <c r="P8" s="197">
        <v>20</v>
      </c>
      <c r="Q8" s="195">
        <v>2368.8000000000011</v>
      </c>
      <c r="R8" s="195">
        <v>118.44000000000005</v>
      </c>
      <c r="S8" s="197">
        <f t="shared" si="0"/>
        <v>3</v>
      </c>
      <c r="T8" s="429"/>
      <c r="U8" s="197">
        <v>20</v>
      </c>
      <c r="V8" s="195">
        <v>2402.4324324324334</v>
      </c>
      <c r="W8" s="195">
        <v>120.12162162162167</v>
      </c>
      <c r="X8" s="197">
        <f t="shared" si="1"/>
        <v>3</v>
      </c>
      <c r="Y8" s="429"/>
      <c r="Z8" s="197">
        <v>20</v>
      </c>
      <c r="AA8" s="195">
        <v>2361.428571428572</v>
      </c>
      <c r="AB8" s="195">
        <v>118.0714285714286</v>
      </c>
      <c r="AC8" s="197">
        <f t="shared" si="2"/>
        <v>3</v>
      </c>
      <c r="AD8" s="429"/>
      <c r="AE8" s="197">
        <v>20</v>
      </c>
      <c r="AF8" s="195">
        <v>2398.2089552238804</v>
      </c>
      <c r="AG8" s="195">
        <v>119.91044776119402</v>
      </c>
      <c r="AH8" s="197">
        <f t="shared" si="3"/>
        <v>3</v>
      </c>
      <c r="AI8" s="429"/>
      <c r="AJ8" s="197">
        <v>20</v>
      </c>
      <c r="AK8" s="195">
        <v>2355.8823529411766</v>
      </c>
      <c r="AL8" s="195">
        <v>117.79411764705883</v>
      </c>
      <c r="AM8" s="197">
        <f t="shared" si="4"/>
        <v>3</v>
      </c>
      <c r="AN8" s="429"/>
      <c r="AO8" s="197">
        <v>20</v>
      </c>
      <c r="AP8" s="195">
        <v>2432.9577464788736</v>
      </c>
      <c r="AQ8" s="195">
        <v>121.64788732394368</v>
      </c>
      <c r="AR8" s="197">
        <f t="shared" si="5"/>
        <v>2</v>
      </c>
      <c r="AS8" s="429"/>
      <c r="AT8" s="197">
        <v>20</v>
      </c>
      <c r="AU8" s="195">
        <v>2403.3802816901416</v>
      </c>
      <c r="AV8" s="195">
        <v>120.16901408450708</v>
      </c>
      <c r="AW8" s="197">
        <f t="shared" si="6"/>
        <v>3</v>
      </c>
      <c r="AX8" s="432"/>
    </row>
    <row r="9" spans="1:50">
      <c r="A9" s="79"/>
      <c r="B9" s="422"/>
      <c r="C9" s="197">
        <v>3</v>
      </c>
      <c r="D9" s="225" t="s">
        <v>316</v>
      </c>
      <c r="E9" s="169">
        <v>20</v>
      </c>
      <c r="F9" s="197">
        <v>2250</v>
      </c>
      <c r="G9" s="195">
        <v>112.5</v>
      </c>
      <c r="H9" s="429"/>
      <c r="I9" s="169">
        <f t="shared" si="7"/>
        <v>20</v>
      </c>
      <c r="J9" s="169">
        <f t="shared" si="7"/>
        <v>2285.6362457868813</v>
      </c>
      <c r="K9" s="195">
        <f t="shared" si="7"/>
        <v>114.28181228934406</v>
      </c>
      <c r="L9" s="429"/>
      <c r="M9" s="196">
        <f>RANK(K9, K$7:$K$21)</f>
        <v>4</v>
      </c>
      <c r="N9" s="423"/>
      <c r="O9" s="423"/>
      <c r="P9" s="197">
        <v>20</v>
      </c>
      <c r="Q9" s="195">
        <v>2277.8571428571445</v>
      </c>
      <c r="R9" s="195">
        <v>113.89285714285722</v>
      </c>
      <c r="S9" s="197">
        <f t="shared" si="0"/>
        <v>4</v>
      </c>
      <c r="T9" s="429"/>
      <c r="U9" s="197">
        <v>20</v>
      </c>
      <c r="V9" s="195">
        <v>2279.9999999999991</v>
      </c>
      <c r="W9" s="195">
        <v>113.99999999999996</v>
      </c>
      <c r="X9" s="197">
        <f t="shared" si="1"/>
        <v>4</v>
      </c>
      <c r="Y9" s="429"/>
      <c r="Z9" s="197">
        <v>20</v>
      </c>
      <c r="AA9" s="195">
        <v>2203.9999999999986</v>
      </c>
      <c r="AB9" s="195">
        <v>110.19999999999993</v>
      </c>
      <c r="AC9" s="197">
        <f t="shared" si="2"/>
        <v>4</v>
      </c>
      <c r="AD9" s="429"/>
      <c r="AE9" s="197">
        <v>20</v>
      </c>
      <c r="AF9" s="195">
        <v>2297.1428571428587</v>
      </c>
      <c r="AG9" s="195">
        <v>114.85714285714293</v>
      </c>
      <c r="AH9" s="197">
        <f t="shared" si="3"/>
        <v>4</v>
      </c>
      <c r="AI9" s="429"/>
      <c r="AJ9" s="197">
        <v>20</v>
      </c>
      <c r="AK9" s="195">
        <v>2320.0000000000009</v>
      </c>
      <c r="AL9" s="195">
        <v>116.00000000000004</v>
      </c>
      <c r="AM9" s="197">
        <f t="shared" si="4"/>
        <v>4</v>
      </c>
      <c r="AN9" s="429"/>
      <c r="AO9" s="197">
        <v>20</v>
      </c>
      <c r="AP9" s="195">
        <v>2314.137931034481</v>
      </c>
      <c r="AQ9" s="195">
        <v>115.70689655172404</v>
      </c>
      <c r="AR9" s="197">
        <f t="shared" si="5"/>
        <v>4</v>
      </c>
      <c r="AS9" s="429"/>
      <c r="AT9" s="197">
        <v>20</v>
      </c>
      <c r="AU9" s="195">
        <v>2306.315789473686</v>
      </c>
      <c r="AV9" s="195">
        <v>115.3157894736843</v>
      </c>
      <c r="AW9" s="197">
        <f t="shared" si="6"/>
        <v>4</v>
      </c>
      <c r="AX9" s="432"/>
    </row>
    <row r="10" spans="1:50">
      <c r="A10" s="79"/>
      <c r="B10" s="422"/>
      <c r="C10" s="197">
        <v>4</v>
      </c>
      <c r="D10" s="225" t="s">
        <v>317</v>
      </c>
      <c r="E10" s="169">
        <v>19</v>
      </c>
      <c r="F10" s="197">
        <v>2571</v>
      </c>
      <c r="G10" s="195">
        <v>135.31578947368422</v>
      </c>
      <c r="H10" s="429"/>
      <c r="I10" s="169">
        <f t="shared" si="7"/>
        <v>20</v>
      </c>
      <c r="J10" s="169">
        <f t="shared" si="7"/>
        <v>2479.8528380933976</v>
      </c>
      <c r="K10" s="195">
        <f t="shared" si="7"/>
        <v>123.99264190466987</v>
      </c>
      <c r="L10" s="429"/>
      <c r="M10" s="196">
        <f>RANK(K10, K$7:$K$21)</f>
        <v>1</v>
      </c>
      <c r="N10" s="423"/>
      <c r="O10" s="423"/>
      <c r="P10" s="197">
        <v>20</v>
      </c>
      <c r="Q10" s="195">
        <v>2496.3829787234044</v>
      </c>
      <c r="R10" s="195">
        <v>124.81914893617022</v>
      </c>
      <c r="S10" s="197">
        <f t="shared" si="0"/>
        <v>1</v>
      </c>
      <c r="T10" s="429"/>
      <c r="U10" s="197">
        <v>20</v>
      </c>
      <c r="V10" s="195">
        <v>2479.1489361702133</v>
      </c>
      <c r="W10" s="195">
        <v>123.95744680851067</v>
      </c>
      <c r="X10" s="197">
        <f t="shared" si="1"/>
        <v>1</v>
      </c>
      <c r="Y10" s="429"/>
      <c r="Z10" s="197">
        <v>20</v>
      </c>
      <c r="AA10" s="195">
        <v>2448.1318681318662</v>
      </c>
      <c r="AB10" s="195">
        <v>122.40659340659332</v>
      </c>
      <c r="AC10" s="197">
        <f t="shared" si="2"/>
        <v>2</v>
      </c>
      <c r="AD10" s="429"/>
      <c r="AE10" s="197">
        <v>20</v>
      </c>
      <c r="AF10" s="195">
        <v>2503.9024390243894</v>
      </c>
      <c r="AG10" s="195">
        <v>125.19512195121948</v>
      </c>
      <c r="AH10" s="197">
        <f t="shared" si="3"/>
        <v>1</v>
      </c>
      <c r="AI10" s="429"/>
      <c r="AJ10" s="197">
        <v>20</v>
      </c>
      <c r="AK10" s="195">
        <v>2506.5882352941171</v>
      </c>
      <c r="AL10" s="195">
        <v>125.32941176470585</v>
      </c>
      <c r="AM10" s="197">
        <f t="shared" si="4"/>
        <v>2</v>
      </c>
      <c r="AN10" s="429"/>
      <c r="AO10" s="197">
        <v>20</v>
      </c>
      <c r="AP10" s="195">
        <v>2425.7142857142858</v>
      </c>
      <c r="AQ10" s="195">
        <v>121.28571428571429</v>
      </c>
      <c r="AR10" s="197">
        <f t="shared" si="5"/>
        <v>3</v>
      </c>
      <c r="AS10" s="429"/>
      <c r="AT10" s="197">
        <v>20</v>
      </c>
      <c r="AU10" s="195">
        <v>2499.1011235955057</v>
      </c>
      <c r="AV10" s="195">
        <v>124.95505617977528</v>
      </c>
      <c r="AW10" s="197">
        <f t="shared" si="6"/>
        <v>1</v>
      </c>
      <c r="AX10" s="432"/>
    </row>
    <row r="11" spans="1:50">
      <c r="A11" s="79"/>
      <c r="B11" s="422"/>
      <c r="C11" s="197">
        <v>5</v>
      </c>
      <c r="D11" s="225" t="s">
        <v>318</v>
      </c>
      <c r="E11" s="169">
        <v>19</v>
      </c>
      <c r="F11" s="197">
        <v>2571</v>
      </c>
      <c r="G11" s="195">
        <v>135.31578947368422</v>
      </c>
      <c r="H11" s="429"/>
      <c r="I11" s="169">
        <f t="shared" si="7"/>
        <v>20</v>
      </c>
      <c r="J11" s="169">
        <f t="shared" si="7"/>
        <v>2466.3987581508231</v>
      </c>
      <c r="K11" s="195">
        <f t="shared" si="7"/>
        <v>123.31993790754117</v>
      </c>
      <c r="L11" s="429"/>
      <c r="M11" s="196">
        <f>RANK(K11, K$7:$K$21)</f>
        <v>2</v>
      </c>
      <c r="N11" s="423"/>
      <c r="O11" s="423"/>
      <c r="P11" s="197">
        <v>20</v>
      </c>
      <c r="Q11" s="195">
        <v>2488.8549618320612</v>
      </c>
      <c r="R11" s="195">
        <v>124.44274809160306</v>
      </c>
      <c r="S11" s="197">
        <f t="shared" si="0"/>
        <v>2</v>
      </c>
      <c r="T11" s="429"/>
      <c r="U11" s="197">
        <v>20</v>
      </c>
      <c r="V11" s="195">
        <v>2418.5294117647063</v>
      </c>
      <c r="W11" s="195">
        <v>120.92647058823532</v>
      </c>
      <c r="X11" s="197">
        <f t="shared" si="1"/>
        <v>2</v>
      </c>
      <c r="Y11" s="429"/>
      <c r="Z11" s="197">
        <v>20</v>
      </c>
      <c r="AA11" s="195">
        <v>2521.4634146341455</v>
      </c>
      <c r="AB11" s="195">
        <v>126.07317073170728</v>
      </c>
      <c r="AC11" s="197">
        <f t="shared" si="2"/>
        <v>1</v>
      </c>
      <c r="AD11" s="429"/>
      <c r="AE11" s="197">
        <v>20</v>
      </c>
      <c r="AF11" s="195">
        <v>2442.3529411764694</v>
      </c>
      <c r="AG11" s="195">
        <v>122.11764705882347</v>
      </c>
      <c r="AH11" s="197">
        <f t="shared" si="3"/>
        <v>2</v>
      </c>
      <c r="AI11" s="429"/>
      <c r="AJ11" s="197">
        <v>20</v>
      </c>
      <c r="AK11" s="195">
        <v>2526.050420168066</v>
      </c>
      <c r="AL11" s="195">
        <v>126.3025210084033</v>
      </c>
      <c r="AM11" s="197">
        <f t="shared" si="4"/>
        <v>1</v>
      </c>
      <c r="AN11" s="429"/>
      <c r="AO11" s="197">
        <v>20</v>
      </c>
      <c r="AP11" s="195">
        <v>2438.7401574803143</v>
      </c>
      <c r="AQ11" s="195">
        <v>121.93700787401572</v>
      </c>
      <c r="AR11" s="197">
        <f t="shared" si="5"/>
        <v>1</v>
      </c>
      <c r="AS11" s="429"/>
      <c r="AT11" s="197">
        <v>20</v>
      </c>
      <c r="AU11" s="195">
        <v>2428.7999999999993</v>
      </c>
      <c r="AV11" s="195">
        <v>121.43999999999997</v>
      </c>
      <c r="AW11" s="197">
        <f t="shared" si="6"/>
        <v>2</v>
      </c>
      <c r="AX11" s="432"/>
    </row>
    <row r="12" spans="1:50">
      <c r="A12" s="79"/>
      <c r="B12" s="422"/>
      <c r="C12" s="197">
        <v>6</v>
      </c>
      <c r="D12" s="225"/>
      <c r="E12" s="169"/>
      <c r="F12" s="197"/>
      <c r="G12" s="195"/>
      <c r="H12" s="429"/>
      <c r="I12" s="169"/>
      <c r="J12" s="169"/>
      <c r="K12" s="195"/>
      <c r="L12" s="429"/>
      <c r="M12" s="196" t="e">
        <f>RANK(K12, K$7:$K$21)</f>
        <v>#N/A</v>
      </c>
      <c r="N12" s="423"/>
      <c r="O12" s="423"/>
      <c r="P12" s="197"/>
      <c r="Q12" s="195"/>
      <c r="R12" s="195"/>
      <c r="S12" s="197" t="e">
        <f t="shared" si="0"/>
        <v>#N/A</v>
      </c>
      <c r="T12" s="429"/>
      <c r="U12" s="197"/>
      <c r="V12" s="195"/>
      <c r="W12" s="195"/>
      <c r="X12" s="197" t="e">
        <f t="shared" si="1"/>
        <v>#N/A</v>
      </c>
      <c r="Y12" s="429"/>
      <c r="Z12" s="197"/>
      <c r="AA12" s="195"/>
      <c r="AB12" s="195"/>
      <c r="AC12" s="197" t="e">
        <f t="shared" si="2"/>
        <v>#N/A</v>
      </c>
      <c r="AD12" s="429"/>
      <c r="AE12" s="197"/>
      <c r="AF12" s="195"/>
      <c r="AG12" s="195"/>
      <c r="AH12" s="197" t="e">
        <f t="shared" si="3"/>
        <v>#N/A</v>
      </c>
      <c r="AI12" s="429"/>
      <c r="AJ12" s="197"/>
      <c r="AK12" s="195"/>
      <c r="AL12" s="195"/>
      <c r="AM12" s="197" t="e">
        <f t="shared" si="4"/>
        <v>#N/A</v>
      </c>
      <c r="AN12" s="429"/>
      <c r="AO12" s="197"/>
      <c r="AP12" s="195"/>
      <c r="AQ12" s="195"/>
      <c r="AR12" s="197" t="e">
        <f t="shared" si="5"/>
        <v>#N/A</v>
      </c>
      <c r="AS12" s="429"/>
      <c r="AT12" s="197"/>
      <c r="AU12" s="195"/>
      <c r="AV12" s="195"/>
      <c r="AW12" s="197" t="e">
        <f t="shared" si="6"/>
        <v>#N/A</v>
      </c>
      <c r="AX12" s="432"/>
    </row>
    <row r="13" spans="1:50">
      <c r="A13" s="79"/>
      <c r="B13" s="422"/>
      <c r="C13" s="197">
        <v>7</v>
      </c>
      <c r="D13" s="225"/>
      <c r="E13" s="169"/>
      <c r="F13" s="197"/>
      <c r="G13" s="195"/>
      <c r="H13" s="429"/>
      <c r="I13" s="169"/>
      <c r="J13" s="169"/>
      <c r="K13" s="195"/>
      <c r="L13" s="429"/>
      <c r="M13" s="196" t="e">
        <f>RANK(K13, K$7:$K$21)</f>
        <v>#N/A</v>
      </c>
      <c r="N13" s="423"/>
      <c r="O13" s="423"/>
      <c r="P13" s="197"/>
      <c r="Q13" s="195"/>
      <c r="R13" s="195"/>
      <c r="S13" s="197" t="e">
        <f t="shared" si="0"/>
        <v>#N/A</v>
      </c>
      <c r="T13" s="429"/>
      <c r="U13" s="197"/>
      <c r="V13" s="195"/>
      <c r="W13" s="195"/>
      <c r="X13" s="197" t="e">
        <f t="shared" si="1"/>
        <v>#N/A</v>
      </c>
      <c r="Y13" s="429"/>
      <c r="Z13" s="197"/>
      <c r="AA13" s="195"/>
      <c r="AB13" s="195"/>
      <c r="AC13" s="197" t="e">
        <f t="shared" si="2"/>
        <v>#N/A</v>
      </c>
      <c r="AD13" s="429"/>
      <c r="AE13" s="197"/>
      <c r="AF13" s="195"/>
      <c r="AG13" s="195"/>
      <c r="AH13" s="197" t="e">
        <f t="shared" si="3"/>
        <v>#N/A</v>
      </c>
      <c r="AI13" s="429"/>
      <c r="AJ13" s="197"/>
      <c r="AK13" s="195"/>
      <c r="AL13" s="195"/>
      <c r="AM13" s="197" t="e">
        <f t="shared" si="4"/>
        <v>#N/A</v>
      </c>
      <c r="AN13" s="429"/>
      <c r="AO13" s="197"/>
      <c r="AP13" s="195"/>
      <c r="AQ13" s="195"/>
      <c r="AR13" s="197" t="e">
        <f t="shared" si="5"/>
        <v>#N/A</v>
      </c>
      <c r="AS13" s="429"/>
      <c r="AT13" s="197"/>
      <c r="AU13" s="195"/>
      <c r="AV13" s="195"/>
      <c r="AW13" s="197" t="e">
        <f t="shared" si="6"/>
        <v>#N/A</v>
      </c>
      <c r="AX13" s="432"/>
    </row>
    <row r="14" spans="1:50">
      <c r="A14" s="79"/>
      <c r="B14" s="422"/>
      <c r="C14" s="197">
        <v>8</v>
      </c>
      <c r="D14" s="225"/>
      <c r="E14" s="169"/>
      <c r="F14" s="197"/>
      <c r="G14" s="195"/>
      <c r="H14" s="429"/>
      <c r="I14" s="169"/>
      <c r="J14" s="169"/>
      <c r="K14" s="195"/>
      <c r="L14" s="429"/>
      <c r="M14" s="196" t="e">
        <f>RANK(K14, K$7:$K$21)</f>
        <v>#N/A</v>
      </c>
      <c r="N14" s="423"/>
      <c r="O14" s="423"/>
      <c r="P14" s="197"/>
      <c r="Q14" s="195"/>
      <c r="R14" s="195"/>
      <c r="S14" s="197" t="e">
        <f t="shared" si="0"/>
        <v>#N/A</v>
      </c>
      <c r="T14" s="429"/>
      <c r="U14" s="197"/>
      <c r="V14" s="195"/>
      <c r="W14" s="195"/>
      <c r="X14" s="197" t="e">
        <f t="shared" si="1"/>
        <v>#N/A</v>
      </c>
      <c r="Y14" s="429"/>
      <c r="Z14" s="197"/>
      <c r="AA14" s="195"/>
      <c r="AB14" s="195"/>
      <c r="AC14" s="197" t="e">
        <f t="shared" si="2"/>
        <v>#N/A</v>
      </c>
      <c r="AD14" s="429"/>
      <c r="AE14" s="197"/>
      <c r="AF14" s="195"/>
      <c r="AG14" s="195"/>
      <c r="AH14" s="197" t="e">
        <f t="shared" si="3"/>
        <v>#N/A</v>
      </c>
      <c r="AI14" s="429"/>
      <c r="AJ14" s="197"/>
      <c r="AK14" s="195"/>
      <c r="AL14" s="195"/>
      <c r="AM14" s="197" t="e">
        <f t="shared" si="4"/>
        <v>#N/A</v>
      </c>
      <c r="AN14" s="429"/>
      <c r="AO14" s="197"/>
      <c r="AP14" s="195"/>
      <c r="AQ14" s="195"/>
      <c r="AR14" s="197" t="e">
        <f t="shared" si="5"/>
        <v>#N/A</v>
      </c>
      <c r="AS14" s="429"/>
      <c r="AT14" s="197"/>
      <c r="AU14" s="195"/>
      <c r="AV14" s="195"/>
      <c r="AW14" s="197" t="e">
        <f t="shared" si="6"/>
        <v>#N/A</v>
      </c>
      <c r="AX14" s="432"/>
    </row>
    <row r="15" spans="1:50">
      <c r="A15" s="79"/>
      <c r="B15" s="422"/>
      <c r="C15" s="197">
        <v>9</v>
      </c>
      <c r="D15" s="225"/>
      <c r="E15" s="169"/>
      <c r="F15" s="197"/>
      <c r="G15" s="195"/>
      <c r="H15" s="429"/>
      <c r="I15" s="169"/>
      <c r="J15" s="169"/>
      <c r="K15" s="195"/>
      <c r="L15" s="429"/>
      <c r="M15" s="196" t="e">
        <f>RANK(K15, K$7:$K$21)</f>
        <v>#N/A</v>
      </c>
      <c r="N15" s="423"/>
      <c r="O15" s="423"/>
      <c r="P15" s="197"/>
      <c r="Q15" s="195"/>
      <c r="R15" s="195"/>
      <c r="S15" s="197" t="e">
        <f t="shared" si="0"/>
        <v>#N/A</v>
      </c>
      <c r="T15" s="429"/>
      <c r="U15" s="197"/>
      <c r="V15" s="195"/>
      <c r="W15" s="195"/>
      <c r="X15" s="197" t="e">
        <f t="shared" si="1"/>
        <v>#N/A</v>
      </c>
      <c r="Y15" s="429"/>
      <c r="Z15" s="197"/>
      <c r="AA15" s="195"/>
      <c r="AB15" s="195"/>
      <c r="AC15" s="197" t="e">
        <f t="shared" si="2"/>
        <v>#N/A</v>
      </c>
      <c r="AD15" s="429"/>
      <c r="AE15" s="197"/>
      <c r="AF15" s="195"/>
      <c r="AG15" s="195"/>
      <c r="AH15" s="197" t="e">
        <f t="shared" si="3"/>
        <v>#N/A</v>
      </c>
      <c r="AI15" s="429"/>
      <c r="AJ15" s="197"/>
      <c r="AK15" s="195"/>
      <c r="AL15" s="195"/>
      <c r="AM15" s="197" t="e">
        <f t="shared" si="4"/>
        <v>#N/A</v>
      </c>
      <c r="AN15" s="429"/>
      <c r="AO15" s="197"/>
      <c r="AP15" s="195"/>
      <c r="AQ15" s="195"/>
      <c r="AR15" s="197" t="e">
        <f t="shared" si="5"/>
        <v>#N/A</v>
      </c>
      <c r="AS15" s="429"/>
      <c r="AT15" s="197"/>
      <c r="AU15" s="195"/>
      <c r="AV15" s="195"/>
      <c r="AW15" s="197" t="e">
        <f t="shared" si="6"/>
        <v>#N/A</v>
      </c>
      <c r="AX15" s="432"/>
    </row>
    <row r="16" spans="1:50">
      <c r="A16" s="79"/>
      <c r="B16" s="422"/>
      <c r="C16" s="197">
        <v>10</v>
      </c>
      <c r="D16" s="225"/>
      <c r="E16" s="169"/>
      <c r="F16" s="197"/>
      <c r="G16" s="195"/>
      <c r="H16" s="429"/>
      <c r="I16" s="169"/>
      <c r="J16" s="169"/>
      <c r="K16" s="195"/>
      <c r="L16" s="429"/>
      <c r="M16" s="196" t="e">
        <f>RANK(K16, K$7:$K$21)</f>
        <v>#N/A</v>
      </c>
      <c r="N16" s="423"/>
      <c r="O16" s="423"/>
      <c r="P16" s="197"/>
      <c r="Q16" s="197"/>
      <c r="R16" s="195"/>
      <c r="S16" s="197" t="e">
        <f t="shared" si="0"/>
        <v>#N/A</v>
      </c>
      <c r="T16" s="429"/>
      <c r="U16" s="197"/>
      <c r="V16" s="197"/>
      <c r="W16" s="195"/>
      <c r="X16" s="197" t="e">
        <f t="shared" si="1"/>
        <v>#N/A</v>
      </c>
      <c r="Y16" s="429"/>
      <c r="Z16" s="197"/>
      <c r="AA16" s="197"/>
      <c r="AB16" s="195"/>
      <c r="AC16" s="197" t="e">
        <f t="shared" si="2"/>
        <v>#N/A</v>
      </c>
      <c r="AD16" s="429"/>
      <c r="AE16" s="197"/>
      <c r="AF16" s="197"/>
      <c r="AG16" s="195"/>
      <c r="AH16" s="197" t="e">
        <f t="shared" si="3"/>
        <v>#N/A</v>
      </c>
      <c r="AI16" s="429"/>
      <c r="AJ16" s="197"/>
      <c r="AK16" s="197"/>
      <c r="AL16" s="195"/>
      <c r="AM16" s="197" t="e">
        <f t="shared" si="4"/>
        <v>#N/A</v>
      </c>
      <c r="AN16" s="429"/>
      <c r="AO16" s="197"/>
      <c r="AP16" s="197"/>
      <c r="AQ16" s="195"/>
      <c r="AR16" s="197" t="e">
        <f t="shared" si="5"/>
        <v>#N/A</v>
      </c>
      <c r="AS16" s="429"/>
      <c r="AT16" s="197"/>
      <c r="AU16" s="197"/>
      <c r="AV16" s="195"/>
      <c r="AW16" s="197" t="e">
        <f t="shared" si="6"/>
        <v>#N/A</v>
      </c>
      <c r="AX16" s="432"/>
    </row>
    <row r="17" spans="2:50">
      <c r="B17" s="422"/>
      <c r="C17" s="197">
        <v>11</v>
      </c>
      <c r="D17" s="225"/>
      <c r="E17" s="169"/>
      <c r="F17" s="197"/>
      <c r="G17" s="195"/>
      <c r="H17" s="429"/>
      <c r="I17" s="197"/>
      <c r="J17" s="197"/>
      <c r="K17" s="197"/>
      <c r="L17" s="429"/>
      <c r="M17" s="196" t="e">
        <f>RANK(K17, K$7:$K$21)</f>
        <v>#N/A</v>
      </c>
      <c r="N17" s="423"/>
      <c r="O17" s="423"/>
      <c r="P17" s="197"/>
      <c r="Q17" s="197"/>
      <c r="R17" s="197"/>
      <c r="S17" s="197" t="e">
        <f t="shared" si="0"/>
        <v>#N/A</v>
      </c>
      <c r="T17" s="429"/>
      <c r="U17" s="197"/>
      <c r="V17" s="197"/>
      <c r="W17" s="197"/>
      <c r="X17" s="197" t="e">
        <f t="shared" si="1"/>
        <v>#N/A</v>
      </c>
      <c r="Y17" s="429"/>
      <c r="Z17" s="197"/>
      <c r="AA17" s="197"/>
      <c r="AB17" s="197"/>
      <c r="AC17" s="197" t="e">
        <f t="shared" si="2"/>
        <v>#N/A</v>
      </c>
      <c r="AD17" s="429"/>
      <c r="AE17" s="197"/>
      <c r="AF17" s="197"/>
      <c r="AG17" s="197"/>
      <c r="AH17" s="197" t="e">
        <f t="shared" si="3"/>
        <v>#N/A</v>
      </c>
      <c r="AI17" s="429"/>
      <c r="AJ17" s="197"/>
      <c r="AK17" s="197"/>
      <c r="AL17" s="197"/>
      <c r="AM17" s="197" t="e">
        <f t="shared" si="4"/>
        <v>#N/A</v>
      </c>
      <c r="AN17" s="429"/>
      <c r="AO17" s="197"/>
      <c r="AP17" s="197"/>
      <c r="AQ17" s="197"/>
      <c r="AR17" s="197" t="e">
        <f t="shared" si="5"/>
        <v>#N/A</v>
      </c>
      <c r="AS17" s="429"/>
      <c r="AT17" s="197"/>
      <c r="AU17" s="197"/>
      <c r="AV17" s="197"/>
      <c r="AW17" s="197" t="e">
        <f t="shared" si="6"/>
        <v>#N/A</v>
      </c>
      <c r="AX17" s="432"/>
    </row>
    <row r="18" spans="2:50">
      <c r="B18" s="422"/>
      <c r="C18" s="197">
        <v>12</v>
      </c>
      <c r="D18" s="225"/>
      <c r="E18" s="169"/>
      <c r="F18" s="197"/>
      <c r="G18" s="195"/>
      <c r="H18" s="429"/>
      <c r="I18" s="197"/>
      <c r="J18" s="197"/>
      <c r="K18" s="197"/>
      <c r="L18" s="429"/>
      <c r="M18" s="196" t="e">
        <f>RANK(K18, K$7:$K$21)</f>
        <v>#N/A</v>
      </c>
      <c r="N18" s="423"/>
      <c r="O18" s="423"/>
      <c r="P18" s="197"/>
      <c r="Q18" s="197"/>
      <c r="R18" s="197"/>
      <c r="S18" s="197" t="e">
        <f t="shared" si="0"/>
        <v>#N/A</v>
      </c>
      <c r="T18" s="429"/>
      <c r="U18" s="197"/>
      <c r="V18" s="197"/>
      <c r="W18" s="197"/>
      <c r="X18" s="197" t="e">
        <f t="shared" si="1"/>
        <v>#N/A</v>
      </c>
      <c r="Y18" s="429"/>
      <c r="Z18" s="197"/>
      <c r="AA18" s="197"/>
      <c r="AB18" s="197"/>
      <c r="AC18" s="197" t="e">
        <f t="shared" si="2"/>
        <v>#N/A</v>
      </c>
      <c r="AD18" s="429"/>
      <c r="AE18" s="197"/>
      <c r="AF18" s="197"/>
      <c r="AG18" s="197"/>
      <c r="AH18" s="197" t="e">
        <f t="shared" si="3"/>
        <v>#N/A</v>
      </c>
      <c r="AI18" s="429"/>
      <c r="AJ18" s="197"/>
      <c r="AK18" s="197"/>
      <c r="AL18" s="197"/>
      <c r="AM18" s="197" t="e">
        <f t="shared" si="4"/>
        <v>#N/A</v>
      </c>
      <c r="AN18" s="429"/>
      <c r="AO18" s="197"/>
      <c r="AP18" s="197"/>
      <c r="AQ18" s="197"/>
      <c r="AR18" s="197" t="e">
        <f t="shared" si="5"/>
        <v>#N/A</v>
      </c>
      <c r="AS18" s="429"/>
      <c r="AT18" s="197"/>
      <c r="AU18" s="197"/>
      <c r="AV18" s="197"/>
      <c r="AW18" s="197" t="e">
        <f t="shared" si="6"/>
        <v>#N/A</v>
      </c>
      <c r="AX18" s="432"/>
    </row>
    <row r="19" spans="2:50">
      <c r="B19" s="422"/>
      <c r="C19" s="197">
        <v>13</v>
      </c>
      <c r="D19" s="225"/>
      <c r="E19" s="169"/>
      <c r="F19" s="197"/>
      <c r="G19" s="195"/>
      <c r="H19" s="429"/>
      <c r="I19" s="197"/>
      <c r="J19" s="197"/>
      <c r="K19" s="197"/>
      <c r="L19" s="429"/>
      <c r="M19" s="196" t="e">
        <f>RANK(K19, K$7:$K$21)</f>
        <v>#N/A</v>
      </c>
      <c r="N19" s="423"/>
      <c r="O19" s="423"/>
      <c r="P19" s="197"/>
      <c r="Q19" s="197"/>
      <c r="R19" s="197"/>
      <c r="S19" s="197" t="e">
        <f t="shared" si="0"/>
        <v>#N/A</v>
      </c>
      <c r="T19" s="429"/>
      <c r="U19" s="197"/>
      <c r="V19" s="197"/>
      <c r="W19" s="197"/>
      <c r="X19" s="197" t="e">
        <f t="shared" si="1"/>
        <v>#N/A</v>
      </c>
      <c r="Y19" s="429"/>
      <c r="Z19" s="197"/>
      <c r="AA19" s="197"/>
      <c r="AB19" s="197"/>
      <c r="AC19" s="197" t="e">
        <f t="shared" si="2"/>
        <v>#N/A</v>
      </c>
      <c r="AD19" s="429"/>
      <c r="AE19" s="197"/>
      <c r="AF19" s="197"/>
      <c r="AG19" s="197"/>
      <c r="AH19" s="197" t="e">
        <f t="shared" si="3"/>
        <v>#N/A</v>
      </c>
      <c r="AI19" s="429"/>
      <c r="AJ19" s="197"/>
      <c r="AK19" s="197"/>
      <c r="AL19" s="197"/>
      <c r="AM19" s="197" t="e">
        <f t="shared" si="4"/>
        <v>#N/A</v>
      </c>
      <c r="AN19" s="429"/>
      <c r="AO19" s="197"/>
      <c r="AP19" s="197"/>
      <c r="AQ19" s="197"/>
      <c r="AR19" s="197" t="e">
        <f t="shared" si="5"/>
        <v>#N/A</v>
      </c>
      <c r="AS19" s="429"/>
      <c r="AT19" s="197"/>
      <c r="AU19" s="197"/>
      <c r="AV19" s="197"/>
      <c r="AW19" s="197" t="e">
        <f t="shared" si="6"/>
        <v>#N/A</v>
      </c>
      <c r="AX19" s="432"/>
    </row>
    <row r="20" spans="2:50">
      <c r="B20" s="422"/>
      <c r="C20" s="197">
        <v>14</v>
      </c>
      <c r="D20" s="225"/>
      <c r="E20" s="169"/>
      <c r="F20" s="197"/>
      <c r="G20" s="195"/>
      <c r="H20" s="429"/>
      <c r="I20" s="197"/>
      <c r="J20" s="197"/>
      <c r="K20" s="197"/>
      <c r="L20" s="429"/>
      <c r="M20" s="196" t="e">
        <f>RANK(K20, K$7:$K$21)</f>
        <v>#N/A</v>
      </c>
      <c r="N20" s="423"/>
      <c r="O20" s="423"/>
      <c r="P20" s="197"/>
      <c r="Q20" s="197"/>
      <c r="R20" s="197"/>
      <c r="S20" s="197" t="e">
        <f t="shared" si="0"/>
        <v>#N/A</v>
      </c>
      <c r="T20" s="429"/>
      <c r="U20" s="197"/>
      <c r="V20" s="197"/>
      <c r="W20" s="197"/>
      <c r="X20" s="197" t="e">
        <f t="shared" si="1"/>
        <v>#N/A</v>
      </c>
      <c r="Y20" s="429"/>
      <c r="Z20" s="197"/>
      <c r="AA20" s="197"/>
      <c r="AB20" s="197"/>
      <c r="AC20" s="197" t="e">
        <f t="shared" si="2"/>
        <v>#N/A</v>
      </c>
      <c r="AD20" s="429"/>
      <c r="AE20" s="197"/>
      <c r="AF20" s="197"/>
      <c r="AG20" s="197"/>
      <c r="AH20" s="197" t="e">
        <f t="shared" si="3"/>
        <v>#N/A</v>
      </c>
      <c r="AI20" s="429"/>
      <c r="AJ20" s="197"/>
      <c r="AK20" s="197"/>
      <c r="AL20" s="197"/>
      <c r="AM20" s="197" t="e">
        <f t="shared" si="4"/>
        <v>#N/A</v>
      </c>
      <c r="AN20" s="429"/>
      <c r="AO20" s="197"/>
      <c r="AP20" s="197"/>
      <c r="AQ20" s="197"/>
      <c r="AR20" s="197" t="e">
        <f t="shared" si="5"/>
        <v>#N/A</v>
      </c>
      <c r="AS20" s="429"/>
      <c r="AT20" s="197"/>
      <c r="AU20" s="197"/>
      <c r="AV20" s="197"/>
      <c r="AW20" s="197" t="e">
        <f t="shared" si="6"/>
        <v>#N/A</v>
      </c>
      <c r="AX20" s="432"/>
    </row>
    <row r="21" spans="2:50">
      <c r="B21" s="422"/>
      <c r="C21" s="197">
        <v>15</v>
      </c>
      <c r="D21" s="225"/>
      <c r="E21" s="169"/>
      <c r="F21" s="197"/>
      <c r="G21" s="195"/>
      <c r="H21" s="430"/>
      <c r="I21" s="197"/>
      <c r="J21" s="197"/>
      <c r="K21" s="197"/>
      <c r="L21" s="430"/>
      <c r="M21" s="169" t="e">
        <f>RANK(K21, K$7:$K$21)</f>
        <v>#N/A</v>
      </c>
      <c r="N21" s="423"/>
      <c r="O21" s="423"/>
      <c r="P21" s="197"/>
      <c r="Q21" s="197"/>
      <c r="R21" s="197"/>
      <c r="S21" s="197" t="e">
        <f t="shared" si="0"/>
        <v>#N/A</v>
      </c>
      <c r="T21" s="430"/>
      <c r="U21" s="197"/>
      <c r="V21" s="197"/>
      <c r="W21" s="197"/>
      <c r="X21" s="197" t="e">
        <f t="shared" si="1"/>
        <v>#N/A</v>
      </c>
      <c r="Y21" s="430"/>
      <c r="Z21" s="197"/>
      <c r="AA21" s="197"/>
      <c r="AB21" s="197"/>
      <c r="AC21" s="197" t="e">
        <f t="shared" si="2"/>
        <v>#N/A</v>
      </c>
      <c r="AD21" s="430"/>
      <c r="AE21" s="197"/>
      <c r="AF21" s="197"/>
      <c r="AG21" s="197"/>
      <c r="AH21" s="197" t="e">
        <f t="shared" si="3"/>
        <v>#N/A</v>
      </c>
      <c r="AI21" s="430"/>
      <c r="AJ21" s="197"/>
      <c r="AK21" s="197"/>
      <c r="AL21" s="197"/>
      <c r="AM21" s="197" t="e">
        <f t="shared" si="4"/>
        <v>#N/A</v>
      </c>
      <c r="AN21" s="430"/>
      <c r="AO21" s="197"/>
      <c r="AP21" s="197"/>
      <c r="AQ21" s="197"/>
      <c r="AR21" s="197" t="e">
        <f t="shared" si="5"/>
        <v>#N/A</v>
      </c>
      <c r="AS21" s="430"/>
      <c r="AT21" s="197"/>
      <c r="AU21" s="197"/>
      <c r="AV21" s="197"/>
      <c r="AW21" s="197" t="e">
        <f t="shared" si="6"/>
        <v>#N/A</v>
      </c>
      <c r="AX21" s="432"/>
    </row>
    <row r="22" spans="2:50" ht="15.75">
      <c r="B22" s="424" t="s">
        <v>202</v>
      </c>
      <c r="C22" s="425"/>
      <c r="D22" s="425"/>
      <c r="E22" s="425"/>
      <c r="F22" s="425"/>
      <c r="G22" s="425"/>
      <c r="H22" s="425"/>
      <c r="I22" s="198"/>
      <c r="J22" s="198"/>
      <c r="K22" s="198"/>
      <c r="L22" s="198"/>
      <c r="M22" s="193"/>
      <c r="N22" s="401" t="s">
        <v>203</v>
      </c>
      <c r="O22" s="401" t="s">
        <v>150</v>
      </c>
      <c r="P22" s="419">
        <f>AT2+1</f>
        <v>45902</v>
      </c>
      <c r="Q22" s="420"/>
      <c r="R22" s="420"/>
      <c r="S22" s="420"/>
      <c r="T22" s="420"/>
      <c r="U22" s="421">
        <f>P22+1</f>
        <v>45903</v>
      </c>
      <c r="V22" s="422"/>
      <c r="W22" s="422"/>
      <c r="X22" s="422"/>
      <c r="Y22" s="422"/>
      <c r="Z22" s="421">
        <f>U22+1</f>
        <v>45904</v>
      </c>
      <c r="AA22" s="422"/>
      <c r="AB22" s="422"/>
      <c r="AC22" s="422"/>
      <c r="AD22" s="422"/>
      <c r="AE22" s="421">
        <f>Z22+1</f>
        <v>45905</v>
      </c>
      <c r="AF22" s="422"/>
      <c r="AG22" s="422"/>
      <c r="AH22" s="422"/>
      <c r="AI22" s="422"/>
      <c r="AJ22" s="421">
        <f>AE22+1</f>
        <v>45906</v>
      </c>
      <c r="AK22" s="422"/>
      <c r="AL22" s="422"/>
      <c r="AM22" s="422"/>
      <c r="AN22" s="422"/>
      <c r="AO22" s="421">
        <f>AJ22+1</f>
        <v>45907</v>
      </c>
      <c r="AP22" s="422"/>
      <c r="AQ22" s="422"/>
      <c r="AR22" s="422"/>
      <c r="AS22" s="422"/>
      <c r="AT22" s="421">
        <f>AO22+1</f>
        <v>45908</v>
      </c>
      <c r="AU22" s="422"/>
      <c r="AV22" s="422"/>
      <c r="AW22" s="422"/>
      <c r="AX22" s="422"/>
    </row>
    <row r="23" spans="2:50" ht="15.75">
      <c r="B23" s="426"/>
      <c r="C23" s="426"/>
      <c r="D23" s="426"/>
      <c r="E23" s="426"/>
      <c r="F23" s="426"/>
      <c r="G23" s="426"/>
      <c r="H23" s="426"/>
      <c r="I23" s="199"/>
      <c r="J23" s="199"/>
      <c r="K23" s="199"/>
      <c r="L23" s="199"/>
      <c r="M23" s="194"/>
      <c r="N23" s="403"/>
      <c r="O23" s="403"/>
      <c r="P23" s="421" t="s">
        <v>204</v>
      </c>
      <c r="Q23" s="422"/>
      <c r="R23" s="422"/>
      <c r="S23" s="422"/>
      <c r="T23" s="422"/>
      <c r="U23" s="421" t="s">
        <v>205</v>
      </c>
      <c r="V23" s="422"/>
      <c r="W23" s="422"/>
      <c r="X23" s="422"/>
      <c r="Y23" s="422"/>
      <c r="Z23" s="421" t="s">
        <v>206</v>
      </c>
      <c r="AA23" s="422"/>
      <c r="AB23" s="422"/>
      <c r="AC23" s="422"/>
      <c r="AD23" s="422"/>
      <c r="AE23" s="421" t="s">
        <v>207</v>
      </c>
      <c r="AF23" s="422"/>
      <c r="AG23" s="422"/>
      <c r="AH23" s="422"/>
      <c r="AI23" s="422"/>
      <c r="AJ23" s="421" t="s">
        <v>208</v>
      </c>
      <c r="AK23" s="422"/>
      <c r="AL23" s="422"/>
      <c r="AM23" s="422"/>
      <c r="AN23" s="422"/>
      <c r="AO23" s="421" t="s">
        <v>157</v>
      </c>
      <c r="AP23" s="422"/>
      <c r="AQ23" s="422"/>
      <c r="AR23" s="422"/>
      <c r="AS23" s="422"/>
      <c r="AT23" s="421" t="s">
        <v>209</v>
      </c>
      <c r="AU23" s="422"/>
      <c r="AV23" s="422"/>
      <c r="AW23" s="422"/>
      <c r="AX23" s="422"/>
    </row>
    <row r="24" spans="2:50">
      <c r="B24" s="423" t="s">
        <v>210</v>
      </c>
      <c r="C24" s="423" t="s">
        <v>211</v>
      </c>
      <c r="D24" s="423"/>
      <c r="E24" s="423" t="s">
        <v>212</v>
      </c>
      <c r="F24" s="423"/>
      <c r="G24" s="423"/>
      <c r="H24" s="404" t="s">
        <v>213</v>
      </c>
      <c r="I24" s="423" t="s">
        <v>214</v>
      </c>
      <c r="J24" s="423"/>
      <c r="K24" s="423"/>
      <c r="L24" s="404" t="s">
        <v>213</v>
      </c>
      <c r="M24" s="401" t="s">
        <v>215</v>
      </c>
      <c r="N24" s="423"/>
      <c r="O24" s="423" t="s">
        <v>216</v>
      </c>
      <c r="P24" s="413" t="s">
        <v>217</v>
      </c>
      <c r="Q24" s="414"/>
      <c r="R24" s="414"/>
      <c r="S24" s="415"/>
      <c r="T24" s="423" t="s">
        <v>213</v>
      </c>
      <c r="U24" s="413" t="s">
        <v>217</v>
      </c>
      <c r="V24" s="414"/>
      <c r="W24" s="414"/>
      <c r="X24" s="415"/>
      <c r="Y24" s="423" t="s">
        <v>213</v>
      </c>
      <c r="Z24" s="413" t="s">
        <v>217</v>
      </c>
      <c r="AA24" s="414"/>
      <c r="AB24" s="414"/>
      <c r="AC24" s="415"/>
      <c r="AD24" s="423" t="s">
        <v>213</v>
      </c>
      <c r="AE24" s="413" t="s">
        <v>217</v>
      </c>
      <c r="AF24" s="414"/>
      <c r="AG24" s="414"/>
      <c r="AH24" s="415"/>
      <c r="AI24" s="423" t="s">
        <v>213</v>
      </c>
      <c r="AJ24" s="413" t="s">
        <v>217</v>
      </c>
      <c r="AK24" s="414"/>
      <c r="AL24" s="414"/>
      <c r="AM24" s="415"/>
      <c r="AN24" s="423" t="s">
        <v>213</v>
      </c>
      <c r="AO24" s="413" t="s">
        <v>217</v>
      </c>
      <c r="AP24" s="414"/>
      <c r="AQ24" s="414"/>
      <c r="AR24" s="415"/>
      <c r="AS24" s="423" t="s">
        <v>213</v>
      </c>
      <c r="AT24" s="413" t="s">
        <v>217</v>
      </c>
      <c r="AU24" s="414"/>
      <c r="AV24" s="414"/>
      <c r="AW24" s="415"/>
      <c r="AX24" s="423" t="s">
        <v>213</v>
      </c>
    </row>
    <row r="25" spans="2:50">
      <c r="B25" s="423"/>
      <c r="C25" s="423"/>
      <c r="D25" s="423"/>
      <c r="E25" s="423" t="s">
        <v>218</v>
      </c>
      <c r="F25" s="423"/>
      <c r="G25" s="423"/>
      <c r="H25" s="406"/>
      <c r="I25" s="423" t="s">
        <v>218</v>
      </c>
      <c r="J25" s="423"/>
      <c r="K25" s="423"/>
      <c r="L25" s="406"/>
      <c r="M25" s="402"/>
      <c r="N25" s="423"/>
      <c r="O25" s="423"/>
      <c r="P25" s="413" t="s">
        <v>219</v>
      </c>
      <c r="Q25" s="414"/>
      <c r="R25" s="414"/>
      <c r="S25" s="415"/>
      <c r="T25" s="423"/>
      <c r="U25" s="413" t="s">
        <v>219</v>
      </c>
      <c r="V25" s="414"/>
      <c r="W25" s="414"/>
      <c r="X25" s="415"/>
      <c r="Y25" s="423"/>
      <c r="Z25" s="413" t="s">
        <v>219</v>
      </c>
      <c r="AA25" s="414"/>
      <c r="AB25" s="414"/>
      <c r="AC25" s="415"/>
      <c r="AD25" s="423"/>
      <c r="AE25" s="413" t="s">
        <v>219</v>
      </c>
      <c r="AF25" s="414"/>
      <c r="AG25" s="414"/>
      <c r="AH25" s="415"/>
      <c r="AI25" s="423"/>
      <c r="AJ25" s="413" t="s">
        <v>219</v>
      </c>
      <c r="AK25" s="414"/>
      <c r="AL25" s="414"/>
      <c r="AM25" s="415"/>
      <c r="AN25" s="423"/>
      <c r="AO25" s="413" t="s">
        <v>219</v>
      </c>
      <c r="AP25" s="414"/>
      <c r="AQ25" s="414"/>
      <c r="AR25" s="415"/>
      <c r="AS25" s="423"/>
      <c r="AT25" s="413" t="s">
        <v>219</v>
      </c>
      <c r="AU25" s="414"/>
      <c r="AV25" s="414"/>
      <c r="AW25" s="415"/>
      <c r="AX25" s="423"/>
    </row>
    <row r="26" spans="2:50">
      <c r="B26" s="423"/>
      <c r="C26" s="423"/>
      <c r="D26" s="423"/>
      <c r="E26" s="297" t="s">
        <v>220</v>
      </c>
      <c r="F26" s="297" t="s">
        <v>221</v>
      </c>
      <c r="G26" s="297" t="s">
        <v>222</v>
      </c>
      <c r="H26" s="408"/>
      <c r="I26" s="297" t="s">
        <v>220</v>
      </c>
      <c r="J26" s="297" t="s">
        <v>221</v>
      </c>
      <c r="K26" s="297" t="s">
        <v>222</v>
      </c>
      <c r="L26" s="408"/>
      <c r="M26" s="403"/>
      <c r="N26" s="423"/>
      <c r="O26" s="423"/>
      <c r="P26" s="297" t="s">
        <v>220</v>
      </c>
      <c r="Q26" s="297" t="s">
        <v>221</v>
      </c>
      <c r="R26" s="297" t="s">
        <v>222</v>
      </c>
      <c r="S26" s="297" t="s">
        <v>215</v>
      </c>
      <c r="T26" s="423"/>
      <c r="U26" s="297" t="s">
        <v>220</v>
      </c>
      <c r="V26" s="297" t="s">
        <v>221</v>
      </c>
      <c r="W26" s="297" t="s">
        <v>222</v>
      </c>
      <c r="X26" s="297" t="s">
        <v>215</v>
      </c>
      <c r="Y26" s="423"/>
      <c r="Z26" s="297" t="s">
        <v>220</v>
      </c>
      <c r="AA26" s="297" t="s">
        <v>221</v>
      </c>
      <c r="AB26" s="297" t="s">
        <v>222</v>
      </c>
      <c r="AC26" s="297" t="s">
        <v>215</v>
      </c>
      <c r="AD26" s="423"/>
      <c r="AE26" s="297" t="s">
        <v>220</v>
      </c>
      <c r="AF26" s="297" t="s">
        <v>221</v>
      </c>
      <c r="AG26" s="297" t="s">
        <v>222</v>
      </c>
      <c r="AH26" s="297" t="s">
        <v>215</v>
      </c>
      <c r="AI26" s="423"/>
      <c r="AJ26" s="297" t="s">
        <v>220</v>
      </c>
      <c r="AK26" s="297" t="s">
        <v>221</v>
      </c>
      <c r="AL26" s="297" t="s">
        <v>222</v>
      </c>
      <c r="AM26" s="297" t="s">
        <v>215</v>
      </c>
      <c r="AN26" s="423"/>
      <c r="AO26" s="297" t="s">
        <v>220</v>
      </c>
      <c r="AP26" s="297" t="s">
        <v>221</v>
      </c>
      <c r="AQ26" s="297" t="s">
        <v>222</v>
      </c>
      <c r="AR26" s="297" t="s">
        <v>215</v>
      </c>
      <c r="AS26" s="423"/>
      <c r="AT26" s="297" t="s">
        <v>220</v>
      </c>
      <c r="AU26" s="297" t="s">
        <v>221</v>
      </c>
      <c r="AV26" s="297" t="s">
        <v>222</v>
      </c>
      <c r="AW26" s="297" t="s">
        <v>215</v>
      </c>
      <c r="AX26" s="423"/>
    </row>
    <row r="27" spans="2:50">
      <c r="B27" s="423" t="s">
        <v>313</v>
      </c>
      <c r="C27" s="197">
        <v>1</v>
      </c>
      <c r="D27" s="225" t="s">
        <v>314</v>
      </c>
      <c r="E27" s="169">
        <v>21</v>
      </c>
      <c r="F27" s="197">
        <v>2400</v>
      </c>
      <c r="G27" s="195">
        <v>114.28571428571429</v>
      </c>
      <c r="H27" s="428">
        <f>AVERAGE(G27:G41)</f>
        <v>143.60275689223059</v>
      </c>
      <c r="I27" s="169">
        <f>AVERAGE(P27,U27,Z27,AE27,AJ27,AO27,AT27)</f>
        <v>20</v>
      </c>
      <c r="J27" s="169">
        <f>AVERAGE(Q27,V27,AA27,AF27,AK27,AP27,AU27)</f>
        <v>2163.4197682499307</v>
      </c>
      <c r="K27" s="195">
        <f>AVERAGE(R27,W27,AB27,AG27,AL27,AQ27,AV27)</f>
        <v>108.17098841249654</v>
      </c>
      <c r="L27" s="428">
        <f>IFERROR(AVERAGE(K27:K41),"-")</f>
        <v>117.39386069342603</v>
      </c>
      <c r="M27" s="196">
        <f>RANK(K27, K$27:$K$41)</f>
        <v>5</v>
      </c>
      <c r="N27" s="423"/>
      <c r="O27" s="423"/>
      <c r="P27" s="197">
        <v>20</v>
      </c>
      <c r="Q27" s="195">
        <v>2148.4615384615372</v>
      </c>
      <c r="R27" s="195">
        <v>107.42307692307686</v>
      </c>
      <c r="S27" s="197">
        <f t="shared" ref="S27:S41" si="8">RANK(R27, R$27:R$41)</f>
        <v>5</v>
      </c>
      <c r="T27" s="428">
        <f>AVERAGE(R27:R41)</f>
        <v>116.59889583033596</v>
      </c>
      <c r="U27" s="197">
        <v>20</v>
      </c>
      <c r="V27" s="195">
        <v>2120.9999999999991</v>
      </c>
      <c r="W27" s="195">
        <v>106.04999999999995</v>
      </c>
      <c r="X27" s="197">
        <f t="shared" ref="X27:X41" si="9">RANK(W27, W$27:W$41)</f>
        <v>5</v>
      </c>
      <c r="Y27" s="428">
        <f>AVERAGE(W27:W41)</f>
        <v>116.54833019952412</v>
      </c>
      <c r="Z27" s="197">
        <v>20</v>
      </c>
      <c r="AA27" s="195">
        <v>2192.8000000000011</v>
      </c>
      <c r="AB27" s="195">
        <v>109.64000000000006</v>
      </c>
      <c r="AC27" s="197">
        <f t="shared" ref="AC27:AC41" si="10">RANK(AB27, AB$27:AB$41)</f>
        <v>5</v>
      </c>
      <c r="AD27" s="428">
        <f>AVERAGE(AB27:AB41)</f>
        <v>117.67140155257587</v>
      </c>
      <c r="AE27" s="197">
        <v>20</v>
      </c>
      <c r="AF27" s="195">
        <v>2176.9014084507048</v>
      </c>
      <c r="AG27" s="195">
        <v>108.84507042253524</v>
      </c>
      <c r="AH27" s="197">
        <f t="shared" ref="AH27:AH41" si="11">RANK(AG27, AG$27:AG$41)</f>
        <v>5</v>
      </c>
      <c r="AI27" s="428">
        <f>AVERAGE(AG27:AG41)</f>
        <v>117.75791759691776</v>
      </c>
      <c r="AJ27" s="197">
        <v>20</v>
      </c>
      <c r="AK27" s="195">
        <v>2142.5000000000005</v>
      </c>
      <c r="AL27" s="195">
        <v>107.12500000000003</v>
      </c>
      <c r="AM27" s="197">
        <f t="shared" ref="AM27:AM41" si="12">RANK(AL27, AL$27:AL$41)</f>
        <v>5</v>
      </c>
      <c r="AN27" s="428">
        <f>AVERAGE(AL27:AL41)</f>
        <v>117.25319266122494</v>
      </c>
      <c r="AO27" s="197">
        <v>20</v>
      </c>
      <c r="AP27" s="195">
        <v>2165.0602409638545</v>
      </c>
      <c r="AQ27" s="195">
        <v>108.25301204819273</v>
      </c>
      <c r="AR27" s="197">
        <f t="shared" ref="AR27:AR41" si="13">RANK(AQ27, AQ$27:AQ$41)</f>
        <v>5</v>
      </c>
      <c r="AS27" s="428">
        <f>AVERAGE(AQ27:AQ41)</f>
        <v>116.94252243323328</v>
      </c>
      <c r="AT27" s="197">
        <v>20</v>
      </c>
      <c r="AU27" s="195">
        <v>2197.2151898734191</v>
      </c>
      <c r="AV27" s="195">
        <v>109.86075949367095</v>
      </c>
      <c r="AW27" s="197">
        <f t="shared" ref="AW27:AW41" si="14">RANK(AV27, AV$27:AV$41)</f>
        <v>5</v>
      </c>
      <c r="AX27" s="432">
        <f>AVERAGE(AV27:AV41)</f>
        <v>118.98476458017039</v>
      </c>
    </row>
    <row r="28" spans="2:50">
      <c r="B28" s="422"/>
      <c r="C28" s="197">
        <v>2</v>
      </c>
      <c r="D28" s="225" t="s">
        <v>315</v>
      </c>
      <c r="E28" s="169">
        <v>18</v>
      </c>
      <c r="F28" s="197">
        <v>3000</v>
      </c>
      <c r="G28" s="195">
        <v>166.66666666666666</v>
      </c>
      <c r="H28" s="429"/>
      <c r="I28" s="169">
        <f t="shared" ref="I28:I31" si="15">AVERAGE(P28,U28,Z28,AE28,AJ28,AO28,AT28)</f>
        <v>20</v>
      </c>
      <c r="J28" s="169">
        <f t="shared" ref="J28:J31" si="16">AVERAGE(Q28,V28,AA28,AF28,AK28,AP28,AU28)</f>
        <v>2376.9199745061464</v>
      </c>
      <c r="K28" s="195">
        <f t="shared" ref="K28:K31" si="17">AVERAGE(R28,W28,AB28,AG28,AL28,AQ28,AV28)</f>
        <v>118.84599872530734</v>
      </c>
      <c r="L28" s="429"/>
      <c r="M28" s="196">
        <f>RANK(K28, K$27:$K$41)</f>
        <v>3</v>
      </c>
      <c r="N28" s="423"/>
      <c r="O28" s="423"/>
      <c r="P28" s="197">
        <v>20</v>
      </c>
      <c r="Q28" s="195">
        <v>2380.588235294118</v>
      </c>
      <c r="R28" s="195">
        <v>119.0294117647059</v>
      </c>
      <c r="S28" s="197">
        <f t="shared" si="8"/>
        <v>3</v>
      </c>
      <c r="T28" s="429"/>
      <c r="U28" s="197">
        <v>20</v>
      </c>
      <c r="V28" s="195">
        <v>2352.3529411764703</v>
      </c>
      <c r="W28" s="195">
        <v>117.61764705882351</v>
      </c>
      <c r="X28" s="197">
        <f t="shared" si="9"/>
        <v>3</v>
      </c>
      <c r="Y28" s="429"/>
      <c r="Z28" s="197">
        <v>20</v>
      </c>
      <c r="AA28" s="195">
        <v>2320.6153846153838</v>
      </c>
      <c r="AB28" s="195">
        <v>116.0307692307692</v>
      </c>
      <c r="AC28" s="197">
        <f t="shared" si="10"/>
        <v>3</v>
      </c>
      <c r="AD28" s="429"/>
      <c r="AE28" s="197">
        <v>20</v>
      </c>
      <c r="AF28" s="195">
        <v>2400.967741935483</v>
      </c>
      <c r="AG28" s="195">
        <v>120.04838709677415</v>
      </c>
      <c r="AH28" s="197">
        <f t="shared" si="11"/>
        <v>3</v>
      </c>
      <c r="AI28" s="429"/>
      <c r="AJ28" s="197">
        <v>20</v>
      </c>
      <c r="AK28" s="195">
        <v>2357.4193548387088</v>
      </c>
      <c r="AL28" s="195">
        <v>117.87096774193544</v>
      </c>
      <c r="AM28" s="197">
        <f t="shared" si="12"/>
        <v>3</v>
      </c>
      <c r="AN28" s="429"/>
      <c r="AO28" s="197">
        <v>20</v>
      </c>
      <c r="AP28" s="195">
        <v>2398.2608695652175</v>
      </c>
      <c r="AQ28" s="195">
        <v>119.91304347826087</v>
      </c>
      <c r="AR28" s="197">
        <f t="shared" si="13"/>
        <v>3</v>
      </c>
      <c r="AS28" s="429"/>
      <c r="AT28" s="197">
        <v>20</v>
      </c>
      <c r="AU28" s="195">
        <v>2428.2352941176468</v>
      </c>
      <c r="AV28" s="195">
        <v>121.41176470588235</v>
      </c>
      <c r="AW28" s="197">
        <f t="shared" si="14"/>
        <v>3</v>
      </c>
      <c r="AX28" s="432"/>
    </row>
    <row r="29" spans="2:50">
      <c r="B29" s="422"/>
      <c r="C29" s="197">
        <v>3</v>
      </c>
      <c r="D29" s="225" t="s">
        <v>316</v>
      </c>
      <c r="E29" s="169">
        <v>20</v>
      </c>
      <c r="F29" s="197">
        <v>2250</v>
      </c>
      <c r="G29" s="195">
        <v>112.5</v>
      </c>
      <c r="H29" s="429"/>
      <c r="I29" s="169">
        <f t="shared" si="15"/>
        <v>20</v>
      </c>
      <c r="J29" s="169">
        <f t="shared" si="16"/>
        <v>2278.6796205576211</v>
      </c>
      <c r="K29" s="195">
        <f t="shared" si="17"/>
        <v>113.93398102788103</v>
      </c>
      <c r="L29" s="429"/>
      <c r="M29" s="196">
        <f>RANK(K29, K$27:$K$41)</f>
        <v>4</v>
      </c>
      <c r="N29" s="423"/>
      <c r="O29" s="423"/>
      <c r="P29" s="197">
        <v>20</v>
      </c>
      <c r="Q29" s="195">
        <v>2214.8275862068954</v>
      </c>
      <c r="R29" s="195">
        <v>110.74137931034477</v>
      </c>
      <c r="S29" s="197">
        <f t="shared" si="8"/>
        <v>4</v>
      </c>
      <c r="T29" s="429"/>
      <c r="U29" s="197">
        <v>20</v>
      </c>
      <c r="V29" s="195">
        <v>2267.1428571428587</v>
      </c>
      <c r="W29" s="195">
        <v>113.35714285714293</v>
      </c>
      <c r="X29" s="197">
        <f t="shared" si="9"/>
        <v>4</v>
      </c>
      <c r="Y29" s="429"/>
      <c r="Z29" s="197">
        <v>20</v>
      </c>
      <c r="AA29" s="195">
        <v>2280</v>
      </c>
      <c r="AB29" s="195">
        <v>114</v>
      </c>
      <c r="AC29" s="197">
        <f t="shared" si="10"/>
        <v>4</v>
      </c>
      <c r="AD29" s="429"/>
      <c r="AE29" s="197">
        <v>20</v>
      </c>
      <c r="AF29" s="195">
        <v>2324.6808510638302</v>
      </c>
      <c r="AG29" s="195">
        <v>116.23404255319151</v>
      </c>
      <c r="AH29" s="197">
        <f t="shared" si="11"/>
        <v>4</v>
      </c>
      <c r="AI29" s="429"/>
      <c r="AJ29" s="197">
        <v>20</v>
      </c>
      <c r="AK29" s="195">
        <v>2333.6170212765965</v>
      </c>
      <c r="AL29" s="195">
        <v>116.68085106382982</v>
      </c>
      <c r="AM29" s="197">
        <f t="shared" si="12"/>
        <v>4</v>
      </c>
      <c r="AN29" s="429"/>
      <c r="AO29" s="197">
        <v>20</v>
      </c>
      <c r="AP29" s="195">
        <v>2221.0344827586191</v>
      </c>
      <c r="AQ29" s="195">
        <v>111.05172413793096</v>
      </c>
      <c r="AR29" s="197">
        <f t="shared" si="13"/>
        <v>4</v>
      </c>
      <c r="AS29" s="429"/>
      <c r="AT29" s="197">
        <v>20</v>
      </c>
      <c r="AU29" s="195">
        <v>2309.4545454545469</v>
      </c>
      <c r="AV29" s="195">
        <v>115.47272727272734</v>
      </c>
      <c r="AW29" s="197">
        <f t="shared" si="14"/>
        <v>4</v>
      </c>
      <c r="AX29" s="432"/>
    </row>
    <row r="30" spans="2:50">
      <c r="B30" s="422"/>
      <c r="C30" s="197">
        <v>4</v>
      </c>
      <c r="D30" s="225" t="s">
        <v>317</v>
      </c>
      <c r="E30" s="169">
        <v>18</v>
      </c>
      <c r="F30" s="197">
        <v>3000</v>
      </c>
      <c r="G30" s="195">
        <v>166.66666666666666</v>
      </c>
      <c r="H30" s="429"/>
      <c r="I30" s="169">
        <f t="shared" si="15"/>
        <v>20</v>
      </c>
      <c r="J30" s="169">
        <f t="shared" si="16"/>
        <v>2461.4239043792136</v>
      </c>
      <c r="K30" s="195">
        <f t="shared" si="17"/>
        <v>123.07119521896065</v>
      </c>
      <c r="L30" s="429"/>
      <c r="M30" s="196">
        <f>RANK(K30, K$27:$K$41)</f>
        <v>1</v>
      </c>
      <c r="N30" s="423"/>
      <c r="O30" s="423"/>
      <c r="P30" s="197">
        <v>20</v>
      </c>
      <c r="Q30" s="195">
        <v>2427.272727272727</v>
      </c>
      <c r="R30" s="195">
        <v>121.36363636363635</v>
      </c>
      <c r="S30" s="197">
        <f t="shared" si="8"/>
        <v>2</v>
      </c>
      <c r="T30" s="429"/>
      <c r="U30" s="197">
        <v>20</v>
      </c>
      <c r="V30" s="195">
        <v>2503.9024390243894</v>
      </c>
      <c r="W30" s="195">
        <v>125.19512195121948</v>
      </c>
      <c r="X30" s="197">
        <f t="shared" si="9"/>
        <v>1</v>
      </c>
      <c r="Y30" s="429"/>
      <c r="Z30" s="197">
        <v>20</v>
      </c>
      <c r="AA30" s="195">
        <v>2483.9999999999991</v>
      </c>
      <c r="AB30" s="195">
        <v>124.19999999999996</v>
      </c>
      <c r="AC30" s="197">
        <f t="shared" si="10"/>
        <v>2</v>
      </c>
      <c r="AD30" s="429"/>
      <c r="AE30" s="197">
        <v>20</v>
      </c>
      <c r="AF30" s="195">
        <v>2445.3846153846139</v>
      </c>
      <c r="AG30" s="195">
        <v>122.26923076923069</v>
      </c>
      <c r="AH30" s="197">
        <f t="shared" si="11"/>
        <v>1</v>
      </c>
      <c r="AI30" s="429"/>
      <c r="AJ30" s="197">
        <v>20</v>
      </c>
      <c r="AK30" s="195">
        <v>2446.9230769230758</v>
      </c>
      <c r="AL30" s="195">
        <v>122.34615384615378</v>
      </c>
      <c r="AM30" s="197">
        <f t="shared" si="12"/>
        <v>1</v>
      </c>
      <c r="AN30" s="429"/>
      <c r="AO30" s="197">
        <v>20</v>
      </c>
      <c r="AP30" s="195">
        <v>2418.913043478261</v>
      </c>
      <c r="AQ30" s="195">
        <v>120.94565217391305</v>
      </c>
      <c r="AR30" s="197">
        <f t="shared" si="13"/>
        <v>2</v>
      </c>
      <c r="AS30" s="429"/>
      <c r="AT30" s="197">
        <v>20</v>
      </c>
      <c r="AU30" s="195">
        <v>2503.5714285714275</v>
      </c>
      <c r="AV30" s="195">
        <v>125.17857142857137</v>
      </c>
      <c r="AW30" s="197">
        <f t="shared" si="14"/>
        <v>1</v>
      </c>
      <c r="AX30" s="432"/>
    </row>
    <row r="31" spans="2:50">
      <c r="B31" s="422"/>
      <c r="C31" s="197">
        <v>5</v>
      </c>
      <c r="D31" s="225" t="s">
        <v>318</v>
      </c>
      <c r="E31" s="169">
        <v>19</v>
      </c>
      <c r="F31" s="197">
        <v>3000</v>
      </c>
      <c r="G31" s="195">
        <v>157.89473684210526</v>
      </c>
      <c r="H31" s="429"/>
      <c r="I31" s="169">
        <f t="shared" si="15"/>
        <v>20</v>
      </c>
      <c r="J31" s="169">
        <f t="shared" si="16"/>
        <v>2458.9428016496927</v>
      </c>
      <c r="K31" s="195">
        <f t="shared" si="17"/>
        <v>122.94714008248464</v>
      </c>
      <c r="L31" s="429"/>
      <c r="M31" s="196">
        <f>RANK(K31, K$27:$K$41)</f>
        <v>2</v>
      </c>
      <c r="N31" s="423"/>
      <c r="O31" s="423"/>
      <c r="P31" s="197">
        <v>20</v>
      </c>
      <c r="Q31" s="195">
        <v>2488.7394957983183</v>
      </c>
      <c r="R31" s="195">
        <v>124.43697478991592</v>
      </c>
      <c r="S31" s="197">
        <f t="shared" si="8"/>
        <v>1</v>
      </c>
      <c r="T31" s="429"/>
      <c r="U31" s="197">
        <v>20</v>
      </c>
      <c r="V31" s="195">
        <v>2410.4347826086941</v>
      </c>
      <c r="W31" s="195">
        <v>120.52173913043471</v>
      </c>
      <c r="X31" s="197">
        <f t="shared" si="9"/>
        <v>2</v>
      </c>
      <c r="Y31" s="429"/>
      <c r="Z31" s="197">
        <v>20</v>
      </c>
      <c r="AA31" s="195">
        <v>2489.7247706422031</v>
      </c>
      <c r="AB31" s="195">
        <v>124.48623853211015</v>
      </c>
      <c r="AC31" s="197">
        <f t="shared" si="10"/>
        <v>1</v>
      </c>
      <c r="AD31" s="429"/>
      <c r="AE31" s="197">
        <v>20</v>
      </c>
      <c r="AF31" s="195">
        <v>2427.8571428571445</v>
      </c>
      <c r="AG31" s="195">
        <v>121.39285714285722</v>
      </c>
      <c r="AH31" s="197">
        <f t="shared" si="11"/>
        <v>2</v>
      </c>
      <c r="AI31" s="429"/>
      <c r="AJ31" s="197">
        <v>20</v>
      </c>
      <c r="AK31" s="195">
        <v>2444.8598130841137</v>
      </c>
      <c r="AL31" s="195">
        <v>122.24299065420568</v>
      </c>
      <c r="AM31" s="197">
        <f t="shared" si="12"/>
        <v>2</v>
      </c>
      <c r="AN31" s="429"/>
      <c r="AO31" s="197">
        <v>20</v>
      </c>
      <c r="AP31" s="195">
        <v>2490.9836065573759</v>
      </c>
      <c r="AQ31" s="195">
        <v>124.5491803278688</v>
      </c>
      <c r="AR31" s="197">
        <f t="shared" si="13"/>
        <v>1</v>
      </c>
      <c r="AS31" s="429"/>
      <c r="AT31" s="197">
        <v>20</v>
      </c>
      <c r="AU31" s="195">
        <v>2459.9999999999986</v>
      </c>
      <c r="AV31" s="195">
        <v>122.99999999999993</v>
      </c>
      <c r="AW31" s="197">
        <f t="shared" si="14"/>
        <v>2</v>
      </c>
      <c r="AX31" s="432"/>
    </row>
    <row r="32" spans="2:50">
      <c r="B32" s="422"/>
      <c r="C32" s="197">
        <v>6</v>
      </c>
      <c r="D32" s="225"/>
      <c r="E32" s="169"/>
      <c r="F32" s="197"/>
      <c r="G32" s="195"/>
      <c r="H32" s="429"/>
      <c r="I32" s="169"/>
      <c r="J32" s="169"/>
      <c r="K32" s="195"/>
      <c r="L32" s="429"/>
      <c r="M32" s="196" t="e">
        <f>RANK(K32, K$27:$K$41)</f>
        <v>#N/A</v>
      </c>
      <c r="N32" s="423"/>
      <c r="O32" s="423"/>
      <c r="P32" s="197"/>
      <c r="Q32" s="195"/>
      <c r="R32" s="195"/>
      <c r="S32" s="197" t="e">
        <f t="shared" si="8"/>
        <v>#N/A</v>
      </c>
      <c r="T32" s="429"/>
      <c r="U32" s="197"/>
      <c r="V32" s="195"/>
      <c r="W32" s="195"/>
      <c r="X32" s="197" t="e">
        <f t="shared" si="9"/>
        <v>#N/A</v>
      </c>
      <c r="Y32" s="429"/>
      <c r="Z32" s="197"/>
      <c r="AA32" s="195"/>
      <c r="AB32" s="195"/>
      <c r="AC32" s="197" t="e">
        <f t="shared" si="10"/>
        <v>#N/A</v>
      </c>
      <c r="AD32" s="429"/>
      <c r="AE32" s="197"/>
      <c r="AF32" s="195"/>
      <c r="AG32" s="195"/>
      <c r="AH32" s="197" t="e">
        <f t="shared" si="11"/>
        <v>#N/A</v>
      </c>
      <c r="AI32" s="429"/>
      <c r="AJ32" s="197"/>
      <c r="AK32" s="195"/>
      <c r="AL32" s="195"/>
      <c r="AM32" s="197" t="e">
        <f t="shared" si="12"/>
        <v>#N/A</v>
      </c>
      <c r="AN32" s="429"/>
      <c r="AO32" s="197"/>
      <c r="AP32" s="195"/>
      <c r="AQ32" s="195"/>
      <c r="AR32" s="197" t="e">
        <f t="shared" si="13"/>
        <v>#N/A</v>
      </c>
      <c r="AS32" s="429"/>
      <c r="AT32" s="197"/>
      <c r="AU32" s="195"/>
      <c r="AV32" s="195"/>
      <c r="AW32" s="197" t="e">
        <f t="shared" si="14"/>
        <v>#N/A</v>
      </c>
      <c r="AX32" s="432"/>
    </row>
    <row r="33" spans="2:50">
      <c r="B33" s="422"/>
      <c r="C33" s="197">
        <v>7</v>
      </c>
      <c r="D33" s="225"/>
      <c r="E33" s="169"/>
      <c r="F33" s="197"/>
      <c r="G33" s="195"/>
      <c r="H33" s="429"/>
      <c r="I33" s="169"/>
      <c r="J33" s="169"/>
      <c r="K33" s="195"/>
      <c r="L33" s="429"/>
      <c r="M33" s="196" t="e">
        <f>RANK(K33, K$27:$K$41)</f>
        <v>#N/A</v>
      </c>
      <c r="N33" s="423"/>
      <c r="O33" s="423"/>
      <c r="P33" s="197"/>
      <c r="Q33" s="195"/>
      <c r="R33" s="195"/>
      <c r="S33" s="197" t="e">
        <f t="shared" si="8"/>
        <v>#N/A</v>
      </c>
      <c r="T33" s="429"/>
      <c r="U33" s="197"/>
      <c r="V33" s="195"/>
      <c r="W33" s="195"/>
      <c r="X33" s="197" t="e">
        <f t="shared" si="9"/>
        <v>#N/A</v>
      </c>
      <c r="Y33" s="429"/>
      <c r="Z33" s="197"/>
      <c r="AA33" s="195"/>
      <c r="AB33" s="195"/>
      <c r="AC33" s="197" t="e">
        <f t="shared" si="10"/>
        <v>#N/A</v>
      </c>
      <c r="AD33" s="429"/>
      <c r="AE33" s="197"/>
      <c r="AF33" s="195"/>
      <c r="AG33" s="195"/>
      <c r="AH33" s="197" t="e">
        <f t="shared" si="11"/>
        <v>#N/A</v>
      </c>
      <c r="AI33" s="429"/>
      <c r="AJ33" s="197"/>
      <c r="AK33" s="195"/>
      <c r="AL33" s="195"/>
      <c r="AM33" s="197" t="e">
        <f t="shared" si="12"/>
        <v>#N/A</v>
      </c>
      <c r="AN33" s="429"/>
      <c r="AO33" s="197"/>
      <c r="AP33" s="195"/>
      <c r="AQ33" s="195"/>
      <c r="AR33" s="197" t="e">
        <f t="shared" si="13"/>
        <v>#N/A</v>
      </c>
      <c r="AS33" s="429"/>
      <c r="AT33" s="197"/>
      <c r="AU33" s="195"/>
      <c r="AV33" s="195"/>
      <c r="AW33" s="197" t="e">
        <f t="shared" si="14"/>
        <v>#N/A</v>
      </c>
      <c r="AX33" s="432"/>
    </row>
    <row r="34" spans="2:50">
      <c r="B34" s="422"/>
      <c r="C34" s="197">
        <v>8</v>
      </c>
      <c r="D34" s="225"/>
      <c r="E34" s="169"/>
      <c r="F34" s="197"/>
      <c r="G34" s="195"/>
      <c r="H34" s="429"/>
      <c r="I34" s="169"/>
      <c r="J34" s="169"/>
      <c r="K34" s="195"/>
      <c r="L34" s="429"/>
      <c r="M34" s="196" t="e">
        <f>RANK(K34, K$27:$K$41)</f>
        <v>#N/A</v>
      </c>
      <c r="N34" s="423"/>
      <c r="O34" s="423"/>
      <c r="P34" s="197"/>
      <c r="Q34" s="195"/>
      <c r="R34" s="195"/>
      <c r="S34" s="197" t="e">
        <f t="shared" si="8"/>
        <v>#N/A</v>
      </c>
      <c r="T34" s="429"/>
      <c r="U34" s="197"/>
      <c r="V34" s="195"/>
      <c r="W34" s="195"/>
      <c r="X34" s="197" t="e">
        <f t="shared" si="9"/>
        <v>#N/A</v>
      </c>
      <c r="Y34" s="429"/>
      <c r="Z34" s="197"/>
      <c r="AA34" s="195"/>
      <c r="AB34" s="195"/>
      <c r="AC34" s="197" t="e">
        <f t="shared" si="10"/>
        <v>#N/A</v>
      </c>
      <c r="AD34" s="429"/>
      <c r="AE34" s="197"/>
      <c r="AF34" s="195"/>
      <c r="AG34" s="195"/>
      <c r="AH34" s="197" t="e">
        <f t="shared" si="11"/>
        <v>#N/A</v>
      </c>
      <c r="AI34" s="429"/>
      <c r="AJ34" s="197"/>
      <c r="AK34" s="195"/>
      <c r="AL34" s="195"/>
      <c r="AM34" s="197" t="e">
        <f t="shared" si="12"/>
        <v>#N/A</v>
      </c>
      <c r="AN34" s="429"/>
      <c r="AO34" s="197"/>
      <c r="AP34" s="195"/>
      <c r="AQ34" s="195"/>
      <c r="AR34" s="197" t="e">
        <f t="shared" si="13"/>
        <v>#N/A</v>
      </c>
      <c r="AS34" s="429"/>
      <c r="AT34" s="197"/>
      <c r="AU34" s="195"/>
      <c r="AV34" s="195"/>
      <c r="AW34" s="197" t="e">
        <f t="shared" si="14"/>
        <v>#N/A</v>
      </c>
      <c r="AX34" s="432"/>
    </row>
    <row r="35" spans="2:50">
      <c r="B35" s="422"/>
      <c r="C35" s="197">
        <v>9</v>
      </c>
      <c r="D35" s="225"/>
      <c r="E35" s="169"/>
      <c r="F35" s="197"/>
      <c r="G35" s="195"/>
      <c r="H35" s="429"/>
      <c r="I35" s="169"/>
      <c r="J35" s="169"/>
      <c r="K35" s="195"/>
      <c r="L35" s="429"/>
      <c r="M35" s="196" t="e">
        <f>RANK(K35, K$27:$K$41)</f>
        <v>#N/A</v>
      </c>
      <c r="N35" s="423"/>
      <c r="O35" s="423"/>
      <c r="P35" s="197"/>
      <c r="Q35" s="195"/>
      <c r="R35" s="195"/>
      <c r="S35" s="197" t="e">
        <f t="shared" si="8"/>
        <v>#N/A</v>
      </c>
      <c r="T35" s="429"/>
      <c r="U35" s="197"/>
      <c r="V35" s="195"/>
      <c r="W35" s="195"/>
      <c r="X35" s="197" t="e">
        <f t="shared" si="9"/>
        <v>#N/A</v>
      </c>
      <c r="Y35" s="429"/>
      <c r="Z35" s="197"/>
      <c r="AA35" s="195"/>
      <c r="AB35" s="195"/>
      <c r="AC35" s="197" t="e">
        <f t="shared" si="10"/>
        <v>#N/A</v>
      </c>
      <c r="AD35" s="429"/>
      <c r="AE35" s="197"/>
      <c r="AF35" s="195"/>
      <c r="AG35" s="195"/>
      <c r="AH35" s="197" t="e">
        <f t="shared" si="11"/>
        <v>#N/A</v>
      </c>
      <c r="AI35" s="429"/>
      <c r="AJ35" s="197"/>
      <c r="AK35" s="195"/>
      <c r="AL35" s="195"/>
      <c r="AM35" s="197" t="e">
        <f t="shared" si="12"/>
        <v>#N/A</v>
      </c>
      <c r="AN35" s="429"/>
      <c r="AO35" s="197"/>
      <c r="AP35" s="195"/>
      <c r="AQ35" s="195"/>
      <c r="AR35" s="197" t="e">
        <f t="shared" si="13"/>
        <v>#N/A</v>
      </c>
      <c r="AS35" s="429"/>
      <c r="AT35" s="197"/>
      <c r="AU35" s="195"/>
      <c r="AV35" s="195"/>
      <c r="AW35" s="197" t="e">
        <f t="shared" si="14"/>
        <v>#N/A</v>
      </c>
      <c r="AX35" s="432"/>
    </row>
    <row r="36" spans="2:50">
      <c r="B36" s="422"/>
      <c r="C36" s="197">
        <v>10</v>
      </c>
      <c r="D36" s="225"/>
      <c r="E36" s="169"/>
      <c r="F36" s="197"/>
      <c r="G36" s="195"/>
      <c r="H36" s="429"/>
      <c r="I36" s="169"/>
      <c r="J36" s="169"/>
      <c r="K36" s="195"/>
      <c r="L36" s="429"/>
      <c r="M36" s="196" t="e">
        <f>RANK(K36, K$27:$K$41)</f>
        <v>#N/A</v>
      </c>
      <c r="N36" s="423"/>
      <c r="O36" s="423"/>
      <c r="P36" s="197"/>
      <c r="Q36" s="197"/>
      <c r="R36" s="195"/>
      <c r="S36" s="197" t="e">
        <f t="shared" si="8"/>
        <v>#N/A</v>
      </c>
      <c r="T36" s="429"/>
      <c r="U36" s="197"/>
      <c r="V36" s="197"/>
      <c r="W36" s="195"/>
      <c r="X36" s="197" t="e">
        <f t="shared" si="9"/>
        <v>#N/A</v>
      </c>
      <c r="Y36" s="429"/>
      <c r="Z36" s="197"/>
      <c r="AA36" s="197"/>
      <c r="AB36" s="195"/>
      <c r="AC36" s="197" t="e">
        <f t="shared" si="10"/>
        <v>#N/A</v>
      </c>
      <c r="AD36" s="429"/>
      <c r="AE36" s="197"/>
      <c r="AF36" s="197"/>
      <c r="AG36" s="195"/>
      <c r="AH36" s="197" t="e">
        <f t="shared" si="11"/>
        <v>#N/A</v>
      </c>
      <c r="AI36" s="429"/>
      <c r="AJ36" s="197"/>
      <c r="AK36" s="197"/>
      <c r="AL36" s="195"/>
      <c r="AM36" s="197" t="e">
        <f t="shared" si="12"/>
        <v>#N/A</v>
      </c>
      <c r="AN36" s="429"/>
      <c r="AO36" s="197"/>
      <c r="AP36" s="197"/>
      <c r="AQ36" s="195"/>
      <c r="AR36" s="197" t="e">
        <f t="shared" si="13"/>
        <v>#N/A</v>
      </c>
      <c r="AS36" s="429"/>
      <c r="AT36" s="197"/>
      <c r="AU36" s="197"/>
      <c r="AV36" s="195"/>
      <c r="AW36" s="197" t="e">
        <f t="shared" si="14"/>
        <v>#N/A</v>
      </c>
      <c r="AX36" s="432"/>
    </row>
    <row r="37" spans="2:50">
      <c r="B37" s="422"/>
      <c r="C37" s="197">
        <v>11</v>
      </c>
      <c r="D37" s="225"/>
      <c r="E37" s="169"/>
      <c r="F37" s="197"/>
      <c r="G37" s="195"/>
      <c r="H37" s="429"/>
      <c r="I37" s="197"/>
      <c r="J37" s="197"/>
      <c r="K37" s="197"/>
      <c r="L37" s="429"/>
      <c r="M37" s="196" t="e">
        <f>RANK(K37, K$27:$K$41)</f>
        <v>#N/A</v>
      </c>
      <c r="N37" s="423"/>
      <c r="O37" s="423"/>
      <c r="P37" s="197"/>
      <c r="Q37" s="197"/>
      <c r="R37" s="197"/>
      <c r="S37" s="197" t="e">
        <f t="shared" si="8"/>
        <v>#N/A</v>
      </c>
      <c r="T37" s="429"/>
      <c r="U37" s="197"/>
      <c r="V37" s="197"/>
      <c r="W37" s="197"/>
      <c r="X37" s="197" t="e">
        <f t="shared" si="9"/>
        <v>#N/A</v>
      </c>
      <c r="Y37" s="429"/>
      <c r="Z37" s="197"/>
      <c r="AA37" s="197"/>
      <c r="AB37" s="197"/>
      <c r="AC37" s="197" t="e">
        <f t="shared" si="10"/>
        <v>#N/A</v>
      </c>
      <c r="AD37" s="429"/>
      <c r="AE37" s="197"/>
      <c r="AF37" s="197"/>
      <c r="AG37" s="197"/>
      <c r="AH37" s="197" t="e">
        <f t="shared" si="11"/>
        <v>#N/A</v>
      </c>
      <c r="AI37" s="429"/>
      <c r="AJ37" s="197"/>
      <c r="AK37" s="197"/>
      <c r="AL37" s="197"/>
      <c r="AM37" s="197" t="e">
        <f t="shared" si="12"/>
        <v>#N/A</v>
      </c>
      <c r="AN37" s="429"/>
      <c r="AO37" s="197"/>
      <c r="AP37" s="197"/>
      <c r="AQ37" s="197"/>
      <c r="AR37" s="197" t="e">
        <f t="shared" si="13"/>
        <v>#N/A</v>
      </c>
      <c r="AS37" s="429"/>
      <c r="AT37" s="197"/>
      <c r="AU37" s="197"/>
      <c r="AV37" s="197"/>
      <c r="AW37" s="197" t="e">
        <f t="shared" si="14"/>
        <v>#N/A</v>
      </c>
      <c r="AX37" s="432"/>
    </row>
    <row r="38" spans="2:50">
      <c r="B38" s="422"/>
      <c r="C38" s="197">
        <v>12</v>
      </c>
      <c r="D38" s="225"/>
      <c r="E38" s="169"/>
      <c r="F38" s="197"/>
      <c r="G38" s="195"/>
      <c r="H38" s="429"/>
      <c r="I38" s="197"/>
      <c r="J38" s="197"/>
      <c r="K38" s="197"/>
      <c r="L38" s="429"/>
      <c r="M38" s="196" t="e">
        <f>RANK(K38, K$27:$K$41)</f>
        <v>#N/A</v>
      </c>
      <c r="N38" s="423"/>
      <c r="O38" s="423"/>
      <c r="P38" s="197"/>
      <c r="Q38" s="197"/>
      <c r="R38" s="197"/>
      <c r="S38" s="197" t="e">
        <f t="shared" si="8"/>
        <v>#N/A</v>
      </c>
      <c r="T38" s="429"/>
      <c r="U38" s="197"/>
      <c r="V38" s="197"/>
      <c r="W38" s="197"/>
      <c r="X38" s="197" t="e">
        <f t="shared" si="9"/>
        <v>#N/A</v>
      </c>
      <c r="Y38" s="429"/>
      <c r="Z38" s="197"/>
      <c r="AA38" s="197"/>
      <c r="AB38" s="197"/>
      <c r="AC38" s="197" t="e">
        <f t="shared" si="10"/>
        <v>#N/A</v>
      </c>
      <c r="AD38" s="429"/>
      <c r="AE38" s="197"/>
      <c r="AF38" s="197"/>
      <c r="AG38" s="197"/>
      <c r="AH38" s="197" t="e">
        <f t="shared" si="11"/>
        <v>#N/A</v>
      </c>
      <c r="AI38" s="429"/>
      <c r="AJ38" s="197"/>
      <c r="AK38" s="197"/>
      <c r="AL38" s="197"/>
      <c r="AM38" s="197" t="e">
        <f t="shared" si="12"/>
        <v>#N/A</v>
      </c>
      <c r="AN38" s="429"/>
      <c r="AO38" s="197"/>
      <c r="AP38" s="197"/>
      <c r="AQ38" s="197"/>
      <c r="AR38" s="197" t="e">
        <f t="shared" si="13"/>
        <v>#N/A</v>
      </c>
      <c r="AS38" s="429"/>
      <c r="AT38" s="197"/>
      <c r="AU38" s="197"/>
      <c r="AV38" s="197"/>
      <c r="AW38" s="197" t="e">
        <f t="shared" si="14"/>
        <v>#N/A</v>
      </c>
      <c r="AX38" s="432"/>
    </row>
    <row r="39" spans="2:50">
      <c r="B39" s="422"/>
      <c r="C39" s="197">
        <v>13</v>
      </c>
      <c r="D39" s="225"/>
      <c r="E39" s="169"/>
      <c r="F39" s="197"/>
      <c r="G39" s="195"/>
      <c r="H39" s="429"/>
      <c r="I39" s="197"/>
      <c r="J39" s="197"/>
      <c r="K39" s="197"/>
      <c r="L39" s="429"/>
      <c r="M39" s="196" t="e">
        <f>RANK(K39, K$27:$K$41)</f>
        <v>#N/A</v>
      </c>
      <c r="N39" s="423"/>
      <c r="O39" s="423"/>
      <c r="P39" s="197"/>
      <c r="Q39" s="197"/>
      <c r="R39" s="197"/>
      <c r="S39" s="197" t="e">
        <f t="shared" si="8"/>
        <v>#N/A</v>
      </c>
      <c r="T39" s="429"/>
      <c r="U39" s="197"/>
      <c r="V39" s="197"/>
      <c r="W39" s="197"/>
      <c r="X39" s="197" t="e">
        <f t="shared" si="9"/>
        <v>#N/A</v>
      </c>
      <c r="Y39" s="429"/>
      <c r="Z39" s="197"/>
      <c r="AA39" s="197"/>
      <c r="AB39" s="197"/>
      <c r="AC39" s="197" t="e">
        <f t="shared" si="10"/>
        <v>#N/A</v>
      </c>
      <c r="AD39" s="429"/>
      <c r="AE39" s="197"/>
      <c r="AF39" s="197"/>
      <c r="AG39" s="197"/>
      <c r="AH39" s="197" t="e">
        <f t="shared" si="11"/>
        <v>#N/A</v>
      </c>
      <c r="AI39" s="429"/>
      <c r="AJ39" s="197"/>
      <c r="AK39" s="197"/>
      <c r="AL39" s="197"/>
      <c r="AM39" s="197" t="e">
        <f t="shared" si="12"/>
        <v>#N/A</v>
      </c>
      <c r="AN39" s="429"/>
      <c r="AO39" s="197"/>
      <c r="AP39" s="197"/>
      <c r="AQ39" s="197"/>
      <c r="AR39" s="197" t="e">
        <f t="shared" si="13"/>
        <v>#N/A</v>
      </c>
      <c r="AS39" s="429"/>
      <c r="AT39" s="197"/>
      <c r="AU39" s="197"/>
      <c r="AV39" s="197"/>
      <c r="AW39" s="197" t="e">
        <f t="shared" si="14"/>
        <v>#N/A</v>
      </c>
      <c r="AX39" s="432"/>
    </row>
    <row r="40" spans="2:50">
      <c r="B40" s="422"/>
      <c r="C40" s="197">
        <v>14</v>
      </c>
      <c r="D40" s="225"/>
      <c r="E40" s="169"/>
      <c r="F40" s="197"/>
      <c r="G40" s="195"/>
      <c r="H40" s="429"/>
      <c r="I40" s="197"/>
      <c r="J40" s="197"/>
      <c r="K40" s="197"/>
      <c r="L40" s="429"/>
      <c r="M40" s="196" t="e">
        <f>RANK(K40, K$27:$K$41)</f>
        <v>#N/A</v>
      </c>
      <c r="N40" s="423"/>
      <c r="O40" s="423"/>
      <c r="P40" s="197"/>
      <c r="Q40" s="197"/>
      <c r="R40" s="197"/>
      <c r="S40" s="197" t="e">
        <f t="shared" si="8"/>
        <v>#N/A</v>
      </c>
      <c r="T40" s="429"/>
      <c r="U40" s="197"/>
      <c r="V40" s="197"/>
      <c r="W40" s="197"/>
      <c r="X40" s="197" t="e">
        <f t="shared" si="9"/>
        <v>#N/A</v>
      </c>
      <c r="Y40" s="429"/>
      <c r="Z40" s="197"/>
      <c r="AA40" s="197"/>
      <c r="AB40" s="197"/>
      <c r="AC40" s="197" t="e">
        <f t="shared" si="10"/>
        <v>#N/A</v>
      </c>
      <c r="AD40" s="429"/>
      <c r="AE40" s="197"/>
      <c r="AF40" s="197"/>
      <c r="AG40" s="197"/>
      <c r="AH40" s="197" t="e">
        <f t="shared" si="11"/>
        <v>#N/A</v>
      </c>
      <c r="AI40" s="429"/>
      <c r="AJ40" s="197"/>
      <c r="AK40" s="197"/>
      <c r="AL40" s="197"/>
      <c r="AM40" s="197" t="e">
        <f t="shared" si="12"/>
        <v>#N/A</v>
      </c>
      <c r="AN40" s="429"/>
      <c r="AO40" s="197"/>
      <c r="AP40" s="197"/>
      <c r="AQ40" s="197"/>
      <c r="AR40" s="197" t="e">
        <f t="shared" si="13"/>
        <v>#N/A</v>
      </c>
      <c r="AS40" s="429"/>
      <c r="AT40" s="197"/>
      <c r="AU40" s="197"/>
      <c r="AV40" s="197"/>
      <c r="AW40" s="197" t="e">
        <f t="shared" si="14"/>
        <v>#N/A</v>
      </c>
      <c r="AX40" s="432"/>
    </row>
    <row r="41" spans="2:50">
      <c r="B41" s="422"/>
      <c r="C41" s="197">
        <v>15</v>
      </c>
      <c r="D41" s="225"/>
      <c r="E41" s="169"/>
      <c r="F41" s="197"/>
      <c r="G41" s="195"/>
      <c r="H41" s="430"/>
      <c r="I41" s="197"/>
      <c r="J41" s="197"/>
      <c r="K41" s="197"/>
      <c r="L41" s="430"/>
      <c r="M41" s="169" t="e">
        <f>RANK(K41, K$27:$K$41)</f>
        <v>#N/A</v>
      </c>
      <c r="N41" s="423"/>
      <c r="O41" s="423"/>
      <c r="P41" s="197"/>
      <c r="Q41" s="197"/>
      <c r="R41" s="197"/>
      <c r="S41" s="197" t="e">
        <f t="shared" si="8"/>
        <v>#N/A</v>
      </c>
      <c r="T41" s="430"/>
      <c r="U41" s="197"/>
      <c r="V41" s="197"/>
      <c r="W41" s="197"/>
      <c r="X41" s="197" t="e">
        <f t="shared" si="9"/>
        <v>#N/A</v>
      </c>
      <c r="Y41" s="430"/>
      <c r="Z41" s="197"/>
      <c r="AA41" s="197"/>
      <c r="AB41" s="197"/>
      <c r="AC41" s="197" t="e">
        <f t="shared" si="10"/>
        <v>#N/A</v>
      </c>
      <c r="AD41" s="430"/>
      <c r="AE41" s="197"/>
      <c r="AF41" s="197"/>
      <c r="AG41" s="197"/>
      <c r="AH41" s="197" t="e">
        <f t="shared" si="11"/>
        <v>#N/A</v>
      </c>
      <c r="AI41" s="430"/>
      <c r="AJ41" s="197"/>
      <c r="AK41" s="197"/>
      <c r="AL41" s="197"/>
      <c r="AM41" s="197" t="e">
        <f t="shared" si="12"/>
        <v>#N/A</v>
      </c>
      <c r="AN41" s="430"/>
      <c r="AO41" s="197"/>
      <c r="AP41" s="197"/>
      <c r="AQ41" s="197"/>
      <c r="AR41" s="197" t="e">
        <f t="shared" si="13"/>
        <v>#N/A</v>
      </c>
      <c r="AS41" s="430"/>
      <c r="AT41" s="197"/>
      <c r="AU41" s="197"/>
      <c r="AV41" s="197"/>
      <c r="AW41" s="197" t="e">
        <f t="shared" si="14"/>
        <v>#N/A</v>
      </c>
      <c r="AX41" s="432"/>
    </row>
    <row r="42" spans="2:50" ht="15.75">
      <c r="B42" s="424" t="s">
        <v>202</v>
      </c>
      <c r="C42" s="425"/>
      <c r="D42" s="425"/>
      <c r="E42" s="425"/>
      <c r="F42" s="425"/>
      <c r="G42" s="425"/>
      <c r="H42" s="425"/>
      <c r="I42" s="201"/>
      <c r="J42" s="198"/>
      <c r="K42" s="201"/>
      <c r="L42" s="201"/>
      <c r="M42" s="193"/>
      <c r="N42" s="401" t="s">
        <v>203</v>
      </c>
      <c r="O42" s="401" t="s">
        <v>150</v>
      </c>
      <c r="P42" s="421">
        <f>P22+7</f>
        <v>45909</v>
      </c>
      <c r="Q42" s="422"/>
      <c r="R42" s="422"/>
      <c r="S42" s="422"/>
      <c r="T42" s="422"/>
      <c r="U42" s="416">
        <f>P42+1</f>
        <v>45910</v>
      </c>
      <c r="V42" s="417"/>
      <c r="W42" s="417"/>
      <c r="X42" s="417"/>
      <c r="Y42" s="418"/>
      <c r="Z42" s="416">
        <f>U42+1</f>
        <v>45911</v>
      </c>
      <c r="AA42" s="417"/>
      <c r="AB42" s="417"/>
      <c r="AC42" s="417"/>
      <c r="AD42" s="418"/>
      <c r="AE42" s="416">
        <f t="shared" ref="AE42" si="18">Z42+1</f>
        <v>45912</v>
      </c>
      <c r="AF42" s="417"/>
      <c r="AG42" s="417"/>
      <c r="AH42" s="417"/>
      <c r="AI42" s="418"/>
      <c r="AJ42" s="416">
        <f t="shared" ref="AJ42" si="19">AE42+1</f>
        <v>45913</v>
      </c>
      <c r="AK42" s="417"/>
      <c r="AL42" s="417"/>
      <c r="AM42" s="417"/>
      <c r="AN42" s="418"/>
      <c r="AO42" s="416">
        <f t="shared" ref="AO42" si="20">AJ42+1</f>
        <v>45914</v>
      </c>
      <c r="AP42" s="417"/>
      <c r="AQ42" s="417"/>
      <c r="AR42" s="417"/>
      <c r="AS42" s="418"/>
      <c r="AT42" s="416">
        <f t="shared" ref="AT42" si="21">AO42+1</f>
        <v>45915</v>
      </c>
      <c r="AU42" s="417"/>
      <c r="AV42" s="417"/>
      <c r="AW42" s="417"/>
      <c r="AX42" s="418"/>
    </row>
    <row r="43" spans="2:50" ht="15.75">
      <c r="B43" s="426"/>
      <c r="C43" s="426"/>
      <c r="D43" s="426"/>
      <c r="E43" s="426"/>
      <c r="F43" s="426"/>
      <c r="G43" s="426"/>
      <c r="H43" s="426"/>
      <c r="I43" s="199"/>
      <c r="J43" s="199"/>
      <c r="K43" s="199"/>
      <c r="L43" s="199"/>
      <c r="M43" s="194"/>
      <c r="N43" s="403"/>
      <c r="O43" s="403"/>
      <c r="P43" s="421" t="s">
        <v>204</v>
      </c>
      <c r="Q43" s="422"/>
      <c r="R43" s="422"/>
      <c r="S43" s="422"/>
      <c r="T43" s="422"/>
      <c r="U43" s="421" t="s">
        <v>205</v>
      </c>
      <c r="V43" s="422"/>
      <c r="W43" s="422"/>
      <c r="X43" s="422"/>
      <c r="Y43" s="422"/>
      <c r="Z43" s="421" t="s">
        <v>206</v>
      </c>
      <c r="AA43" s="422"/>
      <c r="AB43" s="422"/>
      <c r="AC43" s="422"/>
      <c r="AD43" s="422"/>
      <c r="AE43" s="421" t="s">
        <v>207</v>
      </c>
      <c r="AF43" s="422"/>
      <c r="AG43" s="422"/>
      <c r="AH43" s="422"/>
      <c r="AI43" s="422"/>
      <c r="AJ43" s="421" t="s">
        <v>208</v>
      </c>
      <c r="AK43" s="422"/>
      <c r="AL43" s="422"/>
      <c r="AM43" s="422"/>
      <c r="AN43" s="422"/>
      <c r="AO43" s="421" t="s">
        <v>157</v>
      </c>
      <c r="AP43" s="422"/>
      <c r="AQ43" s="422"/>
      <c r="AR43" s="422"/>
      <c r="AS43" s="422"/>
      <c r="AT43" s="421" t="s">
        <v>209</v>
      </c>
      <c r="AU43" s="422"/>
      <c r="AV43" s="422"/>
      <c r="AW43" s="422"/>
      <c r="AX43" s="422"/>
    </row>
    <row r="44" spans="2:50">
      <c r="B44" s="423" t="s">
        <v>210</v>
      </c>
      <c r="C44" s="423" t="s">
        <v>211</v>
      </c>
      <c r="D44" s="423"/>
      <c r="E44" s="423" t="s">
        <v>212</v>
      </c>
      <c r="F44" s="423"/>
      <c r="G44" s="423"/>
      <c r="H44" s="404" t="s">
        <v>213</v>
      </c>
      <c r="I44" s="423" t="s">
        <v>214</v>
      </c>
      <c r="J44" s="423"/>
      <c r="K44" s="423"/>
      <c r="L44" s="404" t="s">
        <v>213</v>
      </c>
      <c r="M44" s="401" t="s">
        <v>215</v>
      </c>
      <c r="N44" s="423"/>
      <c r="O44" s="423" t="s">
        <v>216</v>
      </c>
      <c r="P44" s="413" t="s">
        <v>217</v>
      </c>
      <c r="Q44" s="414"/>
      <c r="R44" s="414"/>
      <c r="S44" s="415"/>
      <c r="T44" s="423" t="s">
        <v>213</v>
      </c>
      <c r="U44" s="413" t="s">
        <v>217</v>
      </c>
      <c r="V44" s="414"/>
      <c r="W44" s="414"/>
      <c r="X44" s="415"/>
      <c r="Y44" s="423" t="s">
        <v>213</v>
      </c>
      <c r="Z44" s="413" t="s">
        <v>217</v>
      </c>
      <c r="AA44" s="414"/>
      <c r="AB44" s="414"/>
      <c r="AC44" s="415"/>
      <c r="AD44" s="423" t="s">
        <v>213</v>
      </c>
      <c r="AE44" s="413" t="s">
        <v>217</v>
      </c>
      <c r="AF44" s="414"/>
      <c r="AG44" s="414"/>
      <c r="AH44" s="415"/>
      <c r="AI44" s="423" t="s">
        <v>213</v>
      </c>
      <c r="AJ44" s="413" t="s">
        <v>217</v>
      </c>
      <c r="AK44" s="414"/>
      <c r="AL44" s="414"/>
      <c r="AM44" s="415"/>
      <c r="AN44" s="423" t="s">
        <v>213</v>
      </c>
      <c r="AO44" s="413" t="s">
        <v>217</v>
      </c>
      <c r="AP44" s="414"/>
      <c r="AQ44" s="414"/>
      <c r="AR44" s="415"/>
      <c r="AS44" s="423" t="s">
        <v>213</v>
      </c>
      <c r="AT44" s="413" t="s">
        <v>217</v>
      </c>
      <c r="AU44" s="414"/>
      <c r="AV44" s="414"/>
      <c r="AW44" s="415"/>
      <c r="AX44" s="423" t="s">
        <v>213</v>
      </c>
    </row>
    <row r="45" spans="2:50">
      <c r="B45" s="423"/>
      <c r="C45" s="423"/>
      <c r="D45" s="423"/>
      <c r="E45" s="423" t="s">
        <v>218</v>
      </c>
      <c r="F45" s="423"/>
      <c r="G45" s="423"/>
      <c r="H45" s="406"/>
      <c r="I45" s="423" t="s">
        <v>218</v>
      </c>
      <c r="J45" s="423"/>
      <c r="K45" s="423"/>
      <c r="L45" s="406"/>
      <c r="M45" s="402"/>
      <c r="N45" s="423"/>
      <c r="O45" s="423"/>
      <c r="P45" s="413" t="s">
        <v>219</v>
      </c>
      <c r="Q45" s="414"/>
      <c r="R45" s="414"/>
      <c r="S45" s="415"/>
      <c r="T45" s="423"/>
      <c r="U45" s="413" t="s">
        <v>219</v>
      </c>
      <c r="V45" s="414"/>
      <c r="W45" s="414"/>
      <c r="X45" s="415"/>
      <c r="Y45" s="423"/>
      <c r="Z45" s="413" t="s">
        <v>219</v>
      </c>
      <c r="AA45" s="414"/>
      <c r="AB45" s="414"/>
      <c r="AC45" s="415"/>
      <c r="AD45" s="423"/>
      <c r="AE45" s="413" t="s">
        <v>219</v>
      </c>
      <c r="AF45" s="414"/>
      <c r="AG45" s="414"/>
      <c r="AH45" s="415"/>
      <c r="AI45" s="423"/>
      <c r="AJ45" s="413" t="s">
        <v>219</v>
      </c>
      <c r="AK45" s="414"/>
      <c r="AL45" s="414"/>
      <c r="AM45" s="415"/>
      <c r="AN45" s="423"/>
      <c r="AO45" s="413" t="s">
        <v>219</v>
      </c>
      <c r="AP45" s="414"/>
      <c r="AQ45" s="414"/>
      <c r="AR45" s="415"/>
      <c r="AS45" s="423"/>
      <c r="AT45" s="413" t="s">
        <v>219</v>
      </c>
      <c r="AU45" s="414"/>
      <c r="AV45" s="414"/>
      <c r="AW45" s="415"/>
      <c r="AX45" s="423"/>
    </row>
    <row r="46" spans="2:50">
      <c r="B46" s="423"/>
      <c r="C46" s="423"/>
      <c r="D46" s="423"/>
      <c r="E46" s="297" t="s">
        <v>220</v>
      </c>
      <c r="F46" s="297" t="s">
        <v>221</v>
      </c>
      <c r="G46" s="297" t="s">
        <v>222</v>
      </c>
      <c r="H46" s="408"/>
      <c r="I46" s="297" t="s">
        <v>220</v>
      </c>
      <c r="J46" s="297" t="s">
        <v>221</v>
      </c>
      <c r="K46" s="297" t="s">
        <v>222</v>
      </c>
      <c r="L46" s="408"/>
      <c r="M46" s="403"/>
      <c r="N46" s="423"/>
      <c r="O46" s="423"/>
      <c r="P46" s="297" t="s">
        <v>220</v>
      </c>
      <c r="Q46" s="297" t="s">
        <v>221</v>
      </c>
      <c r="R46" s="297" t="s">
        <v>222</v>
      </c>
      <c r="S46" s="297" t="s">
        <v>215</v>
      </c>
      <c r="T46" s="423"/>
      <c r="U46" s="297" t="s">
        <v>220</v>
      </c>
      <c r="V46" s="297" t="s">
        <v>221</v>
      </c>
      <c r="W46" s="297" t="s">
        <v>222</v>
      </c>
      <c r="X46" s="297" t="s">
        <v>215</v>
      </c>
      <c r="Y46" s="423"/>
      <c r="Z46" s="297" t="s">
        <v>220</v>
      </c>
      <c r="AA46" s="297" t="s">
        <v>221</v>
      </c>
      <c r="AB46" s="297" t="s">
        <v>222</v>
      </c>
      <c r="AC46" s="297" t="s">
        <v>215</v>
      </c>
      <c r="AD46" s="423"/>
      <c r="AE46" s="297" t="s">
        <v>220</v>
      </c>
      <c r="AF46" s="297" t="s">
        <v>221</v>
      </c>
      <c r="AG46" s="297" t="s">
        <v>222</v>
      </c>
      <c r="AH46" s="297" t="s">
        <v>215</v>
      </c>
      <c r="AI46" s="423"/>
      <c r="AJ46" s="297" t="s">
        <v>220</v>
      </c>
      <c r="AK46" s="297" t="s">
        <v>221</v>
      </c>
      <c r="AL46" s="297" t="s">
        <v>222</v>
      </c>
      <c r="AM46" s="297" t="s">
        <v>215</v>
      </c>
      <c r="AN46" s="423"/>
      <c r="AO46" s="297" t="s">
        <v>220</v>
      </c>
      <c r="AP46" s="297" t="s">
        <v>221</v>
      </c>
      <c r="AQ46" s="297" t="s">
        <v>222</v>
      </c>
      <c r="AR46" s="297" t="s">
        <v>215</v>
      </c>
      <c r="AS46" s="423"/>
      <c r="AT46" s="297" t="s">
        <v>220</v>
      </c>
      <c r="AU46" s="297" t="s">
        <v>221</v>
      </c>
      <c r="AV46" s="297" t="s">
        <v>222</v>
      </c>
      <c r="AW46" s="297" t="s">
        <v>215</v>
      </c>
      <c r="AX46" s="423"/>
    </row>
    <row r="47" spans="2:50">
      <c r="B47" s="423" t="s">
        <v>313</v>
      </c>
      <c r="C47" s="197">
        <v>1</v>
      </c>
      <c r="D47" s="225" t="s">
        <v>314</v>
      </c>
      <c r="E47" s="169">
        <v>21</v>
      </c>
      <c r="F47" s="197">
        <v>2400</v>
      </c>
      <c r="G47" s="195">
        <v>114.28571428571429</v>
      </c>
      <c r="H47" s="428">
        <f>AVERAGE(G47:G61)</f>
        <v>143.60275689223059</v>
      </c>
      <c r="I47" s="169">
        <f>AVERAGE(P47,U47,Z47,AE47,AJ47,AO47,AT47)</f>
        <v>20</v>
      </c>
      <c r="J47" s="169">
        <f>AVERAGE(Q47,V47,AA47,AF47,AK47,AP47,AU47)</f>
        <v>2196.4223386274125</v>
      </c>
      <c r="K47" s="195">
        <f>AVERAGE(R47,W47,AB47,AG47,AL47,AQ47,AV47)</f>
        <v>109.82111693137063</v>
      </c>
      <c r="L47" s="428">
        <f>IFERROR(AVERAGE(K47:K61),"-")</f>
        <v>117.87986143047594</v>
      </c>
      <c r="M47" s="196" t="e">
        <f>RANK(K47, K$87:$K$101)</f>
        <v>#DIV/0!</v>
      </c>
      <c r="N47" s="423"/>
      <c r="O47" s="423"/>
      <c r="P47" s="197">
        <v>20</v>
      </c>
      <c r="Q47" s="195">
        <v>2204.6341463414624</v>
      </c>
      <c r="R47" s="195">
        <v>110.23170731707312</v>
      </c>
      <c r="S47" s="197">
        <f>RANK(R47, R$47:R$61)</f>
        <v>5</v>
      </c>
      <c r="T47" s="428">
        <f>AVERAGE(R47:R61)</f>
        <v>117.63801852541592</v>
      </c>
      <c r="U47" s="197">
        <v>20</v>
      </c>
      <c r="V47" s="195">
        <v>2186.6666666666665</v>
      </c>
      <c r="W47" s="195">
        <v>109.33333333333333</v>
      </c>
      <c r="X47" s="197">
        <f>RANK(W47, W$47:W$61)</f>
        <v>5</v>
      </c>
      <c r="Y47" s="428">
        <f>AVERAGE(W47:W61)</f>
        <v>119.67373773246072</v>
      </c>
      <c r="Z47" s="197">
        <v>20</v>
      </c>
      <c r="AA47" s="195">
        <v>2222.7586206896549</v>
      </c>
      <c r="AB47" s="195">
        <v>111.13793103448275</v>
      </c>
      <c r="AC47" s="197">
        <f>RANK(AB47, AB$47:AB$61)</f>
        <v>5</v>
      </c>
      <c r="AD47" s="428">
        <f>AVERAGE(AB47:AB61)</f>
        <v>117.69897785446467</v>
      </c>
      <c r="AE47" s="197">
        <v>20</v>
      </c>
      <c r="AF47" s="195">
        <v>2211.7499999999995</v>
      </c>
      <c r="AG47" s="195">
        <v>110.58749999999998</v>
      </c>
      <c r="AH47" s="197">
        <f>RANK(AG47, AG$47:AG$61)</f>
        <v>5</v>
      </c>
      <c r="AI47" s="428">
        <f>AVERAGE(AG47:AG61)</f>
        <v>117.24538438758591</v>
      </c>
      <c r="AJ47" s="197">
        <v>20</v>
      </c>
      <c r="AK47" s="195">
        <v>2157.1428571428564</v>
      </c>
      <c r="AL47" s="195">
        <v>107.85714285714282</v>
      </c>
      <c r="AM47" s="197">
        <f>RANK(AL47, AL$47:AL$61)</f>
        <v>5</v>
      </c>
      <c r="AN47" s="428">
        <f>AVERAGE(AL47:AL61)</f>
        <v>116.49691126197702</v>
      </c>
      <c r="AO47" s="197">
        <v>20</v>
      </c>
      <c r="AP47" s="195">
        <v>2198.4905660377353</v>
      </c>
      <c r="AQ47" s="195">
        <v>109.92452830188677</v>
      </c>
      <c r="AR47" s="197">
        <f>RANK(AQ47, AQ$47:AQ$61)</f>
        <v>5</v>
      </c>
      <c r="AS47" s="428">
        <f>AVERAGE(AQ47:AQ61)</f>
        <v>118.29290784106927</v>
      </c>
      <c r="AT47" s="197">
        <v>20</v>
      </c>
      <c r="AU47" s="195">
        <v>2193.5135135135133</v>
      </c>
      <c r="AV47" s="195">
        <v>109.67567567567566</v>
      </c>
      <c r="AW47" s="197">
        <f>RANK(AV47, AV$47:AV$61)</f>
        <v>5</v>
      </c>
      <c r="AX47" s="432">
        <f>AVERAGE(AV47:AV61)</f>
        <v>118.11309241035822</v>
      </c>
    </row>
    <row r="48" spans="2:50">
      <c r="B48" s="422"/>
      <c r="C48" s="197">
        <v>2</v>
      </c>
      <c r="D48" s="225" t="s">
        <v>315</v>
      </c>
      <c r="E48" s="169">
        <v>18</v>
      </c>
      <c r="F48" s="197">
        <v>3000</v>
      </c>
      <c r="G48" s="195">
        <v>166.66666666666666</v>
      </c>
      <c r="H48" s="429"/>
      <c r="I48" s="169">
        <f t="shared" ref="I48:I51" si="22">AVERAGE(P48,U48,Z48,AE48,AJ48,AO48,AT48)</f>
        <v>20</v>
      </c>
      <c r="J48" s="169">
        <f t="shared" ref="J48:J51" si="23">AVERAGE(Q48,V48,AA48,AF48,AK48,AP48,AU48)</f>
        <v>2373.1783819943239</v>
      </c>
      <c r="K48" s="195">
        <f t="shared" ref="K48:K51" si="24">AVERAGE(R48,W48,AB48,AG48,AL48,AQ48,AV48)</f>
        <v>118.6589190997162</v>
      </c>
      <c r="L48" s="429"/>
      <c r="M48" s="196" t="e">
        <f>RANK(K48, K$87:$K$101)</f>
        <v>#DIV/0!</v>
      </c>
      <c r="N48" s="423"/>
      <c r="O48" s="423"/>
      <c r="P48" s="197">
        <v>20</v>
      </c>
      <c r="Q48" s="195">
        <v>2425.0746268656717</v>
      </c>
      <c r="R48" s="195">
        <v>121.25373134328359</v>
      </c>
      <c r="S48" s="197">
        <f t="shared" ref="S48:S61" si="25">RANK(R48, R$47:R$61)</f>
        <v>3</v>
      </c>
      <c r="T48" s="429"/>
      <c r="U48" s="197">
        <v>20</v>
      </c>
      <c r="V48" s="195">
        <v>2429.5774647887329</v>
      </c>
      <c r="W48" s="195">
        <v>121.47887323943664</v>
      </c>
      <c r="X48" s="197">
        <f t="shared" ref="X48:X61" si="26">RANK(W48, W$47:W$61)</f>
        <v>3</v>
      </c>
      <c r="Y48" s="429"/>
      <c r="Z48" s="197">
        <v>20</v>
      </c>
      <c r="AA48" s="195">
        <v>2321.666666666667</v>
      </c>
      <c r="AB48" s="195">
        <v>116.08333333333334</v>
      </c>
      <c r="AC48" s="197">
        <f t="shared" ref="AC48:AC61" si="27">RANK(AB48, AB$47:AB$61)</f>
        <v>3</v>
      </c>
      <c r="AD48" s="429"/>
      <c r="AE48" s="197">
        <v>20</v>
      </c>
      <c r="AF48" s="195">
        <v>2343.5820895522388</v>
      </c>
      <c r="AG48" s="195">
        <v>117.17910447761194</v>
      </c>
      <c r="AH48" s="197">
        <f t="shared" ref="AH48:AH61" si="28">RANK(AG48, AG$47:AG$61)</f>
        <v>3</v>
      </c>
      <c r="AI48" s="429"/>
      <c r="AJ48" s="197">
        <v>20</v>
      </c>
      <c r="AK48" s="195">
        <v>2324.3478260869565</v>
      </c>
      <c r="AL48" s="195">
        <v>116.21739130434783</v>
      </c>
      <c r="AM48" s="197">
        <f t="shared" ref="AM48:AM61" si="29">RANK(AL48, AL$47:AL$61)</f>
        <v>3</v>
      </c>
      <c r="AN48" s="429"/>
      <c r="AO48" s="197">
        <v>20</v>
      </c>
      <c r="AP48" s="195">
        <v>2376.0000000000009</v>
      </c>
      <c r="AQ48" s="195">
        <v>118.80000000000004</v>
      </c>
      <c r="AR48" s="197">
        <f t="shared" ref="AR48:AR61" si="30">RANK(AQ48, AQ$47:AQ$61)</f>
        <v>3</v>
      </c>
      <c r="AS48" s="429"/>
      <c r="AT48" s="197">
        <v>20</v>
      </c>
      <c r="AU48" s="195">
        <v>2392.0000000000009</v>
      </c>
      <c r="AV48" s="195">
        <v>119.60000000000005</v>
      </c>
      <c r="AW48" s="197">
        <f t="shared" ref="AW48:AW61" si="31">RANK(AV48, AV$47:AV$61)</f>
        <v>3</v>
      </c>
      <c r="AX48" s="432"/>
    </row>
    <row r="49" spans="2:50">
      <c r="B49" s="422"/>
      <c r="C49" s="197">
        <v>3</v>
      </c>
      <c r="D49" s="225" t="s">
        <v>316</v>
      </c>
      <c r="E49" s="169">
        <v>20</v>
      </c>
      <c r="F49" s="197">
        <v>2250</v>
      </c>
      <c r="G49" s="195">
        <v>112.5</v>
      </c>
      <c r="H49" s="429"/>
      <c r="I49" s="169">
        <f t="shared" si="22"/>
        <v>20</v>
      </c>
      <c r="J49" s="169">
        <f t="shared" si="23"/>
        <v>2263.9344116518764</v>
      </c>
      <c r="K49" s="195">
        <f t="shared" si="24"/>
        <v>113.19672058259381</v>
      </c>
      <c r="L49" s="429"/>
      <c r="M49" s="196" t="e">
        <f>RANK(K49, K$87:$K$101)</f>
        <v>#DIV/0!</v>
      </c>
      <c r="N49" s="423"/>
      <c r="O49" s="423"/>
      <c r="P49" s="197">
        <v>20</v>
      </c>
      <c r="Q49" s="195">
        <v>2248.3636363636379</v>
      </c>
      <c r="R49" s="195">
        <v>112.41818181818189</v>
      </c>
      <c r="S49" s="197">
        <f t="shared" si="25"/>
        <v>4</v>
      </c>
      <c r="T49" s="429"/>
      <c r="U49" s="197">
        <v>20</v>
      </c>
      <c r="V49" s="195">
        <v>2316.2068965517224</v>
      </c>
      <c r="W49" s="195">
        <v>115.81034482758612</v>
      </c>
      <c r="X49" s="197">
        <f t="shared" si="26"/>
        <v>4</v>
      </c>
      <c r="Y49" s="429"/>
      <c r="Z49" s="197">
        <v>20</v>
      </c>
      <c r="AA49" s="195">
        <v>2282.1818181818198</v>
      </c>
      <c r="AB49" s="195">
        <v>114.10909090909099</v>
      </c>
      <c r="AC49" s="197">
        <f t="shared" si="27"/>
        <v>4</v>
      </c>
      <c r="AD49" s="429"/>
      <c r="AE49" s="197">
        <v>20</v>
      </c>
      <c r="AF49" s="195">
        <v>2237.7777777777792</v>
      </c>
      <c r="AG49" s="195">
        <v>111.88888888888896</v>
      </c>
      <c r="AH49" s="197">
        <f t="shared" si="28"/>
        <v>4</v>
      </c>
      <c r="AI49" s="429"/>
      <c r="AJ49" s="197">
        <v>20</v>
      </c>
      <c r="AK49" s="195">
        <v>2223.3333333333348</v>
      </c>
      <c r="AL49" s="195">
        <v>111.16666666666674</v>
      </c>
      <c r="AM49" s="197">
        <f t="shared" si="29"/>
        <v>4</v>
      </c>
      <c r="AN49" s="429"/>
      <c r="AO49" s="197">
        <v>20</v>
      </c>
      <c r="AP49" s="195">
        <v>2246.1290322580667</v>
      </c>
      <c r="AQ49" s="195">
        <v>112.30645161290333</v>
      </c>
      <c r="AR49" s="197">
        <f t="shared" si="30"/>
        <v>4</v>
      </c>
      <c r="AS49" s="429"/>
      <c r="AT49" s="197">
        <v>20</v>
      </c>
      <c r="AU49" s="195">
        <v>2293.5483870967764</v>
      </c>
      <c r="AV49" s="195">
        <v>114.67741935483882</v>
      </c>
      <c r="AW49" s="197">
        <f t="shared" si="31"/>
        <v>4</v>
      </c>
      <c r="AX49" s="432"/>
    </row>
    <row r="50" spans="2:50">
      <c r="B50" s="422"/>
      <c r="C50" s="197">
        <v>4</v>
      </c>
      <c r="D50" s="225" t="s">
        <v>317</v>
      </c>
      <c r="E50" s="169">
        <v>18</v>
      </c>
      <c r="F50" s="197">
        <v>3000</v>
      </c>
      <c r="G50" s="195">
        <v>166.66666666666666</v>
      </c>
      <c r="H50" s="429"/>
      <c r="I50" s="169">
        <f t="shared" si="22"/>
        <v>20</v>
      </c>
      <c r="J50" s="169">
        <f t="shared" si="23"/>
        <v>2455.370879198148</v>
      </c>
      <c r="K50" s="195">
        <f t="shared" si="24"/>
        <v>122.76854395990742</v>
      </c>
      <c r="L50" s="429"/>
      <c r="M50" s="196" t="e">
        <f>RANK(K50, K$87:$K$101)</f>
        <v>#DIV/0!</v>
      </c>
      <c r="N50" s="423"/>
      <c r="O50" s="423"/>
      <c r="P50" s="197">
        <v>20</v>
      </c>
      <c r="Q50" s="195">
        <v>2450.3448275862065</v>
      </c>
      <c r="R50" s="195">
        <v>122.51724137931032</v>
      </c>
      <c r="S50" s="197">
        <f t="shared" si="25"/>
        <v>1</v>
      </c>
      <c r="T50" s="429"/>
      <c r="U50" s="197">
        <v>20</v>
      </c>
      <c r="V50" s="195">
        <v>2492.608695652174</v>
      </c>
      <c r="W50" s="195">
        <v>124.6304347826087</v>
      </c>
      <c r="X50" s="197">
        <f t="shared" si="26"/>
        <v>2</v>
      </c>
      <c r="Y50" s="429"/>
      <c r="Z50" s="197">
        <v>20</v>
      </c>
      <c r="AA50" s="195">
        <v>2442.9545454545455</v>
      </c>
      <c r="AB50" s="195">
        <v>122.14772727272728</v>
      </c>
      <c r="AC50" s="197">
        <f t="shared" si="27"/>
        <v>2</v>
      </c>
      <c r="AD50" s="429"/>
      <c r="AE50" s="197">
        <v>20</v>
      </c>
      <c r="AF50" s="195">
        <v>2428.5714285714275</v>
      </c>
      <c r="AG50" s="195">
        <v>121.42857142857137</v>
      </c>
      <c r="AH50" s="197">
        <f t="shared" si="28"/>
        <v>2</v>
      </c>
      <c r="AI50" s="429"/>
      <c r="AJ50" s="197">
        <v>20</v>
      </c>
      <c r="AK50" s="195">
        <v>2405.5813953488368</v>
      </c>
      <c r="AL50" s="195">
        <v>120.27906976744184</v>
      </c>
      <c r="AM50" s="197">
        <f t="shared" si="29"/>
        <v>2</v>
      </c>
      <c r="AN50" s="429"/>
      <c r="AO50" s="197">
        <v>20</v>
      </c>
      <c r="AP50" s="195">
        <v>2489.6629213483147</v>
      </c>
      <c r="AQ50" s="195">
        <v>124.48314606741573</v>
      </c>
      <c r="AR50" s="197">
        <f t="shared" si="30"/>
        <v>2</v>
      </c>
      <c r="AS50" s="429"/>
      <c r="AT50" s="197">
        <v>20</v>
      </c>
      <c r="AU50" s="195">
        <v>2477.872340425532</v>
      </c>
      <c r="AV50" s="195">
        <v>123.8936170212766</v>
      </c>
      <c r="AW50" s="197">
        <f t="shared" si="31"/>
        <v>1</v>
      </c>
      <c r="AX50" s="432"/>
    </row>
    <row r="51" spans="2:50">
      <c r="B51" s="422"/>
      <c r="C51" s="197">
        <v>5</v>
      </c>
      <c r="D51" s="225" t="s">
        <v>318</v>
      </c>
      <c r="E51" s="169">
        <v>19</v>
      </c>
      <c r="F51" s="197">
        <v>3000</v>
      </c>
      <c r="G51" s="195">
        <v>157.89473684210526</v>
      </c>
      <c r="H51" s="429"/>
      <c r="I51" s="169">
        <f t="shared" si="22"/>
        <v>20</v>
      </c>
      <c r="J51" s="169">
        <f t="shared" si="23"/>
        <v>2499.0801315758349</v>
      </c>
      <c r="K51" s="195">
        <f t="shared" si="24"/>
        <v>124.95400657879172</v>
      </c>
      <c r="L51" s="429"/>
      <c r="M51" s="196" t="e">
        <f>RANK(K51, K$87:$K$101)</f>
        <v>#DIV/0!</v>
      </c>
      <c r="N51" s="423"/>
      <c r="O51" s="423"/>
      <c r="P51" s="197">
        <v>20</v>
      </c>
      <c r="Q51" s="195">
        <v>2435.3846153846143</v>
      </c>
      <c r="R51" s="195">
        <v>121.76923076923072</v>
      </c>
      <c r="S51" s="197">
        <f t="shared" si="25"/>
        <v>2</v>
      </c>
      <c r="T51" s="429"/>
      <c r="U51" s="197">
        <v>20</v>
      </c>
      <c r="V51" s="195">
        <v>2542.314049586776</v>
      </c>
      <c r="W51" s="195">
        <v>127.11570247933881</v>
      </c>
      <c r="X51" s="197">
        <f t="shared" si="26"/>
        <v>1</v>
      </c>
      <c r="Y51" s="429"/>
      <c r="Z51" s="197">
        <v>20</v>
      </c>
      <c r="AA51" s="195">
        <v>2500.3361344537807</v>
      </c>
      <c r="AB51" s="195">
        <v>125.01680672268904</v>
      </c>
      <c r="AC51" s="197">
        <f t="shared" si="27"/>
        <v>1</v>
      </c>
      <c r="AD51" s="429"/>
      <c r="AE51" s="197">
        <v>20</v>
      </c>
      <c r="AF51" s="195">
        <v>2502.8571428571445</v>
      </c>
      <c r="AG51" s="195">
        <v>125.14285714285722</v>
      </c>
      <c r="AH51" s="197">
        <f t="shared" si="28"/>
        <v>1</v>
      </c>
      <c r="AI51" s="429"/>
      <c r="AJ51" s="197">
        <v>20</v>
      </c>
      <c r="AK51" s="195">
        <v>2539.2857142857165</v>
      </c>
      <c r="AL51" s="195">
        <v>126.96428571428582</v>
      </c>
      <c r="AM51" s="197">
        <f t="shared" si="29"/>
        <v>1</v>
      </c>
      <c r="AN51" s="429"/>
      <c r="AO51" s="197">
        <v>20</v>
      </c>
      <c r="AP51" s="195">
        <v>2519.0082644628087</v>
      </c>
      <c r="AQ51" s="195">
        <v>125.95041322314043</v>
      </c>
      <c r="AR51" s="197">
        <f t="shared" si="30"/>
        <v>1</v>
      </c>
      <c r="AS51" s="429"/>
      <c r="AT51" s="197">
        <v>20</v>
      </c>
      <c r="AU51" s="195">
        <v>2454.3749999999995</v>
      </c>
      <c r="AV51" s="195">
        <v>122.71874999999997</v>
      </c>
      <c r="AW51" s="197">
        <f t="shared" si="31"/>
        <v>2</v>
      </c>
      <c r="AX51" s="432"/>
    </row>
    <row r="52" spans="2:50">
      <c r="B52" s="422"/>
      <c r="C52" s="197">
        <v>6</v>
      </c>
      <c r="D52" s="225"/>
      <c r="E52" s="169"/>
      <c r="F52" s="197"/>
      <c r="G52" s="195"/>
      <c r="H52" s="429"/>
      <c r="I52" s="169"/>
      <c r="J52" s="169"/>
      <c r="K52" s="195"/>
      <c r="L52" s="429"/>
      <c r="M52" s="196" t="e">
        <f>RANK(K52, K$87:$K$101)</f>
        <v>#DIV/0!</v>
      </c>
      <c r="N52" s="423"/>
      <c r="O52" s="423"/>
      <c r="P52" s="197"/>
      <c r="Q52" s="195"/>
      <c r="R52" s="195"/>
      <c r="S52" s="197" t="e">
        <f t="shared" si="25"/>
        <v>#N/A</v>
      </c>
      <c r="T52" s="429"/>
      <c r="U52" s="197"/>
      <c r="V52" s="195"/>
      <c r="W52" s="195"/>
      <c r="X52" s="197" t="e">
        <f t="shared" si="26"/>
        <v>#N/A</v>
      </c>
      <c r="Y52" s="429"/>
      <c r="Z52" s="197"/>
      <c r="AA52" s="195"/>
      <c r="AB52" s="195"/>
      <c r="AC52" s="197" t="e">
        <f t="shared" si="27"/>
        <v>#N/A</v>
      </c>
      <c r="AD52" s="429"/>
      <c r="AE52" s="197"/>
      <c r="AF52" s="195"/>
      <c r="AG52" s="195"/>
      <c r="AH52" s="197" t="e">
        <f t="shared" si="28"/>
        <v>#N/A</v>
      </c>
      <c r="AI52" s="429"/>
      <c r="AJ52" s="197"/>
      <c r="AK52" s="195"/>
      <c r="AL52" s="195"/>
      <c r="AM52" s="197" t="e">
        <f t="shared" si="29"/>
        <v>#N/A</v>
      </c>
      <c r="AN52" s="429"/>
      <c r="AO52" s="197"/>
      <c r="AP52" s="195"/>
      <c r="AQ52" s="195"/>
      <c r="AR52" s="197" t="e">
        <f t="shared" si="30"/>
        <v>#N/A</v>
      </c>
      <c r="AS52" s="429"/>
      <c r="AT52" s="197"/>
      <c r="AU52" s="195"/>
      <c r="AV52" s="195"/>
      <c r="AW52" s="197" t="e">
        <f t="shared" si="31"/>
        <v>#N/A</v>
      </c>
      <c r="AX52" s="432"/>
    </row>
    <row r="53" spans="2:50">
      <c r="B53" s="422"/>
      <c r="C53" s="197">
        <v>7</v>
      </c>
      <c r="D53" s="225"/>
      <c r="E53" s="169"/>
      <c r="F53" s="197"/>
      <c r="G53" s="195"/>
      <c r="H53" s="429"/>
      <c r="I53" s="169"/>
      <c r="J53" s="169"/>
      <c r="K53" s="195"/>
      <c r="L53" s="429"/>
      <c r="M53" s="196" t="e">
        <f>RANK(K53, K$87:$K$101)</f>
        <v>#DIV/0!</v>
      </c>
      <c r="N53" s="423"/>
      <c r="O53" s="423"/>
      <c r="P53" s="197"/>
      <c r="Q53" s="195"/>
      <c r="R53" s="195"/>
      <c r="S53" s="197" t="e">
        <f t="shared" si="25"/>
        <v>#N/A</v>
      </c>
      <c r="T53" s="429"/>
      <c r="U53" s="197"/>
      <c r="V53" s="195"/>
      <c r="W53" s="195"/>
      <c r="X53" s="197" t="e">
        <f t="shared" si="26"/>
        <v>#N/A</v>
      </c>
      <c r="Y53" s="429"/>
      <c r="Z53" s="197"/>
      <c r="AA53" s="195"/>
      <c r="AB53" s="195"/>
      <c r="AC53" s="197" t="e">
        <f t="shared" si="27"/>
        <v>#N/A</v>
      </c>
      <c r="AD53" s="429"/>
      <c r="AE53" s="197"/>
      <c r="AF53" s="195"/>
      <c r="AG53" s="195"/>
      <c r="AH53" s="197" t="e">
        <f t="shared" si="28"/>
        <v>#N/A</v>
      </c>
      <c r="AI53" s="429"/>
      <c r="AJ53" s="197"/>
      <c r="AK53" s="195"/>
      <c r="AL53" s="195"/>
      <c r="AM53" s="197" t="e">
        <f t="shared" si="29"/>
        <v>#N/A</v>
      </c>
      <c r="AN53" s="429"/>
      <c r="AO53" s="197"/>
      <c r="AP53" s="195"/>
      <c r="AQ53" s="195"/>
      <c r="AR53" s="197" t="e">
        <f t="shared" si="30"/>
        <v>#N/A</v>
      </c>
      <c r="AS53" s="429"/>
      <c r="AT53" s="197"/>
      <c r="AU53" s="195"/>
      <c r="AV53" s="195"/>
      <c r="AW53" s="197" t="e">
        <f t="shared" si="31"/>
        <v>#N/A</v>
      </c>
      <c r="AX53" s="432"/>
    </row>
    <row r="54" spans="2:50">
      <c r="B54" s="422"/>
      <c r="C54" s="197">
        <v>8</v>
      </c>
      <c r="D54" s="225"/>
      <c r="E54" s="169"/>
      <c r="F54" s="197"/>
      <c r="G54" s="195"/>
      <c r="H54" s="429"/>
      <c r="I54" s="169"/>
      <c r="J54" s="169"/>
      <c r="K54" s="195"/>
      <c r="L54" s="429"/>
      <c r="M54" s="196" t="e">
        <f>RANK(K54, K$87:$K$101)</f>
        <v>#DIV/0!</v>
      </c>
      <c r="N54" s="423"/>
      <c r="O54" s="423"/>
      <c r="P54" s="197"/>
      <c r="Q54" s="195"/>
      <c r="R54" s="195"/>
      <c r="S54" s="197" t="e">
        <f t="shared" si="25"/>
        <v>#N/A</v>
      </c>
      <c r="T54" s="429"/>
      <c r="U54" s="197"/>
      <c r="V54" s="195"/>
      <c r="W54" s="195"/>
      <c r="X54" s="197" t="e">
        <f t="shared" si="26"/>
        <v>#N/A</v>
      </c>
      <c r="Y54" s="429"/>
      <c r="Z54" s="197"/>
      <c r="AA54" s="195"/>
      <c r="AB54" s="195"/>
      <c r="AC54" s="197" t="e">
        <f t="shared" si="27"/>
        <v>#N/A</v>
      </c>
      <c r="AD54" s="429"/>
      <c r="AE54" s="197"/>
      <c r="AF54" s="195"/>
      <c r="AG54" s="195"/>
      <c r="AH54" s="197" t="e">
        <f t="shared" si="28"/>
        <v>#N/A</v>
      </c>
      <c r="AI54" s="429"/>
      <c r="AJ54" s="197"/>
      <c r="AK54" s="195"/>
      <c r="AL54" s="195"/>
      <c r="AM54" s="197" t="e">
        <f t="shared" si="29"/>
        <v>#N/A</v>
      </c>
      <c r="AN54" s="429"/>
      <c r="AO54" s="197"/>
      <c r="AP54" s="195"/>
      <c r="AQ54" s="195"/>
      <c r="AR54" s="197" t="e">
        <f t="shared" si="30"/>
        <v>#N/A</v>
      </c>
      <c r="AS54" s="429"/>
      <c r="AT54" s="197"/>
      <c r="AU54" s="195"/>
      <c r="AV54" s="195"/>
      <c r="AW54" s="197" t="e">
        <f t="shared" si="31"/>
        <v>#N/A</v>
      </c>
      <c r="AX54" s="432"/>
    </row>
    <row r="55" spans="2:50">
      <c r="B55" s="422"/>
      <c r="C55" s="197">
        <v>9</v>
      </c>
      <c r="D55" s="225"/>
      <c r="E55" s="169"/>
      <c r="F55" s="197"/>
      <c r="G55" s="195"/>
      <c r="H55" s="429"/>
      <c r="I55" s="169"/>
      <c r="J55" s="169"/>
      <c r="K55" s="195"/>
      <c r="L55" s="429"/>
      <c r="M55" s="196" t="e">
        <f>RANK(K55, K$87:$K$101)</f>
        <v>#DIV/0!</v>
      </c>
      <c r="N55" s="423"/>
      <c r="O55" s="423"/>
      <c r="P55" s="197"/>
      <c r="Q55" s="195"/>
      <c r="R55" s="195"/>
      <c r="S55" s="197" t="e">
        <f t="shared" si="25"/>
        <v>#N/A</v>
      </c>
      <c r="T55" s="429"/>
      <c r="U55" s="197"/>
      <c r="V55" s="195"/>
      <c r="W55" s="195"/>
      <c r="X55" s="197" t="e">
        <f t="shared" si="26"/>
        <v>#N/A</v>
      </c>
      <c r="Y55" s="429"/>
      <c r="Z55" s="197"/>
      <c r="AA55" s="195"/>
      <c r="AB55" s="195"/>
      <c r="AC55" s="197" t="e">
        <f t="shared" si="27"/>
        <v>#N/A</v>
      </c>
      <c r="AD55" s="429"/>
      <c r="AE55" s="197"/>
      <c r="AF55" s="195"/>
      <c r="AG55" s="195"/>
      <c r="AH55" s="197" t="e">
        <f t="shared" si="28"/>
        <v>#N/A</v>
      </c>
      <c r="AI55" s="429"/>
      <c r="AJ55" s="197"/>
      <c r="AK55" s="195"/>
      <c r="AL55" s="195"/>
      <c r="AM55" s="197" t="e">
        <f t="shared" si="29"/>
        <v>#N/A</v>
      </c>
      <c r="AN55" s="429"/>
      <c r="AO55" s="197"/>
      <c r="AP55" s="195"/>
      <c r="AQ55" s="195"/>
      <c r="AR55" s="197" t="e">
        <f t="shared" si="30"/>
        <v>#N/A</v>
      </c>
      <c r="AS55" s="429"/>
      <c r="AT55" s="197"/>
      <c r="AU55" s="195"/>
      <c r="AV55" s="195"/>
      <c r="AW55" s="197" t="e">
        <f t="shared" si="31"/>
        <v>#N/A</v>
      </c>
      <c r="AX55" s="432"/>
    </row>
    <row r="56" spans="2:50">
      <c r="B56" s="422"/>
      <c r="C56" s="197">
        <v>10</v>
      </c>
      <c r="D56" s="225"/>
      <c r="E56" s="169"/>
      <c r="F56" s="197"/>
      <c r="G56" s="195"/>
      <c r="H56" s="429"/>
      <c r="I56" s="169"/>
      <c r="J56" s="169"/>
      <c r="K56" s="195"/>
      <c r="L56" s="429"/>
      <c r="M56" s="196" t="e">
        <f>RANK(K56, K$87:$K$101)</f>
        <v>#DIV/0!</v>
      </c>
      <c r="N56" s="423"/>
      <c r="O56" s="423"/>
      <c r="P56" s="197"/>
      <c r="Q56" s="197"/>
      <c r="R56" s="195"/>
      <c r="S56" s="197" t="e">
        <f t="shared" si="25"/>
        <v>#N/A</v>
      </c>
      <c r="T56" s="429"/>
      <c r="U56" s="197"/>
      <c r="V56" s="197"/>
      <c r="W56" s="195"/>
      <c r="X56" s="197" t="e">
        <f t="shared" si="26"/>
        <v>#N/A</v>
      </c>
      <c r="Y56" s="429"/>
      <c r="Z56" s="197"/>
      <c r="AA56" s="197"/>
      <c r="AB56" s="195"/>
      <c r="AC56" s="197" t="e">
        <f t="shared" si="27"/>
        <v>#N/A</v>
      </c>
      <c r="AD56" s="429"/>
      <c r="AE56" s="197"/>
      <c r="AF56" s="197"/>
      <c r="AG56" s="195"/>
      <c r="AH56" s="197" t="e">
        <f t="shared" si="28"/>
        <v>#N/A</v>
      </c>
      <c r="AI56" s="429"/>
      <c r="AJ56" s="197"/>
      <c r="AK56" s="197"/>
      <c r="AL56" s="195"/>
      <c r="AM56" s="197" t="e">
        <f t="shared" si="29"/>
        <v>#N/A</v>
      </c>
      <c r="AN56" s="429"/>
      <c r="AO56" s="197"/>
      <c r="AP56" s="197"/>
      <c r="AQ56" s="195"/>
      <c r="AR56" s="197" t="e">
        <f t="shared" si="30"/>
        <v>#N/A</v>
      </c>
      <c r="AS56" s="429"/>
      <c r="AT56" s="197"/>
      <c r="AU56" s="197"/>
      <c r="AV56" s="195"/>
      <c r="AW56" s="197" t="e">
        <f t="shared" si="31"/>
        <v>#N/A</v>
      </c>
      <c r="AX56" s="432"/>
    </row>
    <row r="57" spans="2:50">
      <c r="B57" s="422"/>
      <c r="C57" s="197">
        <v>11</v>
      </c>
      <c r="D57" s="225"/>
      <c r="E57" s="169"/>
      <c r="F57" s="197"/>
      <c r="G57" s="195"/>
      <c r="H57" s="429"/>
      <c r="I57" s="197"/>
      <c r="J57" s="197"/>
      <c r="K57" s="197"/>
      <c r="L57" s="429"/>
      <c r="M57" s="196" t="e">
        <f>RANK(K57, K$87:$K$101)</f>
        <v>#DIV/0!</v>
      </c>
      <c r="N57" s="423"/>
      <c r="O57" s="423"/>
      <c r="P57" s="197"/>
      <c r="Q57" s="197"/>
      <c r="R57" s="197"/>
      <c r="S57" s="197" t="e">
        <f t="shared" si="25"/>
        <v>#N/A</v>
      </c>
      <c r="T57" s="429"/>
      <c r="U57" s="197"/>
      <c r="V57" s="197"/>
      <c r="W57" s="197"/>
      <c r="X57" s="197" t="e">
        <f t="shared" si="26"/>
        <v>#N/A</v>
      </c>
      <c r="Y57" s="429"/>
      <c r="Z57" s="197"/>
      <c r="AA57" s="197"/>
      <c r="AB57" s="197"/>
      <c r="AC57" s="197" t="e">
        <f t="shared" si="27"/>
        <v>#N/A</v>
      </c>
      <c r="AD57" s="429"/>
      <c r="AE57" s="197"/>
      <c r="AF57" s="197"/>
      <c r="AG57" s="197"/>
      <c r="AH57" s="197" t="e">
        <f t="shared" si="28"/>
        <v>#N/A</v>
      </c>
      <c r="AI57" s="429"/>
      <c r="AJ57" s="197"/>
      <c r="AK57" s="197"/>
      <c r="AL57" s="197"/>
      <c r="AM57" s="197" t="e">
        <f t="shared" si="29"/>
        <v>#N/A</v>
      </c>
      <c r="AN57" s="429"/>
      <c r="AO57" s="197"/>
      <c r="AP57" s="197"/>
      <c r="AQ57" s="197"/>
      <c r="AR57" s="197" t="e">
        <f t="shared" si="30"/>
        <v>#N/A</v>
      </c>
      <c r="AS57" s="429"/>
      <c r="AT57" s="197"/>
      <c r="AU57" s="197"/>
      <c r="AV57" s="197"/>
      <c r="AW57" s="197" t="e">
        <f t="shared" si="31"/>
        <v>#N/A</v>
      </c>
      <c r="AX57" s="432"/>
    </row>
    <row r="58" spans="2:50">
      <c r="B58" s="422"/>
      <c r="C58" s="197">
        <v>12</v>
      </c>
      <c r="D58" s="225"/>
      <c r="E58" s="169"/>
      <c r="F58" s="197"/>
      <c r="G58" s="195"/>
      <c r="H58" s="429"/>
      <c r="I58" s="197"/>
      <c r="J58" s="197"/>
      <c r="K58" s="197"/>
      <c r="L58" s="429"/>
      <c r="M58" s="196" t="e">
        <f>RANK(K58, K$87:$K$101)</f>
        <v>#DIV/0!</v>
      </c>
      <c r="N58" s="423"/>
      <c r="O58" s="423"/>
      <c r="P58" s="197"/>
      <c r="Q58" s="197"/>
      <c r="R58" s="197"/>
      <c r="S58" s="197" t="e">
        <f t="shared" si="25"/>
        <v>#N/A</v>
      </c>
      <c r="T58" s="429"/>
      <c r="U58" s="197"/>
      <c r="V58" s="197"/>
      <c r="W58" s="197"/>
      <c r="X58" s="197" t="e">
        <f t="shared" si="26"/>
        <v>#N/A</v>
      </c>
      <c r="Y58" s="429"/>
      <c r="Z58" s="197"/>
      <c r="AA58" s="197"/>
      <c r="AB58" s="197"/>
      <c r="AC58" s="197" t="e">
        <f t="shared" si="27"/>
        <v>#N/A</v>
      </c>
      <c r="AD58" s="429"/>
      <c r="AE58" s="197"/>
      <c r="AF58" s="197"/>
      <c r="AG58" s="197"/>
      <c r="AH58" s="197" t="e">
        <f t="shared" si="28"/>
        <v>#N/A</v>
      </c>
      <c r="AI58" s="429"/>
      <c r="AJ58" s="197"/>
      <c r="AK58" s="197"/>
      <c r="AL58" s="197"/>
      <c r="AM58" s="197" t="e">
        <f t="shared" si="29"/>
        <v>#N/A</v>
      </c>
      <c r="AN58" s="429"/>
      <c r="AO58" s="197"/>
      <c r="AP58" s="197"/>
      <c r="AQ58" s="197"/>
      <c r="AR58" s="197" t="e">
        <f t="shared" si="30"/>
        <v>#N/A</v>
      </c>
      <c r="AS58" s="429"/>
      <c r="AT58" s="197"/>
      <c r="AU58" s="197"/>
      <c r="AV58" s="197"/>
      <c r="AW58" s="197" t="e">
        <f t="shared" si="31"/>
        <v>#N/A</v>
      </c>
      <c r="AX58" s="432"/>
    </row>
    <row r="59" spans="2:50">
      <c r="B59" s="422"/>
      <c r="C59" s="197">
        <v>13</v>
      </c>
      <c r="D59" s="225"/>
      <c r="E59" s="169"/>
      <c r="F59" s="197"/>
      <c r="G59" s="195"/>
      <c r="H59" s="429"/>
      <c r="I59" s="197"/>
      <c r="J59" s="197"/>
      <c r="K59" s="197"/>
      <c r="L59" s="429"/>
      <c r="M59" s="196" t="e">
        <f>RANK(K59, K$87:$K$101)</f>
        <v>#DIV/0!</v>
      </c>
      <c r="N59" s="423"/>
      <c r="O59" s="423"/>
      <c r="P59" s="197"/>
      <c r="Q59" s="197"/>
      <c r="R59" s="197"/>
      <c r="S59" s="197" t="e">
        <f t="shared" si="25"/>
        <v>#N/A</v>
      </c>
      <c r="T59" s="429"/>
      <c r="U59" s="197"/>
      <c r="V59" s="197"/>
      <c r="W59" s="197"/>
      <c r="X59" s="197" t="e">
        <f t="shared" si="26"/>
        <v>#N/A</v>
      </c>
      <c r="Y59" s="429"/>
      <c r="Z59" s="197"/>
      <c r="AA59" s="197"/>
      <c r="AB59" s="197"/>
      <c r="AC59" s="197" t="e">
        <f t="shared" si="27"/>
        <v>#N/A</v>
      </c>
      <c r="AD59" s="429"/>
      <c r="AE59" s="197"/>
      <c r="AF59" s="197"/>
      <c r="AG59" s="197"/>
      <c r="AH59" s="197" t="e">
        <f t="shared" si="28"/>
        <v>#N/A</v>
      </c>
      <c r="AI59" s="429"/>
      <c r="AJ59" s="197"/>
      <c r="AK59" s="197"/>
      <c r="AL59" s="197"/>
      <c r="AM59" s="197" t="e">
        <f t="shared" si="29"/>
        <v>#N/A</v>
      </c>
      <c r="AN59" s="429"/>
      <c r="AO59" s="197"/>
      <c r="AP59" s="197"/>
      <c r="AQ59" s="197"/>
      <c r="AR59" s="197" t="e">
        <f t="shared" si="30"/>
        <v>#N/A</v>
      </c>
      <c r="AS59" s="429"/>
      <c r="AT59" s="197"/>
      <c r="AU59" s="197"/>
      <c r="AV59" s="197"/>
      <c r="AW59" s="197" t="e">
        <f t="shared" si="31"/>
        <v>#N/A</v>
      </c>
      <c r="AX59" s="432"/>
    </row>
    <row r="60" spans="2:50">
      <c r="B60" s="422"/>
      <c r="C60" s="197">
        <v>14</v>
      </c>
      <c r="D60" s="225"/>
      <c r="E60" s="169"/>
      <c r="F60" s="197"/>
      <c r="G60" s="195"/>
      <c r="H60" s="429"/>
      <c r="I60" s="197"/>
      <c r="J60" s="197"/>
      <c r="K60" s="197"/>
      <c r="L60" s="429"/>
      <c r="M60" s="196" t="e">
        <f>RANK(K60, K$87:$K$101)</f>
        <v>#DIV/0!</v>
      </c>
      <c r="N60" s="423"/>
      <c r="O60" s="423"/>
      <c r="P60" s="197"/>
      <c r="Q60" s="197"/>
      <c r="R60" s="197"/>
      <c r="S60" s="197" t="e">
        <f t="shared" si="25"/>
        <v>#N/A</v>
      </c>
      <c r="T60" s="429"/>
      <c r="U60" s="197"/>
      <c r="V60" s="197"/>
      <c r="W60" s="197"/>
      <c r="X60" s="197" t="e">
        <f t="shared" si="26"/>
        <v>#N/A</v>
      </c>
      <c r="Y60" s="429"/>
      <c r="Z60" s="197"/>
      <c r="AA60" s="197"/>
      <c r="AB60" s="197"/>
      <c r="AC60" s="197" t="e">
        <f t="shared" si="27"/>
        <v>#N/A</v>
      </c>
      <c r="AD60" s="429"/>
      <c r="AE60" s="197"/>
      <c r="AF60" s="197"/>
      <c r="AG60" s="197"/>
      <c r="AH60" s="197" t="e">
        <f t="shared" si="28"/>
        <v>#N/A</v>
      </c>
      <c r="AI60" s="429"/>
      <c r="AJ60" s="197"/>
      <c r="AK60" s="197"/>
      <c r="AL60" s="197"/>
      <c r="AM60" s="197" t="e">
        <f t="shared" si="29"/>
        <v>#N/A</v>
      </c>
      <c r="AN60" s="429"/>
      <c r="AO60" s="197"/>
      <c r="AP60" s="197"/>
      <c r="AQ60" s="197"/>
      <c r="AR60" s="197" t="e">
        <f t="shared" si="30"/>
        <v>#N/A</v>
      </c>
      <c r="AS60" s="429"/>
      <c r="AT60" s="197"/>
      <c r="AU60" s="197"/>
      <c r="AV60" s="197"/>
      <c r="AW60" s="197" t="e">
        <f t="shared" si="31"/>
        <v>#N/A</v>
      </c>
      <c r="AX60" s="432"/>
    </row>
    <row r="61" spans="2:50">
      <c r="B61" s="422"/>
      <c r="C61" s="197">
        <v>15</v>
      </c>
      <c r="D61" s="225"/>
      <c r="E61" s="169"/>
      <c r="F61" s="197"/>
      <c r="G61" s="195"/>
      <c r="H61" s="430"/>
      <c r="I61" s="197"/>
      <c r="J61" s="197"/>
      <c r="K61" s="197"/>
      <c r="L61" s="430"/>
      <c r="M61" s="169" t="e">
        <f>RANK(K61, K$87:$K$101)</f>
        <v>#DIV/0!</v>
      </c>
      <c r="N61" s="423"/>
      <c r="O61" s="423"/>
      <c r="P61" s="197"/>
      <c r="Q61" s="197"/>
      <c r="R61" s="197"/>
      <c r="S61" s="197" t="e">
        <f t="shared" si="25"/>
        <v>#N/A</v>
      </c>
      <c r="T61" s="430"/>
      <c r="U61" s="197"/>
      <c r="V61" s="197"/>
      <c r="W61" s="197"/>
      <c r="X61" s="197" t="e">
        <f t="shared" si="26"/>
        <v>#N/A</v>
      </c>
      <c r="Y61" s="430"/>
      <c r="Z61" s="197"/>
      <c r="AA61" s="197"/>
      <c r="AB61" s="197"/>
      <c r="AC61" s="197" t="e">
        <f t="shared" si="27"/>
        <v>#N/A</v>
      </c>
      <c r="AD61" s="430"/>
      <c r="AE61" s="197"/>
      <c r="AF61" s="197"/>
      <c r="AG61" s="197"/>
      <c r="AH61" s="197" t="e">
        <f t="shared" si="28"/>
        <v>#N/A</v>
      </c>
      <c r="AI61" s="430"/>
      <c r="AJ61" s="197"/>
      <c r="AK61" s="197"/>
      <c r="AL61" s="197"/>
      <c r="AM61" s="197" t="e">
        <f t="shared" si="29"/>
        <v>#N/A</v>
      </c>
      <c r="AN61" s="430"/>
      <c r="AO61" s="197"/>
      <c r="AP61" s="197"/>
      <c r="AQ61" s="197"/>
      <c r="AR61" s="197" t="e">
        <f t="shared" si="30"/>
        <v>#N/A</v>
      </c>
      <c r="AS61" s="430"/>
      <c r="AT61" s="197"/>
      <c r="AU61" s="197"/>
      <c r="AV61" s="197"/>
      <c r="AW61" s="197" t="e">
        <f t="shared" si="31"/>
        <v>#N/A</v>
      </c>
      <c r="AX61" s="432"/>
    </row>
    <row r="62" spans="2:50" ht="15.75">
      <c r="B62" s="396" t="s">
        <v>202</v>
      </c>
      <c r="C62" s="427"/>
      <c r="D62" s="427"/>
      <c r="E62" s="427"/>
      <c r="F62" s="427"/>
      <c r="G62" s="427"/>
      <c r="H62" s="427"/>
      <c r="I62" s="201"/>
      <c r="J62" s="201"/>
      <c r="K62" s="201"/>
      <c r="L62" s="201"/>
      <c r="M62" s="200"/>
      <c r="N62" s="401" t="s">
        <v>203</v>
      </c>
      <c r="O62" s="401" t="s">
        <v>150</v>
      </c>
      <c r="P62" s="421">
        <f>P42+7</f>
        <v>45916</v>
      </c>
      <c r="Q62" s="422"/>
      <c r="R62" s="422"/>
      <c r="S62" s="422"/>
      <c r="T62" s="422"/>
      <c r="U62" s="416">
        <f>P62+1</f>
        <v>45917</v>
      </c>
      <c r="V62" s="417"/>
      <c r="W62" s="417"/>
      <c r="X62" s="417"/>
      <c r="Y62" s="418"/>
      <c r="Z62" s="416">
        <f>U62+1</f>
        <v>45918</v>
      </c>
      <c r="AA62" s="417"/>
      <c r="AB62" s="417"/>
      <c r="AC62" s="417"/>
      <c r="AD62" s="418"/>
      <c r="AE62" s="416">
        <f t="shared" ref="AE62" si="32">Z62+1</f>
        <v>45919</v>
      </c>
      <c r="AF62" s="417"/>
      <c r="AG62" s="417"/>
      <c r="AH62" s="417"/>
      <c r="AI62" s="418"/>
      <c r="AJ62" s="416">
        <f t="shared" ref="AJ62" si="33">AE62+1</f>
        <v>45920</v>
      </c>
      <c r="AK62" s="417"/>
      <c r="AL62" s="417"/>
      <c r="AM62" s="417"/>
      <c r="AN62" s="418"/>
      <c r="AO62" s="416">
        <f t="shared" ref="AO62" si="34">AJ62+1</f>
        <v>45921</v>
      </c>
      <c r="AP62" s="417"/>
      <c r="AQ62" s="417"/>
      <c r="AR62" s="417"/>
      <c r="AS62" s="418"/>
      <c r="AT62" s="416">
        <f t="shared" ref="AT62" si="35">AO62+1</f>
        <v>45922</v>
      </c>
      <c r="AU62" s="417"/>
      <c r="AV62" s="417"/>
      <c r="AW62" s="417"/>
      <c r="AX62" s="418"/>
    </row>
    <row r="63" spans="2:50" ht="15.75">
      <c r="B63" s="426"/>
      <c r="C63" s="426"/>
      <c r="D63" s="426"/>
      <c r="E63" s="426"/>
      <c r="F63" s="426"/>
      <c r="G63" s="426"/>
      <c r="H63" s="426"/>
      <c r="I63" s="199"/>
      <c r="J63" s="199"/>
      <c r="K63" s="199"/>
      <c r="L63" s="199"/>
      <c r="M63" s="194"/>
      <c r="N63" s="403"/>
      <c r="O63" s="403"/>
      <c r="P63" s="421" t="s">
        <v>204</v>
      </c>
      <c r="Q63" s="422"/>
      <c r="R63" s="422"/>
      <c r="S63" s="422"/>
      <c r="T63" s="422"/>
      <c r="U63" s="421" t="s">
        <v>205</v>
      </c>
      <c r="V63" s="422"/>
      <c r="W63" s="422"/>
      <c r="X63" s="422"/>
      <c r="Y63" s="422"/>
      <c r="Z63" s="421" t="s">
        <v>206</v>
      </c>
      <c r="AA63" s="422"/>
      <c r="AB63" s="422"/>
      <c r="AC63" s="422"/>
      <c r="AD63" s="422"/>
      <c r="AE63" s="421" t="s">
        <v>207</v>
      </c>
      <c r="AF63" s="422"/>
      <c r="AG63" s="422"/>
      <c r="AH63" s="422"/>
      <c r="AI63" s="422"/>
      <c r="AJ63" s="421" t="s">
        <v>208</v>
      </c>
      <c r="AK63" s="422"/>
      <c r="AL63" s="422"/>
      <c r="AM63" s="422"/>
      <c r="AN63" s="422"/>
      <c r="AO63" s="421" t="s">
        <v>157</v>
      </c>
      <c r="AP63" s="422"/>
      <c r="AQ63" s="422"/>
      <c r="AR63" s="422"/>
      <c r="AS63" s="422"/>
      <c r="AT63" s="421" t="s">
        <v>209</v>
      </c>
      <c r="AU63" s="422"/>
      <c r="AV63" s="422"/>
      <c r="AW63" s="422"/>
      <c r="AX63" s="422"/>
    </row>
    <row r="64" spans="2:50">
      <c r="B64" s="423" t="s">
        <v>210</v>
      </c>
      <c r="C64" s="423" t="s">
        <v>211</v>
      </c>
      <c r="D64" s="423"/>
      <c r="E64" s="423" t="s">
        <v>212</v>
      </c>
      <c r="F64" s="423"/>
      <c r="G64" s="423"/>
      <c r="H64" s="404" t="s">
        <v>213</v>
      </c>
      <c r="I64" s="423" t="s">
        <v>214</v>
      </c>
      <c r="J64" s="423"/>
      <c r="K64" s="423"/>
      <c r="L64" s="404" t="s">
        <v>213</v>
      </c>
      <c r="M64" s="401" t="s">
        <v>215</v>
      </c>
      <c r="N64" s="423"/>
      <c r="O64" s="423" t="s">
        <v>216</v>
      </c>
      <c r="P64" s="413" t="s">
        <v>217</v>
      </c>
      <c r="Q64" s="414"/>
      <c r="R64" s="414"/>
      <c r="S64" s="415"/>
      <c r="T64" s="423" t="s">
        <v>213</v>
      </c>
      <c r="U64" s="413" t="s">
        <v>217</v>
      </c>
      <c r="V64" s="414"/>
      <c r="W64" s="414"/>
      <c r="X64" s="415"/>
      <c r="Y64" s="423" t="s">
        <v>213</v>
      </c>
      <c r="Z64" s="413" t="s">
        <v>217</v>
      </c>
      <c r="AA64" s="414"/>
      <c r="AB64" s="414"/>
      <c r="AC64" s="415"/>
      <c r="AD64" s="423" t="s">
        <v>213</v>
      </c>
      <c r="AE64" s="413" t="s">
        <v>217</v>
      </c>
      <c r="AF64" s="414"/>
      <c r="AG64" s="414"/>
      <c r="AH64" s="415"/>
      <c r="AI64" s="423" t="s">
        <v>213</v>
      </c>
      <c r="AJ64" s="413" t="s">
        <v>217</v>
      </c>
      <c r="AK64" s="414"/>
      <c r="AL64" s="414"/>
      <c r="AM64" s="415"/>
      <c r="AN64" s="423" t="s">
        <v>213</v>
      </c>
      <c r="AO64" s="413" t="s">
        <v>217</v>
      </c>
      <c r="AP64" s="414"/>
      <c r="AQ64" s="414"/>
      <c r="AR64" s="415"/>
      <c r="AS64" s="423" t="s">
        <v>213</v>
      </c>
      <c r="AT64" s="413" t="s">
        <v>217</v>
      </c>
      <c r="AU64" s="414"/>
      <c r="AV64" s="414"/>
      <c r="AW64" s="415"/>
      <c r="AX64" s="423" t="s">
        <v>213</v>
      </c>
    </row>
    <row r="65" spans="2:50">
      <c r="B65" s="423"/>
      <c r="C65" s="423"/>
      <c r="D65" s="423"/>
      <c r="E65" s="423" t="s">
        <v>218</v>
      </c>
      <c r="F65" s="423"/>
      <c r="G65" s="423"/>
      <c r="H65" s="406"/>
      <c r="I65" s="423" t="s">
        <v>218</v>
      </c>
      <c r="J65" s="423"/>
      <c r="K65" s="423"/>
      <c r="L65" s="406"/>
      <c r="M65" s="402"/>
      <c r="N65" s="423"/>
      <c r="O65" s="423"/>
      <c r="P65" s="413" t="s">
        <v>219</v>
      </c>
      <c r="Q65" s="414"/>
      <c r="R65" s="414"/>
      <c r="S65" s="415"/>
      <c r="T65" s="423"/>
      <c r="U65" s="413" t="s">
        <v>219</v>
      </c>
      <c r="V65" s="414"/>
      <c r="W65" s="414"/>
      <c r="X65" s="415"/>
      <c r="Y65" s="423"/>
      <c r="Z65" s="413" t="s">
        <v>219</v>
      </c>
      <c r="AA65" s="414"/>
      <c r="AB65" s="414"/>
      <c r="AC65" s="415"/>
      <c r="AD65" s="423"/>
      <c r="AE65" s="413" t="s">
        <v>219</v>
      </c>
      <c r="AF65" s="414"/>
      <c r="AG65" s="414"/>
      <c r="AH65" s="415"/>
      <c r="AI65" s="423"/>
      <c r="AJ65" s="413" t="s">
        <v>219</v>
      </c>
      <c r="AK65" s="414"/>
      <c r="AL65" s="414"/>
      <c r="AM65" s="415"/>
      <c r="AN65" s="423"/>
      <c r="AO65" s="413" t="s">
        <v>219</v>
      </c>
      <c r="AP65" s="414"/>
      <c r="AQ65" s="414"/>
      <c r="AR65" s="415"/>
      <c r="AS65" s="423"/>
      <c r="AT65" s="413" t="s">
        <v>219</v>
      </c>
      <c r="AU65" s="414"/>
      <c r="AV65" s="414"/>
      <c r="AW65" s="415"/>
      <c r="AX65" s="423"/>
    </row>
    <row r="66" spans="2:50">
      <c r="B66" s="423"/>
      <c r="C66" s="423"/>
      <c r="D66" s="423"/>
      <c r="E66" s="297" t="s">
        <v>220</v>
      </c>
      <c r="F66" s="297" t="s">
        <v>221</v>
      </c>
      <c r="G66" s="297" t="s">
        <v>222</v>
      </c>
      <c r="H66" s="408"/>
      <c r="I66" s="297" t="s">
        <v>220</v>
      </c>
      <c r="J66" s="297" t="s">
        <v>221</v>
      </c>
      <c r="K66" s="297" t="s">
        <v>222</v>
      </c>
      <c r="L66" s="408"/>
      <c r="M66" s="403"/>
      <c r="N66" s="423"/>
      <c r="O66" s="423"/>
      <c r="P66" s="297" t="s">
        <v>220</v>
      </c>
      <c r="Q66" s="297" t="s">
        <v>221</v>
      </c>
      <c r="R66" s="297" t="s">
        <v>222</v>
      </c>
      <c r="S66" s="297" t="s">
        <v>215</v>
      </c>
      <c r="T66" s="423"/>
      <c r="U66" s="297" t="s">
        <v>220</v>
      </c>
      <c r="V66" s="297" t="s">
        <v>221</v>
      </c>
      <c r="W66" s="297" t="s">
        <v>222</v>
      </c>
      <c r="X66" s="297" t="s">
        <v>215</v>
      </c>
      <c r="Y66" s="423"/>
      <c r="Z66" s="297" t="s">
        <v>220</v>
      </c>
      <c r="AA66" s="297" t="s">
        <v>221</v>
      </c>
      <c r="AB66" s="297" t="s">
        <v>222</v>
      </c>
      <c r="AC66" s="297" t="s">
        <v>215</v>
      </c>
      <c r="AD66" s="423"/>
      <c r="AE66" s="297" t="s">
        <v>220</v>
      </c>
      <c r="AF66" s="297" t="s">
        <v>221</v>
      </c>
      <c r="AG66" s="297" t="s">
        <v>222</v>
      </c>
      <c r="AH66" s="297" t="s">
        <v>215</v>
      </c>
      <c r="AI66" s="423"/>
      <c r="AJ66" s="297" t="s">
        <v>220</v>
      </c>
      <c r="AK66" s="297" t="s">
        <v>221</v>
      </c>
      <c r="AL66" s="297" t="s">
        <v>222</v>
      </c>
      <c r="AM66" s="297" t="s">
        <v>215</v>
      </c>
      <c r="AN66" s="423"/>
      <c r="AO66" s="297" t="s">
        <v>220</v>
      </c>
      <c r="AP66" s="297" t="s">
        <v>221</v>
      </c>
      <c r="AQ66" s="297" t="s">
        <v>222</v>
      </c>
      <c r="AR66" s="297" t="s">
        <v>215</v>
      </c>
      <c r="AS66" s="423"/>
      <c r="AT66" s="297" t="s">
        <v>220</v>
      </c>
      <c r="AU66" s="297" t="s">
        <v>221</v>
      </c>
      <c r="AV66" s="297" t="s">
        <v>222</v>
      </c>
      <c r="AW66" s="297" t="s">
        <v>215</v>
      </c>
      <c r="AX66" s="423"/>
    </row>
    <row r="67" spans="2:50">
      <c r="B67" s="423" t="s">
        <v>313</v>
      </c>
      <c r="C67" s="197">
        <v>1</v>
      </c>
      <c r="D67" s="225"/>
      <c r="E67" s="169"/>
      <c r="F67" s="197"/>
      <c r="G67" s="195"/>
      <c r="H67" s="428" t="e">
        <f>AVERAGE(G67:G81)</f>
        <v>#DIV/0!</v>
      </c>
      <c r="I67" s="169" t="e">
        <f>AVERAGE(P67,U67,Z67,AE67,AJ67,AO67,AT67)</f>
        <v>#DIV/0!</v>
      </c>
      <c r="J67" s="169" t="e">
        <f>AVERAGE(Q67,V67,AA67,AF67,AK67,AP67,AU67)</f>
        <v>#DIV/0!</v>
      </c>
      <c r="K67" s="195" t="e">
        <f>AVERAGE(R67,W67,AB67,AG67,AL67,AQ67,AV67)</f>
        <v>#DIV/0!</v>
      </c>
      <c r="L67" s="428" t="str">
        <f>IFERROR(AVERAGE(K67:K81),"-")</f>
        <v>-</v>
      </c>
      <c r="M67" s="196" t="e">
        <f>RANK(K67, K$87:$K$101)</f>
        <v>#DIV/0!</v>
      </c>
      <c r="N67" s="423"/>
      <c r="O67" s="423"/>
      <c r="P67" s="197"/>
      <c r="Q67" s="195"/>
      <c r="R67" s="195"/>
      <c r="S67" s="197" t="e">
        <f>RANK(R67, R$87:R$101)</f>
        <v>#N/A</v>
      </c>
      <c r="T67" s="428" t="e">
        <f>AVERAGE(R67:R81)</f>
        <v>#DIV/0!</v>
      </c>
      <c r="U67" s="197"/>
      <c r="V67" s="195"/>
      <c r="W67" s="195"/>
      <c r="X67" s="197" t="e">
        <f>RANK(W67, W$87:W$101)</f>
        <v>#N/A</v>
      </c>
      <c r="Y67" s="428" t="e">
        <f>AVERAGE(W67:W81)</f>
        <v>#DIV/0!</v>
      </c>
      <c r="Z67" s="197"/>
      <c r="AA67" s="195"/>
      <c r="AB67" s="195"/>
      <c r="AC67" s="197" t="e">
        <f>RANK(AB67, AB$87:AB$101)</f>
        <v>#N/A</v>
      </c>
      <c r="AD67" s="428" t="e">
        <f>AVERAGE(AB67:AB81)</f>
        <v>#DIV/0!</v>
      </c>
      <c r="AE67" s="197"/>
      <c r="AF67" s="195"/>
      <c r="AG67" s="195"/>
      <c r="AH67" s="197" t="e">
        <f>RANK(AG67, AG$87:AG$101)</f>
        <v>#N/A</v>
      </c>
      <c r="AI67" s="428" t="e">
        <f>AVERAGE(AG67:AG81)</f>
        <v>#DIV/0!</v>
      </c>
      <c r="AJ67" s="197"/>
      <c r="AK67" s="195"/>
      <c r="AL67" s="195"/>
      <c r="AM67" s="197" t="e">
        <f>RANK(AL67, AL$87:AL$101)</f>
        <v>#N/A</v>
      </c>
      <c r="AN67" s="428" t="e">
        <f>AVERAGE(AL67:AL81)</f>
        <v>#DIV/0!</v>
      </c>
      <c r="AO67" s="197"/>
      <c r="AP67" s="195"/>
      <c r="AQ67" s="195"/>
      <c r="AR67" s="197" t="e">
        <f>RANK(AQ67, AQ$87:AQ$101)</f>
        <v>#N/A</v>
      </c>
      <c r="AS67" s="428" t="e">
        <f>AVERAGE(AQ67:AQ81)</f>
        <v>#DIV/0!</v>
      </c>
      <c r="AT67" s="197"/>
      <c r="AU67" s="195"/>
      <c r="AV67" s="195"/>
      <c r="AW67" s="197" t="e">
        <f>RANK(AV67, AV$87:AV$101)</f>
        <v>#N/A</v>
      </c>
      <c r="AX67" s="432" t="e">
        <f>AVERAGE(AV67:AV81)</f>
        <v>#DIV/0!</v>
      </c>
    </row>
    <row r="68" spans="2:50">
      <c r="B68" s="422"/>
      <c r="C68" s="197">
        <v>2</v>
      </c>
      <c r="D68" s="225"/>
      <c r="E68" s="169"/>
      <c r="F68" s="197"/>
      <c r="G68" s="195"/>
      <c r="H68" s="429"/>
      <c r="I68" s="169" t="e">
        <f t="shared" ref="I68:I71" si="36">AVERAGE(P68,U68,Z68,AE68,AJ68,AO68,AT68)</f>
        <v>#DIV/0!</v>
      </c>
      <c r="J68" s="169" t="e">
        <f t="shared" ref="J68:J71" si="37">AVERAGE(Q68,V68,AA68,AF68,AK68,AP68,AU68)</f>
        <v>#DIV/0!</v>
      </c>
      <c r="K68" s="195" t="e">
        <f t="shared" ref="K68:K71" si="38">AVERAGE(R68,W68,AB68,AG68,AL68,AQ68,AV68)</f>
        <v>#DIV/0!</v>
      </c>
      <c r="L68" s="429"/>
      <c r="M68" s="196" t="e">
        <f>RANK(K68, K$87:$K$101)</f>
        <v>#DIV/0!</v>
      </c>
      <c r="N68" s="423"/>
      <c r="O68" s="423"/>
      <c r="P68" s="197"/>
      <c r="Q68" s="195"/>
      <c r="R68" s="195"/>
      <c r="S68" s="197" t="e">
        <f t="shared" ref="S68:S81" si="39">RANK(R68, R$87:R$101)</f>
        <v>#N/A</v>
      </c>
      <c r="T68" s="429"/>
      <c r="U68" s="197"/>
      <c r="V68" s="195"/>
      <c r="W68" s="195"/>
      <c r="X68" s="197" t="e">
        <f t="shared" ref="X68:X81" si="40">RANK(W68, W$87:W$101)</f>
        <v>#N/A</v>
      </c>
      <c r="Y68" s="429"/>
      <c r="Z68" s="197"/>
      <c r="AA68" s="195"/>
      <c r="AB68" s="195"/>
      <c r="AC68" s="197" t="e">
        <f t="shared" ref="AC68:AC81" si="41">RANK(AB68, AB$87:AB$101)</f>
        <v>#N/A</v>
      </c>
      <c r="AD68" s="429"/>
      <c r="AE68" s="197"/>
      <c r="AF68" s="195"/>
      <c r="AG68" s="195"/>
      <c r="AH68" s="197" t="e">
        <f t="shared" ref="AH68:AH81" si="42">RANK(AG68, AG$87:AG$101)</f>
        <v>#N/A</v>
      </c>
      <c r="AI68" s="429"/>
      <c r="AJ68" s="197"/>
      <c r="AK68" s="195"/>
      <c r="AL68" s="195"/>
      <c r="AM68" s="197" t="e">
        <f t="shared" ref="AM68:AM81" si="43">RANK(AL68, AL$87:AL$101)</f>
        <v>#N/A</v>
      </c>
      <c r="AN68" s="429"/>
      <c r="AO68" s="197"/>
      <c r="AP68" s="195"/>
      <c r="AQ68" s="195"/>
      <c r="AR68" s="197" t="e">
        <f t="shared" ref="AR68:AR81" si="44">RANK(AQ68, AQ$87:AQ$101)</f>
        <v>#N/A</v>
      </c>
      <c r="AS68" s="429"/>
      <c r="AT68" s="197"/>
      <c r="AU68" s="195"/>
      <c r="AV68" s="195"/>
      <c r="AW68" s="197" t="e">
        <f t="shared" ref="AW68:AW81" si="45">RANK(AV68, AV$87:AV$101)</f>
        <v>#N/A</v>
      </c>
      <c r="AX68" s="432"/>
    </row>
    <row r="69" spans="2:50">
      <c r="B69" s="422"/>
      <c r="C69" s="197">
        <v>3</v>
      </c>
      <c r="D69" s="225"/>
      <c r="E69" s="169"/>
      <c r="F69" s="197"/>
      <c r="G69" s="195"/>
      <c r="H69" s="429"/>
      <c r="I69" s="169" t="e">
        <f t="shared" si="36"/>
        <v>#DIV/0!</v>
      </c>
      <c r="J69" s="169" t="e">
        <f t="shared" si="37"/>
        <v>#DIV/0!</v>
      </c>
      <c r="K69" s="195" t="e">
        <f t="shared" si="38"/>
        <v>#DIV/0!</v>
      </c>
      <c r="L69" s="429"/>
      <c r="M69" s="196" t="e">
        <f>RANK(K69, K$87:$K$101)</f>
        <v>#DIV/0!</v>
      </c>
      <c r="N69" s="423"/>
      <c r="O69" s="423"/>
      <c r="P69" s="197"/>
      <c r="Q69" s="195"/>
      <c r="R69" s="195"/>
      <c r="S69" s="197" t="e">
        <f t="shared" si="39"/>
        <v>#N/A</v>
      </c>
      <c r="T69" s="429"/>
      <c r="U69" s="197"/>
      <c r="V69" s="195"/>
      <c r="W69" s="195"/>
      <c r="X69" s="197" t="e">
        <f t="shared" si="40"/>
        <v>#N/A</v>
      </c>
      <c r="Y69" s="429"/>
      <c r="Z69" s="197"/>
      <c r="AA69" s="195"/>
      <c r="AB69" s="195"/>
      <c r="AC69" s="197" t="e">
        <f t="shared" si="41"/>
        <v>#N/A</v>
      </c>
      <c r="AD69" s="429"/>
      <c r="AE69" s="197"/>
      <c r="AF69" s="195"/>
      <c r="AG69" s="195"/>
      <c r="AH69" s="197" t="e">
        <f t="shared" si="42"/>
        <v>#N/A</v>
      </c>
      <c r="AI69" s="429"/>
      <c r="AJ69" s="197"/>
      <c r="AK69" s="195"/>
      <c r="AL69" s="195"/>
      <c r="AM69" s="197" t="e">
        <f t="shared" si="43"/>
        <v>#N/A</v>
      </c>
      <c r="AN69" s="429"/>
      <c r="AO69" s="197"/>
      <c r="AP69" s="195"/>
      <c r="AQ69" s="195"/>
      <c r="AR69" s="197" t="e">
        <f t="shared" si="44"/>
        <v>#N/A</v>
      </c>
      <c r="AS69" s="429"/>
      <c r="AT69" s="197"/>
      <c r="AU69" s="195"/>
      <c r="AV69" s="195"/>
      <c r="AW69" s="197" t="e">
        <f t="shared" si="45"/>
        <v>#N/A</v>
      </c>
      <c r="AX69" s="432"/>
    </row>
    <row r="70" spans="2:50">
      <c r="B70" s="422"/>
      <c r="C70" s="197">
        <v>4</v>
      </c>
      <c r="D70" s="225"/>
      <c r="E70" s="169"/>
      <c r="F70" s="197"/>
      <c r="G70" s="195"/>
      <c r="H70" s="429"/>
      <c r="I70" s="169" t="e">
        <f t="shared" si="36"/>
        <v>#DIV/0!</v>
      </c>
      <c r="J70" s="169" t="e">
        <f t="shared" si="37"/>
        <v>#DIV/0!</v>
      </c>
      <c r="K70" s="195" t="e">
        <f t="shared" si="38"/>
        <v>#DIV/0!</v>
      </c>
      <c r="L70" s="429"/>
      <c r="M70" s="196" t="e">
        <f>RANK(K70, K$87:$K$101)</f>
        <v>#DIV/0!</v>
      </c>
      <c r="N70" s="423"/>
      <c r="O70" s="423"/>
      <c r="P70" s="197"/>
      <c r="Q70" s="195"/>
      <c r="R70" s="195"/>
      <c r="S70" s="197" t="e">
        <f t="shared" si="39"/>
        <v>#N/A</v>
      </c>
      <c r="T70" s="429"/>
      <c r="U70" s="197"/>
      <c r="V70" s="195"/>
      <c r="W70" s="195"/>
      <c r="X70" s="197" t="e">
        <f t="shared" si="40"/>
        <v>#N/A</v>
      </c>
      <c r="Y70" s="429"/>
      <c r="Z70" s="197"/>
      <c r="AA70" s="195"/>
      <c r="AB70" s="195"/>
      <c r="AC70" s="197" t="e">
        <f t="shared" si="41"/>
        <v>#N/A</v>
      </c>
      <c r="AD70" s="429"/>
      <c r="AE70" s="197"/>
      <c r="AF70" s="195"/>
      <c r="AG70" s="195"/>
      <c r="AH70" s="197" t="e">
        <f t="shared" si="42"/>
        <v>#N/A</v>
      </c>
      <c r="AI70" s="429"/>
      <c r="AJ70" s="197"/>
      <c r="AK70" s="195"/>
      <c r="AL70" s="195"/>
      <c r="AM70" s="197" t="e">
        <f t="shared" si="43"/>
        <v>#N/A</v>
      </c>
      <c r="AN70" s="429"/>
      <c r="AO70" s="197"/>
      <c r="AP70" s="195"/>
      <c r="AQ70" s="195"/>
      <c r="AR70" s="197" t="e">
        <f t="shared" si="44"/>
        <v>#N/A</v>
      </c>
      <c r="AS70" s="429"/>
      <c r="AT70" s="197"/>
      <c r="AU70" s="195"/>
      <c r="AV70" s="195"/>
      <c r="AW70" s="197" t="e">
        <f t="shared" si="45"/>
        <v>#N/A</v>
      </c>
      <c r="AX70" s="432"/>
    </row>
    <row r="71" spans="2:50">
      <c r="B71" s="422"/>
      <c r="C71" s="197">
        <v>5</v>
      </c>
      <c r="D71" s="225"/>
      <c r="E71" s="169"/>
      <c r="F71" s="197"/>
      <c r="G71" s="195"/>
      <c r="H71" s="429"/>
      <c r="I71" s="169" t="e">
        <f t="shared" si="36"/>
        <v>#DIV/0!</v>
      </c>
      <c r="J71" s="169" t="e">
        <f t="shared" si="37"/>
        <v>#DIV/0!</v>
      </c>
      <c r="K71" s="195" t="e">
        <f t="shared" si="38"/>
        <v>#DIV/0!</v>
      </c>
      <c r="L71" s="429"/>
      <c r="M71" s="196" t="e">
        <f>RANK(K71, K$87:$K$101)</f>
        <v>#DIV/0!</v>
      </c>
      <c r="N71" s="423"/>
      <c r="O71" s="423"/>
      <c r="P71" s="197"/>
      <c r="Q71" s="195"/>
      <c r="R71" s="195"/>
      <c r="S71" s="197" t="e">
        <f t="shared" si="39"/>
        <v>#N/A</v>
      </c>
      <c r="T71" s="429"/>
      <c r="U71" s="197"/>
      <c r="V71" s="195"/>
      <c r="W71" s="195"/>
      <c r="X71" s="197" t="e">
        <f t="shared" si="40"/>
        <v>#N/A</v>
      </c>
      <c r="Y71" s="429"/>
      <c r="Z71" s="197"/>
      <c r="AA71" s="195"/>
      <c r="AB71" s="195"/>
      <c r="AC71" s="197" t="e">
        <f t="shared" si="41"/>
        <v>#N/A</v>
      </c>
      <c r="AD71" s="429"/>
      <c r="AE71" s="197"/>
      <c r="AF71" s="195"/>
      <c r="AG71" s="195"/>
      <c r="AH71" s="197" t="e">
        <f t="shared" si="42"/>
        <v>#N/A</v>
      </c>
      <c r="AI71" s="429"/>
      <c r="AJ71" s="197"/>
      <c r="AK71" s="195"/>
      <c r="AL71" s="195"/>
      <c r="AM71" s="197" t="e">
        <f t="shared" si="43"/>
        <v>#N/A</v>
      </c>
      <c r="AN71" s="429"/>
      <c r="AO71" s="197"/>
      <c r="AP71" s="195"/>
      <c r="AQ71" s="195"/>
      <c r="AR71" s="197" t="e">
        <f t="shared" si="44"/>
        <v>#N/A</v>
      </c>
      <c r="AS71" s="429"/>
      <c r="AT71" s="197"/>
      <c r="AU71" s="195"/>
      <c r="AV71" s="195"/>
      <c r="AW71" s="197" t="e">
        <f t="shared" si="45"/>
        <v>#N/A</v>
      </c>
      <c r="AX71" s="432"/>
    </row>
    <row r="72" spans="2:50">
      <c r="B72" s="422"/>
      <c r="C72" s="197">
        <v>6</v>
      </c>
      <c r="D72" s="225"/>
      <c r="E72" s="169"/>
      <c r="F72" s="197"/>
      <c r="G72" s="195"/>
      <c r="H72" s="429"/>
      <c r="I72" s="169"/>
      <c r="J72" s="169"/>
      <c r="K72" s="195"/>
      <c r="L72" s="429"/>
      <c r="M72" s="196" t="e">
        <f>RANK(K72, K$87:$K$101)</f>
        <v>#DIV/0!</v>
      </c>
      <c r="N72" s="423"/>
      <c r="O72" s="423"/>
      <c r="P72" s="197"/>
      <c r="Q72" s="195"/>
      <c r="R72" s="195"/>
      <c r="S72" s="197" t="e">
        <f t="shared" si="39"/>
        <v>#N/A</v>
      </c>
      <c r="T72" s="429"/>
      <c r="U72" s="197"/>
      <c r="V72" s="195"/>
      <c r="W72" s="195"/>
      <c r="X72" s="197" t="e">
        <f t="shared" si="40"/>
        <v>#N/A</v>
      </c>
      <c r="Y72" s="429"/>
      <c r="Z72" s="197"/>
      <c r="AA72" s="195"/>
      <c r="AB72" s="195"/>
      <c r="AC72" s="197" t="e">
        <f t="shared" si="41"/>
        <v>#N/A</v>
      </c>
      <c r="AD72" s="429"/>
      <c r="AE72" s="197"/>
      <c r="AF72" s="195"/>
      <c r="AG72" s="195"/>
      <c r="AH72" s="197" t="e">
        <f t="shared" si="42"/>
        <v>#N/A</v>
      </c>
      <c r="AI72" s="429"/>
      <c r="AJ72" s="197"/>
      <c r="AK72" s="195"/>
      <c r="AL72" s="195"/>
      <c r="AM72" s="197" t="e">
        <f t="shared" si="43"/>
        <v>#N/A</v>
      </c>
      <c r="AN72" s="429"/>
      <c r="AO72" s="197"/>
      <c r="AP72" s="195"/>
      <c r="AQ72" s="195"/>
      <c r="AR72" s="197" t="e">
        <f t="shared" si="44"/>
        <v>#N/A</v>
      </c>
      <c r="AS72" s="429"/>
      <c r="AT72" s="197"/>
      <c r="AU72" s="195"/>
      <c r="AV72" s="195"/>
      <c r="AW72" s="197" t="e">
        <f t="shared" si="45"/>
        <v>#N/A</v>
      </c>
      <c r="AX72" s="432"/>
    </row>
    <row r="73" spans="2:50">
      <c r="B73" s="422"/>
      <c r="C73" s="197">
        <v>7</v>
      </c>
      <c r="D73" s="225"/>
      <c r="E73" s="169"/>
      <c r="F73" s="197"/>
      <c r="G73" s="195"/>
      <c r="H73" s="429"/>
      <c r="I73" s="169"/>
      <c r="J73" s="169"/>
      <c r="K73" s="195"/>
      <c r="L73" s="429"/>
      <c r="M73" s="196" t="e">
        <f>RANK(K73, K$87:$K$101)</f>
        <v>#DIV/0!</v>
      </c>
      <c r="N73" s="423"/>
      <c r="O73" s="423"/>
      <c r="P73" s="197"/>
      <c r="Q73" s="195"/>
      <c r="R73" s="195"/>
      <c r="S73" s="197" t="e">
        <f t="shared" si="39"/>
        <v>#N/A</v>
      </c>
      <c r="T73" s="429"/>
      <c r="U73" s="197"/>
      <c r="V73" s="195"/>
      <c r="W73" s="195"/>
      <c r="X73" s="197" t="e">
        <f t="shared" si="40"/>
        <v>#N/A</v>
      </c>
      <c r="Y73" s="429"/>
      <c r="Z73" s="197"/>
      <c r="AA73" s="195"/>
      <c r="AB73" s="195"/>
      <c r="AC73" s="197" t="e">
        <f t="shared" si="41"/>
        <v>#N/A</v>
      </c>
      <c r="AD73" s="429"/>
      <c r="AE73" s="197"/>
      <c r="AF73" s="195"/>
      <c r="AG73" s="195"/>
      <c r="AH73" s="197" t="e">
        <f t="shared" si="42"/>
        <v>#N/A</v>
      </c>
      <c r="AI73" s="429"/>
      <c r="AJ73" s="197"/>
      <c r="AK73" s="195"/>
      <c r="AL73" s="195"/>
      <c r="AM73" s="197" t="e">
        <f t="shared" si="43"/>
        <v>#N/A</v>
      </c>
      <c r="AN73" s="429"/>
      <c r="AO73" s="197"/>
      <c r="AP73" s="195"/>
      <c r="AQ73" s="195"/>
      <c r="AR73" s="197" t="e">
        <f t="shared" si="44"/>
        <v>#N/A</v>
      </c>
      <c r="AS73" s="429"/>
      <c r="AT73" s="197"/>
      <c r="AU73" s="195"/>
      <c r="AV73" s="195"/>
      <c r="AW73" s="197" t="e">
        <f t="shared" si="45"/>
        <v>#N/A</v>
      </c>
      <c r="AX73" s="432"/>
    </row>
    <row r="74" spans="2:50">
      <c r="B74" s="422"/>
      <c r="C74" s="197">
        <v>8</v>
      </c>
      <c r="D74" s="225"/>
      <c r="E74" s="169"/>
      <c r="F74" s="197"/>
      <c r="G74" s="195"/>
      <c r="H74" s="429"/>
      <c r="I74" s="169"/>
      <c r="J74" s="169"/>
      <c r="K74" s="195"/>
      <c r="L74" s="429"/>
      <c r="M74" s="196" t="e">
        <f>RANK(K74, K$87:$K$101)</f>
        <v>#DIV/0!</v>
      </c>
      <c r="N74" s="423"/>
      <c r="O74" s="423"/>
      <c r="P74" s="197"/>
      <c r="Q74" s="195"/>
      <c r="R74" s="195"/>
      <c r="S74" s="197" t="e">
        <f t="shared" si="39"/>
        <v>#N/A</v>
      </c>
      <c r="T74" s="429"/>
      <c r="U74" s="197"/>
      <c r="V74" s="195"/>
      <c r="W74" s="195"/>
      <c r="X74" s="197" t="e">
        <f t="shared" si="40"/>
        <v>#N/A</v>
      </c>
      <c r="Y74" s="429"/>
      <c r="Z74" s="197"/>
      <c r="AA74" s="195"/>
      <c r="AB74" s="195"/>
      <c r="AC74" s="197" t="e">
        <f t="shared" si="41"/>
        <v>#N/A</v>
      </c>
      <c r="AD74" s="429"/>
      <c r="AE74" s="197"/>
      <c r="AF74" s="195"/>
      <c r="AG74" s="195"/>
      <c r="AH74" s="197" t="e">
        <f t="shared" si="42"/>
        <v>#N/A</v>
      </c>
      <c r="AI74" s="429"/>
      <c r="AJ74" s="197"/>
      <c r="AK74" s="195"/>
      <c r="AL74" s="195"/>
      <c r="AM74" s="197" t="e">
        <f t="shared" si="43"/>
        <v>#N/A</v>
      </c>
      <c r="AN74" s="429"/>
      <c r="AO74" s="197"/>
      <c r="AP74" s="195"/>
      <c r="AQ74" s="195"/>
      <c r="AR74" s="197" t="e">
        <f t="shared" si="44"/>
        <v>#N/A</v>
      </c>
      <c r="AS74" s="429"/>
      <c r="AT74" s="197"/>
      <c r="AU74" s="195"/>
      <c r="AV74" s="195"/>
      <c r="AW74" s="197" t="e">
        <f t="shared" si="45"/>
        <v>#N/A</v>
      </c>
      <c r="AX74" s="432"/>
    </row>
    <row r="75" spans="2:50">
      <c r="B75" s="422"/>
      <c r="C75" s="197">
        <v>9</v>
      </c>
      <c r="D75" s="225"/>
      <c r="E75" s="169"/>
      <c r="F75" s="197"/>
      <c r="G75" s="195"/>
      <c r="H75" s="429"/>
      <c r="I75" s="169"/>
      <c r="J75" s="169"/>
      <c r="K75" s="195"/>
      <c r="L75" s="429"/>
      <c r="M75" s="196" t="e">
        <f>RANK(K75, K$87:$K$101)</f>
        <v>#DIV/0!</v>
      </c>
      <c r="N75" s="423"/>
      <c r="O75" s="423"/>
      <c r="P75" s="197"/>
      <c r="Q75" s="195"/>
      <c r="R75" s="195"/>
      <c r="S75" s="197" t="e">
        <f t="shared" si="39"/>
        <v>#N/A</v>
      </c>
      <c r="T75" s="429"/>
      <c r="U75" s="197"/>
      <c r="V75" s="195"/>
      <c r="W75" s="195"/>
      <c r="X75" s="197" t="e">
        <f t="shared" si="40"/>
        <v>#N/A</v>
      </c>
      <c r="Y75" s="429"/>
      <c r="Z75" s="197"/>
      <c r="AA75" s="195"/>
      <c r="AB75" s="195"/>
      <c r="AC75" s="197" t="e">
        <f t="shared" si="41"/>
        <v>#N/A</v>
      </c>
      <c r="AD75" s="429"/>
      <c r="AE75" s="197"/>
      <c r="AF75" s="195"/>
      <c r="AG75" s="195"/>
      <c r="AH75" s="197" t="e">
        <f t="shared" si="42"/>
        <v>#N/A</v>
      </c>
      <c r="AI75" s="429"/>
      <c r="AJ75" s="197"/>
      <c r="AK75" s="195"/>
      <c r="AL75" s="195"/>
      <c r="AM75" s="197" t="e">
        <f t="shared" si="43"/>
        <v>#N/A</v>
      </c>
      <c r="AN75" s="429"/>
      <c r="AO75" s="197"/>
      <c r="AP75" s="195"/>
      <c r="AQ75" s="195"/>
      <c r="AR75" s="197" t="e">
        <f t="shared" si="44"/>
        <v>#N/A</v>
      </c>
      <c r="AS75" s="429"/>
      <c r="AT75" s="197"/>
      <c r="AU75" s="195"/>
      <c r="AV75" s="195"/>
      <c r="AW75" s="197" t="e">
        <f t="shared" si="45"/>
        <v>#N/A</v>
      </c>
      <c r="AX75" s="432"/>
    </row>
    <row r="76" spans="2:50">
      <c r="B76" s="422"/>
      <c r="C76" s="197">
        <v>10</v>
      </c>
      <c r="D76" s="225"/>
      <c r="E76" s="169"/>
      <c r="F76" s="197"/>
      <c r="G76" s="195"/>
      <c r="H76" s="429"/>
      <c r="I76" s="169"/>
      <c r="J76" s="169"/>
      <c r="K76" s="195"/>
      <c r="L76" s="429"/>
      <c r="M76" s="196" t="e">
        <f>RANK(K76, K$87:$K$101)</f>
        <v>#DIV/0!</v>
      </c>
      <c r="N76" s="423"/>
      <c r="O76" s="423"/>
      <c r="P76" s="197"/>
      <c r="Q76" s="197"/>
      <c r="R76" s="195"/>
      <c r="S76" s="197" t="e">
        <f t="shared" si="39"/>
        <v>#N/A</v>
      </c>
      <c r="T76" s="429"/>
      <c r="U76" s="197"/>
      <c r="V76" s="197"/>
      <c r="W76" s="195"/>
      <c r="X76" s="197" t="e">
        <f t="shared" si="40"/>
        <v>#N/A</v>
      </c>
      <c r="Y76" s="429"/>
      <c r="Z76" s="197"/>
      <c r="AA76" s="197"/>
      <c r="AB76" s="195"/>
      <c r="AC76" s="197" t="e">
        <f t="shared" si="41"/>
        <v>#N/A</v>
      </c>
      <c r="AD76" s="429"/>
      <c r="AE76" s="197"/>
      <c r="AF76" s="197"/>
      <c r="AG76" s="195"/>
      <c r="AH76" s="197" t="e">
        <f t="shared" si="42"/>
        <v>#N/A</v>
      </c>
      <c r="AI76" s="429"/>
      <c r="AJ76" s="197"/>
      <c r="AK76" s="197"/>
      <c r="AL76" s="195"/>
      <c r="AM76" s="197" t="e">
        <f t="shared" si="43"/>
        <v>#N/A</v>
      </c>
      <c r="AN76" s="429"/>
      <c r="AO76" s="197"/>
      <c r="AP76" s="197"/>
      <c r="AQ76" s="195"/>
      <c r="AR76" s="197" t="e">
        <f t="shared" si="44"/>
        <v>#N/A</v>
      </c>
      <c r="AS76" s="429"/>
      <c r="AT76" s="197"/>
      <c r="AU76" s="197"/>
      <c r="AV76" s="195"/>
      <c r="AW76" s="197" t="e">
        <f t="shared" si="45"/>
        <v>#N/A</v>
      </c>
      <c r="AX76" s="432"/>
    </row>
    <row r="77" spans="2:50">
      <c r="B77" s="422"/>
      <c r="C77" s="197">
        <v>11</v>
      </c>
      <c r="D77" s="225"/>
      <c r="E77" s="169"/>
      <c r="F77" s="197"/>
      <c r="G77" s="195"/>
      <c r="H77" s="429"/>
      <c r="I77" s="197"/>
      <c r="J77" s="197"/>
      <c r="K77" s="197"/>
      <c r="L77" s="429"/>
      <c r="M77" s="196" t="e">
        <f>RANK(K77, K$87:$K$101)</f>
        <v>#DIV/0!</v>
      </c>
      <c r="N77" s="423"/>
      <c r="O77" s="423"/>
      <c r="P77" s="197"/>
      <c r="Q77" s="197"/>
      <c r="R77" s="197"/>
      <c r="S77" s="197" t="e">
        <f t="shared" si="39"/>
        <v>#N/A</v>
      </c>
      <c r="T77" s="429"/>
      <c r="U77" s="197"/>
      <c r="V77" s="197"/>
      <c r="W77" s="197"/>
      <c r="X77" s="197" t="e">
        <f t="shared" si="40"/>
        <v>#N/A</v>
      </c>
      <c r="Y77" s="429"/>
      <c r="Z77" s="197"/>
      <c r="AA77" s="197"/>
      <c r="AB77" s="197"/>
      <c r="AC77" s="197" t="e">
        <f t="shared" si="41"/>
        <v>#N/A</v>
      </c>
      <c r="AD77" s="429"/>
      <c r="AE77" s="197"/>
      <c r="AF77" s="197"/>
      <c r="AG77" s="197"/>
      <c r="AH77" s="197" t="e">
        <f t="shared" si="42"/>
        <v>#N/A</v>
      </c>
      <c r="AI77" s="429"/>
      <c r="AJ77" s="197"/>
      <c r="AK77" s="197"/>
      <c r="AL77" s="197"/>
      <c r="AM77" s="197" t="e">
        <f t="shared" si="43"/>
        <v>#N/A</v>
      </c>
      <c r="AN77" s="429"/>
      <c r="AO77" s="197"/>
      <c r="AP77" s="197"/>
      <c r="AQ77" s="197"/>
      <c r="AR77" s="197" t="e">
        <f t="shared" si="44"/>
        <v>#N/A</v>
      </c>
      <c r="AS77" s="429"/>
      <c r="AT77" s="197"/>
      <c r="AU77" s="197"/>
      <c r="AV77" s="197"/>
      <c r="AW77" s="197" t="e">
        <f t="shared" si="45"/>
        <v>#N/A</v>
      </c>
      <c r="AX77" s="432"/>
    </row>
    <row r="78" spans="2:50">
      <c r="B78" s="422"/>
      <c r="C78" s="197">
        <v>12</v>
      </c>
      <c r="D78" s="225"/>
      <c r="E78" s="169"/>
      <c r="F78" s="197"/>
      <c r="G78" s="195"/>
      <c r="H78" s="429"/>
      <c r="I78" s="197"/>
      <c r="J78" s="197"/>
      <c r="K78" s="197"/>
      <c r="L78" s="429"/>
      <c r="M78" s="196" t="e">
        <f>RANK(K78, K$87:$K$101)</f>
        <v>#DIV/0!</v>
      </c>
      <c r="N78" s="423"/>
      <c r="O78" s="423"/>
      <c r="P78" s="197"/>
      <c r="Q78" s="197"/>
      <c r="R78" s="197"/>
      <c r="S78" s="197" t="e">
        <f t="shared" si="39"/>
        <v>#N/A</v>
      </c>
      <c r="T78" s="429"/>
      <c r="U78" s="197"/>
      <c r="V78" s="197"/>
      <c r="W78" s="197"/>
      <c r="X78" s="197" t="e">
        <f t="shared" si="40"/>
        <v>#N/A</v>
      </c>
      <c r="Y78" s="429"/>
      <c r="Z78" s="197"/>
      <c r="AA78" s="197"/>
      <c r="AB78" s="197"/>
      <c r="AC78" s="197" t="e">
        <f t="shared" si="41"/>
        <v>#N/A</v>
      </c>
      <c r="AD78" s="429"/>
      <c r="AE78" s="197"/>
      <c r="AF78" s="197"/>
      <c r="AG78" s="197"/>
      <c r="AH78" s="197" t="e">
        <f t="shared" si="42"/>
        <v>#N/A</v>
      </c>
      <c r="AI78" s="429"/>
      <c r="AJ78" s="197"/>
      <c r="AK78" s="197"/>
      <c r="AL78" s="197"/>
      <c r="AM78" s="197" t="e">
        <f t="shared" si="43"/>
        <v>#N/A</v>
      </c>
      <c r="AN78" s="429"/>
      <c r="AO78" s="197"/>
      <c r="AP78" s="197"/>
      <c r="AQ78" s="197"/>
      <c r="AR78" s="197" t="e">
        <f t="shared" si="44"/>
        <v>#N/A</v>
      </c>
      <c r="AS78" s="429"/>
      <c r="AT78" s="197"/>
      <c r="AU78" s="197"/>
      <c r="AV78" s="197"/>
      <c r="AW78" s="197" t="e">
        <f t="shared" si="45"/>
        <v>#N/A</v>
      </c>
      <c r="AX78" s="432"/>
    </row>
    <row r="79" spans="2:50">
      <c r="B79" s="422"/>
      <c r="C79" s="197">
        <v>13</v>
      </c>
      <c r="D79" s="225"/>
      <c r="E79" s="169"/>
      <c r="F79" s="197"/>
      <c r="G79" s="195"/>
      <c r="H79" s="429"/>
      <c r="I79" s="197"/>
      <c r="J79" s="197"/>
      <c r="K79" s="197"/>
      <c r="L79" s="429"/>
      <c r="M79" s="196" t="e">
        <f>RANK(K79, K$87:$K$101)</f>
        <v>#DIV/0!</v>
      </c>
      <c r="N79" s="423"/>
      <c r="O79" s="423"/>
      <c r="P79" s="197"/>
      <c r="Q79" s="197"/>
      <c r="R79" s="197"/>
      <c r="S79" s="197" t="e">
        <f t="shared" si="39"/>
        <v>#N/A</v>
      </c>
      <c r="T79" s="429"/>
      <c r="U79" s="197"/>
      <c r="V79" s="197"/>
      <c r="W79" s="197"/>
      <c r="X79" s="197" t="e">
        <f t="shared" si="40"/>
        <v>#N/A</v>
      </c>
      <c r="Y79" s="429"/>
      <c r="Z79" s="197"/>
      <c r="AA79" s="197"/>
      <c r="AB79" s="197"/>
      <c r="AC79" s="197" t="e">
        <f t="shared" si="41"/>
        <v>#N/A</v>
      </c>
      <c r="AD79" s="429"/>
      <c r="AE79" s="197"/>
      <c r="AF79" s="197"/>
      <c r="AG79" s="197"/>
      <c r="AH79" s="197" t="e">
        <f t="shared" si="42"/>
        <v>#N/A</v>
      </c>
      <c r="AI79" s="429"/>
      <c r="AJ79" s="197"/>
      <c r="AK79" s="197"/>
      <c r="AL79" s="197"/>
      <c r="AM79" s="197" t="e">
        <f t="shared" si="43"/>
        <v>#N/A</v>
      </c>
      <c r="AN79" s="429"/>
      <c r="AO79" s="197"/>
      <c r="AP79" s="197"/>
      <c r="AQ79" s="197"/>
      <c r="AR79" s="197" t="e">
        <f t="shared" si="44"/>
        <v>#N/A</v>
      </c>
      <c r="AS79" s="429"/>
      <c r="AT79" s="197"/>
      <c r="AU79" s="197"/>
      <c r="AV79" s="197"/>
      <c r="AW79" s="197" t="e">
        <f t="shared" si="45"/>
        <v>#N/A</v>
      </c>
      <c r="AX79" s="432"/>
    </row>
    <row r="80" spans="2:50">
      <c r="B80" s="422"/>
      <c r="C80" s="197">
        <v>14</v>
      </c>
      <c r="D80" s="225"/>
      <c r="E80" s="169"/>
      <c r="F80" s="197"/>
      <c r="G80" s="195"/>
      <c r="H80" s="429"/>
      <c r="I80" s="197"/>
      <c r="J80" s="197"/>
      <c r="K80" s="197"/>
      <c r="L80" s="429"/>
      <c r="M80" s="196" t="e">
        <f>RANK(K80, K$87:$K$101)</f>
        <v>#DIV/0!</v>
      </c>
      <c r="N80" s="423"/>
      <c r="O80" s="423"/>
      <c r="P80" s="197"/>
      <c r="Q80" s="197"/>
      <c r="R80" s="197"/>
      <c r="S80" s="197" t="e">
        <f t="shared" si="39"/>
        <v>#N/A</v>
      </c>
      <c r="T80" s="429"/>
      <c r="U80" s="197"/>
      <c r="V80" s="197"/>
      <c r="W80" s="197"/>
      <c r="X80" s="197" t="e">
        <f t="shared" si="40"/>
        <v>#N/A</v>
      </c>
      <c r="Y80" s="429"/>
      <c r="Z80" s="197"/>
      <c r="AA80" s="197"/>
      <c r="AB80" s="197"/>
      <c r="AC80" s="197" t="e">
        <f t="shared" si="41"/>
        <v>#N/A</v>
      </c>
      <c r="AD80" s="429"/>
      <c r="AE80" s="197"/>
      <c r="AF80" s="197"/>
      <c r="AG80" s="197"/>
      <c r="AH80" s="197" t="e">
        <f t="shared" si="42"/>
        <v>#N/A</v>
      </c>
      <c r="AI80" s="429"/>
      <c r="AJ80" s="197"/>
      <c r="AK80" s="197"/>
      <c r="AL80" s="197"/>
      <c r="AM80" s="197" t="e">
        <f t="shared" si="43"/>
        <v>#N/A</v>
      </c>
      <c r="AN80" s="429"/>
      <c r="AO80" s="197"/>
      <c r="AP80" s="197"/>
      <c r="AQ80" s="197"/>
      <c r="AR80" s="197" t="e">
        <f t="shared" si="44"/>
        <v>#N/A</v>
      </c>
      <c r="AS80" s="429"/>
      <c r="AT80" s="197"/>
      <c r="AU80" s="197"/>
      <c r="AV80" s="197"/>
      <c r="AW80" s="197" t="e">
        <f t="shared" si="45"/>
        <v>#N/A</v>
      </c>
      <c r="AX80" s="432"/>
    </row>
    <row r="81" spans="2:50">
      <c r="B81" s="422"/>
      <c r="C81" s="197">
        <v>15</v>
      </c>
      <c r="D81" s="225"/>
      <c r="E81" s="169"/>
      <c r="F81" s="197"/>
      <c r="G81" s="195"/>
      <c r="H81" s="430"/>
      <c r="I81" s="197"/>
      <c r="J81" s="197"/>
      <c r="K81" s="197"/>
      <c r="L81" s="430"/>
      <c r="M81" s="169" t="e">
        <f>RANK(K81, K$87:$K$101)</f>
        <v>#DIV/0!</v>
      </c>
      <c r="N81" s="423"/>
      <c r="O81" s="423"/>
      <c r="P81" s="197"/>
      <c r="Q81" s="197"/>
      <c r="R81" s="197"/>
      <c r="S81" s="197" t="e">
        <f t="shared" si="39"/>
        <v>#N/A</v>
      </c>
      <c r="T81" s="430"/>
      <c r="U81" s="197"/>
      <c r="V81" s="197"/>
      <c r="W81" s="197"/>
      <c r="X81" s="197" t="e">
        <f t="shared" si="40"/>
        <v>#N/A</v>
      </c>
      <c r="Y81" s="430"/>
      <c r="Z81" s="197"/>
      <c r="AA81" s="197"/>
      <c r="AB81" s="197"/>
      <c r="AC81" s="197" t="e">
        <f t="shared" si="41"/>
        <v>#N/A</v>
      </c>
      <c r="AD81" s="430"/>
      <c r="AE81" s="197"/>
      <c r="AF81" s="197"/>
      <c r="AG81" s="197"/>
      <c r="AH81" s="197" t="e">
        <f t="shared" si="42"/>
        <v>#N/A</v>
      </c>
      <c r="AI81" s="430"/>
      <c r="AJ81" s="197"/>
      <c r="AK81" s="197"/>
      <c r="AL81" s="197"/>
      <c r="AM81" s="197" t="e">
        <f t="shared" si="43"/>
        <v>#N/A</v>
      </c>
      <c r="AN81" s="430"/>
      <c r="AO81" s="197"/>
      <c r="AP81" s="197"/>
      <c r="AQ81" s="197"/>
      <c r="AR81" s="197" t="e">
        <f t="shared" si="44"/>
        <v>#N/A</v>
      </c>
      <c r="AS81" s="430"/>
      <c r="AT81" s="197"/>
      <c r="AU81" s="197"/>
      <c r="AV81" s="197"/>
      <c r="AW81" s="197" t="e">
        <f t="shared" si="45"/>
        <v>#N/A</v>
      </c>
      <c r="AX81" s="432"/>
    </row>
    <row r="82" spans="2:50" ht="15.75">
      <c r="B82" s="396" t="s">
        <v>202</v>
      </c>
      <c r="C82" s="427"/>
      <c r="D82" s="427"/>
      <c r="E82" s="427"/>
      <c r="F82" s="427"/>
      <c r="G82" s="427"/>
      <c r="H82" s="427"/>
      <c r="I82" s="201"/>
      <c r="J82" s="201"/>
      <c r="K82" s="201"/>
      <c r="L82" s="201"/>
      <c r="M82" s="200"/>
      <c r="N82" s="401" t="s">
        <v>203</v>
      </c>
      <c r="O82" s="401" t="s">
        <v>150</v>
      </c>
      <c r="P82" s="421">
        <f>P62+7</f>
        <v>45923</v>
      </c>
      <c r="Q82" s="422"/>
      <c r="R82" s="422"/>
      <c r="S82" s="422"/>
      <c r="T82" s="422"/>
      <c r="U82" s="416">
        <f>P82+1</f>
        <v>45924</v>
      </c>
      <c r="V82" s="417"/>
      <c r="W82" s="417"/>
      <c r="X82" s="417"/>
      <c r="Y82" s="418"/>
      <c r="Z82" s="416">
        <f>U82+1</f>
        <v>45925</v>
      </c>
      <c r="AA82" s="417"/>
      <c r="AB82" s="417"/>
      <c r="AC82" s="417"/>
      <c r="AD82" s="418"/>
      <c r="AE82" s="416">
        <f t="shared" ref="AE82" si="46">Z82+1</f>
        <v>45926</v>
      </c>
      <c r="AF82" s="417"/>
      <c r="AG82" s="417"/>
      <c r="AH82" s="417"/>
      <c r="AI82" s="418"/>
      <c r="AJ82" s="416">
        <f t="shared" ref="AJ82" si="47">AE82+1</f>
        <v>45927</v>
      </c>
      <c r="AK82" s="417"/>
      <c r="AL82" s="417"/>
      <c r="AM82" s="417"/>
      <c r="AN82" s="418"/>
      <c r="AO82" s="416">
        <f t="shared" ref="AO82" si="48">AJ82+1</f>
        <v>45928</v>
      </c>
      <c r="AP82" s="417"/>
      <c r="AQ82" s="417"/>
      <c r="AR82" s="417"/>
      <c r="AS82" s="418"/>
      <c r="AT82" s="416">
        <f t="shared" ref="AT82" si="49">AO82+1</f>
        <v>45929</v>
      </c>
      <c r="AU82" s="417"/>
      <c r="AV82" s="417"/>
      <c r="AW82" s="417"/>
      <c r="AX82" s="418"/>
    </row>
    <row r="83" spans="2:50" ht="15.75">
      <c r="B83" s="426"/>
      <c r="C83" s="426"/>
      <c r="D83" s="426"/>
      <c r="E83" s="426"/>
      <c r="F83" s="426"/>
      <c r="G83" s="426"/>
      <c r="H83" s="426"/>
      <c r="I83" s="199"/>
      <c r="J83" s="199"/>
      <c r="K83" s="199"/>
      <c r="L83" s="199"/>
      <c r="M83" s="194"/>
      <c r="N83" s="403"/>
      <c r="O83" s="403"/>
      <c r="P83" s="421" t="s">
        <v>204</v>
      </c>
      <c r="Q83" s="422"/>
      <c r="R83" s="422"/>
      <c r="S83" s="422"/>
      <c r="T83" s="422"/>
      <c r="U83" s="421" t="s">
        <v>205</v>
      </c>
      <c r="V83" s="422"/>
      <c r="W83" s="422"/>
      <c r="X83" s="422"/>
      <c r="Y83" s="422"/>
      <c r="Z83" s="421" t="s">
        <v>206</v>
      </c>
      <c r="AA83" s="422"/>
      <c r="AB83" s="422"/>
      <c r="AC83" s="422"/>
      <c r="AD83" s="422"/>
      <c r="AE83" s="421" t="s">
        <v>207</v>
      </c>
      <c r="AF83" s="422"/>
      <c r="AG83" s="422"/>
      <c r="AH83" s="422"/>
      <c r="AI83" s="422"/>
      <c r="AJ83" s="421" t="s">
        <v>208</v>
      </c>
      <c r="AK83" s="422"/>
      <c r="AL83" s="422"/>
      <c r="AM83" s="422"/>
      <c r="AN83" s="422"/>
      <c r="AO83" s="421" t="s">
        <v>157</v>
      </c>
      <c r="AP83" s="422"/>
      <c r="AQ83" s="422"/>
      <c r="AR83" s="422"/>
      <c r="AS83" s="422"/>
      <c r="AT83" s="421" t="s">
        <v>209</v>
      </c>
      <c r="AU83" s="422"/>
      <c r="AV83" s="422"/>
      <c r="AW83" s="422"/>
      <c r="AX83" s="422"/>
    </row>
    <row r="84" spans="2:50">
      <c r="B84" s="423" t="s">
        <v>210</v>
      </c>
      <c r="C84" s="423" t="s">
        <v>211</v>
      </c>
      <c r="D84" s="423"/>
      <c r="E84" s="423" t="s">
        <v>212</v>
      </c>
      <c r="F84" s="423"/>
      <c r="G84" s="423"/>
      <c r="H84" s="404" t="s">
        <v>213</v>
      </c>
      <c r="I84" s="423" t="s">
        <v>214</v>
      </c>
      <c r="J84" s="423"/>
      <c r="K84" s="423"/>
      <c r="L84" s="404" t="s">
        <v>213</v>
      </c>
      <c r="M84" s="401" t="s">
        <v>215</v>
      </c>
      <c r="N84" s="423"/>
      <c r="O84" s="423" t="s">
        <v>216</v>
      </c>
      <c r="P84" s="413" t="s">
        <v>217</v>
      </c>
      <c r="Q84" s="414"/>
      <c r="R84" s="414"/>
      <c r="S84" s="415"/>
      <c r="T84" s="423" t="s">
        <v>213</v>
      </c>
      <c r="U84" s="413" t="s">
        <v>217</v>
      </c>
      <c r="V84" s="414"/>
      <c r="W84" s="414"/>
      <c r="X84" s="415"/>
      <c r="Y84" s="423" t="s">
        <v>213</v>
      </c>
      <c r="Z84" s="413" t="s">
        <v>217</v>
      </c>
      <c r="AA84" s="414"/>
      <c r="AB84" s="414"/>
      <c r="AC84" s="415"/>
      <c r="AD84" s="423" t="s">
        <v>213</v>
      </c>
      <c r="AE84" s="413" t="s">
        <v>217</v>
      </c>
      <c r="AF84" s="414"/>
      <c r="AG84" s="414"/>
      <c r="AH84" s="415"/>
      <c r="AI84" s="423" t="s">
        <v>213</v>
      </c>
      <c r="AJ84" s="413" t="s">
        <v>217</v>
      </c>
      <c r="AK84" s="414"/>
      <c r="AL84" s="414"/>
      <c r="AM84" s="415"/>
      <c r="AN84" s="423" t="s">
        <v>213</v>
      </c>
      <c r="AO84" s="413" t="s">
        <v>217</v>
      </c>
      <c r="AP84" s="414"/>
      <c r="AQ84" s="414"/>
      <c r="AR84" s="415"/>
      <c r="AS84" s="423" t="s">
        <v>213</v>
      </c>
      <c r="AT84" s="413" t="s">
        <v>217</v>
      </c>
      <c r="AU84" s="414"/>
      <c r="AV84" s="414"/>
      <c r="AW84" s="415"/>
      <c r="AX84" s="423" t="s">
        <v>213</v>
      </c>
    </row>
    <row r="85" spans="2:50">
      <c r="B85" s="423"/>
      <c r="C85" s="423"/>
      <c r="D85" s="423"/>
      <c r="E85" s="423" t="s">
        <v>218</v>
      </c>
      <c r="F85" s="423"/>
      <c r="G85" s="423"/>
      <c r="H85" s="406"/>
      <c r="I85" s="423" t="s">
        <v>218</v>
      </c>
      <c r="J85" s="423"/>
      <c r="K85" s="423"/>
      <c r="L85" s="406"/>
      <c r="M85" s="402"/>
      <c r="N85" s="423"/>
      <c r="O85" s="423"/>
      <c r="P85" s="413" t="s">
        <v>219</v>
      </c>
      <c r="Q85" s="414"/>
      <c r="R85" s="414"/>
      <c r="S85" s="415"/>
      <c r="T85" s="423"/>
      <c r="U85" s="413" t="s">
        <v>219</v>
      </c>
      <c r="V85" s="414"/>
      <c r="W85" s="414"/>
      <c r="X85" s="415"/>
      <c r="Y85" s="423"/>
      <c r="Z85" s="413" t="s">
        <v>219</v>
      </c>
      <c r="AA85" s="414"/>
      <c r="AB85" s="414"/>
      <c r="AC85" s="415"/>
      <c r="AD85" s="423"/>
      <c r="AE85" s="413" t="s">
        <v>219</v>
      </c>
      <c r="AF85" s="414"/>
      <c r="AG85" s="414"/>
      <c r="AH85" s="415"/>
      <c r="AI85" s="423"/>
      <c r="AJ85" s="413" t="s">
        <v>219</v>
      </c>
      <c r="AK85" s="414"/>
      <c r="AL85" s="414"/>
      <c r="AM85" s="415"/>
      <c r="AN85" s="423"/>
      <c r="AO85" s="413" t="s">
        <v>219</v>
      </c>
      <c r="AP85" s="414"/>
      <c r="AQ85" s="414"/>
      <c r="AR85" s="415"/>
      <c r="AS85" s="423"/>
      <c r="AT85" s="413" t="s">
        <v>219</v>
      </c>
      <c r="AU85" s="414"/>
      <c r="AV85" s="414"/>
      <c r="AW85" s="415"/>
      <c r="AX85" s="423"/>
    </row>
    <row r="86" spans="2:50">
      <c r="B86" s="423"/>
      <c r="C86" s="423"/>
      <c r="D86" s="423"/>
      <c r="E86" s="297" t="s">
        <v>220</v>
      </c>
      <c r="F86" s="297" t="s">
        <v>221</v>
      </c>
      <c r="G86" s="297" t="s">
        <v>222</v>
      </c>
      <c r="H86" s="408"/>
      <c r="I86" s="297" t="s">
        <v>220</v>
      </c>
      <c r="J86" s="297" t="s">
        <v>221</v>
      </c>
      <c r="K86" s="297" t="s">
        <v>222</v>
      </c>
      <c r="L86" s="408"/>
      <c r="M86" s="403"/>
      <c r="N86" s="423"/>
      <c r="O86" s="423"/>
      <c r="P86" s="297" t="s">
        <v>220</v>
      </c>
      <c r="Q86" s="297" t="s">
        <v>221</v>
      </c>
      <c r="R86" s="297" t="s">
        <v>222</v>
      </c>
      <c r="S86" s="297" t="s">
        <v>215</v>
      </c>
      <c r="T86" s="423"/>
      <c r="U86" s="297" t="s">
        <v>220</v>
      </c>
      <c r="V86" s="297" t="s">
        <v>221</v>
      </c>
      <c r="W86" s="297" t="s">
        <v>222</v>
      </c>
      <c r="X86" s="297" t="s">
        <v>215</v>
      </c>
      <c r="Y86" s="423"/>
      <c r="Z86" s="297" t="s">
        <v>220</v>
      </c>
      <c r="AA86" s="297" t="s">
        <v>221</v>
      </c>
      <c r="AB86" s="297" t="s">
        <v>222</v>
      </c>
      <c r="AC86" s="297" t="s">
        <v>215</v>
      </c>
      <c r="AD86" s="423"/>
      <c r="AE86" s="297" t="s">
        <v>220</v>
      </c>
      <c r="AF86" s="297" t="s">
        <v>221</v>
      </c>
      <c r="AG86" s="297" t="s">
        <v>222</v>
      </c>
      <c r="AH86" s="297" t="s">
        <v>215</v>
      </c>
      <c r="AI86" s="423"/>
      <c r="AJ86" s="297" t="s">
        <v>220</v>
      </c>
      <c r="AK86" s="297" t="s">
        <v>221</v>
      </c>
      <c r="AL86" s="297" t="s">
        <v>222</v>
      </c>
      <c r="AM86" s="297" t="s">
        <v>215</v>
      </c>
      <c r="AN86" s="423"/>
      <c r="AO86" s="297" t="s">
        <v>220</v>
      </c>
      <c r="AP86" s="297" t="s">
        <v>221</v>
      </c>
      <c r="AQ86" s="297" t="s">
        <v>222</v>
      </c>
      <c r="AR86" s="297" t="s">
        <v>215</v>
      </c>
      <c r="AS86" s="423"/>
      <c r="AT86" s="297" t="s">
        <v>220</v>
      </c>
      <c r="AU86" s="297" t="s">
        <v>221</v>
      </c>
      <c r="AV86" s="297" t="s">
        <v>222</v>
      </c>
      <c r="AW86" s="297" t="s">
        <v>215</v>
      </c>
      <c r="AX86" s="423"/>
    </row>
    <row r="87" spans="2:50">
      <c r="B87" s="423" t="s">
        <v>313</v>
      </c>
      <c r="C87" s="197">
        <v>1</v>
      </c>
      <c r="D87" s="225"/>
      <c r="E87" s="169"/>
      <c r="F87" s="197"/>
      <c r="G87" s="195"/>
      <c r="H87" s="428" t="e">
        <f>AVERAGE(G87:G101)</f>
        <v>#DIV/0!</v>
      </c>
      <c r="I87" s="169" t="e">
        <f>AVERAGE(P87,U87,Z87,AE87,AJ87,AO87,AT87)</f>
        <v>#DIV/0!</v>
      </c>
      <c r="J87" s="169" t="e">
        <f>AVERAGE(Q87,V87,AA87,AF87,AK87,AP87,AU87)</f>
        <v>#DIV/0!</v>
      </c>
      <c r="K87" s="195" t="e">
        <f>AVERAGE(R87,W87,AB87,AG87,AL87,AQ87,AV87)</f>
        <v>#DIV/0!</v>
      </c>
      <c r="L87" s="428" t="str">
        <f>IFERROR(AVERAGE(K87:K101),"-")</f>
        <v>-</v>
      </c>
      <c r="M87" s="196" t="e">
        <f>RANK(K87, K$87:$K$101)</f>
        <v>#DIV/0!</v>
      </c>
      <c r="N87" s="423"/>
      <c r="O87" s="423"/>
      <c r="P87" s="197"/>
      <c r="Q87" s="195"/>
      <c r="R87" s="195"/>
      <c r="S87" s="197" t="e">
        <f>RANK(R87, R$87:R$101)</f>
        <v>#N/A</v>
      </c>
      <c r="T87" s="428" t="e">
        <f>AVERAGE(R87:R101)</f>
        <v>#DIV/0!</v>
      </c>
      <c r="U87" s="197"/>
      <c r="V87" s="195"/>
      <c r="W87" s="195"/>
      <c r="X87" s="197" t="e">
        <f>RANK(W87, W$87:W$101)</f>
        <v>#N/A</v>
      </c>
      <c r="Y87" s="428" t="e">
        <f>AVERAGE(W87:W101)</f>
        <v>#DIV/0!</v>
      </c>
      <c r="Z87" s="197"/>
      <c r="AA87" s="195"/>
      <c r="AB87" s="195"/>
      <c r="AC87" s="197" t="e">
        <f>RANK(AB87, AB$87:AB$101)</f>
        <v>#N/A</v>
      </c>
      <c r="AD87" s="428" t="e">
        <f>AVERAGE(AB87:AB101)</f>
        <v>#DIV/0!</v>
      </c>
      <c r="AE87" s="197"/>
      <c r="AF87" s="195"/>
      <c r="AG87" s="195"/>
      <c r="AH87" s="197" t="e">
        <f>RANK(AG87, AG$87:AG$101)</f>
        <v>#N/A</v>
      </c>
      <c r="AI87" s="428" t="e">
        <f>AVERAGE(AG87:AG101)</f>
        <v>#DIV/0!</v>
      </c>
      <c r="AJ87" s="197"/>
      <c r="AK87" s="195"/>
      <c r="AL87" s="195"/>
      <c r="AM87" s="197" t="e">
        <f>RANK(AL87, AL$87:AL$101)</f>
        <v>#N/A</v>
      </c>
      <c r="AN87" s="428" t="e">
        <f>AVERAGE(AL87:AL101)</f>
        <v>#DIV/0!</v>
      </c>
      <c r="AO87" s="197"/>
      <c r="AP87" s="195"/>
      <c r="AQ87" s="195"/>
      <c r="AR87" s="197" t="e">
        <f>RANK(AQ87, AQ$87:AQ$101)</f>
        <v>#N/A</v>
      </c>
      <c r="AS87" s="428" t="e">
        <f>AVERAGE(AQ87:AQ101)</f>
        <v>#DIV/0!</v>
      </c>
      <c r="AT87" s="197"/>
      <c r="AU87" s="195"/>
      <c r="AV87" s="195"/>
      <c r="AW87" s="197" t="e">
        <f>RANK(AV87, AV$87:AV$101)</f>
        <v>#N/A</v>
      </c>
      <c r="AX87" s="432" t="e">
        <f>AVERAGE(AV87:AV101)</f>
        <v>#DIV/0!</v>
      </c>
    </row>
    <row r="88" spans="2:50">
      <c r="B88" s="422"/>
      <c r="C88" s="197">
        <v>2</v>
      </c>
      <c r="D88" s="225"/>
      <c r="E88" s="169"/>
      <c r="F88" s="197"/>
      <c r="G88" s="195"/>
      <c r="H88" s="429"/>
      <c r="I88" s="169" t="e">
        <f t="shared" ref="I88:K91" si="50">AVERAGE(P88,U88,Z88,AE88,AJ88,AO88,AT88)</f>
        <v>#DIV/0!</v>
      </c>
      <c r="J88" s="169" t="e">
        <f t="shared" si="50"/>
        <v>#DIV/0!</v>
      </c>
      <c r="K88" s="195" t="e">
        <f t="shared" si="50"/>
        <v>#DIV/0!</v>
      </c>
      <c r="L88" s="429"/>
      <c r="M88" s="196" t="e">
        <f>RANK(K88, K$87:$K$101)</f>
        <v>#DIV/0!</v>
      </c>
      <c r="N88" s="423"/>
      <c r="O88" s="423"/>
      <c r="P88" s="197"/>
      <c r="Q88" s="195"/>
      <c r="R88" s="195"/>
      <c r="S88" s="197" t="e">
        <f t="shared" ref="S88:S101" si="51">RANK(R88, R$87:R$101)</f>
        <v>#N/A</v>
      </c>
      <c r="T88" s="429"/>
      <c r="U88" s="197"/>
      <c r="V88" s="195"/>
      <c r="W88" s="195"/>
      <c r="X88" s="197" t="e">
        <f t="shared" ref="X88:X101" si="52">RANK(W88, W$87:W$101)</f>
        <v>#N/A</v>
      </c>
      <c r="Y88" s="429"/>
      <c r="Z88" s="197"/>
      <c r="AA88" s="195"/>
      <c r="AB88" s="195"/>
      <c r="AC88" s="197" t="e">
        <f t="shared" ref="AC88:AC101" si="53">RANK(AB88, AB$87:AB$101)</f>
        <v>#N/A</v>
      </c>
      <c r="AD88" s="429"/>
      <c r="AE88" s="197"/>
      <c r="AF88" s="195"/>
      <c r="AG88" s="195"/>
      <c r="AH88" s="197" t="e">
        <f t="shared" ref="AH88:AH101" si="54">RANK(AG88, AG$87:AG$101)</f>
        <v>#N/A</v>
      </c>
      <c r="AI88" s="429"/>
      <c r="AJ88" s="197"/>
      <c r="AK88" s="195"/>
      <c r="AL88" s="195"/>
      <c r="AM88" s="197" t="e">
        <f t="shared" ref="AM88:AM101" si="55">RANK(AL88, AL$87:AL$101)</f>
        <v>#N/A</v>
      </c>
      <c r="AN88" s="429"/>
      <c r="AO88" s="197"/>
      <c r="AP88" s="195"/>
      <c r="AQ88" s="195"/>
      <c r="AR88" s="197" t="e">
        <f t="shared" ref="AR88:AR101" si="56">RANK(AQ88, AQ$87:AQ$101)</f>
        <v>#N/A</v>
      </c>
      <c r="AS88" s="429"/>
      <c r="AT88" s="197"/>
      <c r="AU88" s="195"/>
      <c r="AV88" s="195"/>
      <c r="AW88" s="197" t="e">
        <f t="shared" ref="AW88:AW101" si="57">RANK(AV88, AV$87:AV$101)</f>
        <v>#N/A</v>
      </c>
      <c r="AX88" s="432"/>
    </row>
    <row r="89" spans="2:50">
      <c r="B89" s="422"/>
      <c r="C89" s="197">
        <v>3</v>
      </c>
      <c r="D89" s="225"/>
      <c r="E89" s="169"/>
      <c r="F89" s="197"/>
      <c r="G89" s="195"/>
      <c r="H89" s="429"/>
      <c r="I89" s="169" t="e">
        <f t="shared" si="50"/>
        <v>#DIV/0!</v>
      </c>
      <c r="J89" s="169" t="e">
        <f t="shared" si="50"/>
        <v>#DIV/0!</v>
      </c>
      <c r="K89" s="195" t="e">
        <f t="shared" si="50"/>
        <v>#DIV/0!</v>
      </c>
      <c r="L89" s="429"/>
      <c r="M89" s="196" t="e">
        <f>RANK(K89, K$87:$K$101)</f>
        <v>#DIV/0!</v>
      </c>
      <c r="N89" s="423"/>
      <c r="O89" s="423"/>
      <c r="P89" s="197"/>
      <c r="Q89" s="195"/>
      <c r="R89" s="195"/>
      <c r="S89" s="197" t="e">
        <f t="shared" si="51"/>
        <v>#N/A</v>
      </c>
      <c r="T89" s="429"/>
      <c r="U89" s="197"/>
      <c r="V89" s="195"/>
      <c r="W89" s="195"/>
      <c r="X89" s="197" t="e">
        <f t="shared" si="52"/>
        <v>#N/A</v>
      </c>
      <c r="Y89" s="429"/>
      <c r="Z89" s="197"/>
      <c r="AA89" s="195"/>
      <c r="AB89" s="195"/>
      <c r="AC89" s="197" t="e">
        <f t="shared" si="53"/>
        <v>#N/A</v>
      </c>
      <c r="AD89" s="429"/>
      <c r="AE89" s="197"/>
      <c r="AF89" s="195"/>
      <c r="AG89" s="195"/>
      <c r="AH89" s="197" t="e">
        <f t="shared" si="54"/>
        <v>#N/A</v>
      </c>
      <c r="AI89" s="429"/>
      <c r="AJ89" s="197"/>
      <c r="AK89" s="195"/>
      <c r="AL89" s="195"/>
      <c r="AM89" s="197" t="e">
        <f t="shared" si="55"/>
        <v>#N/A</v>
      </c>
      <c r="AN89" s="429"/>
      <c r="AO89" s="197"/>
      <c r="AP89" s="195"/>
      <c r="AQ89" s="195"/>
      <c r="AR89" s="197" t="e">
        <f t="shared" si="56"/>
        <v>#N/A</v>
      </c>
      <c r="AS89" s="429"/>
      <c r="AT89" s="197"/>
      <c r="AU89" s="195"/>
      <c r="AV89" s="195"/>
      <c r="AW89" s="197" t="e">
        <f t="shared" si="57"/>
        <v>#N/A</v>
      </c>
      <c r="AX89" s="432"/>
    </row>
    <row r="90" spans="2:50">
      <c r="B90" s="422"/>
      <c r="C90" s="197">
        <v>4</v>
      </c>
      <c r="D90" s="225"/>
      <c r="E90" s="169"/>
      <c r="F90" s="197"/>
      <c r="G90" s="195"/>
      <c r="H90" s="429"/>
      <c r="I90" s="169" t="e">
        <f t="shared" si="50"/>
        <v>#DIV/0!</v>
      </c>
      <c r="J90" s="169" t="e">
        <f t="shared" si="50"/>
        <v>#DIV/0!</v>
      </c>
      <c r="K90" s="195" t="e">
        <f t="shared" si="50"/>
        <v>#DIV/0!</v>
      </c>
      <c r="L90" s="429"/>
      <c r="M90" s="196" t="e">
        <f>RANK(K90, K$87:$K$101)</f>
        <v>#DIV/0!</v>
      </c>
      <c r="N90" s="423"/>
      <c r="O90" s="423"/>
      <c r="P90" s="197"/>
      <c r="Q90" s="195"/>
      <c r="R90" s="195"/>
      <c r="S90" s="197" t="e">
        <f t="shared" si="51"/>
        <v>#N/A</v>
      </c>
      <c r="T90" s="429"/>
      <c r="U90" s="197"/>
      <c r="V90" s="195"/>
      <c r="W90" s="195"/>
      <c r="X90" s="197" t="e">
        <f t="shared" si="52"/>
        <v>#N/A</v>
      </c>
      <c r="Y90" s="429"/>
      <c r="Z90" s="197"/>
      <c r="AA90" s="195"/>
      <c r="AB90" s="195"/>
      <c r="AC90" s="197" t="e">
        <f t="shared" si="53"/>
        <v>#N/A</v>
      </c>
      <c r="AD90" s="429"/>
      <c r="AE90" s="197"/>
      <c r="AF90" s="195"/>
      <c r="AG90" s="195"/>
      <c r="AH90" s="197" t="e">
        <f t="shared" si="54"/>
        <v>#N/A</v>
      </c>
      <c r="AI90" s="429"/>
      <c r="AJ90" s="197"/>
      <c r="AK90" s="195"/>
      <c r="AL90" s="195"/>
      <c r="AM90" s="197" t="e">
        <f t="shared" si="55"/>
        <v>#N/A</v>
      </c>
      <c r="AN90" s="429"/>
      <c r="AO90" s="197"/>
      <c r="AP90" s="195"/>
      <c r="AQ90" s="195"/>
      <c r="AR90" s="197" t="e">
        <f t="shared" si="56"/>
        <v>#N/A</v>
      </c>
      <c r="AS90" s="429"/>
      <c r="AT90" s="197"/>
      <c r="AU90" s="195"/>
      <c r="AV90" s="195"/>
      <c r="AW90" s="197" t="e">
        <f t="shared" si="57"/>
        <v>#N/A</v>
      </c>
      <c r="AX90" s="432"/>
    </row>
    <row r="91" spans="2:50">
      <c r="B91" s="422"/>
      <c r="C91" s="197">
        <v>5</v>
      </c>
      <c r="D91" s="225"/>
      <c r="E91" s="169"/>
      <c r="F91" s="197"/>
      <c r="G91" s="195"/>
      <c r="H91" s="429"/>
      <c r="I91" s="169" t="e">
        <f t="shared" si="50"/>
        <v>#DIV/0!</v>
      </c>
      <c r="J91" s="169" t="e">
        <f t="shared" si="50"/>
        <v>#DIV/0!</v>
      </c>
      <c r="K91" s="195" t="e">
        <f t="shared" si="50"/>
        <v>#DIV/0!</v>
      </c>
      <c r="L91" s="429"/>
      <c r="M91" s="196" t="e">
        <f>RANK(K91, K$87:$K$101)</f>
        <v>#DIV/0!</v>
      </c>
      <c r="N91" s="423"/>
      <c r="O91" s="423"/>
      <c r="P91" s="197"/>
      <c r="Q91" s="195"/>
      <c r="R91" s="195"/>
      <c r="S91" s="197" t="e">
        <f t="shared" si="51"/>
        <v>#N/A</v>
      </c>
      <c r="T91" s="429"/>
      <c r="U91" s="197"/>
      <c r="V91" s="195"/>
      <c r="W91" s="195"/>
      <c r="X91" s="197" t="e">
        <f t="shared" si="52"/>
        <v>#N/A</v>
      </c>
      <c r="Y91" s="429"/>
      <c r="Z91" s="197"/>
      <c r="AA91" s="195"/>
      <c r="AB91" s="195"/>
      <c r="AC91" s="197" t="e">
        <f t="shared" si="53"/>
        <v>#N/A</v>
      </c>
      <c r="AD91" s="429"/>
      <c r="AE91" s="197"/>
      <c r="AF91" s="195"/>
      <c r="AG91" s="195"/>
      <c r="AH91" s="197" t="e">
        <f t="shared" si="54"/>
        <v>#N/A</v>
      </c>
      <c r="AI91" s="429"/>
      <c r="AJ91" s="197"/>
      <c r="AK91" s="195"/>
      <c r="AL91" s="195"/>
      <c r="AM91" s="197" t="e">
        <f t="shared" si="55"/>
        <v>#N/A</v>
      </c>
      <c r="AN91" s="429"/>
      <c r="AO91" s="197"/>
      <c r="AP91" s="195"/>
      <c r="AQ91" s="195"/>
      <c r="AR91" s="197" t="e">
        <f t="shared" si="56"/>
        <v>#N/A</v>
      </c>
      <c r="AS91" s="429"/>
      <c r="AT91" s="197"/>
      <c r="AU91" s="195"/>
      <c r="AV91" s="195"/>
      <c r="AW91" s="197" t="e">
        <f t="shared" si="57"/>
        <v>#N/A</v>
      </c>
      <c r="AX91" s="432"/>
    </row>
    <row r="92" spans="2:50">
      <c r="B92" s="422"/>
      <c r="C92" s="197">
        <v>6</v>
      </c>
      <c r="D92" s="225"/>
      <c r="E92" s="169"/>
      <c r="F92" s="197"/>
      <c r="G92" s="195"/>
      <c r="H92" s="429"/>
      <c r="I92" s="169"/>
      <c r="J92" s="169"/>
      <c r="K92" s="195"/>
      <c r="L92" s="429"/>
      <c r="M92" s="196" t="e">
        <f>RANK(K92, K$87:$K$101)</f>
        <v>#DIV/0!</v>
      </c>
      <c r="N92" s="423"/>
      <c r="O92" s="423"/>
      <c r="P92" s="197"/>
      <c r="Q92" s="195"/>
      <c r="R92" s="195"/>
      <c r="S92" s="197" t="e">
        <f t="shared" si="51"/>
        <v>#N/A</v>
      </c>
      <c r="T92" s="429"/>
      <c r="U92" s="197"/>
      <c r="V92" s="195"/>
      <c r="W92" s="195"/>
      <c r="X92" s="197" t="e">
        <f t="shared" si="52"/>
        <v>#N/A</v>
      </c>
      <c r="Y92" s="429"/>
      <c r="Z92" s="197"/>
      <c r="AA92" s="195"/>
      <c r="AB92" s="195"/>
      <c r="AC92" s="197" t="e">
        <f t="shared" si="53"/>
        <v>#N/A</v>
      </c>
      <c r="AD92" s="429"/>
      <c r="AE92" s="197"/>
      <c r="AF92" s="195"/>
      <c r="AG92" s="195"/>
      <c r="AH92" s="197" t="e">
        <f t="shared" si="54"/>
        <v>#N/A</v>
      </c>
      <c r="AI92" s="429"/>
      <c r="AJ92" s="197"/>
      <c r="AK92" s="195"/>
      <c r="AL92" s="195"/>
      <c r="AM92" s="197" t="e">
        <f t="shared" si="55"/>
        <v>#N/A</v>
      </c>
      <c r="AN92" s="429"/>
      <c r="AO92" s="197"/>
      <c r="AP92" s="195"/>
      <c r="AQ92" s="195"/>
      <c r="AR92" s="197" t="e">
        <f t="shared" si="56"/>
        <v>#N/A</v>
      </c>
      <c r="AS92" s="429"/>
      <c r="AT92" s="197"/>
      <c r="AU92" s="195"/>
      <c r="AV92" s="195"/>
      <c r="AW92" s="197" t="e">
        <f t="shared" si="57"/>
        <v>#N/A</v>
      </c>
      <c r="AX92" s="432"/>
    </row>
    <row r="93" spans="2:50">
      <c r="B93" s="422"/>
      <c r="C93" s="197">
        <v>7</v>
      </c>
      <c r="D93" s="225"/>
      <c r="E93" s="169"/>
      <c r="F93" s="197"/>
      <c r="G93" s="195"/>
      <c r="H93" s="429"/>
      <c r="I93" s="169"/>
      <c r="J93" s="169"/>
      <c r="K93" s="195"/>
      <c r="L93" s="429"/>
      <c r="M93" s="196" t="e">
        <f>RANK(K93, K$87:$K$101)</f>
        <v>#DIV/0!</v>
      </c>
      <c r="N93" s="423"/>
      <c r="O93" s="423"/>
      <c r="P93" s="197"/>
      <c r="Q93" s="195"/>
      <c r="R93" s="195"/>
      <c r="S93" s="197" t="e">
        <f t="shared" si="51"/>
        <v>#N/A</v>
      </c>
      <c r="T93" s="429"/>
      <c r="U93" s="197"/>
      <c r="V93" s="195"/>
      <c r="W93" s="195"/>
      <c r="X93" s="197" t="e">
        <f t="shared" si="52"/>
        <v>#N/A</v>
      </c>
      <c r="Y93" s="429"/>
      <c r="Z93" s="197"/>
      <c r="AA93" s="195"/>
      <c r="AB93" s="195"/>
      <c r="AC93" s="197" t="e">
        <f t="shared" si="53"/>
        <v>#N/A</v>
      </c>
      <c r="AD93" s="429"/>
      <c r="AE93" s="197"/>
      <c r="AF93" s="195"/>
      <c r="AG93" s="195"/>
      <c r="AH93" s="197" t="e">
        <f t="shared" si="54"/>
        <v>#N/A</v>
      </c>
      <c r="AI93" s="429"/>
      <c r="AJ93" s="197"/>
      <c r="AK93" s="195"/>
      <c r="AL93" s="195"/>
      <c r="AM93" s="197" t="e">
        <f t="shared" si="55"/>
        <v>#N/A</v>
      </c>
      <c r="AN93" s="429"/>
      <c r="AO93" s="197"/>
      <c r="AP93" s="195"/>
      <c r="AQ93" s="195"/>
      <c r="AR93" s="197" t="e">
        <f t="shared" si="56"/>
        <v>#N/A</v>
      </c>
      <c r="AS93" s="429"/>
      <c r="AT93" s="197"/>
      <c r="AU93" s="195"/>
      <c r="AV93" s="195"/>
      <c r="AW93" s="197" t="e">
        <f t="shared" si="57"/>
        <v>#N/A</v>
      </c>
      <c r="AX93" s="432"/>
    </row>
    <row r="94" spans="2:50">
      <c r="B94" s="422"/>
      <c r="C94" s="197">
        <v>8</v>
      </c>
      <c r="D94" s="225"/>
      <c r="E94" s="169"/>
      <c r="F94" s="197"/>
      <c r="G94" s="195"/>
      <c r="H94" s="429"/>
      <c r="I94" s="169"/>
      <c r="J94" s="169"/>
      <c r="K94" s="195"/>
      <c r="L94" s="429"/>
      <c r="M94" s="196" t="e">
        <f>RANK(K94, K$87:$K$101)</f>
        <v>#DIV/0!</v>
      </c>
      <c r="N94" s="423"/>
      <c r="O94" s="423"/>
      <c r="P94" s="197"/>
      <c r="Q94" s="195"/>
      <c r="R94" s="195"/>
      <c r="S94" s="197" t="e">
        <f t="shared" si="51"/>
        <v>#N/A</v>
      </c>
      <c r="T94" s="429"/>
      <c r="U94" s="197"/>
      <c r="V94" s="195"/>
      <c r="W94" s="195"/>
      <c r="X94" s="197" t="e">
        <f t="shared" si="52"/>
        <v>#N/A</v>
      </c>
      <c r="Y94" s="429"/>
      <c r="Z94" s="197"/>
      <c r="AA94" s="195"/>
      <c r="AB94" s="195"/>
      <c r="AC94" s="197" t="e">
        <f t="shared" si="53"/>
        <v>#N/A</v>
      </c>
      <c r="AD94" s="429"/>
      <c r="AE94" s="197"/>
      <c r="AF94" s="195"/>
      <c r="AG94" s="195"/>
      <c r="AH94" s="197" t="e">
        <f t="shared" si="54"/>
        <v>#N/A</v>
      </c>
      <c r="AI94" s="429"/>
      <c r="AJ94" s="197"/>
      <c r="AK94" s="195"/>
      <c r="AL94" s="195"/>
      <c r="AM94" s="197" t="e">
        <f t="shared" si="55"/>
        <v>#N/A</v>
      </c>
      <c r="AN94" s="429"/>
      <c r="AO94" s="197"/>
      <c r="AP94" s="195"/>
      <c r="AQ94" s="195"/>
      <c r="AR94" s="197" t="e">
        <f t="shared" si="56"/>
        <v>#N/A</v>
      </c>
      <c r="AS94" s="429"/>
      <c r="AT94" s="197"/>
      <c r="AU94" s="195"/>
      <c r="AV94" s="195"/>
      <c r="AW94" s="197" t="e">
        <f t="shared" si="57"/>
        <v>#N/A</v>
      </c>
      <c r="AX94" s="432"/>
    </row>
    <row r="95" spans="2:50">
      <c r="B95" s="422"/>
      <c r="C95" s="197">
        <v>9</v>
      </c>
      <c r="D95" s="225"/>
      <c r="E95" s="169"/>
      <c r="F95" s="197"/>
      <c r="G95" s="195"/>
      <c r="H95" s="429"/>
      <c r="I95" s="169"/>
      <c r="J95" s="169"/>
      <c r="K95" s="195"/>
      <c r="L95" s="429"/>
      <c r="M95" s="196" t="e">
        <f>RANK(K95, K$87:$K$101)</f>
        <v>#DIV/0!</v>
      </c>
      <c r="N95" s="423"/>
      <c r="O95" s="423"/>
      <c r="P95" s="197"/>
      <c r="Q95" s="195"/>
      <c r="R95" s="195"/>
      <c r="S95" s="197" t="e">
        <f t="shared" si="51"/>
        <v>#N/A</v>
      </c>
      <c r="T95" s="429"/>
      <c r="U95" s="197"/>
      <c r="V95" s="195"/>
      <c r="W95" s="195"/>
      <c r="X95" s="197" t="e">
        <f t="shared" si="52"/>
        <v>#N/A</v>
      </c>
      <c r="Y95" s="429"/>
      <c r="Z95" s="197"/>
      <c r="AA95" s="195"/>
      <c r="AB95" s="195"/>
      <c r="AC95" s="197" t="e">
        <f t="shared" si="53"/>
        <v>#N/A</v>
      </c>
      <c r="AD95" s="429"/>
      <c r="AE95" s="197"/>
      <c r="AF95" s="195"/>
      <c r="AG95" s="195"/>
      <c r="AH95" s="197" t="e">
        <f t="shared" si="54"/>
        <v>#N/A</v>
      </c>
      <c r="AI95" s="429"/>
      <c r="AJ95" s="197"/>
      <c r="AK95" s="195"/>
      <c r="AL95" s="195"/>
      <c r="AM95" s="197" t="e">
        <f t="shared" si="55"/>
        <v>#N/A</v>
      </c>
      <c r="AN95" s="429"/>
      <c r="AO95" s="197"/>
      <c r="AP95" s="195"/>
      <c r="AQ95" s="195"/>
      <c r="AR95" s="197" t="e">
        <f t="shared" si="56"/>
        <v>#N/A</v>
      </c>
      <c r="AS95" s="429"/>
      <c r="AT95" s="197"/>
      <c r="AU95" s="195"/>
      <c r="AV95" s="195"/>
      <c r="AW95" s="197" t="e">
        <f t="shared" si="57"/>
        <v>#N/A</v>
      </c>
      <c r="AX95" s="432"/>
    </row>
    <row r="96" spans="2:50">
      <c r="B96" s="422"/>
      <c r="C96" s="197">
        <v>10</v>
      </c>
      <c r="D96" s="225"/>
      <c r="E96" s="169"/>
      <c r="F96" s="197"/>
      <c r="G96" s="195"/>
      <c r="H96" s="429"/>
      <c r="I96" s="169"/>
      <c r="J96" s="169"/>
      <c r="K96" s="195"/>
      <c r="L96" s="429"/>
      <c r="M96" s="196" t="e">
        <f>RANK(K96, K$87:$K$101)</f>
        <v>#DIV/0!</v>
      </c>
      <c r="N96" s="423"/>
      <c r="O96" s="423"/>
      <c r="P96" s="197"/>
      <c r="Q96" s="197"/>
      <c r="R96" s="195"/>
      <c r="S96" s="197" t="e">
        <f t="shared" si="51"/>
        <v>#N/A</v>
      </c>
      <c r="T96" s="429"/>
      <c r="U96" s="197"/>
      <c r="V96" s="197"/>
      <c r="W96" s="195"/>
      <c r="X96" s="197" t="e">
        <f t="shared" si="52"/>
        <v>#N/A</v>
      </c>
      <c r="Y96" s="429"/>
      <c r="Z96" s="197"/>
      <c r="AA96" s="197"/>
      <c r="AB96" s="195"/>
      <c r="AC96" s="197" t="e">
        <f t="shared" si="53"/>
        <v>#N/A</v>
      </c>
      <c r="AD96" s="429"/>
      <c r="AE96" s="197"/>
      <c r="AF96" s="197"/>
      <c r="AG96" s="195"/>
      <c r="AH96" s="197" t="e">
        <f t="shared" si="54"/>
        <v>#N/A</v>
      </c>
      <c r="AI96" s="429"/>
      <c r="AJ96" s="197"/>
      <c r="AK96" s="197"/>
      <c r="AL96" s="195"/>
      <c r="AM96" s="197" t="e">
        <f t="shared" si="55"/>
        <v>#N/A</v>
      </c>
      <c r="AN96" s="429"/>
      <c r="AO96" s="197"/>
      <c r="AP96" s="197"/>
      <c r="AQ96" s="195"/>
      <c r="AR96" s="197" t="e">
        <f t="shared" si="56"/>
        <v>#N/A</v>
      </c>
      <c r="AS96" s="429"/>
      <c r="AT96" s="197"/>
      <c r="AU96" s="197"/>
      <c r="AV96" s="195"/>
      <c r="AW96" s="197" t="e">
        <f t="shared" si="57"/>
        <v>#N/A</v>
      </c>
      <c r="AX96" s="432"/>
    </row>
    <row r="97" spans="2:50">
      <c r="B97" s="422"/>
      <c r="C97" s="197">
        <v>11</v>
      </c>
      <c r="D97" s="225"/>
      <c r="E97" s="169"/>
      <c r="F97" s="197"/>
      <c r="G97" s="195"/>
      <c r="H97" s="429"/>
      <c r="I97" s="197"/>
      <c r="J97" s="197"/>
      <c r="K97" s="197"/>
      <c r="L97" s="429"/>
      <c r="M97" s="196" t="e">
        <f>RANK(K97, K$87:$K$101)</f>
        <v>#DIV/0!</v>
      </c>
      <c r="N97" s="423"/>
      <c r="O97" s="423"/>
      <c r="P97" s="197"/>
      <c r="Q97" s="197"/>
      <c r="R97" s="197"/>
      <c r="S97" s="197" t="e">
        <f t="shared" si="51"/>
        <v>#N/A</v>
      </c>
      <c r="T97" s="429"/>
      <c r="U97" s="197"/>
      <c r="V97" s="197"/>
      <c r="W97" s="197"/>
      <c r="X97" s="197" t="e">
        <f t="shared" si="52"/>
        <v>#N/A</v>
      </c>
      <c r="Y97" s="429"/>
      <c r="Z97" s="197"/>
      <c r="AA97" s="197"/>
      <c r="AB97" s="197"/>
      <c r="AC97" s="197" t="e">
        <f t="shared" si="53"/>
        <v>#N/A</v>
      </c>
      <c r="AD97" s="429"/>
      <c r="AE97" s="197"/>
      <c r="AF97" s="197"/>
      <c r="AG97" s="197"/>
      <c r="AH97" s="197" t="e">
        <f t="shared" si="54"/>
        <v>#N/A</v>
      </c>
      <c r="AI97" s="429"/>
      <c r="AJ97" s="197"/>
      <c r="AK97" s="197"/>
      <c r="AL97" s="197"/>
      <c r="AM97" s="197" t="e">
        <f t="shared" si="55"/>
        <v>#N/A</v>
      </c>
      <c r="AN97" s="429"/>
      <c r="AO97" s="197"/>
      <c r="AP97" s="197"/>
      <c r="AQ97" s="197"/>
      <c r="AR97" s="197" t="e">
        <f t="shared" si="56"/>
        <v>#N/A</v>
      </c>
      <c r="AS97" s="429"/>
      <c r="AT97" s="197"/>
      <c r="AU97" s="197"/>
      <c r="AV97" s="197"/>
      <c r="AW97" s="197" t="e">
        <f t="shared" si="57"/>
        <v>#N/A</v>
      </c>
      <c r="AX97" s="432"/>
    </row>
    <row r="98" spans="2:50">
      <c r="B98" s="422"/>
      <c r="C98" s="197">
        <v>12</v>
      </c>
      <c r="D98" s="225"/>
      <c r="E98" s="169"/>
      <c r="F98" s="197"/>
      <c r="G98" s="195"/>
      <c r="H98" s="429"/>
      <c r="I98" s="197"/>
      <c r="J98" s="197"/>
      <c r="K98" s="197"/>
      <c r="L98" s="429"/>
      <c r="M98" s="196" t="e">
        <f>RANK(K98, K$87:$K$101)</f>
        <v>#DIV/0!</v>
      </c>
      <c r="N98" s="423"/>
      <c r="O98" s="423"/>
      <c r="P98" s="197"/>
      <c r="Q98" s="197"/>
      <c r="R98" s="197"/>
      <c r="S98" s="197" t="e">
        <f t="shared" si="51"/>
        <v>#N/A</v>
      </c>
      <c r="T98" s="429"/>
      <c r="U98" s="197"/>
      <c r="V98" s="197"/>
      <c r="W98" s="197"/>
      <c r="X98" s="197" t="e">
        <f t="shared" si="52"/>
        <v>#N/A</v>
      </c>
      <c r="Y98" s="429"/>
      <c r="Z98" s="197"/>
      <c r="AA98" s="197"/>
      <c r="AB98" s="197"/>
      <c r="AC98" s="197" t="e">
        <f t="shared" si="53"/>
        <v>#N/A</v>
      </c>
      <c r="AD98" s="429"/>
      <c r="AE98" s="197"/>
      <c r="AF98" s="197"/>
      <c r="AG98" s="197"/>
      <c r="AH98" s="197" t="e">
        <f t="shared" si="54"/>
        <v>#N/A</v>
      </c>
      <c r="AI98" s="429"/>
      <c r="AJ98" s="197"/>
      <c r="AK98" s="197"/>
      <c r="AL98" s="197"/>
      <c r="AM98" s="197" t="e">
        <f t="shared" si="55"/>
        <v>#N/A</v>
      </c>
      <c r="AN98" s="429"/>
      <c r="AO98" s="197"/>
      <c r="AP98" s="197"/>
      <c r="AQ98" s="197"/>
      <c r="AR98" s="197" t="e">
        <f t="shared" si="56"/>
        <v>#N/A</v>
      </c>
      <c r="AS98" s="429"/>
      <c r="AT98" s="197"/>
      <c r="AU98" s="197"/>
      <c r="AV98" s="197"/>
      <c r="AW98" s="197" t="e">
        <f t="shared" si="57"/>
        <v>#N/A</v>
      </c>
      <c r="AX98" s="432"/>
    </row>
    <row r="99" spans="2:50">
      <c r="B99" s="422"/>
      <c r="C99" s="197">
        <v>13</v>
      </c>
      <c r="D99" s="225"/>
      <c r="E99" s="169"/>
      <c r="F99" s="197"/>
      <c r="G99" s="195"/>
      <c r="H99" s="429"/>
      <c r="I99" s="197"/>
      <c r="J99" s="197"/>
      <c r="K99" s="197"/>
      <c r="L99" s="429"/>
      <c r="M99" s="196" t="e">
        <f>RANK(K99, K$87:$K$101)</f>
        <v>#DIV/0!</v>
      </c>
      <c r="N99" s="423"/>
      <c r="O99" s="423"/>
      <c r="P99" s="197"/>
      <c r="Q99" s="197"/>
      <c r="R99" s="197"/>
      <c r="S99" s="197" t="e">
        <f t="shared" si="51"/>
        <v>#N/A</v>
      </c>
      <c r="T99" s="429"/>
      <c r="U99" s="197"/>
      <c r="V99" s="197"/>
      <c r="W99" s="197"/>
      <c r="X99" s="197" t="e">
        <f t="shared" si="52"/>
        <v>#N/A</v>
      </c>
      <c r="Y99" s="429"/>
      <c r="Z99" s="197"/>
      <c r="AA99" s="197"/>
      <c r="AB99" s="197"/>
      <c r="AC99" s="197" t="e">
        <f t="shared" si="53"/>
        <v>#N/A</v>
      </c>
      <c r="AD99" s="429"/>
      <c r="AE99" s="197"/>
      <c r="AF99" s="197"/>
      <c r="AG99" s="197"/>
      <c r="AH99" s="197" t="e">
        <f t="shared" si="54"/>
        <v>#N/A</v>
      </c>
      <c r="AI99" s="429"/>
      <c r="AJ99" s="197"/>
      <c r="AK99" s="197"/>
      <c r="AL99" s="197"/>
      <c r="AM99" s="197" t="e">
        <f t="shared" si="55"/>
        <v>#N/A</v>
      </c>
      <c r="AN99" s="429"/>
      <c r="AO99" s="197"/>
      <c r="AP99" s="197"/>
      <c r="AQ99" s="197"/>
      <c r="AR99" s="197" t="e">
        <f t="shared" si="56"/>
        <v>#N/A</v>
      </c>
      <c r="AS99" s="429"/>
      <c r="AT99" s="197"/>
      <c r="AU99" s="197"/>
      <c r="AV99" s="197"/>
      <c r="AW99" s="197" t="e">
        <f t="shared" si="57"/>
        <v>#N/A</v>
      </c>
      <c r="AX99" s="432"/>
    </row>
    <row r="100" spans="2:50">
      <c r="B100" s="422"/>
      <c r="C100" s="197">
        <v>14</v>
      </c>
      <c r="D100" s="225"/>
      <c r="E100" s="169"/>
      <c r="F100" s="197"/>
      <c r="G100" s="195"/>
      <c r="H100" s="429"/>
      <c r="I100" s="197"/>
      <c r="J100" s="197"/>
      <c r="K100" s="197"/>
      <c r="L100" s="429"/>
      <c r="M100" s="196" t="e">
        <f>RANK(K100, K$87:$K$101)</f>
        <v>#DIV/0!</v>
      </c>
      <c r="N100" s="423"/>
      <c r="O100" s="423"/>
      <c r="P100" s="197"/>
      <c r="Q100" s="197"/>
      <c r="R100" s="197"/>
      <c r="S100" s="197" t="e">
        <f t="shared" si="51"/>
        <v>#N/A</v>
      </c>
      <c r="T100" s="429"/>
      <c r="U100" s="197"/>
      <c r="V100" s="197"/>
      <c r="W100" s="197"/>
      <c r="X100" s="197" t="e">
        <f t="shared" si="52"/>
        <v>#N/A</v>
      </c>
      <c r="Y100" s="429"/>
      <c r="Z100" s="197"/>
      <c r="AA100" s="197"/>
      <c r="AB100" s="197"/>
      <c r="AC100" s="197" t="e">
        <f t="shared" si="53"/>
        <v>#N/A</v>
      </c>
      <c r="AD100" s="429"/>
      <c r="AE100" s="197"/>
      <c r="AF100" s="197"/>
      <c r="AG100" s="197"/>
      <c r="AH100" s="197" t="e">
        <f t="shared" si="54"/>
        <v>#N/A</v>
      </c>
      <c r="AI100" s="429"/>
      <c r="AJ100" s="197"/>
      <c r="AK100" s="197"/>
      <c r="AL100" s="197"/>
      <c r="AM100" s="197" t="e">
        <f t="shared" si="55"/>
        <v>#N/A</v>
      </c>
      <c r="AN100" s="429"/>
      <c r="AO100" s="197"/>
      <c r="AP100" s="197"/>
      <c r="AQ100" s="197"/>
      <c r="AR100" s="197" t="e">
        <f t="shared" si="56"/>
        <v>#N/A</v>
      </c>
      <c r="AS100" s="429"/>
      <c r="AT100" s="197"/>
      <c r="AU100" s="197"/>
      <c r="AV100" s="197"/>
      <c r="AW100" s="197" t="e">
        <f t="shared" si="57"/>
        <v>#N/A</v>
      </c>
      <c r="AX100" s="432"/>
    </row>
    <row r="101" spans="2:50">
      <c r="B101" s="422"/>
      <c r="C101" s="197">
        <v>15</v>
      </c>
      <c r="D101" s="225"/>
      <c r="E101" s="169"/>
      <c r="F101" s="197"/>
      <c r="G101" s="195"/>
      <c r="H101" s="430"/>
      <c r="I101" s="197"/>
      <c r="J101" s="197"/>
      <c r="K101" s="197"/>
      <c r="L101" s="430"/>
      <c r="M101" s="169" t="e">
        <f>RANK(K101, K$87:$K$101)</f>
        <v>#DIV/0!</v>
      </c>
      <c r="N101" s="423"/>
      <c r="O101" s="423"/>
      <c r="P101" s="197"/>
      <c r="Q101" s="197"/>
      <c r="R101" s="197"/>
      <c r="S101" s="197" t="e">
        <f t="shared" si="51"/>
        <v>#N/A</v>
      </c>
      <c r="T101" s="430"/>
      <c r="U101" s="197"/>
      <c r="V101" s="197"/>
      <c r="W101" s="197"/>
      <c r="X101" s="197" t="e">
        <f t="shared" si="52"/>
        <v>#N/A</v>
      </c>
      <c r="Y101" s="430"/>
      <c r="Z101" s="197"/>
      <c r="AA101" s="197"/>
      <c r="AB101" s="197"/>
      <c r="AC101" s="197" t="e">
        <f t="shared" si="53"/>
        <v>#N/A</v>
      </c>
      <c r="AD101" s="430"/>
      <c r="AE101" s="197"/>
      <c r="AF101" s="197"/>
      <c r="AG101" s="197"/>
      <c r="AH101" s="197" t="e">
        <f t="shared" si="54"/>
        <v>#N/A</v>
      </c>
      <c r="AI101" s="430"/>
      <c r="AJ101" s="197"/>
      <c r="AK101" s="197"/>
      <c r="AL101" s="197"/>
      <c r="AM101" s="197" t="e">
        <f t="shared" si="55"/>
        <v>#N/A</v>
      </c>
      <c r="AN101" s="430"/>
      <c r="AO101" s="197"/>
      <c r="AP101" s="197"/>
      <c r="AQ101" s="197"/>
      <c r="AR101" s="197" t="e">
        <f t="shared" si="56"/>
        <v>#N/A</v>
      </c>
      <c r="AS101" s="430"/>
      <c r="AT101" s="197"/>
      <c r="AU101" s="197"/>
      <c r="AV101" s="197"/>
      <c r="AW101" s="197" t="e">
        <f t="shared" si="57"/>
        <v>#N/A</v>
      </c>
      <c r="AX101" s="432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101"/>
  <sheetViews>
    <sheetView topLeftCell="A19" zoomScale="50" zoomScaleNormal="50" workbookViewId="0">
      <pane xSplit="15" topLeftCell="P1" activePane="topRight" state="frozen"/>
      <selection pane="topRight" activeCell="AE54" sqref="AE54"/>
      <selection sqref="A1:L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15" t="s">
        <v>246</v>
      </c>
      <c r="C1" s="102">
        <f>AVERAGE(L7,L27,L47,L67,L87)</f>
        <v>112.09351175399559</v>
      </c>
    </row>
    <row r="2" spans="1:50" ht="15.75">
      <c r="A2" s="79"/>
      <c r="B2" s="396" t="s">
        <v>202</v>
      </c>
      <c r="C2" s="396"/>
      <c r="D2" s="396"/>
      <c r="E2" s="396"/>
      <c r="F2" s="396"/>
      <c r="G2" s="396"/>
      <c r="H2" s="396"/>
      <c r="I2" s="198"/>
      <c r="J2" s="198"/>
      <c r="K2" s="198"/>
      <c r="L2" s="198"/>
      <c r="M2" s="193"/>
      <c r="N2" s="401" t="s">
        <v>203</v>
      </c>
      <c r="O2" s="401" t="s">
        <v>150</v>
      </c>
      <c r="P2" s="416">
        <v>45895</v>
      </c>
      <c r="Q2" s="417"/>
      <c r="R2" s="417"/>
      <c r="S2" s="417"/>
      <c r="T2" s="418"/>
      <c r="U2" s="421">
        <f>P2+1</f>
        <v>45896</v>
      </c>
      <c r="V2" s="422"/>
      <c r="W2" s="422"/>
      <c r="X2" s="422"/>
      <c r="Y2" s="422"/>
      <c r="Z2" s="421">
        <f>U2+1</f>
        <v>45897</v>
      </c>
      <c r="AA2" s="422"/>
      <c r="AB2" s="422"/>
      <c r="AC2" s="422"/>
      <c r="AD2" s="422"/>
      <c r="AE2" s="421">
        <f>Z2+1</f>
        <v>45898</v>
      </c>
      <c r="AF2" s="422"/>
      <c r="AG2" s="422"/>
      <c r="AH2" s="422"/>
      <c r="AI2" s="422"/>
      <c r="AJ2" s="421">
        <f>AE2+1</f>
        <v>45899</v>
      </c>
      <c r="AK2" s="422"/>
      <c r="AL2" s="422"/>
      <c r="AM2" s="422"/>
      <c r="AN2" s="422"/>
      <c r="AO2" s="421">
        <f>AJ2+1</f>
        <v>45900</v>
      </c>
      <c r="AP2" s="422"/>
      <c r="AQ2" s="422"/>
      <c r="AR2" s="422"/>
      <c r="AS2" s="422"/>
      <c r="AT2" s="421">
        <f>AO2+1</f>
        <v>45901</v>
      </c>
      <c r="AU2" s="422"/>
      <c r="AV2" s="422"/>
      <c r="AW2" s="422"/>
      <c r="AX2" s="422"/>
    </row>
    <row r="3" spans="1:50" ht="15.75">
      <c r="A3" s="79"/>
      <c r="B3" s="397"/>
      <c r="C3" s="397"/>
      <c r="D3" s="397"/>
      <c r="E3" s="397"/>
      <c r="F3" s="397"/>
      <c r="G3" s="397"/>
      <c r="H3" s="397"/>
      <c r="I3" s="199"/>
      <c r="J3" s="199"/>
      <c r="K3" s="199"/>
      <c r="L3" s="199"/>
      <c r="M3" s="194"/>
      <c r="N3" s="403"/>
      <c r="O3" s="403"/>
      <c r="P3" s="416" t="s">
        <v>204</v>
      </c>
      <c r="Q3" s="417"/>
      <c r="R3" s="417"/>
      <c r="S3" s="417"/>
      <c r="T3" s="418"/>
      <c r="U3" s="416" t="s">
        <v>205</v>
      </c>
      <c r="V3" s="417"/>
      <c r="W3" s="417"/>
      <c r="X3" s="417"/>
      <c r="Y3" s="418"/>
      <c r="Z3" s="416" t="s">
        <v>206</v>
      </c>
      <c r="AA3" s="417"/>
      <c r="AB3" s="417"/>
      <c r="AC3" s="417"/>
      <c r="AD3" s="418"/>
      <c r="AE3" s="416" t="s">
        <v>207</v>
      </c>
      <c r="AF3" s="417"/>
      <c r="AG3" s="417"/>
      <c r="AH3" s="417"/>
      <c r="AI3" s="418"/>
      <c r="AJ3" s="416" t="s">
        <v>208</v>
      </c>
      <c r="AK3" s="417"/>
      <c r="AL3" s="417"/>
      <c r="AM3" s="417"/>
      <c r="AN3" s="418"/>
      <c r="AO3" s="416" t="s">
        <v>157</v>
      </c>
      <c r="AP3" s="417"/>
      <c r="AQ3" s="417"/>
      <c r="AR3" s="417"/>
      <c r="AS3" s="418"/>
      <c r="AT3" s="416" t="s">
        <v>209</v>
      </c>
      <c r="AU3" s="417"/>
      <c r="AV3" s="417"/>
      <c r="AW3" s="417"/>
      <c r="AX3" s="418"/>
    </row>
    <row r="4" spans="1:50">
      <c r="A4" s="79"/>
      <c r="B4" s="423" t="s">
        <v>210</v>
      </c>
      <c r="C4" s="423" t="s">
        <v>211</v>
      </c>
      <c r="D4" s="423"/>
      <c r="E4" s="423" t="s">
        <v>212</v>
      </c>
      <c r="F4" s="423"/>
      <c r="G4" s="423"/>
      <c r="H4" s="404" t="s">
        <v>213</v>
      </c>
      <c r="I4" s="423" t="s">
        <v>214</v>
      </c>
      <c r="J4" s="423"/>
      <c r="K4" s="423"/>
      <c r="L4" s="404" t="s">
        <v>213</v>
      </c>
      <c r="M4" s="401" t="s">
        <v>215</v>
      </c>
      <c r="N4" s="423"/>
      <c r="O4" s="423" t="s">
        <v>216</v>
      </c>
      <c r="P4" s="413" t="s">
        <v>217</v>
      </c>
      <c r="Q4" s="414"/>
      <c r="R4" s="414"/>
      <c r="S4" s="415"/>
      <c r="T4" s="423" t="s">
        <v>213</v>
      </c>
      <c r="U4" s="413" t="s">
        <v>217</v>
      </c>
      <c r="V4" s="414"/>
      <c r="W4" s="414"/>
      <c r="X4" s="415"/>
      <c r="Y4" s="423" t="s">
        <v>213</v>
      </c>
      <c r="Z4" s="413" t="s">
        <v>217</v>
      </c>
      <c r="AA4" s="414"/>
      <c r="AB4" s="414"/>
      <c r="AC4" s="415"/>
      <c r="AD4" s="423" t="s">
        <v>213</v>
      </c>
      <c r="AE4" s="413" t="s">
        <v>217</v>
      </c>
      <c r="AF4" s="414"/>
      <c r="AG4" s="414"/>
      <c r="AH4" s="415"/>
      <c r="AI4" s="423" t="s">
        <v>213</v>
      </c>
      <c r="AJ4" s="413" t="s">
        <v>217</v>
      </c>
      <c r="AK4" s="414"/>
      <c r="AL4" s="414"/>
      <c r="AM4" s="415"/>
      <c r="AN4" s="423" t="s">
        <v>213</v>
      </c>
      <c r="AO4" s="413" t="s">
        <v>217</v>
      </c>
      <c r="AP4" s="414"/>
      <c r="AQ4" s="414"/>
      <c r="AR4" s="415"/>
      <c r="AS4" s="423" t="s">
        <v>213</v>
      </c>
      <c r="AT4" s="413" t="s">
        <v>217</v>
      </c>
      <c r="AU4" s="414"/>
      <c r="AV4" s="414"/>
      <c r="AW4" s="415"/>
      <c r="AX4" s="423" t="s">
        <v>213</v>
      </c>
    </row>
    <row r="5" spans="1:50">
      <c r="A5" s="79"/>
      <c r="B5" s="423"/>
      <c r="C5" s="423"/>
      <c r="D5" s="423"/>
      <c r="E5" s="423" t="s">
        <v>218</v>
      </c>
      <c r="F5" s="423"/>
      <c r="G5" s="423"/>
      <c r="H5" s="406"/>
      <c r="I5" s="423" t="s">
        <v>218</v>
      </c>
      <c r="J5" s="423"/>
      <c r="K5" s="423"/>
      <c r="L5" s="406"/>
      <c r="M5" s="402"/>
      <c r="N5" s="423"/>
      <c r="O5" s="423"/>
      <c r="P5" s="413" t="s">
        <v>219</v>
      </c>
      <c r="Q5" s="414"/>
      <c r="R5" s="414"/>
      <c r="S5" s="415"/>
      <c r="T5" s="423"/>
      <c r="U5" s="413" t="s">
        <v>219</v>
      </c>
      <c r="V5" s="414"/>
      <c r="W5" s="414"/>
      <c r="X5" s="415"/>
      <c r="Y5" s="423"/>
      <c r="Z5" s="413" t="s">
        <v>219</v>
      </c>
      <c r="AA5" s="414"/>
      <c r="AB5" s="414"/>
      <c r="AC5" s="415"/>
      <c r="AD5" s="423"/>
      <c r="AE5" s="413" t="s">
        <v>219</v>
      </c>
      <c r="AF5" s="414"/>
      <c r="AG5" s="414"/>
      <c r="AH5" s="415"/>
      <c r="AI5" s="423"/>
      <c r="AJ5" s="413" t="s">
        <v>219</v>
      </c>
      <c r="AK5" s="414"/>
      <c r="AL5" s="414"/>
      <c r="AM5" s="415"/>
      <c r="AN5" s="423"/>
      <c r="AO5" s="413" t="s">
        <v>219</v>
      </c>
      <c r="AP5" s="414"/>
      <c r="AQ5" s="414"/>
      <c r="AR5" s="415"/>
      <c r="AS5" s="423"/>
      <c r="AT5" s="413" t="s">
        <v>219</v>
      </c>
      <c r="AU5" s="414"/>
      <c r="AV5" s="414"/>
      <c r="AW5" s="415"/>
      <c r="AX5" s="423"/>
    </row>
    <row r="6" spans="1:50">
      <c r="A6" s="77"/>
      <c r="B6" s="423"/>
      <c r="C6" s="423"/>
      <c r="D6" s="423"/>
      <c r="E6" s="297" t="s">
        <v>220</v>
      </c>
      <c r="F6" s="297" t="s">
        <v>221</v>
      </c>
      <c r="G6" s="297" t="s">
        <v>222</v>
      </c>
      <c r="H6" s="408"/>
      <c r="I6" s="297" t="s">
        <v>220</v>
      </c>
      <c r="J6" s="297" t="s">
        <v>221</v>
      </c>
      <c r="K6" s="297" t="s">
        <v>222</v>
      </c>
      <c r="L6" s="408"/>
      <c r="M6" s="403"/>
      <c r="N6" s="423"/>
      <c r="O6" s="423"/>
      <c r="P6" s="297" t="s">
        <v>220</v>
      </c>
      <c r="Q6" s="297" t="s">
        <v>221</v>
      </c>
      <c r="R6" s="297" t="s">
        <v>222</v>
      </c>
      <c r="S6" s="297" t="s">
        <v>215</v>
      </c>
      <c r="T6" s="423"/>
      <c r="U6" s="297" t="s">
        <v>220</v>
      </c>
      <c r="V6" s="297" t="s">
        <v>221</v>
      </c>
      <c r="W6" s="297" t="s">
        <v>222</v>
      </c>
      <c r="X6" s="297" t="s">
        <v>215</v>
      </c>
      <c r="Y6" s="423"/>
      <c r="Z6" s="297" t="s">
        <v>220</v>
      </c>
      <c r="AA6" s="297" t="s">
        <v>221</v>
      </c>
      <c r="AB6" s="297" t="s">
        <v>222</v>
      </c>
      <c r="AC6" s="297" t="s">
        <v>215</v>
      </c>
      <c r="AD6" s="423"/>
      <c r="AE6" s="297" t="s">
        <v>220</v>
      </c>
      <c r="AF6" s="297" t="s">
        <v>221</v>
      </c>
      <c r="AG6" s="297" t="s">
        <v>222</v>
      </c>
      <c r="AH6" s="297" t="s">
        <v>215</v>
      </c>
      <c r="AI6" s="423"/>
      <c r="AJ6" s="297" t="s">
        <v>220</v>
      </c>
      <c r="AK6" s="297" t="s">
        <v>221</v>
      </c>
      <c r="AL6" s="297" t="s">
        <v>222</v>
      </c>
      <c r="AM6" s="297" t="s">
        <v>215</v>
      </c>
      <c r="AN6" s="423"/>
      <c r="AO6" s="297" t="s">
        <v>220</v>
      </c>
      <c r="AP6" s="297" t="s">
        <v>221</v>
      </c>
      <c r="AQ6" s="297" t="s">
        <v>222</v>
      </c>
      <c r="AR6" s="297" t="s">
        <v>215</v>
      </c>
      <c r="AS6" s="423"/>
      <c r="AT6" s="297" t="s">
        <v>220</v>
      </c>
      <c r="AU6" s="297" t="s">
        <v>221</v>
      </c>
      <c r="AV6" s="297" t="s">
        <v>222</v>
      </c>
      <c r="AW6" s="297" t="s">
        <v>215</v>
      </c>
      <c r="AX6" s="423"/>
    </row>
    <row r="7" spans="1:50">
      <c r="A7" s="79"/>
      <c r="B7" s="423" t="s">
        <v>191</v>
      </c>
      <c r="C7" s="197">
        <v>1</v>
      </c>
      <c r="D7" s="225" t="s">
        <v>319</v>
      </c>
      <c r="E7" s="169">
        <v>8</v>
      </c>
      <c r="F7" s="197">
        <v>1500</v>
      </c>
      <c r="G7" s="195">
        <v>187.5</v>
      </c>
      <c r="H7" s="428">
        <f>AVERAGE(G7:G21)</f>
        <v>117.22222222222221</v>
      </c>
      <c r="I7" s="169">
        <f>AVERAGE(P7,U7,Z7,AE7,AJ7,AO7,AT7)</f>
        <v>7.8571428571428568</v>
      </c>
      <c r="J7" s="169">
        <f>AVERAGE(Q7,V7,AA7,AF7,AK7,AP7,AU7)</f>
        <v>1205.6815396808463</v>
      </c>
      <c r="K7" s="195">
        <f>AVERAGE(R7,W7,AB7,AG7,AL7,AQ7,AV7)</f>
        <v>153.71643379158985</v>
      </c>
      <c r="L7" s="428">
        <f>IFERROR(AVERAGE(K7:K21),"-")</f>
        <v>105.26494753844464</v>
      </c>
      <c r="M7" s="196">
        <f>RANK(K7, K$7:$K$21)</f>
        <v>2</v>
      </c>
      <c r="N7" s="423"/>
      <c r="O7" s="423"/>
      <c r="P7" s="197">
        <v>8</v>
      </c>
      <c r="Q7" s="169">
        <v>1218.7499999999998</v>
      </c>
      <c r="R7" s="195">
        <v>152.34374999999997</v>
      </c>
      <c r="S7" s="197">
        <f t="shared" ref="S7:S21" si="0">RANK(R7, R$7:R$21)</f>
        <v>2</v>
      </c>
      <c r="T7" s="410">
        <f>AVERAGE(R7:R21)</f>
        <v>103.63656966326941</v>
      </c>
      <c r="U7" s="197">
        <v>8</v>
      </c>
      <c r="V7" s="169">
        <v>1185</v>
      </c>
      <c r="W7" s="195">
        <v>148.125</v>
      </c>
      <c r="X7" s="197">
        <f t="shared" ref="X7:X21" si="1">RANK(W7, W$7:W$21)</f>
        <v>2</v>
      </c>
      <c r="Y7" s="410">
        <f>AVERAGE(W7:W21)</f>
        <v>103.72009533620262</v>
      </c>
      <c r="Z7" s="197">
        <v>8</v>
      </c>
      <c r="AA7" s="169">
        <v>1203.7499999999998</v>
      </c>
      <c r="AB7" s="195">
        <v>150.46874999999997</v>
      </c>
      <c r="AC7" s="197">
        <f t="shared" ref="AC7:AC21" si="2">RANK(AB7, AB$7:AB$21)</f>
        <v>2</v>
      </c>
      <c r="AD7" s="410">
        <f>AVERAGE(AB7:AB21)</f>
        <v>105.14043248427963</v>
      </c>
      <c r="AE7" s="197">
        <v>8</v>
      </c>
      <c r="AF7" s="169">
        <v>1223.2941176470592</v>
      </c>
      <c r="AG7" s="195">
        <v>152.9117647058824</v>
      </c>
      <c r="AH7" s="197">
        <f t="shared" ref="AH7:AH21" si="3">RANK(AG7, AG$7:AG$21)</f>
        <v>2</v>
      </c>
      <c r="AI7" s="410">
        <f>AVERAGE(AG7:AG21)</f>
        <v>104.54166560186617</v>
      </c>
      <c r="AJ7" s="197">
        <v>8</v>
      </c>
      <c r="AK7" s="169">
        <v>1215.8241758241757</v>
      </c>
      <c r="AL7" s="195">
        <v>151.97802197802196</v>
      </c>
      <c r="AM7" s="197">
        <f t="shared" ref="AM7:AM21" si="4">RANK(AL7, AL$7:AL$21)</f>
        <v>2</v>
      </c>
      <c r="AN7" s="410">
        <f>AVERAGE(AL7:AL21)</f>
        <v>103.32722340495259</v>
      </c>
      <c r="AO7" s="197">
        <v>8</v>
      </c>
      <c r="AP7" s="169">
        <v>1214.7058823529412</v>
      </c>
      <c r="AQ7" s="195">
        <v>151.83823529411765</v>
      </c>
      <c r="AR7" s="197">
        <f t="shared" ref="AR7:AR21" si="5">RANK(AQ7, AQ$7:AQ$21)</f>
        <v>2</v>
      </c>
      <c r="AS7" s="410">
        <f>AVERAGE(AQ7:AQ21)</f>
        <v>104.91756863952122</v>
      </c>
      <c r="AT7" s="197">
        <v>7</v>
      </c>
      <c r="AU7" s="169">
        <v>1178.4466019417475</v>
      </c>
      <c r="AV7" s="195">
        <v>168.34951456310679</v>
      </c>
      <c r="AW7" s="197">
        <f t="shared" ref="AW7:AW21" si="6">RANK(AV7, AV$7:AV$21)</f>
        <v>2</v>
      </c>
      <c r="AX7" s="410">
        <f>AVERAGE(AV7:AV21)</f>
        <v>111.57107763902093</v>
      </c>
    </row>
    <row r="8" spans="1:50" ht="15" customHeight="1">
      <c r="A8" s="79"/>
      <c r="B8" s="422"/>
      <c r="C8" s="197">
        <v>2</v>
      </c>
      <c r="D8" s="225" t="s">
        <v>320</v>
      </c>
      <c r="E8" s="169">
        <v>15</v>
      </c>
      <c r="F8" s="197">
        <v>1500</v>
      </c>
      <c r="G8" s="195">
        <v>100</v>
      </c>
      <c r="H8" s="429"/>
      <c r="I8" s="169">
        <f t="shared" ref="I8:K12" si="7">AVERAGE(P8,U8,Z8,AE8,AJ8,AO8,AT8)</f>
        <v>14.857142857142858</v>
      </c>
      <c r="J8" s="169">
        <f t="shared" si="7"/>
        <v>1208.0831337537477</v>
      </c>
      <c r="K8" s="195">
        <f t="shared" si="7"/>
        <v>81.350933740179144</v>
      </c>
      <c r="L8" s="429"/>
      <c r="M8" s="196">
        <f>RANK(K8, K$7:$K$21)</f>
        <v>3</v>
      </c>
      <c r="N8" s="423"/>
      <c r="O8" s="423"/>
      <c r="P8" s="197">
        <v>15</v>
      </c>
      <c r="Q8" s="169">
        <v>1203.1372549019607</v>
      </c>
      <c r="R8" s="195">
        <v>80.209150326797371</v>
      </c>
      <c r="S8" s="197">
        <f t="shared" si="0"/>
        <v>3</v>
      </c>
      <c r="T8" s="411"/>
      <c r="U8" s="197">
        <v>14</v>
      </c>
      <c r="V8" s="169">
        <v>1193.7254901960782</v>
      </c>
      <c r="W8" s="195">
        <v>85.266106442577012</v>
      </c>
      <c r="X8" s="197">
        <f t="shared" si="1"/>
        <v>3</v>
      </c>
      <c r="Y8" s="411"/>
      <c r="Z8" s="197">
        <v>15</v>
      </c>
      <c r="AA8" s="169">
        <v>1243.1999999999998</v>
      </c>
      <c r="AB8" s="195">
        <v>82.879999999999981</v>
      </c>
      <c r="AC8" s="197">
        <f t="shared" si="2"/>
        <v>3</v>
      </c>
      <c r="AD8" s="411"/>
      <c r="AE8" s="197">
        <v>15</v>
      </c>
      <c r="AF8" s="169">
        <v>1237.8260869565213</v>
      </c>
      <c r="AG8" s="195">
        <v>82.521739130434753</v>
      </c>
      <c r="AH8" s="197">
        <f t="shared" si="3"/>
        <v>3</v>
      </c>
      <c r="AI8" s="411"/>
      <c r="AJ8" s="197">
        <v>15</v>
      </c>
      <c r="AK8" s="169">
        <v>1215.7664233576643</v>
      </c>
      <c r="AL8" s="195">
        <v>81.051094890510953</v>
      </c>
      <c r="AM8" s="197">
        <f t="shared" si="4"/>
        <v>3</v>
      </c>
      <c r="AN8" s="411"/>
      <c r="AO8" s="197">
        <v>15</v>
      </c>
      <c r="AP8" s="169">
        <v>1203.1578947368421</v>
      </c>
      <c r="AQ8" s="195">
        <v>80.210526315789465</v>
      </c>
      <c r="AR8" s="197">
        <f t="shared" si="5"/>
        <v>3</v>
      </c>
      <c r="AS8" s="411"/>
      <c r="AT8" s="197">
        <v>15</v>
      </c>
      <c r="AU8" s="169">
        <v>1159.7687861271675</v>
      </c>
      <c r="AV8" s="195">
        <v>77.317919075144502</v>
      </c>
      <c r="AW8" s="197">
        <f t="shared" si="6"/>
        <v>4</v>
      </c>
      <c r="AX8" s="411"/>
    </row>
    <row r="9" spans="1:50">
      <c r="A9" s="79"/>
      <c r="B9" s="422"/>
      <c r="C9" s="197">
        <v>3</v>
      </c>
      <c r="D9" s="225" t="s">
        <v>321</v>
      </c>
      <c r="E9" s="169">
        <v>18</v>
      </c>
      <c r="F9" s="197">
        <v>1500</v>
      </c>
      <c r="G9" s="195">
        <v>83.333333333333329</v>
      </c>
      <c r="H9" s="429"/>
      <c r="I9" s="169">
        <f t="shared" si="7"/>
        <v>18</v>
      </c>
      <c r="J9" s="169">
        <f t="shared" si="7"/>
        <v>1274.5755460616851</v>
      </c>
      <c r="K9" s="195">
        <f t="shared" si="7"/>
        <v>70.80975255898251</v>
      </c>
      <c r="L9" s="429"/>
      <c r="M9" s="196">
        <f>RANK(K9, K$7:$K$21)</f>
        <v>5</v>
      </c>
      <c r="N9" s="423"/>
      <c r="O9" s="423"/>
      <c r="P9" s="197">
        <v>18</v>
      </c>
      <c r="Q9" s="169">
        <v>1220.3846153846155</v>
      </c>
      <c r="R9" s="195">
        <v>67.799145299145309</v>
      </c>
      <c r="S9" s="197">
        <f t="shared" si="0"/>
        <v>5</v>
      </c>
      <c r="T9" s="411"/>
      <c r="U9" s="197">
        <v>18</v>
      </c>
      <c r="V9" s="169">
        <v>1273.7288135593224</v>
      </c>
      <c r="W9" s="195">
        <v>70.762711864406796</v>
      </c>
      <c r="X9" s="197">
        <f t="shared" si="1"/>
        <v>5</v>
      </c>
      <c r="Y9" s="411"/>
      <c r="Z9" s="197">
        <v>18</v>
      </c>
      <c r="AA9" s="169">
        <v>1347.9389312977098</v>
      </c>
      <c r="AB9" s="195">
        <v>74.885496183206101</v>
      </c>
      <c r="AC9" s="197">
        <f t="shared" si="2"/>
        <v>5</v>
      </c>
      <c r="AD9" s="411"/>
      <c r="AE9" s="197">
        <v>18</v>
      </c>
      <c r="AF9" s="169">
        <v>1283.7931034482751</v>
      </c>
      <c r="AG9" s="195">
        <v>71.321839080459725</v>
      </c>
      <c r="AH9" s="197">
        <f t="shared" si="3"/>
        <v>5</v>
      </c>
      <c r="AI9" s="411"/>
      <c r="AJ9" s="197">
        <v>18</v>
      </c>
      <c r="AK9" s="169">
        <v>1231.239669421487</v>
      </c>
      <c r="AL9" s="195">
        <v>68.402203856749281</v>
      </c>
      <c r="AM9" s="197">
        <f t="shared" si="4"/>
        <v>5</v>
      </c>
      <c r="AN9" s="411"/>
      <c r="AO9" s="197">
        <v>18</v>
      </c>
      <c r="AP9" s="169">
        <v>1288.543689320388</v>
      </c>
      <c r="AQ9" s="195">
        <v>71.585760517799329</v>
      </c>
      <c r="AR9" s="197">
        <f t="shared" si="5"/>
        <v>5</v>
      </c>
      <c r="AS9" s="411"/>
      <c r="AT9" s="197">
        <v>18</v>
      </c>
      <c r="AU9" s="169">
        <v>1276.3999999999978</v>
      </c>
      <c r="AV9" s="195">
        <v>70.911111111110984</v>
      </c>
      <c r="AW9" s="197">
        <f t="shared" si="6"/>
        <v>5</v>
      </c>
      <c r="AX9" s="411"/>
    </row>
    <row r="10" spans="1:50">
      <c r="A10" s="79"/>
      <c r="B10" s="422"/>
      <c r="C10" s="197">
        <v>4</v>
      </c>
      <c r="D10" s="225" t="s">
        <v>322</v>
      </c>
      <c r="E10" s="169">
        <v>20</v>
      </c>
      <c r="F10" s="197">
        <v>1300</v>
      </c>
      <c r="G10" s="195">
        <v>65</v>
      </c>
      <c r="H10" s="429"/>
      <c r="I10" s="169">
        <f t="shared" si="7"/>
        <v>20</v>
      </c>
      <c r="J10" s="169">
        <f t="shared" si="7"/>
        <v>1096.5319747594176</v>
      </c>
      <c r="K10" s="195">
        <f t="shared" si="7"/>
        <v>54.826598737970883</v>
      </c>
      <c r="L10" s="429"/>
      <c r="M10" s="196">
        <f>RANK(K10, K$7:$K$21)</f>
        <v>6</v>
      </c>
      <c r="N10" s="423"/>
      <c r="O10" s="423"/>
      <c r="P10" s="197">
        <v>20</v>
      </c>
      <c r="Q10" s="169">
        <v>1096.4383561643838</v>
      </c>
      <c r="R10" s="195">
        <v>54.82191780821919</v>
      </c>
      <c r="S10" s="197">
        <f t="shared" si="0"/>
        <v>6</v>
      </c>
      <c r="T10" s="411"/>
      <c r="U10" s="197">
        <v>20</v>
      </c>
      <c r="V10" s="169">
        <v>1114.8648648648652</v>
      </c>
      <c r="W10" s="195">
        <v>55.743243243243263</v>
      </c>
      <c r="X10" s="197">
        <f t="shared" si="1"/>
        <v>6</v>
      </c>
      <c r="Y10" s="411"/>
      <c r="Z10" s="197">
        <v>20</v>
      </c>
      <c r="AA10" s="169">
        <v>1081.6438356164385</v>
      </c>
      <c r="AB10" s="195">
        <v>54.08219178082193</v>
      </c>
      <c r="AC10" s="197">
        <f t="shared" si="2"/>
        <v>6</v>
      </c>
      <c r="AD10" s="411"/>
      <c r="AE10" s="197">
        <v>20</v>
      </c>
      <c r="AF10" s="169">
        <v>1095.4545454545455</v>
      </c>
      <c r="AG10" s="195">
        <v>54.772727272727273</v>
      </c>
      <c r="AH10" s="197">
        <f t="shared" si="3"/>
        <v>6</v>
      </c>
      <c r="AI10" s="411"/>
      <c r="AJ10" s="197">
        <v>20</v>
      </c>
      <c r="AK10" s="169">
        <v>1088.5714285714287</v>
      </c>
      <c r="AL10" s="195">
        <v>54.428571428571431</v>
      </c>
      <c r="AM10" s="197">
        <f t="shared" si="4"/>
        <v>6</v>
      </c>
      <c r="AN10" s="411"/>
      <c r="AO10" s="197">
        <v>20</v>
      </c>
      <c r="AP10" s="169">
        <v>1079.2771084337346</v>
      </c>
      <c r="AQ10" s="195">
        <v>53.963855421686731</v>
      </c>
      <c r="AR10" s="197">
        <f t="shared" si="5"/>
        <v>6</v>
      </c>
      <c r="AS10" s="411"/>
      <c r="AT10" s="197">
        <v>20</v>
      </c>
      <c r="AU10" s="169">
        <v>1119.4736842105267</v>
      </c>
      <c r="AV10" s="195">
        <v>55.973684210526336</v>
      </c>
      <c r="AW10" s="197">
        <f t="shared" si="6"/>
        <v>6</v>
      </c>
      <c r="AX10" s="411"/>
    </row>
    <row r="11" spans="1:50">
      <c r="A11" s="79"/>
      <c r="B11" s="422"/>
      <c r="C11" s="197">
        <v>5</v>
      </c>
      <c r="D11" s="225" t="s">
        <v>323</v>
      </c>
      <c r="E11" s="169">
        <v>18</v>
      </c>
      <c r="F11" s="197">
        <v>1440</v>
      </c>
      <c r="G11" s="195">
        <v>80</v>
      </c>
      <c r="H11" s="429"/>
      <c r="I11" s="169">
        <f t="shared" si="7"/>
        <v>18</v>
      </c>
      <c r="J11" s="169">
        <f t="shared" si="7"/>
        <v>1393.9028288173708</v>
      </c>
      <c r="K11" s="195">
        <f t="shared" si="7"/>
        <v>77.439046045409469</v>
      </c>
      <c r="L11" s="429"/>
      <c r="M11" s="196">
        <f>RANK(K11, K$7:$K$21)</f>
        <v>4</v>
      </c>
      <c r="N11" s="423"/>
      <c r="O11" s="423"/>
      <c r="P11" s="197">
        <v>18</v>
      </c>
      <c r="Q11" s="169">
        <v>1386.8181818181818</v>
      </c>
      <c r="R11" s="195">
        <v>77.045454545454547</v>
      </c>
      <c r="S11" s="197">
        <f t="shared" si="0"/>
        <v>4</v>
      </c>
      <c r="T11" s="411"/>
      <c r="U11" s="197">
        <v>18</v>
      </c>
      <c r="V11" s="169">
        <v>1346.6666666666665</v>
      </c>
      <c r="W11" s="195">
        <v>74.81481481481481</v>
      </c>
      <c r="X11" s="197">
        <f t="shared" si="1"/>
        <v>4</v>
      </c>
      <c r="Y11" s="411"/>
      <c r="Z11" s="197">
        <v>18</v>
      </c>
      <c r="AA11" s="169">
        <v>1401.4285714285711</v>
      </c>
      <c r="AB11" s="195">
        <v>77.857142857142833</v>
      </c>
      <c r="AC11" s="197">
        <f t="shared" si="2"/>
        <v>4</v>
      </c>
      <c r="AD11" s="411"/>
      <c r="AE11" s="197">
        <v>18</v>
      </c>
      <c r="AF11" s="169">
        <v>1386.315789473683</v>
      </c>
      <c r="AG11" s="195">
        <v>77.017543859649052</v>
      </c>
      <c r="AH11" s="197">
        <f t="shared" si="3"/>
        <v>4</v>
      </c>
      <c r="AI11" s="411"/>
      <c r="AJ11" s="197">
        <v>18</v>
      </c>
      <c r="AK11" s="169">
        <v>1403.9999999999995</v>
      </c>
      <c r="AL11" s="195">
        <v>77.999999999999972</v>
      </c>
      <c r="AM11" s="197">
        <f t="shared" si="4"/>
        <v>4</v>
      </c>
      <c r="AN11" s="411"/>
      <c r="AO11" s="197">
        <v>18</v>
      </c>
      <c r="AP11" s="169">
        <v>1407.80487804878</v>
      </c>
      <c r="AQ11" s="195">
        <v>78.211382113821116</v>
      </c>
      <c r="AR11" s="197">
        <f t="shared" si="5"/>
        <v>4</v>
      </c>
      <c r="AS11" s="411"/>
      <c r="AT11" s="197">
        <v>18</v>
      </c>
      <c r="AU11" s="169">
        <v>1424.2857142857138</v>
      </c>
      <c r="AV11" s="195">
        <v>79.126984126984098</v>
      </c>
      <c r="AW11" s="197">
        <f t="shared" si="6"/>
        <v>3</v>
      </c>
      <c r="AX11" s="411"/>
    </row>
    <row r="12" spans="1:50">
      <c r="A12" s="79"/>
      <c r="B12" s="422"/>
      <c r="C12" s="197">
        <v>6</v>
      </c>
      <c r="D12" s="225" t="s">
        <v>324</v>
      </c>
      <c r="E12" s="169">
        <v>8</v>
      </c>
      <c r="F12" s="197">
        <v>1500</v>
      </c>
      <c r="G12" s="195">
        <v>187.5</v>
      </c>
      <c r="H12" s="429"/>
      <c r="I12" s="169">
        <f t="shared" si="7"/>
        <v>7.8571428571428568</v>
      </c>
      <c r="J12" s="169">
        <f t="shared" si="7"/>
        <v>1516.468612459824</v>
      </c>
      <c r="K12" s="195">
        <f t="shared" si="7"/>
        <v>193.44692035653608</v>
      </c>
      <c r="L12" s="429"/>
      <c r="M12" s="196">
        <f>RANK(K12, K$7:$K$21)</f>
        <v>1</v>
      </c>
      <c r="N12" s="423"/>
      <c r="O12" s="423"/>
      <c r="P12" s="197">
        <v>8</v>
      </c>
      <c r="Q12" s="197">
        <v>1516.8000000000002</v>
      </c>
      <c r="R12" s="197">
        <v>189.60000000000002</v>
      </c>
      <c r="S12" s="197">
        <f t="shared" si="0"/>
        <v>1</v>
      </c>
      <c r="T12" s="411"/>
      <c r="U12" s="197">
        <v>8</v>
      </c>
      <c r="V12" s="169">
        <v>1500.8695652173906</v>
      </c>
      <c r="W12" s="195">
        <v>187.60869565217382</v>
      </c>
      <c r="X12" s="197">
        <f t="shared" si="1"/>
        <v>1</v>
      </c>
      <c r="Y12" s="411"/>
      <c r="Z12" s="197">
        <v>8</v>
      </c>
      <c r="AA12" s="169">
        <v>1525.3521126760561</v>
      </c>
      <c r="AB12" s="195">
        <v>190.66901408450701</v>
      </c>
      <c r="AC12" s="197">
        <f t="shared" si="2"/>
        <v>1</v>
      </c>
      <c r="AD12" s="411"/>
      <c r="AE12" s="197">
        <v>8</v>
      </c>
      <c r="AF12" s="169">
        <v>1509.6350364963509</v>
      </c>
      <c r="AG12" s="195">
        <v>188.70437956204387</v>
      </c>
      <c r="AH12" s="197">
        <f t="shared" si="3"/>
        <v>1</v>
      </c>
      <c r="AI12" s="411"/>
      <c r="AJ12" s="197">
        <v>8</v>
      </c>
      <c r="AK12" s="169">
        <v>1488.8275862068958</v>
      </c>
      <c r="AL12" s="195">
        <v>186.10344827586198</v>
      </c>
      <c r="AM12" s="197">
        <f t="shared" si="4"/>
        <v>1</v>
      </c>
      <c r="AN12" s="411"/>
      <c r="AO12" s="197">
        <v>8</v>
      </c>
      <c r="AP12" s="169">
        <v>1549.5652173913043</v>
      </c>
      <c r="AQ12" s="195">
        <v>193.69565217391303</v>
      </c>
      <c r="AR12" s="197">
        <f t="shared" si="5"/>
        <v>1</v>
      </c>
      <c r="AS12" s="411"/>
      <c r="AT12" s="197">
        <v>7</v>
      </c>
      <c r="AU12" s="169">
        <v>1524.2307692307695</v>
      </c>
      <c r="AV12" s="195">
        <v>217.74725274725279</v>
      </c>
      <c r="AW12" s="197">
        <f t="shared" si="6"/>
        <v>1</v>
      </c>
      <c r="AX12" s="411"/>
    </row>
    <row r="13" spans="1:50">
      <c r="A13" s="79"/>
      <c r="B13" s="422"/>
      <c r="C13" s="197">
        <v>7</v>
      </c>
      <c r="D13" s="225"/>
      <c r="E13" s="169"/>
      <c r="F13" s="197"/>
      <c r="G13" s="195"/>
      <c r="H13" s="429"/>
      <c r="I13" s="169"/>
      <c r="J13" s="169"/>
      <c r="K13" s="195"/>
      <c r="L13" s="429"/>
      <c r="M13" s="196" t="e">
        <f>RANK(K13, K$7:$K$21)</f>
        <v>#N/A</v>
      </c>
      <c r="N13" s="423"/>
      <c r="O13" s="423"/>
      <c r="P13" s="197"/>
      <c r="Q13" s="197"/>
      <c r="R13" s="197"/>
      <c r="S13" s="197" t="e">
        <f t="shared" si="0"/>
        <v>#N/A</v>
      </c>
      <c r="T13" s="411"/>
      <c r="U13" s="197"/>
      <c r="V13" s="197"/>
      <c r="W13" s="197"/>
      <c r="X13" s="197" t="e">
        <f t="shared" si="1"/>
        <v>#N/A</v>
      </c>
      <c r="Y13" s="411"/>
      <c r="Z13" s="197"/>
      <c r="AA13" s="197"/>
      <c r="AB13" s="197"/>
      <c r="AC13" s="197" t="e">
        <f t="shared" si="2"/>
        <v>#N/A</v>
      </c>
      <c r="AD13" s="411"/>
      <c r="AE13" s="197"/>
      <c r="AF13" s="197"/>
      <c r="AG13" s="197"/>
      <c r="AH13" s="197" t="e">
        <f t="shared" si="3"/>
        <v>#N/A</v>
      </c>
      <c r="AI13" s="411"/>
      <c r="AJ13" s="197"/>
      <c r="AK13" s="197"/>
      <c r="AL13" s="197"/>
      <c r="AM13" s="197" t="e">
        <f t="shared" si="4"/>
        <v>#N/A</v>
      </c>
      <c r="AN13" s="411"/>
      <c r="AO13" s="197"/>
      <c r="AP13" s="197"/>
      <c r="AQ13" s="197"/>
      <c r="AR13" s="197" t="e">
        <f t="shared" si="5"/>
        <v>#N/A</v>
      </c>
      <c r="AS13" s="411"/>
      <c r="AT13" s="197"/>
      <c r="AU13" s="197"/>
      <c r="AV13" s="197"/>
      <c r="AW13" s="197" t="e">
        <f t="shared" si="6"/>
        <v>#N/A</v>
      </c>
      <c r="AX13" s="411"/>
    </row>
    <row r="14" spans="1:50">
      <c r="A14" s="79"/>
      <c r="B14" s="422"/>
      <c r="C14" s="197">
        <v>8</v>
      </c>
      <c r="D14" s="225"/>
      <c r="E14" s="169"/>
      <c r="F14" s="197"/>
      <c r="G14" s="195"/>
      <c r="H14" s="429"/>
      <c r="I14" s="169"/>
      <c r="J14" s="169"/>
      <c r="K14" s="195"/>
      <c r="L14" s="429"/>
      <c r="M14" s="196" t="e">
        <f>RANK(K14, K$7:$K$21)</f>
        <v>#N/A</v>
      </c>
      <c r="N14" s="423"/>
      <c r="O14" s="423"/>
      <c r="P14" s="197"/>
      <c r="Q14" s="197"/>
      <c r="R14" s="197"/>
      <c r="S14" s="197" t="e">
        <f t="shared" si="0"/>
        <v>#N/A</v>
      </c>
      <c r="T14" s="411"/>
      <c r="U14" s="197"/>
      <c r="V14" s="197"/>
      <c r="W14" s="197"/>
      <c r="X14" s="197" t="e">
        <f t="shared" si="1"/>
        <v>#N/A</v>
      </c>
      <c r="Y14" s="411"/>
      <c r="Z14" s="197"/>
      <c r="AA14" s="197"/>
      <c r="AB14" s="197"/>
      <c r="AC14" s="197" t="e">
        <f t="shared" si="2"/>
        <v>#N/A</v>
      </c>
      <c r="AD14" s="411"/>
      <c r="AE14" s="197"/>
      <c r="AF14" s="197"/>
      <c r="AG14" s="197"/>
      <c r="AH14" s="197" t="e">
        <f t="shared" si="3"/>
        <v>#N/A</v>
      </c>
      <c r="AI14" s="411"/>
      <c r="AJ14" s="197"/>
      <c r="AK14" s="197"/>
      <c r="AL14" s="197"/>
      <c r="AM14" s="197" t="e">
        <f t="shared" si="4"/>
        <v>#N/A</v>
      </c>
      <c r="AN14" s="411"/>
      <c r="AO14" s="197"/>
      <c r="AP14" s="197"/>
      <c r="AQ14" s="197"/>
      <c r="AR14" s="197" t="e">
        <f t="shared" si="5"/>
        <v>#N/A</v>
      </c>
      <c r="AS14" s="411"/>
      <c r="AT14" s="197"/>
      <c r="AU14" s="197"/>
      <c r="AV14" s="197"/>
      <c r="AW14" s="197" t="e">
        <f t="shared" si="6"/>
        <v>#N/A</v>
      </c>
      <c r="AX14" s="411"/>
    </row>
    <row r="15" spans="1:50">
      <c r="A15" s="79"/>
      <c r="B15" s="422"/>
      <c r="C15" s="197">
        <v>9</v>
      </c>
      <c r="D15" s="225"/>
      <c r="E15" s="169"/>
      <c r="F15" s="197"/>
      <c r="G15" s="195"/>
      <c r="H15" s="429"/>
      <c r="I15" s="169"/>
      <c r="J15" s="169"/>
      <c r="K15" s="195"/>
      <c r="L15" s="429"/>
      <c r="M15" s="196" t="e">
        <f>RANK(K15, K$7:$K$21)</f>
        <v>#N/A</v>
      </c>
      <c r="N15" s="423"/>
      <c r="O15" s="423"/>
      <c r="P15" s="197"/>
      <c r="Q15" s="197"/>
      <c r="R15" s="197"/>
      <c r="S15" s="197" t="e">
        <f t="shared" si="0"/>
        <v>#N/A</v>
      </c>
      <c r="T15" s="411"/>
      <c r="U15" s="197"/>
      <c r="V15" s="197"/>
      <c r="W15" s="197"/>
      <c r="X15" s="197" t="e">
        <f t="shared" si="1"/>
        <v>#N/A</v>
      </c>
      <c r="Y15" s="411"/>
      <c r="Z15" s="197"/>
      <c r="AA15" s="197"/>
      <c r="AB15" s="197"/>
      <c r="AC15" s="197" t="e">
        <f t="shared" si="2"/>
        <v>#N/A</v>
      </c>
      <c r="AD15" s="411"/>
      <c r="AE15" s="197"/>
      <c r="AF15" s="197"/>
      <c r="AG15" s="197"/>
      <c r="AH15" s="197" t="e">
        <f t="shared" si="3"/>
        <v>#N/A</v>
      </c>
      <c r="AI15" s="411"/>
      <c r="AJ15" s="197"/>
      <c r="AK15" s="197"/>
      <c r="AL15" s="197"/>
      <c r="AM15" s="197" t="e">
        <f t="shared" si="4"/>
        <v>#N/A</v>
      </c>
      <c r="AN15" s="411"/>
      <c r="AO15" s="197"/>
      <c r="AP15" s="197"/>
      <c r="AQ15" s="197"/>
      <c r="AR15" s="197" t="e">
        <f t="shared" si="5"/>
        <v>#N/A</v>
      </c>
      <c r="AS15" s="411"/>
      <c r="AT15" s="197"/>
      <c r="AU15" s="197"/>
      <c r="AV15" s="197"/>
      <c r="AW15" s="197" t="e">
        <f t="shared" si="6"/>
        <v>#N/A</v>
      </c>
      <c r="AX15" s="411"/>
    </row>
    <row r="16" spans="1:50">
      <c r="A16" s="79"/>
      <c r="B16" s="422"/>
      <c r="C16" s="197">
        <v>10</v>
      </c>
      <c r="D16" s="225"/>
      <c r="E16" s="169"/>
      <c r="F16" s="197"/>
      <c r="G16" s="195"/>
      <c r="H16" s="429"/>
      <c r="I16" s="169"/>
      <c r="J16" s="169"/>
      <c r="K16" s="195"/>
      <c r="L16" s="429"/>
      <c r="M16" s="196" t="e">
        <f>RANK(K16, K$7:$K$21)</f>
        <v>#N/A</v>
      </c>
      <c r="N16" s="423"/>
      <c r="O16" s="423"/>
      <c r="P16" s="197"/>
      <c r="Q16" s="197"/>
      <c r="R16" s="197"/>
      <c r="S16" s="197" t="e">
        <f t="shared" si="0"/>
        <v>#N/A</v>
      </c>
      <c r="T16" s="411"/>
      <c r="U16" s="197"/>
      <c r="V16" s="197"/>
      <c r="W16" s="197"/>
      <c r="X16" s="197" t="e">
        <f t="shared" si="1"/>
        <v>#N/A</v>
      </c>
      <c r="Y16" s="411"/>
      <c r="Z16" s="197"/>
      <c r="AA16" s="197"/>
      <c r="AB16" s="197"/>
      <c r="AC16" s="197" t="e">
        <f t="shared" si="2"/>
        <v>#N/A</v>
      </c>
      <c r="AD16" s="411"/>
      <c r="AE16" s="197"/>
      <c r="AF16" s="197"/>
      <c r="AG16" s="197"/>
      <c r="AH16" s="197" t="e">
        <f t="shared" si="3"/>
        <v>#N/A</v>
      </c>
      <c r="AI16" s="411"/>
      <c r="AJ16" s="197"/>
      <c r="AK16" s="197"/>
      <c r="AL16" s="197"/>
      <c r="AM16" s="197" t="e">
        <f t="shared" si="4"/>
        <v>#N/A</v>
      </c>
      <c r="AN16" s="411"/>
      <c r="AO16" s="197"/>
      <c r="AP16" s="197"/>
      <c r="AQ16" s="197"/>
      <c r="AR16" s="197" t="e">
        <f t="shared" si="5"/>
        <v>#N/A</v>
      </c>
      <c r="AS16" s="411"/>
      <c r="AT16" s="197"/>
      <c r="AU16" s="197"/>
      <c r="AV16" s="197"/>
      <c r="AW16" s="197" t="e">
        <f t="shared" si="6"/>
        <v>#N/A</v>
      </c>
      <c r="AX16" s="411"/>
    </row>
    <row r="17" spans="2:50">
      <c r="B17" s="422"/>
      <c r="C17" s="197">
        <v>11</v>
      </c>
      <c r="D17" s="225"/>
      <c r="E17" s="169"/>
      <c r="F17" s="197"/>
      <c r="G17" s="195"/>
      <c r="H17" s="429"/>
      <c r="I17" s="169"/>
      <c r="J17" s="169"/>
      <c r="K17" s="195"/>
      <c r="L17" s="429"/>
      <c r="M17" s="196" t="e">
        <f>RANK(K17, K$7:$K$21)</f>
        <v>#N/A</v>
      </c>
      <c r="N17" s="423"/>
      <c r="O17" s="423"/>
      <c r="P17" s="197"/>
      <c r="Q17" s="197"/>
      <c r="R17" s="197"/>
      <c r="S17" s="197" t="e">
        <f t="shared" si="0"/>
        <v>#N/A</v>
      </c>
      <c r="T17" s="411"/>
      <c r="U17" s="197"/>
      <c r="V17" s="197"/>
      <c r="W17" s="197"/>
      <c r="X17" s="197" t="e">
        <f t="shared" si="1"/>
        <v>#N/A</v>
      </c>
      <c r="Y17" s="411"/>
      <c r="Z17" s="197"/>
      <c r="AA17" s="197"/>
      <c r="AB17" s="197"/>
      <c r="AC17" s="197" t="e">
        <f t="shared" si="2"/>
        <v>#N/A</v>
      </c>
      <c r="AD17" s="411"/>
      <c r="AE17" s="197"/>
      <c r="AF17" s="197"/>
      <c r="AG17" s="197"/>
      <c r="AH17" s="197" t="e">
        <f t="shared" si="3"/>
        <v>#N/A</v>
      </c>
      <c r="AI17" s="411"/>
      <c r="AJ17" s="197"/>
      <c r="AK17" s="197"/>
      <c r="AL17" s="197"/>
      <c r="AM17" s="197" t="e">
        <f t="shared" si="4"/>
        <v>#N/A</v>
      </c>
      <c r="AN17" s="411"/>
      <c r="AO17" s="197"/>
      <c r="AP17" s="197"/>
      <c r="AQ17" s="197"/>
      <c r="AR17" s="197" t="e">
        <f t="shared" si="5"/>
        <v>#N/A</v>
      </c>
      <c r="AS17" s="411"/>
      <c r="AT17" s="197"/>
      <c r="AU17" s="197"/>
      <c r="AV17" s="197"/>
      <c r="AW17" s="197" t="e">
        <f t="shared" si="6"/>
        <v>#N/A</v>
      </c>
      <c r="AX17" s="411"/>
    </row>
    <row r="18" spans="2:50">
      <c r="B18" s="422"/>
      <c r="C18" s="197">
        <v>12</v>
      </c>
      <c r="D18" s="225"/>
      <c r="E18" s="169"/>
      <c r="F18" s="197"/>
      <c r="G18" s="195"/>
      <c r="H18" s="429"/>
      <c r="I18" s="169"/>
      <c r="J18" s="169"/>
      <c r="K18" s="195"/>
      <c r="L18" s="429"/>
      <c r="M18" s="196" t="e">
        <f>RANK(K18, K$7:$K$21)</f>
        <v>#N/A</v>
      </c>
      <c r="N18" s="423"/>
      <c r="O18" s="423"/>
      <c r="P18" s="197"/>
      <c r="Q18" s="197"/>
      <c r="R18" s="197"/>
      <c r="S18" s="197" t="e">
        <f t="shared" si="0"/>
        <v>#N/A</v>
      </c>
      <c r="T18" s="411"/>
      <c r="U18" s="197"/>
      <c r="V18" s="197"/>
      <c r="W18" s="197"/>
      <c r="X18" s="197" t="e">
        <f t="shared" si="1"/>
        <v>#N/A</v>
      </c>
      <c r="Y18" s="411"/>
      <c r="Z18" s="197"/>
      <c r="AA18" s="197"/>
      <c r="AB18" s="197"/>
      <c r="AC18" s="197" t="e">
        <f t="shared" si="2"/>
        <v>#N/A</v>
      </c>
      <c r="AD18" s="411"/>
      <c r="AE18" s="197"/>
      <c r="AF18" s="197"/>
      <c r="AG18" s="197"/>
      <c r="AH18" s="197" t="e">
        <f t="shared" si="3"/>
        <v>#N/A</v>
      </c>
      <c r="AI18" s="411"/>
      <c r="AJ18" s="197"/>
      <c r="AK18" s="197"/>
      <c r="AL18" s="197"/>
      <c r="AM18" s="197" t="e">
        <f t="shared" si="4"/>
        <v>#N/A</v>
      </c>
      <c r="AN18" s="411"/>
      <c r="AO18" s="197"/>
      <c r="AP18" s="197"/>
      <c r="AQ18" s="197"/>
      <c r="AR18" s="197" t="e">
        <f t="shared" si="5"/>
        <v>#N/A</v>
      </c>
      <c r="AS18" s="411"/>
      <c r="AT18" s="197"/>
      <c r="AU18" s="197"/>
      <c r="AV18" s="197"/>
      <c r="AW18" s="197" t="e">
        <f t="shared" si="6"/>
        <v>#N/A</v>
      </c>
      <c r="AX18" s="411"/>
    </row>
    <row r="19" spans="2:50">
      <c r="B19" s="422"/>
      <c r="C19" s="197">
        <v>13</v>
      </c>
      <c r="D19" s="225"/>
      <c r="E19" s="169"/>
      <c r="F19" s="197"/>
      <c r="G19" s="195"/>
      <c r="H19" s="429"/>
      <c r="I19" s="169"/>
      <c r="J19" s="169"/>
      <c r="K19" s="195"/>
      <c r="L19" s="429"/>
      <c r="M19" s="196" t="e">
        <f>RANK(K19, K$7:$K$21)</f>
        <v>#N/A</v>
      </c>
      <c r="N19" s="423"/>
      <c r="O19" s="423"/>
      <c r="P19" s="197"/>
      <c r="Q19" s="197"/>
      <c r="R19" s="197"/>
      <c r="S19" s="197" t="e">
        <f t="shared" si="0"/>
        <v>#N/A</v>
      </c>
      <c r="T19" s="411"/>
      <c r="U19" s="197"/>
      <c r="V19" s="197"/>
      <c r="W19" s="197"/>
      <c r="X19" s="197" t="e">
        <f t="shared" si="1"/>
        <v>#N/A</v>
      </c>
      <c r="Y19" s="411"/>
      <c r="Z19" s="197"/>
      <c r="AA19" s="197"/>
      <c r="AB19" s="197"/>
      <c r="AC19" s="197" t="e">
        <f t="shared" si="2"/>
        <v>#N/A</v>
      </c>
      <c r="AD19" s="411"/>
      <c r="AE19" s="197"/>
      <c r="AF19" s="197"/>
      <c r="AG19" s="197"/>
      <c r="AH19" s="197" t="e">
        <f t="shared" si="3"/>
        <v>#N/A</v>
      </c>
      <c r="AI19" s="411"/>
      <c r="AJ19" s="197"/>
      <c r="AK19" s="197"/>
      <c r="AL19" s="197"/>
      <c r="AM19" s="197" t="e">
        <f t="shared" si="4"/>
        <v>#N/A</v>
      </c>
      <c r="AN19" s="411"/>
      <c r="AO19" s="197"/>
      <c r="AP19" s="197"/>
      <c r="AQ19" s="197"/>
      <c r="AR19" s="197" t="e">
        <f t="shared" si="5"/>
        <v>#N/A</v>
      </c>
      <c r="AS19" s="411"/>
      <c r="AT19" s="197"/>
      <c r="AU19" s="197"/>
      <c r="AV19" s="197"/>
      <c r="AW19" s="197" t="e">
        <f t="shared" si="6"/>
        <v>#N/A</v>
      </c>
      <c r="AX19" s="411"/>
    </row>
    <row r="20" spans="2:50">
      <c r="B20" s="422"/>
      <c r="C20" s="197">
        <v>14</v>
      </c>
      <c r="D20" s="225"/>
      <c r="E20" s="169"/>
      <c r="F20" s="197"/>
      <c r="G20" s="195"/>
      <c r="H20" s="429"/>
      <c r="I20" s="169"/>
      <c r="J20" s="169"/>
      <c r="K20" s="195"/>
      <c r="L20" s="429"/>
      <c r="M20" s="196" t="e">
        <f>RANK(K20, K$7:$K$21)</f>
        <v>#N/A</v>
      </c>
      <c r="N20" s="423"/>
      <c r="O20" s="423"/>
      <c r="P20" s="197"/>
      <c r="Q20" s="197"/>
      <c r="R20" s="197"/>
      <c r="S20" s="197" t="e">
        <f t="shared" si="0"/>
        <v>#N/A</v>
      </c>
      <c r="T20" s="411"/>
      <c r="U20" s="197"/>
      <c r="V20" s="197"/>
      <c r="W20" s="197"/>
      <c r="X20" s="197" t="e">
        <f t="shared" si="1"/>
        <v>#N/A</v>
      </c>
      <c r="Y20" s="411"/>
      <c r="Z20" s="197"/>
      <c r="AA20" s="197"/>
      <c r="AB20" s="197"/>
      <c r="AC20" s="197" t="e">
        <f t="shared" si="2"/>
        <v>#N/A</v>
      </c>
      <c r="AD20" s="411"/>
      <c r="AE20" s="197"/>
      <c r="AF20" s="197"/>
      <c r="AG20" s="197"/>
      <c r="AH20" s="197" t="e">
        <f t="shared" si="3"/>
        <v>#N/A</v>
      </c>
      <c r="AI20" s="411"/>
      <c r="AJ20" s="197"/>
      <c r="AK20" s="197"/>
      <c r="AL20" s="197"/>
      <c r="AM20" s="197" t="e">
        <f t="shared" si="4"/>
        <v>#N/A</v>
      </c>
      <c r="AN20" s="411"/>
      <c r="AO20" s="197"/>
      <c r="AP20" s="197"/>
      <c r="AQ20" s="197"/>
      <c r="AR20" s="197" t="e">
        <f t="shared" si="5"/>
        <v>#N/A</v>
      </c>
      <c r="AS20" s="411"/>
      <c r="AT20" s="197"/>
      <c r="AU20" s="197"/>
      <c r="AV20" s="197"/>
      <c r="AW20" s="197" t="e">
        <f t="shared" si="6"/>
        <v>#N/A</v>
      </c>
      <c r="AX20" s="411"/>
    </row>
    <row r="21" spans="2:50">
      <c r="B21" s="422"/>
      <c r="C21" s="197">
        <v>15</v>
      </c>
      <c r="D21" s="225"/>
      <c r="E21" s="169"/>
      <c r="F21" s="197"/>
      <c r="G21" s="195"/>
      <c r="H21" s="430"/>
      <c r="I21" s="169"/>
      <c r="J21" s="169"/>
      <c r="K21" s="195"/>
      <c r="L21" s="430"/>
      <c r="M21" s="169" t="e">
        <f>RANK(K21, K$7:$K$21)</f>
        <v>#N/A</v>
      </c>
      <c r="N21" s="423"/>
      <c r="O21" s="423"/>
      <c r="P21" s="197"/>
      <c r="Q21" s="197"/>
      <c r="R21" s="197"/>
      <c r="S21" s="197" t="e">
        <f t="shared" si="0"/>
        <v>#N/A</v>
      </c>
      <c r="T21" s="412"/>
      <c r="U21" s="197"/>
      <c r="V21" s="197"/>
      <c r="W21" s="197"/>
      <c r="X21" s="197" t="e">
        <f t="shared" si="1"/>
        <v>#N/A</v>
      </c>
      <c r="Y21" s="412"/>
      <c r="Z21" s="197"/>
      <c r="AA21" s="197"/>
      <c r="AB21" s="197"/>
      <c r="AC21" s="197" t="e">
        <f t="shared" si="2"/>
        <v>#N/A</v>
      </c>
      <c r="AD21" s="412"/>
      <c r="AE21" s="197"/>
      <c r="AF21" s="197"/>
      <c r="AG21" s="197"/>
      <c r="AH21" s="197" t="e">
        <f t="shared" si="3"/>
        <v>#N/A</v>
      </c>
      <c r="AI21" s="412"/>
      <c r="AJ21" s="197"/>
      <c r="AK21" s="197"/>
      <c r="AL21" s="197"/>
      <c r="AM21" s="197" t="e">
        <f t="shared" si="4"/>
        <v>#N/A</v>
      </c>
      <c r="AN21" s="412"/>
      <c r="AO21" s="197"/>
      <c r="AP21" s="197"/>
      <c r="AQ21" s="197"/>
      <c r="AR21" s="197" t="e">
        <f t="shared" si="5"/>
        <v>#N/A</v>
      </c>
      <c r="AS21" s="412"/>
      <c r="AT21" s="197"/>
      <c r="AU21" s="197"/>
      <c r="AV21" s="197"/>
      <c r="AW21" s="197" t="e">
        <f t="shared" si="6"/>
        <v>#N/A</v>
      </c>
      <c r="AX21" s="412"/>
    </row>
    <row r="22" spans="2:50" ht="15.75">
      <c r="B22" s="424" t="s">
        <v>202</v>
      </c>
      <c r="C22" s="425"/>
      <c r="D22" s="425"/>
      <c r="E22" s="425"/>
      <c r="F22" s="425"/>
      <c r="G22" s="425"/>
      <c r="H22" s="425"/>
      <c r="I22" s="198"/>
      <c r="J22" s="198"/>
      <c r="K22" s="198"/>
      <c r="L22" s="198"/>
      <c r="M22" s="193"/>
      <c r="N22" s="401" t="s">
        <v>203</v>
      </c>
      <c r="O22" s="401" t="s">
        <v>150</v>
      </c>
      <c r="P22" s="419">
        <f>AT2+1</f>
        <v>45902</v>
      </c>
      <c r="Q22" s="420"/>
      <c r="R22" s="420"/>
      <c r="S22" s="420"/>
      <c r="T22" s="420"/>
      <c r="U22" s="421">
        <f>P22+1</f>
        <v>45903</v>
      </c>
      <c r="V22" s="422"/>
      <c r="W22" s="422"/>
      <c r="X22" s="422"/>
      <c r="Y22" s="422"/>
      <c r="Z22" s="421">
        <f>U22+1</f>
        <v>45904</v>
      </c>
      <c r="AA22" s="422"/>
      <c r="AB22" s="422"/>
      <c r="AC22" s="422"/>
      <c r="AD22" s="422"/>
      <c r="AE22" s="421">
        <f>Z22+1</f>
        <v>45905</v>
      </c>
      <c r="AF22" s="422"/>
      <c r="AG22" s="422"/>
      <c r="AH22" s="422"/>
      <c r="AI22" s="422"/>
      <c r="AJ22" s="421">
        <f>AE22+1</f>
        <v>45906</v>
      </c>
      <c r="AK22" s="422"/>
      <c r="AL22" s="422"/>
      <c r="AM22" s="422"/>
      <c r="AN22" s="422"/>
      <c r="AO22" s="421">
        <f>AJ22+1</f>
        <v>45907</v>
      </c>
      <c r="AP22" s="422"/>
      <c r="AQ22" s="422"/>
      <c r="AR22" s="422"/>
      <c r="AS22" s="422"/>
      <c r="AT22" s="421">
        <f>AO22+1</f>
        <v>45908</v>
      </c>
      <c r="AU22" s="422"/>
      <c r="AV22" s="422"/>
      <c r="AW22" s="422"/>
      <c r="AX22" s="422"/>
    </row>
    <row r="23" spans="2:50" ht="15.75">
      <c r="B23" s="426"/>
      <c r="C23" s="426"/>
      <c r="D23" s="426"/>
      <c r="E23" s="426"/>
      <c r="F23" s="426"/>
      <c r="G23" s="426"/>
      <c r="H23" s="426"/>
      <c r="I23" s="199"/>
      <c r="J23" s="199"/>
      <c r="K23" s="199"/>
      <c r="L23" s="199"/>
      <c r="M23" s="194"/>
      <c r="N23" s="403"/>
      <c r="O23" s="403"/>
      <c r="P23" s="421" t="s">
        <v>204</v>
      </c>
      <c r="Q23" s="422"/>
      <c r="R23" s="422"/>
      <c r="S23" s="422"/>
      <c r="T23" s="422"/>
      <c r="U23" s="421" t="s">
        <v>205</v>
      </c>
      <c r="V23" s="422"/>
      <c r="W23" s="422"/>
      <c r="X23" s="422"/>
      <c r="Y23" s="422"/>
      <c r="Z23" s="421" t="s">
        <v>206</v>
      </c>
      <c r="AA23" s="422"/>
      <c r="AB23" s="422"/>
      <c r="AC23" s="422"/>
      <c r="AD23" s="422"/>
      <c r="AE23" s="421" t="s">
        <v>207</v>
      </c>
      <c r="AF23" s="422"/>
      <c r="AG23" s="422"/>
      <c r="AH23" s="422"/>
      <c r="AI23" s="422"/>
      <c r="AJ23" s="421" t="s">
        <v>208</v>
      </c>
      <c r="AK23" s="422"/>
      <c r="AL23" s="422"/>
      <c r="AM23" s="422"/>
      <c r="AN23" s="422"/>
      <c r="AO23" s="421" t="s">
        <v>157</v>
      </c>
      <c r="AP23" s="422"/>
      <c r="AQ23" s="422"/>
      <c r="AR23" s="422"/>
      <c r="AS23" s="422"/>
      <c r="AT23" s="421" t="s">
        <v>209</v>
      </c>
      <c r="AU23" s="422"/>
      <c r="AV23" s="422"/>
      <c r="AW23" s="422"/>
      <c r="AX23" s="422"/>
    </row>
    <row r="24" spans="2:50">
      <c r="B24" s="423" t="s">
        <v>210</v>
      </c>
      <c r="C24" s="423" t="s">
        <v>211</v>
      </c>
      <c r="D24" s="423"/>
      <c r="E24" s="423" t="s">
        <v>212</v>
      </c>
      <c r="F24" s="423"/>
      <c r="G24" s="423"/>
      <c r="H24" s="404" t="s">
        <v>213</v>
      </c>
      <c r="I24" s="423" t="s">
        <v>214</v>
      </c>
      <c r="J24" s="423"/>
      <c r="K24" s="423"/>
      <c r="L24" s="404" t="s">
        <v>213</v>
      </c>
      <c r="M24" s="401" t="s">
        <v>215</v>
      </c>
      <c r="N24" s="423"/>
      <c r="O24" s="423" t="s">
        <v>216</v>
      </c>
      <c r="P24" s="413" t="s">
        <v>217</v>
      </c>
      <c r="Q24" s="414"/>
      <c r="R24" s="414"/>
      <c r="S24" s="415"/>
      <c r="T24" s="423" t="s">
        <v>213</v>
      </c>
      <c r="U24" s="413" t="s">
        <v>217</v>
      </c>
      <c r="V24" s="414"/>
      <c r="W24" s="414"/>
      <c r="X24" s="415"/>
      <c r="Y24" s="423" t="s">
        <v>213</v>
      </c>
      <c r="Z24" s="413" t="s">
        <v>217</v>
      </c>
      <c r="AA24" s="414"/>
      <c r="AB24" s="414"/>
      <c r="AC24" s="415"/>
      <c r="AD24" s="423" t="s">
        <v>213</v>
      </c>
      <c r="AE24" s="413" t="s">
        <v>217</v>
      </c>
      <c r="AF24" s="414"/>
      <c r="AG24" s="414"/>
      <c r="AH24" s="415"/>
      <c r="AI24" s="423" t="s">
        <v>213</v>
      </c>
      <c r="AJ24" s="413" t="s">
        <v>217</v>
      </c>
      <c r="AK24" s="414"/>
      <c r="AL24" s="414"/>
      <c r="AM24" s="415"/>
      <c r="AN24" s="423" t="s">
        <v>213</v>
      </c>
      <c r="AO24" s="413" t="s">
        <v>217</v>
      </c>
      <c r="AP24" s="414"/>
      <c r="AQ24" s="414"/>
      <c r="AR24" s="415"/>
      <c r="AS24" s="423" t="s">
        <v>213</v>
      </c>
      <c r="AT24" s="413" t="s">
        <v>217</v>
      </c>
      <c r="AU24" s="414"/>
      <c r="AV24" s="414"/>
      <c r="AW24" s="415"/>
      <c r="AX24" s="423" t="s">
        <v>213</v>
      </c>
    </row>
    <row r="25" spans="2:50">
      <c r="B25" s="423"/>
      <c r="C25" s="423"/>
      <c r="D25" s="423"/>
      <c r="E25" s="423" t="s">
        <v>218</v>
      </c>
      <c r="F25" s="423"/>
      <c r="G25" s="423"/>
      <c r="H25" s="406"/>
      <c r="I25" s="423" t="s">
        <v>218</v>
      </c>
      <c r="J25" s="423"/>
      <c r="K25" s="423"/>
      <c r="L25" s="406"/>
      <c r="M25" s="402"/>
      <c r="N25" s="423"/>
      <c r="O25" s="423"/>
      <c r="P25" s="413" t="s">
        <v>219</v>
      </c>
      <c r="Q25" s="414"/>
      <c r="R25" s="414"/>
      <c r="S25" s="415"/>
      <c r="T25" s="423"/>
      <c r="U25" s="413" t="s">
        <v>219</v>
      </c>
      <c r="V25" s="414"/>
      <c r="W25" s="414"/>
      <c r="X25" s="415"/>
      <c r="Y25" s="423"/>
      <c r="Z25" s="413" t="s">
        <v>219</v>
      </c>
      <c r="AA25" s="414"/>
      <c r="AB25" s="414"/>
      <c r="AC25" s="415"/>
      <c r="AD25" s="423"/>
      <c r="AE25" s="413" t="s">
        <v>219</v>
      </c>
      <c r="AF25" s="414"/>
      <c r="AG25" s="414"/>
      <c r="AH25" s="415"/>
      <c r="AI25" s="423"/>
      <c r="AJ25" s="413" t="s">
        <v>219</v>
      </c>
      <c r="AK25" s="414"/>
      <c r="AL25" s="414"/>
      <c r="AM25" s="415"/>
      <c r="AN25" s="423"/>
      <c r="AO25" s="413" t="s">
        <v>219</v>
      </c>
      <c r="AP25" s="414"/>
      <c r="AQ25" s="414"/>
      <c r="AR25" s="415"/>
      <c r="AS25" s="423"/>
      <c r="AT25" s="413" t="s">
        <v>219</v>
      </c>
      <c r="AU25" s="414"/>
      <c r="AV25" s="414"/>
      <c r="AW25" s="415"/>
      <c r="AX25" s="423"/>
    </row>
    <row r="26" spans="2:50">
      <c r="B26" s="423"/>
      <c r="C26" s="423"/>
      <c r="D26" s="423"/>
      <c r="E26" s="297" t="s">
        <v>220</v>
      </c>
      <c r="F26" s="297" t="s">
        <v>221</v>
      </c>
      <c r="G26" s="297" t="s">
        <v>222</v>
      </c>
      <c r="H26" s="408"/>
      <c r="I26" s="297" t="s">
        <v>220</v>
      </c>
      <c r="J26" s="297" t="s">
        <v>221</v>
      </c>
      <c r="K26" s="297" t="s">
        <v>222</v>
      </c>
      <c r="L26" s="408"/>
      <c r="M26" s="403"/>
      <c r="N26" s="423"/>
      <c r="O26" s="423"/>
      <c r="P26" s="297" t="s">
        <v>220</v>
      </c>
      <c r="Q26" s="297" t="s">
        <v>221</v>
      </c>
      <c r="R26" s="297" t="s">
        <v>222</v>
      </c>
      <c r="S26" s="297" t="s">
        <v>215</v>
      </c>
      <c r="T26" s="423"/>
      <c r="U26" s="297" t="s">
        <v>220</v>
      </c>
      <c r="V26" s="297" t="s">
        <v>221</v>
      </c>
      <c r="W26" s="297" t="s">
        <v>222</v>
      </c>
      <c r="X26" s="297" t="s">
        <v>215</v>
      </c>
      <c r="Y26" s="423"/>
      <c r="Z26" s="297" t="s">
        <v>220</v>
      </c>
      <c r="AA26" s="297" t="s">
        <v>221</v>
      </c>
      <c r="AB26" s="297" t="s">
        <v>222</v>
      </c>
      <c r="AC26" s="297" t="s">
        <v>215</v>
      </c>
      <c r="AD26" s="423"/>
      <c r="AE26" s="297" t="s">
        <v>220</v>
      </c>
      <c r="AF26" s="297" t="s">
        <v>221</v>
      </c>
      <c r="AG26" s="297" t="s">
        <v>222</v>
      </c>
      <c r="AH26" s="297" t="s">
        <v>215</v>
      </c>
      <c r="AI26" s="423"/>
      <c r="AJ26" s="297" t="s">
        <v>220</v>
      </c>
      <c r="AK26" s="297" t="s">
        <v>221</v>
      </c>
      <c r="AL26" s="297" t="s">
        <v>222</v>
      </c>
      <c r="AM26" s="297" t="s">
        <v>215</v>
      </c>
      <c r="AN26" s="423"/>
      <c r="AO26" s="297" t="s">
        <v>220</v>
      </c>
      <c r="AP26" s="297" t="s">
        <v>221</v>
      </c>
      <c r="AQ26" s="297" t="s">
        <v>222</v>
      </c>
      <c r="AR26" s="297" t="s">
        <v>215</v>
      </c>
      <c r="AS26" s="423"/>
      <c r="AT26" s="297" t="s">
        <v>220</v>
      </c>
      <c r="AU26" s="297" t="s">
        <v>221</v>
      </c>
      <c r="AV26" s="297" t="s">
        <v>222</v>
      </c>
      <c r="AW26" s="297" t="s">
        <v>215</v>
      </c>
      <c r="AX26" s="423"/>
    </row>
    <row r="27" spans="2:50">
      <c r="B27" s="423" t="s">
        <v>191</v>
      </c>
      <c r="C27" s="197">
        <v>1</v>
      </c>
      <c r="D27" s="225" t="s">
        <v>319</v>
      </c>
      <c r="E27" s="169">
        <v>7</v>
      </c>
      <c r="F27" s="197">
        <v>1500</v>
      </c>
      <c r="G27" s="195">
        <v>214.28571428571428</v>
      </c>
      <c r="H27" s="428">
        <f>AVERAGE(G27:G41)</f>
        <v>126.56015037593984</v>
      </c>
      <c r="I27" s="169">
        <f>AVERAGE(P27,U27,Z27,AE27,AJ27,AO27,AT27)</f>
        <v>6.7142857142857144</v>
      </c>
      <c r="J27" s="169">
        <f>AVERAGE(Q27,V27,AA27,AF27,AK27,AP27,AU27)</f>
        <v>1291.9497073343416</v>
      </c>
      <c r="K27" s="195">
        <f>AVERAGE(R27,W27,AB27,AG27,AL27,AQ27,AV27)</f>
        <v>193.36398081320735</v>
      </c>
      <c r="L27" s="428">
        <f>IFERROR(AVERAGE(K27:K41),"-")</f>
        <v>111.59971562096058</v>
      </c>
      <c r="M27" s="196">
        <f>RANK(K27, K$27:$K$41)</f>
        <v>2</v>
      </c>
      <c r="N27" s="423"/>
      <c r="O27" s="423"/>
      <c r="P27" s="197">
        <v>7</v>
      </c>
      <c r="Q27" s="169">
        <v>1288.7234042553187</v>
      </c>
      <c r="R27" s="195">
        <v>184.10334346504553</v>
      </c>
      <c r="S27" s="197">
        <f t="shared" ref="S27:S41" si="8">RANK(R27, R$27:R$41)</f>
        <v>2</v>
      </c>
      <c r="T27" s="410">
        <f>AVERAGE(R27:R41)</f>
        <v>108.9760738330953</v>
      </c>
      <c r="U27" s="197">
        <v>7</v>
      </c>
      <c r="V27" s="169">
        <v>1287.7894736842102</v>
      </c>
      <c r="W27" s="195">
        <v>183.96992481203003</v>
      </c>
      <c r="X27" s="197">
        <f t="shared" ref="X27:X41" si="9">RANK(W27, W$27:W$41)</f>
        <v>2</v>
      </c>
      <c r="Y27" s="410">
        <f>AVERAGE(W27:W41)</f>
        <v>108.66983136765418</v>
      </c>
      <c r="Z27" s="197">
        <v>7</v>
      </c>
      <c r="AA27" s="169">
        <v>1295.8695652173915</v>
      </c>
      <c r="AB27" s="195">
        <v>185.12422360248451</v>
      </c>
      <c r="AC27" s="197">
        <f t="shared" ref="AC27:AC41" si="10">RANK(AB27, AB$27:AB$41)</f>
        <v>1</v>
      </c>
      <c r="AD27" s="410">
        <f>AVERAGE(AB27:AB41)</f>
        <v>108.63256457289846</v>
      </c>
      <c r="AE27" s="197">
        <v>7</v>
      </c>
      <c r="AF27" s="169">
        <v>1287</v>
      </c>
      <c r="AG27" s="195">
        <v>183.85714285714286</v>
      </c>
      <c r="AH27" s="197">
        <f t="shared" ref="AH27:AH41" si="11">RANK(AG27, AG$27:AG$41)</f>
        <v>2</v>
      </c>
      <c r="AI27" s="410">
        <f>AVERAGE(AG27:AG41)</f>
        <v>119.18314458181274</v>
      </c>
      <c r="AJ27" s="197">
        <v>7</v>
      </c>
      <c r="AK27" s="169">
        <v>1297.1428571428573</v>
      </c>
      <c r="AL27" s="195">
        <v>185.30612244897961</v>
      </c>
      <c r="AM27" s="197">
        <f t="shared" ref="AM27:AM41" si="12">RANK(AL27, AL$27:AL$41)</f>
        <v>1</v>
      </c>
      <c r="AN27" s="410">
        <f>AVERAGE(AL27:AL41)</f>
        <v>119.66177919196352</v>
      </c>
      <c r="AO27" s="197">
        <v>6</v>
      </c>
      <c r="AP27" s="169">
        <v>1287.3267326732673</v>
      </c>
      <c r="AQ27" s="195">
        <v>214.55445544554456</v>
      </c>
      <c r="AR27" s="197">
        <f t="shared" ref="AR27:AR41" si="13">RANK(AQ27, AQ$27:AQ$41)</f>
        <v>2</v>
      </c>
      <c r="AS27" s="410">
        <f>AVERAGE(AQ27:AQ41)</f>
        <v>131.77267440646273</v>
      </c>
      <c r="AT27" s="197">
        <v>6</v>
      </c>
      <c r="AU27" s="169">
        <v>1299.7959183673468</v>
      </c>
      <c r="AV27" s="195">
        <v>216.63265306122446</v>
      </c>
      <c r="AW27" s="197">
        <f t="shared" ref="AW27:AW41" si="14">RANK(AV27, AV$27:AV$41)</f>
        <v>1</v>
      </c>
      <c r="AX27" s="410">
        <f>AVERAGE(AV27:AV41)</f>
        <v>131.79907894871977</v>
      </c>
    </row>
    <row r="28" spans="2:50">
      <c r="B28" s="422"/>
      <c r="C28" s="197">
        <v>2</v>
      </c>
      <c r="D28" s="225" t="s">
        <v>320</v>
      </c>
      <c r="E28" s="169">
        <v>15</v>
      </c>
      <c r="F28" s="197">
        <v>1500</v>
      </c>
      <c r="G28" s="195">
        <v>100</v>
      </c>
      <c r="H28" s="429"/>
      <c r="I28" s="169">
        <f t="shared" ref="I28:I32" si="15">AVERAGE(P28,U28,Z28,AE28,AJ28,AO28,AT28)</f>
        <v>15</v>
      </c>
      <c r="J28" s="169">
        <f t="shared" ref="J28:J32" si="16">AVERAGE(Q28,V28,AA28,AF28,AK28,AP28,AU28)</f>
        <v>1287.9243469262692</v>
      </c>
      <c r="K28" s="195">
        <f t="shared" ref="K28:K32" si="17">AVERAGE(R28,W28,AB28,AG28,AL28,AQ28,AV28)</f>
        <v>85.861623128417961</v>
      </c>
      <c r="L28" s="429"/>
      <c r="M28" s="196">
        <f>RANK(K28, K$27:$K$41)</f>
        <v>3</v>
      </c>
      <c r="N28" s="423"/>
      <c r="O28" s="423"/>
      <c r="P28" s="197">
        <v>15</v>
      </c>
      <c r="Q28" s="169">
        <v>1277.9591836734692</v>
      </c>
      <c r="R28" s="195">
        <v>85.197278911564609</v>
      </c>
      <c r="S28" s="197">
        <f t="shared" si="8"/>
        <v>3</v>
      </c>
      <c r="T28" s="411"/>
      <c r="U28" s="197">
        <v>15</v>
      </c>
      <c r="V28" s="169">
        <v>1291.7894736842115</v>
      </c>
      <c r="W28" s="195">
        <v>86.119298245614104</v>
      </c>
      <c r="X28" s="197">
        <f t="shared" si="9"/>
        <v>3</v>
      </c>
      <c r="Y28" s="411"/>
      <c r="Z28" s="197">
        <v>15</v>
      </c>
      <c r="AA28" s="169">
        <v>1264.6153846153848</v>
      </c>
      <c r="AB28" s="195">
        <v>84.307692307692321</v>
      </c>
      <c r="AC28" s="197">
        <f t="shared" si="10"/>
        <v>3</v>
      </c>
      <c r="AD28" s="411"/>
      <c r="AE28" s="197">
        <v>15</v>
      </c>
      <c r="AF28" s="169">
        <v>1312.4369747899161</v>
      </c>
      <c r="AG28" s="195">
        <v>87.495798319327747</v>
      </c>
      <c r="AH28" s="197">
        <f t="shared" si="11"/>
        <v>3</v>
      </c>
      <c r="AI28" s="411"/>
      <c r="AJ28" s="197">
        <v>15</v>
      </c>
      <c r="AK28" s="169">
        <v>1293.8709677419349</v>
      </c>
      <c r="AL28" s="195">
        <v>86.258064516128997</v>
      </c>
      <c r="AM28" s="197">
        <f t="shared" si="12"/>
        <v>3</v>
      </c>
      <c r="AN28" s="411"/>
      <c r="AO28" s="197">
        <v>15</v>
      </c>
      <c r="AP28" s="169">
        <v>1307.919463087248</v>
      </c>
      <c r="AQ28" s="195">
        <v>87.194630872483202</v>
      </c>
      <c r="AR28" s="197">
        <f t="shared" si="13"/>
        <v>3</v>
      </c>
      <c r="AS28" s="411"/>
      <c r="AT28" s="197">
        <v>15</v>
      </c>
      <c r="AU28" s="169">
        <v>1266.8789808917197</v>
      </c>
      <c r="AV28" s="195">
        <v>84.458598726114644</v>
      </c>
      <c r="AW28" s="197">
        <f t="shared" si="14"/>
        <v>3</v>
      </c>
      <c r="AX28" s="411"/>
    </row>
    <row r="29" spans="2:50">
      <c r="B29" s="422"/>
      <c r="C29" s="197">
        <v>3</v>
      </c>
      <c r="D29" s="225" t="s">
        <v>321</v>
      </c>
      <c r="E29" s="169">
        <v>20</v>
      </c>
      <c r="F29" s="197">
        <v>1500</v>
      </c>
      <c r="G29" s="195">
        <v>75</v>
      </c>
      <c r="H29" s="429"/>
      <c r="I29" s="169">
        <f t="shared" si="15"/>
        <v>18</v>
      </c>
      <c r="J29" s="169">
        <f t="shared" si="16"/>
        <v>1286.1599679502906</v>
      </c>
      <c r="K29" s="195">
        <f t="shared" si="17"/>
        <v>71.453331552793912</v>
      </c>
      <c r="L29" s="429"/>
      <c r="M29" s="196">
        <f>RANK(K29, K$27:$K$41)</f>
        <v>4</v>
      </c>
      <c r="N29" s="423"/>
      <c r="O29" s="423"/>
      <c r="P29" s="197">
        <v>18</v>
      </c>
      <c r="Q29" s="169">
        <v>1283.1081081081079</v>
      </c>
      <c r="R29" s="195">
        <v>71.283783783783775</v>
      </c>
      <c r="S29" s="197">
        <f t="shared" si="8"/>
        <v>5</v>
      </c>
      <c r="T29" s="411"/>
      <c r="U29" s="197">
        <v>18</v>
      </c>
      <c r="V29" s="169">
        <v>1311.1888111888106</v>
      </c>
      <c r="W29" s="195">
        <v>72.843822843822807</v>
      </c>
      <c r="X29" s="197">
        <f t="shared" si="9"/>
        <v>4</v>
      </c>
      <c r="Y29" s="411"/>
      <c r="Z29" s="197">
        <v>18</v>
      </c>
      <c r="AA29" s="169">
        <v>1301.7777777777778</v>
      </c>
      <c r="AB29" s="195">
        <v>72.320987654320987</v>
      </c>
      <c r="AC29" s="197">
        <f t="shared" si="10"/>
        <v>4</v>
      </c>
      <c r="AD29" s="411"/>
      <c r="AE29" s="197">
        <v>18</v>
      </c>
      <c r="AF29" s="169">
        <v>1260.5128205128208</v>
      </c>
      <c r="AG29" s="195">
        <v>70.02849002849004</v>
      </c>
      <c r="AH29" s="197">
        <f t="shared" si="11"/>
        <v>4</v>
      </c>
      <c r="AI29" s="411"/>
      <c r="AJ29" s="197">
        <v>18</v>
      </c>
      <c r="AK29" s="169">
        <v>1279.5000000000005</v>
      </c>
      <c r="AL29" s="195">
        <v>71.083333333333357</v>
      </c>
      <c r="AM29" s="197">
        <f t="shared" si="12"/>
        <v>4</v>
      </c>
      <c r="AN29" s="411"/>
      <c r="AO29" s="197">
        <v>18</v>
      </c>
      <c r="AP29" s="169">
        <v>1289.9999999999998</v>
      </c>
      <c r="AQ29" s="195">
        <v>71.666666666666657</v>
      </c>
      <c r="AR29" s="197">
        <f t="shared" si="13"/>
        <v>4</v>
      </c>
      <c r="AS29" s="411"/>
      <c r="AT29" s="197">
        <v>18</v>
      </c>
      <c r="AU29" s="169">
        <v>1277.0322580645161</v>
      </c>
      <c r="AV29" s="195">
        <v>70.946236559139777</v>
      </c>
      <c r="AW29" s="197">
        <f t="shared" si="14"/>
        <v>4</v>
      </c>
      <c r="AX29" s="411"/>
    </row>
    <row r="30" spans="2:50">
      <c r="B30" s="422"/>
      <c r="C30" s="197">
        <v>4</v>
      </c>
      <c r="D30" s="225" t="s">
        <v>322</v>
      </c>
      <c r="E30" s="169">
        <v>19</v>
      </c>
      <c r="F30" s="197">
        <v>1440</v>
      </c>
      <c r="G30" s="195">
        <v>75.78947368421052</v>
      </c>
      <c r="H30" s="429"/>
      <c r="I30" s="169">
        <f t="shared" si="15"/>
        <v>20</v>
      </c>
      <c r="J30" s="169">
        <f t="shared" si="16"/>
        <v>1087.1692589683164</v>
      </c>
      <c r="K30" s="195">
        <f t="shared" si="17"/>
        <v>54.358462948415827</v>
      </c>
      <c r="L30" s="429"/>
      <c r="M30" s="196">
        <f>RANK(K30, K$27:$K$41)</f>
        <v>6</v>
      </c>
      <c r="N30" s="423"/>
      <c r="O30" s="423"/>
      <c r="P30" s="197">
        <v>20</v>
      </c>
      <c r="Q30" s="169">
        <v>1092.8000000000004</v>
      </c>
      <c r="R30" s="195">
        <v>54.640000000000022</v>
      </c>
      <c r="S30" s="197">
        <f t="shared" si="8"/>
        <v>6</v>
      </c>
      <c r="T30" s="411"/>
      <c r="U30" s="197">
        <v>20</v>
      </c>
      <c r="V30" s="169">
        <v>1061.8421052631581</v>
      </c>
      <c r="W30" s="195">
        <v>53.092105263157904</v>
      </c>
      <c r="X30" s="197">
        <f t="shared" si="9"/>
        <v>6</v>
      </c>
      <c r="Y30" s="411"/>
      <c r="Z30" s="197">
        <v>20</v>
      </c>
      <c r="AA30" s="169">
        <v>1106.8656716417911</v>
      </c>
      <c r="AB30" s="195">
        <v>55.343283582089555</v>
      </c>
      <c r="AC30" s="197">
        <f t="shared" si="10"/>
        <v>6</v>
      </c>
      <c r="AD30" s="411"/>
      <c r="AE30" s="197"/>
      <c r="AF30" s="169"/>
      <c r="AG30" s="195"/>
      <c r="AH30" s="197" t="e">
        <f t="shared" si="11"/>
        <v>#N/A</v>
      </c>
      <c r="AI30" s="411"/>
      <c r="AJ30" s="197"/>
      <c r="AK30" s="169"/>
      <c r="AL30" s="195"/>
      <c r="AM30" s="197" t="e">
        <f t="shared" si="12"/>
        <v>#N/A</v>
      </c>
      <c r="AN30" s="411"/>
      <c r="AO30" s="197"/>
      <c r="AP30" s="169"/>
      <c r="AQ30" s="195"/>
      <c r="AR30" s="197" t="e">
        <f t="shared" si="13"/>
        <v>#N/A</v>
      </c>
      <c r="AS30" s="411"/>
      <c r="AT30" s="197"/>
      <c r="AU30" s="169"/>
      <c r="AV30" s="195"/>
      <c r="AW30" s="197" t="e">
        <f t="shared" si="14"/>
        <v>#N/A</v>
      </c>
      <c r="AX30" s="411"/>
    </row>
    <row r="31" spans="2:50">
      <c r="B31" s="422"/>
      <c r="C31" s="197">
        <v>5</v>
      </c>
      <c r="D31" s="225" t="s">
        <v>323</v>
      </c>
      <c r="E31" s="169">
        <v>18</v>
      </c>
      <c r="F31" s="197">
        <v>1440</v>
      </c>
      <c r="G31" s="195">
        <v>80</v>
      </c>
      <c r="H31" s="429"/>
      <c r="I31" s="169">
        <f t="shared" si="15"/>
        <v>18</v>
      </c>
      <c r="J31" s="169">
        <f t="shared" si="16"/>
        <v>1272.3919411983111</v>
      </c>
      <c r="K31" s="195">
        <f t="shared" si="17"/>
        <v>70.688441177683941</v>
      </c>
      <c r="L31" s="429"/>
      <c r="M31" s="196">
        <f>RANK(K31, K$27:$K$41)</f>
        <v>5</v>
      </c>
      <c r="N31" s="423"/>
      <c r="O31" s="423"/>
      <c r="P31" s="197">
        <v>18</v>
      </c>
      <c r="Q31" s="169">
        <v>1317.4468085106384</v>
      </c>
      <c r="R31" s="195">
        <v>73.191489361702139</v>
      </c>
      <c r="S31" s="197">
        <f t="shared" si="8"/>
        <v>4</v>
      </c>
      <c r="T31" s="411"/>
      <c r="U31" s="197">
        <v>18</v>
      </c>
      <c r="V31" s="169">
        <v>1276.5957446808513</v>
      </c>
      <c r="W31" s="195">
        <v>70.921985815602852</v>
      </c>
      <c r="X31" s="197">
        <f t="shared" si="9"/>
        <v>5</v>
      </c>
      <c r="Y31" s="411"/>
      <c r="Z31" s="197">
        <v>18</v>
      </c>
      <c r="AA31" s="169">
        <v>1262.1428571428582</v>
      </c>
      <c r="AB31" s="195">
        <v>70.119047619047677</v>
      </c>
      <c r="AC31" s="197">
        <f t="shared" si="10"/>
        <v>5</v>
      </c>
      <c r="AD31" s="411"/>
      <c r="AE31" s="197">
        <v>18</v>
      </c>
      <c r="AF31" s="169">
        <v>1254.2857142857138</v>
      </c>
      <c r="AG31" s="195">
        <v>69.682539682539655</v>
      </c>
      <c r="AH31" s="197">
        <f t="shared" si="11"/>
        <v>5</v>
      </c>
      <c r="AI31" s="411"/>
      <c r="AJ31" s="197">
        <v>18</v>
      </c>
      <c r="AK31" s="169">
        <v>1269.3333333333333</v>
      </c>
      <c r="AL31" s="195">
        <v>70.518518518518519</v>
      </c>
      <c r="AM31" s="197">
        <f t="shared" si="12"/>
        <v>5</v>
      </c>
      <c r="AN31" s="411"/>
      <c r="AO31" s="197">
        <v>18</v>
      </c>
      <c r="AP31" s="169">
        <v>1255.2000000000003</v>
      </c>
      <c r="AQ31" s="195">
        <v>69.733333333333348</v>
      </c>
      <c r="AR31" s="197">
        <f t="shared" si="13"/>
        <v>5</v>
      </c>
      <c r="AS31" s="411"/>
      <c r="AT31" s="197">
        <v>18</v>
      </c>
      <c r="AU31" s="169">
        <v>1271.7391304347825</v>
      </c>
      <c r="AV31" s="195">
        <v>70.65217391304347</v>
      </c>
      <c r="AW31" s="197">
        <f t="shared" si="14"/>
        <v>5</v>
      </c>
      <c r="AX31" s="411"/>
    </row>
    <row r="32" spans="2:50">
      <c r="B32" s="422"/>
      <c r="C32" s="197">
        <v>6</v>
      </c>
      <c r="D32" s="225" t="s">
        <v>324</v>
      </c>
      <c r="E32" s="169">
        <v>7</v>
      </c>
      <c r="F32" s="197">
        <v>1500</v>
      </c>
      <c r="G32" s="195">
        <v>214.28571428571428</v>
      </c>
      <c r="H32" s="429"/>
      <c r="I32" s="169">
        <f t="shared" si="15"/>
        <v>6.7142857142857144</v>
      </c>
      <c r="J32" s="169">
        <f t="shared" si="16"/>
        <v>1295.3900332798025</v>
      </c>
      <c r="K32" s="195">
        <f t="shared" si="17"/>
        <v>193.87245410524449</v>
      </c>
      <c r="L32" s="429"/>
      <c r="M32" s="196">
        <f>RANK(K32, K$27:$K$41)</f>
        <v>1</v>
      </c>
      <c r="N32" s="423"/>
      <c r="O32" s="423"/>
      <c r="P32" s="197">
        <v>7</v>
      </c>
      <c r="Q32" s="197">
        <v>1298.0838323353294</v>
      </c>
      <c r="R32" s="197">
        <v>185.44054747647561</v>
      </c>
      <c r="S32" s="197">
        <f t="shared" si="8"/>
        <v>1</v>
      </c>
      <c r="T32" s="411"/>
      <c r="U32" s="197">
        <v>7</v>
      </c>
      <c r="V32" s="169">
        <v>1295.5029585798816</v>
      </c>
      <c r="W32" s="195">
        <v>185.07185122569737</v>
      </c>
      <c r="X32" s="197">
        <f t="shared" si="9"/>
        <v>1</v>
      </c>
      <c r="Y32" s="411"/>
      <c r="Z32" s="197">
        <v>7</v>
      </c>
      <c r="AA32" s="169">
        <v>1292.0610687022902</v>
      </c>
      <c r="AB32" s="195">
        <v>184.58015267175574</v>
      </c>
      <c r="AC32" s="197">
        <f t="shared" si="10"/>
        <v>2</v>
      </c>
      <c r="AD32" s="411"/>
      <c r="AE32" s="197">
        <v>7</v>
      </c>
      <c r="AF32" s="169">
        <v>1293.9622641509434</v>
      </c>
      <c r="AG32" s="195">
        <v>184.85175202156333</v>
      </c>
      <c r="AH32" s="197">
        <f t="shared" si="11"/>
        <v>1</v>
      </c>
      <c r="AI32" s="411"/>
      <c r="AJ32" s="197">
        <v>7</v>
      </c>
      <c r="AK32" s="169">
        <v>1296</v>
      </c>
      <c r="AL32" s="195">
        <v>185.14285714285714</v>
      </c>
      <c r="AM32" s="197">
        <f t="shared" si="12"/>
        <v>2</v>
      </c>
      <c r="AN32" s="411"/>
      <c r="AO32" s="197">
        <v>6</v>
      </c>
      <c r="AP32" s="169">
        <v>1294.2857142857144</v>
      </c>
      <c r="AQ32" s="195">
        <v>215.71428571428575</v>
      </c>
      <c r="AR32" s="197">
        <f t="shared" si="13"/>
        <v>1</v>
      </c>
      <c r="AS32" s="411"/>
      <c r="AT32" s="197">
        <v>6</v>
      </c>
      <c r="AU32" s="169">
        <v>1297.8343949044588</v>
      </c>
      <c r="AV32" s="195">
        <v>216.30573248407646</v>
      </c>
      <c r="AW32" s="197">
        <f t="shared" si="14"/>
        <v>2</v>
      </c>
      <c r="AX32" s="411"/>
    </row>
    <row r="33" spans="2:50">
      <c r="B33" s="422"/>
      <c r="C33" s="197">
        <v>7</v>
      </c>
      <c r="D33" s="225"/>
      <c r="E33" s="169"/>
      <c r="F33" s="197"/>
      <c r="G33" s="195"/>
      <c r="H33" s="429"/>
      <c r="I33" s="169"/>
      <c r="J33" s="169"/>
      <c r="K33" s="195"/>
      <c r="L33" s="429"/>
      <c r="M33" s="196" t="e">
        <f>RANK(K33, K$27:$K$41)</f>
        <v>#N/A</v>
      </c>
      <c r="N33" s="423"/>
      <c r="O33" s="423"/>
      <c r="P33" s="197"/>
      <c r="Q33" s="197"/>
      <c r="R33" s="197"/>
      <c r="S33" s="197" t="e">
        <f t="shared" si="8"/>
        <v>#N/A</v>
      </c>
      <c r="T33" s="411"/>
      <c r="U33" s="197"/>
      <c r="V33" s="197"/>
      <c r="W33" s="197"/>
      <c r="X33" s="197" t="e">
        <f t="shared" si="9"/>
        <v>#N/A</v>
      </c>
      <c r="Y33" s="411"/>
      <c r="Z33" s="197"/>
      <c r="AA33" s="197"/>
      <c r="AB33" s="197"/>
      <c r="AC33" s="197" t="e">
        <f t="shared" si="10"/>
        <v>#N/A</v>
      </c>
      <c r="AD33" s="411"/>
      <c r="AE33" s="197"/>
      <c r="AF33" s="197"/>
      <c r="AG33" s="197"/>
      <c r="AH33" s="197" t="e">
        <f t="shared" si="11"/>
        <v>#N/A</v>
      </c>
      <c r="AI33" s="411"/>
      <c r="AJ33" s="197"/>
      <c r="AK33" s="197"/>
      <c r="AL33" s="197"/>
      <c r="AM33" s="197" t="e">
        <f t="shared" si="12"/>
        <v>#N/A</v>
      </c>
      <c r="AN33" s="411"/>
      <c r="AO33" s="197"/>
      <c r="AP33" s="197"/>
      <c r="AQ33" s="197"/>
      <c r="AR33" s="197" t="e">
        <f t="shared" si="13"/>
        <v>#N/A</v>
      </c>
      <c r="AS33" s="411"/>
      <c r="AT33" s="197"/>
      <c r="AU33" s="197"/>
      <c r="AV33" s="197"/>
      <c r="AW33" s="197" t="e">
        <f t="shared" si="14"/>
        <v>#N/A</v>
      </c>
      <c r="AX33" s="411"/>
    </row>
    <row r="34" spans="2:50">
      <c r="B34" s="422"/>
      <c r="C34" s="197">
        <v>8</v>
      </c>
      <c r="D34" s="225"/>
      <c r="E34" s="169"/>
      <c r="F34" s="197"/>
      <c r="G34" s="195"/>
      <c r="H34" s="429"/>
      <c r="I34" s="169"/>
      <c r="J34" s="169"/>
      <c r="K34" s="195"/>
      <c r="L34" s="429"/>
      <c r="M34" s="196" t="e">
        <f>RANK(K34, K$27:$K$41)</f>
        <v>#N/A</v>
      </c>
      <c r="N34" s="423"/>
      <c r="O34" s="423"/>
      <c r="P34" s="197"/>
      <c r="Q34" s="197"/>
      <c r="R34" s="197"/>
      <c r="S34" s="197" t="e">
        <f t="shared" si="8"/>
        <v>#N/A</v>
      </c>
      <c r="T34" s="411"/>
      <c r="U34" s="197"/>
      <c r="V34" s="197"/>
      <c r="W34" s="197"/>
      <c r="X34" s="197" t="e">
        <f t="shared" si="9"/>
        <v>#N/A</v>
      </c>
      <c r="Y34" s="411"/>
      <c r="Z34" s="197"/>
      <c r="AA34" s="197"/>
      <c r="AB34" s="197"/>
      <c r="AC34" s="197" t="e">
        <f t="shared" si="10"/>
        <v>#N/A</v>
      </c>
      <c r="AD34" s="411"/>
      <c r="AE34" s="197"/>
      <c r="AF34" s="197"/>
      <c r="AG34" s="197"/>
      <c r="AH34" s="197" t="e">
        <f t="shared" si="11"/>
        <v>#N/A</v>
      </c>
      <c r="AI34" s="411"/>
      <c r="AJ34" s="197"/>
      <c r="AK34" s="197"/>
      <c r="AL34" s="197"/>
      <c r="AM34" s="197" t="e">
        <f t="shared" si="12"/>
        <v>#N/A</v>
      </c>
      <c r="AN34" s="411"/>
      <c r="AO34" s="197"/>
      <c r="AP34" s="197"/>
      <c r="AQ34" s="197"/>
      <c r="AR34" s="197" t="e">
        <f t="shared" si="13"/>
        <v>#N/A</v>
      </c>
      <c r="AS34" s="411"/>
      <c r="AT34" s="197"/>
      <c r="AU34" s="197"/>
      <c r="AV34" s="197"/>
      <c r="AW34" s="197" t="e">
        <f t="shared" si="14"/>
        <v>#N/A</v>
      </c>
      <c r="AX34" s="411"/>
    </row>
    <row r="35" spans="2:50">
      <c r="B35" s="422"/>
      <c r="C35" s="197">
        <v>9</v>
      </c>
      <c r="D35" s="225"/>
      <c r="E35" s="169"/>
      <c r="F35" s="197"/>
      <c r="G35" s="195"/>
      <c r="H35" s="429"/>
      <c r="I35" s="169"/>
      <c r="J35" s="169"/>
      <c r="K35" s="195"/>
      <c r="L35" s="429"/>
      <c r="M35" s="196" t="e">
        <f>RANK(K35, K$27:$K$41)</f>
        <v>#N/A</v>
      </c>
      <c r="N35" s="423"/>
      <c r="O35" s="423"/>
      <c r="P35" s="197"/>
      <c r="Q35" s="197"/>
      <c r="R35" s="197"/>
      <c r="S35" s="197" t="e">
        <f t="shared" si="8"/>
        <v>#N/A</v>
      </c>
      <c r="T35" s="411"/>
      <c r="U35" s="197"/>
      <c r="V35" s="197"/>
      <c r="W35" s="197"/>
      <c r="X35" s="197" t="e">
        <f t="shared" si="9"/>
        <v>#N/A</v>
      </c>
      <c r="Y35" s="411"/>
      <c r="Z35" s="197"/>
      <c r="AA35" s="197"/>
      <c r="AB35" s="197"/>
      <c r="AC35" s="197" t="e">
        <f t="shared" si="10"/>
        <v>#N/A</v>
      </c>
      <c r="AD35" s="411"/>
      <c r="AE35" s="197"/>
      <c r="AF35" s="197"/>
      <c r="AG35" s="197"/>
      <c r="AH35" s="197" t="e">
        <f t="shared" si="11"/>
        <v>#N/A</v>
      </c>
      <c r="AI35" s="411"/>
      <c r="AJ35" s="197"/>
      <c r="AK35" s="197"/>
      <c r="AL35" s="197"/>
      <c r="AM35" s="197" t="e">
        <f t="shared" si="12"/>
        <v>#N/A</v>
      </c>
      <c r="AN35" s="411"/>
      <c r="AO35" s="197"/>
      <c r="AP35" s="197"/>
      <c r="AQ35" s="197"/>
      <c r="AR35" s="197" t="e">
        <f t="shared" si="13"/>
        <v>#N/A</v>
      </c>
      <c r="AS35" s="411"/>
      <c r="AT35" s="197"/>
      <c r="AU35" s="197"/>
      <c r="AV35" s="197"/>
      <c r="AW35" s="197" t="e">
        <f t="shared" si="14"/>
        <v>#N/A</v>
      </c>
      <c r="AX35" s="411"/>
    </row>
    <row r="36" spans="2:50">
      <c r="B36" s="422"/>
      <c r="C36" s="197">
        <v>10</v>
      </c>
      <c r="D36" s="225"/>
      <c r="E36" s="169"/>
      <c r="F36" s="197"/>
      <c r="G36" s="195"/>
      <c r="H36" s="429"/>
      <c r="I36" s="169"/>
      <c r="J36" s="169"/>
      <c r="K36" s="195"/>
      <c r="L36" s="429"/>
      <c r="M36" s="196" t="e">
        <f>RANK(K36, K$27:$K$41)</f>
        <v>#N/A</v>
      </c>
      <c r="N36" s="423"/>
      <c r="O36" s="423"/>
      <c r="P36" s="197"/>
      <c r="Q36" s="197"/>
      <c r="R36" s="197"/>
      <c r="S36" s="197" t="e">
        <f t="shared" si="8"/>
        <v>#N/A</v>
      </c>
      <c r="T36" s="411"/>
      <c r="U36" s="197"/>
      <c r="V36" s="197"/>
      <c r="W36" s="197"/>
      <c r="X36" s="197" t="e">
        <f t="shared" si="9"/>
        <v>#N/A</v>
      </c>
      <c r="Y36" s="411"/>
      <c r="Z36" s="197"/>
      <c r="AA36" s="197"/>
      <c r="AB36" s="197"/>
      <c r="AC36" s="197" t="e">
        <f t="shared" si="10"/>
        <v>#N/A</v>
      </c>
      <c r="AD36" s="411"/>
      <c r="AE36" s="197"/>
      <c r="AF36" s="197"/>
      <c r="AG36" s="197"/>
      <c r="AH36" s="197" t="e">
        <f t="shared" si="11"/>
        <v>#N/A</v>
      </c>
      <c r="AI36" s="411"/>
      <c r="AJ36" s="197"/>
      <c r="AK36" s="197"/>
      <c r="AL36" s="197"/>
      <c r="AM36" s="197" t="e">
        <f t="shared" si="12"/>
        <v>#N/A</v>
      </c>
      <c r="AN36" s="411"/>
      <c r="AO36" s="197"/>
      <c r="AP36" s="197"/>
      <c r="AQ36" s="197"/>
      <c r="AR36" s="197" t="e">
        <f t="shared" si="13"/>
        <v>#N/A</v>
      </c>
      <c r="AS36" s="411"/>
      <c r="AT36" s="197"/>
      <c r="AU36" s="197"/>
      <c r="AV36" s="197"/>
      <c r="AW36" s="197" t="e">
        <f t="shared" si="14"/>
        <v>#N/A</v>
      </c>
      <c r="AX36" s="411"/>
    </row>
    <row r="37" spans="2:50">
      <c r="B37" s="422"/>
      <c r="C37" s="197">
        <v>11</v>
      </c>
      <c r="D37" s="225"/>
      <c r="E37" s="169"/>
      <c r="F37" s="197"/>
      <c r="G37" s="195"/>
      <c r="H37" s="429"/>
      <c r="I37" s="169"/>
      <c r="J37" s="169"/>
      <c r="K37" s="195"/>
      <c r="L37" s="429"/>
      <c r="M37" s="196" t="e">
        <f>RANK(K37, K$27:$K$41)</f>
        <v>#N/A</v>
      </c>
      <c r="N37" s="423"/>
      <c r="O37" s="423"/>
      <c r="P37" s="197"/>
      <c r="Q37" s="197"/>
      <c r="R37" s="197"/>
      <c r="S37" s="197" t="e">
        <f t="shared" si="8"/>
        <v>#N/A</v>
      </c>
      <c r="T37" s="411"/>
      <c r="U37" s="197"/>
      <c r="V37" s="197"/>
      <c r="W37" s="197"/>
      <c r="X37" s="197" t="e">
        <f t="shared" si="9"/>
        <v>#N/A</v>
      </c>
      <c r="Y37" s="411"/>
      <c r="Z37" s="197"/>
      <c r="AA37" s="197"/>
      <c r="AB37" s="197"/>
      <c r="AC37" s="197" t="e">
        <f t="shared" si="10"/>
        <v>#N/A</v>
      </c>
      <c r="AD37" s="411"/>
      <c r="AE37" s="197"/>
      <c r="AF37" s="197"/>
      <c r="AG37" s="197"/>
      <c r="AH37" s="197" t="e">
        <f t="shared" si="11"/>
        <v>#N/A</v>
      </c>
      <c r="AI37" s="411"/>
      <c r="AJ37" s="197"/>
      <c r="AK37" s="197"/>
      <c r="AL37" s="197"/>
      <c r="AM37" s="197" t="e">
        <f t="shared" si="12"/>
        <v>#N/A</v>
      </c>
      <c r="AN37" s="411"/>
      <c r="AO37" s="197"/>
      <c r="AP37" s="197"/>
      <c r="AQ37" s="197"/>
      <c r="AR37" s="197" t="e">
        <f t="shared" si="13"/>
        <v>#N/A</v>
      </c>
      <c r="AS37" s="411"/>
      <c r="AT37" s="197"/>
      <c r="AU37" s="197"/>
      <c r="AV37" s="197"/>
      <c r="AW37" s="197" t="e">
        <f t="shared" si="14"/>
        <v>#N/A</v>
      </c>
      <c r="AX37" s="411"/>
    </row>
    <row r="38" spans="2:50">
      <c r="B38" s="422"/>
      <c r="C38" s="197">
        <v>12</v>
      </c>
      <c r="D38" s="225"/>
      <c r="E38" s="169"/>
      <c r="F38" s="197"/>
      <c r="G38" s="195"/>
      <c r="H38" s="429"/>
      <c r="I38" s="169"/>
      <c r="J38" s="169"/>
      <c r="K38" s="195"/>
      <c r="L38" s="429"/>
      <c r="M38" s="196" t="e">
        <f>RANK(K38, K$27:$K$41)</f>
        <v>#N/A</v>
      </c>
      <c r="N38" s="423"/>
      <c r="O38" s="423"/>
      <c r="P38" s="197"/>
      <c r="Q38" s="197"/>
      <c r="R38" s="197"/>
      <c r="S38" s="197" t="e">
        <f t="shared" si="8"/>
        <v>#N/A</v>
      </c>
      <c r="T38" s="411"/>
      <c r="U38" s="197"/>
      <c r="V38" s="197"/>
      <c r="W38" s="197"/>
      <c r="X38" s="197" t="e">
        <f t="shared" si="9"/>
        <v>#N/A</v>
      </c>
      <c r="Y38" s="411"/>
      <c r="Z38" s="197"/>
      <c r="AA38" s="197"/>
      <c r="AB38" s="197"/>
      <c r="AC38" s="197" t="e">
        <f t="shared" si="10"/>
        <v>#N/A</v>
      </c>
      <c r="AD38" s="411"/>
      <c r="AE38" s="197"/>
      <c r="AF38" s="197"/>
      <c r="AG38" s="197"/>
      <c r="AH38" s="197" t="e">
        <f t="shared" si="11"/>
        <v>#N/A</v>
      </c>
      <c r="AI38" s="411"/>
      <c r="AJ38" s="197"/>
      <c r="AK38" s="197"/>
      <c r="AL38" s="197"/>
      <c r="AM38" s="197" t="e">
        <f t="shared" si="12"/>
        <v>#N/A</v>
      </c>
      <c r="AN38" s="411"/>
      <c r="AO38" s="197"/>
      <c r="AP38" s="197"/>
      <c r="AQ38" s="197"/>
      <c r="AR38" s="197" t="e">
        <f t="shared" si="13"/>
        <v>#N/A</v>
      </c>
      <c r="AS38" s="411"/>
      <c r="AT38" s="197"/>
      <c r="AU38" s="197"/>
      <c r="AV38" s="197"/>
      <c r="AW38" s="197" t="e">
        <f t="shared" si="14"/>
        <v>#N/A</v>
      </c>
      <c r="AX38" s="411"/>
    </row>
    <row r="39" spans="2:50">
      <c r="B39" s="422"/>
      <c r="C39" s="197">
        <v>13</v>
      </c>
      <c r="D39" s="225"/>
      <c r="E39" s="169"/>
      <c r="F39" s="197"/>
      <c r="G39" s="195"/>
      <c r="H39" s="429"/>
      <c r="I39" s="169"/>
      <c r="J39" s="169"/>
      <c r="K39" s="195"/>
      <c r="L39" s="429"/>
      <c r="M39" s="196" t="e">
        <f>RANK(K39, K$27:$K$41)</f>
        <v>#N/A</v>
      </c>
      <c r="N39" s="423"/>
      <c r="O39" s="423"/>
      <c r="P39" s="197"/>
      <c r="Q39" s="197"/>
      <c r="R39" s="197"/>
      <c r="S39" s="197" t="e">
        <f t="shared" si="8"/>
        <v>#N/A</v>
      </c>
      <c r="T39" s="411"/>
      <c r="U39" s="197"/>
      <c r="V39" s="197"/>
      <c r="W39" s="197"/>
      <c r="X39" s="197" t="e">
        <f t="shared" si="9"/>
        <v>#N/A</v>
      </c>
      <c r="Y39" s="411"/>
      <c r="Z39" s="197"/>
      <c r="AA39" s="197"/>
      <c r="AB39" s="197"/>
      <c r="AC39" s="197" t="e">
        <f t="shared" si="10"/>
        <v>#N/A</v>
      </c>
      <c r="AD39" s="411"/>
      <c r="AE39" s="197"/>
      <c r="AF39" s="197"/>
      <c r="AG39" s="197"/>
      <c r="AH39" s="197" t="e">
        <f t="shared" si="11"/>
        <v>#N/A</v>
      </c>
      <c r="AI39" s="411"/>
      <c r="AJ39" s="197"/>
      <c r="AK39" s="197"/>
      <c r="AL39" s="197"/>
      <c r="AM39" s="197" t="e">
        <f t="shared" si="12"/>
        <v>#N/A</v>
      </c>
      <c r="AN39" s="411"/>
      <c r="AO39" s="197"/>
      <c r="AP39" s="197"/>
      <c r="AQ39" s="197"/>
      <c r="AR39" s="197" t="e">
        <f t="shared" si="13"/>
        <v>#N/A</v>
      </c>
      <c r="AS39" s="411"/>
      <c r="AT39" s="197"/>
      <c r="AU39" s="197"/>
      <c r="AV39" s="197"/>
      <c r="AW39" s="197" t="e">
        <f t="shared" si="14"/>
        <v>#N/A</v>
      </c>
      <c r="AX39" s="411"/>
    </row>
    <row r="40" spans="2:50">
      <c r="B40" s="422"/>
      <c r="C40" s="197">
        <v>14</v>
      </c>
      <c r="D40" s="225"/>
      <c r="E40" s="169"/>
      <c r="F40" s="197"/>
      <c r="G40" s="195"/>
      <c r="H40" s="429"/>
      <c r="I40" s="169"/>
      <c r="J40" s="169"/>
      <c r="K40" s="195"/>
      <c r="L40" s="429"/>
      <c r="M40" s="196" t="e">
        <f>RANK(K40, K$27:$K$41)</f>
        <v>#N/A</v>
      </c>
      <c r="N40" s="423"/>
      <c r="O40" s="423"/>
      <c r="P40" s="197"/>
      <c r="Q40" s="197"/>
      <c r="R40" s="197"/>
      <c r="S40" s="197" t="e">
        <f t="shared" si="8"/>
        <v>#N/A</v>
      </c>
      <c r="T40" s="411"/>
      <c r="U40" s="197"/>
      <c r="V40" s="197"/>
      <c r="W40" s="197"/>
      <c r="X40" s="197" t="e">
        <f t="shared" si="9"/>
        <v>#N/A</v>
      </c>
      <c r="Y40" s="411"/>
      <c r="Z40" s="197"/>
      <c r="AA40" s="197"/>
      <c r="AB40" s="197"/>
      <c r="AC40" s="197" t="e">
        <f t="shared" si="10"/>
        <v>#N/A</v>
      </c>
      <c r="AD40" s="411"/>
      <c r="AE40" s="197"/>
      <c r="AF40" s="197"/>
      <c r="AG40" s="197"/>
      <c r="AH40" s="197" t="e">
        <f t="shared" si="11"/>
        <v>#N/A</v>
      </c>
      <c r="AI40" s="411"/>
      <c r="AJ40" s="197"/>
      <c r="AK40" s="197"/>
      <c r="AL40" s="197"/>
      <c r="AM40" s="197" t="e">
        <f t="shared" si="12"/>
        <v>#N/A</v>
      </c>
      <c r="AN40" s="411"/>
      <c r="AO40" s="197"/>
      <c r="AP40" s="197"/>
      <c r="AQ40" s="197"/>
      <c r="AR40" s="197" t="e">
        <f t="shared" si="13"/>
        <v>#N/A</v>
      </c>
      <c r="AS40" s="411"/>
      <c r="AT40" s="197"/>
      <c r="AU40" s="197"/>
      <c r="AV40" s="197"/>
      <c r="AW40" s="197" t="e">
        <f t="shared" si="14"/>
        <v>#N/A</v>
      </c>
      <c r="AX40" s="411"/>
    </row>
    <row r="41" spans="2:50">
      <c r="B41" s="422"/>
      <c r="C41" s="197">
        <v>15</v>
      </c>
      <c r="D41" s="225"/>
      <c r="E41" s="169"/>
      <c r="F41" s="197"/>
      <c r="G41" s="195"/>
      <c r="H41" s="430"/>
      <c r="I41" s="169"/>
      <c r="J41" s="169"/>
      <c r="K41" s="195"/>
      <c r="L41" s="430"/>
      <c r="M41" s="169" t="e">
        <f>RANK(K41, K$27:$K$41)</f>
        <v>#N/A</v>
      </c>
      <c r="N41" s="423"/>
      <c r="O41" s="423"/>
      <c r="P41" s="197"/>
      <c r="Q41" s="197"/>
      <c r="R41" s="197"/>
      <c r="S41" s="197" t="e">
        <f t="shared" si="8"/>
        <v>#N/A</v>
      </c>
      <c r="T41" s="412"/>
      <c r="U41" s="197"/>
      <c r="V41" s="197"/>
      <c r="W41" s="197"/>
      <c r="X41" s="197" t="e">
        <f t="shared" si="9"/>
        <v>#N/A</v>
      </c>
      <c r="Y41" s="412"/>
      <c r="Z41" s="197"/>
      <c r="AA41" s="197"/>
      <c r="AB41" s="197"/>
      <c r="AC41" s="197" t="e">
        <f t="shared" si="10"/>
        <v>#N/A</v>
      </c>
      <c r="AD41" s="412"/>
      <c r="AE41" s="197"/>
      <c r="AF41" s="197"/>
      <c r="AG41" s="197"/>
      <c r="AH41" s="197" t="e">
        <f t="shared" si="11"/>
        <v>#N/A</v>
      </c>
      <c r="AI41" s="412"/>
      <c r="AJ41" s="197"/>
      <c r="AK41" s="197"/>
      <c r="AL41" s="197"/>
      <c r="AM41" s="197" t="e">
        <f t="shared" si="12"/>
        <v>#N/A</v>
      </c>
      <c r="AN41" s="412"/>
      <c r="AO41" s="197"/>
      <c r="AP41" s="197"/>
      <c r="AQ41" s="197"/>
      <c r="AR41" s="197" t="e">
        <f t="shared" si="13"/>
        <v>#N/A</v>
      </c>
      <c r="AS41" s="412"/>
      <c r="AT41" s="197"/>
      <c r="AU41" s="197"/>
      <c r="AV41" s="197"/>
      <c r="AW41" s="197" t="e">
        <f t="shared" si="14"/>
        <v>#N/A</v>
      </c>
      <c r="AX41" s="412"/>
    </row>
    <row r="42" spans="2:50" ht="15.75">
      <c r="B42" s="424" t="s">
        <v>202</v>
      </c>
      <c r="C42" s="425"/>
      <c r="D42" s="425"/>
      <c r="E42" s="425"/>
      <c r="F42" s="425"/>
      <c r="G42" s="425"/>
      <c r="H42" s="425"/>
      <c r="I42" s="201"/>
      <c r="J42" s="198"/>
      <c r="K42" s="201"/>
      <c r="L42" s="201"/>
      <c r="M42" s="193"/>
      <c r="N42" s="401" t="s">
        <v>203</v>
      </c>
      <c r="O42" s="401" t="s">
        <v>150</v>
      </c>
      <c r="P42" s="421">
        <f>P22+7</f>
        <v>45909</v>
      </c>
      <c r="Q42" s="422"/>
      <c r="R42" s="422"/>
      <c r="S42" s="422"/>
      <c r="T42" s="422"/>
      <c r="U42" s="416">
        <f>P42+1</f>
        <v>45910</v>
      </c>
      <c r="V42" s="417"/>
      <c r="W42" s="417"/>
      <c r="X42" s="417"/>
      <c r="Y42" s="418"/>
      <c r="Z42" s="416">
        <f>U42+1</f>
        <v>45911</v>
      </c>
      <c r="AA42" s="417"/>
      <c r="AB42" s="417"/>
      <c r="AC42" s="417"/>
      <c r="AD42" s="418"/>
      <c r="AE42" s="416">
        <f t="shared" ref="AE42" si="18">Z42+1</f>
        <v>45912</v>
      </c>
      <c r="AF42" s="417"/>
      <c r="AG42" s="417"/>
      <c r="AH42" s="417"/>
      <c r="AI42" s="418"/>
      <c r="AJ42" s="416">
        <f t="shared" ref="AJ42" si="19">AE42+1</f>
        <v>45913</v>
      </c>
      <c r="AK42" s="417"/>
      <c r="AL42" s="417"/>
      <c r="AM42" s="417"/>
      <c r="AN42" s="418"/>
      <c r="AO42" s="416">
        <f t="shared" ref="AO42" si="20">AJ42+1</f>
        <v>45914</v>
      </c>
      <c r="AP42" s="417"/>
      <c r="AQ42" s="417"/>
      <c r="AR42" s="417"/>
      <c r="AS42" s="418"/>
      <c r="AT42" s="416">
        <f t="shared" ref="AT42" si="21">AO42+1</f>
        <v>45915</v>
      </c>
      <c r="AU42" s="417"/>
      <c r="AV42" s="417"/>
      <c r="AW42" s="417"/>
      <c r="AX42" s="418"/>
    </row>
    <row r="43" spans="2:50" ht="15.75">
      <c r="B43" s="426"/>
      <c r="C43" s="426"/>
      <c r="D43" s="426"/>
      <c r="E43" s="426"/>
      <c r="F43" s="426"/>
      <c r="G43" s="426"/>
      <c r="H43" s="426"/>
      <c r="I43" s="199"/>
      <c r="J43" s="199"/>
      <c r="K43" s="199"/>
      <c r="L43" s="199"/>
      <c r="M43" s="194"/>
      <c r="N43" s="403"/>
      <c r="O43" s="403"/>
      <c r="P43" s="421" t="s">
        <v>204</v>
      </c>
      <c r="Q43" s="422"/>
      <c r="R43" s="422"/>
      <c r="S43" s="422"/>
      <c r="T43" s="422"/>
      <c r="U43" s="421" t="s">
        <v>205</v>
      </c>
      <c r="V43" s="422"/>
      <c r="W43" s="422"/>
      <c r="X43" s="422"/>
      <c r="Y43" s="422"/>
      <c r="Z43" s="421" t="s">
        <v>206</v>
      </c>
      <c r="AA43" s="422"/>
      <c r="AB43" s="422"/>
      <c r="AC43" s="422"/>
      <c r="AD43" s="422"/>
      <c r="AE43" s="421" t="s">
        <v>207</v>
      </c>
      <c r="AF43" s="422"/>
      <c r="AG43" s="422"/>
      <c r="AH43" s="422"/>
      <c r="AI43" s="422"/>
      <c r="AJ43" s="421" t="s">
        <v>208</v>
      </c>
      <c r="AK43" s="422"/>
      <c r="AL43" s="422"/>
      <c r="AM43" s="422"/>
      <c r="AN43" s="422"/>
      <c r="AO43" s="421" t="s">
        <v>157</v>
      </c>
      <c r="AP43" s="422"/>
      <c r="AQ43" s="422"/>
      <c r="AR43" s="422"/>
      <c r="AS43" s="422"/>
      <c r="AT43" s="421" t="s">
        <v>209</v>
      </c>
      <c r="AU43" s="422"/>
      <c r="AV43" s="422"/>
      <c r="AW43" s="422"/>
      <c r="AX43" s="422"/>
    </row>
    <row r="44" spans="2:50">
      <c r="B44" s="423" t="s">
        <v>210</v>
      </c>
      <c r="C44" s="423" t="s">
        <v>211</v>
      </c>
      <c r="D44" s="423"/>
      <c r="E44" s="423" t="s">
        <v>212</v>
      </c>
      <c r="F44" s="423"/>
      <c r="G44" s="423"/>
      <c r="H44" s="404" t="s">
        <v>213</v>
      </c>
      <c r="I44" s="423" t="s">
        <v>214</v>
      </c>
      <c r="J44" s="423"/>
      <c r="K44" s="423"/>
      <c r="L44" s="404" t="s">
        <v>213</v>
      </c>
      <c r="M44" s="401" t="s">
        <v>215</v>
      </c>
      <c r="N44" s="423"/>
      <c r="O44" s="423" t="s">
        <v>216</v>
      </c>
      <c r="P44" s="413" t="s">
        <v>217</v>
      </c>
      <c r="Q44" s="414"/>
      <c r="R44" s="414"/>
      <c r="S44" s="415"/>
      <c r="T44" s="423" t="s">
        <v>213</v>
      </c>
      <c r="U44" s="413" t="s">
        <v>217</v>
      </c>
      <c r="V44" s="414"/>
      <c r="W44" s="414"/>
      <c r="X44" s="415"/>
      <c r="Y44" s="423" t="s">
        <v>213</v>
      </c>
      <c r="Z44" s="413" t="s">
        <v>217</v>
      </c>
      <c r="AA44" s="414"/>
      <c r="AB44" s="414"/>
      <c r="AC44" s="415"/>
      <c r="AD44" s="423" t="s">
        <v>213</v>
      </c>
      <c r="AE44" s="413" t="s">
        <v>217</v>
      </c>
      <c r="AF44" s="414"/>
      <c r="AG44" s="414"/>
      <c r="AH44" s="415"/>
      <c r="AI44" s="423" t="s">
        <v>213</v>
      </c>
      <c r="AJ44" s="413" t="s">
        <v>217</v>
      </c>
      <c r="AK44" s="414"/>
      <c r="AL44" s="414"/>
      <c r="AM44" s="415"/>
      <c r="AN44" s="423" t="s">
        <v>213</v>
      </c>
      <c r="AO44" s="413" t="s">
        <v>217</v>
      </c>
      <c r="AP44" s="414"/>
      <c r="AQ44" s="414"/>
      <c r="AR44" s="415"/>
      <c r="AS44" s="423" t="s">
        <v>213</v>
      </c>
      <c r="AT44" s="413" t="s">
        <v>217</v>
      </c>
      <c r="AU44" s="414"/>
      <c r="AV44" s="414"/>
      <c r="AW44" s="415"/>
      <c r="AX44" s="423" t="s">
        <v>213</v>
      </c>
    </row>
    <row r="45" spans="2:50">
      <c r="B45" s="423"/>
      <c r="C45" s="423"/>
      <c r="D45" s="423"/>
      <c r="E45" s="423" t="s">
        <v>218</v>
      </c>
      <c r="F45" s="423"/>
      <c r="G45" s="423"/>
      <c r="H45" s="406"/>
      <c r="I45" s="423" t="s">
        <v>218</v>
      </c>
      <c r="J45" s="423"/>
      <c r="K45" s="423"/>
      <c r="L45" s="406"/>
      <c r="M45" s="402"/>
      <c r="N45" s="423"/>
      <c r="O45" s="423"/>
      <c r="P45" s="413" t="s">
        <v>219</v>
      </c>
      <c r="Q45" s="414"/>
      <c r="R45" s="414"/>
      <c r="S45" s="415"/>
      <c r="T45" s="423"/>
      <c r="U45" s="413" t="s">
        <v>219</v>
      </c>
      <c r="V45" s="414"/>
      <c r="W45" s="414"/>
      <c r="X45" s="415"/>
      <c r="Y45" s="423"/>
      <c r="Z45" s="413" t="s">
        <v>219</v>
      </c>
      <c r="AA45" s="414"/>
      <c r="AB45" s="414"/>
      <c r="AC45" s="415"/>
      <c r="AD45" s="423"/>
      <c r="AE45" s="413" t="s">
        <v>219</v>
      </c>
      <c r="AF45" s="414"/>
      <c r="AG45" s="414"/>
      <c r="AH45" s="415"/>
      <c r="AI45" s="423"/>
      <c r="AJ45" s="413" t="s">
        <v>219</v>
      </c>
      <c r="AK45" s="414"/>
      <c r="AL45" s="414"/>
      <c r="AM45" s="415"/>
      <c r="AN45" s="423"/>
      <c r="AO45" s="413" t="s">
        <v>219</v>
      </c>
      <c r="AP45" s="414"/>
      <c r="AQ45" s="414"/>
      <c r="AR45" s="415"/>
      <c r="AS45" s="423"/>
      <c r="AT45" s="413" t="s">
        <v>219</v>
      </c>
      <c r="AU45" s="414"/>
      <c r="AV45" s="414"/>
      <c r="AW45" s="415"/>
      <c r="AX45" s="423"/>
    </row>
    <row r="46" spans="2:50">
      <c r="B46" s="423"/>
      <c r="C46" s="423"/>
      <c r="D46" s="423"/>
      <c r="E46" s="297" t="s">
        <v>220</v>
      </c>
      <c r="F46" s="297" t="s">
        <v>221</v>
      </c>
      <c r="G46" s="297" t="s">
        <v>222</v>
      </c>
      <c r="H46" s="408"/>
      <c r="I46" s="297" t="s">
        <v>220</v>
      </c>
      <c r="J46" s="297" t="s">
        <v>221</v>
      </c>
      <c r="K46" s="297" t="s">
        <v>222</v>
      </c>
      <c r="L46" s="408"/>
      <c r="M46" s="403"/>
      <c r="N46" s="423"/>
      <c r="O46" s="423"/>
      <c r="P46" s="297" t="s">
        <v>220</v>
      </c>
      <c r="Q46" s="297" t="s">
        <v>221</v>
      </c>
      <c r="R46" s="297" t="s">
        <v>222</v>
      </c>
      <c r="S46" s="297" t="s">
        <v>215</v>
      </c>
      <c r="T46" s="423"/>
      <c r="U46" s="297" t="s">
        <v>220</v>
      </c>
      <c r="V46" s="297" t="s">
        <v>221</v>
      </c>
      <c r="W46" s="297" t="s">
        <v>222</v>
      </c>
      <c r="X46" s="297" t="s">
        <v>215</v>
      </c>
      <c r="Y46" s="423"/>
      <c r="Z46" s="297" t="s">
        <v>220</v>
      </c>
      <c r="AA46" s="297" t="s">
        <v>221</v>
      </c>
      <c r="AB46" s="297" t="s">
        <v>222</v>
      </c>
      <c r="AC46" s="297" t="s">
        <v>215</v>
      </c>
      <c r="AD46" s="423"/>
      <c r="AE46" s="297" t="s">
        <v>220</v>
      </c>
      <c r="AF46" s="297" t="s">
        <v>221</v>
      </c>
      <c r="AG46" s="297" t="s">
        <v>222</v>
      </c>
      <c r="AH46" s="297" t="s">
        <v>215</v>
      </c>
      <c r="AI46" s="423"/>
      <c r="AJ46" s="297" t="s">
        <v>220</v>
      </c>
      <c r="AK46" s="297" t="s">
        <v>221</v>
      </c>
      <c r="AL46" s="297" t="s">
        <v>222</v>
      </c>
      <c r="AM46" s="297" t="s">
        <v>215</v>
      </c>
      <c r="AN46" s="423"/>
      <c r="AO46" s="297" t="s">
        <v>220</v>
      </c>
      <c r="AP46" s="297" t="s">
        <v>221</v>
      </c>
      <c r="AQ46" s="297" t="s">
        <v>222</v>
      </c>
      <c r="AR46" s="297" t="s">
        <v>215</v>
      </c>
      <c r="AS46" s="423"/>
      <c r="AT46" s="297" t="s">
        <v>220</v>
      </c>
      <c r="AU46" s="297" t="s">
        <v>221</v>
      </c>
      <c r="AV46" s="297" t="s">
        <v>222</v>
      </c>
      <c r="AW46" s="297" t="s">
        <v>215</v>
      </c>
      <c r="AX46" s="423"/>
    </row>
    <row r="47" spans="2:50">
      <c r="B47" s="423" t="s">
        <v>191</v>
      </c>
      <c r="C47" s="197">
        <v>1</v>
      </c>
      <c r="D47" s="225" t="s">
        <v>319</v>
      </c>
      <c r="E47" s="169">
        <v>7</v>
      </c>
      <c r="F47" s="197">
        <v>1500</v>
      </c>
      <c r="G47" s="195">
        <v>214.28571428571428</v>
      </c>
      <c r="H47" s="428">
        <f>AVERAGE(G47:G61)</f>
        <v>136.71428571428572</v>
      </c>
      <c r="I47" s="169">
        <f>AVERAGE(P47,U47,Z47,AE47,AJ47,AO47,AT47)</f>
        <v>7</v>
      </c>
      <c r="J47" s="169">
        <f>AVERAGE(Q47,V47,AA47,AF47,AK47,AP47,AU47)</f>
        <v>1291.8157878097895</v>
      </c>
      <c r="K47" s="195">
        <f>AVERAGE(R47,W47,AB47,AG47,AL47,AQ47,AV47)</f>
        <v>184.5451125442556</v>
      </c>
      <c r="L47" s="428">
        <f>IFERROR(AVERAGE(K47:K61),"-")</f>
        <v>119.41587210258157</v>
      </c>
      <c r="M47" s="196" t="e">
        <f>RANK(K47, K$87:$K$101)</f>
        <v>#DIV/0!</v>
      </c>
      <c r="N47" s="423"/>
      <c r="O47" s="423"/>
      <c r="P47" s="197">
        <v>7</v>
      </c>
      <c r="Q47" s="169">
        <v>1297.6595744680849</v>
      </c>
      <c r="R47" s="195">
        <v>185.37993920972642</v>
      </c>
      <c r="S47" s="197">
        <f>RANK(R47, R$47:R$61)</f>
        <v>1</v>
      </c>
      <c r="T47" s="410">
        <f>AVERAGE(R47:R61)</f>
        <v>119.68491881571939</v>
      </c>
      <c r="U47" s="197">
        <v>7</v>
      </c>
      <c r="V47" s="169">
        <v>1295.6043956043957</v>
      </c>
      <c r="W47" s="195">
        <v>185.08634222919937</v>
      </c>
      <c r="X47" s="197">
        <f>RANK(W47, W$47:W$61)</f>
        <v>2</v>
      </c>
      <c r="Y47" s="410">
        <f>AVERAGE(W47:W61)</f>
        <v>119.48777323795824</v>
      </c>
      <c r="Z47" s="197">
        <v>7</v>
      </c>
      <c r="AA47" s="169">
        <v>1289.6703296703295</v>
      </c>
      <c r="AB47" s="195">
        <v>184.23861852433279</v>
      </c>
      <c r="AC47" s="197">
        <f>RANK(AB47, AB$47:AB$61)</f>
        <v>2</v>
      </c>
      <c r="AD47" s="410">
        <f>AVERAGE(AB47:AB61)</f>
        <v>119.92717051646143</v>
      </c>
      <c r="AE47" s="197">
        <v>7</v>
      </c>
      <c r="AF47" s="169">
        <v>1288.6046511627906</v>
      </c>
      <c r="AG47" s="195">
        <v>184.08637873754151</v>
      </c>
      <c r="AH47" s="197">
        <f>RANK(AG47, AG$47:AG$61)</f>
        <v>2</v>
      </c>
      <c r="AI47" s="410">
        <f>AVERAGE(AG47:AG61)</f>
        <v>119.43337388491932</v>
      </c>
      <c r="AJ47" s="197">
        <v>7</v>
      </c>
      <c r="AK47" s="169">
        <v>1292.0930232558137</v>
      </c>
      <c r="AL47" s="195">
        <v>184.58471760797337</v>
      </c>
      <c r="AM47" s="197">
        <f>RANK(AL47, AL$47:AL$61)</f>
        <v>2</v>
      </c>
      <c r="AN47" s="410">
        <f>AVERAGE(AL47:AL61)</f>
        <v>119.45377979833302</v>
      </c>
      <c r="AO47" s="197">
        <v>7</v>
      </c>
      <c r="AP47" s="169">
        <v>1290.30303030303</v>
      </c>
      <c r="AQ47" s="195">
        <v>184.32900432900428</v>
      </c>
      <c r="AR47" s="197">
        <f>RANK(AQ47, AQ$47:AQ$61)</f>
        <v>2</v>
      </c>
      <c r="AS47" s="410">
        <f>AVERAGE(AQ47:AQ61)</f>
        <v>119.61803613548663</v>
      </c>
      <c r="AT47" s="197">
        <v>7</v>
      </c>
      <c r="AU47" s="169">
        <v>1288.7755102040815</v>
      </c>
      <c r="AV47" s="195">
        <v>184.11078717201164</v>
      </c>
      <c r="AW47" s="197">
        <f>RANK(AV47, AV$47:AV$61)</f>
        <v>2</v>
      </c>
      <c r="AX47" s="410">
        <f>AVERAGE(AV47:AV61)</f>
        <v>118.30605232919307</v>
      </c>
    </row>
    <row r="48" spans="2:50">
      <c r="B48" s="422"/>
      <c r="C48" s="197">
        <v>2</v>
      </c>
      <c r="D48" s="225" t="s">
        <v>320</v>
      </c>
      <c r="E48" s="169">
        <v>15</v>
      </c>
      <c r="F48" s="197">
        <v>1500</v>
      </c>
      <c r="G48" s="195">
        <v>100</v>
      </c>
      <c r="H48" s="429"/>
      <c r="I48" s="169">
        <f t="shared" ref="I48:I51" si="22">AVERAGE(P48,U48,Z48,AE48,AJ48,AO48,AT48)</f>
        <v>15.142857142857142</v>
      </c>
      <c r="J48" s="169">
        <f t="shared" ref="J48:J51" si="23">AVERAGE(Q48,V48,AA48,AF48,AK48,AP48,AU48)</f>
        <v>1284.6397769146149</v>
      </c>
      <c r="K48" s="195">
        <f t="shared" ref="K48:K51" si="24">AVERAGE(R48,W48,AB48,AG48,AL48,AQ48,AV48)</f>
        <v>84.877606201602489</v>
      </c>
      <c r="L48" s="429"/>
      <c r="M48" s="196" t="e">
        <f>RANK(K48, K$87:$K$101)</f>
        <v>#DIV/0!</v>
      </c>
      <c r="N48" s="423"/>
      <c r="O48" s="423"/>
      <c r="P48" s="197">
        <v>15</v>
      </c>
      <c r="Q48" s="169">
        <v>1284.6575342465744</v>
      </c>
      <c r="R48" s="195">
        <v>85.643835616438295</v>
      </c>
      <c r="S48" s="197">
        <f t="shared" ref="S48:S61" si="25">RANK(R48, R$47:R$61)</f>
        <v>3</v>
      </c>
      <c r="T48" s="411"/>
      <c r="U48" s="197">
        <v>15</v>
      </c>
      <c r="V48" s="169">
        <v>1256.9491525423741</v>
      </c>
      <c r="W48" s="195">
        <v>83.796610169491615</v>
      </c>
      <c r="X48" s="197">
        <f t="shared" ref="X48:X61" si="26">RANK(W48, W$47:W$61)</f>
        <v>3</v>
      </c>
      <c r="Y48" s="411"/>
      <c r="Z48" s="197">
        <v>15</v>
      </c>
      <c r="AA48" s="169">
        <v>1311.1111111111111</v>
      </c>
      <c r="AB48" s="195">
        <v>87.407407407407405</v>
      </c>
      <c r="AC48" s="197">
        <f t="shared" ref="AC48:AC61" si="27">RANK(AB48, AB$47:AB$61)</f>
        <v>3</v>
      </c>
      <c r="AD48" s="411"/>
      <c r="AE48" s="197">
        <v>15</v>
      </c>
      <c r="AF48" s="169">
        <v>1276.062992125984</v>
      </c>
      <c r="AG48" s="195">
        <v>85.070866141732267</v>
      </c>
      <c r="AH48" s="197">
        <f t="shared" ref="AH48:AH61" si="28">RANK(AG48, AG$47:AG$61)</f>
        <v>3</v>
      </c>
      <c r="AI48" s="411"/>
      <c r="AJ48" s="197">
        <v>15</v>
      </c>
      <c r="AK48" s="169">
        <v>1269.4736842105265</v>
      </c>
      <c r="AL48" s="195">
        <v>84.631578947368425</v>
      </c>
      <c r="AM48" s="197">
        <f t="shared" ref="AM48:AM61" si="29">RANK(AL48, AL$47:AL$61)</f>
        <v>3</v>
      </c>
      <c r="AN48" s="411"/>
      <c r="AO48" s="197">
        <v>15</v>
      </c>
      <c r="AP48" s="169">
        <v>1308.9473684210532</v>
      </c>
      <c r="AQ48" s="195">
        <v>87.263157894736878</v>
      </c>
      <c r="AR48" s="197">
        <f t="shared" ref="AR48:AR61" si="30">RANK(AQ48, AQ$47:AQ$61)</f>
        <v>3</v>
      </c>
      <c r="AS48" s="411"/>
      <c r="AT48" s="197">
        <v>16</v>
      </c>
      <c r="AU48" s="169">
        <v>1285.2765957446809</v>
      </c>
      <c r="AV48" s="195">
        <v>80.329787234042556</v>
      </c>
      <c r="AW48" s="197">
        <f t="shared" ref="AW48:AW61" si="31">RANK(AV48, AV$47:AV$61)</f>
        <v>3</v>
      </c>
      <c r="AX48" s="411"/>
    </row>
    <row r="49" spans="2:50">
      <c r="B49" s="422"/>
      <c r="C49" s="197">
        <v>3</v>
      </c>
      <c r="D49" s="225" t="s">
        <v>321</v>
      </c>
      <c r="E49" s="169">
        <v>20</v>
      </c>
      <c r="F49" s="197">
        <v>1500</v>
      </c>
      <c r="G49" s="195">
        <v>75</v>
      </c>
      <c r="H49" s="429"/>
      <c r="I49" s="169">
        <f t="shared" si="22"/>
        <v>18</v>
      </c>
      <c r="J49" s="169">
        <f t="shared" si="23"/>
        <v>1275.9162199617551</v>
      </c>
      <c r="K49" s="195">
        <f t="shared" si="24"/>
        <v>70.884234442319737</v>
      </c>
      <c r="L49" s="429"/>
      <c r="M49" s="196" t="e">
        <f>RANK(K49, K$87:$K$101)</f>
        <v>#DIV/0!</v>
      </c>
      <c r="N49" s="423"/>
      <c r="O49" s="423"/>
      <c r="P49" s="197">
        <v>18</v>
      </c>
      <c r="Q49" s="169">
        <v>1256.1290322580644</v>
      </c>
      <c r="R49" s="195">
        <v>69.784946236559136</v>
      </c>
      <c r="S49" s="197">
        <f t="shared" si="25"/>
        <v>5</v>
      </c>
      <c r="T49" s="411"/>
      <c r="U49" s="197">
        <v>18</v>
      </c>
      <c r="V49" s="169">
        <v>1265.5263157894733</v>
      </c>
      <c r="W49" s="195">
        <v>70.307017543859629</v>
      </c>
      <c r="X49" s="197">
        <f t="shared" si="26"/>
        <v>5</v>
      </c>
      <c r="Y49" s="411"/>
      <c r="Z49" s="197">
        <v>18</v>
      </c>
      <c r="AA49" s="169">
        <v>1276.5957446808513</v>
      </c>
      <c r="AB49" s="195">
        <v>70.921985815602852</v>
      </c>
      <c r="AC49" s="197">
        <f t="shared" si="27"/>
        <v>5</v>
      </c>
      <c r="AD49" s="411"/>
      <c r="AE49" s="197">
        <v>18</v>
      </c>
      <c r="AF49" s="169">
        <v>1265.042016806723</v>
      </c>
      <c r="AG49" s="195">
        <v>70.28011204481794</v>
      </c>
      <c r="AH49" s="197">
        <f t="shared" si="28"/>
        <v>5</v>
      </c>
      <c r="AI49" s="411"/>
      <c r="AJ49" s="197">
        <v>18</v>
      </c>
      <c r="AK49" s="169">
        <v>1309.0000000000005</v>
      </c>
      <c r="AL49" s="195">
        <v>72.722222222222243</v>
      </c>
      <c r="AM49" s="197">
        <f t="shared" si="29"/>
        <v>4</v>
      </c>
      <c r="AN49" s="411"/>
      <c r="AO49" s="197">
        <v>18</v>
      </c>
      <c r="AP49" s="169">
        <v>1299.8657718120803</v>
      </c>
      <c r="AQ49" s="195">
        <v>72.21476510067113</v>
      </c>
      <c r="AR49" s="197">
        <f t="shared" si="30"/>
        <v>4</v>
      </c>
      <c r="AS49" s="411"/>
      <c r="AT49" s="197">
        <v>18</v>
      </c>
      <c r="AU49" s="169">
        <v>1259.2546583850931</v>
      </c>
      <c r="AV49" s="195">
        <v>69.958592132505174</v>
      </c>
      <c r="AW49" s="197">
        <f t="shared" si="31"/>
        <v>5</v>
      </c>
      <c r="AX49" s="411"/>
    </row>
    <row r="50" spans="2:50">
      <c r="B50" s="422"/>
      <c r="C50" s="197">
        <v>4</v>
      </c>
      <c r="D50" s="225" t="s">
        <v>323</v>
      </c>
      <c r="E50" s="169">
        <v>18</v>
      </c>
      <c r="F50" s="197">
        <v>1440</v>
      </c>
      <c r="G50" s="195">
        <v>80</v>
      </c>
      <c r="H50" s="429"/>
      <c r="I50" s="169">
        <f t="shared" si="22"/>
        <v>18</v>
      </c>
      <c r="J50" s="169">
        <f t="shared" si="23"/>
        <v>1284.7471127986075</v>
      </c>
      <c r="K50" s="195">
        <f t="shared" si="24"/>
        <v>71.374839599922637</v>
      </c>
      <c r="L50" s="429"/>
      <c r="M50" s="196" t="e">
        <f>RANK(K50, K$87:$K$101)</f>
        <v>#DIV/0!</v>
      </c>
      <c r="N50" s="423"/>
      <c r="O50" s="423"/>
      <c r="P50" s="197">
        <v>18</v>
      </c>
      <c r="Q50" s="169">
        <v>1301.4285714285709</v>
      </c>
      <c r="R50" s="195">
        <v>72.301587301587276</v>
      </c>
      <c r="S50" s="197">
        <f t="shared" si="25"/>
        <v>4</v>
      </c>
      <c r="T50" s="411"/>
      <c r="U50" s="197">
        <v>18</v>
      </c>
      <c r="V50" s="169">
        <v>1315.4999999999995</v>
      </c>
      <c r="W50" s="195">
        <v>73.083333333333314</v>
      </c>
      <c r="X50" s="197">
        <f t="shared" si="26"/>
        <v>4</v>
      </c>
      <c r="Y50" s="411"/>
      <c r="Z50" s="197">
        <v>18</v>
      </c>
      <c r="AA50" s="169">
        <v>1290</v>
      </c>
      <c r="AB50" s="195">
        <v>71.666666666666671</v>
      </c>
      <c r="AC50" s="197">
        <f t="shared" si="27"/>
        <v>4</v>
      </c>
      <c r="AD50" s="411"/>
      <c r="AE50" s="197">
        <v>18</v>
      </c>
      <c r="AF50" s="169">
        <v>1296.6666666666656</v>
      </c>
      <c r="AG50" s="195">
        <v>72.037037037036981</v>
      </c>
      <c r="AH50" s="197">
        <f t="shared" si="28"/>
        <v>4</v>
      </c>
      <c r="AI50" s="411"/>
      <c r="AJ50" s="197">
        <v>18</v>
      </c>
      <c r="AK50" s="169">
        <v>1254.2857142857138</v>
      </c>
      <c r="AL50" s="195">
        <v>69.682539682539655</v>
      </c>
      <c r="AM50" s="197">
        <f t="shared" si="29"/>
        <v>5</v>
      </c>
      <c r="AN50" s="411"/>
      <c r="AO50" s="197">
        <v>18</v>
      </c>
      <c r="AP50" s="169">
        <v>1241.8604651162789</v>
      </c>
      <c r="AQ50" s="195">
        <v>68.992248062015491</v>
      </c>
      <c r="AR50" s="197">
        <f t="shared" si="30"/>
        <v>5</v>
      </c>
      <c r="AS50" s="411"/>
      <c r="AT50" s="197">
        <v>18</v>
      </c>
      <c r="AU50" s="169">
        <v>1293.4883720930231</v>
      </c>
      <c r="AV50" s="195">
        <v>71.860465116279059</v>
      </c>
      <c r="AW50" s="197">
        <f t="shared" si="31"/>
        <v>4</v>
      </c>
      <c r="AX50" s="411"/>
    </row>
    <row r="51" spans="2:50">
      <c r="B51" s="422"/>
      <c r="C51" s="197">
        <v>5</v>
      </c>
      <c r="D51" s="225" t="s">
        <v>324</v>
      </c>
      <c r="E51" s="169">
        <v>7</v>
      </c>
      <c r="F51" s="197">
        <v>1500</v>
      </c>
      <c r="G51" s="195">
        <v>214.28571428571428</v>
      </c>
      <c r="H51" s="429"/>
      <c r="I51" s="169">
        <f t="shared" si="22"/>
        <v>7</v>
      </c>
      <c r="J51" s="169">
        <f t="shared" si="23"/>
        <v>1297.782974073652</v>
      </c>
      <c r="K51" s="195">
        <f t="shared" si="24"/>
        <v>185.3975677248074</v>
      </c>
      <c r="L51" s="429"/>
      <c r="M51" s="196" t="e">
        <f>RANK(K51, K$87:$K$101)</f>
        <v>#DIV/0!</v>
      </c>
      <c r="N51" s="423"/>
      <c r="O51" s="423"/>
      <c r="P51" s="197">
        <v>7</v>
      </c>
      <c r="Q51" s="169">
        <v>1297.2</v>
      </c>
      <c r="R51" s="195">
        <v>185.31428571428572</v>
      </c>
      <c r="S51" s="197">
        <f t="shared" si="25"/>
        <v>2</v>
      </c>
      <c r="T51" s="411"/>
      <c r="U51" s="197">
        <v>7</v>
      </c>
      <c r="V51" s="169">
        <v>1296.1589403973508</v>
      </c>
      <c r="W51" s="195">
        <v>185.16556291390725</v>
      </c>
      <c r="X51" s="197">
        <f t="shared" si="26"/>
        <v>1</v>
      </c>
      <c r="Y51" s="411"/>
      <c r="Z51" s="197">
        <v>7</v>
      </c>
      <c r="AA51" s="169">
        <v>1297.808219178082</v>
      </c>
      <c r="AB51" s="195">
        <v>185.40117416829744</v>
      </c>
      <c r="AC51" s="197">
        <f t="shared" si="27"/>
        <v>1</v>
      </c>
      <c r="AD51" s="411"/>
      <c r="AE51" s="197">
        <v>7</v>
      </c>
      <c r="AF51" s="169">
        <v>1299.8473282442746</v>
      </c>
      <c r="AG51" s="195">
        <v>185.69247546346782</v>
      </c>
      <c r="AH51" s="197">
        <f t="shared" si="28"/>
        <v>1</v>
      </c>
      <c r="AI51" s="411"/>
      <c r="AJ51" s="197">
        <v>7</v>
      </c>
      <c r="AK51" s="169">
        <v>1299.5348837209299</v>
      </c>
      <c r="AL51" s="195">
        <v>185.6478405315614</v>
      </c>
      <c r="AM51" s="197">
        <f t="shared" si="29"/>
        <v>1</v>
      </c>
      <c r="AN51" s="411"/>
      <c r="AO51" s="197">
        <v>7</v>
      </c>
      <c r="AP51" s="169">
        <v>1297.0370370370372</v>
      </c>
      <c r="AQ51" s="195">
        <v>185.29100529100532</v>
      </c>
      <c r="AR51" s="197">
        <f t="shared" si="30"/>
        <v>1</v>
      </c>
      <c r="AS51" s="411"/>
      <c r="AT51" s="197">
        <v>7</v>
      </c>
      <c r="AU51" s="169">
        <v>1296.8944099378882</v>
      </c>
      <c r="AV51" s="195">
        <v>185.2706299911269</v>
      </c>
      <c r="AW51" s="197">
        <f t="shared" si="31"/>
        <v>1</v>
      </c>
      <c r="AX51" s="411"/>
    </row>
    <row r="52" spans="2:50">
      <c r="B52" s="422"/>
      <c r="C52" s="197">
        <v>6</v>
      </c>
      <c r="D52" s="225"/>
      <c r="E52" s="169"/>
      <c r="F52" s="197"/>
      <c r="G52" s="195"/>
      <c r="H52" s="429"/>
      <c r="I52" s="169"/>
      <c r="J52" s="169"/>
      <c r="K52" s="195"/>
      <c r="L52" s="429"/>
      <c r="M52" s="196" t="e">
        <f>RANK(K52, K$87:$K$101)</f>
        <v>#DIV/0!</v>
      </c>
      <c r="N52" s="423"/>
      <c r="O52" s="423"/>
      <c r="P52" s="197" t="str">
        <f>'[1]（５-9）品群別人時生產性(微波小吃)'!P52</f>
        <v/>
      </c>
      <c r="Q52" s="197" t="str">
        <f>'[1]（５-9）品群別人時生產性(微波小吃)'!Q52</f>
        <v/>
      </c>
      <c r="R52" s="197" t="str">
        <f>'[1]（５-9）品群別人時生產性(微波小吃)'!R52</f>
        <v/>
      </c>
      <c r="S52" s="197" t="e">
        <f t="shared" si="25"/>
        <v>#VALUE!</v>
      </c>
      <c r="T52" s="411"/>
      <c r="U52" s="197"/>
      <c r="V52" s="197"/>
      <c r="W52" s="197"/>
      <c r="X52" s="197" t="e">
        <f t="shared" si="26"/>
        <v>#N/A</v>
      </c>
      <c r="Y52" s="411"/>
      <c r="Z52" s="197"/>
      <c r="AA52" s="197"/>
      <c r="AB52" s="197"/>
      <c r="AC52" s="197" t="e">
        <f t="shared" si="27"/>
        <v>#N/A</v>
      </c>
      <c r="AD52" s="411"/>
      <c r="AE52" s="197"/>
      <c r="AF52" s="197"/>
      <c r="AG52" s="197"/>
      <c r="AH52" s="197" t="e">
        <f t="shared" si="28"/>
        <v>#N/A</v>
      </c>
      <c r="AI52" s="411"/>
      <c r="AJ52" s="197"/>
      <c r="AK52" s="197"/>
      <c r="AL52" s="197"/>
      <c r="AM52" s="197" t="e">
        <f t="shared" si="29"/>
        <v>#N/A</v>
      </c>
      <c r="AN52" s="411"/>
      <c r="AO52" s="197"/>
      <c r="AP52" s="197"/>
      <c r="AQ52" s="197"/>
      <c r="AR52" s="197" t="e">
        <f t="shared" si="30"/>
        <v>#N/A</v>
      </c>
      <c r="AS52" s="411"/>
      <c r="AT52" s="197"/>
      <c r="AU52" s="197"/>
      <c r="AV52" s="197"/>
      <c r="AW52" s="197" t="e">
        <f t="shared" si="31"/>
        <v>#N/A</v>
      </c>
      <c r="AX52" s="411"/>
    </row>
    <row r="53" spans="2:50">
      <c r="B53" s="422"/>
      <c r="C53" s="197">
        <v>7</v>
      </c>
      <c r="D53" s="225"/>
      <c r="E53" s="169"/>
      <c r="F53" s="197"/>
      <c r="G53" s="195"/>
      <c r="H53" s="429"/>
      <c r="I53" s="169"/>
      <c r="J53" s="169"/>
      <c r="K53" s="195"/>
      <c r="L53" s="429"/>
      <c r="M53" s="196" t="e">
        <f>RANK(K53, K$87:$K$101)</f>
        <v>#DIV/0!</v>
      </c>
      <c r="N53" s="423"/>
      <c r="O53" s="423"/>
      <c r="P53" s="197"/>
      <c r="Q53" s="197"/>
      <c r="R53" s="197"/>
      <c r="S53" s="197" t="e">
        <f t="shared" si="25"/>
        <v>#N/A</v>
      </c>
      <c r="T53" s="411"/>
      <c r="U53" s="197"/>
      <c r="V53" s="197"/>
      <c r="W53" s="197"/>
      <c r="X53" s="197" t="e">
        <f t="shared" si="26"/>
        <v>#N/A</v>
      </c>
      <c r="Y53" s="411"/>
      <c r="Z53" s="197"/>
      <c r="AA53" s="197"/>
      <c r="AB53" s="197"/>
      <c r="AC53" s="197" t="e">
        <f t="shared" si="27"/>
        <v>#N/A</v>
      </c>
      <c r="AD53" s="411"/>
      <c r="AE53" s="197"/>
      <c r="AF53" s="197"/>
      <c r="AG53" s="197"/>
      <c r="AH53" s="197" t="e">
        <f t="shared" si="28"/>
        <v>#N/A</v>
      </c>
      <c r="AI53" s="411"/>
      <c r="AJ53" s="197"/>
      <c r="AK53" s="197"/>
      <c r="AL53" s="197"/>
      <c r="AM53" s="197" t="e">
        <f t="shared" si="29"/>
        <v>#N/A</v>
      </c>
      <c r="AN53" s="411"/>
      <c r="AO53" s="197"/>
      <c r="AP53" s="197"/>
      <c r="AQ53" s="197"/>
      <c r="AR53" s="197" t="e">
        <f t="shared" si="30"/>
        <v>#N/A</v>
      </c>
      <c r="AS53" s="411"/>
      <c r="AT53" s="197"/>
      <c r="AU53" s="197"/>
      <c r="AV53" s="197"/>
      <c r="AW53" s="197" t="e">
        <f t="shared" si="31"/>
        <v>#N/A</v>
      </c>
      <c r="AX53" s="411"/>
    </row>
    <row r="54" spans="2:50">
      <c r="B54" s="422"/>
      <c r="C54" s="197">
        <v>8</v>
      </c>
      <c r="D54" s="225"/>
      <c r="E54" s="169"/>
      <c r="F54" s="197"/>
      <c r="G54" s="195"/>
      <c r="H54" s="429"/>
      <c r="I54" s="169"/>
      <c r="J54" s="169"/>
      <c r="K54" s="195"/>
      <c r="L54" s="429"/>
      <c r="M54" s="196" t="e">
        <f>RANK(K54, K$87:$K$101)</f>
        <v>#DIV/0!</v>
      </c>
      <c r="N54" s="423"/>
      <c r="O54" s="423"/>
      <c r="P54" s="197"/>
      <c r="Q54" s="197"/>
      <c r="R54" s="197"/>
      <c r="S54" s="197" t="e">
        <f t="shared" si="25"/>
        <v>#N/A</v>
      </c>
      <c r="T54" s="411"/>
      <c r="U54" s="197"/>
      <c r="V54" s="197"/>
      <c r="W54" s="197"/>
      <c r="X54" s="197" t="e">
        <f t="shared" si="26"/>
        <v>#N/A</v>
      </c>
      <c r="Y54" s="411"/>
      <c r="Z54" s="197"/>
      <c r="AA54" s="197"/>
      <c r="AB54" s="197"/>
      <c r="AC54" s="197" t="e">
        <f t="shared" si="27"/>
        <v>#N/A</v>
      </c>
      <c r="AD54" s="411"/>
      <c r="AE54" s="197"/>
      <c r="AF54" s="197"/>
      <c r="AG54" s="197"/>
      <c r="AH54" s="197" t="e">
        <f t="shared" si="28"/>
        <v>#N/A</v>
      </c>
      <c r="AI54" s="411"/>
      <c r="AJ54" s="197"/>
      <c r="AK54" s="197"/>
      <c r="AL54" s="197"/>
      <c r="AM54" s="197" t="e">
        <f t="shared" si="29"/>
        <v>#N/A</v>
      </c>
      <c r="AN54" s="411"/>
      <c r="AO54" s="197"/>
      <c r="AP54" s="197"/>
      <c r="AQ54" s="197"/>
      <c r="AR54" s="197" t="e">
        <f t="shared" si="30"/>
        <v>#N/A</v>
      </c>
      <c r="AS54" s="411"/>
      <c r="AT54" s="197"/>
      <c r="AU54" s="197"/>
      <c r="AV54" s="197"/>
      <c r="AW54" s="197" t="e">
        <f t="shared" si="31"/>
        <v>#N/A</v>
      </c>
      <c r="AX54" s="411"/>
    </row>
    <row r="55" spans="2:50">
      <c r="B55" s="422"/>
      <c r="C55" s="197">
        <v>9</v>
      </c>
      <c r="D55" s="225"/>
      <c r="E55" s="169"/>
      <c r="F55" s="197"/>
      <c r="G55" s="195"/>
      <c r="H55" s="429"/>
      <c r="I55" s="169"/>
      <c r="J55" s="169"/>
      <c r="K55" s="195"/>
      <c r="L55" s="429"/>
      <c r="M55" s="196" t="e">
        <f>RANK(K55, K$87:$K$101)</f>
        <v>#DIV/0!</v>
      </c>
      <c r="N55" s="423"/>
      <c r="O55" s="423"/>
      <c r="P55" s="197"/>
      <c r="Q55" s="197"/>
      <c r="R55" s="197"/>
      <c r="S55" s="197" t="e">
        <f t="shared" si="25"/>
        <v>#N/A</v>
      </c>
      <c r="T55" s="411"/>
      <c r="U55" s="197"/>
      <c r="V55" s="197"/>
      <c r="W55" s="197"/>
      <c r="X55" s="197" t="e">
        <f t="shared" si="26"/>
        <v>#N/A</v>
      </c>
      <c r="Y55" s="411"/>
      <c r="Z55" s="197"/>
      <c r="AA55" s="197"/>
      <c r="AB55" s="197"/>
      <c r="AC55" s="197" t="e">
        <f t="shared" si="27"/>
        <v>#N/A</v>
      </c>
      <c r="AD55" s="411"/>
      <c r="AE55" s="197"/>
      <c r="AF55" s="197"/>
      <c r="AG55" s="197"/>
      <c r="AH55" s="197" t="e">
        <f t="shared" si="28"/>
        <v>#N/A</v>
      </c>
      <c r="AI55" s="411"/>
      <c r="AJ55" s="197"/>
      <c r="AK55" s="197"/>
      <c r="AL55" s="197"/>
      <c r="AM55" s="197" t="e">
        <f t="shared" si="29"/>
        <v>#N/A</v>
      </c>
      <c r="AN55" s="411"/>
      <c r="AO55" s="197"/>
      <c r="AP55" s="197"/>
      <c r="AQ55" s="197"/>
      <c r="AR55" s="197" t="e">
        <f t="shared" si="30"/>
        <v>#N/A</v>
      </c>
      <c r="AS55" s="411"/>
      <c r="AT55" s="197"/>
      <c r="AU55" s="197"/>
      <c r="AV55" s="197"/>
      <c r="AW55" s="197" t="e">
        <f t="shared" si="31"/>
        <v>#N/A</v>
      </c>
      <c r="AX55" s="411"/>
    </row>
    <row r="56" spans="2:50">
      <c r="B56" s="422"/>
      <c r="C56" s="197">
        <v>10</v>
      </c>
      <c r="D56" s="225"/>
      <c r="E56" s="169"/>
      <c r="F56" s="197"/>
      <c r="G56" s="195"/>
      <c r="H56" s="429"/>
      <c r="I56" s="169"/>
      <c r="J56" s="169"/>
      <c r="K56" s="195"/>
      <c r="L56" s="429"/>
      <c r="M56" s="196" t="e">
        <f>RANK(K56, K$87:$K$101)</f>
        <v>#DIV/0!</v>
      </c>
      <c r="N56" s="423"/>
      <c r="O56" s="423"/>
      <c r="P56" s="197"/>
      <c r="Q56" s="197"/>
      <c r="R56" s="197"/>
      <c r="S56" s="197" t="e">
        <f t="shared" si="25"/>
        <v>#N/A</v>
      </c>
      <c r="T56" s="411"/>
      <c r="U56" s="197"/>
      <c r="V56" s="197"/>
      <c r="W56" s="197"/>
      <c r="X56" s="197" t="e">
        <f t="shared" si="26"/>
        <v>#N/A</v>
      </c>
      <c r="Y56" s="411"/>
      <c r="Z56" s="197"/>
      <c r="AA56" s="197"/>
      <c r="AB56" s="197"/>
      <c r="AC56" s="197" t="e">
        <f t="shared" si="27"/>
        <v>#N/A</v>
      </c>
      <c r="AD56" s="411"/>
      <c r="AE56" s="197"/>
      <c r="AF56" s="197"/>
      <c r="AG56" s="197"/>
      <c r="AH56" s="197" t="e">
        <f t="shared" si="28"/>
        <v>#N/A</v>
      </c>
      <c r="AI56" s="411"/>
      <c r="AJ56" s="197"/>
      <c r="AK56" s="197"/>
      <c r="AL56" s="197"/>
      <c r="AM56" s="197" t="e">
        <f t="shared" si="29"/>
        <v>#N/A</v>
      </c>
      <c r="AN56" s="411"/>
      <c r="AO56" s="197"/>
      <c r="AP56" s="197"/>
      <c r="AQ56" s="197"/>
      <c r="AR56" s="197" t="e">
        <f t="shared" si="30"/>
        <v>#N/A</v>
      </c>
      <c r="AS56" s="411"/>
      <c r="AT56" s="197"/>
      <c r="AU56" s="197"/>
      <c r="AV56" s="197"/>
      <c r="AW56" s="197" t="e">
        <f t="shared" si="31"/>
        <v>#N/A</v>
      </c>
      <c r="AX56" s="411"/>
    </row>
    <row r="57" spans="2:50">
      <c r="B57" s="422"/>
      <c r="C57" s="197">
        <v>11</v>
      </c>
      <c r="D57" s="225"/>
      <c r="E57" s="169"/>
      <c r="F57" s="197"/>
      <c r="G57" s="195"/>
      <c r="H57" s="429"/>
      <c r="I57" s="169"/>
      <c r="J57" s="169"/>
      <c r="K57" s="195"/>
      <c r="L57" s="429"/>
      <c r="M57" s="196" t="e">
        <f>RANK(K57, K$87:$K$101)</f>
        <v>#DIV/0!</v>
      </c>
      <c r="N57" s="423"/>
      <c r="O57" s="423"/>
      <c r="P57" s="197"/>
      <c r="Q57" s="197"/>
      <c r="R57" s="197"/>
      <c r="S57" s="197" t="e">
        <f t="shared" si="25"/>
        <v>#N/A</v>
      </c>
      <c r="T57" s="411"/>
      <c r="U57" s="197"/>
      <c r="V57" s="197"/>
      <c r="W57" s="197"/>
      <c r="X57" s="197" t="e">
        <f t="shared" si="26"/>
        <v>#N/A</v>
      </c>
      <c r="Y57" s="411"/>
      <c r="Z57" s="197"/>
      <c r="AA57" s="197"/>
      <c r="AB57" s="197"/>
      <c r="AC57" s="197" t="e">
        <f t="shared" si="27"/>
        <v>#N/A</v>
      </c>
      <c r="AD57" s="411"/>
      <c r="AE57" s="197"/>
      <c r="AF57" s="197"/>
      <c r="AG57" s="197"/>
      <c r="AH57" s="197" t="e">
        <f t="shared" si="28"/>
        <v>#N/A</v>
      </c>
      <c r="AI57" s="411"/>
      <c r="AJ57" s="197"/>
      <c r="AK57" s="197"/>
      <c r="AL57" s="197"/>
      <c r="AM57" s="197" t="e">
        <f t="shared" si="29"/>
        <v>#N/A</v>
      </c>
      <c r="AN57" s="411"/>
      <c r="AO57" s="197"/>
      <c r="AP57" s="197"/>
      <c r="AQ57" s="197"/>
      <c r="AR57" s="197" t="e">
        <f t="shared" si="30"/>
        <v>#N/A</v>
      </c>
      <c r="AS57" s="411"/>
      <c r="AT57" s="197"/>
      <c r="AU57" s="197"/>
      <c r="AV57" s="197"/>
      <c r="AW57" s="197" t="e">
        <f t="shared" si="31"/>
        <v>#N/A</v>
      </c>
      <c r="AX57" s="411"/>
    </row>
    <row r="58" spans="2:50">
      <c r="B58" s="422"/>
      <c r="C58" s="197">
        <v>12</v>
      </c>
      <c r="D58" s="225"/>
      <c r="E58" s="169"/>
      <c r="F58" s="197"/>
      <c r="G58" s="195"/>
      <c r="H58" s="429"/>
      <c r="I58" s="169"/>
      <c r="J58" s="169"/>
      <c r="K58" s="195"/>
      <c r="L58" s="429"/>
      <c r="M58" s="196" t="e">
        <f>RANK(K58, K$87:$K$101)</f>
        <v>#DIV/0!</v>
      </c>
      <c r="N58" s="423"/>
      <c r="O58" s="423"/>
      <c r="P58" s="197"/>
      <c r="Q58" s="197"/>
      <c r="R58" s="197"/>
      <c r="S58" s="197" t="e">
        <f t="shared" si="25"/>
        <v>#N/A</v>
      </c>
      <c r="T58" s="411"/>
      <c r="U58" s="197"/>
      <c r="V58" s="197"/>
      <c r="W58" s="197"/>
      <c r="X58" s="197" t="e">
        <f t="shared" si="26"/>
        <v>#N/A</v>
      </c>
      <c r="Y58" s="411"/>
      <c r="Z58" s="197"/>
      <c r="AA58" s="197"/>
      <c r="AB58" s="197"/>
      <c r="AC58" s="197" t="e">
        <f t="shared" si="27"/>
        <v>#N/A</v>
      </c>
      <c r="AD58" s="411"/>
      <c r="AE58" s="197"/>
      <c r="AF58" s="197"/>
      <c r="AG58" s="197"/>
      <c r="AH58" s="197" t="e">
        <f t="shared" si="28"/>
        <v>#N/A</v>
      </c>
      <c r="AI58" s="411"/>
      <c r="AJ58" s="197"/>
      <c r="AK58" s="197"/>
      <c r="AL58" s="197"/>
      <c r="AM58" s="197" t="e">
        <f t="shared" si="29"/>
        <v>#N/A</v>
      </c>
      <c r="AN58" s="411"/>
      <c r="AO58" s="197"/>
      <c r="AP58" s="197"/>
      <c r="AQ58" s="197"/>
      <c r="AR58" s="197" t="e">
        <f t="shared" si="30"/>
        <v>#N/A</v>
      </c>
      <c r="AS58" s="411"/>
      <c r="AT58" s="197"/>
      <c r="AU58" s="197"/>
      <c r="AV58" s="197"/>
      <c r="AW58" s="197" t="e">
        <f t="shared" si="31"/>
        <v>#N/A</v>
      </c>
      <c r="AX58" s="411"/>
    </row>
    <row r="59" spans="2:50">
      <c r="B59" s="422"/>
      <c r="C59" s="197">
        <v>13</v>
      </c>
      <c r="D59" s="225"/>
      <c r="E59" s="169"/>
      <c r="F59" s="197"/>
      <c r="G59" s="195"/>
      <c r="H59" s="429"/>
      <c r="I59" s="169"/>
      <c r="J59" s="169"/>
      <c r="K59" s="195"/>
      <c r="L59" s="429"/>
      <c r="M59" s="196" t="e">
        <f>RANK(K59, K$87:$K$101)</f>
        <v>#DIV/0!</v>
      </c>
      <c r="N59" s="423"/>
      <c r="O59" s="423"/>
      <c r="P59" s="197"/>
      <c r="Q59" s="197"/>
      <c r="R59" s="197"/>
      <c r="S59" s="197" t="e">
        <f t="shared" si="25"/>
        <v>#N/A</v>
      </c>
      <c r="T59" s="411"/>
      <c r="U59" s="197"/>
      <c r="V59" s="197"/>
      <c r="W59" s="197"/>
      <c r="X59" s="197" t="e">
        <f t="shared" si="26"/>
        <v>#N/A</v>
      </c>
      <c r="Y59" s="411"/>
      <c r="Z59" s="197"/>
      <c r="AA59" s="197"/>
      <c r="AB59" s="197"/>
      <c r="AC59" s="197" t="e">
        <f t="shared" si="27"/>
        <v>#N/A</v>
      </c>
      <c r="AD59" s="411"/>
      <c r="AE59" s="197"/>
      <c r="AF59" s="197"/>
      <c r="AG59" s="197"/>
      <c r="AH59" s="197" t="e">
        <f t="shared" si="28"/>
        <v>#N/A</v>
      </c>
      <c r="AI59" s="411"/>
      <c r="AJ59" s="197"/>
      <c r="AK59" s="197"/>
      <c r="AL59" s="197"/>
      <c r="AM59" s="197" t="e">
        <f t="shared" si="29"/>
        <v>#N/A</v>
      </c>
      <c r="AN59" s="411"/>
      <c r="AO59" s="197"/>
      <c r="AP59" s="197"/>
      <c r="AQ59" s="197"/>
      <c r="AR59" s="197" t="e">
        <f t="shared" si="30"/>
        <v>#N/A</v>
      </c>
      <c r="AS59" s="411"/>
      <c r="AT59" s="197"/>
      <c r="AU59" s="197"/>
      <c r="AV59" s="197"/>
      <c r="AW59" s="197" t="e">
        <f t="shared" si="31"/>
        <v>#N/A</v>
      </c>
      <c r="AX59" s="411"/>
    </row>
    <row r="60" spans="2:50">
      <c r="B60" s="422"/>
      <c r="C60" s="197">
        <v>14</v>
      </c>
      <c r="D60" s="225"/>
      <c r="E60" s="169"/>
      <c r="F60" s="197"/>
      <c r="G60" s="195"/>
      <c r="H60" s="429"/>
      <c r="I60" s="169"/>
      <c r="J60" s="169"/>
      <c r="K60" s="195"/>
      <c r="L60" s="429"/>
      <c r="M60" s="196" t="e">
        <f>RANK(K60, K$87:$K$101)</f>
        <v>#DIV/0!</v>
      </c>
      <c r="N60" s="423"/>
      <c r="O60" s="423"/>
      <c r="P60" s="197"/>
      <c r="Q60" s="197"/>
      <c r="R60" s="197"/>
      <c r="S60" s="197" t="e">
        <f t="shared" si="25"/>
        <v>#N/A</v>
      </c>
      <c r="T60" s="411"/>
      <c r="U60" s="197"/>
      <c r="V60" s="197"/>
      <c r="W60" s="197"/>
      <c r="X60" s="197" t="e">
        <f t="shared" si="26"/>
        <v>#N/A</v>
      </c>
      <c r="Y60" s="411"/>
      <c r="Z60" s="197"/>
      <c r="AA60" s="197"/>
      <c r="AB60" s="197"/>
      <c r="AC60" s="197" t="e">
        <f t="shared" si="27"/>
        <v>#N/A</v>
      </c>
      <c r="AD60" s="411"/>
      <c r="AE60" s="197"/>
      <c r="AF60" s="197"/>
      <c r="AG60" s="197"/>
      <c r="AH60" s="197" t="e">
        <f t="shared" si="28"/>
        <v>#N/A</v>
      </c>
      <c r="AI60" s="411"/>
      <c r="AJ60" s="197"/>
      <c r="AK60" s="197"/>
      <c r="AL60" s="197"/>
      <c r="AM60" s="197" t="e">
        <f t="shared" si="29"/>
        <v>#N/A</v>
      </c>
      <c r="AN60" s="411"/>
      <c r="AO60" s="197"/>
      <c r="AP60" s="197"/>
      <c r="AQ60" s="197"/>
      <c r="AR60" s="197" t="e">
        <f t="shared" si="30"/>
        <v>#N/A</v>
      </c>
      <c r="AS60" s="411"/>
      <c r="AT60" s="197"/>
      <c r="AU60" s="197"/>
      <c r="AV60" s="197"/>
      <c r="AW60" s="197" t="e">
        <f t="shared" si="31"/>
        <v>#N/A</v>
      </c>
      <c r="AX60" s="411"/>
    </row>
    <row r="61" spans="2:50">
      <c r="B61" s="422"/>
      <c r="C61" s="197">
        <v>15</v>
      </c>
      <c r="D61" s="225"/>
      <c r="E61" s="169"/>
      <c r="F61" s="197"/>
      <c r="G61" s="195"/>
      <c r="H61" s="430"/>
      <c r="I61" s="169"/>
      <c r="J61" s="169"/>
      <c r="K61" s="195"/>
      <c r="L61" s="430"/>
      <c r="M61" s="169" t="e">
        <f>RANK(K61, K$87:$K$101)</f>
        <v>#DIV/0!</v>
      </c>
      <c r="N61" s="423"/>
      <c r="O61" s="423"/>
      <c r="P61" s="197"/>
      <c r="Q61" s="197"/>
      <c r="R61" s="197"/>
      <c r="S61" s="197" t="e">
        <f t="shared" si="25"/>
        <v>#N/A</v>
      </c>
      <c r="T61" s="412"/>
      <c r="U61" s="197"/>
      <c r="V61" s="197"/>
      <c r="W61" s="197"/>
      <c r="X61" s="197" t="e">
        <f t="shared" si="26"/>
        <v>#N/A</v>
      </c>
      <c r="Y61" s="412"/>
      <c r="Z61" s="197"/>
      <c r="AA61" s="197"/>
      <c r="AB61" s="197"/>
      <c r="AC61" s="197" t="e">
        <f t="shared" si="27"/>
        <v>#N/A</v>
      </c>
      <c r="AD61" s="412"/>
      <c r="AE61" s="197"/>
      <c r="AF61" s="197"/>
      <c r="AG61" s="197"/>
      <c r="AH61" s="197" t="e">
        <f t="shared" si="28"/>
        <v>#N/A</v>
      </c>
      <c r="AI61" s="412"/>
      <c r="AJ61" s="197"/>
      <c r="AK61" s="197"/>
      <c r="AL61" s="197"/>
      <c r="AM61" s="197" t="e">
        <f t="shared" si="29"/>
        <v>#N/A</v>
      </c>
      <c r="AN61" s="412"/>
      <c r="AO61" s="197"/>
      <c r="AP61" s="197"/>
      <c r="AQ61" s="197"/>
      <c r="AR61" s="197" t="e">
        <f t="shared" si="30"/>
        <v>#N/A</v>
      </c>
      <c r="AS61" s="412"/>
      <c r="AT61" s="197"/>
      <c r="AU61" s="197"/>
      <c r="AV61" s="197"/>
      <c r="AW61" s="197" t="e">
        <f t="shared" si="31"/>
        <v>#N/A</v>
      </c>
      <c r="AX61" s="412"/>
    </row>
    <row r="62" spans="2:50" ht="15.75">
      <c r="B62" s="396" t="s">
        <v>202</v>
      </c>
      <c r="C62" s="427"/>
      <c r="D62" s="427"/>
      <c r="E62" s="427"/>
      <c r="F62" s="427"/>
      <c r="G62" s="427"/>
      <c r="H62" s="427"/>
      <c r="I62" s="201"/>
      <c r="J62" s="201"/>
      <c r="K62" s="201"/>
      <c r="L62" s="201"/>
      <c r="M62" s="200"/>
      <c r="N62" s="401" t="s">
        <v>203</v>
      </c>
      <c r="O62" s="401" t="s">
        <v>150</v>
      </c>
      <c r="P62" s="421">
        <f>P42+7</f>
        <v>45916</v>
      </c>
      <c r="Q62" s="422"/>
      <c r="R62" s="422"/>
      <c r="S62" s="422"/>
      <c r="T62" s="422"/>
      <c r="U62" s="416">
        <f>P62+1</f>
        <v>45917</v>
      </c>
      <c r="V62" s="417"/>
      <c r="W62" s="417"/>
      <c r="X62" s="417"/>
      <c r="Y62" s="418"/>
      <c r="Z62" s="416">
        <f>U62+1</f>
        <v>45918</v>
      </c>
      <c r="AA62" s="417"/>
      <c r="AB62" s="417"/>
      <c r="AC62" s="417"/>
      <c r="AD62" s="418"/>
      <c r="AE62" s="416">
        <f t="shared" ref="AE62" si="32">Z62+1</f>
        <v>45919</v>
      </c>
      <c r="AF62" s="417"/>
      <c r="AG62" s="417"/>
      <c r="AH62" s="417"/>
      <c r="AI62" s="418"/>
      <c r="AJ62" s="416">
        <f t="shared" ref="AJ62" si="33">AE62+1</f>
        <v>45920</v>
      </c>
      <c r="AK62" s="417"/>
      <c r="AL62" s="417"/>
      <c r="AM62" s="417"/>
      <c r="AN62" s="418"/>
      <c r="AO62" s="416">
        <f t="shared" ref="AO62" si="34">AJ62+1</f>
        <v>45921</v>
      </c>
      <c r="AP62" s="417"/>
      <c r="AQ62" s="417"/>
      <c r="AR62" s="417"/>
      <c r="AS62" s="418"/>
      <c r="AT62" s="416">
        <f t="shared" ref="AT62" si="35">AO62+1</f>
        <v>45922</v>
      </c>
      <c r="AU62" s="417"/>
      <c r="AV62" s="417"/>
      <c r="AW62" s="417"/>
      <c r="AX62" s="418"/>
    </row>
    <row r="63" spans="2:50" ht="15.75">
      <c r="B63" s="426"/>
      <c r="C63" s="426"/>
      <c r="D63" s="426"/>
      <c r="E63" s="426"/>
      <c r="F63" s="426"/>
      <c r="G63" s="426"/>
      <c r="H63" s="426"/>
      <c r="I63" s="199"/>
      <c r="J63" s="199"/>
      <c r="K63" s="199"/>
      <c r="L63" s="199"/>
      <c r="M63" s="194"/>
      <c r="N63" s="403"/>
      <c r="O63" s="403"/>
      <c r="P63" s="421" t="s">
        <v>204</v>
      </c>
      <c r="Q63" s="422"/>
      <c r="R63" s="422"/>
      <c r="S63" s="422"/>
      <c r="T63" s="422"/>
      <c r="U63" s="421" t="s">
        <v>205</v>
      </c>
      <c r="V63" s="422"/>
      <c r="W63" s="422"/>
      <c r="X63" s="422"/>
      <c r="Y63" s="422"/>
      <c r="Z63" s="421" t="s">
        <v>206</v>
      </c>
      <c r="AA63" s="422"/>
      <c r="AB63" s="422"/>
      <c r="AC63" s="422"/>
      <c r="AD63" s="422"/>
      <c r="AE63" s="421" t="s">
        <v>207</v>
      </c>
      <c r="AF63" s="422"/>
      <c r="AG63" s="422"/>
      <c r="AH63" s="422"/>
      <c r="AI63" s="422"/>
      <c r="AJ63" s="421" t="s">
        <v>208</v>
      </c>
      <c r="AK63" s="422"/>
      <c r="AL63" s="422"/>
      <c r="AM63" s="422"/>
      <c r="AN63" s="422"/>
      <c r="AO63" s="421" t="s">
        <v>157</v>
      </c>
      <c r="AP63" s="422"/>
      <c r="AQ63" s="422"/>
      <c r="AR63" s="422"/>
      <c r="AS63" s="422"/>
      <c r="AT63" s="421" t="s">
        <v>209</v>
      </c>
      <c r="AU63" s="422"/>
      <c r="AV63" s="422"/>
      <c r="AW63" s="422"/>
      <c r="AX63" s="422"/>
    </row>
    <row r="64" spans="2:50">
      <c r="B64" s="423" t="s">
        <v>210</v>
      </c>
      <c r="C64" s="423" t="s">
        <v>211</v>
      </c>
      <c r="D64" s="423"/>
      <c r="E64" s="423" t="s">
        <v>212</v>
      </c>
      <c r="F64" s="423"/>
      <c r="G64" s="423"/>
      <c r="H64" s="404" t="s">
        <v>213</v>
      </c>
      <c r="I64" s="423" t="s">
        <v>214</v>
      </c>
      <c r="J64" s="423"/>
      <c r="K64" s="423"/>
      <c r="L64" s="404" t="s">
        <v>213</v>
      </c>
      <c r="M64" s="401" t="s">
        <v>215</v>
      </c>
      <c r="N64" s="423"/>
      <c r="O64" s="423" t="s">
        <v>216</v>
      </c>
      <c r="P64" s="413" t="s">
        <v>217</v>
      </c>
      <c r="Q64" s="414"/>
      <c r="R64" s="414"/>
      <c r="S64" s="415"/>
      <c r="T64" s="423" t="s">
        <v>213</v>
      </c>
      <c r="U64" s="413" t="s">
        <v>217</v>
      </c>
      <c r="V64" s="414"/>
      <c r="W64" s="414"/>
      <c r="X64" s="415"/>
      <c r="Y64" s="423" t="s">
        <v>213</v>
      </c>
      <c r="Z64" s="413" t="s">
        <v>217</v>
      </c>
      <c r="AA64" s="414"/>
      <c r="AB64" s="414"/>
      <c r="AC64" s="415"/>
      <c r="AD64" s="423" t="s">
        <v>213</v>
      </c>
      <c r="AE64" s="413" t="s">
        <v>217</v>
      </c>
      <c r="AF64" s="414"/>
      <c r="AG64" s="414"/>
      <c r="AH64" s="415"/>
      <c r="AI64" s="423" t="s">
        <v>213</v>
      </c>
      <c r="AJ64" s="413" t="s">
        <v>217</v>
      </c>
      <c r="AK64" s="414"/>
      <c r="AL64" s="414"/>
      <c r="AM64" s="415"/>
      <c r="AN64" s="423" t="s">
        <v>213</v>
      </c>
      <c r="AO64" s="413" t="s">
        <v>217</v>
      </c>
      <c r="AP64" s="414"/>
      <c r="AQ64" s="414"/>
      <c r="AR64" s="415"/>
      <c r="AS64" s="423" t="s">
        <v>213</v>
      </c>
      <c r="AT64" s="413" t="s">
        <v>217</v>
      </c>
      <c r="AU64" s="414"/>
      <c r="AV64" s="414"/>
      <c r="AW64" s="415"/>
      <c r="AX64" s="423" t="s">
        <v>213</v>
      </c>
    </row>
    <row r="65" spans="2:50">
      <c r="B65" s="423"/>
      <c r="C65" s="423"/>
      <c r="D65" s="423"/>
      <c r="E65" s="423" t="s">
        <v>218</v>
      </c>
      <c r="F65" s="423"/>
      <c r="G65" s="423"/>
      <c r="H65" s="406"/>
      <c r="I65" s="423" t="s">
        <v>218</v>
      </c>
      <c r="J65" s="423"/>
      <c r="K65" s="423"/>
      <c r="L65" s="406"/>
      <c r="M65" s="402"/>
      <c r="N65" s="423"/>
      <c r="O65" s="423"/>
      <c r="P65" s="413" t="s">
        <v>219</v>
      </c>
      <c r="Q65" s="414"/>
      <c r="R65" s="414"/>
      <c r="S65" s="415"/>
      <c r="T65" s="423"/>
      <c r="U65" s="413" t="s">
        <v>219</v>
      </c>
      <c r="V65" s="414"/>
      <c r="W65" s="414"/>
      <c r="X65" s="415"/>
      <c r="Y65" s="423"/>
      <c r="Z65" s="413" t="s">
        <v>219</v>
      </c>
      <c r="AA65" s="414"/>
      <c r="AB65" s="414"/>
      <c r="AC65" s="415"/>
      <c r="AD65" s="423"/>
      <c r="AE65" s="413" t="s">
        <v>219</v>
      </c>
      <c r="AF65" s="414"/>
      <c r="AG65" s="414"/>
      <c r="AH65" s="415"/>
      <c r="AI65" s="423"/>
      <c r="AJ65" s="413" t="s">
        <v>219</v>
      </c>
      <c r="AK65" s="414"/>
      <c r="AL65" s="414"/>
      <c r="AM65" s="415"/>
      <c r="AN65" s="423"/>
      <c r="AO65" s="413" t="s">
        <v>219</v>
      </c>
      <c r="AP65" s="414"/>
      <c r="AQ65" s="414"/>
      <c r="AR65" s="415"/>
      <c r="AS65" s="423"/>
      <c r="AT65" s="413" t="s">
        <v>219</v>
      </c>
      <c r="AU65" s="414"/>
      <c r="AV65" s="414"/>
      <c r="AW65" s="415"/>
      <c r="AX65" s="423"/>
    </row>
    <row r="66" spans="2:50">
      <c r="B66" s="423"/>
      <c r="C66" s="423"/>
      <c r="D66" s="423"/>
      <c r="E66" s="297" t="s">
        <v>220</v>
      </c>
      <c r="F66" s="297" t="s">
        <v>221</v>
      </c>
      <c r="G66" s="297" t="s">
        <v>222</v>
      </c>
      <c r="H66" s="408"/>
      <c r="I66" s="297" t="s">
        <v>220</v>
      </c>
      <c r="J66" s="297" t="s">
        <v>221</v>
      </c>
      <c r="K66" s="297" t="s">
        <v>222</v>
      </c>
      <c r="L66" s="408"/>
      <c r="M66" s="403"/>
      <c r="N66" s="423"/>
      <c r="O66" s="423"/>
      <c r="P66" s="297" t="s">
        <v>220</v>
      </c>
      <c r="Q66" s="297" t="s">
        <v>221</v>
      </c>
      <c r="R66" s="297" t="s">
        <v>222</v>
      </c>
      <c r="S66" s="297" t="s">
        <v>215</v>
      </c>
      <c r="T66" s="423"/>
      <c r="U66" s="297" t="s">
        <v>220</v>
      </c>
      <c r="V66" s="297" t="s">
        <v>221</v>
      </c>
      <c r="W66" s="297" t="s">
        <v>222</v>
      </c>
      <c r="X66" s="297" t="s">
        <v>215</v>
      </c>
      <c r="Y66" s="423"/>
      <c r="Z66" s="297" t="s">
        <v>220</v>
      </c>
      <c r="AA66" s="297" t="s">
        <v>221</v>
      </c>
      <c r="AB66" s="297" t="s">
        <v>222</v>
      </c>
      <c r="AC66" s="297" t="s">
        <v>215</v>
      </c>
      <c r="AD66" s="423"/>
      <c r="AE66" s="297" t="s">
        <v>220</v>
      </c>
      <c r="AF66" s="297" t="s">
        <v>221</v>
      </c>
      <c r="AG66" s="297" t="s">
        <v>222</v>
      </c>
      <c r="AH66" s="297" t="s">
        <v>215</v>
      </c>
      <c r="AI66" s="423"/>
      <c r="AJ66" s="297" t="s">
        <v>220</v>
      </c>
      <c r="AK66" s="297" t="s">
        <v>221</v>
      </c>
      <c r="AL66" s="297" t="s">
        <v>222</v>
      </c>
      <c r="AM66" s="297" t="s">
        <v>215</v>
      </c>
      <c r="AN66" s="423"/>
      <c r="AO66" s="297" t="s">
        <v>220</v>
      </c>
      <c r="AP66" s="297" t="s">
        <v>221</v>
      </c>
      <c r="AQ66" s="297" t="s">
        <v>222</v>
      </c>
      <c r="AR66" s="297" t="s">
        <v>215</v>
      </c>
      <c r="AS66" s="423"/>
      <c r="AT66" s="297" t="s">
        <v>220</v>
      </c>
      <c r="AU66" s="297" t="s">
        <v>221</v>
      </c>
      <c r="AV66" s="297" t="s">
        <v>222</v>
      </c>
      <c r="AW66" s="297" t="s">
        <v>215</v>
      </c>
      <c r="AX66" s="423"/>
    </row>
    <row r="67" spans="2:50">
      <c r="B67" s="423" t="s">
        <v>191</v>
      </c>
      <c r="C67" s="197">
        <v>1</v>
      </c>
      <c r="D67" s="225"/>
      <c r="E67" s="169"/>
      <c r="F67" s="197"/>
      <c r="G67" s="195"/>
      <c r="H67" s="428" t="e">
        <f>AVERAGE(G67:G81)</f>
        <v>#DIV/0!</v>
      </c>
      <c r="I67" s="169" t="e">
        <f>AVERAGE(P67,U67,Z67,AE67,AJ67,AO67,AT67)</f>
        <v>#DIV/0!</v>
      </c>
      <c r="J67" s="169" t="e">
        <f>AVERAGE(Q67,V67,AA67,AF67,AK67,AP67,AU67)</f>
        <v>#DIV/0!</v>
      </c>
      <c r="K67" s="195" t="e">
        <f>AVERAGE(R67,W67,AB67,AG67,AL67,AQ67,AV67)</f>
        <v>#DIV/0!</v>
      </c>
      <c r="L67" s="428" t="str">
        <f>IFERROR(AVERAGE(K67:K81),"-")</f>
        <v>-</v>
      </c>
      <c r="M67" s="196" t="e">
        <f>RANK(K67, K$87:$K$101)</f>
        <v>#DIV/0!</v>
      </c>
      <c r="N67" s="423"/>
      <c r="O67" s="423"/>
      <c r="P67" s="197"/>
      <c r="Q67" s="169"/>
      <c r="R67" s="195"/>
      <c r="S67" s="197" t="e">
        <f>RANK(R67, R$87:R$101)</f>
        <v>#N/A</v>
      </c>
      <c r="T67" s="410" t="e">
        <f>AVERAGE(R67:R81)</f>
        <v>#DIV/0!</v>
      </c>
      <c r="U67" s="197"/>
      <c r="V67" s="169"/>
      <c r="W67" s="195"/>
      <c r="X67" s="197" t="e">
        <f>RANK(W67, W$87:W$101)</f>
        <v>#N/A</v>
      </c>
      <c r="Y67" s="410" t="e">
        <f>AVERAGE(W67:W81)</f>
        <v>#DIV/0!</v>
      </c>
      <c r="Z67" s="197"/>
      <c r="AA67" s="169"/>
      <c r="AB67" s="195"/>
      <c r="AC67" s="197" t="e">
        <f>RANK(AB67, AB$87:AB$101)</f>
        <v>#N/A</v>
      </c>
      <c r="AD67" s="410" t="e">
        <f>AVERAGE(AB67:AB81)</f>
        <v>#DIV/0!</v>
      </c>
      <c r="AE67" s="197"/>
      <c r="AF67" s="169"/>
      <c r="AG67" s="195"/>
      <c r="AH67" s="197" t="e">
        <f>RANK(AG67, AG$87:AG$101)</f>
        <v>#N/A</v>
      </c>
      <c r="AI67" s="410" t="e">
        <f>AVERAGE(AG67:AG81)</f>
        <v>#DIV/0!</v>
      </c>
      <c r="AJ67" s="197"/>
      <c r="AK67" s="169"/>
      <c r="AL67" s="195"/>
      <c r="AM67" s="197" t="e">
        <f>RANK(AL67, AL$87:AL$101)</f>
        <v>#N/A</v>
      </c>
      <c r="AN67" s="410" t="e">
        <f>AVERAGE(AL67:AL81)</f>
        <v>#DIV/0!</v>
      </c>
      <c r="AO67" s="197"/>
      <c r="AP67" s="169"/>
      <c r="AQ67" s="195"/>
      <c r="AR67" s="197" t="e">
        <f>RANK(AQ67, AQ$87:AQ$101)</f>
        <v>#N/A</v>
      </c>
      <c r="AS67" s="410" t="e">
        <f>AVERAGE(AQ67:AQ81)</f>
        <v>#DIV/0!</v>
      </c>
      <c r="AT67" s="197"/>
      <c r="AU67" s="169"/>
      <c r="AV67" s="195"/>
      <c r="AW67" s="197" t="e">
        <f>RANK(AV67, AV$87:AV$101)</f>
        <v>#N/A</v>
      </c>
      <c r="AX67" s="410" t="e">
        <f>AVERAGE(AV67:AV81)</f>
        <v>#DIV/0!</v>
      </c>
    </row>
    <row r="68" spans="2:50">
      <c r="B68" s="422"/>
      <c r="C68" s="197">
        <v>2</v>
      </c>
      <c r="D68" s="225"/>
      <c r="E68" s="169"/>
      <c r="F68" s="197"/>
      <c r="G68" s="195"/>
      <c r="H68" s="429"/>
      <c r="I68" s="169" t="e">
        <f t="shared" ref="I68:I72" si="36">AVERAGE(P68,U68,Z68,AE68,AJ68,AO68,AT68)</f>
        <v>#DIV/0!</v>
      </c>
      <c r="J68" s="169" t="e">
        <f t="shared" ref="J68:J72" si="37">AVERAGE(Q68,V68,AA68,AF68,AK68,AP68,AU68)</f>
        <v>#DIV/0!</v>
      </c>
      <c r="K68" s="195" t="e">
        <f t="shared" ref="K68:K72" si="38">AVERAGE(R68,W68,AB68,AG68,AL68,AQ68,AV68)</f>
        <v>#DIV/0!</v>
      </c>
      <c r="L68" s="429"/>
      <c r="M68" s="196" t="e">
        <f>RANK(K68, K$87:$K$101)</f>
        <v>#DIV/0!</v>
      </c>
      <c r="N68" s="423"/>
      <c r="O68" s="423"/>
      <c r="P68" s="197"/>
      <c r="Q68" s="169"/>
      <c r="R68" s="195"/>
      <c r="S68" s="197" t="e">
        <f t="shared" ref="S68:S81" si="39">RANK(R68, R$87:R$101)</f>
        <v>#N/A</v>
      </c>
      <c r="T68" s="411"/>
      <c r="U68" s="197"/>
      <c r="V68" s="169"/>
      <c r="W68" s="195"/>
      <c r="X68" s="197" t="e">
        <f t="shared" ref="X68:X81" si="40">RANK(W68, W$87:W$101)</f>
        <v>#N/A</v>
      </c>
      <c r="Y68" s="411"/>
      <c r="Z68" s="197"/>
      <c r="AA68" s="169"/>
      <c r="AB68" s="195"/>
      <c r="AC68" s="197" t="e">
        <f t="shared" ref="AC68:AC81" si="41">RANK(AB68, AB$87:AB$101)</f>
        <v>#N/A</v>
      </c>
      <c r="AD68" s="411"/>
      <c r="AE68" s="197"/>
      <c r="AF68" s="169"/>
      <c r="AG68" s="195"/>
      <c r="AH68" s="197" t="e">
        <f t="shared" ref="AH68:AH81" si="42">RANK(AG68, AG$87:AG$101)</f>
        <v>#N/A</v>
      </c>
      <c r="AI68" s="411"/>
      <c r="AJ68" s="197"/>
      <c r="AK68" s="169"/>
      <c r="AL68" s="195"/>
      <c r="AM68" s="197" t="e">
        <f t="shared" ref="AM68:AM81" si="43">RANK(AL68, AL$87:AL$101)</f>
        <v>#N/A</v>
      </c>
      <c r="AN68" s="411"/>
      <c r="AO68" s="197"/>
      <c r="AP68" s="169"/>
      <c r="AQ68" s="195"/>
      <c r="AR68" s="197" t="e">
        <f t="shared" ref="AR68:AR81" si="44">RANK(AQ68, AQ$87:AQ$101)</f>
        <v>#N/A</v>
      </c>
      <c r="AS68" s="411"/>
      <c r="AT68" s="197"/>
      <c r="AU68" s="169"/>
      <c r="AV68" s="195"/>
      <c r="AW68" s="197" t="e">
        <f t="shared" ref="AW68:AW81" si="45">RANK(AV68, AV$87:AV$101)</f>
        <v>#N/A</v>
      </c>
      <c r="AX68" s="411"/>
    </row>
    <row r="69" spans="2:50">
      <c r="B69" s="422"/>
      <c r="C69" s="197">
        <v>3</v>
      </c>
      <c r="D69" s="225"/>
      <c r="E69" s="169"/>
      <c r="F69" s="197"/>
      <c r="G69" s="195"/>
      <c r="H69" s="429"/>
      <c r="I69" s="169" t="e">
        <f t="shared" si="36"/>
        <v>#DIV/0!</v>
      </c>
      <c r="J69" s="169" t="e">
        <f t="shared" si="37"/>
        <v>#DIV/0!</v>
      </c>
      <c r="K69" s="195" t="e">
        <f t="shared" si="38"/>
        <v>#DIV/0!</v>
      </c>
      <c r="L69" s="429"/>
      <c r="M69" s="196" t="e">
        <f>RANK(K69, K$87:$K$101)</f>
        <v>#DIV/0!</v>
      </c>
      <c r="N69" s="423"/>
      <c r="O69" s="423"/>
      <c r="P69" s="197"/>
      <c r="Q69" s="169"/>
      <c r="R69" s="195"/>
      <c r="S69" s="197" t="e">
        <f t="shared" si="39"/>
        <v>#N/A</v>
      </c>
      <c r="T69" s="411"/>
      <c r="U69" s="197"/>
      <c r="V69" s="169"/>
      <c r="W69" s="195"/>
      <c r="X69" s="197" t="e">
        <f t="shared" si="40"/>
        <v>#N/A</v>
      </c>
      <c r="Y69" s="411"/>
      <c r="Z69" s="197"/>
      <c r="AA69" s="169"/>
      <c r="AB69" s="195"/>
      <c r="AC69" s="197" t="e">
        <f t="shared" si="41"/>
        <v>#N/A</v>
      </c>
      <c r="AD69" s="411"/>
      <c r="AE69" s="197"/>
      <c r="AF69" s="169"/>
      <c r="AG69" s="195"/>
      <c r="AH69" s="197" t="e">
        <f t="shared" si="42"/>
        <v>#N/A</v>
      </c>
      <c r="AI69" s="411"/>
      <c r="AJ69" s="197"/>
      <c r="AK69" s="169"/>
      <c r="AL69" s="195"/>
      <c r="AM69" s="197" t="e">
        <f t="shared" si="43"/>
        <v>#N/A</v>
      </c>
      <c r="AN69" s="411"/>
      <c r="AO69" s="197"/>
      <c r="AP69" s="169"/>
      <c r="AQ69" s="195"/>
      <c r="AR69" s="197" t="e">
        <f t="shared" si="44"/>
        <v>#N/A</v>
      </c>
      <c r="AS69" s="411"/>
      <c r="AT69" s="197"/>
      <c r="AU69" s="169"/>
      <c r="AV69" s="195"/>
      <c r="AW69" s="197" t="e">
        <f t="shared" si="45"/>
        <v>#N/A</v>
      </c>
      <c r="AX69" s="411"/>
    </row>
    <row r="70" spans="2:50">
      <c r="B70" s="422"/>
      <c r="C70" s="197">
        <v>4</v>
      </c>
      <c r="D70" s="225"/>
      <c r="E70" s="169"/>
      <c r="F70" s="197"/>
      <c r="G70" s="195"/>
      <c r="H70" s="429"/>
      <c r="I70" s="169" t="e">
        <f t="shared" si="36"/>
        <v>#DIV/0!</v>
      </c>
      <c r="J70" s="169" t="e">
        <f t="shared" si="37"/>
        <v>#DIV/0!</v>
      </c>
      <c r="K70" s="195" t="e">
        <f t="shared" si="38"/>
        <v>#DIV/0!</v>
      </c>
      <c r="L70" s="429"/>
      <c r="M70" s="196" t="e">
        <f>RANK(K70, K$87:$K$101)</f>
        <v>#DIV/0!</v>
      </c>
      <c r="N70" s="423"/>
      <c r="O70" s="423"/>
      <c r="P70" s="197"/>
      <c r="Q70" s="169"/>
      <c r="R70" s="195"/>
      <c r="S70" s="197" t="e">
        <f t="shared" si="39"/>
        <v>#N/A</v>
      </c>
      <c r="T70" s="411"/>
      <c r="U70" s="197"/>
      <c r="V70" s="169"/>
      <c r="W70" s="195"/>
      <c r="X70" s="197" t="e">
        <f t="shared" si="40"/>
        <v>#N/A</v>
      </c>
      <c r="Y70" s="411"/>
      <c r="Z70" s="197"/>
      <c r="AA70" s="169"/>
      <c r="AB70" s="195"/>
      <c r="AC70" s="197" t="e">
        <f t="shared" si="41"/>
        <v>#N/A</v>
      </c>
      <c r="AD70" s="411"/>
      <c r="AE70" s="197"/>
      <c r="AF70" s="169"/>
      <c r="AG70" s="195"/>
      <c r="AH70" s="197" t="e">
        <f t="shared" si="42"/>
        <v>#N/A</v>
      </c>
      <c r="AI70" s="411"/>
      <c r="AJ70" s="197"/>
      <c r="AK70" s="169"/>
      <c r="AL70" s="195"/>
      <c r="AM70" s="197" t="e">
        <f t="shared" si="43"/>
        <v>#N/A</v>
      </c>
      <c r="AN70" s="411"/>
      <c r="AO70" s="197"/>
      <c r="AP70" s="169"/>
      <c r="AQ70" s="195"/>
      <c r="AR70" s="197" t="e">
        <f t="shared" si="44"/>
        <v>#N/A</v>
      </c>
      <c r="AS70" s="411"/>
      <c r="AT70" s="197"/>
      <c r="AU70" s="169"/>
      <c r="AV70" s="195"/>
      <c r="AW70" s="197" t="e">
        <f t="shared" si="45"/>
        <v>#N/A</v>
      </c>
      <c r="AX70" s="411"/>
    </row>
    <row r="71" spans="2:50">
      <c r="B71" s="422"/>
      <c r="C71" s="197">
        <v>5</v>
      </c>
      <c r="D71" s="225"/>
      <c r="E71" s="169"/>
      <c r="F71" s="197"/>
      <c r="G71" s="195"/>
      <c r="H71" s="429"/>
      <c r="I71" s="169" t="e">
        <f t="shared" si="36"/>
        <v>#DIV/0!</v>
      </c>
      <c r="J71" s="169" t="e">
        <f t="shared" si="37"/>
        <v>#DIV/0!</v>
      </c>
      <c r="K71" s="195" t="e">
        <f t="shared" si="38"/>
        <v>#DIV/0!</v>
      </c>
      <c r="L71" s="429"/>
      <c r="M71" s="196" t="e">
        <f>RANK(K71, K$87:$K$101)</f>
        <v>#DIV/0!</v>
      </c>
      <c r="N71" s="423"/>
      <c r="O71" s="423"/>
      <c r="P71" s="197"/>
      <c r="Q71" s="169"/>
      <c r="R71" s="195"/>
      <c r="S71" s="197" t="e">
        <f t="shared" si="39"/>
        <v>#N/A</v>
      </c>
      <c r="T71" s="411"/>
      <c r="U71" s="197"/>
      <c r="V71" s="169"/>
      <c r="W71" s="195"/>
      <c r="X71" s="197" t="e">
        <f t="shared" si="40"/>
        <v>#N/A</v>
      </c>
      <c r="Y71" s="411"/>
      <c r="Z71" s="197"/>
      <c r="AA71" s="169"/>
      <c r="AB71" s="195"/>
      <c r="AC71" s="197" t="e">
        <f t="shared" si="41"/>
        <v>#N/A</v>
      </c>
      <c r="AD71" s="411"/>
      <c r="AE71" s="197"/>
      <c r="AF71" s="169"/>
      <c r="AG71" s="195"/>
      <c r="AH71" s="197" t="e">
        <f t="shared" si="42"/>
        <v>#N/A</v>
      </c>
      <c r="AI71" s="411"/>
      <c r="AJ71" s="197"/>
      <c r="AK71" s="169"/>
      <c r="AL71" s="195"/>
      <c r="AM71" s="197" t="e">
        <f t="shared" si="43"/>
        <v>#N/A</v>
      </c>
      <c r="AN71" s="411"/>
      <c r="AO71" s="197"/>
      <c r="AP71" s="169"/>
      <c r="AQ71" s="195"/>
      <c r="AR71" s="197" t="e">
        <f t="shared" si="44"/>
        <v>#N/A</v>
      </c>
      <c r="AS71" s="411"/>
      <c r="AT71" s="197"/>
      <c r="AU71" s="169"/>
      <c r="AV71" s="195"/>
      <c r="AW71" s="197" t="e">
        <f t="shared" si="45"/>
        <v>#N/A</v>
      </c>
      <c r="AX71" s="411"/>
    </row>
    <row r="72" spans="2:50">
      <c r="B72" s="422"/>
      <c r="C72" s="197">
        <v>6</v>
      </c>
      <c r="D72" s="225"/>
      <c r="E72" s="169"/>
      <c r="F72" s="197"/>
      <c r="G72" s="195"/>
      <c r="H72" s="429"/>
      <c r="I72" s="169" t="e">
        <f t="shared" si="36"/>
        <v>#DIV/0!</v>
      </c>
      <c r="J72" s="169" t="e">
        <f t="shared" si="37"/>
        <v>#DIV/0!</v>
      </c>
      <c r="K72" s="195" t="e">
        <f t="shared" si="38"/>
        <v>#DIV/0!</v>
      </c>
      <c r="L72" s="429"/>
      <c r="M72" s="196" t="e">
        <f>RANK(K72, K$87:$K$101)</f>
        <v>#DIV/0!</v>
      </c>
      <c r="N72" s="423"/>
      <c r="O72" s="423"/>
      <c r="P72" s="197"/>
      <c r="Q72" s="197"/>
      <c r="R72" s="197"/>
      <c r="S72" s="197" t="e">
        <f t="shared" si="39"/>
        <v>#N/A</v>
      </c>
      <c r="T72" s="411"/>
      <c r="U72" s="197"/>
      <c r="V72" s="197"/>
      <c r="W72" s="197"/>
      <c r="X72" s="197" t="e">
        <f t="shared" si="40"/>
        <v>#N/A</v>
      </c>
      <c r="Y72" s="411"/>
      <c r="Z72" s="197"/>
      <c r="AA72" s="197"/>
      <c r="AB72" s="197"/>
      <c r="AC72" s="197" t="e">
        <f t="shared" si="41"/>
        <v>#N/A</v>
      </c>
      <c r="AD72" s="411"/>
      <c r="AE72" s="197"/>
      <c r="AF72" s="197"/>
      <c r="AG72" s="197"/>
      <c r="AH72" s="197" t="e">
        <f t="shared" si="42"/>
        <v>#N/A</v>
      </c>
      <c r="AI72" s="411"/>
      <c r="AJ72" s="197"/>
      <c r="AK72" s="197"/>
      <c r="AL72" s="197"/>
      <c r="AM72" s="197" t="e">
        <f t="shared" si="43"/>
        <v>#N/A</v>
      </c>
      <c r="AN72" s="411"/>
      <c r="AO72" s="197"/>
      <c r="AP72" s="197"/>
      <c r="AQ72" s="197"/>
      <c r="AR72" s="197" t="e">
        <f t="shared" si="44"/>
        <v>#N/A</v>
      </c>
      <c r="AS72" s="411"/>
      <c r="AT72" s="197"/>
      <c r="AU72" s="169"/>
      <c r="AV72" s="195"/>
      <c r="AW72" s="197" t="e">
        <f t="shared" si="45"/>
        <v>#N/A</v>
      </c>
      <c r="AX72" s="411"/>
    </row>
    <row r="73" spans="2:50">
      <c r="B73" s="422"/>
      <c r="C73" s="197">
        <v>7</v>
      </c>
      <c r="D73" s="225"/>
      <c r="E73" s="169"/>
      <c r="F73" s="197"/>
      <c r="G73" s="195"/>
      <c r="H73" s="429"/>
      <c r="I73" s="169"/>
      <c r="J73" s="169"/>
      <c r="K73" s="195"/>
      <c r="L73" s="429"/>
      <c r="M73" s="196" t="e">
        <f>RANK(K73, K$87:$K$101)</f>
        <v>#DIV/0!</v>
      </c>
      <c r="N73" s="423"/>
      <c r="O73" s="423"/>
      <c r="P73" s="197"/>
      <c r="Q73" s="197"/>
      <c r="R73" s="197"/>
      <c r="S73" s="197" t="e">
        <f t="shared" si="39"/>
        <v>#N/A</v>
      </c>
      <c r="T73" s="411"/>
      <c r="U73" s="197"/>
      <c r="V73" s="197"/>
      <c r="W73" s="197"/>
      <c r="X73" s="197" t="e">
        <f t="shared" si="40"/>
        <v>#N/A</v>
      </c>
      <c r="Y73" s="411"/>
      <c r="Z73" s="197"/>
      <c r="AA73" s="197"/>
      <c r="AB73" s="197"/>
      <c r="AC73" s="197" t="e">
        <f t="shared" si="41"/>
        <v>#N/A</v>
      </c>
      <c r="AD73" s="411"/>
      <c r="AE73" s="197"/>
      <c r="AF73" s="197"/>
      <c r="AG73" s="197"/>
      <c r="AH73" s="197" t="e">
        <f t="shared" si="42"/>
        <v>#N/A</v>
      </c>
      <c r="AI73" s="411"/>
      <c r="AJ73" s="197"/>
      <c r="AK73" s="197"/>
      <c r="AL73" s="197"/>
      <c r="AM73" s="197" t="e">
        <f t="shared" si="43"/>
        <v>#N/A</v>
      </c>
      <c r="AN73" s="411"/>
      <c r="AO73" s="197"/>
      <c r="AP73" s="197"/>
      <c r="AQ73" s="197"/>
      <c r="AR73" s="197" t="e">
        <f t="shared" si="44"/>
        <v>#N/A</v>
      </c>
      <c r="AS73" s="411"/>
      <c r="AT73" s="197"/>
      <c r="AU73" s="197"/>
      <c r="AV73" s="197"/>
      <c r="AW73" s="197" t="e">
        <f t="shared" si="45"/>
        <v>#N/A</v>
      </c>
      <c r="AX73" s="411"/>
    </row>
    <row r="74" spans="2:50">
      <c r="B74" s="422"/>
      <c r="C74" s="197">
        <v>8</v>
      </c>
      <c r="D74" s="225"/>
      <c r="E74" s="169"/>
      <c r="F74" s="197"/>
      <c r="G74" s="195"/>
      <c r="H74" s="429"/>
      <c r="I74" s="169"/>
      <c r="J74" s="169"/>
      <c r="K74" s="195"/>
      <c r="L74" s="429"/>
      <c r="M74" s="196" t="e">
        <f>RANK(K74, K$87:$K$101)</f>
        <v>#DIV/0!</v>
      </c>
      <c r="N74" s="423"/>
      <c r="O74" s="423"/>
      <c r="P74" s="197"/>
      <c r="Q74" s="197"/>
      <c r="R74" s="197"/>
      <c r="S74" s="197" t="e">
        <f t="shared" si="39"/>
        <v>#N/A</v>
      </c>
      <c r="T74" s="411"/>
      <c r="U74" s="197"/>
      <c r="V74" s="197"/>
      <c r="W74" s="197"/>
      <c r="X74" s="197" t="e">
        <f t="shared" si="40"/>
        <v>#N/A</v>
      </c>
      <c r="Y74" s="411"/>
      <c r="Z74" s="197"/>
      <c r="AA74" s="197"/>
      <c r="AB74" s="197"/>
      <c r="AC74" s="197" t="e">
        <f t="shared" si="41"/>
        <v>#N/A</v>
      </c>
      <c r="AD74" s="411"/>
      <c r="AE74" s="197"/>
      <c r="AF74" s="197"/>
      <c r="AG74" s="197"/>
      <c r="AH74" s="197" t="e">
        <f t="shared" si="42"/>
        <v>#N/A</v>
      </c>
      <c r="AI74" s="411"/>
      <c r="AJ74" s="197"/>
      <c r="AK74" s="197"/>
      <c r="AL74" s="197"/>
      <c r="AM74" s="197" t="e">
        <f t="shared" si="43"/>
        <v>#N/A</v>
      </c>
      <c r="AN74" s="411"/>
      <c r="AO74" s="197"/>
      <c r="AP74" s="197"/>
      <c r="AQ74" s="197"/>
      <c r="AR74" s="197" t="e">
        <f t="shared" si="44"/>
        <v>#N/A</v>
      </c>
      <c r="AS74" s="411"/>
      <c r="AT74" s="197"/>
      <c r="AU74" s="197"/>
      <c r="AV74" s="197"/>
      <c r="AW74" s="197" t="e">
        <f t="shared" si="45"/>
        <v>#N/A</v>
      </c>
      <c r="AX74" s="411"/>
    </row>
    <row r="75" spans="2:50">
      <c r="B75" s="422"/>
      <c r="C75" s="197">
        <v>9</v>
      </c>
      <c r="D75" s="225"/>
      <c r="E75" s="169"/>
      <c r="F75" s="197"/>
      <c r="G75" s="195"/>
      <c r="H75" s="429"/>
      <c r="I75" s="169"/>
      <c r="J75" s="169"/>
      <c r="K75" s="195"/>
      <c r="L75" s="429"/>
      <c r="M75" s="196" t="e">
        <f>RANK(K75, K$87:$K$101)</f>
        <v>#DIV/0!</v>
      </c>
      <c r="N75" s="423"/>
      <c r="O75" s="423"/>
      <c r="P75" s="197"/>
      <c r="Q75" s="197"/>
      <c r="R75" s="197"/>
      <c r="S75" s="197" t="e">
        <f t="shared" si="39"/>
        <v>#N/A</v>
      </c>
      <c r="T75" s="411"/>
      <c r="U75" s="197"/>
      <c r="V75" s="197"/>
      <c r="W75" s="197"/>
      <c r="X75" s="197" t="e">
        <f t="shared" si="40"/>
        <v>#N/A</v>
      </c>
      <c r="Y75" s="411"/>
      <c r="Z75" s="197"/>
      <c r="AA75" s="197"/>
      <c r="AB75" s="197"/>
      <c r="AC75" s="197" t="e">
        <f t="shared" si="41"/>
        <v>#N/A</v>
      </c>
      <c r="AD75" s="411"/>
      <c r="AE75" s="197"/>
      <c r="AF75" s="197"/>
      <c r="AG75" s="197"/>
      <c r="AH75" s="197" t="e">
        <f t="shared" si="42"/>
        <v>#N/A</v>
      </c>
      <c r="AI75" s="411"/>
      <c r="AJ75" s="197"/>
      <c r="AK75" s="197"/>
      <c r="AL75" s="197"/>
      <c r="AM75" s="197" t="e">
        <f t="shared" si="43"/>
        <v>#N/A</v>
      </c>
      <c r="AN75" s="411"/>
      <c r="AO75" s="197"/>
      <c r="AP75" s="197"/>
      <c r="AQ75" s="197"/>
      <c r="AR75" s="197" t="e">
        <f t="shared" si="44"/>
        <v>#N/A</v>
      </c>
      <c r="AS75" s="411"/>
      <c r="AT75" s="197"/>
      <c r="AU75" s="197"/>
      <c r="AV75" s="197"/>
      <c r="AW75" s="197" t="e">
        <f t="shared" si="45"/>
        <v>#N/A</v>
      </c>
      <c r="AX75" s="411"/>
    </row>
    <row r="76" spans="2:50">
      <c r="B76" s="422"/>
      <c r="C76" s="197">
        <v>10</v>
      </c>
      <c r="D76" s="225"/>
      <c r="E76" s="169"/>
      <c r="F76" s="197"/>
      <c r="G76" s="195"/>
      <c r="H76" s="429"/>
      <c r="I76" s="169"/>
      <c r="J76" s="169"/>
      <c r="K76" s="195"/>
      <c r="L76" s="429"/>
      <c r="M76" s="196" t="e">
        <f>RANK(K76, K$87:$K$101)</f>
        <v>#DIV/0!</v>
      </c>
      <c r="N76" s="423"/>
      <c r="O76" s="423"/>
      <c r="P76" s="197"/>
      <c r="Q76" s="197"/>
      <c r="R76" s="197"/>
      <c r="S76" s="197" t="e">
        <f t="shared" si="39"/>
        <v>#N/A</v>
      </c>
      <c r="T76" s="411"/>
      <c r="U76" s="197"/>
      <c r="V76" s="197"/>
      <c r="W76" s="197"/>
      <c r="X76" s="197" t="e">
        <f t="shared" si="40"/>
        <v>#N/A</v>
      </c>
      <c r="Y76" s="411"/>
      <c r="Z76" s="197"/>
      <c r="AA76" s="197"/>
      <c r="AB76" s="197"/>
      <c r="AC76" s="197" t="e">
        <f t="shared" si="41"/>
        <v>#N/A</v>
      </c>
      <c r="AD76" s="411"/>
      <c r="AE76" s="197"/>
      <c r="AF76" s="197"/>
      <c r="AG76" s="197"/>
      <c r="AH76" s="197" t="e">
        <f t="shared" si="42"/>
        <v>#N/A</v>
      </c>
      <c r="AI76" s="411"/>
      <c r="AJ76" s="197"/>
      <c r="AK76" s="197"/>
      <c r="AL76" s="197"/>
      <c r="AM76" s="197" t="e">
        <f t="shared" si="43"/>
        <v>#N/A</v>
      </c>
      <c r="AN76" s="411"/>
      <c r="AO76" s="197"/>
      <c r="AP76" s="197"/>
      <c r="AQ76" s="197"/>
      <c r="AR76" s="197" t="e">
        <f t="shared" si="44"/>
        <v>#N/A</v>
      </c>
      <c r="AS76" s="411"/>
      <c r="AT76" s="197"/>
      <c r="AU76" s="197"/>
      <c r="AV76" s="197"/>
      <c r="AW76" s="197" t="e">
        <f t="shared" si="45"/>
        <v>#N/A</v>
      </c>
      <c r="AX76" s="411"/>
    </row>
    <row r="77" spans="2:50">
      <c r="B77" s="422"/>
      <c r="C77" s="197">
        <v>11</v>
      </c>
      <c r="D77" s="225"/>
      <c r="E77" s="169"/>
      <c r="F77" s="197"/>
      <c r="G77" s="195"/>
      <c r="H77" s="429"/>
      <c r="I77" s="169"/>
      <c r="J77" s="169"/>
      <c r="K77" s="195"/>
      <c r="L77" s="429"/>
      <c r="M77" s="196" t="e">
        <f>RANK(K77, K$87:$K$101)</f>
        <v>#DIV/0!</v>
      </c>
      <c r="N77" s="423"/>
      <c r="O77" s="423"/>
      <c r="P77" s="197"/>
      <c r="Q77" s="197"/>
      <c r="R77" s="197"/>
      <c r="S77" s="197" t="e">
        <f t="shared" si="39"/>
        <v>#N/A</v>
      </c>
      <c r="T77" s="411"/>
      <c r="U77" s="197"/>
      <c r="V77" s="197"/>
      <c r="W77" s="197"/>
      <c r="X77" s="197" t="e">
        <f t="shared" si="40"/>
        <v>#N/A</v>
      </c>
      <c r="Y77" s="411"/>
      <c r="Z77" s="197"/>
      <c r="AA77" s="197"/>
      <c r="AB77" s="197"/>
      <c r="AC77" s="197" t="e">
        <f t="shared" si="41"/>
        <v>#N/A</v>
      </c>
      <c r="AD77" s="411"/>
      <c r="AE77" s="197"/>
      <c r="AF77" s="197"/>
      <c r="AG77" s="197"/>
      <c r="AH77" s="197" t="e">
        <f t="shared" si="42"/>
        <v>#N/A</v>
      </c>
      <c r="AI77" s="411"/>
      <c r="AJ77" s="197"/>
      <c r="AK77" s="197"/>
      <c r="AL77" s="197"/>
      <c r="AM77" s="197" t="e">
        <f t="shared" si="43"/>
        <v>#N/A</v>
      </c>
      <c r="AN77" s="411"/>
      <c r="AO77" s="197"/>
      <c r="AP77" s="197"/>
      <c r="AQ77" s="197"/>
      <c r="AR77" s="197" t="e">
        <f t="shared" si="44"/>
        <v>#N/A</v>
      </c>
      <c r="AS77" s="411"/>
      <c r="AT77" s="197"/>
      <c r="AU77" s="197"/>
      <c r="AV77" s="197"/>
      <c r="AW77" s="197" t="e">
        <f t="shared" si="45"/>
        <v>#N/A</v>
      </c>
      <c r="AX77" s="411"/>
    </row>
    <row r="78" spans="2:50">
      <c r="B78" s="422"/>
      <c r="C78" s="197">
        <v>12</v>
      </c>
      <c r="D78" s="225"/>
      <c r="E78" s="169"/>
      <c r="F78" s="197"/>
      <c r="G78" s="195"/>
      <c r="H78" s="429"/>
      <c r="I78" s="169"/>
      <c r="J78" s="169"/>
      <c r="K78" s="195"/>
      <c r="L78" s="429"/>
      <c r="M78" s="196" t="e">
        <f>RANK(K78, K$87:$K$101)</f>
        <v>#DIV/0!</v>
      </c>
      <c r="N78" s="423"/>
      <c r="O78" s="423"/>
      <c r="P78" s="197"/>
      <c r="Q78" s="197"/>
      <c r="R78" s="197"/>
      <c r="S78" s="197" t="e">
        <f t="shared" si="39"/>
        <v>#N/A</v>
      </c>
      <c r="T78" s="411"/>
      <c r="U78" s="197"/>
      <c r="V78" s="197"/>
      <c r="W78" s="197"/>
      <c r="X78" s="197" t="e">
        <f t="shared" si="40"/>
        <v>#N/A</v>
      </c>
      <c r="Y78" s="411"/>
      <c r="Z78" s="197"/>
      <c r="AA78" s="197"/>
      <c r="AB78" s="197"/>
      <c r="AC78" s="197" t="e">
        <f t="shared" si="41"/>
        <v>#N/A</v>
      </c>
      <c r="AD78" s="411"/>
      <c r="AE78" s="197"/>
      <c r="AF78" s="197"/>
      <c r="AG78" s="197"/>
      <c r="AH78" s="197" t="e">
        <f t="shared" si="42"/>
        <v>#N/A</v>
      </c>
      <c r="AI78" s="411"/>
      <c r="AJ78" s="197"/>
      <c r="AK78" s="197"/>
      <c r="AL78" s="197"/>
      <c r="AM78" s="197" t="e">
        <f t="shared" si="43"/>
        <v>#N/A</v>
      </c>
      <c r="AN78" s="411"/>
      <c r="AO78" s="197"/>
      <c r="AP78" s="197"/>
      <c r="AQ78" s="197"/>
      <c r="AR78" s="197" t="e">
        <f t="shared" si="44"/>
        <v>#N/A</v>
      </c>
      <c r="AS78" s="411"/>
      <c r="AT78" s="197"/>
      <c r="AU78" s="197"/>
      <c r="AV78" s="197"/>
      <c r="AW78" s="197" t="e">
        <f t="shared" si="45"/>
        <v>#N/A</v>
      </c>
      <c r="AX78" s="411"/>
    </row>
    <row r="79" spans="2:50">
      <c r="B79" s="422"/>
      <c r="C79" s="197">
        <v>13</v>
      </c>
      <c r="D79" s="225"/>
      <c r="E79" s="169"/>
      <c r="F79" s="197"/>
      <c r="G79" s="195"/>
      <c r="H79" s="429"/>
      <c r="I79" s="169"/>
      <c r="J79" s="169"/>
      <c r="K79" s="195"/>
      <c r="L79" s="429"/>
      <c r="M79" s="196" t="e">
        <f>RANK(K79, K$87:$K$101)</f>
        <v>#DIV/0!</v>
      </c>
      <c r="N79" s="423"/>
      <c r="O79" s="423"/>
      <c r="P79" s="197"/>
      <c r="Q79" s="197"/>
      <c r="R79" s="197"/>
      <c r="S79" s="197" t="e">
        <f t="shared" si="39"/>
        <v>#N/A</v>
      </c>
      <c r="T79" s="411"/>
      <c r="U79" s="197"/>
      <c r="V79" s="197"/>
      <c r="W79" s="197"/>
      <c r="X79" s="197" t="e">
        <f t="shared" si="40"/>
        <v>#N/A</v>
      </c>
      <c r="Y79" s="411"/>
      <c r="Z79" s="197"/>
      <c r="AA79" s="197"/>
      <c r="AB79" s="197"/>
      <c r="AC79" s="197" t="e">
        <f t="shared" si="41"/>
        <v>#N/A</v>
      </c>
      <c r="AD79" s="411"/>
      <c r="AE79" s="197"/>
      <c r="AF79" s="197"/>
      <c r="AG79" s="197"/>
      <c r="AH79" s="197" t="e">
        <f t="shared" si="42"/>
        <v>#N/A</v>
      </c>
      <c r="AI79" s="411"/>
      <c r="AJ79" s="197"/>
      <c r="AK79" s="197"/>
      <c r="AL79" s="197"/>
      <c r="AM79" s="197" t="e">
        <f t="shared" si="43"/>
        <v>#N/A</v>
      </c>
      <c r="AN79" s="411"/>
      <c r="AO79" s="197"/>
      <c r="AP79" s="197"/>
      <c r="AQ79" s="197"/>
      <c r="AR79" s="197" t="e">
        <f t="shared" si="44"/>
        <v>#N/A</v>
      </c>
      <c r="AS79" s="411"/>
      <c r="AT79" s="197"/>
      <c r="AU79" s="197"/>
      <c r="AV79" s="197"/>
      <c r="AW79" s="197" t="e">
        <f t="shared" si="45"/>
        <v>#N/A</v>
      </c>
      <c r="AX79" s="411"/>
    </row>
    <row r="80" spans="2:50">
      <c r="B80" s="422"/>
      <c r="C80" s="197">
        <v>14</v>
      </c>
      <c r="D80" s="225"/>
      <c r="E80" s="169"/>
      <c r="F80" s="197"/>
      <c r="G80" s="195"/>
      <c r="H80" s="429"/>
      <c r="I80" s="169"/>
      <c r="J80" s="169"/>
      <c r="K80" s="195"/>
      <c r="L80" s="429"/>
      <c r="M80" s="196" t="e">
        <f>RANK(K80, K$87:$K$101)</f>
        <v>#DIV/0!</v>
      </c>
      <c r="N80" s="423"/>
      <c r="O80" s="423"/>
      <c r="P80" s="197"/>
      <c r="Q80" s="197"/>
      <c r="R80" s="197"/>
      <c r="S80" s="197" t="e">
        <f t="shared" si="39"/>
        <v>#N/A</v>
      </c>
      <c r="T80" s="411"/>
      <c r="U80" s="197"/>
      <c r="V80" s="197"/>
      <c r="W80" s="197"/>
      <c r="X80" s="197" t="e">
        <f t="shared" si="40"/>
        <v>#N/A</v>
      </c>
      <c r="Y80" s="411"/>
      <c r="Z80" s="197"/>
      <c r="AA80" s="197"/>
      <c r="AB80" s="197"/>
      <c r="AC80" s="197" t="e">
        <f t="shared" si="41"/>
        <v>#N/A</v>
      </c>
      <c r="AD80" s="411"/>
      <c r="AE80" s="197"/>
      <c r="AF80" s="197"/>
      <c r="AG80" s="197"/>
      <c r="AH80" s="197" t="e">
        <f t="shared" si="42"/>
        <v>#N/A</v>
      </c>
      <c r="AI80" s="411"/>
      <c r="AJ80" s="197"/>
      <c r="AK80" s="197"/>
      <c r="AL80" s="197"/>
      <c r="AM80" s="197" t="e">
        <f t="shared" si="43"/>
        <v>#N/A</v>
      </c>
      <c r="AN80" s="411"/>
      <c r="AO80" s="197"/>
      <c r="AP80" s="197"/>
      <c r="AQ80" s="197"/>
      <c r="AR80" s="197" t="e">
        <f t="shared" si="44"/>
        <v>#N/A</v>
      </c>
      <c r="AS80" s="411"/>
      <c r="AT80" s="197"/>
      <c r="AU80" s="197"/>
      <c r="AV80" s="197"/>
      <c r="AW80" s="197" t="e">
        <f t="shared" si="45"/>
        <v>#N/A</v>
      </c>
      <c r="AX80" s="411"/>
    </row>
    <row r="81" spans="2:50">
      <c r="B81" s="422"/>
      <c r="C81" s="197">
        <v>15</v>
      </c>
      <c r="D81" s="225"/>
      <c r="E81" s="169"/>
      <c r="F81" s="197"/>
      <c r="G81" s="195"/>
      <c r="H81" s="430"/>
      <c r="I81" s="169"/>
      <c r="J81" s="169"/>
      <c r="K81" s="195"/>
      <c r="L81" s="430"/>
      <c r="M81" s="169" t="e">
        <f>RANK(K81, K$87:$K$101)</f>
        <v>#DIV/0!</v>
      </c>
      <c r="N81" s="423"/>
      <c r="O81" s="423"/>
      <c r="P81" s="197"/>
      <c r="Q81" s="197"/>
      <c r="R81" s="197"/>
      <c r="S81" s="197" t="e">
        <f t="shared" si="39"/>
        <v>#N/A</v>
      </c>
      <c r="T81" s="412"/>
      <c r="U81" s="197"/>
      <c r="V81" s="197"/>
      <c r="W81" s="197"/>
      <c r="X81" s="197" t="e">
        <f t="shared" si="40"/>
        <v>#N/A</v>
      </c>
      <c r="Y81" s="412"/>
      <c r="Z81" s="197"/>
      <c r="AA81" s="197"/>
      <c r="AB81" s="197"/>
      <c r="AC81" s="197" t="e">
        <f t="shared" si="41"/>
        <v>#N/A</v>
      </c>
      <c r="AD81" s="412"/>
      <c r="AE81" s="197"/>
      <c r="AF81" s="197"/>
      <c r="AG81" s="197"/>
      <c r="AH81" s="197" t="e">
        <f t="shared" si="42"/>
        <v>#N/A</v>
      </c>
      <c r="AI81" s="412"/>
      <c r="AJ81" s="197"/>
      <c r="AK81" s="197"/>
      <c r="AL81" s="197"/>
      <c r="AM81" s="197" t="e">
        <f t="shared" si="43"/>
        <v>#N/A</v>
      </c>
      <c r="AN81" s="412"/>
      <c r="AO81" s="197"/>
      <c r="AP81" s="197"/>
      <c r="AQ81" s="197"/>
      <c r="AR81" s="197" t="e">
        <f t="shared" si="44"/>
        <v>#N/A</v>
      </c>
      <c r="AS81" s="412"/>
      <c r="AT81" s="197"/>
      <c r="AU81" s="197"/>
      <c r="AV81" s="197"/>
      <c r="AW81" s="197" t="e">
        <f t="shared" si="45"/>
        <v>#N/A</v>
      </c>
      <c r="AX81" s="412"/>
    </row>
    <row r="82" spans="2:50" ht="15.75">
      <c r="B82" s="396" t="s">
        <v>202</v>
      </c>
      <c r="C82" s="427"/>
      <c r="D82" s="427"/>
      <c r="E82" s="427"/>
      <c r="F82" s="427"/>
      <c r="G82" s="427"/>
      <c r="H82" s="427"/>
      <c r="I82" s="201"/>
      <c r="J82" s="201"/>
      <c r="K82" s="201"/>
      <c r="L82" s="201"/>
      <c r="M82" s="200"/>
      <c r="N82" s="401" t="s">
        <v>203</v>
      </c>
      <c r="O82" s="401" t="s">
        <v>150</v>
      </c>
      <c r="P82" s="421">
        <f>P62+7</f>
        <v>45923</v>
      </c>
      <c r="Q82" s="422"/>
      <c r="R82" s="422"/>
      <c r="S82" s="422"/>
      <c r="T82" s="422"/>
      <c r="U82" s="416">
        <f>P82+1</f>
        <v>45924</v>
      </c>
      <c r="V82" s="417"/>
      <c r="W82" s="417"/>
      <c r="X82" s="417"/>
      <c r="Y82" s="418"/>
      <c r="Z82" s="416">
        <f>U82+1</f>
        <v>45925</v>
      </c>
      <c r="AA82" s="417"/>
      <c r="AB82" s="417"/>
      <c r="AC82" s="417"/>
      <c r="AD82" s="418"/>
      <c r="AE82" s="416">
        <f t="shared" ref="AE82" si="46">Z82+1</f>
        <v>45926</v>
      </c>
      <c r="AF82" s="417"/>
      <c r="AG82" s="417"/>
      <c r="AH82" s="417"/>
      <c r="AI82" s="418"/>
      <c r="AJ82" s="416">
        <f t="shared" ref="AJ82" si="47">AE82+1</f>
        <v>45927</v>
      </c>
      <c r="AK82" s="417"/>
      <c r="AL82" s="417"/>
      <c r="AM82" s="417"/>
      <c r="AN82" s="418"/>
      <c r="AO82" s="416">
        <f t="shared" ref="AO82" si="48">AJ82+1</f>
        <v>45928</v>
      </c>
      <c r="AP82" s="417"/>
      <c r="AQ82" s="417"/>
      <c r="AR82" s="417"/>
      <c r="AS82" s="418"/>
      <c r="AT82" s="416">
        <f t="shared" ref="AT82" si="49">AO82+1</f>
        <v>45929</v>
      </c>
      <c r="AU82" s="417"/>
      <c r="AV82" s="417"/>
      <c r="AW82" s="417"/>
      <c r="AX82" s="418"/>
    </row>
    <row r="83" spans="2:50" ht="15.75">
      <c r="B83" s="426"/>
      <c r="C83" s="426"/>
      <c r="D83" s="426"/>
      <c r="E83" s="426"/>
      <c r="F83" s="426"/>
      <c r="G83" s="426"/>
      <c r="H83" s="426"/>
      <c r="I83" s="199"/>
      <c r="J83" s="199"/>
      <c r="K83" s="199"/>
      <c r="L83" s="199"/>
      <c r="M83" s="194"/>
      <c r="N83" s="403"/>
      <c r="O83" s="403"/>
      <c r="P83" s="421" t="s">
        <v>204</v>
      </c>
      <c r="Q83" s="422"/>
      <c r="R83" s="422"/>
      <c r="S83" s="422"/>
      <c r="T83" s="422"/>
      <c r="U83" s="421" t="s">
        <v>205</v>
      </c>
      <c r="V83" s="422"/>
      <c r="W83" s="422"/>
      <c r="X83" s="422"/>
      <c r="Y83" s="422"/>
      <c r="Z83" s="421" t="s">
        <v>206</v>
      </c>
      <c r="AA83" s="422"/>
      <c r="AB83" s="422"/>
      <c r="AC83" s="422"/>
      <c r="AD83" s="422"/>
      <c r="AE83" s="421" t="s">
        <v>207</v>
      </c>
      <c r="AF83" s="422"/>
      <c r="AG83" s="422"/>
      <c r="AH83" s="422"/>
      <c r="AI83" s="422"/>
      <c r="AJ83" s="421" t="s">
        <v>208</v>
      </c>
      <c r="AK83" s="422"/>
      <c r="AL83" s="422"/>
      <c r="AM83" s="422"/>
      <c r="AN83" s="422"/>
      <c r="AO83" s="421" t="s">
        <v>157</v>
      </c>
      <c r="AP83" s="422"/>
      <c r="AQ83" s="422"/>
      <c r="AR83" s="422"/>
      <c r="AS83" s="422"/>
      <c r="AT83" s="421" t="s">
        <v>209</v>
      </c>
      <c r="AU83" s="422"/>
      <c r="AV83" s="422"/>
      <c r="AW83" s="422"/>
      <c r="AX83" s="422"/>
    </row>
    <row r="84" spans="2:50">
      <c r="B84" s="423" t="s">
        <v>210</v>
      </c>
      <c r="C84" s="423" t="s">
        <v>211</v>
      </c>
      <c r="D84" s="423"/>
      <c r="E84" s="423" t="s">
        <v>212</v>
      </c>
      <c r="F84" s="423"/>
      <c r="G84" s="423"/>
      <c r="H84" s="404" t="s">
        <v>213</v>
      </c>
      <c r="I84" s="423" t="s">
        <v>214</v>
      </c>
      <c r="J84" s="423"/>
      <c r="K84" s="423"/>
      <c r="L84" s="404" t="s">
        <v>213</v>
      </c>
      <c r="M84" s="401" t="s">
        <v>215</v>
      </c>
      <c r="N84" s="423"/>
      <c r="O84" s="423" t="s">
        <v>216</v>
      </c>
      <c r="P84" s="413" t="s">
        <v>217</v>
      </c>
      <c r="Q84" s="414"/>
      <c r="R84" s="414"/>
      <c r="S84" s="415"/>
      <c r="T84" s="423" t="s">
        <v>213</v>
      </c>
      <c r="U84" s="413" t="s">
        <v>217</v>
      </c>
      <c r="V84" s="414"/>
      <c r="W84" s="414"/>
      <c r="X84" s="415"/>
      <c r="Y84" s="423" t="s">
        <v>213</v>
      </c>
      <c r="Z84" s="413" t="s">
        <v>217</v>
      </c>
      <c r="AA84" s="414"/>
      <c r="AB84" s="414"/>
      <c r="AC84" s="415"/>
      <c r="AD84" s="423" t="s">
        <v>213</v>
      </c>
      <c r="AE84" s="413" t="s">
        <v>217</v>
      </c>
      <c r="AF84" s="414"/>
      <c r="AG84" s="414"/>
      <c r="AH84" s="415"/>
      <c r="AI84" s="423" t="s">
        <v>213</v>
      </c>
      <c r="AJ84" s="413" t="s">
        <v>217</v>
      </c>
      <c r="AK84" s="414"/>
      <c r="AL84" s="414"/>
      <c r="AM84" s="415"/>
      <c r="AN84" s="423" t="s">
        <v>213</v>
      </c>
      <c r="AO84" s="413" t="s">
        <v>217</v>
      </c>
      <c r="AP84" s="414"/>
      <c r="AQ84" s="414"/>
      <c r="AR84" s="415"/>
      <c r="AS84" s="423" t="s">
        <v>213</v>
      </c>
      <c r="AT84" s="413" t="s">
        <v>217</v>
      </c>
      <c r="AU84" s="414"/>
      <c r="AV84" s="414"/>
      <c r="AW84" s="415"/>
      <c r="AX84" s="423" t="s">
        <v>213</v>
      </c>
    </row>
    <row r="85" spans="2:50">
      <c r="B85" s="423"/>
      <c r="C85" s="423"/>
      <c r="D85" s="423"/>
      <c r="E85" s="423" t="s">
        <v>218</v>
      </c>
      <c r="F85" s="423"/>
      <c r="G85" s="423"/>
      <c r="H85" s="406"/>
      <c r="I85" s="423" t="s">
        <v>218</v>
      </c>
      <c r="J85" s="423"/>
      <c r="K85" s="423"/>
      <c r="L85" s="406"/>
      <c r="M85" s="402"/>
      <c r="N85" s="423"/>
      <c r="O85" s="423"/>
      <c r="P85" s="413" t="s">
        <v>219</v>
      </c>
      <c r="Q85" s="414"/>
      <c r="R85" s="414"/>
      <c r="S85" s="415"/>
      <c r="T85" s="423"/>
      <c r="U85" s="413" t="s">
        <v>219</v>
      </c>
      <c r="V85" s="414"/>
      <c r="W85" s="414"/>
      <c r="X85" s="415"/>
      <c r="Y85" s="423"/>
      <c r="Z85" s="413" t="s">
        <v>219</v>
      </c>
      <c r="AA85" s="414"/>
      <c r="AB85" s="414"/>
      <c r="AC85" s="415"/>
      <c r="AD85" s="423"/>
      <c r="AE85" s="413" t="s">
        <v>219</v>
      </c>
      <c r="AF85" s="414"/>
      <c r="AG85" s="414"/>
      <c r="AH85" s="415"/>
      <c r="AI85" s="423"/>
      <c r="AJ85" s="413" t="s">
        <v>219</v>
      </c>
      <c r="AK85" s="414"/>
      <c r="AL85" s="414"/>
      <c r="AM85" s="415"/>
      <c r="AN85" s="423"/>
      <c r="AO85" s="413" t="s">
        <v>219</v>
      </c>
      <c r="AP85" s="414"/>
      <c r="AQ85" s="414"/>
      <c r="AR85" s="415"/>
      <c r="AS85" s="423"/>
      <c r="AT85" s="413" t="s">
        <v>219</v>
      </c>
      <c r="AU85" s="414"/>
      <c r="AV85" s="414"/>
      <c r="AW85" s="415"/>
      <c r="AX85" s="423"/>
    </row>
    <row r="86" spans="2:50">
      <c r="B86" s="423"/>
      <c r="C86" s="423"/>
      <c r="D86" s="423"/>
      <c r="E86" s="297" t="s">
        <v>220</v>
      </c>
      <c r="F86" s="297" t="s">
        <v>221</v>
      </c>
      <c r="G86" s="297" t="s">
        <v>222</v>
      </c>
      <c r="H86" s="408"/>
      <c r="I86" s="297" t="s">
        <v>220</v>
      </c>
      <c r="J86" s="297" t="s">
        <v>221</v>
      </c>
      <c r="K86" s="297" t="s">
        <v>222</v>
      </c>
      <c r="L86" s="408"/>
      <c r="M86" s="403"/>
      <c r="N86" s="423"/>
      <c r="O86" s="423"/>
      <c r="P86" s="297" t="s">
        <v>220</v>
      </c>
      <c r="Q86" s="297" t="s">
        <v>221</v>
      </c>
      <c r="R86" s="297" t="s">
        <v>222</v>
      </c>
      <c r="S86" s="297" t="s">
        <v>215</v>
      </c>
      <c r="T86" s="423"/>
      <c r="U86" s="297" t="s">
        <v>220</v>
      </c>
      <c r="V86" s="297" t="s">
        <v>221</v>
      </c>
      <c r="W86" s="297" t="s">
        <v>222</v>
      </c>
      <c r="X86" s="297" t="s">
        <v>215</v>
      </c>
      <c r="Y86" s="423"/>
      <c r="Z86" s="297" t="s">
        <v>220</v>
      </c>
      <c r="AA86" s="297" t="s">
        <v>221</v>
      </c>
      <c r="AB86" s="297" t="s">
        <v>222</v>
      </c>
      <c r="AC86" s="297" t="s">
        <v>215</v>
      </c>
      <c r="AD86" s="423"/>
      <c r="AE86" s="297" t="s">
        <v>220</v>
      </c>
      <c r="AF86" s="297" t="s">
        <v>221</v>
      </c>
      <c r="AG86" s="297" t="s">
        <v>222</v>
      </c>
      <c r="AH86" s="297" t="s">
        <v>215</v>
      </c>
      <c r="AI86" s="423"/>
      <c r="AJ86" s="297" t="s">
        <v>220</v>
      </c>
      <c r="AK86" s="297" t="s">
        <v>221</v>
      </c>
      <c r="AL86" s="297" t="s">
        <v>222</v>
      </c>
      <c r="AM86" s="297" t="s">
        <v>215</v>
      </c>
      <c r="AN86" s="423"/>
      <c r="AO86" s="297" t="s">
        <v>220</v>
      </c>
      <c r="AP86" s="297" t="s">
        <v>221</v>
      </c>
      <c r="AQ86" s="297" t="s">
        <v>222</v>
      </c>
      <c r="AR86" s="297" t="s">
        <v>215</v>
      </c>
      <c r="AS86" s="423"/>
      <c r="AT86" s="297" t="s">
        <v>220</v>
      </c>
      <c r="AU86" s="297" t="s">
        <v>221</v>
      </c>
      <c r="AV86" s="297" t="s">
        <v>222</v>
      </c>
      <c r="AW86" s="297" t="s">
        <v>215</v>
      </c>
      <c r="AX86" s="423"/>
    </row>
    <row r="87" spans="2:50">
      <c r="B87" s="423" t="s">
        <v>191</v>
      </c>
      <c r="C87" s="197">
        <v>1</v>
      </c>
      <c r="D87" s="225"/>
      <c r="E87" s="169"/>
      <c r="F87" s="197"/>
      <c r="G87" s="195"/>
      <c r="H87" s="428" t="e">
        <f>AVERAGE(G87:G101)</f>
        <v>#DIV/0!</v>
      </c>
      <c r="I87" s="169" t="e">
        <f>AVERAGE(P87,U87,Z87,AE87,AJ87,AO87,AT87)</f>
        <v>#DIV/0!</v>
      </c>
      <c r="J87" s="169" t="e">
        <f>AVERAGE(Q87,V87,AA87,AF87,AK87,AP87,AU87)</f>
        <v>#DIV/0!</v>
      </c>
      <c r="K87" s="195" t="e">
        <f>AVERAGE(R87,W87,AB87,AG87,AL87,AQ87,AV87)</f>
        <v>#DIV/0!</v>
      </c>
      <c r="L87" s="428" t="str">
        <f>IFERROR(AVERAGE(K87:K101),"-")</f>
        <v>-</v>
      </c>
      <c r="M87" s="196" t="e">
        <f>RANK(K87, K$87:$K$101)</f>
        <v>#DIV/0!</v>
      </c>
      <c r="N87" s="423"/>
      <c r="O87" s="423"/>
      <c r="P87" s="197"/>
      <c r="Q87" s="169"/>
      <c r="R87" s="195"/>
      <c r="S87" s="197" t="e">
        <f>RANK(R87, R$87:R$101)</f>
        <v>#N/A</v>
      </c>
      <c r="T87" s="410" t="e">
        <f>AVERAGE(R87:R101)</f>
        <v>#DIV/0!</v>
      </c>
      <c r="U87" s="197"/>
      <c r="V87" s="169"/>
      <c r="W87" s="195"/>
      <c r="X87" s="197" t="e">
        <f>RANK(W87, W$87:W$101)</f>
        <v>#N/A</v>
      </c>
      <c r="Y87" s="410" t="e">
        <f>AVERAGE(W87:W101)</f>
        <v>#DIV/0!</v>
      </c>
      <c r="Z87" s="197"/>
      <c r="AA87" s="169"/>
      <c r="AB87" s="195"/>
      <c r="AC87" s="197" t="e">
        <f>RANK(AB87, AB$87:AB$101)</f>
        <v>#N/A</v>
      </c>
      <c r="AD87" s="410" t="e">
        <f>AVERAGE(AB87:AB101)</f>
        <v>#DIV/0!</v>
      </c>
      <c r="AE87" s="197"/>
      <c r="AF87" s="169"/>
      <c r="AG87" s="195"/>
      <c r="AH87" s="197" t="e">
        <f>RANK(AG87, AG$87:AG$101)</f>
        <v>#N/A</v>
      </c>
      <c r="AI87" s="410" t="e">
        <f>AVERAGE(AG87:AG101)</f>
        <v>#DIV/0!</v>
      </c>
      <c r="AJ87" s="197"/>
      <c r="AK87" s="169"/>
      <c r="AL87" s="195"/>
      <c r="AM87" s="197" t="e">
        <f>RANK(AL87, AL$87:AL$101)</f>
        <v>#N/A</v>
      </c>
      <c r="AN87" s="410" t="e">
        <f>AVERAGE(AL87:AL101)</f>
        <v>#DIV/0!</v>
      </c>
      <c r="AO87" s="197"/>
      <c r="AP87" s="169"/>
      <c r="AQ87" s="195"/>
      <c r="AR87" s="197" t="e">
        <f>RANK(AQ87, AQ$87:AQ$101)</f>
        <v>#N/A</v>
      </c>
      <c r="AS87" s="410" t="e">
        <f>AVERAGE(AQ87:AQ101)</f>
        <v>#DIV/0!</v>
      </c>
      <c r="AT87" s="197"/>
      <c r="AU87" s="169"/>
      <c r="AV87" s="195"/>
      <c r="AW87" s="197" t="e">
        <f>RANK(AV87, AV$87:AV$101)</f>
        <v>#N/A</v>
      </c>
      <c r="AX87" s="410" t="e">
        <f>AVERAGE(AV87:AV101)</f>
        <v>#DIV/0!</v>
      </c>
    </row>
    <row r="88" spans="2:50">
      <c r="B88" s="422"/>
      <c r="C88" s="197">
        <v>2</v>
      </c>
      <c r="D88" s="225"/>
      <c r="E88" s="169"/>
      <c r="F88" s="197"/>
      <c r="G88" s="195"/>
      <c r="H88" s="429"/>
      <c r="I88" s="169" t="e">
        <f t="shared" ref="I88:K92" si="50">AVERAGE(P88,U88,Z88,AE88,AJ88,AO88,AT88)</f>
        <v>#DIV/0!</v>
      </c>
      <c r="J88" s="169" t="e">
        <f t="shared" si="50"/>
        <v>#DIV/0!</v>
      </c>
      <c r="K88" s="195" t="e">
        <f t="shared" si="50"/>
        <v>#DIV/0!</v>
      </c>
      <c r="L88" s="429"/>
      <c r="M88" s="196" t="e">
        <f>RANK(K88, K$87:$K$101)</f>
        <v>#DIV/0!</v>
      </c>
      <c r="N88" s="423"/>
      <c r="O88" s="423"/>
      <c r="P88" s="197"/>
      <c r="Q88" s="169"/>
      <c r="R88" s="195"/>
      <c r="S88" s="197" t="e">
        <f t="shared" ref="S88:S101" si="51">RANK(R88, R$87:R$101)</f>
        <v>#N/A</v>
      </c>
      <c r="T88" s="411"/>
      <c r="U88" s="197"/>
      <c r="V88" s="169"/>
      <c r="W88" s="195"/>
      <c r="X88" s="197" t="e">
        <f t="shared" ref="X88:X101" si="52">RANK(W88, W$87:W$101)</f>
        <v>#N/A</v>
      </c>
      <c r="Y88" s="411"/>
      <c r="Z88" s="197"/>
      <c r="AA88" s="169"/>
      <c r="AB88" s="195"/>
      <c r="AC88" s="197" t="e">
        <f t="shared" ref="AC88:AC101" si="53">RANK(AB88, AB$87:AB$101)</f>
        <v>#N/A</v>
      </c>
      <c r="AD88" s="411"/>
      <c r="AE88" s="197"/>
      <c r="AF88" s="169"/>
      <c r="AG88" s="195"/>
      <c r="AH88" s="197" t="e">
        <f t="shared" ref="AH88:AH101" si="54">RANK(AG88, AG$87:AG$101)</f>
        <v>#N/A</v>
      </c>
      <c r="AI88" s="411"/>
      <c r="AJ88" s="197"/>
      <c r="AK88" s="169"/>
      <c r="AL88" s="195"/>
      <c r="AM88" s="197" t="e">
        <f t="shared" ref="AM88:AM101" si="55">RANK(AL88, AL$87:AL$101)</f>
        <v>#N/A</v>
      </c>
      <c r="AN88" s="411"/>
      <c r="AO88" s="197"/>
      <c r="AP88" s="169"/>
      <c r="AQ88" s="195"/>
      <c r="AR88" s="197" t="e">
        <f t="shared" ref="AR88:AR101" si="56">RANK(AQ88, AQ$87:AQ$101)</f>
        <v>#N/A</v>
      </c>
      <c r="AS88" s="411"/>
      <c r="AT88" s="197"/>
      <c r="AU88" s="169"/>
      <c r="AV88" s="195"/>
      <c r="AW88" s="197" t="e">
        <f t="shared" ref="AW88:AW101" si="57">RANK(AV88, AV$87:AV$101)</f>
        <v>#N/A</v>
      </c>
      <c r="AX88" s="411"/>
    </row>
    <row r="89" spans="2:50">
      <c r="B89" s="422"/>
      <c r="C89" s="197">
        <v>3</v>
      </c>
      <c r="D89" s="225"/>
      <c r="E89" s="169"/>
      <c r="F89" s="197"/>
      <c r="G89" s="195"/>
      <c r="H89" s="429"/>
      <c r="I89" s="169" t="e">
        <f t="shared" si="50"/>
        <v>#DIV/0!</v>
      </c>
      <c r="J89" s="169" t="e">
        <f t="shared" si="50"/>
        <v>#DIV/0!</v>
      </c>
      <c r="K89" s="195" t="e">
        <f t="shared" si="50"/>
        <v>#DIV/0!</v>
      </c>
      <c r="L89" s="429"/>
      <c r="M89" s="196" t="e">
        <f>RANK(K89, K$87:$K$101)</f>
        <v>#DIV/0!</v>
      </c>
      <c r="N89" s="423"/>
      <c r="O89" s="423"/>
      <c r="P89" s="197"/>
      <c r="Q89" s="169"/>
      <c r="R89" s="195"/>
      <c r="S89" s="197" t="e">
        <f t="shared" si="51"/>
        <v>#N/A</v>
      </c>
      <c r="T89" s="411"/>
      <c r="U89" s="197"/>
      <c r="V89" s="169"/>
      <c r="W89" s="195"/>
      <c r="X89" s="197" t="e">
        <f t="shared" si="52"/>
        <v>#N/A</v>
      </c>
      <c r="Y89" s="411"/>
      <c r="Z89" s="197"/>
      <c r="AA89" s="169"/>
      <c r="AB89" s="195"/>
      <c r="AC89" s="197" t="e">
        <f t="shared" si="53"/>
        <v>#N/A</v>
      </c>
      <c r="AD89" s="411"/>
      <c r="AE89" s="197"/>
      <c r="AF89" s="169"/>
      <c r="AG89" s="195"/>
      <c r="AH89" s="197" t="e">
        <f t="shared" si="54"/>
        <v>#N/A</v>
      </c>
      <c r="AI89" s="411"/>
      <c r="AJ89" s="197"/>
      <c r="AK89" s="169"/>
      <c r="AL89" s="195"/>
      <c r="AM89" s="197" t="e">
        <f t="shared" si="55"/>
        <v>#N/A</v>
      </c>
      <c r="AN89" s="411"/>
      <c r="AO89" s="197"/>
      <c r="AP89" s="169"/>
      <c r="AQ89" s="195"/>
      <c r="AR89" s="197" t="e">
        <f t="shared" si="56"/>
        <v>#N/A</v>
      </c>
      <c r="AS89" s="411"/>
      <c r="AT89" s="197"/>
      <c r="AU89" s="169"/>
      <c r="AV89" s="195"/>
      <c r="AW89" s="197" t="e">
        <f t="shared" si="57"/>
        <v>#N/A</v>
      </c>
      <c r="AX89" s="411"/>
    </row>
    <row r="90" spans="2:50">
      <c r="B90" s="422"/>
      <c r="C90" s="197">
        <v>4</v>
      </c>
      <c r="D90" s="225"/>
      <c r="E90" s="169"/>
      <c r="F90" s="197"/>
      <c r="G90" s="195"/>
      <c r="H90" s="429"/>
      <c r="I90" s="169" t="e">
        <f t="shared" si="50"/>
        <v>#DIV/0!</v>
      </c>
      <c r="J90" s="169" t="e">
        <f t="shared" si="50"/>
        <v>#DIV/0!</v>
      </c>
      <c r="K90" s="195" t="e">
        <f t="shared" si="50"/>
        <v>#DIV/0!</v>
      </c>
      <c r="L90" s="429"/>
      <c r="M90" s="196" t="e">
        <f>RANK(K90, K$87:$K$101)</f>
        <v>#DIV/0!</v>
      </c>
      <c r="N90" s="423"/>
      <c r="O90" s="423"/>
      <c r="P90" s="197"/>
      <c r="Q90" s="169"/>
      <c r="R90" s="195"/>
      <c r="S90" s="197" t="e">
        <f t="shared" si="51"/>
        <v>#N/A</v>
      </c>
      <c r="T90" s="411"/>
      <c r="U90" s="197"/>
      <c r="V90" s="169"/>
      <c r="W90" s="195"/>
      <c r="X90" s="197" t="e">
        <f t="shared" si="52"/>
        <v>#N/A</v>
      </c>
      <c r="Y90" s="411"/>
      <c r="Z90" s="197"/>
      <c r="AA90" s="169"/>
      <c r="AB90" s="195"/>
      <c r="AC90" s="197" t="e">
        <f t="shared" si="53"/>
        <v>#N/A</v>
      </c>
      <c r="AD90" s="411"/>
      <c r="AE90" s="197"/>
      <c r="AF90" s="169"/>
      <c r="AG90" s="195"/>
      <c r="AH90" s="197" t="e">
        <f t="shared" si="54"/>
        <v>#N/A</v>
      </c>
      <c r="AI90" s="411"/>
      <c r="AJ90" s="197"/>
      <c r="AK90" s="169"/>
      <c r="AL90" s="195"/>
      <c r="AM90" s="197" t="e">
        <f t="shared" si="55"/>
        <v>#N/A</v>
      </c>
      <c r="AN90" s="411"/>
      <c r="AO90" s="197"/>
      <c r="AP90" s="169"/>
      <c r="AQ90" s="195"/>
      <c r="AR90" s="197" t="e">
        <f t="shared" si="56"/>
        <v>#N/A</v>
      </c>
      <c r="AS90" s="411"/>
      <c r="AT90" s="197"/>
      <c r="AU90" s="169"/>
      <c r="AV90" s="195"/>
      <c r="AW90" s="197" t="e">
        <f t="shared" si="57"/>
        <v>#N/A</v>
      </c>
      <c r="AX90" s="411"/>
    </row>
    <row r="91" spans="2:50">
      <c r="B91" s="422"/>
      <c r="C91" s="197">
        <v>5</v>
      </c>
      <c r="D91" s="225"/>
      <c r="E91" s="169"/>
      <c r="F91" s="197"/>
      <c r="G91" s="195"/>
      <c r="H91" s="429"/>
      <c r="I91" s="169" t="e">
        <f t="shared" si="50"/>
        <v>#DIV/0!</v>
      </c>
      <c r="J91" s="169" t="e">
        <f t="shared" si="50"/>
        <v>#DIV/0!</v>
      </c>
      <c r="K91" s="195" t="e">
        <f t="shared" si="50"/>
        <v>#DIV/0!</v>
      </c>
      <c r="L91" s="429"/>
      <c r="M91" s="196" t="e">
        <f>RANK(K91, K$87:$K$101)</f>
        <v>#DIV/0!</v>
      </c>
      <c r="N91" s="423"/>
      <c r="O91" s="423"/>
      <c r="P91" s="197"/>
      <c r="Q91" s="169"/>
      <c r="R91" s="195"/>
      <c r="S91" s="197" t="e">
        <f t="shared" si="51"/>
        <v>#N/A</v>
      </c>
      <c r="T91" s="411"/>
      <c r="U91" s="197"/>
      <c r="V91" s="169"/>
      <c r="W91" s="195"/>
      <c r="X91" s="197" t="e">
        <f t="shared" si="52"/>
        <v>#N/A</v>
      </c>
      <c r="Y91" s="411"/>
      <c r="Z91" s="197"/>
      <c r="AA91" s="169"/>
      <c r="AB91" s="195"/>
      <c r="AC91" s="197" t="e">
        <f t="shared" si="53"/>
        <v>#N/A</v>
      </c>
      <c r="AD91" s="411"/>
      <c r="AE91" s="197"/>
      <c r="AF91" s="169"/>
      <c r="AG91" s="195"/>
      <c r="AH91" s="197" t="e">
        <f t="shared" si="54"/>
        <v>#N/A</v>
      </c>
      <c r="AI91" s="411"/>
      <c r="AJ91" s="197"/>
      <c r="AK91" s="169"/>
      <c r="AL91" s="195"/>
      <c r="AM91" s="197" t="e">
        <f t="shared" si="55"/>
        <v>#N/A</v>
      </c>
      <c r="AN91" s="411"/>
      <c r="AO91" s="197"/>
      <c r="AP91" s="169"/>
      <c r="AQ91" s="195"/>
      <c r="AR91" s="197" t="e">
        <f t="shared" si="56"/>
        <v>#N/A</v>
      </c>
      <c r="AS91" s="411"/>
      <c r="AT91" s="197"/>
      <c r="AU91" s="169"/>
      <c r="AV91" s="195"/>
      <c r="AW91" s="197" t="e">
        <f t="shared" si="57"/>
        <v>#N/A</v>
      </c>
      <c r="AX91" s="411"/>
    </row>
    <row r="92" spans="2:50">
      <c r="B92" s="422"/>
      <c r="C92" s="197">
        <v>6</v>
      </c>
      <c r="D92" s="225"/>
      <c r="E92" s="169"/>
      <c r="F92" s="197"/>
      <c r="G92" s="195"/>
      <c r="H92" s="429"/>
      <c r="I92" s="169" t="e">
        <f t="shared" si="50"/>
        <v>#DIV/0!</v>
      </c>
      <c r="J92" s="169" t="e">
        <f t="shared" si="50"/>
        <v>#DIV/0!</v>
      </c>
      <c r="K92" s="195" t="e">
        <f t="shared" si="50"/>
        <v>#DIV/0!</v>
      </c>
      <c r="L92" s="429"/>
      <c r="M92" s="196" t="e">
        <f>RANK(K92, K$87:$K$101)</f>
        <v>#DIV/0!</v>
      </c>
      <c r="N92" s="423"/>
      <c r="O92" s="423"/>
      <c r="P92" s="197"/>
      <c r="Q92" s="197"/>
      <c r="R92" s="197"/>
      <c r="S92" s="197" t="e">
        <f t="shared" si="51"/>
        <v>#N/A</v>
      </c>
      <c r="T92" s="411"/>
      <c r="U92" s="197"/>
      <c r="V92" s="197"/>
      <c r="W92" s="197"/>
      <c r="X92" s="197" t="e">
        <f t="shared" si="52"/>
        <v>#N/A</v>
      </c>
      <c r="Y92" s="411"/>
      <c r="Z92" s="197"/>
      <c r="AA92" s="197"/>
      <c r="AB92" s="197"/>
      <c r="AC92" s="197" t="e">
        <f t="shared" si="53"/>
        <v>#N/A</v>
      </c>
      <c r="AD92" s="411"/>
      <c r="AE92" s="197"/>
      <c r="AF92" s="197"/>
      <c r="AG92" s="197"/>
      <c r="AH92" s="197" t="e">
        <f t="shared" si="54"/>
        <v>#N/A</v>
      </c>
      <c r="AI92" s="411"/>
      <c r="AJ92" s="197"/>
      <c r="AK92" s="197"/>
      <c r="AL92" s="197"/>
      <c r="AM92" s="197" t="e">
        <f t="shared" si="55"/>
        <v>#N/A</v>
      </c>
      <c r="AN92" s="411"/>
      <c r="AO92" s="197"/>
      <c r="AP92" s="197"/>
      <c r="AQ92" s="197"/>
      <c r="AR92" s="197" t="e">
        <f t="shared" si="56"/>
        <v>#N/A</v>
      </c>
      <c r="AS92" s="411"/>
      <c r="AT92" s="197"/>
      <c r="AU92" s="169"/>
      <c r="AV92" s="195"/>
      <c r="AW92" s="197" t="e">
        <f t="shared" si="57"/>
        <v>#N/A</v>
      </c>
      <c r="AX92" s="411"/>
    </row>
    <row r="93" spans="2:50">
      <c r="B93" s="422"/>
      <c r="C93" s="197">
        <v>7</v>
      </c>
      <c r="D93" s="225"/>
      <c r="E93" s="169"/>
      <c r="F93" s="197"/>
      <c r="G93" s="195"/>
      <c r="H93" s="429"/>
      <c r="I93" s="169"/>
      <c r="J93" s="169"/>
      <c r="K93" s="195"/>
      <c r="L93" s="429"/>
      <c r="M93" s="196" t="e">
        <f>RANK(K93, K$87:$K$101)</f>
        <v>#DIV/0!</v>
      </c>
      <c r="N93" s="423"/>
      <c r="O93" s="423"/>
      <c r="P93" s="197"/>
      <c r="Q93" s="197"/>
      <c r="R93" s="197"/>
      <c r="S93" s="197" t="e">
        <f t="shared" si="51"/>
        <v>#N/A</v>
      </c>
      <c r="T93" s="411"/>
      <c r="U93" s="197"/>
      <c r="V93" s="197"/>
      <c r="W93" s="197"/>
      <c r="X93" s="197" t="e">
        <f t="shared" si="52"/>
        <v>#N/A</v>
      </c>
      <c r="Y93" s="411"/>
      <c r="Z93" s="197"/>
      <c r="AA93" s="197"/>
      <c r="AB93" s="197"/>
      <c r="AC93" s="197" t="e">
        <f t="shared" si="53"/>
        <v>#N/A</v>
      </c>
      <c r="AD93" s="411"/>
      <c r="AE93" s="197"/>
      <c r="AF93" s="197"/>
      <c r="AG93" s="197"/>
      <c r="AH93" s="197" t="e">
        <f t="shared" si="54"/>
        <v>#N/A</v>
      </c>
      <c r="AI93" s="411"/>
      <c r="AJ93" s="197"/>
      <c r="AK93" s="197"/>
      <c r="AL93" s="197"/>
      <c r="AM93" s="197" t="e">
        <f t="shared" si="55"/>
        <v>#N/A</v>
      </c>
      <c r="AN93" s="411"/>
      <c r="AO93" s="197"/>
      <c r="AP93" s="197"/>
      <c r="AQ93" s="197"/>
      <c r="AR93" s="197" t="e">
        <f t="shared" si="56"/>
        <v>#N/A</v>
      </c>
      <c r="AS93" s="411"/>
      <c r="AT93" s="197"/>
      <c r="AU93" s="197"/>
      <c r="AV93" s="197"/>
      <c r="AW93" s="197" t="e">
        <f t="shared" si="57"/>
        <v>#N/A</v>
      </c>
      <c r="AX93" s="411"/>
    </row>
    <row r="94" spans="2:50">
      <c r="B94" s="422"/>
      <c r="C94" s="197">
        <v>8</v>
      </c>
      <c r="D94" s="225"/>
      <c r="E94" s="169"/>
      <c r="F94" s="197"/>
      <c r="G94" s="195"/>
      <c r="H94" s="429"/>
      <c r="I94" s="169"/>
      <c r="J94" s="169"/>
      <c r="K94" s="195"/>
      <c r="L94" s="429"/>
      <c r="M94" s="196" t="e">
        <f>RANK(K94, K$87:$K$101)</f>
        <v>#DIV/0!</v>
      </c>
      <c r="N94" s="423"/>
      <c r="O94" s="423"/>
      <c r="P94" s="197"/>
      <c r="Q94" s="197"/>
      <c r="R94" s="197"/>
      <c r="S94" s="197" t="e">
        <f t="shared" si="51"/>
        <v>#N/A</v>
      </c>
      <c r="T94" s="411"/>
      <c r="U94" s="197"/>
      <c r="V94" s="197"/>
      <c r="W94" s="197"/>
      <c r="X94" s="197" t="e">
        <f t="shared" si="52"/>
        <v>#N/A</v>
      </c>
      <c r="Y94" s="411"/>
      <c r="Z94" s="197"/>
      <c r="AA94" s="197"/>
      <c r="AB94" s="197"/>
      <c r="AC94" s="197" t="e">
        <f t="shared" si="53"/>
        <v>#N/A</v>
      </c>
      <c r="AD94" s="411"/>
      <c r="AE94" s="197"/>
      <c r="AF94" s="197"/>
      <c r="AG94" s="197"/>
      <c r="AH94" s="197" t="e">
        <f t="shared" si="54"/>
        <v>#N/A</v>
      </c>
      <c r="AI94" s="411"/>
      <c r="AJ94" s="197"/>
      <c r="AK94" s="197"/>
      <c r="AL94" s="197"/>
      <c r="AM94" s="197" t="e">
        <f t="shared" si="55"/>
        <v>#N/A</v>
      </c>
      <c r="AN94" s="411"/>
      <c r="AO94" s="197"/>
      <c r="AP94" s="197"/>
      <c r="AQ94" s="197"/>
      <c r="AR94" s="197" t="e">
        <f t="shared" si="56"/>
        <v>#N/A</v>
      </c>
      <c r="AS94" s="411"/>
      <c r="AT94" s="197"/>
      <c r="AU94" s="197"/>
      <c r="AV94" s="197"/>
      <c r="AW94" s="197" t="e">
        <f t="shared" si="57"/>
        <v>#N/A</v>
      </c>
      <c r="AX94" s="411"/>
    </row>
    <row r="95" spans="2:50">
      <c r="B95" s="422"/>
      <c r="C95" s="197">
        <v>9</v>
      </c>
      <c r="D95" s="225"/>
      <c r="E95" s="169"/>
      <c r="F95" s="197"/>
      <c r="G95" s="195"/>
      <c r="H95" s="429"/>
      <c r="I95" s="169"/>
      <c r="J95" s="169"/>
      <c r="K95" s="195"/>
      <c r="L95" s="429"/>
      <c r="M95" s="196" t="e">
        <f>RANK(K95, K$87:$K$101)</f>
        <v>#DIV/0!</v>
      </c>
      <c r="N95" s="423"/>
      <c r="O95" s="423"/>
      <c r="P95" s="197"/>
      <c r="Q95" s="197"/>
      <c r="R95" s="197"/>
      <c r="S95" s="197" t="e">
        <f t="shared" si="51"/>
        <v>#N/A</v>
      </c>
      <c r="T95" s="411"/>
      <c r="U95" s="197"/>
      <c r="V95" s="197"/>
      <c r="W95" s="197"/>
      <c r="X95" s="197" t="e">
        <f t="shared" si="52"/>
        <v>#N/A</v>
      </c>
      <c r="Y95" s="411"/>
      <c r="Z95" s="197"/>
      <c r="AA95" s="197"/>
      <c r="AB95" s="197"/>
      <c r="AC95" s="197" t="e">
        <f t="shared" si="53"/>
        <v>#N/A</v>
      </c>
      <c r="AD95" s="411"/>
      <c r="AE95" s="197"/>
      <c r="AF95" s="197"/>
      <c r="AG95" s="197"/>
      <c r="AH95" s="197" t="e">
        <f t="shared" si="54"/>
        <v>#N/A</v>
      </c>
      <c r="AI95" s="411"/>
      <c r="AJ95" s="197"/>
      <c r="AK95" s="197"/>
      <c r="AL95" s="197"/>
      <c r="AM95" s="197" t="e">
        <f t="shared" si="55"/>
        <v>#N/A</v>
      </c>
      <c r="AN95" s="411"/>
      <c r="AO95" s="197"/>
      <c r="AP95" s="197"/>
      <c r="AQ95" s="197"/>
      <c r="AR95" s="197" t="e">
        <f t="shared" si="56"/>
        <v>#N/A</v>
      </c>
      <c r="AS95" s="411"/>
      <c r="AT95" s="197"/>
      <c r="AU95" s="197"/>
      <c r="AV95" s="197"/>
      <c r="AW95" s="197" t="e">
        <f t="shared" si="57"/>
        <v>#N/A</v>
      </c>
      <c r="AX95" s="411"/>
    </row>
    <row r="96" spans="2:50">
      <c r="B96" s="422"/>
      <c r="C96" s="197">
        <v>10</v>
      </c>
      <c r="D96" s="225"/>
      <c r="E96" s="169"/>
      <c r="F96" s="197"/>
      <c r="G96" s="195"/>
      <c r="H96" s="429"/>
      <c r="I96" s="169"/>
      <c r="J96" s="169"/>
      <c r="K96" s="195"/>
      <c r="L96" s="429"/>
      <c r="M96" s="196" t="e">
        <f>RANK(K96, K$87:$K$101)</f>
        <v>#DIV/0!</v>
      </c>
      <c r="N96" s="423"/>
      <c r="O96" s="423"/>
      <c r="P96" s="197"/>
      <c r="Q96" s="197"/>
      <c r="R96" s="197"/>
      <c r="S96" s="197" t="e">
        <f t="shared" si="51"/>
        <v>#N/A</v>
      </c>
      <c r="T96" s="411"/>
      <c r="U96" s="197"/>
      <c r="V96" s="197"/>
      <c r="W96" s="197"/>
      <c r="X96" s="197" t="e">
        <f t="shared" si="52"/>
        <v>#N/A</v>
      </c>
      <c r="Y96" s="411"/>
      <c r="Z96" s="197"/>
      <c r="AA96" s="197"/>
      <c r="AB96" s="197"/>
      <c r="AC96" s="197" t="e">
        <f t="shared" si="53"/>
        <v>#N/A</v>
      </c>
      <c r="AD96" s="411"/>
      <c r="AE96" s="197"/>
      <c r="AF96" s="197"/>
      <c r="AG96" s="197"/>
      <c r="AH96" s="197" t="e">
        <f t="shared" si="54"/>
        <v>#N/A</v>
      </c>
      <c r="AI96" s="411"/>
      <c r="AJ96" s="197"/>
      <c r="AK96" s="197"/>
      <c r="AL96" s="197"/>
      <c r="AM96" s="197" t="e">
        <f t="shared" si="55"/>
        <v>#N/A</v>
      </c>
      <c r="AN96" s="411"/>
      <c r="AO96" s="197"/>
      <c r="AP96" s="197"/>
      <c r="AQ96" s="197"/>
      <c r="AR96" s="197" t="e">
        <f t="shared" si="56"/>
        <v>#N/A</v>
      </c>
      <c r="AS96" s="411"/>
      <c r="AT96" s="197"/>
      <c r="AU96" s="197"/>
      <c r="AV96" s="197"/>
      <c r="AW96" s="197" t="e">
        <f t="shared" si="57"/>
        <v>#N/A</v>
      </c>
      <c r="AX96" s="411"/>
    </row>
    <row r="97" spans="2:50">
      <c r="B97" s="422"/>
      <c r="C97" s="197">
        <v>11</v>
      </c>
      <c r="D97" s="225"/>
      <c r="E97" s="169"/>
      <c r="F97" s="197"/>
      <c r="G97" s="195"/>
      <c r="H97" s="429"/>
      <c r="I97" s="169"/>
      <c r="J97" s="169"/>
      <c r="K97" s="195"/>
      <c r="L97" s="429"/>
      <c r="M97" s="196" t="e">
        <f>RANK(K97, K$87:$K$101)</f>
        <v>#DIV/0!</v>
      </c>
      <c r="N97" s="423"/>
      <c r="O97" s="423"/>
      <c r="P97" s="197"/>
      <c r="Q97" s="197"/>
      <c r="R97" s="197"/>
      <c r="S97" s="197" t="e">
        <f t="shared" si="51"/>
        <v>#N/A</v>
      </c>
      <c r="T97" s="411"/>
      <c r="U97" s="197"/>
      <c r="V97" s="197"/>
      <c r="W97" s="197"/>
      <c r="X97" s="197" t="e">
        <f t="shared" si="52"/>
        <v>#N/A</v>
      </c>
      <c r="Y97" s="411"/>
      <c r="Z97" s="197"/>
      <c r="AA97" s="197"/>
      <c r="AB97" s="197"/>
      <c r="AC97" s="197" t="e">
        <f t="shared" si="53"/>
        <v>#N/A</v>
      </c>
      <c r="AD97" s="411"/>
      <c r="AE97" s="197"/>
      <c r="AF97" s="197"/>
      <c r="AG97" s="197"/>
      <c r="AH97" s="197" t="e">
        <f t="shared" si="54"/>
        <v>#N/A</v>
      </c>
      <c r="AI97" s="411"/>
      <c r="AJ97" s="197"/>
      <c r="AK97" s="197"/>
      <c r="AL97" s="197"/>
      <c r="AM97" s="197" t="e">
        <f t="shared" si="55"/>
        <v>#N/A</v>
      </c>
      <c r="AN97" s="411"/>
      <c r="AO97" s="197"/>
      <c r="AP97" s="197"/>
      <c r="AQ97" s="197"/>
      <c r="AR97" s="197" t="e">
        <f t="shared" si="56"/>
        <v>#N/A</v>
      </c>
      <c r="AS97" s="411"/>
      <c r="AT97" s="197"/>
      <c r="AU97" s="197"/>
      <c r="AV97" s="197"/>
      <c r="AW97" s="197" t="e">
        <f t="shared" si="57"/>
        <v>#N/A</v>
      </c>
      <c r="AX97" s="411"/>
    </row>
    <row r="98" spans="2:50">
      <c r="B98" s="422"/>
      <c r="C98" s="197">
        <v>12</v>
      </c>
      <c r="D98" s="225"/>
      <c r="E98" s="169"/>
      <c r="F98" s="197"/>
      <c r="G98" s="195"/>
      <c r="H98" s="429"/>
      <c r="I98" s="169"/>
      <c r="J98" s="169"/>
      <c r="K98" s="195"/>
      <c r="L98" s="429"/>
      <c r="M98" s="196" t="e">
        <f>RANK(K98, K$87:$K$101)</f>
        <v>#DIV/0!</v>
      </c>
      <c r="N98" s="423"/>
      <c r="O98" s="423"/>
      <c r="P98" s="197"/>
      <c r="Q98" s="197"/>
      <c r="R98" s="197"/>
      <c r="S98" s="197" t="e">
        <f t="shared" si="51"/>
        <v>#N/A</v>
      </c>
      <c r="T98" s="411"/>
      <c r="U98" s="197"/>
      <c r="V98" s="197"/>
      <c r="W98" s="197"/>
      <c r="X98" s="197" t="e">
        <f t="shared" si="52"/>
        <v>#N/A</v>
      </c>
      <c r="Y98" s="411"/>
      <c r="Z98" s="197"/>
      <c r="AA98" s="197"/>
      <c r="AB98" s="197"/>
      <c r="AC98" s="197" t="e">
        <f t="shared" si="53"/>
        <v>#N/A</v>
      </c>
      <c r="AD98" s="411"/>
      <c r="AE98" s="197"/>
      <c r="AF98" s="197"/>
      <c r="AG98" s="197"/>
      <c r="AH98" s="197" t="e">
        <f t="shared" si="54"/>
        <v>#N/A</v>
      </c>
      <c r="AI98" s="411"/>
      <c r="AJ98" s="197"/>
      <c r="AK98" s="197"/>
      <c r="AL98" s="197"/>
      <c r="AM98" s="197" t="e">
        <f t="shared" si="55"/>
        <v>#N/A</v>
      </c>
      <c r="AN98" s="411"/>
      <c r="AO98" s="197"/>
      <c r="AP98" s="197"/>
      <c r="AQ98" s="197"/>
      <c r="AR98" s="197" t="e">
        <f t="shared" si="56"/>
        <v>#N/A</v>
      </c>
      <c r="AS98" s="411"/>
      <c r="AT98" s="197"/>
      <c r="AU98" s="197"/>
      <c r="AV98" s="197"/>
      <c r="AW98" s="197" t="e">
        <f t="shared" si="57"/>
        <v>#N/A</v>
      </c>
      <c r="AX98" s="411"/>
    </row>
    <row r="99" spans="2:50">
      <c r="B99" s="422"/>
      <c r="C99" s="197">
        <v>13</v>
      </c>
      <c r="D99" s="225"/>
      <c r="E99" s="169"/>
      <c r="F99" s="197"/>
      <c r="G99" s="195"/>
      <c r="H99" s="429"/>
      <c r="I99" s="169"/>
      <c r="J99" s="169"/>
      <c r="K99" s="195"/>
      <c r="L99" s="429"/>
      <c r="M99" s="196" t="e">
        <f>RANK(K99, K$87:$K$101)</f>
        <v>#DIV/0!</v>
      </c>
      <c r="N99" s="423"/>
      <c r="O99" s="423"/>
      <c r="P99" s="197"/>
      <c r="Q99" s="197"/>
      <c r="R99" s="197"/>
      <c r="S99" s="197" t="e">
        <f t="shared" si="51"/>
        <v>#N/A</v>
      </c>
      <c r="T99" s="411"/>
      <c r="U99" s="197"/>
      <c r="V99" s="197"/>
      <c r="W99" s="197"/>
      <c r="X99" s="197" t="e">
        <f t="shared" si="52"/>
        <v>#N/A</v>
      </c>
      <c r="Y99" s="411"/>
      <c r="Z99" s="197"/>
      <c r="AA99" s="197"/>
      <c r="AB99" s="197"/>
      <c r="AC99" s="197" t="e">
        <f t="shared" si="53"/>
        <v>#N/A</v>
      </c>
      <c r="AD99" s="411"/>
      <c r="AE99" s="197"/>
      <c r="AF99" s="197"/>
      <c r="AG99" s="197"/>
      <c r="AH99" s="197" t="e">
        <f t="shared" si="54"/>
        <v>#N/A</v>
      </c>
      <c r="AI99" s="411"/>
      <c r="AJ99" s="197"/>
      <c r="AK99" s="197"/>
      <c r="AL99" s="197"/>
      <c r="AM99" s="197" t="e">
        <f t="shared" si="55"/>
        <v>#N/A</v>
      </c>
      <c r="AN99" s="411"/>
      <c r="AO99" s="197"/>
      <c r="AP99" s="197"/>
      <c r="AQ99" s="197"/>
      <c r="AR99" s="197" t="e">
        <f t="shared" si="56"/>
        <v>#N/A</v>
      </c>
      <c r="AS99" s="411"/>
      <c r="AT99" s="197"/>
      <c r="AU99" s="197"/>
      <c r="AV99" s="197"/>
      <c r="AW99" s="197" t="e">
        <f t="shared" si="57"/>
        <v>#N/A</v>
      </c>
      <c r="AX99" s="411"/>
    </row>
    <row r="100" spans="2:50">
      <c r="B100" s="422"/>
      <c r="C100" s="197">
        <v>14</v>
      </c>
      <c r="D100" s="225"/>
      <c r="E100" s="169"/>
      <c r="F100" s="197"/>
      <c r="G100" s="195"/>
      <c r="H100" s="429"/>
      <c r="I100" s="169"/>
      <c r="J100" s="169"/>
      <c r="K100" s="195"/>
      <c r="L100" s="429"/>
      <c r="M100" s="196" t="e">
        <f>RANK(K100, K$87:$K$101)</f>
        <v>#DIV/0!</v>
      </c>
      <c r="N100" s="423"/>
      <c r="O100" s="423"/>
      <c r="P100" s="197"/>
      <c r="Q100" s="197"/>
      <c r="R100" s="197"/>
      <c r="S100" s="197" t="e">
        <f t="shared" si="51"/>
        <v>#N/A</v>
      </c>
      <c r="T100" s="411"/>
      <c r="U100" s="197"/>
      <c r="V100" s="197"/>
      <c r="W100" s="197"/>
      <c r="X100" s="197" t="e">
        <f t="shared" si="52"/>
        <v>#N/A</v>
      </c>
      <c r="Y100" s="411"/>
      <c r="Z100" s="197"/>
      <c r="AA100" s="197"/>
      <c r="AB100" s="197"/>
      <c r="AC100" s="197" t="e">
        <f t="shared" si="53"/>
        <v>#N/A</v>
      </c>
      <c r="AD100" s="411"/>
      <c r="AE100" s="197"/>
      <c r="AF100" s="197"/>
      <c r="AG100" s="197"/>
      <c r="AH100" s="197" t="e">
        <f t="shared" si="54"/>
        <v>#N/A</v>
      </c>
      <c r="AI100" s="411"/>
      <c r="AJ100" s="197"/>
      <c r="AK100" s="197"/>
      <c r="AL100" s="197"/>
      <c r="AM100" s="197" t="e">
        <f t="shared" si="55"/>
        <v>#N/A</v>
      </c>
      <c r="AN100" s="411"/>
      <c r="AO100" s="197"/>
      <c r="AP100" s="197"/>
      <c r="AQ100" s="197"/>
      <c r="AR100" s="197" t="e">
        <f t="shared" si="56"/>
        <v>#N/A</v>
      </c>
      <c r="AS100" s="411"/>
      <c r="AT100" s="197"/>
      <c r="AU100" s="197"/>
      <c r="AV100" s="197"/>
      <c r="AW100" s="197" t="e">
        <f t="shared" si="57"/>
        <v>#N/A</v>
      </c>
      <c r="AX100" s="411"/>
    </row>
    <row r="101" spans="2:50">
      <c r="B101" s="422"/>
      <c r="C101" s="197">
        <v>15</v>
      </c>
      <c r="D101" s="225"/>
      <c r="E101" s="169"/>
      <c r="F101" s="197"/>
      <c r="G101" s="195"/>
      <c r="H101" s="430"/>
      <c r="I101" s="169"/>
      <c r="J101" s="169"/>
      <c r="K101" s="195"/>
      <c r="L101" s="430"/>
      <c r="M101" s="169" t="e">
        <f>RANK(K101, K$87:$K$101)</f>
        <v>#DIV/0!</v>
      </c>
      <c r="N101" s="423"/>
      <c r="O101" s="423"/>
      <c r="P101" s="197"/>
      <c r="Q101" s="197"/>
      <c r="R101" s="197"/>
      <c r="S101" s="197" t="e">
        <f t="shared" si="51"/>
        <v>#N/A</v>
      </c>
      <c r="T101" s="412"/>
      <c r="U101" s="197"/>
      <c r="V101" s="197"/>
      <c r="W101" s="197"/>
      <c r="X101" s="197" t="e">
        <f t="shared" si="52"/>
        <v>#N/A</v>
      </c>
      <c r="Y101" s="412"/>
      <c r="Z101" s="197"/>
      <c r="AA101" s="197"/>
      <c r="AB101" s="197"/>
      <c r="AC101" s="197" t="e">
        <f t="shared" si="53"/>
        <v>#N/A</v>
      </c>
      <c r="AD101" s="412"/>
      <c r="AE101" s="197"/>
      <c r="AF101" s="197"/>
      <c r="AG101" s="197"/>
      <c r="AH101" s="197" t="e">
        <f t="shared" si="54"/>
        <v>#N/A</v>
      </c>
      <c r="AI101" s="412"/>
      <c r="AJ101" s="197"/>
      <c r="AK101" s="197"/>
      <c r="AL101" s="197"/>
      <c r="AM101" s="197" t="e">
        <f t="shared" si="55"/>
        <v>#N/A</v>
      </c>
      <c r="AN101" s="412"/>
      <c r="AO101" s="197"/>
      <c r="AP101" s="197"/>
      <c r="AQ101" s="197"/>
      <c r="AR101" s="197" t="e">
        <f t="shared" si="56"/>
        <v>#N/A</v>
      </c>
      <c r="AS101" s="412"/>
      <c r="AT101" s="197"/>
      <c r="AU101" s="197"/>
      <c r="AV101" s="197"/>
      <c r="AW101" s="197" t="e">
        <f t="shared" si="57"/>
        <v>#N/A</v>
      </c>
      <c r="AX101" s="412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28"/>
  <sheetViews>
    <sheetView view="pageBreakPreview" zoomScaleNormal="60" zoomScaleSheetLayoutView="100" workbookViewId="0">
      <selection activeCell="P29" sqref="P29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359" t="s">
        <v>325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115"/>
    </row>
    <row r="2" spans="1:13" s="116" customFormat="1" ht="15.75" customHeight="1">
      <c r="A2" s="359"/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</row>
    <row r="3" spans="1:13" ht="15.75" customHeight="1">
      <c r="A3" s="436" t="s">
        <v>326</v>
      </c>
      <c r="B3" s="437"/>
      <c r="C3" s="437"/>
      <c r="D3" s="437"/>
      <c r="E3" s="437"/>
      <c r="F3" s="437"/>
      <c r="G3" s="437"/>
      <c r="H3" s="437"/>
      <c r="I3" s="437"/>
      <c r="J3" s="437"/>
      <c r="K3" s="437"/>
      <c r="L3" s="437"/>
      <c r="M3" s="115"/>
    </row>
    <row r="4" spans="1:13" s="116" customFormat="1" ht="15.75" customHeight="1">
      <c r="A4" s="437"/>
      <c r="B4" s="437"/>
      <c r="C4" s="437"/>
      <c r="D4" s="437"/>
      <c r="E4" s="437"/>
      <c r="F4" s="437"/>
      <c r="G4" s="437"/>
      <c r="H4" s="437"/>
      <c r="I4" s="437"/>
      <c r="J4" s="437"/>
      <c r="K4" s="437"/>
      <c r="L4" s="437"/>
    </row>
    <row r="5" spans="1:13" s="122" customFormat="1" ht="16.350000000000001" customHeight="1">
      <c r="A5" s="444" t="s">
        <v>210</v>
      </c>
      <c r="B5" s="154">
        <v>1</v>
      </c>
      <c r="C5" s="154">
        <v>2</v>
      </c>
      <c r="D5" s="145">
        <v>3</v>
      </c>
      <c r="E5" s="145">
        <v>4</v>
      </c>
      <c r="F5" s="145">
        <v>5</v>
      </c>
      <c r="G5" s="145">
        <v>6</v>
      </c>
      <c r="H5" s="145">
        <v>7</v>
      </c>
      <c r="I5" s="145">
        <v>8</v>
      </c>
      <c r="J5" s="145">
        <v>9</v>
      </c>
      <c r="K5" s="143"/>
      <c r="L5" s="143"/>
      <c r="M5" s="143"/>
    </row>
    <row r="6" spans="1:13" ht="16.350000000000001" customHeight="1">
      <c r="A6" s="444"/>
      <c r="B6" s="155" t="s">
        <v>327</v>
      </c>
      <c r="C6" s="155" t="s">
        <v>328</v>
      </c>
      <c r="D6" s="146" t="s">
        <v>329</v>
      </c>
      <c r="E6" s="146" t="s">
        <v>330</v>
      </c>
      <c r="F6" s="132" t="s">
        <v>331</v>
      </c>
      <c r="G6" s="147" t="s">
        <v>332</v>
      </c>
      <c r="H6" s="148" t="s">
        <v>333</v>
      </c>
      <c r="I6" s="147" t="s">
        <v>334</v>
      </c>
      <c r="J6" s="147" t="s">
        <v>335</v>
      </c>
      <c r="K6" s="144"/>
      <c r="L6" s="144"/>
    </row>
    <row r="7" spans="1:13" s="122" customFormat="1" ht="15.75" customHeight="1">
      <c r="A7" s="445" t="s">
        <v>131</v>
      </c>
      <c r="B7" s="445"/>
      <c r="C7" s="150" t="s">
        <v>52</v>
      </c>
      <c r="D7" s="445" t="s">
        <v>53</v>
      </c>
      <c r="E7" s="446"/>
      <c r="F7" s="446"/>
      <c r="G7" s="150" t="s">
        <v>54</v>
      </c>
      <c r="H7" s="150" t="s">
        <v>336</v>
      </c>
      <c r="I7" s="150" t="s">
        <v>337</v>
      </c>
      <c r="J7" s="217" t="s">
        <v>338</v>
      </c>
      <c r="K7" s="445" t="s">
        <v>58</v>
      </c>
      <c r="L7" s="446"/>
      <c r="M7" s="143"/>
    </row>
    <row r="8" spans="1:13" ht="15.75" customHeight="1">
      <c r="A8" s="444">
        <v>1</v>
      </c>
      <c r="B8" s="445" t="s">
        <v>223</v>
      </c>
      <c r="C8" s="123">
        <v>1</v>
      </c>
      <c r="D8" s="433" t="s">
        <v>229</v>
      </c>
      <c r="E8" s="434"/>
      <c r="F8" s="435"/>
      <c r="G8" s="145">
        <v>3</v>
      </c>
      <c r="H8" s="239">
        <v>2995.366833406265</v>
      </c>
      <c r="I8" s="239">
        <v>998.45561113542169</v>
      </c>
      <c r="J8" s="240" t="s">
        <v>339</v>
      </c>
      <c r="K8" s="450" t="s">
        <v>340</v>
      </c>
      <c r="L8" s="451"/>
    </row>
    <row r="9" spans="1:13" ht="15.75" customHeight="1">
      <c r="A9" s="444"/>
      <c r="B9" s="445"/>
      <c r="C9" s="123">
        <v>2</v>
      </c>
      <c r="D9" s="433" t="s">
        <v>242</v>
      </c>
      <c r="E9" s="434"/>
      <c r="F9" s="435"/>
      <c r="G9" s="145">
        <v>3</v>
      </c>
      <c r="H9" s="239">
        <v>2676.3256388376853</v>
      </c>
      <c r="I9" s="239">
        <v>892.10854627922834</v>
      </c>
      <c r="J9" s="245" t="s">
        <v>341</v>
      </c>
      <c r="K9" s="452"/>
      <c r="L9" s="453"/>
    </row>
    <row r="10" spans="1:13" ht="15.75" customHeight="1">
      <c r="A10" s="444"/>
      <c r="B10" s="445"/>
      <c r="C10" s="123">
        <v>3</v>
      </c>
      <c r="D10" s="433" t="s">
        <v>225</v>
      </c>
      <c r="E10" s="434"/>
      <c r="F10" s="435"/>
      <c r="G10" s="145">
        <v>3</v>
      </c>
      <c r="H10" s="239">
        <v>2667.3800140745948</v>
      </c>
      <c r="I10" s="239">
        <v>889.12667135819822</v>
      </c>
      <c r="J10" s="240" t="s">
        <v>339</v>
      </c>
      <c r="K10" s="452"/>
      <c r="L10" s="453"/>
    </row>
    <row r="11" spans="1:13" ht="15.75" customHeight="1">
      <c r="A11" s="444"/>
      <c r="B11" s="445"/>
      <c r="C11" s="123">
        <v>4</v>
      </c>
      <c r="D11" s="433" t="s">
        <v>231</v>
      </c>
      <c r="E11" s="434"/>
      <c r="F11" s="435"/>
      <c r="G11" s="145">
        <v>3</v>
      </c>
      <c r="H11" s="239">
        <v>2484.0467420337895</v>
      </c>
      <c r="I11" s="239">
        <v>828.01558067792996</v>
      </c>
      <c r="J11" s="240" t="s">
        <v>339</v>
      </c>
      <c r="K11" s="452"/>
      <c r="L11" s="453"/>
    </row>
    <row r="12" spans="1:13" ht="15.75" customHeight="1">
      <c r="A12" s="444"/>
      <c r="B12" s="445"/>
      <c r="C12" s="123">
        <v>5</v>
      </c>
      <c r="D12" s="433" t="s">
        <v>232</v>
      </c>
      <c r="E12" s="434"/>
      <c r="F12" s="435"/>
      <c r="G12" s="145">
        <v>3</v>
      </c>
      <c r="H12" s="239">
        <v>2477.6056939389523</v>
      </c>
      <c r="I12" s="239">
        <v>825.8685646463174</v>
      </c>
      <c r="J12" s="245" t="s">
        <v>341</v>
      </c>
      <c r="K12" s="454"/>
      <c r="L12" s="455"/>
    </row>
    <row r="13" spans="1:13" ht="15.75" customHeight="1">
      <c r="A13" s="444"/>
      <c r="B13" s="445"/>
      <c r="C13" s="153" t="s">
        <v>342</v>
      </c>
      <c r="D13" s="433" t="s">
        <v>224</v>
      </c>
      <c r="E13" s="434"/>
      <c r="F13" s="435"/>
      <c r="G13" s="145">
        <v>4</v>
      </c>
      <c r="H13" s="239">
        <v>1995.7327476299445</v>
      </c>
      <c r="I13" s="239">
        <v>498.93318690748612</v>
      </c>
      <c r="J13" s="240" t="s">
        <v>339</v>
      </c>
      <c r="K13" s="447"/>
      <c r="L13" s="448"/>
    </row>
    <row r="14" spans="1:13" ht="15.75" customHeight="1">
      <c r="A14" s="444"/>
      <c r="B14" s="445"/>
      <c r="C14" s="153" t="s">
        <v>343</v>
      </c>
      <c r="D14" s="433" t="s">
        <v>240</v>
      </c>
      <c r="E14" s="434"/>
      <c r="F14" s="435"/>
      <c r="G14" s="145">
        <v>4</v>
      </c>
      <c r="H14" s="239">
        <v>2180.8279503105555</v>
      </c>
      <c r="I14" s="239">
        <v>545.20698757763887</v>
      </c>
      <c r="J14" s="240" t="s">
        <v>339</v>
      </c>
      <c r="K14" s="456"/>
      <c r="L14" s="457"/>
    </row>
    <row r="15" spans="1:13" ht="15.75" customHeight="1">
      <c r="A15" s="444"/>
      <c r="B15" s="445"/>
      <c r="C15" s="153" t="s">
        <v>344</v>
      </c>
      <c r="D15" s="433" t="s">
        <v>230</v>
      </c>
      <c r="E15" s="434"/>
      <c r="F15" s="435"/>
      <c r="G15" s="145">
        <v>4</v>
      </c>
      <c r="H15" s="239">
        <v>2417.9611763733806</v>
      </c>
      <c r="I15" s="239">
        <v>604.49029409334514</v>
      </c>
      <c r="J15" s="242" t="s">
        <v>345</v>
      </c>
      <c r="K15" s="458" t="s">
        <v>346</v>
      </c>
      <c r="L15" s="459"/>
    </row>
    <row r="16" spans="1:13" ht="15.75" customHeight="1">
      <c r="A16" s="444"/>
      <c r="B16" s="445"/>
      <c r="C16" s="153" t="s">
        <v>347</v>
      </c>
      <c r="D16" s="433" t="s">
        <v>241</v>
      </c>
      <c r="E16" s="434"/>
      <c r="F16" s="435"/>
      <c r="G16" s="145">
        <v>4</v>
      </c>
      <c r="H16" s="239">
        <v>2445.5067324643469</v>
      </c>
      <c r="I16" s="239">
        <v>611.37668311608672</v>
      </c>
      <c r="J16" s="245" t="s">
        <v>341</v>
      </c>
      <c r="K16" s="460"/>
      <c r="L16" s="461"/>
      <c r="M16" s="115"/>
    </row>
    <row r="17" spans="1:13" ht="15.75" customHeight="1">
      <c r="A17" s="444"/>
      <c r="B17" s="445"/>
      <c r="C17" s="153" t="s">
        <v>348</v>
      </c>
      <c r="D17" s="433" t="s">
        <v>234</v>
      </c>
      <c r="E17" s="434"/>
      <c r="F17" s="435"/>
      <c r="G17" s="145">
        <v>4</v>
      </c>
      <c r="H17" s="239">
        <v>2465.9315447109079</v>
      </c>
      <c r="I17" s="239">
        <v>616.48288617772698</v>
      </c>
      <c r="J17" s="240" t="s">
        <v>339</v>
      </c>
      <c r="K17" s="462"/>
      <c r="L17" s="463"/>
      <c r="M17" s="115"/>
    </row>
    <row r="18" spans="1:13" s="120" customFormat="1" ht="15.75" customHeight="1">
      <c r="A18" s="469" t="s">
        <v>131</v>
      </c>
      <c r="B18" s="469"/>
      <c r="C18" s="284" t="s">
        <v>52</v>
      </c>
      <c r="D18" s="469" t="s">
        <v>53</v>
      </c>
      <c r="E18" s="470"/>
      <c r="F18" s="470"/>
      <c r="G18" s="284" t="s">
        <v>54</v>
      </c>
      <c r="H18" s="284" t="s">
        <v>336</v>
      </c>
      <c r="I18" s="284" t="s">
        <v>337</v>
      </c>
      <c r="J18" s="217" t="s">
        <v>338</v>
      </c>
      <c r="K18" s="469" t="s">
        <v>58</v>
      </c>
      <c r="L18" s="470"/>
      <c r="M18" s="144"/>
    </row>
    <row r="19" spans="1:13" ht="15.75" customHeight="1">
      <c r="A19" s="444">
        <v>2</v>
      </c>
      <c r="B19" s="445" t="s">
        <v>328</v>
      </c>
      <c r="C19" s="123">
        <v>1</v>
      </c>
      <c r="D19" s="433" t="s">
        <v>254</v>
      </c>
      <c r="E19" s="434"/>
      <c r="F19" s="435"/>
      <c r="G19" s="145">
        <v>5</v>
      </c>
      <c r="H19" s="239">
        <v>1506.2715855573017</v>
      </c>
      <c r="I19" s="239">
        <v>301.2543171114603</v>
      </c>
      <c r="J19" s="245" t="s">
        <v>341</v>
      </c>
      <c r="K19" s="438" t="s">
        <v>349</v>
      </c>
      <c r="L19" s="439"/>
      <c r="M19" s="115"/>
    </row>
    <row r="20" spans="1:13" ht="15.75" customHeight="1">
      <c r="A20" s="444"/>
      <c r="B20" s="445"/>
      <c r="C20" s="123">
        <v>2</v>
      </c>
      <c r="D20" s="433" t="s">
        <v>253</v>
      </c>
      <c r="E20" s="434"/>
      <c r="F20" s="435"/>
      <c r="G20" s="145">
        <v>5</v>
      </c>
      <c r="H20" s="239">
        <v>1478.1724533073425</v>
      </c>
      <c r="I20" s="239">
        <v>295.63449066146853</v>
      </c>
      <c r="J20" s="240" t="s">
        <v>339</v>
      </c>
      <c r="K20" s="440"/>
      <c r="L20" s="441"/>
      <c r="M20" s="115"/>
    </row>
    <row r="21" spans="1:13" ht="15.75" customHeight="1">
      <c r="A21" s="444"/>
      <c r="B21" s="445"/>
      <c r="C21" s="123">
        <v>3</v>
      </c>
      <c r="D21" s="433" t="s">
        <v>252</v>
      </c>
      <c r="E21" s="434"/>
      <c r="F21" s="435"/>
      <c r="G21" s="145">
        <v>5</v>
      </c>
      <c r="H21" s="239">
        <v>1457.0876623376621</v>
      </c>
      <c r="I21" s="239">
        <v>291.4175324675324</v>
      </c>
      <c r="J21" s="242" t="s">
        <v>345</v>
      </c>
      <c r="K21" s="442"/>
      <c r="L21" s="443"/>
      <c r="M21" s="115"/>
    </row>
    <row r="22" spans="1:13" ht="15.75" customHeight="1">
      <c r="A22" s="444"/>
      <c r="B22" s="445"/>
      <c r="C22" s="123">
        <v>4</v>
      </c>
      <c r="D22" s="433" t="s">
        <v>251</v>
      </c>
      <c r="E22" s="434"/>
      <c r="F22" s="435"/>
      <c r="G22" s="145">
        <v>12</v>
      </c>
      <c r="H22" s="239">
        <v>1842.3979591836726</v>
      </c>
      <c r="I22" s="239">
        <v>153.53316326530606</v>
      </c>
      <c r="J22" s="240" t="s">
        <v>339</v>
      </c>
      <c r="K22" s="465" t="s">
        <v>350</v>
      </c>
      <c r="L22" s="466"/>
      <c r="M22" s="115"/>
    </row>
    <row r="23" spans="1:13" ht="15.75" customHeight="1">
      <c r="A23" s="444"/>
      <c r="B23" s="445"/>
      <c r="C23" s="123">
        <v>5</v>
      </c>
      <c r="D23" s="433" t="s">
        <v>250</v>
      </c>
      <c r="E23" s="434"/>
      <c r="F23" s="435"/>
      <c r="G23" s="145">
        <v>12</v>
      </c>
      <c r="H23" s="239">
        <v>1774.8952380952371</v>
      </c>
      <c r="I23" s="239">
        <v>147.90793650793645</v>
      </c>
      <c r="J23" s="240" t="s">
        <v>339</v>
      </c>
      <c r="K23" s="467"/>
      <c r="L23" s="468"/>
      <c r="M23" s="115"/>
    </row>
    <row r="24" spans="1:13" ht="15.75" customHeight="1">
      <c r="A24" s="444"/>
      <c r="B24" s="445"/>
      <c r="C24" s="153" t="s">
        <v>342</v>
      </c>
      <c r="D24" s="433" t="s">
        <v>255</v>
      </c>
      <c r="E24" s="434"/>
      <c r="F24" s="435"/>
      <c r="G24" s="145">
        <v>10</v>
      </c>
      <c r="H24" s="239">
        <v>1294.8571428571436</v>
      </c>
      <c r="I24" s="239">
        <v>129.48571428571435</v>
      </c>
      <c r="J24" s="242" t="s">
        <v>345</v>
      </c>
      <c r="K24" s="464" t="s">
        <v>351</v>
      </c>
      <c r="L24" s="448"/>
      <c r="M24" s="115"/>
    </row>
    <row r="25" spans="1:13" ht="15.75" customHeight="1">
      <c r="A25" s="444"/>
      <c r="B25" s="445"/>
      <c r="C25" s="153" t="s">
        <v>343</v>
      </c>
      <c r="D25" s="433" t="s">
        <v>249</v>
      </c>
      <c r="E25" s="434"/>
      <c r="F25" s="435"/>
      <c r="G25" s="145">
        <v>10</v>
      </c>
      <c r="H25" s="239">
        <v>1453.9285714285736</v>
      </c>
      <c r="I25" s="239">
        <v>145.39285714285734</v>
      </c>
      <c r="J25" s="240" t="s">
        <v>339</v>
      </c>
      <c r="K25" s="449"/>
      <c r="L25" s="448"/>
      <c r="M25" s="115"/>
    </row>
    <row r="26" spans="1:13" ht="15.75" customHeight="1">
      <c r="A26" s="444"/>
      <c r="B26" s="445"/>
      <c r="C26" s="153" t="s">
        <v>344</v>
      </c>
      <c r="D26" s="433"/>
      <c r="E26" s="434"/>
      <c r="F26" s="435"/>
      <c r="G26" s="145"/>
      <c r="H26" s="239"/>
      <c r="I26" s="239"/>
      <c r="J26" s="242"/>
      <c r="K26" s="449"/>
      <c r="L26" s="448"/>
      <c r="M26" s="115"/>
    </row>
    <row r="27" spans="1:13" ht="15.75" customHeight="1">
      <c r="A27" s="444"/>
      <c r="B27" s="445"/>
      <c r="C27" s="153" t="s">
        <v>347</v>
      </c>
      <c r="D27" s="433"/>
      <c r="E27" s="434"/>
      <c r="F27" s="435"/>
      <c r="G27" s="145"/>
      <c r="H27" s="239"/>
      <c r="I27" s="239"/>
      <c r="J27" s="152"/>
      <c r="K27" s="449"/>
      <c r="L27" s="448"/>
      <c r="M27" s="115"/>
    </row>
    <row r="28" spans="1:13" ht="15.75" customHeight="1">
      <c r="A28" s="444"/>
      <c r="B28" s="445"/>
      <c r="C28" s="153" t="s">
        <v>348</v>
      </c>
      <c r="D28" s="471"/>
      <c r="E28" s="472"/>
      <c r="F28" s="473"/>
      <c r="G28" s="145"/>
      <c r="H28" s="239"/>
      <c r="I28" s="239"/>
      <c r="J28" s="152"/>
      <c r="K28" s="449"/>
      <c r="L28" s="448"/>
      <c r="M28" s="115"/>
    </row>
  </sheetData>
  <mergeCells count="45">
    <mergeCell ref="A18:B18"/>
    <mergeCell ref="D18:F18"/>
    <mergeCell ref="K18:L18"/>
    <mergeCell ref="D21:F21"/>
    <mergeCell ref="A19:A28"/>
    <mergeCell ref="B19:B28"/>
    <mergeCell ref="D19:F19"/>
    <mergeCell ref="D20:F20"/>
    <mergeCell ref="D22:F22"/>
    <mergeCell ref="D28:F28"/>
    <mergeCell ref="K28:L28"/>
    <mergeCell ref="D27:F27"/>
    <mergeCell ref="K27:L27"/>
    <mergeCell ref="K26:L26"/>
    <mergeCell ref="D26:F26"/>
    <mergeCell ref="D25:F25"/>
    <mergeCell ref="D10:F10"/>
    <mergeCell ref="K25:L25"/>
    <mergeCell ref="K8:L12"/>
    <mergeCell ref="K14:L14"/>
    <mergeCell ref="K15:L16"/>
    <mergeCell ref="K17:L17"/>
    <mergeCell ref="D15:F15"/>
    <mergeCell ref="D24:F24"/>
    <mergeCell ref="K24:L24"/>
    <mergeCell ref="D16:F16"/>
    <mergeCell ref="D17:F17"/>
    <mergeCell ref="D23:F23"/>
    <mergeCell ref="K22:L23"/>
    <mergeCell ref="D11:F11"/>
    <mergeCell ref="D14:F14"/>
    <mergeCell ref="A3:L4"/>
    <mergeCell ref="K19:L21"/>
    <mergeCell ref="A1:L2"/>
    <mergeCell ref="D12:F12"/>
    <mergeCell ref="A5:A6"/>
    <mergeCell ref="A7:B7"/>
    <mergeCell ref="D7:F7"/>
    <mergeCell ref="K7:L7"/>
    <mergeCell ref="A8:A17"/>
    <mergeCell ref="B8:B17"/>
    <mergeCell ref="D8:F8"/>
    <mergeCell ref="D9:F9"/>
    <mergeCell ref="D13:F13"/>
    <mergeCell ref="K13:L13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M28"/>
  <sheetViews>
    <sheetView view="pageBreakPreview" zoomScaleNormal="60" zoomScaleSheetLayoutView="100" workbookViewId="0">
      <selection activeCell="D8" sqref="D8:L19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359" t="s">
        <v>325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115"/>
    </row>
    <row r="2" spans="1:13" s="116" customFormat="1" ht="15.75" customHeight="1">
      <c r="A2" s="359"/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</row>
    <row r="3" spans="1:13" ht="15.75" customHeight="1">
      <c r="A3" s="436" t="s">
        <v>326</v>
      </c>
      <c r="B3" s="437"/>
      <c r="C3" s="437"/>
      <c r="D3" s="437"/>
      <c r="E3" s="437"/>
      <c r="F3" s="437"/>
      <c r="G3" s="437"/>
      <c r="H3" s="437"/>
      <c r="I3" s="437"/>
      <c r="J3" s="437"/>
      <c r="K3" s="437"/>
      <c r="L3" s="437"/>
      <c r="M3" s="115"/>
    </row>
    <row r="4" spans="1:13" s="116" customFormat="1" ht="15.75" customHeight="1">
      <c r="A4" s="437"/>
      <c r="B4" s="437"/>
      <c r="C4" s="437"/>
      <c r="D4" s="437"/>
      <c r="E4" s="437"/>
      <c r="F4" s="437"/>
      <c r="G4" s="437"/>
      <c r="H4" s="437"/>
      <c r="I4" s="437"/>
      <c r="J4" s="437"/>
      <c r="K4" s="437"/>
      <c r="L4" s="437"/>
    </row>
    <row r="5" spans="1:13" s="122" customFormat="1" ht="16.350000000000001" customHeight="1">
      <c r="A5" s="444" t="s">
        <v>210</v>
      </c>
      <c r="B5" s="145">
        <v>1</v>
      </c>
      <c r="C5" s="145">
        <v>2</v>
      </c>
      <c r="D5" s="154">
        <v>3</v>
      </c>
      <c r="E5" s="154">
        <v>4</v>
      </c>
      <c r="F5" s="145">
        <v>5</v>
      </c>
      <c r="G5" s="145">
        <v>6</v>
      </c>
      <c r="H5" s="145">
        <v>7</v>
      </c>
      <c r="I5" s="145">
        <v>8</v>
      </c>
      <c r="J5" s="145">
        <v>9</v>
      </c>
      <c r="K5" s="143"/>
      <c r="L5" s="143"/>
      <c r="M5" s="143"/>
    </row>
    <row r="6" spans="1:13" ht="16.350000000000001" customHeight="1">
      <c r="A6" s="444"/>
      <c r="B6" s="146" t="s">
        <v>327</v>
      </c>
      <c r="C6" s="146" t="s">
        <v>328</v>
      </c>
      <c r="D6" s="155" t="s">
        <v>329</v>
      </c>
      <c r="E6" s="155" t="s">
        <v>330</v>
      </c>
      <c r="F6" s="132" t="s">
        <v>331</v>
      </c>
      <c r="G6" s="147" t="s">
        <v>332</v>
      </c>
      <c r="H6" s="148" t="s">
        <v>333</v>
      </c>
      <c r="I6" s="147" t="s">
        <v>334</v>
      </c>
      <c r="J6" s="147" t="s">
        <v>335</v>
      </c>
      <c r="K6" s="144"/>
      <c r="L6" s="144"/>
    </row>
    <row r="7" spans="1:13" s="122" customFormat="1" ht="15.75" customHeight="1">
      <c r="A7" s="445" t="s">
        <v>131</v>
      </c>
      <c r="B7" s="445"/>
      <c r="C7" s="150" t="s">
        <v>52</v>
      </c>
      <c r="D7" s="445" t="s">
        <v>53</v>
      </c>
      <c r="E7" s="446"/>
      <c r="F7" s="446"/>
      <c r="G7" s="150" t="s">
        <v>54</v>
      </c>
      <c r="H7" s="150" t="s">
        <v>336</v>
      </c>
      <c r="I7" s="150" t="s">
        <v>337</v>
      </c>
      <c r="J7" s="217" t="s">
        <v>338</v>
      </c>
      <c r="K7" s="445" t="s">
        <v>58</v>
      </c>
      <c r="L7" s="446"/>
      <c r="M7" s="143"/>
    </row>
    <row r="8" spans="1:13" ht="15.75" customHeight="1">
      <c r="A8" s="444">
        <v>3</v>
      </c>
      <c r="B8" s="445" t="s">
        <v>352</v>
      </c>
      <c r="C8" s="123">
        <v>1</v>
      </c>
      <c r="D8" s="447" t="s">
        <v>353</v>
      </c>
      <c r="E8" s="448"/>
      <c r="F8" s="448"/>
      <c r="G8" s="239">
        <v>5</v>
      </c>
      <c r="H8" s="239">
        <v>2143.1127674258119</v>
      </c>
      <c r="I8" s="239">
        <v>428.62255348516237</v>
      </c>
      <c r="J8" s="243" t="s">
        <v>354</v>
      </c>
      <c r="K8" s="475" t="s">
        <v>355</v>
      </c>
      <c r="L8" s="476"/>
    </row>
    <row r="9" spans="1:13" ht="15.75" customHeight="1">
      <c r="A9" s="444"/>
      <c r="B9" s="445"/>
      <c r="C9" s="123">
        <v>2</v>
      </c>
      <c r="D9" s="447" t="s">
        <v>356</v>
      </c>
      <c r="E9" s="448"/>
      <c r="F9" s="448"/>
      <c r="G9" s="239">
        <v>5</v>
      </c>
      <c r="H9" s="239">
        <v>2131.1292517006773</v>
      </c>
      <c r="I9" s="239">
        <v>426.22585034013554</v>
      </c>
      <c r="J9" s="241" t="s">
        <v>341</v>
      </c>
      <c r="K9" s="477"/>
      <c r="L9" s="478"/>
    </row>
    <row r="10" spans="1:13" ht="15.75" customHeight="1">
      <c r="A10" s="444"/>
      <c r="B10" s="445"/>
      <c r="C10" s="123">
        <v>3</v>
      </c>
      <c r="D10" s="447" t="s">
        <v>357</v>
      </c>
      <c r="E10" s="448"/>
      <c r="F10" s="448"/>
      <c r="G10" s="239">
        <v>5</v>
      </c>
      <c r="H10" s="239">
        <v>2128.8800520208051</v>
      </c>
      <c r="I10" s="239">
        <v>425.77601040416101</v>
      </c>
      <c r="J10" s="242" t="s">
        <v>345</v>
      </c>
      <c r="K10" s="479"/>
      <c r="L10" s="480"/>
    </row>
    <row r="11" spans="1:13" ht="15.75" customHeight="1">
      <c r="A11" s="444"/>
      <c r="B11" s="445"/>
      <c r="C11" s="123">
        <v>4</v>
      </c>
      <c r="D11" s="447" t="s">
        <v>358</v>
      </c>
      <c r="E11" s="448"/>
      <c r="F11" s="448"/>
      <c r="G11" s="239">
        <v>9.4285714285714288</v>
      </c>
      <c r="H11" s="239">
        <v>1986.0702190284389</v>
      </c>
      <c r="I11" s="239">
        <v>211.17528568925951</v>
      </c>
      <c r="J11" s="243" t="s">
        <v>354</v>
      </c>
      <c r="K11" s="449"/>
      <c r="L11" s="448"/>
    </row>
    <row r="12" spans="1:13" ht="15.75" customHeight="1">
      <c r="A12" s="444"/>
      <c r="B12" s="445"/>
      <c r="C12" s="123">
        <v>5</v>
      </c>
      <c r="D12" s="447" t="s">
        <v>359</v>
      </c>
      <c r="E12" s="448"/>
      <c r="F12" s="448"/>
      <c r="G12" s="239">
        <v>9.7142857142857135</v>
      </c>
      <c r="H12" s="239">
        <v>1962.8838535414161</v>
      </c>
      <c r="I12" s="239">
        <v>202.48726490596235</v>
      </c>
      <c r="J12" s="243" t="s">
        <v>354</v>
      </c>
      <c r="K12" s="449"/>
      <c r="L12" s="448"/>
    </row>
    <row r="13" spans="1:13" ht="15.75" customHeight="1">
      <c r="A13" s="444"/>
      <c r="B13" s="445"/>
      <c r="C13" s="153" t="s">
        <v>342</v>
      </c>
      <c r="D13" s="447" t="s">
        <v>360</v>
      </c>
      <c r="E13" s="448"/>
      <c r="F13" s="448"/>
      <c r="G13" s="239">
        <v>13</v>
      </c>
      <c r="H13" s="239">
        <v>1236.0268528464021</v>
      </c>
      <c r="I13" s="239">
        <v>95.078988680492458</v>
      </c>
      <c r="J13" s="243" t="s">
        <v>354</v>
      </c>
      <c r="K13" s="447"/>
      <c r="L13" s="448"/>
    </row>
    <row r="14" spans="1:13" ht="15.75" customHeight="1">
      <c r="A14" s="444"/>
      <c r="B14" s="445"/>
      <c r="C14" s="153" t="s">
        <v>343</v>
      </c>
      <c r="D14" s="447" t="s">
        <v>361</v>
      </c>
      <c r="E14" s="448"/>
      <c r="F14" s="448"/>
      <c r="G14" s="145">
        <v>12</v>
      </c>
      <c r="H14" s="239">
        <v>1970.8651532968438</v>
      </c>
      <c r="I14" s="239">
        <v>164.23876277473701</v>
      </c>
      <c r="J14" s="241" t="s">
        <v>341</v>
      </c>
      <c r="K14" s="449" t="s">
        <v>362</v>
      </c>
      <c r="L14" s="448"/>
    </row>
    <row r="15" spans="1:13" ht="15.75" customHeight="1">
      <c r="A15" s="444"/>
      <c r="B15" s="445"/>
      <c r="C15" s="153" t="s">
        <v>344</v>
      </c>
      <c r="D15" s="447" t="s">
        <v>363</v>
      </c>
      <c r="E15" s="448"/>
      <c r="F15" s="448"/>
      <c r="G15" s="239">
        <v>12</v>
      </c>
      <c r="H15" s="239">
        <v>1973.1405871662571</v>
      </c>
      <c r="I15" s="239">
        <v>164.42838226385473</v>
      </c>
      <c r="J15" s="242" t="s">
        <v>345</v>
      </c>
      <c r="K15" s="464"/>
      <c r="L15" s="448"/>
    </row>
    <row r="16" spans="1:13" ht="15.75" customHeight="1">
      <c r="A16" s="444"/>
      <c r="B16" s="445"/>
      <c r="C16" s="153" t="s">
        <v>347</v>
      </c>
      <c r="D16" s="447" t="s">
        <v>364</v>
      </c>
      <c r="E16" s="448"/>
      <c r="F16" s="448"/>
      <c r="G16" s="239">
        <v>11.714285714285714</v>
      </c>
      <c r="H16" s="239">
        <v>2075.2770872777296</v>
      </c>
      <c r="I16" s="239">
        <v>177.3553416887286</v>
      </c>
      <c r="J16" s="243" t="s">
        <v>354</v>
      </c>
      <c r="K16" s="449"/>
      <c r="L16" s="448"/>
      <c r="M16" s="115"/>
    </row>
    <row r="17" spans="1:13" ht="15.75" customHeight="1">
      <c r="A17" s="444"/>
      <c r="B17" s="445"/>
      <c r="C17" s="153" t="s">
        <v>348</v>
      </c>
      <c r="D17" s="447" t="s">
        <v>365</v>
      </c>
      <c r="E17" s="448"/>
      <c r="F17" s="448"/>
      <c r="G17" s="239">
        <v>11</v>
      </c>
      <c r="H17" s="239">
        <v>1969.3354980357333</v>
      </c>
      <c r="I17" s="239">
        <v>179.03049982143034</v>
      </c>
      <c r="J17" s="243" t="s">
        <v>354</v>
      </c>
      <c r="K17" s="449"/>
      <c r="L17" s="448"/>
      <c r="M17" s="115"/>
    </row>
    <row r="18" spans="1:13" s="120" customFormat="1" ht="15.75" customHeight="1">
      <c r="A18" s="469" t="s">
        <v>131</v>
      </c>
      <c r="B18" s="469"/>
      <c r="C18" s="284" t="s">
        <v>52</v>
      </c>
      <c r="D18" s="469" t="s">
        <v>53</v>
      </c>
      <c r="E18" s="470"/>
      <c r="F18" s="470"/>
      <c r="G18" s="284" t="s">
        <v>54</v>
      </c>
      <c r="H18" s="284" t="s">
        <v>336</v>
      </c>
      <c r="I18" s="284" t="s">
        <v>337</v>
      </c>
      <c r="J18" s="217" t="s">
        <v>338</v>
      </c>
      <c r="K18" s="469" t="s">
        <v>58</v>
      </c>
      <c r="L18" s="470"/>
      <c r="M18" s="144"/>
    </row>
    <row r="19" spans="1:13" ht="15.75" customHeight="1">
      <c r="A19" s="444">
        <v>4</v>
      </c>
      <c r="B19" s="445" t="s">
        <v>330</v>
      </c>
      <c r="C19" s="123">
        <v>1</v>
      </c>
      <c r="D19" s="447" t="s">
        <v>366</v>
      </c>
      <c r="E19" s="448"/>
      <c r="F19" s="448"/>
      <c r="G19" s="244">
        <v>12.714285714285714</v>
      </c>
      <c r="H19" s="244">
        <v>1512.5714285714296</v>
      </c>
      <c r="I19" s="244">
        <v>119.14285714285722</v>
      </c>
      <c r="J19" s="243" t="s">
        <v>354</v>
      </c>
      <c r="K19" s="464"/>
      <c r="L19" s="448"/>
      <c r="M19" s="115"/>
    </row>
    <row r="20" spans="1:13" ht="15.75" customHeight="1">
      <c r="A20" s="444"/>
      <c r="B20" s="445"/>
      <c r="C20" s="123">
        <v>2</v>
      </c>
      <c r="D20" s="449"/>
      <c r="E20" s="448"/>
      <c r="F20" s="448"/>
      <c r="G20" s="152"/>
      <c r="H20" s="152"/>
      <c r="I20" s="152"/>
      <c r="J20" s="152"/>
      <c r="K20" s="449"/>
      <c r="L20" s="448"/>
      <c r="M20" s="115"/>
    </row>
    <row r="21" spans="1:13" ht="15.75" customHeight="1">
      <c r="A21" s="444"/>
      <c r="B21" s="445"/>
      <c r="C21" s="123">
        <v>3</v>
      </c>
      <c r="D21" s="449"/>
      <c r="E21" s="448"/>
      <c r="F21" s="448"/>
      <c r="G21" s="152"/>
      <c r="H21" s="152"/>
      <c r="I21" s="152"/>
      <c r="J21" s="152"/>
      <c r="K21" s="449"/>
      <c r="L21" s="448"/>
      <c r="M21" s="115"/>
    </row>
    <row r="22" spans="1:13" ht="15.75" customHeight="1">
      <c r="A22" s="444"/>
      <c r="B22" s="445"/>
      <c r="C22" s="123">
        <v>4</v>
      </c>
      <c r="D22" s="449"/>
      <c r="E22" s="448"/>
      <c r="F22" s="448"/>
      <c r="G22" s="152"/>
      <c r="H22" s="152"/>
      <c r="I22" s="152"/>
      <c r="J22" s="152"/>
      <c r="K22" s="449"/>
      <c r="L22" s="448"/>
      <c r="M22" s="115"/>
    </row>
    <row r="23" spans="1:13" ht="15.75" customHeight="1">
      <c r="A23" s="444"/>
      <c r="B23" s="445"/>
      <c r="C23" s="123">
        <v>5</v>
      </c>
      <c r="D23" s="449"/>
      <c r="E23" s="448"/>
      <c r="F23" s="448"/>
      <c r="G23" s="152"/>
      <c r="H23" s="152"/>
      <c r="I23" s="152"/>
      <c r="J23" s="152"/>
      <c r="K23" s="449"/>
      <c r="L23" s="448"/>
      <c r="M23" s="115"/>
    </row>
    <row r="24" spans="1:13" ht="15.75" customHeight="1">
      <c r="A24" s="444"/>
      <c r="B24" s="445"/>
      <c r="C24" s="153" t="s">
        <v>342</v>
      </c>
      <c r="D24" s="447"/>
      <c r="E24" s="448"/>
      <c r="F24" s="448"/>
      <c r="G24" s="244"/>
      <c r="H24" s="244"/>
      <c r="I24" s="244"/>
      <c r="J24" s="243"/>
      <c r="K24" s="474"/>
      <c r="L24" s="448"/>
      <c r="M24" s="115"/>
    </row>
    <row r="25" spans="1:13" ht="15.75" customHeight="1">
      <c r="A25" s="444"/>
      <c r="B25" s="445"/>
      <c r="C25" s="153" t="s">
        <v>343</v>
      </c>
      <c r="D25" s="449"/>
      <c r="E25" s="448"/>
      <c r="F25" s="448"/>
      <c r="G25" s="152"/>
      <c r="H25" s="152"/>
      <c r="I25" s="152"/>
      <c r="J25" s="152"/>
      <c r="K25" s="449"/>
      <c r="L25" s="448"/>
      <c r="M25" s="115"/>
    </row>
    <row r="26" spans="1:13" ht="15.75" customHeight="1">
      <c r="A26" s="444"/>
      <c r="B26" s="445"/>
      <c r="C26" s="153" t="s">
        <v>344</v>
      </c>
      <c r="D26" s="449"/>
      <c r="E26" s="448"/>
      <c r="F26" s="448"/>
      <c r="G26" s="152"/>
      <c r="H26" s="152"/>
      <c r="I26" s="152"/>
      <c r="J26" s="152"/>
      <c r="K26" s="449"/>
      <c r="L26" s="448"/>
      <c r="M26" s="115"/>
    </row>
    <row r="27" spans="1:13" ht="15.75" customHeight="1">
      <c r="A27" s="444"/>
      <c r="B27" s="445"/>
      <c r="C27" s="153" t="s">
        <v>347</v>
      </c>
      <c r="D27" s="449"/>
      <c r="E27" s="448"/>
      <c r="F27" s="448"/>
      <c r="G27" s="152"/>
      <c r="H27" s="152"/>
      <c r="I27" s="152"/>
      <c r="J27" s="152"/>
      <c r="K27" s="449"/>
      <c r="L27" s="448"/>
      <c r="M27" s="115"/>
    </row>
    <row r="28" spans="1:13" ht="15.75" customHeight="1">
      <c r="A28" s="444"/>
      <c r="B28" s="445"/>
      <c r="C28" s="153" t="s">
        <v>348</v>
      </c>
      <c r="D28" s="449"/>
      <c r="E28" s="448"/>
      <c r="F28" s="448"/>
      <c r="G28" s="152"/>
      <c r="H28" s="152"/>
      <c r="I28" s="152"/>
      <c r="J28" s="152"/>
      <c r="K28" s="449"/>
      <c r="L28" s="448"/>
      <c r="M28" s="115"/>
    </row>
  </sheetData>
  <mergeCells count="51">
    <mergeCell ref="A5:A6"/>
    <mergeCell ref="A7:B7"/>
    <mergeCell ref="D7:F7"/>
    <mergeCell ref="K7:L7"/>
    <mergeCell ref="A8:A17"/>
    <mergeCell ref="B8:B17"/>
    <mergeCell ref="D8:F8"/>
    <mergeCell ref="D9:F9"/>
    <mergeCell ref="D10:F10"/>
    <mergeCell ref="D11:F11"/>
    <mergeCell ref="K11:L11"/>
    <mergeCell ref="D13:F13"/>
    <mergeCell ref="K13:L13"/>
    <mergeCell ref="D14:F14"/>
    <mergeCell ref="A1:L2"/>
    <mergeCell ref="K24:L24"/>
    <mergeCell ref="K8:L10"/>
    <mergeCell ref="D15:F15"/>
    <mergeCell ref="D16:F16"/>
    <mergeCell ref="D17:F17"/>
    <mergeCell ref="K17:L17"/>
    <mergeCell ref="K15:L15"/>
    <mergeCell ref="K14:L14"/>
    <mergeCell ref="D12:F12"/>
    <mergeCell ref="K12:L12"/>
    <mergeCell ref="K16:L16"/>
    <mergeCell ref="A3:L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D27:F27"/>
    <mergeCell ref="K27:L27"/>
    <mergeCell ref="D28:F28"/>
    <mergeCell ref="K28:L28"/>
    <mergeCell ref="K21:L21"/>
    <mergeCell ref="D22:F22"/>
    <mergeCell ref="K22:L22"/>
    <mergeCell ref="D23:F23"/>
    <mergeCell ref="K23:L23"/>
    <mergeCell ref="D24:F24"/>
    <mergeCell ref="D25:F25"/>
    <mergeCell ref="K25:L25"/>
    <mergeCell ref="D26:F26"/>
    <mergeCell ref="K26:L26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28"/>
  <sheetViews>
    <sheetView view="pageBreakPreview" zoomScaleNormal="60" zoomScaleSheetLayoutView="100" workbookViewId="0">
      <selection activeCell="K15" sqref="K15:L15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8" ht="15.75" customHeight="1">
      <c r="A1" s="359" t="s">
        <v>325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115"/>
    </row>
    <row r="2" spans="1:18" s="116" customFormat="1" ht="15.75" customHeight="1">
      <c r="A2" s="359"/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</row>
    <row r="3" spans="1:18" ht="15.75" customHeight="1">
      <c r="A3" s="436" t="s">
        <v>326</v>
      </c>
      <c r="B3" s="437"/>
      <c r="C3" s="437"/>
      <c r="D3" s="437"/>
      <c r="E3" s="437"/>
      <c r="F3" s="437"/>
      <c r="G3" s="437"/>
      <c r="H3" s="437"/>
      <c r="I3" s="437"/>
      <c r="J3" s="437"/>
      <c r="K3" s="437"/>
      <c r="L3" s="437"/>
      <c r="M3" s="115"/>
    </row>
    <row r="4" spans="1:18" s="116" customFormat="1" ht="15.75" customHeight="1">
      <c r="A4" s="437"/>
      <c r="B4" s="437"/>
      <c r="C4" s="437"/>
      <c r="D4" s="437"/>
      <c r="E4" s="437"/>
      <c r="F4" s="437"/>
      <c r="G4" s="437"/>
      <c r="H4" s="437"/>
      <c r="I4" s="437"/>
      <c r="J4" s="437"/>
      <c r="K4" s="437"/>
      <c r="L4" s="437"/>
    </row>
    <row r="5" spans="1:18" s="122" customFormat="1" ht="16.350000000000001" customHeight="1">
      <c r="A5" s="444" t="s">
        <v>210</v>
      </c>
      <c r="B5" s="145">
        <v>1</v>
      </c>
      <c r="C5" s="145">
        <v>2</v>
      </c>
      <c r="D5" s="145">
        <v>3</v>
      </c>
      <c r="E5" s="145">
        <v>4</v>
      </c>
      <c r="F5" s="154">
        <v>5</v>
      </c>
      <c r="G5" s="154">
        <v>6</v>
      </c>
      <c r="H5" s="145">
        <v>7</v>
      </c>
      <c r="I5" s="145">
        <v>8</v>
      </c>
      <c r="J5" s="145">
        <v>9</v>
      </c>
      <c r="K5" s="143"/>
      <c r="L5" s="143"/>
      <c r="M5" s="143"/>
    </row>
    <row r="6" spans="1:18" ht="16.350000000000001" customHeight="1">
      <c r="A6" s="444"/>
      <c r="B6" s="146" t="s">
        <v>327</v>
      </c>
      <c r="C6" s="146" t="s">
        <v>328</v>
      </c>
      <c r="D6" s="146" t="s">
        <v>329</v>
      </c>
      <c r="E6" s="146" t="s">
        <v>330</v>
      </c>
      <c r="F6" s="156" t="s">
        <v>331</v>
      </c>
      <c r="G6" s="157" t="s">
        <v>332</v>
      </c>
      <c r="H6" s="148" t="s">
        <v>333</v>
      </c>
      <c r="I6" s="147" t="s">
        <v>334</v>
      </c>
      <c r="J6" s="147" t="s">
        <v>335</v>
      </c>
      <c r="K6" s="144"/>
      <c r="L6" s="144"/>
    </row>
    <row r="7" spans="1:18" s="122" customFormat="1" ht="15.75" customHeight="1">
      <c r="A7" s="445" t="s">
        <v>131</v>
      </c>
      <c r="B7" s="445"/>
      <c r="C7" s="150" t="s">
        <v>52</v>
      </c>
      <c r="D7" s="445" t="s">
        <v>53</v>
      </c>
      <c r="E7" s="446"/>
      <c r="F7" s="446"/>
      <c r="G7" s="150" t="s">
        <v>54</v>
      </c>
      <c r="H7" s="150" t="s">
        <v>336</v>
      </c>
      <c r="I7" s="150" t="s">
        <v>337</v>
      </c>
      <c r="J7" s="217" t="s">
        <v>338</v>
      </c>
      <c r="K7" s="445" t="s">
        <v>58</v>
      </c>
      <c r="L7" s="446"/>
      <c r="M7" s="143"/>
    </row>
    <row r="8" spans="1:18" ht="15.75" customHeight="1">
      <c r="A8" s="444">
        <v>5</v>
      </c>
      <c r="B8" s="445" t="s">
        <v>331</v>
      </c>
      <c r="C8" s="123">
        <v>1</v>
      </c>
      <c r="D8" s="481" t="s">
        <v>271</v>
      </c>
      <c r="E8" s="482"/>
      <c r="F8" s="483"/>
      <c r="G8" s="244">
        <v>6</v>
      </c>
      <c r="H8" s="244">
        <v>1462.1158334992174</v>
      </c>
      <c r="I8" s="244">
        <v>243.68597224986954</v>
      </c>
      <c r="J8" s="243" t="s">
        <v>354</v>
      </c>
      <c r="K8" s="447"/>
      <c r="L8" s="448"/>
      <c r="P8" s="256"/>
      <c r="Q8" s="256"/>
      <c r="R8" s="256"/>
    </row>
    <row r="9" spans="1:18" ht="15.75" customHeight="1">
      <c r="A9" s="444"/>
      <c r="B9" s="445"/>
      <c r="C9" s="123">
        <v>2</v>
      </c>
      <c r="D9" s="481" t="s">
        <v>272</v>
      </c>
      <c r="E9" s="482"/>
      <c r="F9" s="483"/>
      <c r="G9" s="244">
        <v>7</v>
      </c>
      <c r="H9" s="244">
        <v>1500.6881481991545</v>
      </c>
      <c r="I9" s="244">
        <v>214.38402117130775</v>
      </c>
      <c r="J9" s="243" t="s">
        <v>354</v>
      </c>
      <c r="K9" s="449"/>
      <c r="L9" s="448"/>
      <c r="P9" s="256"/>
      <c r="Q9" s="256"/>
      <c r="R9" s="256"/>
    </row>
    <row r="10" spans="1:18" ht="15.75" customHeight="1">
      <c r="A10" s="444"/>
      <c r="B10" s="445"/>
      <c r="C10" s="123">
        <v>3</v>
      </c>
      <c r="D10" s="481" t="s">
        <v>288</v>
      </c>
      <c r="E10" s="482"/>
      <c r="F10" s="483"/>
      <c r="G10" s="244">
        <v>15.285714285714286</v>
      </c>
      <c r="H10" s="244">
        <v>1293.8270426795132</v>
      </c>
      <c r="I10" s="244">
        <v>84.712824390905425</v>
      </c>
      <c r="J10" s="243" t="s">
        <v>354</v>
      </c>
      <c r="K10" s="449"/>
      <c r="L10" s="448"/>
      <c r="P10" s="256"/>
      <c r="Q10" s="256"/>
      <c r="R10" s="256"/>
    </row>
    <row r="11" spans="1:18" ht="15.75" customHeight="1">
      <c r="A11" s="444"/>
      <c r="B11" s="445"/>
      <c r="C11" s="123">
        <v>4</v>
      </c>
      <c r="D11" s="481" t="s">
        <v>277</v>
      </c>
      <c r="E11" s="482"/>
      <c r="F11" s="483"/>
      <c r="G11" s="244">
        <v>17</v>
      </c>
      <c r="H11" s="244">
        <v>1385.2785122035232</v>
      </c>
      <c r="I11" s="244">
        <v>81.486971306089586</v>
      </c>
      <c r="J11" s="243" t="s">
        <v>354</v>
      </c>
      <c r="K11" s="449"/>
      <c r="L11" s="448"/>
      <c r="P11" s="256"/>
      <c r="Q11" s="256"/>
      <c r="R11" s="256"/>
    </row>
    <row r="12" spans="1:18" ht="15.75" customHeight="1">
      <c r="A12" s="444"/>
      <c r="B12" s="445"/>
      <c r="C12" s="123">
        <v>5</v>
      </c>
      <c r="D12" s="481" t="s">
        <v>290</v>
      </c>
      <c r="E12" s="482"/>
      <c r="F12" s="483"/>
      <c r="G12" s="244">
        <v>16.142857142857142</v>
      </c>
      <c r="H12" s="244">
        <v>1281.0076345942423</v>
      </c>
      <c r="I12" s="244">
        <v>79.403423867137946</v>
      </c>
      <c r="J12" s="241" t="s">
        <v>341</v>
      </c>
      <c r="K12" s="449"/>
      <c r="L12" s="448"/>
      <c r="P12" s="256"/>
      <c r="Q12" s="256"/>
      <c r="R12" s="256"/>
    </row>
    <row r="13" spans="1:18" ht="15.75" customHeight="1">
      <c r="A13" s="444"/>
      <c r="B13" s="445"/>
      <c r="C13" s="153" t="s">
        <v>342</v>
      </c>
      <c r="D13" s="481" t="s">
        <v>274</v>
      </c>
      <c r="E13" s="482"/>
      <c r="F13" s="483"/>
      <c r="G13" s="244">
        <v>20.285714285714285</v>
      </c>
      <c r="H13" s="244">
        <v>1298.9301828527628</v>
      </c>
      <c r="I13" s="244">
        <v>64.065192800900263</v>
      </c>
      <c r="J13" s="243" t="s">
        <v>354</v>
      </c>
      <c r="K13" s="464" t="s">
        <v>367</v>
      </c>
      <c r="L13" s="448"/>
      <c r="P13" s="256"/>
      <c r="Q13" s="256"/>
      <c r="R13" s="256"/>
    </row>
    <row r="14" spans="1:18" ht="15.75" customHeight="1">
      <c r="A14" s="444"/>
      <c r="B14" s="445"/>
      <c r="C14" s="153" t="s">
        <v>343</v>
      </c>
      <c r="D14" s="481" t="s">
        <v>292</v>
      </c>
      <c r="E14" s="482"/>
      <c r="F14" s="483"/>
      <c r="G14" s="244">
        <v>16</v>
      </c>
      <c r="H14" s="244">
        <v>1075.0487394958022</v>
      </c>
      <c r="I14" s="244">
        <v>67.19054621848764</v>
      </c>
      <c r="J14" s="242" t="s">
        <v>345</v>
      </c>
      <c r="K14" s="464" t="s">
        <v>368</v>
      </c>
      <c r="L14" s="448"/>
      <c r="P14" s="256"/>
      <c r="Q14" s="256"/>
      <c r="R14" s="256"/>
    </row>
    <row r="15" spans="1:18" ht="15.75" customHeight="1">
      <c r="A15" s="444"/>
      <c r="B15" s="445"/>
      <c r="C15" s="153" t="s">
        <v>344</v>
      </c>
      <c r="D15" s="481" t="s">
        <v>282</v>
      </c>
      <c r="E15" s="482"/>
      <c r="F15" s="483"/>
      <c r="G15" s="244">
        <v>19</v>
      </c>
      <c r="H15" s="244">
        <v>1276.7539099304502</v>
      </c>
      <c r="I15" s="244">
        <v>67.197574206865795</v>
      </c>
      <c r="J15" s="242" t="s">
        <v>345</v>
      </c>
      <c r="K15" s="464" t="s">
        <v>369</v>
      </c>
      <c r="L15" s="448"/>
      <c r="P15" s="256"/>
      <c r="Q15" s="256"/>
      <c r="R15" s="256"/>
    </row>
    <row r="16" spans="1:18" ht="15.75" customHeight="1">
      <c r="A16" s="444"/>
      <c r="B16" s="445"/>
      <c r="C16" s="153" t="s">
        <v>347</v>
      </c>
      <c r="D16" s="481" t="s">
        <v>280</v>
      </c>
      <c r="E16" s="482"/>
      <c r="F16" s="483"/>
      <c r="G16" s="244">
        <v>16</v>
      </c>
      <c r="H16" s="244">
        <v>1082.087912087916</v>
      </c>
      <c r="I16" s="244">
        <v>67.630494505494752</v>
      </c>
      <c r="J16" s="242" t="s">
        <v>345</v>
      </c>
      <c r="K16" s="464" t="s">
        <v>368</v>
      </c>
      <c r="L16" s="448"/>
      <c r="M16" s="115"/>
      <c r="P16" s="256"/>
      <c r="Q16" s="256"/>
      <c r="R16" s="256"/>
    </row>
    <row r="17" spans="1:18" ht="15.75" customHeight="1">
      <c r="A17" s="444"/>
      <c r="B17" s="445"/>
      <c r="C17" s="153" t="s">
        <v>348</v>
      </c>
      <c r="D17" s="481" t="s">
        <v>275</v>
      </c>
      <c r="E17" s="482"/>
      <c r="F17" s="483"/>
      <c r="G17" s="244">
        <v>19</v>
      </c>
      <c r="H17" s="244">
        <v>1287.1413800217301</v>
      </c>
      <c r="I17" s="244">
        <v>67.744283159038417</v>
      </c>
      <c r="J17" s="242" t="s">
        <v>345</v>
      </c>
      <c r="K17" s="464"/>
      <c r="L17" s="448"/>
      <c r="M17" s="115"/>
      <c r="P17" s="256"/>
      <c r="Q17" s="256"/>
      <c r="R17" s="256"/>
    </row>
    <row r="18" spans="1:18" s="120" customFormat="1" ht="15.75" customHeight="1">
      <c r="A18" s="469" t="s">
        <v>131</v>
      </c>
      <c r="B18" s="469"/>
      <c r="C18" s="284" t="s">
        <v>52</v>
      </c>
      <c r="D18" s="469" t="s">
        <v>53</v>
      </c>
      <c r="E18" s="470"/>
      <c r="F18" s="470"/>
      <c r="G18" s="284" t="s">
        <v>54</v>
      </c>
      <c r="H18" s="284" t="s">
        <v>336</v>
      </c>
      <c r="I18" s="284" t="s">
        <v>337</v>
      </c>
      <c r="J18" s="217" t="s">
        <v>338</v>
      </c>
      <c r="K18" s="469" t="s">
        <v>58</v>
      </c>
      <c r="L18" s="470"/>
      <c r="M18" s="144"/>
    </row>
    <row r="19" spans="1:18" ht="15.75" customHeight="1">
      <c r="A19" s="444">
        <v>6</v>
      </c>
      <c r="B19" s="445" t="s">
        <v>332</v>
      </c>
      <c r="C19" s="123">
        <v>1</v>
      </c>
      <c r="D19" s="481" t="s">
        <v>297</v>
      </c>
      <c r="E19" s="482"/>
      <c r="F19" s="483"/>
      <c r="G19" s="244">
        <v>17</v>
      </c>
      <c r="H19" s="244">
        <v>1386.0361377752677</v>
      </c>
      <c r="I19" s="244">
        <v>81.531537516192216</v>
      </c>
      <c r="J19" s="243" t="s">
        <v>354</v>
      </c>
      <c r="K19" s="474"/>
      <c r="L19" s="448"/>
      <c r="M19" s="115"/>
      <c r="P19" s="256"/>
      <c r="Q19" s="256"/>
      <c r="R19" s="256"/>
    </row>
    <row r="20" spans="1:18" ht="15.75" customHeight="1">
      <c r="A20" s="444"/>
      <c r="B20" s="445"/>
      <c r="C20" s="123">
        <v>2</v>
      </c>
      <c r="D20" s="481" t="s">
        <v>298</v>
      </c>
      <c r="E20" s="482"/>
      <c r="F20" s="483"/>
      <c r="G20" s="244">
        <v>17.142857142857142</v>
      </c>
      <c r="H20" s="244">
        <v>1268.4583119340457</v>
      </c>
      <c r="I20" s="244">
        <v>74.03704355914553</v>
      </c>
      <c r="J20" s="243" t="s">
        <v>354</v>
      </c>
      <c r="K20" s="464"/>
      <c r="L20" s="448"/>
      <c r="M20" s="115"/>
      <c r="P20" s="256"/>
      <c r="Q20" s="256"/>
      <c r="R20" s="256"/>
    </row>
    <row r="21" spans="1:18" ht="15.75" customHeight="1">
      <c r="A21" s="444"/>
      <c r="B21" s="445"/>
      <c r="C21" s="123">
        <v>3</v>
      </c>
      <c r="D21" s="481" t="s">
        <v>295</v>
      </c>
      <c r="E21" s="482"/>
      <c r="F21" s="483"/>
      <c r="G21" s="244">
        <v>19</v>
      </c>
      <c r="H21" s="244">
        <v>1246.9947197878428</v>
      </c>
      <c r="I21" s="244">
        <v>65.63130104146542</v>
      </c>
      <c r="J21" s="243" t="s">
        <v>354</v>
      </c>
      <c r="K21" s="464"/>
      <c r="L21" s="448"/>
      <c r="M21" s="115"/>
      <c r="P21" s="256"/>
      <c r="Q21" s="256"/>
      <c r="R21" s="256"/>
    </row>
    <row r="22" spans="1:18" ht="15.75" customHeight="1">
      <c r="A22" s="444"/>
      <c r="B22" s="445"/>
      <c r="C22" s="123">
        <v>4</v>
      </c>
      <c r="D22" s="481" t="s">
        <v>296</v>
      </c>
      <c r="E22" s="482"/>
      <c r="F22" s="483"/>
      <c r="G22" s="244">
        <v>19</v>
      </c>
      <c r="H22" s="244">
        <v>1241.4475760067476</v>
      </c>
      <c r="I22" s="244">
        <v>65.339346105618304</v>
      </c>
      <c r="J22" s="243" t="s">
        <v>354</v>
      </c>
      <c r="K22" s="464"/>
      <c r="L22" s="448"/>
      <c r="M22" s="115"/>
      <c r="P22" s="256"/>
      <c r="Q22" s="256"/>
      <c r="R22" s="256"/>
    </row>
    <row r="23" spans="1:18" ht="15.75" customHeight="1">
      <c r="A23" s="444"/>
      <c r="B23" s="445"/>
      <c r="C23" s="123">
        <v>5</v>
      </c>
      <c r="D23" s="481"/>
      <c r="E23" s="482"/>
      <c r="F23" s="483"/>
      <c r="G23" s="244"/>
      <c r="H23" s="244"/>
      <c r="I23" s="244"/>
      <c r="J23" s="243"/>
      <c r="K23" s="464"/>
      <c r="L23" s="448"/>
      <c r="M23" s="115"/>
      <c r="P23" s="256"/>
      <c r="Q23" s="256"/>
      <c r="R23" s="256"/>
    </row>
    <row r="24" spans="1:18" ht="15.75" customHeight="1">
      <c r="A24" s="444"/>
      <c r="B24" s="445"/>
      <c r="C24" s="153" t="s">
        <v>342</v>
      </c>
      <c r="D24" s="481" t="s">
        <v>302</v>
      </c>
      <c r="E24" s="482"/>
      <c r="F24" s="483"/>
      <c r="G24" s="244">
        <v>20</v>
      </c>
      <c r="H24" s="244">
        <v>1240.3731659538921</v>
      </c>
      <c r="I24" s="244">
        <v>62.018658297694607</v>
      </c>
      <c r="J24" s="241" t="s">
        <v>341</v>
      </c>
      <c r="K24" s="484" t="s">
        <v>370</v>
      </c>
      <c r="L24" s="485"/>
      <c r="M24" s="115"/>
      <c r="P24" s="256"/>
      <c r="Q24" s="256"/>
      <c r="R24" s="256"/>
    </row>
    <row r="25" spans="1:18" ht="15.75" customHeight="1">
      <c r="A25" s="444"/>
      <c r="B25" s="445"/>
      <c r="C25" s="153" t="s">
        <v>343</v>
      </c>
      <c r="D25" s="481" t="s">
        <v>301</v>
      </c>
      <c r="E25" s="482"/>
      <c r="F25" s="483"/>
      <c r="G25" s="244">
        <v>20</v>
      </c>
      <c r="H25" s="244">
        <v>1251.6056533381668</v>
      </c>
      <c r="I25" s="244">
        <v>62.580282666908339</v>
      </c>
      <c r="J25" s="242" t="s">
        <v>345</v>
      </c>
      <c r="K25" s="486"/>
      <c r="L25" s="487"/>
      <c r="M25" s="115"/>
      <c r="P25" s="256"/>
      <c r="Q25" s="256"/>
      <c r="R25" s="256"/>
    </row>
    <row r="26" spans="1:18" ht="15.75" customHeight="1">
      <c r="A26" s="444"/>
      <c r="B26" s="445"/>
      <c r="C26" s="153" t="s">
        <v>344</v>
      </c>
      <c r="D26" s="481" t="s">
        <v>299</v>
      </c>
      <c r="E26" s="482"/>
      <c r="F26" s="483"/>
      <c r="G26" s="244">
        <v>19</v>
      </c>
      <c r="H26" s="244">
        <v>1240.7366540079311</v>
      </c>
      <c r="I26" s="244">
        <v>65.301929158312149</v>
      </c>
      <c r="J26" s="243" t="s">
        <v>354</v>
      </c>
      <c r="K26" s="323"/>
      <c r="L26" s="324"/>
      <c r="M26" s="115"/>
      <c r="P26" s="256"/>
      <c r="Q26" s="256"/>
      <c r="R26" s="256"/>
    </row>
    <row r="27" spans="1:18" ht="15.75" customHeight="1">
      <c r="A27" s="444"/>
      <c r="B27" s="445"/>
      <c r="C27" s="153" t="s">
        <v>347</v>
      </c>
      <c r="D27" s="481"/>
      <c r="E27" s="482"/>
      <c r="F27" s="483"/>
      <c r="G27" s="244"/>
      <c r="H27" s="244"/>
      <c r="I27" s="244"/>
      <c r="J27" s="243"/>
      <c r="K27" s="302"/>
      <c r="L27" s="303"/>
      <c r="M27" s="115"/>
      <c r="P27" s="256"/>
      <c r="Q27" s="256"/>
      <c r="R27" s="256"/>
    </row>
    <row r="28" spans="1:18" ht="15.75" customHeight="1">
      <c r="A28" s="444"/>
      <c r="B28" s="445"/>
      <c r="C28" s="153" t="s">
        <v>348</v>
      </c>
      <c r="D28" s="481"/>
      <c r="E28" s="482"/>
      <c r="F28" s="483"/>
      <c r="G28" s="244"/>
      <c r="H28" s="244"/>
      <c r="I28" s="244"/>
      <c r="J28" s="243"/>
      <c r="K28" s="449"/>
      <c r="L28" s="448"/>
      <c r="M28" s="115"/>
      <c r="P28" s="256"/>
      <c r="Q28" s="256"/>
      <c r="R28" s="256"/>
    </row>
  </sheetData>
  <mergeCells count="50">
    <mergeCell ref="K21:L21"/>
    <mergeCell ref="K20:L20"/>
    <mergeCell ref="K24:L25"/>
    <mergeCell ref="D27:F27"/>
    <mergeCell ref="D28:F28"/>
    <mergeCell ref="D24:F24"/>
    <mergeCell ref="D25:F25"/>
    <mergeCell ref="D26:F26"/>
    <mergeCell ref="D19:F19"/>
    <mergeCell ref="D20:F20"/>
    <mergeCell ref="D21:F21"/>
    <mergeCell ref="D22:F22"/>
    <mergeCell ref="D23:F23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4:F14"/>
    <mergeCell ref="D13:F13"/>
    <mergeCell ref="D12:F12"/>
    <mergeCell ref="K12:L12"/>
    <mergeCell ref="K13:L13"/>
    <mergeCell ref="K14:L14"/>
    <mergeCell ref="K15:L15"/>
    <mergeCell ref="K16:L16"/>
    <mergeCell ref="K28:L28"/>
    <mergeCell ref="A1:L2"/>
    <mergeCell ref="A18:B18"/>
    <mergeCell ref="D18:F18"/>
    <mergeCell ref="K18:L18"/>
    <mergeCell ref="A19:A28"/>
    <mergeCell ref="B19:B28"/>
    <mergeCell ref="K23:L23"/>
    <mergeCell ref="D15:F15"/>
    <mergeCell ref="K22:L22"/>
    <mergeCell ref="D16:F16"/>
    <mergeCell ref="D17:F17"/>
    <mergeCell ref="K17:L17"/>
    <mergeCell ref="K19:L19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M28"/>
  <sheetViews>
    <sheetView view="pageBreakPreview" zoomScaleNormal="60" zoomScaleSheetLayoutView="100" workbookViewId="0">
      <selection activeCell="K10" sqref="K10:L10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359" t="s">
        <v>325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115"/>
    </row>
    <row r="2" spans="1:13" s="116" customFormat="1" ht="15.75" customHeight="1">
      <c r="A2" s="359"/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</row>
    <row r="3" spans="1:13" ht="15.75" customHeight="1">
      <c r="A3" s="436" t="s">
        <v>326</v>
      </c>
      <c r="B3" s="436"/>
      <c r="C3" s="436"/>
      <c r="D3" s="436"/>
      <c r="E3" s="436"/>
      <c r="F3" s="436"/>
      <c r="G3" s="436"/>
      <c r="H3" s="436"/>
      <c r="I3" s="436"/>
      <c r="J3" s="436"/>
      <c r="K3" s="436"/>
      <c r="L3" s="436"/>
      <c r="M3" s="115"/>
    </row>
    <row r="4" spans="1:13" s="116" customFormat="1" ht="15.75" customHeight="1">
      <c r="A4" s="436"/>
      <c r="B4" s="436"/>
      <c r="C4" s="436"/>
      <c r="D4" s="436"/>
      <c r="E4" s="436"/>
      <c r="F4" s="436"/>
      <c r="G4" s="436"/>
      <c r="H4" s="436"/>
      <c r="I4" s="436"/>
      <c r="J4" s="436"/>
      <c r="K4" s="436"/>
      <c r="L4" s="436"/>
    </row>
    <row r="5" spans="1:13" s="122" customFormat="1" ht="16.350000000000001" customHeight="1">
      <c r="A5" s="495" t="s">
        <v>210</v>
      </c>
      <c r="B5" s="145">
        <v>1</v>
      </c>
      <c r="C5" s="145">
        <v>2</v>
      </c>
      <c r="D5" s="145">
        <v>3</v>
      </c>
      <c r="E5" s="145">
        <v>4</v>
      </c>
      <c r="F5" s="145">
        <v>5</v>
      </c>
      <c r="G5" s="145">
        <v>6</v>
      </c>
      <c r="H5" s="154">
        <v>7</v>
      </c>
      <c r="I5" s="154">
        <v>8</v>
      </c>
      <c r="J5" s="145">
        <v>9</v>
      </c>
      <c r="K5" s="143"/>
      <c r="L5" s="143"/>
      <c r="M5" s="143"/>
    </row>
    <row r="6" spans="1:13" ht="16.350000000000001" customHeight="1">
      <c r="A6" s="497"/>
      <c r="B6" s="146" t="s">
        <v>327</v>
      </c>
      <c r="C6" s="146" t="s">
        <v>328</v>
      </c>
      <c r="D6" s="146" t="s">
        <v>329</v>
      </c>
      <c r="E6" s="146" t="s">
        <v>330</v>
      </c>
      <c r="F6" s="132" t="s">
        <v>331</v>
      </c>
      <c r="G6" s="147" t="s">
        <v>332</v>
      </c>
      <c r="H6" s="155" t="s">
        <v>333</v>
      </c>
      <c r="I6" s="157" t="s">
        <v>334</v>
      </c>
      <c r="J6" s="147" t="s">
        <v>335</v>
      </c>
      <c r="K6" s="144"/>
      <c r="L6" s="144"/>
    </row>
    <row r="7" spans="1:13" s="122" customFormat="1" ht="15.75" customHeight="1">
      <c r="A7" s="503" t="s">
        <v>131</v>
      </c>
      <c r="B7" s="504"/>
      <c r="C7" s="150" t="s">
        <v>52</v>
      </c>
      <c r="D7" s="503" t="s">
        <v>53</v>
      </c>
      <c r="E7" s="505"/>
      <c r="F7" s="504"/>
      <c r="G7" s="150" t="s">
        <v>54</v>
      </c>
      <c r="H7" s="150" t="s">
        <v>336</v>
      </c>
      <c r="I7" s="150" t="s">
        <v>337</v>
      </c>
      <c r="J7" s="217" t="s">
        <v>338</v>
      </c>
      <c r="K7" s="503" t="s">
        <v>58</v>
      </c>
      <c r="L7" s="504"/>
      <c r="M7" s="143"/>
    </row>
    <row r="8" spans="1:13" ht="15.75" customHeight="1">
      <c r="A8" s="495">
        <v>7</v>
      </c>
      <c r="B8" s="498" t="s">
        <v>371</v>
      </c>
      <c r="C8" s="123">
        <v>1</v>
      </c>
      <c r="D8" s="471" t="s">
        <v>310</v>
      </c>
      <c r="E8" s="472"/>
      <c r="F8" s="473"/>
      <c r="G8" s="239">
        <v>8</v>
      </c>
      <c r="H8" s="239">
        <v>1325.0420601499779</v>
      </c>
      <c r="I8" s="239">
        <v>165.63025751874724</v>
      </c>
      <c r="J8" s="243" t="s">
        <v>354</v>
      </c>
      <c r="K8" s="501"/>
      <c r="L8" s="491"/>
    </row>
    <row r="9" spans="1:13" ht="15.75" customHeight="1">
      <c r="A9" s="496"/>
      <c r="B9" s="499"/>
      <c r="C9" s="123">
        <v>2</v>
      </c>
      <c r="D9" s="471" t="s">
        <v>306</v>
      </c>
      <c r="E9" s="472"/>
      <c r="F9" s="473"/>
      <c r="G9" s="239">
        <v>17.142857142857142</v>
      </c>
      <c r="H9" s="239">
        <v>1383.2366380052933</v>
      </c>
      <c r="I9" s="239">
        <v>80.706427404191444</v>
      </c>
      <c r="J9" s="243" t="s">
        <v>354</v>
      </c>
      <c r="K9" s="502"/>
      <c r="L9" s="489"/>
    </row>
    <row r="10" spans="1:13" ht="15.75" customHeight="1">
      <c r="A10" s="496"/>
      <c r="B10" s="499"/>
      <c r="C10" s="123">
        <v>3</v>
      </c>
      <c r="D10" s="471" t="s">
        <v>312</v>
      </c>
      <c r="E10" s="472"/>
      <c r="F10" s="473"/>
      <c r="G10" s="239">
        <v>17.571428571428573</v>
      </c>
      <c r="H10" s="239">
        <v>1388.187904093204</v>
      </c>
      <c r="I10" s="239">
        <v>79.280229881079876</v>
      </c>
      <c r="J10" s="241" t="s">
        <v>341</v>
      </c>
      <c r="K10" s="502" t="s">
        <v>372</v>
      </c>
      <c r="L10" s="489"/>
    </row>
    <row r="11" spans="1:13" ht="15.75" customHeight="1">
      <c r="A11" s="496"/>
      <c r="B11" s="499"/>
      <c r="C11" s="123">
        <v>4</v>
      </c>
      <c r="D11" s="471" t="s">
        <v>309</v>
      </c>
      <c r="E11" s="472"/>
      <c r="F11" s="473"/>
      <c r="G11" s="239">
        <v>18</v>
      </c>
      <c r="H11" s="239">
        <v>1376.1041029795711</v>
      </c>
      <c r="I11" s="239">
        <v>76.450227943309514</v>
      </c>
      <c r="J11" s="243" t="s">
        <v>354</v>
      </c>
      <c r="K11" s="502"/>
      <c r="L11" s="489"/>
    </row>
    <row r="12" spans="1:13" ht="15.75" customHeight="1">
      <c r="A12" s="496"/>
      <c r="B12" s="499"/>
      <c r="C12" s="123">
        <v>5</v>
      </c>
      <c r="D12" s="471"/>
      <c r="E12" s="472"/>
      <c r="F12" s="473"/>
      <c r="G12" s="152"/>
      <c r="H12" s="152"/>
      <c r="I12" s="152"/>
      <c r="J12" s="242"/>
      <c r="K12" s="506"/>
      <c r="L12" s="507"/>
    </row>
    <row r="13" spans="1:13" ht="15.75" customHeight="1">
      <c r="A13" s="496"/>
      <c r="B13" s="499"/>
      <c r="C13" s="153" t="s">
        <v>342</v>
      </c>
      <c r="D13" s="471" t="s">
        <v>308</v>
      </c>
      <c r="E13" s="472"/>
      <c r="F13" s="473"/>
      <c r="G13" s="239">
        <v>20</v>
      </c>
      <c r="H13" s="239">
        <v>1390.8496808893219</v>
      </c>
      <c r="I13" s="239">
        <v>69.542484044466093</v>
      </c>
      <c r="J13" s="243" t="s">
        <v>354</v>
      </c>
      <c r="K13" s="506" t="s">
        <v>373</v>
      </c>
      <c r="L13" s="507"/>
    </row>
    <row r="14" spans="1:13" ht="15.75" customHeight="1">
      <c r="A14" s="496"/>
      <c r="B14" s="499"/>
      <c r="C14" s="153" t="s">
        <v>343</v>
      </c>
      <c r="D14" s="471" t="s">
        <v>304</v>
      </c>
      <c r="E14" s="472"/>
      <c r="F14" s="473"/>
      <c r="G14" s="239">
        <v>19</v>
      </c>
      <c r="H14" s="239">
        <v>1390.1156580381071</v>
      </c>
      <c r="I14" s="239">
        <v>73.163982002005625</v>
      </c>
      <c r="J14" s="243" t="s">
        <v>354</v>
      </c>
      <c r="K14" s="506"/>
      <c r="L14" s="507"/>
    </row>
    <row r="15" spans="1:13" ht="15.75" customHeight="1">
      <c r="A15" s="496"/>
      <c r="B15" s="499"/>
      <c r="C15" s="153" t="s">
        <v>344</v>
      </c>
      <c r="D15" s="471" t="s">
        <v>311</v>
      </c>
      <c r="E15" s="472"/>
      <c r="F15" s="473"/>
      <c r="G15" s="239">
        <v>18.142857142857142</v>
      </c>
      <c r="H15" s="239">
        <v>1327.7942107782026</v>
      </c>
      <c r="I15" s="239">
        <v>73.215378585994472</v>
      </c>
      <c r="J15" s="243" t="s">
        <v>354</v>
      </c>
      <c r="K15" s="506"/>
      <c r="L15" s="507"/>
    </row>
    <row r="16" spans="1:13" ht="15.75" customHeight="1">
      <c r="A16" s="496"/>
      <c r="B16" s="499"/>
      <c r="C16" s="153" t="s">
        <v>347</v>
      </c>
      <c r="D16" s="471"/>
      <c r="E16" s="472"/>
      <c r="F16" s="473"/>
      <c r="G16" s="145"/>
      <c r="H16" s="239"/>
      <c r="I16" s="239"/>
      <c r="J16" s="243"/>
      <c r="K16" s="488"/>
      <c r="L16" s="489"/>
      <c r="M16" s="115"/>
    </row>
    <row r="17" spans="1:13" ht="15.75" customHeight="1">
      <c r="A17" s="497"/>
      <c r="B17" s="500"/>
      <c r="C17" s="153" t="s">
        <v>348</v>
      </c>
      <c r="D17" s="471"/>
      <c r="E17" s="472"/>
      <c r="F17" s="473"/>
      <c r="G17" s="152"/>
      <c r="H17" s="152"/>
      <c r="I17" s="152"/>
      <c r="J17" s="152"/>
      <c r="K17" s="488"/>
      <c r="L17" s="489"/>
      <c r="M17" s="115"/>
    </row>
    <row r="18" spans="1:13" s="120" customFormat="1" ht="15.75" customHeight="1">
      <c r="A18" s="492" t="s">
        <v>131</v>
      </c>
      <c r="B18" s="493"/>
      <c r="C18" s="284" t="s">
        <v>52</v>
      </c>
      <c r="D18" s="492" t="s">
        <v>53</v>
      </c>
      <c r="E18" s="494"/>
      <c r="F18" s="493"/>
      <c r="G18" s="284" t="s">
        <v>54</v>
      </c>
      <c r="H18" s="284" t="s">
        <v>336</v>
      </c>
      <c r="I18" s="284" t="s">
        <v>337</v>
      </c>
      <c r="J18" s="217" t="s">
        <v>338</v>
      </c>
      <c r="K18" s="492" t="s">
        <v>58</v>
      </c>
      <c r="L18" s="493"/>
      <c r="M18" s="144"/>
    </row>
    <row r="19" spans="1:13" ht="15.75" customHeight="1">
      <c r="A19" s="495">
        <v>8</v>
      </c>
      <c r="B19" s="498" t="s">
        <v>374</v>
      </c>
      <c r="C19" s="123">
        <v>1</v>
      </c>
      <c r="D19" s="471" t="s">
        <v>318</v>
      </c>
      <c r="E19" s="472"/>
      <c r="F19" s="473"/>
      <c r="G19" s="239">
        <v>20</v>
      </c>
      <c r="H19" s="239">
        <v>2499.0801315758349</v>
      </c>
      <c r="I19" s="239">
        <v>124.95400657879172</v>
      </c>
      <c r="J19" s="241" t="s">
        <v>341</v>
      </c>
      <c r="K19" s="501" t="s">
        <v>375</v>
      </c>
      <c r="L19" s="491"/>
      <c r="M19" s="115"/>
    </row>
    <row r="20" spans="1:13" ht="15.75" customHeight="1">
      <c r="A20" s="496"/>
      <c r="B20" s="499"/>
      <c r="C20" s="123">
        <v>2</v>
      </c>
      <c r="D20" s="471" t="s">
        <v>317</v>
      </c>
      <c r="E20" s="472"/>
      <c r="F20" s="473"/>
      <c r="G20" s="239">
        <v>20</v>
      </c>
      <c r="H20" s="239">
        <v>2455.370879198148</v>
      </c>
      <c r="I20" s="239">
        <v>122.76854395990742</v>
      </c>
      <c r="J20" s="242" t="s">
        <v>345</v>
      </c>
      <c r="K20" s="502" t="s">
        <v>376</v>
      </c>
      <c r="L20" s="489"/>
      <c r="M20" s="115"/>
    </row>
    <row r="21" spans="1:13" ht="15.75" customHeight="1">
      <c r="A21" s="496"/>
      <c r="B21" s="499"/>
      <c r="C21" s="123">
        <v>3</v>
      </c>
      <c r="D21" s="471" t="s">
        <v>315</v>
      </c>
      <c r="E21" s="472"/>
      <c r="F21" s="473"/>
      <c r="G21" s="239">
        <v>20</v>
      </c>
      <c r="H21" s="239">
        <v>2373.1783819943239</v>
      </c>
      <c r="I21" s="239">
        <v>118.6589190997162</v>
      </c>
      <c r="J21" s="243" t="s">
        <v>354</v>
      </c>
      <c r="K21" s="488"/>
      <c r="L21" s="489"/>
      <c r="M21" s="115"/>
    </row>
    <row r="22" spans="1:13" ht="15.75" customHeight="1">
      <c r="A22" s="496"/>
      <c r="B22" s="499"/>
      <c r="C22" s="123">
        <v>4</v>
      </c>
      <c r="D22" s="471"/>
      <c r="E22" s="472"/>
      <c r="F22" s="473"/>
      <c r="G22" s="239"/>
      <c r="H22" s="239"/>
      <c r="I22" s="239"/>
      <c r="J22" s="241"/>
      <c r="K22" s="488"/>
      <c r="L22" s="489"/>
      <c r="M22" s="115"/>
    </row>
    <row r="23" spans="1:13" ht="15.75" customHeight="1">
      <c r="A23" s="496"/>
      <c r="B23" s="499"/>
      <c r="C23" s="123">
        <v>5</v>
      </c>
      <c r="D23" s="471"/>
      <c r="E23" s="472"/>
      <c r="F23" s="473"/>
      <c r="G23" s="239"/>
      <c r="H23" s="239"/>
      <c r="I23" s="239"/>
      <c r="J23" s="152"/>
      <c r="K23" s="488"/>
      <c r="L23" s="489"/>
      <c r="M23" s="115"/>
    </row>
    <row r="24" spans="1:13" ht="15.75" customHeight="1">
      <c r="A24" s="496"/>
      <c r="B24" s="499"/>
      <c r="C24" s="153" t="s">
        <v>342</v>
      </c>
      <c r="D24" s="471" t="s">
        <v>314</v>
      </c>
      <c r="E24" s="472"/>
      <c r="F24" s="473" t="s">
        <v>314</v>
      </c>
      <c r="G24" s="239">
        <v>20</v>
      </c>
      <c r="H24" s="239">
        <v>2196.4223386274125</v>
      </c>
      <c r="I24" s="239">
        <v>109.82111693137063</v>
      </c>
      <c r="J24" s="243" t="s">
        <v>354</v>
      </c>
      <c r="K24" s="490"/>
      <c r="L24" s="491"/>
      <c r="M24" s="115"/>
    </row>
    <row r="25" spans="1:13" ht="15.75" customHeight="1">
      <c r="A25" s="496"/>
      <c r="B25" s="499"/>
      <c r="C25" s="153" t="s">
        <v>343</v>
      </c>
      <c r="D25" s="471" t="s">
        <v>316</v>
      </c>
      <c r="E25" s="472"/>
      <c r="F25" s="473" t="s">
        <v>377</v>
      </c>
      <c r="G25" s="239">
        <v>20</v>
      </c>
      <c r="H25" s="239">
        <v>2263.9344116518764</v>
      </c>
      <c r="I25" s="239">
        <v>113.19672058259381</v>
      </c>
      <c r="J25" s="243" t="s">
        <v>354</v>
      </c>
      <c r="K25" s="488"/>
      <c r="L25" s="489"/>
      <c r="M25" s="115"/>
    </row>
    <row r="26" spans="1:13" ht="15.75" customHeight="1">
      <c r="A26" s="496"/>
      <c r="B26" s="499"/>
      <c r="C26" s="153" t="s">
        <v>344</v>
      </c>
      <c r="D26" s="471"/>
      <c r="E26" s="472"/>
      <c r="F26" s="473"/>
      <c r="G26" s="239"/>
      <c r="H26" s="239"/>
      <c r="I26" s="239"/>
      <c r="J26" s="243"/>
      <c r="K26" s="488"/>
      <c r="L26" s="489"/>
      <c r="M26" s="115"/>
    </row>
    <row r="27" spans="1:13" ht="15.75" customHeight="1">
      <c r="A27" s="496"/>
      <c r="B27" s="499"/>
      <c r="C27" s="153" t="s">
        <v>347</v>
      </c>
      <c r="D27" s="471"/>
      <c r="E27" s="472"/>
      <c r="F27" s="473"/>
      <c r="G27" s="152"/>
      <c r="H27" s="152"/>
      <c r="I27" s="152"/>
      <c r="J27" s="152"/>
      <c r="K27" s="488"/>
      <c r="L27" s="489"/>
      <c r="M27" s="115"/>
    </row>
    <row r="28" spans="1:13" ht="15.75" customHeight="1">
      <c r="A28" s="497"/>
      <c r="B28" s="500"/>
      <c r="C28" s="153" t="s">
        <v>348</v>
      </c>
      <c r="D28" s="471"/>
      <c r="E28" s="472"/>
      <c r="F28" s="473"/>
      <c r="G28" s="152"/>
      <c r="H28" s="152"/>
      <c r="I28" s="152"/>
      <c r="J28" s="152"/>
      <c r="K28" s="488"/>
      <c r="L28" s="489"/>
      <c r="M28" s="115"/>
    </row>
  </sheetData>
  <mergeCells count="53">
    <mergeCell ref="K14:L14"/>
    <mergeCell ref="K15:L15"/>
    <mergeCell ref="A8:A17"/>
    <mergeCell ref="B8:B17"/>
    <mergeCell ref="D10:F10"/>
    <mergeCell ref="K8:L8"/>
    <mergeCell ref="D8:F8"/>
    <mergeCell ref="K9:L9"/>
    <mergeCell ref="D9:F9"/>
    <mergeCell ref="K10:L10"/>
    <mergeCell ref="D11:F11"/>
    <mergeCell ref="K11:L11"/>
    <mergeCell ref="D13:F13"/>
    <mergeCell ref="D14:F14"/>
    <mergeCell ref="D12:F12"/>
    <mergeCell ref="K12:L12"/>
    <mergeCell ref="D15:F15"/>
    <mergeCell ref="K13:L13"/>
    <mergeCell ref="A3:L4"/>
    <mergeCell ref="A5:A6"/>
    <mergeCell ref="A7:B7"/>
    <mergeCell ref="D7:F7"/>
    <mergeCell ref="K7:L7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20:F20"/>
    <mergeCell ref="K19:L19"/>
    <mergeCell ref="D19:F19"/>
    <mergeCell ref="K20:L20"/>
    <mergeCell ref="D21:F21"/>
    <mergeCell ref="D28:F28"/>
    <mergeCell ref="K28:L28"/>
    <mergeCell ref="K21:L21"/>
    <mergeCell ref="D22:F22"/>
    <mergeCell ref="K22:L22"/>
    <mergeCell ref="D23:F23"/>
    <mergeCell ref="K23:L23"/>
    <mergeCell ref="D24:F24"/>
    <mergeCell ref="D16:F16"/>
    <mergeCell ref="K16:L16"/>
    <mergeCell ref="D17:F17"/>
    <mergeCell ref="D27:F27"/>
    <mergeCell ref="K27:L27"/>
    <mergeCell ref="K17:L17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M28"/>
  <sheetViews>
    <sheetView view="pageBreakPreview" zoomScaleNormal="60" zoomScaleSheetLayoutView="100" workbookViewId="0">
      <selection activeCell="K13" sqref="K13:L13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359" t="s">
        <v>325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115"/>
    </row>
    <row r="2" spans="1:13" s="116" customFormat="1" ht="15.75" customHeight="1">
      <c r="A2" s="359"/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</row>
    <row r="3" spans="1:13" ht="15.75" customHeight="1">
      <c r="A3" s="436" t="s">
        <v>326</v>
      </c>
      <c r="B3" s="436"/>
      <c r="C3" s="436"/>
      <c r="D3" s="436"/>
      <c r="E3" s="436"/>
      <c r="F3" s="436"/>
      <c r="G3" s="436"/>
      <c r="H3" s="436"/>
      <c r="I3" s="436"/>
      <c r="J3" s="436"/>
      <c r="K3" s="436"/>
      <c r="L3" s="436"/>
      <c r="M3" s="115"/>
    </row>
    <row r="4" spans="1:13" s="116" customFormat="1" ht="15.75" customHeight="1">
      <c r="A4" s="436"/>
      <c r="B4" s="436"/>
      <c r="C4" s="436"/>
      <c r="D4" s="436"/>
      <c r="E4" s="436"/>
      <c r="F4" s="436"/>
      <c r="G4" s="436"/>
      <c r="H4" s="436"/>
      <c r="I4" s="436"/>
      <c r="J4" s="436"/>
      <c r="K4" s="436"/>
      <c r="L4" s="436"/>
    </row>
    <row r="5" spans="1:13" s="122" customFormat="1" ht="16.350000000000001" customHeight="1">
      <c r="A5" s="495" t="s">
        <v>210</v>
      </c>
      <c r="B5" s="145">
        <v>1</v>
      </c>
      <c r="C5" s="145">
        <v>2</v>
      </c>
      <c r="D5" s="145">
        <v>3</v>
      </c>
      <c r="E5" s="145">
        <v>4</v>
      </c>
      <c r="F5" s="145">
        <v>5</v>
      </c>
      <c r="G5" s="145">
        <v>6</v>
      </c>
      <c r="H5" s="145">
        <v>7</v>
      </c>
      <c r="I5" s="145">
        <v>8</v>
      </c>
      <c r="J5" s="154">
        <v>9</v>
      </c>
      <c r="K5" s="143"/>
      <c r="L5" s="143"/>
      <c r="M5" s="143"/>
    </row>
    <row r="6" spans="1:13" ht="16.350000000000001" customHeight="1">
      <c r="A6" s="497"/>
      <c r="B6" s="146" t="s">
        <v>327</v>
      </c>
      <c r="C6" s="146" t="s">
        <v>328</v>
      </c>
      <c r="D6" s="146" t="s">
        <v>329</v>
      </c>
      <c r="E6" s="146" t="s">
        <v>330</v>
      </c>
      <c r="F6" s="132" t="s">
        <v>331</v>
      </c>
      <c r="G6" s="147" t="s">
        <v>332</v>
      </c>
      <c r="H6" s="148" t="s">
        <v>333</v>
      </c>
      <c r="I6" s="147" t="s">
        <v>334</v>
      </c>
      <c r="J6" s="157" t="s">
        <v>335</v>
      </c>
      <c r="K6" s="144"/>
      <c r="L6" s="144"/>
    </row>
    <row r="7" spans="1:13" s="122" customFormat="1" ht="15.75" customHeight="1">
      <c r="A7" s="503" t="s">
        <v>131</v>
      </c>
      <c r="B7" s="504"/>
      <c r="C7" s="150" t="s">
        <v>52</v>
      </c>
      <c r="D7" s="503" t="s">
        <v>53</v>
      </c>
      <c r="E7" s="505"/>
      <c r="F7" s="504"/>
      <c r="G7" s="150" t="s">
        <v>54</v>
      </c>
      <c r="H7" s="150" t="s">
        <v>336</v>
      </c>
      <c r="I7" s="150" t="s">
        <v>337</v>
      </c>
      <c r="J7" s="217" t="s">
        <v>338</v>
      </c>
      <c r="K7" s="503" t="s">
        <v>58</v>
      </c>
      <c r="L7" s="504"/>
      <c r="M7" s="143"/>
    </row>
    <row r="8" spans="1:13" ht="15.75" customHeight="1">
      <c r="A8" s="495">
        <f>J5</f>
        <v>9</v>
      </c>
      <c r="B8" s="498" t="str">
        <f>J6</f>
        <v>微波小吃</v>
      </c>
      <c r="C8" s="123">
        <v>1</v>
      </c>
      <c r="D8" s="481" t="s">
        <v>324</v>
      </c>
      <c r="E8" s="482"/>
      <c r="F8" s="483"/>
      <c r="G8" s="239">
        <v>7</v>
      </c>
      <c r="H8" s="239">
        <v>1297.782974073652</v>
      </c>
      <c r="I8" s="239">
        <v>185.3975677248074</v>
      </c>
      <c r="J8" s="240" t="s">
        <v>339</v>
      </c>
      <c r="K8" s="501"/>
      <c r="L8" s="491"/>
    </row>
    <row r="9" spans="1:13" ht="15.75" customHeight="1">
      <c r="A9" s="496"/>
      <c r="B9" s="499"/>
      <c r="C9" s="123">
        <v>2</v>
      </c>
      <c r="D9" s="481" t="s">
        <v>319</v>
      </c>
      <c r="E9" s="482"/>
      <c r="F9" s="483"/>
      <c r="G9" s="239">
        <v>7</v>
      </c>
      <c r="H9" s="239">
        <v>1291.8157878097895</v>
      </c>
      <c r="I9" s="239">
        <v>184.5451125442556</v>
      </c>
      <c r="J9" s="240" t="s">
        <v>339</v>
      </c>
      <c r="K9" s="488"/>
      <c r="L9" s="489"/>
    </row>
    <row r="10" spans="1:13" ht="15.75" customHeight="1">
      <c r="A10" s="496"/>
      <c r="B10" s="499"/>
      <c r="C10" s="123">
        <v>3</v>
      </c>
      <c r="D10" s="481" t="s">
        <v>320</v>
      </c>
      <c r="E10" s="482"/>
      <c r="F10" s="483"/>
      <c r="G10" s="239">
        <v>15.142857142857142</v>
      </c>
      <c r="H10" s="239">
        <v>1284.6397769146149</v>
      </c>
      <c r="I10" s="239">
        <v>84.877606201602489</v>
      </c>
      <c r="J10" s="240" t="s">
        <v>339</v>
      </c>
      <c r="K10" s="488"/>
      <c r="L10" s="489"/>
    </row>
    <row r="11" spans="1:13" ht="15.75" customHeight="1">
      <c r="A11" s="496"/>
      <c r="B11" s="499"/>
      <c r="C11" s="123">
        <v>4</v>
      </c>
      <c r="D11" s="481"/>
      <c r="E11" s="482"/>
      <c r="F11" s="483"/>
      <c r="G11" s="152"/>
      <c r="H11" s="152"/>
      <c r="I11" s="152"/>
      <c r="J11" s="152"/>
      <c r="K11" s="488"/>
      <c r="L11" s="489"/>
    </row>
    <row r="12" spans="1:13" ht="15.75" customHeight="1">
      <c r="A12" s="496"/>
      <c r="B12" s="499"/>
      <c r="C12" s="123">
        <v>5</v>
      </c>
      <c r="D12" s="481"/>
      <c r="E12" s="482"/>
      <c r="F12" s="483"/>
      <c r="G12" s="152"/>
      <c r="H12" s="152"/>
      <c r="I12" s="152"/>
      <c r="J12" s="152"/>
      <c r="K12" s="488"/>
      <c r="L12" s="489"/>
    </row>
    <row r="13" spans="1:13" ht="15.75" customHeight="1">
      <c r="A13" s="496"/>
      <c r="B13" s="499"/>
      <c r="C13" s="153" t="s">
        <v>342</v>
      </c>
      <c r="D13" s="481" t="s">
        <v>321</v>
      </c>
      <c r="E13" s="482"/>
      <c r="F13" s="483"/>
      <c r="G13" s="239">
        <v>18</v>
      </c>
      <c r="H13" s="239">
        <v>1275.9162199617551</v>
      </c>
      <c r="I13" s="239">
        <v>70.884234442319737</v>
      </c>
      <c r="J13" s="242" t="s">
        <v>345</v>
      </c>
      <c r="K13" s="501" t="s">
        <v>378</v>
      </c>
      <c r="L13" s="491"/>
    </row>
    <row r="14" spans="1:13" ht="15.75" customHeight="1">
      <c r="A14" s="496"/>
      <c r="B14" s="499"/>
      <c r="C14" s="153" t="s">
        <v>343</v>
      </c>
      <c r="D14" s="481" t="s">
        <v>379</v>
      </c>
      <c r="E14" s="482"/>
      <c r="F14" s="483"/>
      <c r="G14" s="239">
        <v>18</v>
      </c>
      <c r="H14" s="239">
        <v>1284.7471127986075</v>
      </c>
      <c r="I14" s="239">
        <v>71.374839599922637</v>
      </c>
      <c r="J14" s="241" t="s">
        <v>341</v>
      </c>
      <c r="K14" s="502"/>
      <c r="L14" s="489"/>
    </row>
    <row r="15" spans="1:13" ht="15.75" customHeight="1">
      <c r="A15" s="496"/>
      <c r="B15" s="499"/>
      <c r="C15" s="153" t="s">
        <v>344</v>
      </c>
      <c r="D15" s="481"/>
      <c r="E15" s="482"/>
      <c r="F15" s="483"/>
      <c r="G15" s="239"/>
      <c r="H15" s="239"/>
      <c r="I15" s="239"/>
      <c r="J15" s="241"/>
      <c r="K15" s="488"/>
      <c r="L15" s="489"/>
    </row>
    <row r="16" spans="1:13" ht="15.75" customHeight="1">
      <c r="A16" s="496"/>
      <c r="B16" s="499"/>
      <c r="C16" s="153" t="s">
        <v>347</v>
      </c>
      <c r="D16" s="299"/>
      <c r="E16" s="300"/>
      <c r="F16" s="301"/>
      <c r="G16" s="152"/>
      <c r="H16" s="152"/>
      <c r="I16" s="152"/>
      <c r="J16" s="152"/>
      <c r="K16" s="488"/>
      <c r="L16" s="489"/>
      <c r="M16" s="115"/>
    </row>
    <row r="17" spans="1:13" ht="15.75" customHeight="1">
      <c r="A17" s="497"/>
      <c r="B17" s="500"/>
      <c r="C17" s="153" t="s">
        <v>348</v>
      </c>
      <c r="D17" s="481"/>
      <c r="E17" s="482"/>
      <c r="F17" s="483"/>
      <c r="G17" s="152"/>
      <c r="H17" s="152"/>
      <c r="I17" s="152"/>
      <c r="J17" s="152"/>
      <c r="K17" s="488"/>
      <c r="L17" s="489"/>
      <c r="M17" s="115"/>
    </row>
    <row r="18" spans="1:13" s="120" customFormat="1" ht="15.75" customHeight="1">
      <c r="A18" s="492" t="s">
        <v>131</v>
      </c>
      <c r="B18" s="493"/>
      <c r="C18" s="284" t="s">
        <v>52</v>
      </c>
      <c r="D18" s="492" t="s">
        <v>53</v>
      </c>
      <c r="E18" s="494"/>
      <c r="F18" s="493"/>
      <c r="G18" s="284" t="s">
        <v>54</v>
      </c>
      <c r="H18" s="284" t="s">
        <v>336</v>
      </c>
      <c r="I18" s="284" t="s">
        <v>337</v>
      </c>
      <c r="J18" s="217" t="s">
        <v>338</v>
      </c>
      <c r="K18" s="492" t="s">
        <v>58</v>
      </c>
      <c r="L18" s="493"/>
      <c r="M18" s="144"/>
    </row>
    <row r="19" spans="1:13" ht="15.75" customHeight="1">
      <c r="A19" s="495"/>
      <c r="B19" s="498"/>
      <c r="C19" s="123">
        <v>1</v>
      </c>
      <c r="D19" s="490"/>
      <c r="E19" s="509"/>
      <c r="F19" s="491"/>
      <c r="G19" s="152"/>
      <c r="H19" s="152"/>
      <c r="I19" s="152"/>
      <c r="J19" s="152"/>
      <c r="K19" s="490"/>
      <c r="L19" s="491"/>
      <c r="M19" s="115"/>
    </row>
    <row r="20" spans="1:13" ht="15.75" customHeight="1">
      <c r="A20" s="496"/>
      <c r="B20" s="499"/>
      <c r="C20" s="123">
        <v>2</v>
      </c>
      <c r="D20" s="488"/>
      <c r="E20" s="508"/>
      <c r="F20" s="489"/>
      <c r="G20" s="152"/>
      <c r="H20" s="152"/>
      <c r="I20" s="152"/>
      <c r="J20" s="152"/>
      <c r="K20" s="488"/>
      <c r="L20" s="489"/>
      <c r="M20" s="115"/>
    </row>
    <row r="21" spans="1:13" ht="15.75" customHeight="1">
      <c r="A21" s="496"/>
      <c r="B21" s="499"/>
      <c r="C21" s="123">
        <v>3</v>
      </c>
      <c r="D21" s="488"/>
      <c r="E21" s="508"/>
      <c r="F21" s="489"/>
      <c r="G21" s="152"/>
      <c r="H21" s="152"/>
      <c r="I21" s="152"/>
      <c r="J21" s="152"/>
      <c r="K21" s="488"/>
      <c r="L21" s="489"/>
      <c r="M21" s="115"/>
    </row>
    <row r="22" spans="1:13" ht="15.75" customHeight="1">
      <c r="A22" s="496"/>
      <c r="B22" s="499"/>
      <c r="C22" s="123">
        <v>4</v>
      </c>
      <c r="D22" s="488"/>
      <c r="E22" s="508"/>
      <c r="F22" s="489"/>
      <c r="G22" s="152"/>
      <c r="H22" s="152"/>
      <c r="I22" s="152"/>
      <c r="J22" s="152"/>
      <c r="K22" s="488"/>
      <c r="L22" s="489"/>
      <c r="M22" s="115"/>
    </row>
    <row r="23" spans="1:13" ht="15.75" customHeight="1">
      <c r="A23" s="496"/>
      <c r="B23" s="499"/>
      <c r="C23" s="123">
        <v>5</v>
      </c>
      <c r="D23" s="488"/>
      <c r="E23" s="508"/>
      <c r="F23" s="489"/>
      <c r="G23" s="152"/>
      <c r="H23" s="152"/>
      <c r="I23" s="152"/>
      <c r="J23" s="152"/>
      <c r="K23" s="488"/>
      <c r="L23" s="489"/>
      <c r="M23" s="115"/>
    </row>
    <row r="24" spans="1:13" ht="15.75" customHeight="1">
      <c r="A24" s="496"/>
      <c r="B24" s="499"/>
      <c r="C24" s="153" t="s">
        <v>342</v>
      </c>
      <c r="D24" s="490"/>
      <c r="E24" s="509"/>
      <c r="F24" s="491"/>
      <c r="G24" s="152"/>
      <c r="H24" s="152"/>
      <c r="I24" s="152"/>
      <c r="J24" s="152"/>
      <c r="K24" s="490"/>
      <c r="L24" s="491"/>
      <c r="M24" s="115"/>
    </row>
    <row r="25" spans="1:13" ht="15.75" customHeight="1">
      <c r="A25" s="496"/>
      <c r="B25" s="499"/>
      <c r="C25" s="153" t="s">
        <v>343</v>
      </c>
      <c r="D25" s="488"/>
      <c r="E25" s="508"/>
      <c r="F25" s="489"/>
      <c r="G25" s="152"/>
      <c r="H25" s="152"/>
      <c r="I25" s="152"/>
      <c r="J25" s="152"/>
      <c r="K25" s="488"/>
      <c r="L25" s="489"/>
      <c r="M25" s="115"/>
    </row>
    <row r="26" spans="1:13" ht="15.75" customHeight="1">
      <c r="A26" s="496"/>
      <c r="B26" s="499"/>
      <c r="C26" s="153" t="s">
        <v>344</v>
      </c>
      <c r="D26" s="488"/>
      <c r="E26" s="508"/>
      <c r="F26" s="489"/>
      <c r="G26" s="152"/>
      <c r="H26" s="152"/>
      <c r="I26" s="152"/>
      <c r="J26" s="152"/>
      <c r="K26" s="488"/>
      <c r="L26" s="489"/>
      <c r="M26" s="115"/>
    </row>
    <row r="27" spans="1:13" ht="15.75" customHeight="1">
      <c r="A27" s="496"/>
      <c r="B27" s="499"/>
      <c r="C27" s="153" t="s">
        <v>347</v>
      </c>
      <c r="D27" s="488"/>
      <c r="E27" s="508"/>
      <c r="F27" s="489"/>
      <c r="G27" s="152"/>
      <c r="H27" s="152"/>
      <c r="I27" s="152"/>
      <c r="J27" s="152"/>
      <c r="K27" s="488"/>
      <c r="L27" s="489"/>
      <c r="M27" s="115"/>
    </row>
    <row r="28" spans="1:13" ht="15.75" customHeight="1">
      <c r="A28" s="497"/>
      <c r="B28" s="500"/>
      <c r="C28" s="153" t="s">
        <v>348</v>
      </c>
      <c r="D28" s="488"/>
      <c r="E28" s="508"/>
      <c r="F28" s="489"/>
      <c r="G28" s="152"/>
      <c r="H28" s="152"/>
      <c r="I28" s="152"/>
      <c r="J28" s="152"/>
      <c r="K28" s="488"/>
      <c r="L28" s="489"/>
      <c r="M28" s="115"/>
    </row>
  </sheetData>
  <mergeCells count="52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A3:L4"/>
    <mergeCell ref="A5:A6"/>
    <mergeCell ref="A7:B7"/>
    <mergeCell ref="D7:F7"/>
    <mergeCell ref="K7:L7"/>
    <mergeCell ref="D15:F15"/>
    <mergeCell ref="K15:L15"/>
    <mergeCell ref="K16:L16"/>
    <mergeCell ref="D17:F17"/>
    <mergeCell ref="K17:L17"/>
    <mergeCell ref="D22:F22"/>
    <mergeCell ref="K22:L22"/>
    <mergeCell ref="D23:F23"/>
    <mergeCell ref="K23:L23"/>
    <mergeCell ref="D24:F24"/>
    <mergeCell ref="K19:L19"/>
    <mergeCell ref="D20:F20"/>
    <mergeCell ref="K20:L20"/>
    <mergeCell ref="D21:F21"/>
    <mergeCell ref="K21:L21"/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70" customWidth="1"/>
    <col min="2" max="2" width="14.85546875" style="170" customWidth="1"/>
    <col min="3" max="3" width="12.85546875" style="170" customWidth="1"/>
    <col min="4" max="4" width="2.5703125" style="170" customWidth="1"/>
    <col min="5" max="5" width="7.5703125" style="170" customWidth="1"/>
    <col min="6" max="6" width="12.85546875" style="170" customWidth="1"/>
    <col min="7" max="7" width="9.42578125" style="170" customWidth="1"/>
    <col min="8" max="8" width="12.85546875" style="170" customWidth="1"/>
    <col min="9" max="9" width="9.42578125" style="170" customWidth="1"/>
    <col min="10" max="10" width="12.85546875" style="170" customWidth="1"/>
    <col min="11" max="11" width="9.42578125" style="170" customWidth="1"/>
    <col min="12" max="12" width="12.85546875" style="170" customWidth="1"/>
    <col min="13" max="13" width="9.42578125" style="170" customWidth="1"/>
    <col min="14" max="16384" width="12.5703125" style="170"/>
  </cols>
  <sheetData>
    <row r="1" spans="1:13" ht="15.75" customHeight="1">
      <c r="A1" s="510" t="s">
        <v>325</v>
      </c>
      <c r="B1" s="510"/>
      <c r="C1" s="510"/>
      <c r="D1" s="510"/>
      <c r="E1" s="510"/>
      <c r="F1" s="510"/>
      <c r="G1" s="510"/>
      <c r="H1" s="510"/>
      <c r="I1" s="510"/>
      <c r="J1" s="510"/>
      <c r="K1" s="510"/>
      <c r="L1" s="510"/>
      <c r="M1" s="510"/>
    </row>
    <row r="2" spans="1:13" s="171" customFormat="1" ht="15.75" customHeight="1">
      <c r="A2" s="510"/>
      <c r="B2" s="510"/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</row>
    <row r="3" spans="1:13" ht="15.75" customHeight="1">
      <c r="A3" s="511" t="s">
        <v>380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</row>
    <row r="4" spans="1:13" s="171" customFormat="1" ht="15.75" customHeight="1">
      <c r="A4" s="511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</row>
    <row r="5" spans="1:13" ht="15.75" customHeight="1">
      <c r="A5" s="172" t="s">
        <v>381</v>
      </c>
      <c r="B5" s="173">
        <v>212376150</v>
      </c>
    </row>
    <row r="6" spans="1:13" ht="15.75" customHeight="1">
      <c r="A6" s="512" t="s">
        <v>105</v>
      </c>
      <c r="B6" s="513" t="s">
        <v>47</v>
      </c>
      <c r="C6" s="513"/>
      <c r="D6" s="514"/>
      <c r="E6" s="512" t="s">
        <v>105</v>
      </c>
      <c r="F6" s="516">
        <v>1</v>
      </c>
      <c r="G6" s="516"/>
      <c r="H6" s="516">
        <v>2</v>
      </c>
      <c r="I6" s="516"/>
      <c r="J6" s="516">
        <v>3</v>
      </c>
      <c r="K6" s="516"/>
      <c r="L6" s="516">
        <v>4</v>
      </c>
      <c r="M6" s="516"/>
    </row>
    <row r="7" spans="1:13" ht="31.35" customHeight="1">
      <c r="A7" s="512"/>
      <c r="B7" s="513"/>
      <c r="C7" s="513"/>
      <c r="D7" s="515"/>
      <c r="E7" s="512"/>
      <c r="F7" s="518" t="s">
        <v>382</v>
      </c>
      <c r="G7" s="518"/>
      <c r="H7" s="518" t="s">
        <v>383</v>
      </c>
      <c r="I7" s="518"/>
      <c r="J7" s="518" t="s">
        <v>384</v>
      </c>
      <c r="K7" s="518"/>
      <c r="L7" s="518" t="s">
        <v>385</v>
      </c>
      <c r="M7" s="518"/>
    </row>
    <row r="8" spans="1:13" ht="15.75" customHeight="1">
      <c r="A8" s="512"/>
      <c r="B8" s="208" t="s">
        <v>50</v>
      </c>
      <c r="C8" s="208" t="s">
        <v>15</v>
      </c>
      <c r="D8" s="515"/>
      <c r="E8" s="512"/>
      <c r="F8" s="208" t="s">
        <v>50</v>
      </c>
      <c r="G8" s="208" t="s">
        <v>15</v>
      </c>
      <c r="H8" s="208" t="s">
        <v>50</v>
      </c>
      <c r="I8" s="208" t="s">
        <v>15</v>
      </c>
      <c r="J8" s="208" t="s">
        <v>50</v>
      </c>
      <c r="K8" s="208" t="s">
        <v>15</v>
      </c>
      <c r="L8" s="208" t="s">
        <v>50</v>
      </c>
      <c r="M8" s="208" t="s">
        <v>15</v>
      </c>
    </row>
    <row r="9" spans="1:13" ht="19.350000000000001" customHeight="1">
      <c r="A9" s="174" t="s">
        <v>386</v>
      </c>
      <c r="B9" s="175">
        <v>47927.00699999994</v>
      </c>
      <c r="C9" s="176">
        <f>B9/$B$5</f>
        <v>2.256703824793883E-4</v>
      </c>
      <c r="D9" s="515"/>
      <c r="E9" s="174" t="s">
        <v>386</v>
      </c>
      <c r="F9" s="177">
        <v>1423.9050000000002</v>
      </c>
      <c r="G9" s="178">
        <f>IFERROR(F9/$B$9,"")</f>
        <v>2.9709866923256903E-2</v>
      </c>
      <c r="H9" s="177">
        <v>5535.9419999999991</v>
      </c>
      <c r="I9" s="178">
        <f>IFERROR(H9/$B$9,"")</f>
        <v>0.11550777623146812</v>
      </c>
      <c r="J9" s="177">
        <v>6691.5360000000019</v>
      </c>
      <c r="K9" s="178">
        <f t="shared" ref="K9" si="0">IFERROR(J9/$B$9,"")</f>
        <v>0.13961931735065389</v>
      </c>
      <c r="L9" s="177">
        <v>17258.763000000006</v>
      </c>
      <c r="M9" s="178">
        <f>IFERROR(L9/$B$9,"")</f>
        <v>0.36010516993059943</v>
      </c>
    </row>
    <row r="10" spans="1:13" ht="19.350000000000001" customHeight="1">
      <c r="A10" s="179" t="s">
        <v>387</v>
      </c>
      <c r="B10" s="180">
        <v>69974.579191980054</v>
      </c>
      <c r="C10" s="176">
        <f>B10/$B$5</f>
        <v>3.2948416849999424E-4</v>
      </c>
      <c r="D10" s="515"/>
      <c r="E10" s="179" t="s">
        <v>387</v>
      </c>
      <c r="F10" s="177">
        <v>1179.8078200000007</v>
      </c>
      <c r="G10" s="178">
        <f>IFERROR(F10/$B$10,"")</f>
        <v>1.6860520400746062E-2</v>
      </c>
      <c r="H10" s="177">
        <v>3563.9139100000007</v>
      </c>
      <c r="I10" s="178">
        <f>IFERROR(H10/$B$10,"")</f>
        <v>5.0931551874319365E-2</v>
      </c>
      <c r="J10" s="177">
        <v>3130.998689999999</v>
      </c>
      <c r="K10" s="178">
        <f>IFERROR(J10/$B$10,"")</f>
        <v>4.4744801986016804E-2</v>
      </c>
      <c r="L10" s="177">
        <v>14381.948886699534</v>
      </c>
      <c r="M10" s="178">
        <f>IFERROR(L10/$B$10,"")</f>
        <v>0.20553105217312806</v>
      </c>
    </row>
    <row r="11" spans="1:13" ht="15.75" customHeight="1">
      <c r="D11" s="515"/>
      <c r="E11" s="512" t="s">
        <v>105</v>
      </c>
      <c r="F11" s="516">
        <v>5</v>
      </c>
      <c r="G11" s="516"/>
      <c r="H11" s="516">
        <v>6</v>
      </c>
      <c r="I11" s="516"/>
      <c r="J11" s="516">
        <v>7</v>
      </c>
      <c r="K11" s="516"/>
      <c r="L11" s="517">
        <v>8</v>
      </c>
      <c r="M11" s="517"/>
    </row>
    <row r="12" spans="1:13" ht="31.35" customHeight="1">
      <c r="D12" s="515"/>
      <c r="E12" s="512"/>
      <c r="F12" s="518" t="s">
        <v>388</v>
      </c>
      <c r="G12" s="518"/>
      <c r="H12" s="518" t="s">
        <v>389</v>
      </c>
      <c r="I12" s="518"/>
      <c r="J12" s="518" t="s">
        <v>390</v>
      </c>
      <c r="K12" s="518"/>
      <c r="L12" s="519" t="s">
        <v>391</v>
      </c>
      <c r="M12" s="519"/>
    </row>
    <row r="13" spans="1:13" ht="15.75" customHeight="1">
      <c r="D13" s="515"/>
      <c r="E13" s="512"/>
      <c r="F13" s="208" t="s">
        <v>50</v>
      </c>
      <c r="G13" s="208" t="s">
        <v>15</v>
      </c>
      <c r="H13" s="208" t="s">
        <v>50</v>
      </c>
      <c r="I13" s="208" t="s">
        <v>15</v>
      </c>
      <c r="J13" s="208" t="s">
        <v>50</v>
      </c>
      <c r="K13" s="208" t="s">
        <v>15</v>
      </c>
      <c r="L13" s="208" t="s">
        <v>50</v>
      </c>
      <c r="M13" s="208" t="s">
        <v>15</v>
      </c>
    </row>
    <row r="14" spans="1:13" ht="19.350000000000001" customHeight="1">
      <c r="D14" s="515"/>
      <c r="E14" s="174" t="s">
        <v>386</v>
      </c>
      <c r="F14" s="177">
        <v>12460.915000000001</v>
      </c>
      <c r="G14" s="178">
        <f>IFERROR(F14/$B$9,"")</f>
        <v>0.25999777119401629</v>
      </c>
      <c r="H14" s="177">
        <v>1494.27</v>
      </c>
      <c r="I14" s="178">
        <f t="shared" ref="I14" si="1">IFERROR(H14/$B$9,"")</f>
        <v>3.1178037051218365E-2</v>
      </c>
      <c r="J14" s="177">
        <v>3061.675999999999</v>
      </c>
      <c r="K14" s="178">
        <f t="shared" ref="K14" si="2">IFERROR(J14/$B$9,"")</f>
        <v>6.3882061318788444E-2</v>
      </c>
      <c r="L14" s="177">
        <v>0</v>
      </c>
      <c r="M14" s="178">
        <f t="shared" ref="M14" si="3">IFERROR(L14/$B$9,"")</f>
        <v>0</v>
      </c>
    </row>
    <row r="15" spans="1:13" ht="19.350000000000001" customHeight="1">
      <c r="D15" s="515"/>
      <c r="E15" s="179" t="s">
        <v>387</v>
      </c>
      <c r="F15" s="177">
        <v>30846.731825280494</v>
      </c>
      <c r="G15" s="178">
        <f>IFERROR(F15/$B$10,"")</f>
        <v>0.44082768601795191</v>
      </c>
      <c r="H15" s="177">
        <v>12704.309300000044</v>
      </c>
      <c r="I15" s="178">
        <f>IFERROR(H15/$B$10,"")</f>
        <v>0.18155606574131589</v>
      </c>
      <c r="J15" s="177">
        <v>3994.7131600000112</v>
      </c>
      <c r="K15" s="178">
        <f>IFERROR(J15/$B$10,"")</f>
        <v>5.7088062638293857E-2</v>
      </c>
      <c r="L15" s="177">
        <v>0</v>
      </c>
      <c r="M15" s="178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80"/>
  <sheetViews>
    <sheetView topLeftCell="A62" zoomScale="110" zoomScaleNormal="110" zoomScaleSheetLayoutView="115" workbookViewId="0">
      <selection activeCell="C76" sqref="C76"/>
    </sheetView>
  </sheetViews>
  <sheetFormatPr defaultColWidth="12.5703125" defaultRowHeight="15.75" customHeight="1"/>
  <cols>
    <col min="1" max="1" width="7.5703125" style="170" customWidth="1"/>
    <col min="2" max="2" width="14.85546875" style="170" customWidth="1"/>
    <col min="3" max="3" width="12.85546875" style="170" customWidth="1"/>
    <col min="4" max="4" width="2.5703125" style="170" customWidth="1"/>
    <col min="5" max="5" width="7.5703125" style="170" customWidth="1"/>
    <col min="6" max="6" width="12.85546875" style="170" customWidth="1"/>
    <col min="7" max="7" width="9.42578125" style="170" customWidth="1"/>
    <col min="8" max="8" width="12.85546875" style="170" customWidth="1"/>
    <col min="9" max="9" width="9.42578125" style="170" customWidth="1"/>
    <col min="10" max="10" width="12.85546875" style="170" customWidth="1"/>
    <col min="11" max="11" width="9.42578125" style="170" customWidth="1"/>
    <col min="12" max="12" width="12.85546875" style="170" customWidth="1"/>
    <col min="13" max="13" width="9.42578125" style="170" customWidth="1"/>
    <col min="14" max="16384" width="12.5703125" style="170"/>
  </cols>
  <sheetData>
    <row r="1" spans="1:13" ht="15.75" customHeight="1">
      <c r="A1" s="510" t="s">
        <v>325</v>
      </c>
      <c r="B1" s="510"/>
      <c r="C1" s="510"/>
      <c r="D1" s="510"/>
      <c r="E1" s="510"/>
      <c r="F1" s="510"/>
      <c r="G1" s="510"/>
      <c r="H1" s="510"/>
      <c r="I1" s="510"/>
      <c r="J1" s="510"/>
      <c r="K1" s="510"/>
      <c r="L1" s="510"/>
      <c r="M1" s="510"/>
    </row>
    <row r="2" spans="1:13" s="171" customFormat="1" ht="15.75" customHeight="1">
      <c r="A2" s="510"/>
      <c r="B2" s="510"/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</row>
    <row r="3" spans="1:13" ht="15.75" customHeight="1">
      <c r="A3" s="511" t="s">
        <v>392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</row>
    <row r="4" spans="1:13" s="171" customFormat="1" ht="15.75" customHeight="1">
      <c r="A4" s="511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</row>
    <row r="5" spans="1:13" ht="15.75" customHeight="1">
      <c r="A5" s="172" t="s">
        <v>381</v>
      </c>
      <c r="B5" s="173">
        <v>75872986</v>
      </c>
    </row>
    <row r="6" spans="1:13" ht="15.75" customHeight="1">
      <c r="A6" s="512" t="s">
        <v>105</v>
      </c>
      <c r="B6" s="513" t="s">
        <v>47</v>
      </c>
      <c r="C6" s="513"/>
      <c r="D6" s="514"/>
      <c r="E6" s="512" t="s">
        <v>105</v>
      </c>
      <c r="F6" s="516">
        <v>1</v>
      </c>
      <c r="G6" s="516"/>
      <c r="H6" s="516">
        <v>2</v>
      </c>
      <c r="I6" s="516"/>
      <c r="J6" s="516">
        <v>3</v>
      </c>
      <c r="K6" s="516"/>
      <c r="L6" s="516">
        <v>4</v>
      </c>
      <c r="M6" s="516"/>
    </row>
    <row r="7" spans="1:13" ht="31.35" customHeight="1">
      <c r="A7" s="512"/>
      <c r="B7" s="513"/>
      <c r="C7" s="513"/>
      <c r="D7" s="515"/>
      <c r="E7" s="512"/>
      <c r="F7" s="518" t="s">
        <v>382</v>
      </c>
      <c r="G7" s="518"/>
      <c r="H7" s="518" t="s">
        <v>383</v>
      </c>
      <c r="I7" s="518"/>
      <c r="J7" s="518" t="s">
        <v>384</v>
      </c>
      <c r="K7" s="518"/>
      <c r="L7" s="518" t="s">
        <v>385</v>
      </c>
      <c r="M7" s="518"/>
    </row>
    <row r="8" spans="1:13" ht="15.75" customHeight="1">
      <c r="A8" s="512"/>
      <c r="B8" s="208" t="s">
        <v>50</v>
      </c>
      <c r="C8" s="208" t="s">
        <v>15</v>
      </c>
      <c r="D8" s="515"/>
      <c r="E8" s="512"/>
      <c r="F8" s="208" t="s">
        <v>50</v>
      </c>
      <c r="G8" s="208" t="s">
        <v>15</v>
      </c>
      <c r="H8" s="208" t="s">
        <v>50</v>
      </c>
      <c r="I8" s="208" t="s">
        <v>15</v>
      </c>
      <c r="J8" s="208" t="s">
        <v>50</v>
      </c>
      <c r="K8" s="208" t="s">
        <v>15</v>
      </c>
      <c r="L8" s="208" t="s">
        <v>50</v>
      </c>
      <c r="M8" s="208" t="s">
        <v>15</v>
      </c>
    </row>
    <row r="9" spans="1:13" ht="19.350000000000001" customHeight="1">
      <c r="A9" s="174" t="s">
        <v>386</v>
      </c>
      <c r="B9" s="175">
        <v>18257.814999999991</v>
      </c>
      <c r="C9" s="176">
        <f>B9/$B$5</f>
        <v>2.4063656859372835E-4</v>
      </c>
      <c r="D9" s="515"/>
      <c r="E9" s="174" t="s">
        <v>386</v>
      </c>
      <c r="F9" s="177">
        <v>552.57299999999998</v>
      </c>
      <c r="G9" s="178">
        <f>IFERROR(F9/$B$9,"")</f>
        <v>3.0265012543943523E-2</v>
      </c>
      <c r="H9" s="177">
        <v>1893.9470000000001</v>
      </c>
      <c r="I9" s="178">
        <f t="shared" ref="I9" si="0">IFERROR(H9/$B$9,"")</f>
        <v>0.10373349713533635</v>
      </c>
      <c r="J9" s="177">
        <v>2015.6379999999999</v>
      </c>
      <c r="K9" s="178">
        <f t="shared" ref="K9" si="1">IFERROR(J9/$B$9,"")</f>
        <v>0.11039864299205578</v>
      </c>
      <c r="L9" s="177">
        <v>6004.951</v>
      </c>
      <c r="M9" s="178">
        <f>IFERROR(L9/$B$9,"")</f>
        <v>0.32889757071150094</v>
      </c>
    </row>
    <row r="10" spans="1:13" ht="19.350000000000001" customHeight="1">
      <c r="A10" s="179" t="s">
        <v>387</v>
      </c>
      <c r="B10" s="180">
        <v>22782.319846732516</v>
      </c>
      <c r="C10" s="176">
        <f>B10/$B$5</f>
        <v>3.0026918733279477E-4</v>
      </c>
      <c r="D10" s="515"/>
      <c r="E10" s="179" t="s">
        <v>387</v>
      </c>
      <c r="F10" s="177">
        <v>733.22632000000021</v>
      </c>
      <c r="G10" s="178">
        <f>IFERROR(F10/$B$10,"")</f>
        <v>3.2184006059644575E-2</v>
      </c>
      <c r="H10" s="177">
        <v>2126.0029800000007</v>
      </c>
      <c r="I10" s="178">
        <f>IFERROR(H10/$B$10,"")</f>
        <v>9.3318107826710892E-2</v>
      </c>
      <c r="J10" s="177">
        <v>833.94599999999934</v>
      </c>
      <c r="K10" s="178">
        <f>IFERROR(J10/$B$10,"")</f>
        <v>3.6604964095419169E-2</v>
      </c>
      <c r="L10" s="177">
        <v>7270.6642214520316</v>
      </c>
      <c r="M10" s="178">
        <f>IFERROR(L10/$B$10,"")</f>
        <v>0.31913625435711734</v>
      </c>
    </row>
    <row r="11" spans="1:13" ht="15.75" customHeight="1">
      <c r="D11" s="515"/>
      <c r="E11" s="512" t="s">
        <v>105</v>
      </c>
      <c r="F11" s="516">
        <v>5</v>
      </c>
      <c r="G11" s="516"/>
      <c r="H11" s="516">
        <v>6</v>
      </c>
      <c r="I11" s="516"/>
      <c r="J11" s="516">
        <v>7</v>
      </c>
      <c r="K11" s="516"/>
      <c r="L11" s="517">
        <v>8</v>
      </c>
      <c r="M11" s="517"/>
    </row>
    <row r="12" spans="1:13" ht="31.35" customHeight="1">
      <c r="D12" s="515"/>
      <c r="E12" s="512"/>
      <c r="F12" s="518" t="s">
        <v>388</v>
      </c>
      <c r="G12" s="518"/>
      <c r="H12" s="518" t="s">
        <v>389</v>
      </c>
      <c r="I12" s="518"/>
      <c r="J12" s="518" t="s">
        <v>390</v>
      </c>
      <c r="K12" s="518"/>
      <c r="L12" s="519" t="s">
        <v>391</v>
      </c>
      <c r="M12" s="519"/>
    </row>
    <row r="13" spans="1:13" ht="15.75" customHeight="1">
      <c r="D13" s="515"/>
      <c r="E13" s="512"/>
      <c r="F13" s="208" t="s">
        <v>50</v>
      </c>
      <c r="G13" s="208" t="s">
        <v>15</v>
      </c>
      <c r="H13" s="208" t="s">
        <v>50</v>
      </c>
      <c r="I13" s="208" t="s">
        <v>15</v>
      </c>
      <c r="J13" s="208" t="s">
        <v>50</v>
      </c>
      <c r="K13" s="208" t="s">
        <v>15</v>
      </c>
      <c r="L13" s="208" t="s">
        <v>50</v>
      </c>
      <c r="M13" s="208" t="s">
        <v>15</v>
      </c>
    </row>
    <row r="14" spans="1:13" ht="19.350000000000001" customHeight="1">
      <c r="D14" s="515"/>
      <c r="E14" s="174" t="s">
        <v>386</v>
      </c>
      <c r="F14" s="177">
        <v>6580.9920000000002</v>
      </c>
      <c r="G14" s="178">
        <f>IFERROR(F14/$B$9,"")</f>
        <v>0.3604479506446967</v>
      </c>
      <c r="H14" s="177">
        <v>0</v>
      </c>
      <c r="I14" s="178">
        <f t="shared" ref="I14" si="2">IFERROR(H14/$B$9,"")</f>
        <v>0</v>
      </c>
      <c r="J14" s="177">
        <v>1209.7139999999999</v>
      </c>
      <c r="K14" s="178">
        <f t="shared" ref="K14" si="3">IFERROR(J14/$B$9,"")</f>
        <v>6.6257325972467154E-2</v>
      </c>
      <c r="L14" s="177">
        <v>0</v>
      </c>
      <c r="M14" s="178">
        <f t="shared" ref="M14" si="4">IFERROR(L14/$B$9,"")</f>
        <v>0</v>
      </c>
    </row>
    <row r="15" spans="1:13" ht="19.350000000000001" customHeight="1" thickBot="1">
      <c r="D15" s="515"/>
      <c r="E15" s="179" t="s">
        <v>387</v>
      </c>
      <c r="F15" s="177">
        <v>9515.0165852805003</v>
      </c>
      <c r="G15" s="178">
        <f>IFERROR(F15/$B$10,"")</f>
        <v>0.41764915290859467</v>
      </c>
      <c r="H15" s="177">
        <v>415.10627999999923</v>
      </c>
      <c r="I15" s="178">
        <f>IFERROR(H15/$B$10,"")</f>
        <v>1.8220544825663772E-2</v>
      </c>
      <c r="J15" s="177">
        <v>1888.3574600000009</v>
      </c>
      <c r="K15" s="178">
        <f>IFERROR(J15/$B$10,"")</f>
        <v>8.2886969926850212E-2</v>
      </c>
      <c r="L15" s="177">
        <v>0</v>
      </c>
      <c r="M15" s="178">
        <f>IFERROR(L15/$B$10,"")</f>
        <v>0</v>
      </c>
    </row>
    <row r="16" spans="1:13" ht="15.75" customHeight="1">
      <c r="A16" s="528" t="s">
        <v>393</v>
      </c>
      <c r="B16" s="529"/>
      <c r="C16" s="529"/>
      <c r="D16" s="529"/>
      <c r="E16" s="529"/>
      <c r="F16" s="529"/>
      <c r="G16" s="529"/>
      <c r="H16" s="529"/>
      <c r="I16" s="529"/>
      <c r="J16" s="529"/>
      <c r="K16" s="529"/>
      <c r="L16" s="529"/>
      <c r="M16" s="530"/>
    </row>
    <row r="17" spans="1:13" ht="15.75" customHeight="1">
      <c r="A17" s="531"/>
      <c r="B17" s="511"/>
      <c r="C17" s="511"/>
      <c r="D17" s="511"/>
      <c r="E17" s="511"/>
      <c r="F17" s="511"/>
      <c r="G17" s="511"/>
      <c r="H17" s="511"/>
      <c r="I17" s="511"/>
      <c r="J17" s="511"/>
      <c r="K17" s="511"/>
      <c r="L17" s="511"/>
      <c r="M17" s="532"/>
    </row>
    <row r="18" spans="1:13" ht="15.75" customHeight="1">
      <c r="A18" s="268" t="s">
        <v>381</v>
      </c>
      <c r="B18" s="173">
        <v>48523585</v>
      </c>
      <c r="M18" s="269"/>
    </row>
    <row r="19" spans="1:13" ht="15.75" customHeight="1">
      <c r="A19" s="533" t="s">
        <v>105</v>
      </c>
      <c r="B19" s="513" t="s">
        <v>47</v>
      </c>
      <c r="C19" s="513"/>
      <c r="D19" s="514"/>
      <c r="E19" s="512" t="s">
        <v>105</v>
      </c>
      <c r="F19" s="516">
        <v>1</v>
      </c>
      <c r="G19" s="516"/>
      <c r="H19" s="516">
        <v>2</v>
      </c>
      <c r="I19" s="516"/>
      <c r="J19" s="516">
        <v>3</v>
      </c>
      <c r="K19" s="516"/>
      <c r="L19" s="516">
        <v>4</v>
      </c>
      <c r="M19" s="535"/>
    </row>
    <row r="20" spans="1:13" ht="15.75" customHeight="1">
      <c r="A20" s="533"/>
      <c r="B20" s="513"/>
      <c r="C20" s="513"/>
      <c r="D20" s="515"/>
      <c r="E20" s="512"/>
      <c r="F20" s="518" t="s">
        <v>382</v>
      </c>
      <c r="G20" s="518"/>
      <c r="H20" s="518" t="s">
        <v>383</v>
      </c>
      <c r="I20" s="518"/>
      <c r="J20" s="518" t="s">
        <v>384</v>
      </c>
      <c r="K20" s="518"/>
      <c r="L20" s="518" t="s">
        <v>385</v>
      </c>
      <c r="M20" s="536"/>
    </row>
    <row r="21" spans="1:13" ht="15.75" customHeight="1">
      <c r="A21" s="533"/>
      <c r="B21" s="208" t="s">
        <v>50</v>
      </c>
      <c r="C21" s="208" t="s">
        <v>15</v>
      </c>
      <c r="D21" s="515"/>
      <c r="E21" s="512"/>
      <c r="F21" s="208" t="s">
        <v>50</v>
      </c>
      <c r="G21" s="208" t="s">
        <v>15</v>
      </c>
      <c r="H21" s="208" t="s">
        <v>50</v>
      </c>
      <c r="I21" s="208" t="s">
        <v>15</v>
      </c>
      <c r="J21" s="208" t="s">
        <v>50</v>
      </c>
      <c r="K21" s="208" t="s">
        <v>15</v>
      </c>
      <c r="L21" s="208" t="s">
        <v>50</v>
      </c>
      <c r="M21" s="270" t="s">
        <v>15</v>
      </c>
    </row>
    <row r="22" spans="1:13" ht="15.75" customHeight="1">
      <c r="A22" s="271" t="s">
        <v>386</v>
      </c>
      <c r="B22" s="272">
        <v>11676.691000000003</v>
      </c>
      <c r="C22" s="176">
        <f>B22/$B$18</f>
        <v>2.4063949520630024E-4</v>
      </c>
      <c r="D22" s="515"/>
      <c r="E22" s="174" t="s">
        <v>386</v>
      </c>
      <c r="F22" s="273">
        <v>165.98000000000002</v>
      </c>
      <c r="G22" s="178">
        <f>IFERROR(F22/$B$9,"")</f>
        <v>9.0909016221272978E-3</v>
      </c>
      <c r="H22" s="273">
        <v>1611.5420000000004</v>
      </c>
      <c r="I22" s="178">
        <f t="shared" ref="I22" si="5">IFERROR(H22/$B$9,"")</f>
        <v>8.8265874092820037E-2</v>
      </c>
      <c r="J22" s="273">
        <v>1228.9280000000001</v>
      </c>
      <c r="K22" s="178">
        <f t="shared" ref="K22" si="6">IFERROR(J22/$B$9,"")</f>
        <v>6.7309697244714153E-2</v>
      </c>
      <c r="L22" s="273">
        <v>3775.8909999999996</v>
      </c>
      <c r="M22" s="274">
        <f>IFERROR(L22/$B$9,"")</f>
        <v>0.20680957715915083</v>
      </c>
    </row>
    <row r="23" spans="1:13" ht="15.75" customHeight="1">
      <c r="A23" s="275" t="s">
        <v>387</v>
      </c>
      <c r="B23" s="276">
        <v>18680.446015247508</v>
      </c>
      <c r="C23" s="176">
        <f>B23/$B$18</f>
        <v>3.8497662559861369E-4</v>
      </c>
      <c r="D23" s="515"/>
      <c r="E23" s="179" t="s">
        <v>387</v>
      </c>
      <c r="F23" s="273">
        <v>0</v>
      </c>
      <c r="G23" s="178">
        <f>IFERROR(F23/$B$10,"")</f>
        <v>0</v>
      </c>
      <c r="H23" s="273">
        <v>644.21809999999959</v>
      </c>
      <c r="I23" s="178">
        <f>IFERROR(H23/$B$10,"")</f>
        <v>2.8277107174947972E-2</v>
      </c>
      <c r="J23" s="273">
        <v>874.41625999999883</v>
      </c>
      <c r="K23" s="178">
        <f>IFERROR(J23/$B$10,"")</f>
        <v>3.8381352991381575E-2</v>
      </c>
      <c r="L23" s="273">
        <v>3059.7451552474977</v>
      </c>
      <c r="M23" s="274">
        <f>IFERROR(L23/$B$10,"")</f>
        <v>0.13430349393002364</v>
      </c>
    </row>
    <row r="24" spans="1:13" ht="15.75" customHeight="1">
      <c r="A24" s="277"/>
      <c r="D24" s="515"/>
      <c r="E24" s="512" t="s">
        <v>105</v>
      </c>
      <c r="F24" s="516">
        <v>5</v>
      </c>
      <c r="G24" s="516"/>
      <c r="H24" s="516">
        <v>6</v>
      </c>
      <c r="I24" s="516"/>
      <c r="J24" s="516">
        <v>7</v>
      </c>
      <c r="K24" s="516"/>
      <c r="L24" s="517">
        <v>8</v>
      </c>
      <c r="M24" s="537"/>
    </row>
    <row r="25" spans="1:13" ht="15.75" customHeight="1">
      <c r="A25" s="277"/>
      <c r="D25" s="515"/>
      <c r="E25" s="512"/>
      <c r="F25" s="518" t="s">
        <v>388</v>
      </c>
      <c r="G25" s="518"/>
      <c r="H25" s="518" t="s">
        <v>389</v>
      </c>
      <c r="I25" s="518"/>
      <c r="J25" s="518" t="s">
        <v>390</v>
      </c>
      <c r="K25" s="518"/>
      <c r="L25" s="519" t="s">
        <v>391</v>
      </c>
      <c r="M25" s="538"/>
    </row>
    <row r="26" spans="1:13" ht="15.75" customHeight="1">
      <c r="A26" s="277"/>
      <c r="D26" s="515"/>
      <c r="E26" s="512"/>
      <c r="F26" s="208" t="s">
        <v>50</v>
      </c>
      <c r="G26" s="208" t="s">
        <v>15</v>
      </c>
      <c r="H26" s="208" t="s">
        <v>50</v>
      </c>
      <c r="I26" s="208" t="s">
        <v>15</v>
      </c>
      <c r="J26" s="208" t="s">
        <v>50</v>
      </c>
      <c r="K26" s="208" t="s">
        <v>15</v>
      </c>
      <c r="L26" s="208" t="s">
        <v>50</v>
      </c>
      <c r="M26" s="270" t="s">
        <v>15</v>
      </c>
    </row>
    <row r="27" spans="1:13" ht="15.75" customHeight="1">
      <c r="A27" s="277"/>
      <c r="D27" s="515"/>
      <c r="E27" s="174" t="s">
        <v>386</v>
      </c>
      <c r="F27" s="273">
        <v>3919.5130000000004</v>
      </c>
      <c r="G27" s="178">
        <f>IFERROR(F27/$B$9,"")</f>
        <v>0.21467590727587074</v>
      </c>
      <c r="H27" s="273">
        <v>0</v>
      </c>
      <c r="I27" s="178">
        <f t="shared" ref="I27" si="7">IFERROR(H27/$B$9,"")</f>
        <v>0</v>
      </c>
      <c r="J27" s="273">
        <v>974.8370000000001</v>
      </c>
      <c r="K27" s="178">
        <f t="shared" ref="K27" si="8">IFERROR(J27/$B$9,"")</f>
        <v>5.3392862179839184E-2</v>
      </c>
      <c r="L27" s="273">
        <v>0</v>
      </c>
      <c r="M27" s="274">
        <f t="shared" ref="M27" si="9">IFERROR(L27/$B$9,"")</f>
        <v>0</v>
      </c>
    </row>
    <row r="28" spans="1:13" ht="15.75" customHeight="1" thickBot="1">
      <c r="A28" s="278"/>
      <c r="B28" s="279"/>
      <c r="C28" s="279"/>
      <c r="D28" s="534"/>
      <c r="E28" s="280" t="s">
        <v>387</v>
      </c>
      <c r="F28" s="281">
        <v>10050.147089999993</v>
      </c>
      <c r="G28" s="282">
        <f>IFERROR(F28/$B$10,"")</f>
        <v>0.44113800339965836</v>
      </c>
      <c r="H28" s="281">
        <v>2190.4281100000026</v>
      </c>
      <c r="I28" s="282">
        <f>IFERROR(H28/$B$10,"")</f>
        <v>9.6145964271244222E-2</v>
      </c>
      <c r="J28" s="281">
        <v>1689.3357000000103</v>
      </c>
      <c r="K28" s="282">
        <f>IFERROR(J28/$B$10,"")</f>
        <v>7.4151171231243082E-2</v>
      </c>
      <c r="L28" s="281">
        <v>0</v>
      </c>
      <c r="M28" s="283">
        <f>IFERROR(L28/$B$10,"")</f>
        <v>0</v>
      </c>
    </row>
    <row r="29" spans="1:13" ht="15.75" customHeight="1">
      <c r="A29" s="528" t="s">
        <v>394</v>
      </c>
      <c r="B29" s="529"/>
      <c r="C29" s="529"/>
      <c r="D29" s="529"/>
      <c r="E29" s="529"/>
      <c r="F29" s="529"/>
      <c r="G29" s="529"/>
      <c r="H29" s="529"/>
      <c r="I29" s="529"/>
      <c r="J29" s="529"/>
      <c r="K29" s="529"/>
      <c r="L29" s="529"/>
      <c r="M29" s="530"/>
    </row>
    <row r="30" spans="1:13" ht="15.75" customHeight="1">
      <c r="A30" s="531"/>
      <c r="B30" s="511"/>
      <c r="C30" s="511"/>
      <c r="D30" s="511"/>
      <c r="E30" s="511"/>
      <c r="F30" s="511"/>
      <c r="G30" s="511"/>
      <c r="H30" s="511"/>
      <c r="I30" s="511"/>
      <c r="J30" s="511"/>
      <c r="K30" s="511"/>
      <c r="L30" s="511"/>
      <c r="M30" s="532"/>
    </row>
    <row r="31" spans="1:13" ht="15.75" customHeight="1">
      <c r="A31" s="268" t="s">
        <v>381</v>
      </c>
      <c r="B31" s="173">
        <v>48655452</v>
      </c>
      <c r="M31" s="269"/>
    </row>
    <row r="32" spans="1:13" ht="15.75" customHeight="1">
      <c r="A32" s="533" t="s">
        <v>105</v>
      </c>
      <c r="B32" s="513" t="s">
        <v>47</v>
      </c>
      <c r="C32" s="513"/>
      <c r="D32" s="514"/>
      <c r="E32" s="512" t="s">
        <v>105</v>
      </c>
      <c r="F32" s="516">
        <v>1</v>
      </c>
      <c r="G32" s="516"/>
      <c r="H32" s="516">
        <v>2</v>
      </c>
      <c r="I32" s="516"/>
      <c r="J32" s="516">
        <v>3</v>
      </c>
      <c r="K32" s="516"/>
      <c r="L32" s="516">
        <v>4</v>
      </c>
      <c r="M32" s="535"/>
    </row>
    <row r="33" spans="1:13" ht="15.75" customHeight="1">
      <c r="A33" s="533"/>
      <c r="B33" s="513"/>
      <c r="C33" s="513"/>
      <c r="D33" s="515"/>
      <c r="E33" s="512"/>
      <c r="F33" s="518" t="s">
        <v>382</v>
      </c>
      <c r="G33" s="518"/>
      <c r="H33" s="518" t="s">
        <v>383</v>
      </c>
      <c r="I33" s="518"/>
      <c r="J33" s="518" t="s">
        <v>384</v>
      </c>
      <c r="K33" s="518"/>
      <c r="L33" s="518" t="s">
        <v>385</v>
      </c>
      <c r="M33" s="536"/>
    </row>
    <row r="34" spans="1:13" ht="15.75" customHeight="1">
      <c r="A34" s="533"/>
      <c r="B34" s="208" t="s">
        <v>50</v>
      </c>
      <c r="C34" s="208" t="s">
        <v>15</v>
      </c>
      <c r="D34" s="515"/>
      <c r="E34" s="512"/>
      <c r="F34" s="208" t="s">
        <v>50</v>
      </c>
      <c r="G34" s="208" t="s">
        <v>15</v>
      </c>
      <c r="H34" s="208" t="s">
        <v>50</v>
      </c>
      <c r="I34" s="208" t="s">
        <v>15</v>
      </c>
      <c r="J34" s="208" t="s">
        <v>50</v>
      </c>
      <c r="K34" s="208" t="s">
        <v>15</v>
      </c>
      <c r="L34" s="208" t="s">
        <v>50</v>
      </c>
      <c r="M34" s="270" t="s">
        <v>15</v>
      </c>
    </row>
    <row r="35" spans="1:13" ht="15.75" customHeight="1">
      <c r="A35" s="271" t="s">
        <v>386</v>
      </c>
      <c r="B35" s="272">
        <v>9800.9250000000029</v>
      </c>
      <c r="C35" s="176">
        <f>B35/$B$5</f>
        <v>1.2917542219835663E-4</v>
      </c>
      <c r="D35" s="515"/>
      <c r="E35" s="174" t="s">
        <v>386</v>
      </c>
      <c r="F35" s="273">
        <v>705.35199999999998</v>
      </c>
      <c r="G35" s="178">
        <f>IFERROR(F35/$B$9,"")</f>
        <v>3.8632881316849818E-2</v>
      </c>
      <c r="H35" s="273">
        <v>1195.5910000000001</v>
      </c>
      <c r="I35" s="178">
        <f t="shared" ref="I35" si="10">IFERROR(H35/$B$9,"")</f>
        <v>6.5483794199908407E-2</v>
      </c>
      <c r="J35" s="273">
        <v>1614.134</v>
      </c>
      <c r="K35" s="178">
        <f t="shared" ref="K35" si="11">IFERROR(J35/$B$9,"")</f>
        <v>8.8407840697257628E-2</v>
      </c>
      <c r="L35" s="273">
        <v>4035.8779999999997</v>
      </c>
      <c r="M35" s="274">
        <f>IFERROR(L35/$B$9,"")</f>
        <v>0.22104934243226812</v>
      </c>
    </row>
    <row r="36" spans="1:13" ht="15.75" customHeight="1" thickBot="1">
      <c r="A36" s="275" t="s">
        <v>387</v>
      </c>
      <c r="B36" s="276">
        <v>15896.425820000022</v>
      </c>
      <c r="C36" s="176">
        <f>B36/$B$5</f>
        <v>2.0951364455328042E-4</v>
      </c>
      <c r="D36" s="515"/>
      <c r="E36" s="179" t="s">
        <v>387</v>
      </c>
      <c r="F36" s="281">
        <v>446.58150000000035</v>
      </c>
      <c r="G36" s="178">
        <f>IFERROR(F36/$B$10,"")</f>
        <v>1.9602108257823003E-2</v>
      </c>
      <c r="H36" s="273">
        <v>793.69283000000019</v>
      </c>
      <c r="I36" s="178">
        <f>IFERROR(H36/$B$10,"")</f>
        <v>3.4838104079810514E-2</v>
      </c>
      <c r="J36" s="273">
        <v>666.6480400000014</v>
      </c>
      <c r="K36" s="178">
        <f>IFERROR(J36/$B$10,"")</f>
        <v>2.9261639924505464E-2</v>
      </c>
      <c r="L36" s="273">
        <v>1637.1258600000046</v>
      </c>
      <c r="M36" s="274">
        <f>IFERROR(L36/$B$10,"")</f>
        <v>7.1859488893744258E-2</v>
      </c>
    </row>
    <row r="37" spans="1:13" ht="15.75" customHeight="1">
      <c r="A37" s="277"/>
      <c r="D37" s="515"/>
      <c r="E37" s="512" t="s">
        <v>105</v>
      </c>
      <c r="F37" s="516">
        <v>5</v>
      </c>
      <c r="G37" s="516"/>
      <c r="H37" s="516">
        <v>6</v>
      </c>
      <c r="I37" s="516"/>
      <c r="J37" s="516">
        <v>7</v>
      </c>
      <c r="K37" s="516"/>
      <c r="L37" s="517">
        <v>8</v>
      </c>
      <c r="M37" s="537"/>
    </row>
    <row r="38" spans="1:13" ht="15.75" customHeight="1">
      <c r="A38" s="277"/>
      <c r="D38" s="515"/>
      <c r="E38" s="512"/>
      <c r="F38" s="518" t="s">
        <v>388</v>
      </c>
      <c r="G38" s="518"/>
      <c r="H38" s="518" t="s">
        <v>389</v>
      </c>
      <c r="I38" s="518"/>
      <c r="J38" s="518" t="s">
        <v>390</v>
      </c>
      <c r="K38" s="518"/>
      <c r="L38" s="519" t="s">
        <v>391</v>
      </c>
      <c r="M38" s="538"/>
    </row>
    <row r="39" spans="1:13" ht="15.75" customHeight="1">
      <c r="A39" s="277"/>
      <c r="D39" s="515"/>
      <c r="E39" s="512"/>
      <c r="F39" s="208" t="s">
        <v>50</v>
      </c>
      <c r="G39" s="208" t="s">
        <v>15</v>
      </c>
      <c r="H39" s="208" t="s">
        <v>50</v>
      </c>
      <c r="I39" s="208" t="s">
        <v>15</v>
      </c>
      <c r="J39" s="208" t="s">
        <v>50</v>
      </c>
      <c r="K39" s="208" t="s">
        <v>15</v>
      </c>
      <c r="L39" s="208" t="s">
        <v>50</v>
      </c>
      <c r="M39" s="270" t="s">
        <v>15</v>
      </c>
    </row>
    <row r="40" spans="1:13" ht="15.75" customHeight="1">
      <c r="A40" s="277"/>
      <c r="D40" s="515"/>
      <c r="E40" s="174" t="s">
        <v>386</v>
      </c>
      <c r="F40" s="273">
        <v>1269.0300000000002</v>
      </c>
      <c r="G40" s="178">
        <f>IFERROR(F40/$B$9,"")</f>
        <v>6.9506126554574069E-2</v>
      </c>
      <c r="H40" s="273">
        <v>361.74299999999999</v>
      </c>
      <c r="I40" s="178">
        <f t="shared" ref="I40" si="12">IFERROR(H40/$B$9,"")</f>
        <v>1.9813049918623898E-2</v>
      </c>
      <c r="J40" s="273">
        <v>619.197</v>
      </c>
      <c r="K40" s="178">
        <f t="shared" ref="K40" si="13">IFERROR(J40/$B$9,"")</f>
        <v>3.3914080080228677E-2</v>
      </c>
      <c r="L40" s="273">
        <v>0</v>
      </c>
      <c r="M40" s="274">
        <f t="shared" ref="M40" si="14">IFERROR(L40/$B$9,"")</f>
        <v>0</v>
      </c>
    </row>
    <row r="41" spans="1:13" ht="15.75" customHeight="1" thickBot="1">
      <c r="A41" s="278"/>
      <c r="B41" s="279"/>
      <c r="C41" s="279"/>
      <c r="D41" s="534"/>
      <c r="E41" s="280" t="s">
        <v>387</v>
      </c>
      <c r="F41" s="281">
        <v>6394.8248599999997</v>
      </c>
      <c r="G41" s="282">
        <f>IFERROR(F41/$B$10,"")</f>
        <v>0.28069243619706086</v>
      </c>
      <c r="H41" s="281">
        <v>5540.5327300000126</v>
      </c>
      <c r="I41" s="282">
        <f>IFERROR(H41/$B$10,"")</f>
        <v>0.24319440545448431</v>
      </c>
      <c r="J41" s="281">
        <v>417.01999999999981</v>
      </c>
      <c r="K41" s="282">
        <f>IFERROR(J41/$B$10,"")</f>
        <v>1.8304545050964578E-2</v>
      </c>
      <c r="L41" s="281">
        <v>0</v>
      </c>
      <c r="M41" s="283">
        <f>IFERROR(L41/$B$10,"")</f>
        <v>0</v>
      </c>
    </row>
    <row r="42" spans="1:13" ht="15.75" customHeight="1">
      <c r="A42" s="528" t="s">
        <v>395</v>
      </c>
      <c r="B42" s="529"/>
      <c r="C42" s="529"/>
      <c r="D42" s="529"/>
      <c r="E42" s="529"/>
      <c r="F42" s="529"/>
      <c r="G42" s="529"/>
      <c r="H42" s="529"/>
      <c r="I42" s="529"/>
      <c r="J42" s="529"/>
      <c r="K42" s="529"/>
      <c r="L42" s="529"/>
      <c r="M42" s="530"/>
    </row>
    <row r="43" spans="1:13" ht="15.75" customHeight="1">
      <c r="A43" s="531"/>
      <c r="B43" s="511"/>
      <c r="C43" s="511"/>
      <c r="D43" s="511"/>
      <c r="E43" s="511"/>
      <c r="F43" s="511"/>
      <c r="G43" s="511"/>
      <c r="H43" s="511"/>
      <c r="I43" s="511"/>
      <c r="J43" s="511"/>
      <c r="K43" s="511"/>
      <c r="L43" s="511"/>
      <c r="M43" s="532"/>
    </row>
    <row r="44" spans="1:13" ht="15.75" customHeight="1">
      <c r="A44" s="268" t="s">
        <v>381</v>
      </c>
      <c r="B44" s="173">
        <v>46287577</v>
      </c>
      <c r="M44" s="269"/>
    </row>
    <row r="45" spans="1:13" ht="15.75" customHeight="1">
      <c r="A45" s="533" t="s">
        <v>105</v>
      </c>
      <c r="B45" s="513" t="s">
        <v>47</v>
      </c>
      <c r="C45" s="513"/>
      <c r="D45" s="514"/>
      <c r="E45" s="512" t="s">
        <v>105</v>
      </c>
      <c r="F45" s="516">
        <v>1</v>
      </c>
      <c r="G45" s="516"/>
      <c r="H45" s="516">
        <v>2</v>
      </c>
      <c r="I45" s="516"/>
      <c r="J45" s="516">
        <v>3</v>
      </c>
      <c r="K45" s="516"/>
      <c r="L45" s="516">
        <v>4</v>
      </c>
      <c r="M45" s="535"/>
    </row>
    <row r="46" spans="1:13" ht="15.75" customHeight="1">
      <c r="A46" s="533"/>
      <c r="B46" s="513"/>
      <c r="C46" s="513"/>
      <c r="D46" s="515"/>
      <c r="E46" s="512"/>
      <c r="F46" s="518" t="s">
        <v>382</v>
      </c>
      <c r="G46" s="518"/>
      <c r="H46" s="518" t="s">
        <v>383</v>
      </c>
      <c r="I46" s="518"/>
      <c r="J46" s="518" t="s">
        <v>384</v>
      </c>
      <c r="K46" s="518"/>
      <c r="L46" s="518" t="s">
        <v>385</v>
      </c>
      <c r="M46" s="536"/>
    </row>
    <row r="47" spans="1:13" ht="15.75" customHeight="1">
      <c r="A47" s="533"/>
      <c r="B47" s="208" t="s">
        <v>50</v>
      </c>
      <c r="C47" s="208" t="s">
        <v>15</v>
      </c>
      <c r="D47" s="515"/>
      <c r="E47" s="512"/>
      <c r="F47" s="208" t="s">
        <v>50</v>
      </c>
      <c r="G47" s="208" t="s">
        <v>15</v>
      </c>
      <c r="H47" s="208" t="s">
        <v>50</v>
      </c>
      <c r="I47" s="208" t="s">
        <v>15</v>
      </c>
      <c r="J47" s="208" t="s">
        <v>50</v>
      </c>
      <c r="K47" s="208" t="s">
        <v>15</v>
      </c>
      <c r="L47" s="208" t="s">
        <v>50</v>
      </c>
      <c r="M47" s="270" t="s">
        <v>15</v>
      </c>
    </row>
    <row r="48" spans="1:13" ht="15.75" customHeight="1">
      <c r="A48" s="271" t="s">
        <v>386</v>
      </c>
      <c r="B48" s="272">
        <v>9587.904999999997</v>
      </c>
      <c r="C48" s="176">
        <v>2.07137759662814E-4</v>
      </c>
      <c r="D48" s="515"/>
      <c r="E48" s="174" t="s">
        <v>386</v>
      </c>
      <c r="F48" s="273">
        <v>0</v>
      </c>
      <c r="G48" s="178">
        <v>0</v>
      </c>
      <c r="H48" s="273">
        <v>834.86200000000008</v>
      </c>
      <c r="I48" s="178">
        <v>4.5726282142742734E-2</v>
      </c>
      <c r="J48" s="273">
        <v>2231.3200000000002</v>
      </c>
      <c r="K48" s="178">
        <v>0.12221177616270081</v>
      </c>
      <c r="L48" s="273">
        <v>4146.4030000000002</v>
      </c>
      <c r="M48" s="274">
        <v>0.22710291456014875</v>
      </c>
    </row>
    <row r="49" spans="1:13" ht="15.75" customHeight="1">
      <c r="A49" s="275" t="s">
        <v>387</v>
      </c>
      <c r="B49" s="276">
        <v>14733.35162000003</v>
      </c>
      <c r="C49" s="176">
        <v>3.1830034265997612E-4</v>
      </c>
      <c r="D49" s="515"/>
      <c r="E49" s="179" t="s">
        <v>387</v>
      </c>
      <c r="F49" s="273">
        <v>0</v>
      </c>
      <c r="G49" s="178">
        <v>0</v>
      </c>
      <c r="H49" s="273">
        <v>0</v>
      </c>
      <c r="I49" s="178">
        <v>0</v>
      </c>
      <c r="J49" s="273">
        <v>1459.6556299999991</v>
      </c>
      <c r="K49" s="178">
        <v>6.4069666294731861E-2</v>
      </c>
      <c r="L49" s="273">
        <v>2414.4136500000041</v>
      </c>
      <c r="M49" s="274">
        <v>0.10597751529444373</v>
      </c>
    </row>
    <row r="50" spans="1:13" ht="15.75" customHeight="1">
      <c r="A50" s="277"/>
      <c r="D50" s="515"/>
      <c r="E50" s="512" t="s">
        <v>105</v>
      </c>
      <c r="F50" s="516">
        <v>5</v>
      </c>
      <c r="G50" s="516"/>
      <c r="H50" s="516">
        <v>6</v>
      </c>
      <c r="I50" s="516"/>
      <c r="J50" s="516">
        <v>7</v>
      </c>
      <c r="K50" s="516"/>
      <c r="L50" s="517">
        <v>8</v>
      </c>
      <c r="M50" s="537"/>
    </row>
    <row r="51" spans="1:13" ht="15.75" customHeight="1">
      <c r="A51" s="277"/>
      <c r="D51" s="515"/>
      <c r="E51" s="512"/>
      <c r="F51" s="518" t="s">
        <v>388</v>
      </c>
      <c r="G51" s="518"/>
      <c r="H51" s="518" t="s">
        <v>389</v>
      </c>
      <c r="I51" s="518"/>
      <c r="J51" s="518" t="s">
        <v>390</v>
      </c>
      <c r="K51" s="518"/>
      <c r="L51" s="519" t="s">
        <v>391</v>
      </c>
      <c r="M51" s="538"/>
    </row>
    <row r="52" spans="1:13" ht="15.75" customHeight="1">
      <c r="A52" s="277"/>
      <c r="D52" s="515"/>
      <c r="E52" s="512"/>
      <c r="F52" s="208" t="s">
        <v>50</v>
      </c>
      <c r="G52" s="208" t="s">
        <v>15</v>
      </c>
      <c r="H52" s="208" t="s">
        <v>50</v>
      </c>
      <c r="I52" s="208" t="s">
        <v>15</v>
      </c>
      <c r="J52" s="208" t="s">
        <v>50</v>
      </c>
      <c r="K52" s="208" t="s">
        <v>15</v>
      </c>
      <c r="L52" s="208" t="s">
        <v>50</v>
      </c>
      <c r="M52" s="270" t="s">
        <v>15</v>
      </c>
    </row>
    <row r="53" spans="1:13" ht="15.75" customHeight="1">
      <c r="A53" s="277"/>
      <c r="D53" s="515"/>
      <c r="E53" s="174" t="s">
        <v>386</v>
      </c>
      <c r="F53" s="273">
        <v>825.84</v>
      </c>
      <c r="G53" s="178">
        <v>4.523213758053745E-2</v>
      </c>
      <c r="H53" s="273">
        <v>1291.5520000000001</v>
      </c>
      <c r="I53" s="178">
        <v>7.0739680514891878E-2</v>
      </c>
      <c r="J53" s="273">
        <v>257.928</v>
      </c>
      <c r="K53" s="178">
        <v>1.4126991647138506E-2</v>
      </c>
      <c r="L53" s="273">
        <v>0</v>
      </c>
      <c r="M53" s="274">
        <v>0</v>
      </c>
    </row>
    <row r="54" spans="1:13" ht="15.75" customHeight="1" thickBot="1">
      <c r="A54" s="278"/>
      <c r="B54" s="279"/>
      <c r="C54" s="279"/>
      <c r="D54" s="534"/>
      <c r="E54" s="280" t="s">
        <v>387</v>
      </c>
      <c r="F54" s="281">
        <v>5870.1435299999976</v>
      </c>
      <c r="G54" s="282">
        <v>0.25766223850298126</v>
      </c>
      <c r="H54" s="281">
        <v>4989.1388100000286</v>
      </c>
      <c r="I54" s="282">
        <v>0.21899169371531671</v>
      </c>
      <c r="J54" s="281">
        <v>0</v>
      </c>
      <c r="K54" s="282">
        <v>0</v>
      </c>
      <c r="L54" s="281">
        <v>0</v>
      </c>
      <c r="M54" s="283">
        <v>0</v>
      </c>
    </row>
    <row r="55" spans="1:13" ht="15.75" customHeight="1">
      <c r="A55" s="528" t="s">
        <v>396</v>
      </c>
      <c r="B55" s="529"/>
      <c r="C55" s="529"/>
      <c r="D55" s="529"/>
      <c r="E55" s="529"/>
      <c r="F55" s="529"/>
      <c r="G55" s="529"/>
      <c r="H55" s="529"/>
      <c r="I55" s="529"/>
      <c r="J55" s="529"/>
      <c r="K55" s="529"/>
      <c r="L55" s="529"/>
      <c r="M55" s="530"/>
    </row>
    <row r="56" spans="1:13" ht="15.75" customHeight="1">
      <c r="A56" s="531"/>
      <c r="B56" s="511"/>
      <c r="C56" s="511"/>
      <c r="D56" s="511"/>
      <c r="E56" s="511"/>
      <c r="F56" s="511"/>
      <c r="G56" s="511"/>
      <c r="H56" s="511"/>
      <c r="I56" s="511"/>
      <c r="J56" s="511"/>
      <c r="K56" s="511"/>
      <c r="L56" s="511"/>
      <c r="M56" s="532"/>
    </row>
    <row r="57" spans="1:13" ht="15.75" customHeight="1">
      <c r="A57" s="268" t="s">
        <v>381</v>
      </c>
      <c r="B57" s="173">
        <v>48362935</v>
      </c>
      <c r="M57" s="269"/>
    </row>
    <row r="58" spans="1:13" ht="15.75" customHeight="1">
      <c r="A58" s="533" t="s">
        <v>105</v>
      </c>
      <c r="B58" s="513" t="s">
        <v>47</v>
      </c>
      <c r="C58" s="513"/>
      <c r="D58" s="514"/>
      <c r="E58" s="512" t="s">
        <v>105</v>
      </c>
      <c r="F58" s="516">
        <v>1</v>
      </c>
      <c r="G58" s="516"/>
      <c r="H58" s="516">
        <v>2</v>
      </c>
      <c r="I58" s="516"/>
      <c r="J58" s="516">
        <v>3</v>
      </c>
      <c r="K58" s="516"/>
      <c r="L58" s="516">
        <v>4</v>
      </c>
      <c r="M58" s="535"/>
    </row>
    <row r="59" spans="1:13" ht="15.75" customHeight="1">
      <c r="A59" s="533"/>
      <c r="B59" s="513"/>
      <c r="C59" s="513"/>
      <c r="D59" s="515"/>
      <c r="E59" s="512"/>
      <c r="F59" s="518" t="s">
        <v>382</v>
      </c>
      <c r="G59" s="518"/>
      <c r="H59" s="518" t="s">
        <v>383</v>
      </c>
      <c r="I59" s="518"/>
      <c r="J59" s="518" t="s">
        <v>384</v>
      </c>
      <c r="K59" s="518"/>
      <c r="L59" s="518" t="s">
        <v>385</v>
      </c>
      <c r="M59" s="536"/>
    </row>
    <row r="60" spans="1:13" ht="15.75" customHeight="1">
      <c r="A60" s="533"/>
      <c r="B60" s="208" t="s">
        <v>50</v>
      </c>
      <c r="C60" s="208" t="s">
        <v>15</v>
      </c>
      <c r="D60" s="515"/>
      <c r="E60" s="512"/>
      <c r="F60" s="208" t="s">
        <v>50</v>
      </c>
      <c r="G60" s="208" t="s">
        <v>15</v>
      </c>
      <c r="H60" s="208" t="s">
        <v>50</v>
      </c>
      <c r="I60" s="208" t="s">
        <v>15</v>
      </c>
      <c r="J60" s="208" t="s">
        <v>50</v>
      </c>
      <c r="K60" s="208" t="s">
        <v>15</v>
      </c>
      <c r="L60" s="208" t="s">
        <v>50</v>
      </c>
      <c r="M60" s="270" t="s">
        <v>15</v>
      </c>
    </row>
    <row r="61" spans="1:13" ht="15.75" customHeight="1">
      <c r="A61" s="271" t="s">
        <v>386</v>
      </c>
      <c r="B61" s="272">
        <v>10199.575000000004</v>
      </c>
      <c r="C61" s="176">
        <f>B61/$B$57</f>
        <v>2.1089652644116832E-4</v>
      </c>
      <c r="D61" s="515"/>
      <c r="E61" s="174" t="s">
        <v>386</v>
      </c>
      <c r="F61" s="273">
        <v>0</v>
      </c>
      <c r="G61" s="178">
        <f>IFERROR(F61/$B$9,"")</f>
        <v>0</v>
      </c>
      <c r="H61" s="273">
        <v>277.08100000000002</v>
      </c>
      <c r="I61" s="178">
        <f t="shared" ref="I61" si="15">IFERROR(H61/$B$9,"")</f>
        <v>1.5176021884327349E-2</v>
      </c>
      <c r="J61" s="273">
        <v>1993.0930000000003</v>
      </c>
      <c r="K61" s="178">
        <f t="shared" ref="K61" si="16">IFERROR(J61/$B$9,"")</f>
        <v>0.10916382929720786</v>
      </c>
      <c r="L61" s="273">
        <v>5007.6209999999992</v>
      </c>
      <c r="M61" s="274">
        <f>IFERROR(L61/$B$9,"")</f>
        <v>0.27427274293227322</v>
      </c>
    </row>
    <row r="62" spans="1:13" ht="15.75" customHeight="1">
      <c r="A62" s="275" t="s">
        <v>387</v>
      </c>
      <c r="B62" s="276">
        <v>38331.075293114794</v>
      </c>
      <c r="C62" s="176">
        <f>B62/$B$57</f>
        <v>7.9257132126316966E-4</v>
      </c>
      <c r="D62" s="515"/>
      <c r="E62" s="179" t="s">
        <v>387</v>
      </c>
      <c r="F62" s="273">
        <v>0</v>
      </c>
      <c r="G62" s="178">
        <f>IFERROR(F62/$B$62,"")</f>
        <v>0</v>
      </c>
      <c r="H62" s="273">
        <v>1230.5148299999994</v>
      </c>
      <c r="I62" s="178">
        <f>IFERROR(H62/$B$62,"")</f>
        <v>3.210227786698773E-2</v>
      </c>
      <c r="J62" s="273">
        <v>1139.0088600000024</v>
      </c>
      <c r="K62" s="178">
        <f>IFERROR(J62/$B$62,"")</f>
        <v>2.9715024984039426E-2</v>
      </c>
      <c r="L62" s="273">
        <v>2998.8652431147748</v>
      </c>
      <c r="M62" s="274">
        <f>IFERROR(L62/$B$62,"")</f>
        <v>7.8235875727009532E-2</v>
      </c>
    </row>
    <row r="63" spans="1:13" ht="15.75" customHeight="1">
      <c r="A63" s="277"/>
      <c r="D63" s="515"/>
      <c r="E63" s="512" t="s">
        <v>105</v>
      </c>
      <c r="F63" s="520">
        <v>5</v>
      </c>
      <c r="G63" s="521"/>
      <c r="H63" s="520">
        <v>6</v>
      </c>
      <c r="I63" s="521"/>
      <c r="J63" s="520">
        <v>7</v>
      </c>
      <c r="K63" s="521"/>
      <c r="L63" s="522">
        <v>8</v>
      </c>
      <c r="M63" s="523"/>
    </row>
    <row r="64" spans="1:13" ht="15.75" customHeight="1">
      <c r="A64" s="277"/>
      <c r="D64" s="515"/>
      <c r="E64" s="512"/>
      <c r="F64" s="524" t="s">
        <v>388</v>
      </c>
      <c r="G64" s="525"/>
      <c r="H64" s="524" t="s">
        <v>389</v>
      </c>
      <c r="I64" s="525"/>
      <c r="J64" s="524" t="s">
        <v>390</v>
      </c>
      <c r="K64" s="525"/>
      <c r="L64" s="526" t="s">
        <v>391</v>
      </c>
      <c r="M64" s="527"/>
    </row>
    <row r="65" spans="1:13" ht="15.75" customHeight="1">
      <c r="A65" s="277"/>
      <c r="D65" s="515"/>
      <c r="E65" s="512"/>
      <c r="F65" s="208" t="s">
        <v>50</v>
      </c>
      <c r="G65" s="208" t="s">
        <v>15</v>
      </c>
      <c r="H65" s="208" t="s">
        <v>50</v>
      </c>
      <c r="I65" s="208" t="s">
        <v>15</v>
      </c>
      <c r="J65" s="208" t="s">
        <v>50</v>
      </c>
      <c r="K65" s="208" t="s">
        <v>15</v>
      </c>
      <c r="L65" s="208" t="s">
        <v>50</v>
      </c>
      <c r="M65" s="270" t="s">
        <v>15</v>
      </c>
    </row>
    <row r="66" spans="1:13" ht="15.75" customHeight="1">
      <c r="A66" s="277"/>
      <c r="D66" s="515"/>
      <c r="E66" s="174" t="s">
        <v>386</v>
      </c>
      <c r="F66" s="273">
        <v>1790.1419999999998</v>
      </c>
      <c r="G66" s="178">
        <f>IFERROR(F66/$B$9,"")</f>
        <v>9.8047986574516216E-2</v>
      </c>
      <c r="H66" s="273">
        <v>1131.6379999999999</v>
      </c>
      <c r="I66" s="178">
        <f t="shared" ref="I66" si="17">IFERROR(H66/$B$9,"")</f>
        <v>6.1981020182316472E-2</v>
      </c>
      <c r="J66" s="273">
        <v>0</v>
      </c>
      <c r="K66" s="178">
        <f t="shared" ref="K66" si="18">IFERROR(J66/$B$9,"")</f>
        <v>0</v>
      </c>
      <c r="L66" s="273">
        <v>0</v>
      </c>
      <c r="M66" s="274">
        <f t="shared" ref="M66" si="19">IFERROR(L66/$B$9,"")</f>
        <v>0</v>
      </c>
    </row>
    <row r="67" spans="1:13" ht="15.75" customHeight="1" thickBot="1">
      <c r="A67" s="278"/>
      <c r="B67" s="279"/>
      <c r="C67" s="279"/>
      <c r="D67" s="534"/>
      <c r="E67" s="280" t="s">
        <v>387</v>
      </c>
      <c r="F67" s="281">
        <v>27345.851710000003</v>
      </c>
      <c r="G67" s="282">
        <f>IFERROR(F67/$B$62,"")</f>
        <v>0.71341206842981497</v>
      </c>
      <c r="H67" s="281">
        <v>5616.8346500000025</v>
      </c>
      <c r="I67" s="282">
        <f>IFERROR(H67/$B$62,"")</f>
        <v>0.14653475299214797</v>
      </c>
      <c r="J67" s="281">
        <v>0</v>
      </c>
      <c r="K67" s="282">
        <f>IFERROR(J67/$B$62,"")</f>
        <v>0</v>
      </c>
      <c r="L67" s="281">
        <v>0</v>
      </c>
      <c r="M67" s="283">
        <f>IFERROR(L67/$B$62,"")</f>
        <v>0</v>
      </c>
    </row>
    <row r="68" spans="1:13" ht="15.75" customHeight="1">
      <c r="A68" s="528" t="s">
        <v>397</v>
      </c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30"/>
    </row>
    <row r="69" spans="1:13" ht="15.75" customHeight="1">
      <c r="A69" s="531"/>
      <c r="B69" s="511"/>
      <c r="C69" s="511"/>
      <c r="D69" s="511"/>
      <c r="E69" s="511"/>
      <c r="F69" s="511"/>
      <c r="G69" s="511"/>
      <c r="H69" s="511"/>
      <c r="I69" s="511"/>
      <c r="J69" s="511"/>
      <c r="K69" s="511"/>
      <c r="L69" s="511"/>
      <c r="M69" s="532"/>
    </row>
    <row r="70" spans="1:13" ht="15.75" customHeight="1">
      <c r="A70" s="268" t="s">
        <v>381</v>
      </c>
      <c r="B70" s="173">
        <v>50470102</v>
      </c>
      <c r="M70" s="269"/>
    </row>
    <row r="71" spans="1:13" ht="15.75" customHeight="1">
      <c r="A71" s="533" t="s">
        <v>105</v>
      </c>
      <c r="B71" s="513" t="s">
        <v>47</v>
      </c>
      <c r="C71" s="513"/>
      <c r="D71" s="514"/>
      <c r="E71" s="512" t="s">
        <v>105</v>
      </c>
      <c r="F71" s="516">
        <v>1</v>
      </c>
      <c r="G71" s="516"/>
      <c r="H71" s="516">
        <v>2</v>
      </c>
      <c r="I71" s="516"/>
      <c r="J71" s="516">
        <v>3</v>
      </c>
      <c r="K71" s="516"/>
      <c r="L71" s="516">
        <v>4</v>
      </c>
      <c r="M71" s="535"/>
    </row>
    <row r="72" spans="1:13" ht="15.75" customHeight="1">
      <c r="A72" s="533"/>
      <c r="B72" s="513"/>
      <c r="C72" s="513"/>
      <c r="D72" s="515"/>
      <c r="E72" s="512"/>
      <c r="F72" s="518" t="s">
        <v>382</v>
      </c>
      <c r="G72" s="518"/>
      <c r="H72" s="518" t="s">
        <v>383</v>
      </c>
      <c r="I72" s="518"/>
      <c r="J72" s="518" t="s">
        <v>384</v>
      </c>
      <c r="K72" s="518"/>
      <c r="L72" s="518" t="s">
        <v>385</v>
      </c>
      <c r="M72" s="536"/>
    </row>
    <row r="73" spans="1:13" ht="15.75" customHeight="1">
      <c r="A73" s="533"/>
      <c r="B73" s="208" t="s">
        <v>50</v>
      </c>
      <c r="C73" s="208" t="s">
        <v>15</v>
      </c>
      <c r="D73" s="515"/>
      <c r="E73" s="512"/>
      <c r="F73" s="208" t="s">
        <v>50</v>
      </c>
      <c r="G73" s="208" t="s">
        <v>15</v>
      </c>
      <c r="H73" s="208" t="s">
        <v>50</v>
      </c>
      <c r="I73" s="208" t="s">
        <v>15</v>
      </c>
      <c r="J73" s="208" t="s">
        <v>50</v>
      </c>
      <c r="K73" s="208" t="s">
        <v>15</v>
      </c>
      <c r="L73" s="208" t="s">
        <v>50</v>
      </c>
      <c r="M73" s="270" t="s">
        <v>15</v>
      </c>
    </row>
    <row r="74" spans="1:13" ht="15.75" customHeight="1">
      <c r="A74" s="271" t="s">
        <v>386</v>
      </c>
      <c r="B74" s="272">
        <v>11260.655999999997</v>
      </c>
      <c r="C74" s="176">
        <f>B74/$B$70</f>
        <v>2.2311538027008538E-4</v>
      </c>
      <c r="D74" s="515"/>
      <c r="E74" s="174" t="s">
        <v>386</v>
      </c>
      <c r="F74" s="273">
        <v>0</v>
      </c>
      <c r="G74" s="178">
        <f>IFERROR(F74/$B$74,"")</f>
        <v>0</v>
      </c>
      <c r="H74" s="273">
        <v>766.85</v>
      </c>
      <c r="I74" s="178">
        <f>IFERROR(H74/$B$74,"")</f>
        <v>6.809994018110492E-2</v>
      </c>
      <c r="J74" s="273">
        <v>2647.3230000000008</v>
      </c>
      <c r="K74" s="178">
        <f>IFERROR(J74/$B$74,"")</f>
        <v>0.23509491809358188</v>
      </c>
      <c r="L74" s="273">
        <v>4766.7250000000004</v>
      </c>
      <c r="M74" s="274">
        <f>IFERROR(L74/$B$74,"")</f>
        <v>0.42330793161606228</v>
      </c>
    </row>
    <row r="75" spans="1:13" ht="15.75" customHeight="1">
      <c r="A75" s="275" t="s">
        <v>387</v>
      </c>
      <c r="B75" s="276">
        <v>30667.696349999991</v>
      </c>
      <c r="C75" s="176">
        <f>B75/$B$70</f>
        <v>6.0764086329764084E-4</v>
      </c>
      <c r="D75" s="515"/>
      <c r="E75" s="179" t="s">
        <v>387</v>
      </c>
      <c r="F75" s="273">
        <v>0</v>
      </c>
      <c r="G75" s="178">
        <f>IFERROR(F75/$B$75,"")</f>
        <v>0</v>
      </c>
      <c r="H75" s="273">
        <v>264.93571999999978</v>
      </c>
      <c r="I75" s="178">
        <f>IFERROR(H75/$B$75,"")</f>
        <v>8.6389181951059667E-3</v>
      </c>
      <c r="J75" s="273">
        <v>1098.7587799999997</v>
      </c>
      <c r="K75" s="178">
        <f>IFERROR(J75/$B$75,"")</f>
        <v>3.5827887672430274E-2</v>
      </c>
      <c r="L75" s="273">
        <v>2446.1784400000056</v>
      </c>
      <c r="M75" s="274">
        <f>IFERROR(L75/$B$75,"")</f>
        <v>7.9764010054182183E-2</v>
      </c>
    </row>
    <row r="76" spans="1:13" ht="15.75" customHeight="1">
      <c r="A76" s="277"/>
      <c r="D76" s="515"/>
      <c r="E76" s="512" t="s">
        <v>105</v>
      </c>
      <c r="F76" s="520">
        <v>5</v>
      </c>
      <c r="G76" s="521"/>
      <c r="H76" s="520">
        <v>6</v>
      </c>
      <c r="I76" s="521"/>
      <c r="J76" s="520">
        <v>7</v>
      </c>
      <c r="K76" s="521"/>
      <c r="L76" s="522">
        <v>8</v>
      </c>
      <c r="M76" s="523"/>
    </row>
    <row r="77" spans="1:13" ht="15.75" customHeight="1">
      <c r="A77" s="277"/>
      <c r="D77" s="515"/>
      <c r="E77" s="512"/>
      <c r="F77" s="524" t="s">
        <v>388</v>
      </c>
      <c r="G77" s="525"/>
      <c r="H77" s="524" t="s">
        <v>389</v>
      </c>
      <c r="I77" s="525"/>
      <c r="J77" s="524" t="s">
        <v>390</v>
      </c>
      <c r="K77" s="525"/>
      <c r="L77" s="526" t="s">
        <v>391</v>
      </c>
      <c r="M77" s="527"/>
    </row>
    <row r="78" spans="1:13" ht="15.75" customHeight="1">
      <c r="A78" s="277"/>
      <c r="D78" s="515"/>
      <c r="E78" s="512"/>
      <c r="F78" s="208" t="s">
        <v>50</v>
      </c>
      <c r="G78" s="208" t="s">
        <v>15</v>
      </c>
      <c r="H78" s="208" t="s">
        <v>50</v>
      </c>
      <c r="I78" s="208" t="s">
        <v>15</v>
      </c>
      <c r="J78" s="208" t="s">
        <v>50</v>
      </c>
      <c r="K78" s="208" t="s">
        <v>15</v>
      </c>
      <c r="L78" s="208" t="s">
        <v>50</v>
      </c>
      <c r="M78" s="270" t="s">
        <v>15</v>
      </c>
    </row>
    <row r="79" spans="1:13" ht="15.75" customHeight="1">
      <c r="A79" s="277"/>
      <c r="D79" s="515"/>
      <c r="E79" s="174" t="s">
        <v>386</v>
      </c>
      <c r="F79" s="273">
        <v>2196.7870000000003</v>
      </c>
      <c r="G79" s="178">
        <f>IFERROR(F79/$B$74,"")</f>
        <v>0.1950851708816965</v>
      </c>
      <c r="H79" s="273">
        <v>882.97099999999989</v>
      </c>
      <c r="I79" s="178">
        <f>IFERROR(H79/$B$74,"")</f>
        <v>7.8412039227554783E-2</v>
      </c>
      <c r="J79" s="273">
        <v>0</v>
      </c>
      <c r="K79" s="178">
        <f>IFERROR(J79/$B$74,"")</f>
        <v>0</v>
      </c>
      <c r="L79" s="273">
        <v>0</v>
      </c>
      <c r="M79" s="274">
        <f>IFERROR(L79/$B$74,"")</f>
        <v>0</v>
      </c>
    </row>
    <row r="80" spans="1:13" ht="15.75" customHeight="1" thickBot="1">
      <c r="A80" s="278"/>
      <c r="B80" s="279"/>
      <c r="C80" s="279"/>
      <c r="D80" s="534"/>
      <c r="E80" s="280" t="s">
        <v>387</v>
      </c>
      <c r="F80" s="281">
        <v>21773.092659999995</v>
      </c>
      <c r="G80" s="282">
        <f>IFERROR(F80/$B$75,"")</f>
        <v>0.70996831361283519</v>
      </c>
      <c r="H80" s="281">
        <v>5084.7307499999924</v>
      </c>
      <c r="I80" s="282">
        <f>IFERROR(H80/$B$75,"")</f>
        <v>0.16580087046544642</v>
      </c>
      <c r="J80" s="281">
        <v>0</v>
      </c>
      <c r="K80" s="282">
        <f>IFERROR(J80/$B$75,"")</f>
        <v>0</v>
      </c>
      <c r="L80" s="281">
        <v>0</v>
      </c>
      <c r="M80" s="283">
        <f>IFERROR(L80/$B$75,"")</f>
        <v>0</v>
      </c>
    </row>
  </sheetData>
  <mergeCells count="133"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Q30"/>
  <sheetViews>
    <sheetView view="pageBreakPreview" zoomScale="115" zoomScaleNormal="60" zoomScaleSheetLayoutView="115" workbookViewId="0">
      <selection activeCell="V30" sqref="V30"/>
    </sheetView>
  </sheetViews>
  <sheetFormatPr defaultColWidth="12.5703125" defaultRowHeight="15.75" customHeight="1"/>
  <cols>
    <col min="1" max="1" width="5.42578125" style="115" customWidth="1"/>
    <col min="2" max="2" width="11.42578125" style="163" customWidth="1"/>
    <col min="3" max="3" width="4" style="149" customWidth="1"/>
    <col min="4" max="17" width="9.5703125" style="115" customWidth="1"/>
    <col min="18" max="16384" width="12.5703125" style="115"/>
  </cols>
  <sheetData>
    <row r="1" spans="1:17" ht="15.75" customHeight="1">
      <c r="A1" s="359" t="s">
        <v>325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</row>
    <row r="2" spans="1:17" s="116" customFormat="1" ht="15.75" customHeight="1">
      <c r="A2" s="359"/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</row>
    <row r="3" spans="1:17" ht="15.75" customHeight="1">
      <c r="A3" s="436" t="s">
        <v>398</v>
      </c>
      <c r="B3" s="437"/>
      <c r="C3" s="437"/>
      <c r="D3" s="437"/>
      <c r="E3" s="437"/>
      <c r="F3" s="437"/>
      <c r="G3" s="437"/>
      <c r="H3" s="437"/>
      <c r="I3" s="437"/>
      <c r="J3" s="437"/>
      <c r="K3" s="437"/>
      <c r="L3" s="437"/>
      <c r="M3" s="437"/>
    </row>
    <row r="4" spans="1:17" s="116" customFormat="1" ht="15.75" customHeight="1">
      <c r="A4" s="437"/>
      <c r="B4" s="437"/>
      <c r="C4" s="437"/>
      <c r="D4" s="437"/>
      <c r="E4" s="437"/>
      <c r="F4" s="437"/>
      <c r="G4" s="437"/>
      <c r="H4" s="437"/>
      <c r="I4" s="437"/>
      <c r="J4" s="437"/>
      <c r="K4" s="437"/>
      <c r="L4" s="437"/>
      <c r="M4" s="437"/>
    </row>
    <row r="5" spans="1:17" ht="15.75" customHeight="1">
      <c r="A5" s="382" t="s">
        <v>399</v>
      </c>
      <c r="B5" s="542">
        <v>1</v>
      </c>
      <c r="C5" s="542"/>
      <c r="D5" s="542">
        <v>2</v>
      </c>
      <c r="E5" s="542"/>
      <c r="F5" s="542">
        <v>3</v>
      </c>
      <c r="G5" s="542"/>
      <c r="H5" s="444">
        <v>4</v>
      </c>
      <c r="I5" s="444"/>
      <c r="J5" s="444">
        <v>5</v>
      </c>
      <c r="K5" s="444"/>
      <c r="L5" s="444">
        <v>6</v>
      </c>
      <c r="M5" s="444"/>
      <c r="N5" s="444">
        <v>7</v>
      </c>
      <c r="O5" s="444"/>
      <c r="P5" s="444">
        <v>8</v>
      </c>
      <c r="Q5" s="444"/>
    </row>
    <row r="6" spans="1:17" ht="15.75" customHeight="1">
      <c r="A6" s="382"/>
      <c r="B6" s="543" t="s">
        <v>382</v>
      </c>
      <c r="C6" s="543"/>
      <c r="D6" s="543" t="s">
        <v>400</v>
      </c>
      <c r="E6" s="543"/>
      <c r="F6" s="543" t="s">
        <v>384</v>
      </c>
      <c r="G6" s="543"/>
      <c r="H6" s="382" t="s">
        <v>385</v>
      </c>
      <c r="I6" s="382"/>
      <c r="J6" s="382" t="s">
        <v>388</v>
      </c>
      <c r="K6" s="382"/>
      <c r="L6" s="382" t="s">
        <v>389</v>
      </c>
      <c r="M6" s="382"/>
      <c r="N6" s="382" t="s">
        <v>390</v>
      </c>
      <c r="O6" s="382"/>
      <c r="P6" s="541" t="s">
        <v>401</v>
      </c>
      <c r="Q6" s="382"/>
    </row>
    <row r="8" spans="1:17" s="122" customFormat="1" ht="15.75" customHeight="1">
      <c r="A8" s="444" t="s">
        <v>399</v>
      </c>
      <c r="B8" s="444"/>
      <c r="C8" s="315" t="s">
        <v>52</v>
      </c>
      <c r="D8" s="551" t="s">
        <v>53</v>
      </c>
      <c r="E8" s="552"/>
      <c r="F8" s="553"/>
      <c r="G8" s="313" t="s">
        <v>62</v>
      </c>
      <c r="H8" s="314"/>
      <c r="I8" s="315"/>
      <c r="J8" s="158" t="s">
        <v>63</v>
      </c>
      <c r="K8" s="158" t="s">
        <v>27</v>
      </c>
      <c r="L8" s="158" t="s">
        <v>64</v>
      </c>
      <c r="M8" s="158" t="s">
        <v>50</v>
      </c>
      <c r="N8" s="158" t="s">
        <v>402</v>
      </c>
      <c r="O8" s="547" t="s">
        <v>58</v>
      </c>
      <c r="P8" s="548"/>
    </row>
    <row r="9" spans="1:17" ht="15.75" customHeight="1">
      <c r="A9" s="444">
        <v>1</v>
      </c>
      <c r="B9" s="550" t="s">
        <v>403</v>
      </c>
      <c r="C9" s="159">
        <v>1</v>
      </c>
      <c r="D9" s="337">
        <v>0</v>
      </c>
      <c r="E9" s="545"/>
      <c r="F9" s="546"/>
      <c r="G9" s="337">
        <v>0</v>
      </c>
      <c r="H9" s="545"/>
      <c r="I9" s="546"/>
      <c r="J9" s="4">
        <v>0</v>
      </c>
      <c r="K9" s="14">
        <v>0</v>
      </c>
      <c r="L9" s="4">
        <v>0</v>
      </c>
      <c r="M9" s="16">
        <v>0</v>
      </c>
      <c r="N9" s="160"/>
      <c r="O9" s="539"/>
      <c r="P9" s="540"/>
    </row>
    <row r="10" spans="1:17" ht="15.75" customHeight="1">
      <c r="A10" s="444"/>
      <c r="B10" s="550"/>
      <c r="C10" s="159">
        <v>2</v>
      </c>
      <c r="D10" s="337">
        <v>0</v>
      </c>
      <c r="E10" s="545"/>
      <c r="F10" s="546"/>
      <c r="G10" s="337">
        <v>0</v>
      </c>
      <c r="H10" s="545"/>
      <c r="I10" s="546"/>
      <c r="J10" s="4">
        <v>0</v>
      </c>
      <c r="K10" s="14">
        <v>0</v>
      </c>
      <c r="L10" s="4">
        <v>0</v>
      </c>
      <c r="M10" s="16">
        <v>0</v>
      </c>
      <c r="N10" s="160"/>
      <c r="O10" s="539"/>
      <c r="P10" s="549"/>
    </row>
    <row r="11" spans="1:17" ht="15.75" customHeight="1">
      <c r="A11" s="444"/>
      <c r="B11" s="550"/>
      <c r="C11" s="159">
        <v>3</v>
      </c>
      <c r="D11" s="337">
        <v>0</v>
      </c>
      <c r="E11" s="545"/>
      <c r="F11" s="546"/>
      <c r="G11" s="337">
        <v>0</v>
      </c>
      <c r="H11" s="545"/>
      <c r="I11" s="546"/>
      <c r="J11" s="4">
        <v>0</v>
      </c>
      <c r="K11" s="14">
        <v>0</v>
      </c>
      <c r="L11" s="4">
        <v>0</v>
      </c>
      <c r="M11" s="16">
        <v>0</v>
      </c>
      <c r="N11" s="160"/>
      <c r="O11" s="539"/>
      <c r="P11" s="540"/>
    </row>
    <row r="12" spans="1:17" ht="15.75" customHeight="1">
      <c r="A12" s="444"/>
      <c r="B12" s="550"/>
      <c r="C12" s="159">
        <v>4</v>
      </c>
      <c r="D12" s="337">
        <v>0</v>
      </c>
      <c r="E12" s="545"/>
      <c r="F12" s="546"/>
      <c r="G12" s="337">
        <v>0</v>
      </c>
      <c r="H12" s="545"/>
      <c r="I12" s="546"/>
      <c r="J12" s="4">
        <v>0</v>
      </c>
      <c r="K12" s="14">
        <v>0</v>
      </c>
      <c r="L12" s="4">
        <v>0</v>
      </c>
      <c r="M12" s="16">
        <v>0</v>
      </c>
      <c r="N12" s="160"/>
      <c r="O12" s="539"/>
      <c r="P12" s="540"/>
    </row>
    <row r="13" spans="1:17" ht="15.75" customHeight="1">
      <c r="A13" s="444"/>
      <c r="B13" s="550"/>
      <c r="C13" s="161">
        <v>5</v>
      </c>
      <c r="D13" s="337">
        <v>0</v>
      </c>
      <c r="E13" s="545"/>
      <c r="F13" s="546"/>
      <c r="G13" s="337">
        <v>0</v>
      </c>
      <c r="H13" s="545"/>
      <c r="I13" s="546"/>
      <c r="J13" s="4">
        <v>0</v>
      </c>
      <c r="K13" s="14">
        <v>0</v>
      </c>
      <c r="L13" s="4">
        <v>0</v>
      </c>
      <c r="M13" s="16">
        <v>0</v>
      </c>
      <c r="N13" s="162"/>
      <c r="O13" s="539"/>
      <c r="P13" s="540"/>
    </row>
    <row r="14" spans="1:17" ht="15.75" customHeight="1">
      <c r="A14" s="444"/>
      <c r="B14" s="550"/>
      <c r="C14" s="554"/>
      <c r="D14" s="554"/>
      <c r="E14" s="554"/>
      <c r="F14" s="554"/>
      <c r="G14" s="554"/>
      <c r="H14" s="554"/>
      <c r="I14" s="554"/>
      <c r="J14" s="312" t="s">
        <v>73</v>
      </c>
      <c r="K14" s="249">
        <v>0</v>
      </c>
      <c r="L14" s="312" t="s">
        <v>74</v>
      </c>
      <c r="M14" s="267">
        <v>0</v>
      </c>
      <c r="N14" s="544"/>
      <c r="O14" s="544"/>
      <c r="P14" s="544"/>
    </row>
    <row r="16" spans="1:17" ht="15.75" customHeight="1">
      <c r="A16" s="444" t="s">
        <v>399</v>
      </c>
      <c r="B16" s="444"/>
      <c r="C16" s="315" t="s">
        <v>52</v>
      </c>
      <c r="D16" s="551" t="s">
        <v>53</v>
      </c>
      <c r="E16" s="552"/>
      <c r="F16" s="553"/>
      <c r="G16" s="313" t="s">
        <v>62</v>
      </c>
      <c r="H16" s="314"/>
      <c r="I16" s="315"/>
      <c r="J16" s="158" t="s">
        <v>63</v>
      </c>
      <c r="K16" s="158" t="s">
        <v>27</v>
      </c>
      <c r="L16" s="158" t="s">
        <v>64</v>
      </c>
      <c r="M16" s="158" t="s">
        <v>50</v>
      </c>
      <c r="N16" s="158" t="s">
        <v>402</v>
      </c>
      <c r="O16" s="547" t="s">
        <v>58</v>
      </c>
      <c r="P16" s="548"/>
    </row>
    <row r="17" spans="1:16" ht="15.75" customHeight="1">
      <c r="A17" s="444">
        <v>2</v>
      </c>
      <c r="B17" s="550" t="s">
        <v>404</v>
      </c>
      <c r="C17" s="159">
        <v>1</v>
      </c>
      <c r="D17" s="337" t="s">
        <v>297</v>
      </c>
      <c r="E17" s="545"/>
      <c r="F17" s="546"/>
      <c r="G17" s="337" t="s">
        <v>405</v>
      </c>
      <c r="H17" s="545"/>
      <c r="I17" s="546"/>
      <c r="J17" s="4">
        <v>121.63</v>
      </c>
      <c r="K17" s="14">
        <v>5.2946070645185687E-2</v>
      </c>
      <c r="L17" s="4">
        <v>1.4</v>
      </c>
      <c r="M17" s="16">
        <v>170.28199999999998</v>
      </c>
      <c r="N17" s="160"/>
      <c r="O17" s="539" t="s">
        <v>406</v>
      </c>
      <c r="P17" s="540"/>
    </row>
    <row r="18" spans="1:16" ht="15.75" customHeight="1">
      <c r="A18" s="444"/>
      <c r="B18" s="550"/>
      <c r="C18" s="159">
        <v>2</v>
      </c>
      <c r="D18" s="337" t="s">
        <v>286</v>
      </c>
      <c r="E18" s="545"/>
      <c r="F18" s="546"/>
      <c r="G18" s="337" t="s">
        <v>407</v>
      </c>
      <c r="H18" s="545"/>
      <c r="I18" s="546"/>
      <c r="J18" s="4">
        <v>139.33000000000001</v>
      </c>
      <c r="K18" s="14">
        <v>9.3696763202725727E-2</v>
      </c>
      <c r="L18" s="4">
        <v>1.1000000000000001</v>
      </c>
      <c r="M18" s="16">
        <v>153.26300000000003</v>
      </c>
      <c r="N18" s="160"/>
      <c r="O18" s="539" t="s">
        <v>406</v>
      </c>
      <c r="P18" s="540"/>
    </row>
    <row r="19" spans="1:16" ht="15.75" customHeight="1">
      <c r="A19" s="444"/>
      <c r="B19" s="550"/>
      <c r="C19" s="159">
        <v>3</v>
      </c>
      <c r="D19" s="337" t="s">
        <v>233</v>
      </c>
      <c r="E19" s="545"/>
      <c r="F19" s="546"/>
      <c r="G19" s="337" t="s">
        <v>408</v>
      </c>
      <c r="H19" s="545"/>
      <c r="I19" s="546"/>
      <c r="J19" s="4">
        <v>304.7</v>
      </c>
      <c r="K19" s="14">
        <v>8.3263946711074108E-2</v>
      </c>
      <c r="L19" s="4">
        <v>0.5</v>
      </c>
      <c r="M19" s="16">
        <v>152.35</v>
      </c>
      <c r="N19" s="160"/>
      <c r="O19" s="539" t="s">
        <v>409</v>
      </c>
      <c r="P19" s="540"/>
    </row>
    <row r="20" spans="1:16" ht="15.75" customHeight="1">
      <c r="A20" s="444"/>
      <c r="B20" s="550"/>
      <c r="C20" s="159">
        <v>4</v>
      </c>
      <c r="D20" s="337" t="s">
        <v>274</v>
      </c>
      <c r="E20" s="545"/>
      <c r="F20" s="546"/>
      <c r="G20" s="337" t="s">
        <v>410</v>
      </c>
      <c r="H20" s="545"/>
      <c r="I20" s="546"/>
      <c r="J20" s="4">
        <v>99.43</v>
      </c>
      <c r="K20" s="14">
        <v>7.6335877862595422E-2</v>
      </c>
      <c r="L20" s="4">
        <v>1.5</v>
      </c>
      <c r="M20" s="16">
        <v>149.14500000000001</v>
      </c>
      <c r="N20" s="160"/>
      <c r="O20" s="539" t="s">
        <v>409</v>
      </c>
      <c r="P20" s="540"/>
    </row>
    <row r="21" spans="1:16" ht="15.75" customHeight="1">
      <c r="A21" s="444"/>
      <c r="B21" s="550"/>
      <c r="C21" s="161">
        <v>5</v>
      </c>
      <c r="D21" s="337" t="s">
        <v>295</v>
      </c>
      <c r="E21" s="545"/>
      <c r="F21" s="546"/>
      <c r="G21" s="337" t="s">
        <v>411</v>
      </c>
      <c r="H21" s="545"/>
      <c r="I21" s="546"/>
      <c r="J21" s="4">
        <v>283.62</v>
      </c>
      <c r="K21" s="14">
        <v>8.8308018368067828E-2</v>
      </c>
      <c r="L21" s="4">
        <v>0.5</v>
      </c>
      <c r="M21" s="16">
        <v>141.81</v>
      </c>
      <c r="N21" s="162"/>
      <c r="O21" s="539" t="s">
        <v>409</v>
      </c>
      <c r="P21" s="540"/>
    </row>
    <row r="22" spans="1:16" ht="15.75" customHeight="1">
      <c r="A22" s="444"/>
      <c r="B22" s="550"/>
      <c r="C22" s="554"/>
      <c r="D22" s="554"/>
      <c r="E22" s="554"/>
      <c r="F22" s="554"/>
      <c r="G22" s="554"/>
      <c r="H22" s="554"/>
      <c r="I22" s="554"/>
      <c r="J22" s="312" t="s">
        <v>73</v>
      </c>
      <c r="K22" s="249">
        <v>4.2001192366118302E-2</v>
      </c>
      <c r="L22" s="312" t="s">
        <v>74</v>
      </c>
      <c r="M22" s="267">
        <v>766.84999999999991</v>
      </c>
      <c r="N22" s="544"/>
      <c r="O22" s="544"/>
      <c r="P22" s="544"/>
    </row>
    <row r="24" spans="1:16" ht="15.75" customHeight="1">
      <c r="A24" s="444" t="s">
        <v>399</v>
      </c>
      <c r="B24" s="444"/>
      <c r="C24" s="315" t="s">
        <v>52</v>
      </c>
      <c r="D24" s="551" t="s">
        <v>53</v>
      </c>
      <c r="E24" s="552"/>
      <c r="F24" s="553"/>
      <c r="G24" s="313" t="s">
        <v>62</v>
      </c>
      <c r="H24" s="314"/>
      <c r="I24" s="315"/>
      <c r="J24" s="158" t="s">
        <v>63</v>
      </c>
      <c r="K24" s="158" t="s">
        <v>27</v>
      </c>
      <c r="L24" s="158" t="s">
        <v>64</v>
      </c>
      <c r="M24" s="158" t="s">
        <v>50</v>
      </c>
      <c r="N24" s="158" t="s">
        <v>57</v>
      </c>
      <c r="O24" s="547" t="s">
        <v>58</v>
      </c>
      <c r="P24" s="548"/>
    </row>
    <row r="25" spans="1:16" ht="15.75" customHeight="1">
      <c r="A25" s="444">
        <v>3</v>
      </c>
      <c r="B25" s="550" t="s">
        <v>412</v>
      </c>
      <c r="C25" s="159">
        <v>1</v>
      </c>
      <c r="D25" s="337" t="s">
        <v>302</v>
      </c>
      <c r="E25" s="545"/>
      <c r="F25" s="546"/>
      <c r="G25" s="337" t="s">
        <v>413</v>
      </c>
      <c r="H25" s="545"/>
      <c r="I25" s="546"/>
      <c r="J25" s="4">
        <v>151.29</v>
      </c>
      <c r="K25" s="14">
        <v>3.3277870216306155E-2</v>
      </c>
      <c r="L25" s="4">
        <v>1.2</v>
      </c>
      <c r="M25" s="16">
        <v>181.54799999999997</v>
      </c>
      <c r="N25" s="160"/>
      <c r="O25" s="539" t="s">
        <v>414</v>
      </c>
      <c r="P25" s="540"/>
    </row>
    <row r="26" spans="1:16" ht="15.75" customHeight="1">
      <c r="A26" s="444"/>
      <c r="B26" s="550"/>
      <c r="C26" s="159">
        <v>2</v>
      </c>
      <c r="D26" s="337" t="s">
        <v>321</v>
      </c>
      <c r="E26" s="545"/>
      <c r="F26" s="546"/>
      <c r="G26" s="337" t="s">
        <v>415</v>
      </c>
      <c r="H26" s="545"/>
      <c r="I26" s="546"/>
      <c r="J26" s="4">
        <v>127.48</v>
      </c>
      <c r="K26" s="14">
        <v>8.8153992431350085E-3</v>
      </c>
      <c r="L26" s="4">
        <v>1.4</v>
      </c>
      <c r="M26" s="16">
        <v>178.47200000000001</v>
      </c>
      <c r="N26" s="160"/>
      <c r="O26" s="539" t="s">
        <v>414</v>
      </c>
      <c r="P26" s="540"/>
    </row>
    <row r="27" spans="1:16" ht="15.75" customHeight="1">
      <c r="A27" s="444"/>
      <c r="B27" s="550"/>
      <c r="C27" s="159">
        <v>3</v>
      </c>
      <c r="D27" s="337" t="s">
        <v>291</v>
      </c>
      <c r="E27" s="545"/>
      <c r="F27" s="546"/>
      <c r="G27" s="337" t="s">
        <v>416</v>
      </c>
      <c r="H27" s="545"/>
      <c r="I27" s="546"/>
      <c r="J27" s="4">
        <v>418.41</v>
      </c>
      <c r="K27" s="14">
        <v>2.2322674256375914E-2</v>
      </c>
      <c r="L27" s="4">
        <v>0.4</v>
      </c>
      <c r="M27" s="16">
        <v>167.36400000000003</v>
      </c>
      <c r="N27" s="160"/>
      <c r="O27" s="539" t="s">
        <v>414</v>
      </c>
      <c r="P27" s="540"/>
    </row>
    <row r="28" spans="1:16" ht="15.75" customHeight="1">
      <c r="A28" s="444"/>
      <c r="B28" s="550"/>
      <c r="C28" s="159">
        <v>4</v>
      </c>
      <c r="D28" s="337" t="s">
        <v>307</v>
      </c>
      <c r="E28" s="545"/>
      <c r="F28" s="546"/>
      <c r="G28" s="337" t="s">
        <v>417</v>
      </c>
      <c r="H28" s="545"/>
      <c r="I28" s="546"/>
      <c r="J28" s="4">
        <v>208.47</v>
      </c>
      <c r="K28" s="14">
        <v>1.4832668953369795E-2</v>
      </c>
      <c r="L28" s="4">
        <v>0.79999999999999993</v>
      </c>
      <c r="M28" s="16">
        <v>166.77599999999998</v>
      </c>
      <c r="N28" s="160"/>
      <c r="O28" s="539" t="s">
        <v>414</v>
      </c>
      <c r="P28" s="540"/>
    </row>
    <row r="29" spans="1:16" ht="15.75" customHeight="1">
      <c r="A29" s="444"/>
      <c r="B29" s="550"/>
      <c r="C29" s="161">
        <v>5</v>
      </c>
      <c r="D29" s="337" t="s">
        <v>302</v>
      </c>
      <c r="E29" s="545"/>
      <c r="F29" s="546"/>
      <c r="G29" s="337" t="s">
        <v>413</v>
      </c>
      <c r="H29" s="545"/>
      <c r="I29" s="546"/>
      <c r="J29" s="4">
        <v>151.29</v>
      </c>
      <c r="K29" s="14">
        <v>2.6455026455026457E-2</v>
      </c>
      <c r="L29" s="4">
        <v>1.1000000000000001</v>
      </c>
      <c r="M29" s="16">
        <v>166.41900000000001</v>
      </c>
      <c r="N29" s="162"/>
      <c r="O29" s="555" t="s">
        <v>418</v>
      </c>
      <c r="P29" s="556"/>
    </row>
    <row r="30" spans="1:16" ht="15.75" customHeight="1">
      <c r="A30" s="444"/>
      <c r="B30" s="550"/>
      <c r="C30" s="554"/>
      <c r="D30" s="554"/>
      <c r="E30" s="554"/>
      <c r="F30" s="554"/>
      <c r="G30" s="554"/>
      <c r="H30" s="554"/>
      <c r="I30" s="554"/>
      <c r="J30" s="312" t="s">
        <v>73</v>
      </c>
      <c r="K30" s="249">
        <v>4.7134829660613844E-2</v>
      </c>
      <c r="L30" s="312" t="s">
        <v>74</v>
      </c>
      <c r="M30" s="267">
        <v>860.57899999999995</v>
      </c>
      <c r="N30" s="544"/>
      <c r="O30" s="544"/>
      <c r="P30" s="544"/>
    </row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2" customWidth="1"/>
    <col min="2" max="2" width="11.42578125" style="106" customWidth="1"/>
    <col min="3" max="3" width="4" style="104" customWidth="1"/>
    <col min="4" max="17" width="9.5703125" style="2" customWidth="1"/>
    <col min="18" max="16384" width="12.5703125" style="2"/>
  </cols>
  <sheetData>
    <row r="1" spans="1:17" s="115" customFormat="1" ht="15.75" customHeight="1">
      <c r="A1" s="359" t="s">
        <v>325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</row>
    <row r="2" spans="1:17" s="116" customFormat="1" ht="15.75" customHeight="1">
      <c r="A2" s="359"/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</row>
    <row r="3" spans="1:17" s="115" customFormat="1" ht="15.75" customHeight="1">
      <c r="A3" s="436" t="s">
        <v>398</v>
      </c>
      <c r="B3" s="437"/>
      <c r="C3" s="437"/>
      <c r="D3" s="437"/>
      <c r="E3" s="437"/>
      <c r="F3" s="437"/>
      <c r="G3" s="437"/>
      <c r="H3" s="437"/>
      <c r="I3" s="437"/>
      <c r="J3" s="437"/>
      <c r="K3" s="437"/>
      <c r="L3" s="437"/>
      <c r="M3" s="437"/>
    </row>
    <row r="4" spans="1:17" s="116" customFormat="1" ht="15.75" customHeight="1">
      <c r="A4" s="437"/>
      <c r="B4" s="437"/>
      <c r="C4" s="437"/>
      <c r="D4" s="437"/>
      <c r="E4" s="437"/>
      <c r="F4" s="437"/>
      <c r="G4" s="437"/>
      <c r="H4" s="437"/>
      <c r="I4" s="437"/>
      <c r="J4" s="437"/>
      <c r="K4" s="437"/>
      <c r="L4" s="437"/>
      <c r="M4" s="437"/>
    </row>
    <row r="5" spans="1:17" s="115" customFormat="1" ht="15.75" customHeight="1">
      <c r="A5" s="382" t="s">
        <v>399</v>
      </c>
      <c r="B5" s="444">
        <v>1</v>
      </c>
      <c r="C5" s="444"/>
      <c r="D5" s="444">
        <v>2</v>
      </c>
      <c r="E5" s="444"/>
      <c r="F5" s="444">
        <v>3</v>
      </c>
      <c r="G5" s="444"/>
      <c r="H5" s="542">
        <v>4</v>
      </c>
      <c r="I5" s="542"/>
      <c r="J5" s="542">
        <v>5</v>
      </c>
      <c r="K5" s="542"/>
      <c r="L5" s="542">
        <v>6</v>
      </c>
      <c r="M5" s="542"/>
      <c r="N5" s="542">
        <v>7</v>
      </c>
      <c r="O5" s="542"/>
      <c r="P5" s="444">
        <v>8</v>
      </c>
      <c r="Q5" s="444"/>
    </row>
    <row r="6" spans="1:17" s="115" customFormat="1" ht="15.75" customHeight="1">
      <c r="A6" s="382"/>
      <c r="B6" s="382" t="s">
        <v>382</v>
      </c>
      <c r="C6" s="382"/>
      <c r="D6" s="382" t="s">
        <v>400</v>
      </c>
      <c r="E6" s="382"/>
      <c r="F6" s="382" t="s">
        <v>384</v>
      </c>
      <c r="G6" s="382"/>
      <c r="H6" s="543" t="s">
        <v>385</v>
      </c>
      <c r="I6" s="543"/>
      <c r="J6" s="543" t="s">
        <v>388</v>
      </c>
      <c r="K6" s="543"/>
      <c r="L6" s="543" t="s">
        <v>389</v>
      </c>
      <c r="M6" s="543"/>
      <c r="N6" s="543" t="s">
        <v>390</v>
      </c>
      <c r="O6" s="543"/>
      <c r="P6" s="541" t="s">
        <v>401</v>
      </c>
      <c r="Q6" s="382"/>
    </row>
    <row r="7" spans="1:17" s="115" customFormat="1" ht="15.75" customHeight="1">
      <c r="B7" s="163"/>
      <c r="C7" s="149"/>
    </row>
    <row r="8" spans="1:17" s="105" customFormat="1" ht="15.75" customHeight="1">
      <c r="A8" s="558" t="s">
        <v>399</v>
      </c>
      <c r="B8" s="559"/>
      <c r="C8" s="112" t="s">
        <v>52</v>
      </c>
      <c r="D8" s="560" t="s">
        <v>53</v>
      </c>
      <c r="E8" s="561"/>
      <c r="F8" s="562"/>
      <c r="G8" s="110" t="s">
        <v>62</v>
      </c>
      <c r="H8" s="111"/>
      <c r="I8" s="112"/>
      <c r="J8" s="109" t="s">
        <v>63</v>
      </c>
      <c r="K8" s="109" t="s">
        <v>27</v>
      </c>
      <c r="L8" s="109" t="s">
        <v>64</v>
      </c>
      <c r="M8" s="113" t="s">
        <v>50</v>
      </c>
      <c r="N8" s="113" t="s">
        <v>402</v>
      </c>
      <c r="O8" s="563" t="s">
        <v>58</v>
      </c>
      <c r="P8" s="564"/>
    </row>
    <row r="9" spans="1:17" ht="15.75" customHeight="1">
      <c r="A9" s="559">
        <v>4</v>
      </c>
      <c r="B9" s="565" t="s">
        <v>419</v>
      </c>
      <c r="C9" s="107">
        <v>1</v>
      </c>
      <c r="D9" s="337" t="s">
        <v>420</v>
      </c>
      <c r="E9" s="545"/>
      <c r="F9" s="546"/>
      <c r="G9" s="337" t="s">
        <v>421</v>
      </c>
      <c r="H9" s="545"/>
      <c r="I9" s="546"/>
      <c r="J9" s="4">
        <v>169.36</v>
      </c>
      <c r="K9" s="14">
        <v>2.1886148256768288E-2</v>
      </c>
      <c r="L9" s="4">
        <v>0.99999999999999989</v>
      </c>
      <c r="M9" s="16">
        <v>169.35999999999999</v>
      </c>
      <c r="N9" s="4"/>
      <c r="O9" s="539" t="s">
        <v>422</v>
      </c>
      <c r="P9" s="549"/>
    </row>
    <row r="10" spans="1:17" ht="15.75" customHeight="1">
      <c r="A10" s="559"/>
      <c r="B10" s="565"/>
      <c r="C10" s="107">
        <v>2</v>
      </c>
      <c r="D10" s="337" t="s">
        <v>307</v>
      </c>
      <c r="E10" s="545"/>
      <c r="F10" s="546"/>
      <c r="G10" s="337" t="s">
        <v>423</v>
      </c>
      <c r="H10" s="545"/>
      <c r="I10" s="546"/>
      <c r="J10" s="4">
        <v>76.34</v>
      </c>
      <c r="K10" s="14">
        <v>2.1048603138155389E-2</v>
      </c>
      <c r="L10" s="4">
        <v>2.2000000000000011</v>
      </c>
      <c r="M10" s="16">
        <v>167.94800000000009</v>
      </c>
      <c r="N10" s="4"/>
      <c r="O10" s="539" t="s">
        <v>424</v>
      </c>
      <c r="P10" s="549"/>
    </row>
    <row r="11" spans="1:17" ht="15.75" customHeight="1">
      <c r="A11" s="559"/>
      <c r="B11" s="565"/>
      <c r="C11" s="107">
        <v>3</v>
      </c>
      <c r="D11" s="337" t="s">
        <v>291</v>
      </c>
      <c r="E11" s="545"/>
      <c r="F11" s="546"/>
      <c r="G11" s="337" t="s">
        <v>416</v>
      </c>
      <c r="H11" s="545"/>
      <c r="I11" s="546"/>
      <c r="J11" s="4">
        <v>418.41</v>
      </c>
      <c r="K11" s="14">
        <v>2.2933149868134391E-2</v>
      </c>
      <c r="L11" s="4">
        <v>0.4</v>
      </c>
      <c r="M11" s="16">
        <v>167.36400000000003</v>
      </c>
      <c r="N11" s="4"/>
      <c r="O11" s="539" t="s">
        <v>422</v>
      </c>
      <c r="P11" s="549"/>
    </row>
    <row r="12" spans="1:17" ht="15.75" customHeight="1">
      <c r="A12" s="559"/>
      <c r="B12" s="565"/>
      <c r="C12" s="107">
        <v>4</v>
      </c>
      <c r="D12" s="337" t="s">
        <v>287</v>
      </c>
      <c r="E12" s="545"/>
      <c r="F12" s="546"/>
      <c r="G12" s="337" t="s">
        <v>425</v>
      </c>
      <c r="H12" s="545"/>
      <c r="I12" s="546"/>
      <c r="J12" s="4">
        <v>334.49</v>
      </c>
      <c r="K12" s="14">
        <v>9.4314709322065871E-3</v>
      </c>
      <c r="L12" s="4">
        <v>0.5</v>
      </c>
      <c r="M12" s="16">
        <v>167.245</v>
      </c>
      <c r="N12" s="4"/>
      <c r="O12" s="539" t="s">
        <v>422</v>
      </c>
      <c r="P12" s="549"/>
    </row>
    <row r="13" spans="1:17" ht="15.75" customHeight="1">
      <c r="A13" s="559"/>
      <c r="B13" s="565"/>
      <c r="C13" s="108">
        <v>5</v>
      </c>
      <c r="D13" s="337" t="s">
        <v>321</v>
      </c>
      <c r="E13" s="545"/>
      <c r="F13" s="546"/>
      <c r="G13" s="337" t="s">
        <v>415</v>
      </c>
      <c r="H13" s="545"/>
      <c r="I13" s="546"/>
      <c r="J13" s="4">
        <v>127.48</v>
      </c>
      <c r="K13" s="14">
        <v>8.5237517621217593E-3</v>
      </c>
      <c r="L13" s="4">
        <v>1.3</v>
      </c>
      <c r="M13" s="16">
        <v>165.72400000000002</v>
      </c>
      <c r="N13" s="27"/>
      <c r="O13" s="539" t="s">
        <v>422</v>
      </c>
      <c r="P13" s="549"/>
    </row>
    <row r="14" spans="1:17" ht="15.75" customHeight="1">
      <c r="A14" s="559"/>
      <c r="B14" s="565"/>
      <c r="C14" s="567"/>
      <c r="D14" s="567"/>
      <c r="E14" s="567"/>
      <c r="F14" s="567"/>
      <c r="G14" s="567"/>
      <c r="H14" s="567"/>
      <c r="I14" s="567"/>
      <c r="J14" s="250" t="s">
        <v>73</v>
      </c>
      <c r="K14" s="249">
        <v>4.5878490936620872E-2</v>
      </c>
      <c r="L14" s="250" t="s">
        <v>74</v>
      </c>
      <c r="M14" s="267">
        <v>837.64100000000019</v>
      </c>
      <c r="N14" s="566"/>
      <c r="O14" s="566"/>
      <c r="P14" s="566"/>
    </row>
    <row r="16" spans="1:17" ht="15.75" customHeight="1">
      <c r="A16" s="558" t="s">
        <v>399</v>
      </c>
      <c r="B16" s="559"/>
      <c r="C16" s="112" t="s">
        <v>52</v>
      </c>
      <c r="D16" s="560" t="s">
        <v>53</v>
      </c>
      <c r="E16" s="561"/>
      <c r="F16" s="562"/>
      <c r="G16" s="110" t="s">
        <v>62</v>
      </c>
      <c r="H16" s="111"/>
      <c r="I16" s="112"/>
      <c r="J16" s="109" t="s">
        <v>63</v>
      </c>
      <c r="K16" s="109" t="s">
        <v>27</v>
      </c>
      <c r="L16" s="109" t="s">
        <v>64</v>
      </c>
      <c r="M16" s="113" t="s">
        <v>50</v>
      </c>
      <c r="N16" s="113" t="s">
        <v>402</v>
      </c>
      <c r="O16" s="563" t="s">
        <v>58</v>
      </c>
      <c r="P16" s="564"/>
    </row>
    <row r="17" spans="1:16" ht="15.75" customHeight="1">
      <c r="A17" s="559">
        <v>5</v>
      </c>
      <c r="B17" s="568" t="s">
        <v>426</v>
      </c>
      <c r="C17" s="107">
        <v>1</v>
      </c>
      <c r="D17" s="337" t="s">
        <v>245</v>
      </c>
      <c r="E17" s="545"/>
      <c r="F17" s="546"/>
      <c r="G17" s="337" t="s">
        <v>427</v>
      </c>
      <c r="H17" s="545"/>
      <c r="I17" s="546"/>
      <c r="J17" s="4">
        <v>1223.46</v>
      </c>
      <c r="K17" s="14">
        <v>6.1697926949654501E-3</v>
      </c>
      <c r="L17" s="4">
        <v>0.2</v>
      </c>
      <c r="M17" s="16">
        <v>244.69200000000001</v>
      </c>
      <c r="N17" s="4"/>
      <c r="O17" s="539" t="s">
        <v>428</v>
      </c>
      <c r="P17" s="549"/>
    </row>
    <row r="18" spans="1:16" ht="15.75" customHeight="1">
      <c r="A18" s="559"/>
      <c r="B18" s="565"/>
      <c r="C18" s="107">
        <v>2</v>
      </c>
      <c r="D18" s="337" t="s">
        <v>279</v>
      </c>
      <c r="E18" s="545"/>
      <c r="F18" s="546"/>
      <c r="G18" s="337" t="s">
        <v>429</v>
      </c>
      <c r="H18" s="545"/>
      <c r="I18" s="546"/>
      <c r="J18" s="4">
        <v>930.36</v>
      </c>
      <c r="K18" s="14">
        <v>1.6604400166044003E-2</v>
      </c>
      <c r="L18" s="4">
        <v>0.2</v>
      </c>
      <c r="M18" s="16">
        <v>186.072</v>
      </c>
      <c r="N18" s="4"/>
      <c r="O18" s="539" t="s">
        <v>430</v>
      </c>
      <c r="P18" s="549"/>
    </row>
    <row r="19" spans="1:16" ht="15.75" customHeight="1">
      <c r="A19" s="559"/>
      <c r="B19" s="565"/>
      <c r="C19" s="107">
        <v>3</v>
      </c>
      <c r="D19" s="337" t="s">
        <v>420</v>
      </c>
      <c r="E19" s="545"/>
      <c r="F19" s="546"/>
      <c r="G19" s="337" t="s">
        <v>431</v>
      </c>
      <c r="H19" s="545"/>
      <c r="I19" s="546"/>
      <c r="J19" s="4">
        <v>136.88999999999999</v>
      </c>
      <c r="K19" s="14">
        <v>3.6022455844782007E-3</v>
      </c>
      <c r="L19" s="4">
        <v>1.3</v>
      </c>
      <c r="M19" s="16">
        <v>177.95699999999999</v>
      </c>
      <c r="N19" s="4"/>
      <c r="O19" s="539" t="s">
        <v>432</v>
      </c>
      <c r="P19" s="540"/>
    </row>
    <row r="20" spans="1:16" ht="15.75" customHeight="1">
      <c r="A20" s="559"/>
      <c r="B20" s="565"/>
      <c r="C20" s="107">
        <v>4</v>
      </c>
      <c r="D20" s="337" t="s">
        <v>289</v>
      </c>
      <c r="E20" s="545"/>
      <c r="F20" s="546"/>
      <c r="G20" s="337" t="s">
        <v>433</v>
      </c>
      <c r="H20" s="545"/>
      <c r="I20" s="546"/>
      <c r="J20" s="4">
        <v>330.54</v>
      </c>
      <c r="K20" s="14">
        <v>7.0340306402374691E-3</v>
      </c>
      <c r="L20" s="4">
        <v>0.5</v>
      </c>
      <c r="M20" s="16">
        <v>165.27</v>
      </c>
      <c r="N20" s="4"/>
      <c r="O20" s="539" t="s">
        <v>434</v>
      </c>
      <c r="P20" s="540"/>
    </row>
    <row r="21" spans="1:16" ht="15.75" customHeight="1" thickBot="1">
      <c r="A21" s="559"/>
      <c r="B21" s="565"/>
      <c r="C21" s="108">
        <v>5</v>
      </c>
      <c r="D21" s="337" t="s">
        <v>276</v>
      </c>
      <c r="E21" s="545"/>
      <c r="F21" s="546"/>
      <c r="G21" s="337" t="s">
        <v>435</v>
      </c>
      <c r="H21" s="545"/>
      <c r="I21" s="546"/>
      <c r="J21" s="4">
        <v>273.68</v>
      </c>
      <c r="K21" s="14">
        <v>1.2513034410844628E-2</v>
      </c>
      <c r="L21" s="4">
        <v>0.6</v>
      </c>
      <c r="M21" s="16">
        <v>164.208</v>
      </c>
      <c r="N21" s="4"/>
      <c r="O21" s="539" t="s">
        <v>434</v>
      </c>
      <c r="P21" s="540"/>
    </row>
    <row r="22" spans="1:16" ht="15.75" customHeight="1" thickTop="1" thickBot="1">
      <c r="A22" s="559"/>
      <c r="B22" s="565"/>
      <c r="C22" s="572"/>
      <c r="D22" s="572"/>
      <c r="E22" s="572"/>
      <c r="F22" s="572"/>
      <c r="G22" s="572"/>
      <c r="H22" s="572"/>
      <c r="I22" s="573"/>
      <c r="J22" s="114" t="s">
        <v>73</v>
      </c>
      <c r="K22" s="249">
        <v>5.1386159844428285E-2</v>
      </c>
      <c r="L22" s="114" t="s">
        <v>74</v>
      </c>
      <c r="M22" s="251">
        <v>938.19899999999996</v>
      </c>
      <c r="N22" s="569"/>
      <c r="O22" s="570"/>
      <c r="P22" s="571"/>
    </row>
    <row r="23" spans="1:16" ht="15.75" customHeight="1" thickTop="1"/>
    <row r="24" spans="1:16" ht="15.75" customHeight="1">
      <c r="A24" s="558" t="s">
        <v>399</v>
      </c>
      <c r="B24" s="559"/>
      <c r="C24" s="112" t="s">
        <v>52</v>
      </c>
      <c r="D24" s="560" t="s">
        <v>53</v>
      </c>
      <c r="E24" s="561"/>
      <c r="F24" s="562"/>
      <c r="G24" s="110" t="s">
        <v>62</v>
      </c>
      <c r="H24" s="111"/>
      <c r="I24" s="112"/>
      <c r="J24" s="109" t="s">
        <v>63</v>
      </c>
      <c r="K24" s="109" t="s">
        <v>27</v>
      </c>
      <c r="L24" s="109" t="s">
        <v>64</v>
      </c>
      <c r="M24" s="113" t="s">
        <v>50</v>
      </c>
      <c r="N24" s="113" t="s">
        <v>57</v>
      </c>
      <c r="O24" s="563" t="s">
        <v>58</v>
      </c>
      <c r="P24" s="564"/>
    </row>
    <row r="25" spans="1:16" ht="15.75" customHeight="1">
      <c r="A25" s="559">
        <v>6</v>
      </c>
      <c r="B25" s="568" t="s">
        <v>436</v>
      </c>
      <c r="C25" s="107">
        <v>1</v>
      </c>
      <c r="D25" s="337" t="s">
        <v>310</v>
      </c>
      <c r="E25" s="545"/>
      <c r="F25" s="546"/>
      <c r="G25" s="337" t="s">
        <v>437</v>
      </c>
      <c r="H25" s="545"/>
      <c r="I25" s="546"/>
      <c r="J25" s="4">
        <v>13.45</v>
      </c>
      <c r="K25" s="14">
        <v>1.1095700416088766E-2</v>
      </c>
      <c r="L25" s="4">
        <v>16</v>
      </c>
      <c r="M25" s="16">
        <v>215.2</v>
      </c>
      <c r="N25" s="4"/>
      <c r="O25" s="539" t="s">
        <v>438</v>
      </c>
      <c r="P25" s="549"/>
    </row>
    <row r="26" spans="1:16" ht="15.75" customHeight="1">
      <c r="A26" s="559"/>
      <c r="B26" s="565"/>
      <c r="C26" s="107">
        <v>2</v>
      </c>
      <c r="D26" s="337" t="s">
        <v>275</v>
      </c>
      <c r="E26" s="545"/>
      <c r="F26" s="546"/>
      <c r="G26" s="337" t="s">
        <v>439</v>
      </c>
      <c r="H26" s="545"/>
      <c r="I26" s="546"/>
      <c r="J26" s="4">
        <v>525.73</v>
      </c>
      <c r="K26" s="14">
        <v>1.1190689346463742E-2</v>
      </c>
      <c r="L26" s="4">
        <v>0.3</v>
      </c>
      <c r="M26" s="16">
        <v>157.71899999999999</v>
      </c>
      <c r="N26" s="4"/>
      <c r="O26" s="539" t="s">
        <v>440</v>
      </c>
      <c r="P26" s="549"/>
    </row>
    <row r="27" spans="1:16" ht="15.75" customHeight="1">
      <c r="A27" s="559"/>
      <c r="B27" s="565"/>
      <c r="C27" s="107">
        <v>3</v>
      </c>
      <c r="D27" s="337">
        <v>0</v>
      </c>
      <c r="E27" s="545"/>
      <c r="F27" s="546"/>
      <c r="G27" s="337">
        <v>0</v>
      </c>
      <c r="H27" s="545"/>
      <c r="I27" s="546"/>
      <c r="J27" s="4">
        <v>0</v>
      </c>
      <c r="K27" s="14">
        <v>0</v>
      </c>
      <c r="L27" s="4">
        <v>0</v>
      </c>
      <c r="M27" s="16">
        <v>0</v>
      </c>
      <c r="N27" s="4"/>
      <c r="O27" s="539"/>
      <c r="P27" s="549"/>
    </row>
    <row r="28" spans="1:16" ht="15.75" customHeight="1">
      <c r="A28" s="559"/>
      <c r="B28" s="565"/>
      <c r="C28" s="107">
        <v>4</v>
      </c>
      <c r="D28" s="337">
        <v>0</v>
      </c>
      <c r="E28" s="545"/>
      <c r="F28" s="546"/>
      <c r="G28" s="337">
        <v>0</v>
      </c>
      <c r="H28" s="545"/>
      <c r="I28" s="546"/>
      <c r="J28" s="4">
        <v>0</v>
      </c>
      <c r="K28" s="14">
        <v>0</v>
      </c>
      <c r="L28" s="4">
        <v>0</v>
      </c>
      <c r="M28" s="16">
        <v>0</v>
      </c>
      <c r="N28" s="4"/>
      <c r="O28" s="539"/>
      <c r="P28" s="549"/>
    </row>
    <row r="29" spans="1:16" ht="15.75" customHeight="1" thickBot="1">
      <c r="A29" s="559"/>
      <c r="B29" s="565"/>
      <c r="C29" s="108">
        <v>5</v>
      </c>
      <c r="D29" s="337">
        <v>0</v>
      </c>
      <c r="E29" s="545"/>
      <c r="F29" s="546"/>
      <c r="G29" s="337">
        <v>0</v>
      </c>
      <c r="H29" s="545"/>
      <c r="I29" s="546"/>
      <c r="J29" s="4">
        <v>0</v>
      </c>
      <c r="K29" s="14">
        <v>0</v>
      </c>
      <c r="L29" s="4">
        <v>0</v>
      </c>
      <c r="M29" s="16">
        <v>0</v>
      </c>
      <c r="N29" s="4"/>
      <c r="O29" s="557"/>
      <c r="P29" s="549"/>
    </row>
    <row r="30" spans="1:16" ht="15.75" customHeight="1" thickTop="1" thickBot="1">
      <c r="A30" s="559"/>
      <c r="B30" s="565"/>
      <c r="C30" s="572"/>
      <c r="D30" s="572"/>
      <c r="E30" s="572"/>
      <c r="F30" s="572"/>
      <c r="G30" s="572"/>
      <c r="H30" s="572"/>
      <c r="I30" s="573"/>
      <c r="J30" s="114" t="s">
        <v>73</v>
      </c>
      <c r="K30" s="249">
        <v>2.0425171358128023E-2</v>
      </c>
      <c r="L30" s="114" t="s">
        <v>74</v>
      </c>
      <c r="M30" s="251">
        <v>372.91899999999998</v>
      </c>
      <c r="N30" s="569"/>
      <c r="O30" s="570"/>
      <c r="P30" s="571"/>
    </row>
    <row r="31" spans="1:16" ht="15.75" customHeight="1" thickTop="1"/>
    <row r="32" spans="1:16" ht="15.75" customHeight="1">
      <c r="A32" s="558" t="s">
        <v>399</v>
      </c>
      <c r="B32" s="559"/>
      <c r="C32" s="112" t="s">
        <v>52</v>
      </c>
      <c r="D32" s="560" t="s">
        <v>53</v>
      </c>
      <c r="E32" s="561"/>
      <c r="F32" s="562"/>
      <c r="G32" s="110" t="s">
        <v>62</v>
      </c>
      <c r="H32" s="111"/>
      <c r="I32" s="112"/>
      <c r="J32" s="109" t="s">
        <v>63</v>
      </c>
      <c r="K32" s="109" t="s">
        <v>27</v>
      </c>
      <c r="L32" s="109" t="s">
        <v>64</v>
      </c>
      <c r="M32" s="113" t="s">
        <v>50</v>
      </c>
      <c r="N32" s="113" t="s">
        <v>57</v>
      </c>
      <c r="O32" s="563" t="s">
        <v>58</v>
      </c>
      <c r="P32" s="564"/>
    </row>
    <row r="33" spans="1:16" ht="15.75" customHeight="1">
      <c r="A33" s="559">
        <v>7</v>
      </c>
      <c r="B33" s="568" t="s">
        <v>441</v>
      </c>
      <c r="C33" s="107">
        <v>1</v>
      </c>
      <c r="D33" s="337">
        <v>0</v>
      </c>
      <c r="E33" s="545"/>
      <c r="F33" s="546"/>
      <c r="G33" s="337">
        <v>0</v>
      </c>
      <c r="H33" s="545"/>
      <c r="I33" s="546"/>
      <c r="J33" s="4">
        <v>0</v>
      </c>
      <c r="K33" s="14">
        <v>0</v>
      </c>
      <c r="L33" s="4">
        <v>0</v>
      </c>
      <c r="M33" s="16">
        <v>0</v>
      </c>
      <c r="N33" s="4"/>
      <c r="O33" s="539"/>
      <c r="P33" s="549"/>
    </row>
    <row r="34" spans="1:16" ht="15.75" customHeight="1">
      <c r="A34" s="559"/>
      <c r="B34" s="565"/>
      <c r="C34" s="107">
        <v>2</v>
      </c>
      <c r="D34" s="337">
        <v>0</v>
      </c>
      <c r="E34" s="545"/>
      <c r="F34" s="546"/>
      <c r="G34" s="337">
        <v>0</v>
      </c>
      <c r="H34" s="545"/>
      <c r="I34" s="546"/>
      <c r="J34" s="4">
        <v>0</v>
      </c>
      <c r="K34" s="14">
        <v>0</v>
      </c>
      <c r="L34" s="4">
        <v>0</v>
      </c>
      <c r="M34" s="16">
        <v>0</v>
      </c>
      <c r="N34" s="4"/>
      <c r="O34" s="539"/>
      <c r="P34" s="549"/>
    </row>
    <row r="35" spans="1:16" ht="15.75" customHeight="1">
      <c r="A35" s="559"/>
      <c r="B35" s="565"/>
      <c r="C35" s="107">
        <v>3</v>
      </c>
      <c r="D35" s="337">
        <v>0</v>
      </c>
      <c r="E35" s="545"/>
      <c r="F35" s="546"/>
      <c r="G35" s="337">
        <v>0</v>
      </c>
      <c r="H35" s="545"/>
      <c r="I35" s="546"/>
      <c r="J35" s="4">
        <v>0</v>
      </c>
      <c r="K35" s="14">
        <v>0</v>
      </c>
      <c r="L35" s="4">
        <v>0</v>
      </c>
      <c r="M35" s="16">
        <v>0</v>
      </c>
      <c r="N35" s="4"/>
      <c r="O35" s="539"/>
      <c r="P35" s="549"/>
    </row>
    <row r="36" spans="1:16" ht="15.75" customHeight="1">
      <c r="A36" s="559"/>
      <c r="B36" s="565"/>
      <c r="C36" s="107">
        <v>4</v>
      </c>
      <c r="D36" s="337">
        <v>0</v>
      </c>
      <c r="E36" s="545"/>
      <c r="F36" s="546"/>
      <c r="G36" s="337">
        <v>0</v>
      </c>
      <c r="H36" s="545"/>
      <c r="I36" s="546"/>
      <c r="J36" s="4">
        <v>0</v>
      </c>
      <c r="K36" s="14">
        <v>0</v>
      </c>
      <c r="L36" s="4">
        <v>0</v>
      </c>
      <c r="M36" s="16">
        <v>0</v>
      </c>
      <c r="N36" s="4"/>
      <c r="O36" s="539"/>
      <c r="P36" s="549"/>
    </row>
    <row r="37" spans="1:16" ht="15.75" customHeight="1" thickBot="1">
      <c r="A37" s="559"/>
      <c r="B37" s="565"/>
      <c r="C37" s="108">
        <v>5</v>
      </c>
      <c r="D37" s="337">
        <v>0</v>
      </c>
      <c r="E37" s="545"/>
      <c r="F37" s="546"/>
      <c r="G37" s="337">
        <v>0</v>
      </c>
      <c r="H37" s="545"/>
      <c r="I37" s="546"/>
      <c r="J37" s="4">
        <v>0</v>
      </c>
      <c r="K37" s="14">
        <v>0</v>
      </c>
      <c r="L37" s="4">
        <v>0</v>
      </c>
      <c r="M37" s="16">
        <v>0</v>
      </c>
      <c r="N37" s="4"/>
      <c r="O37" s="539"/>
      <c r="P37" s="549"/>
    </row>
    <row r="38" spans="1:16" ht="15.75" customHeight="1" thickTop="1" thickBot="1">
      <c r="A38" s="559"/>
      <c r="B38" s="565"/>
      <c r="C38" s="572"/>
      <c r="D38" s="572"/>
      <c r="E38" s="572"/>
      <c r="F38" s="572"/>
      <c r="G38" s="572"/>
      <c r="H38" s="572"/>
      <c r="I38" s="573"/>
      <c r="J38" s="114" t="s">
        <v>73</v>
      </c>
      <c r="K38" s="249">
        <v>0</v>
      </c>
      <c r="L38" s="114" t="s">
        <v>74</v>
      </c>
      <c r="M38" s="251">
        <v>0</v>
      </c>
      <c r="N38" s="569"/>
      <c r="O38" s="570"/>
      <c r="P38" s="571"/>
    </row>
    <row r="39" spans="1:16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11" sqref="L11"/>
    </sheetView>
  </sheetViews>
  <sheetFormatPr defaultColWidth="12.5703125" defaultRowHeight="15.75" customHeight="1"/>
  <cols>
    <col min="1" max="1" width="5.42578125" style="115" customWidth="1"/>
    <col min="2" max="2" width="7.85546875" style="164" customWidth="1"/>
    <col min="3" max="3" width="4" style="149" customWidth="1"/>
    <col min="4" max="17" width="8.5703125" style="115" customWidth="1"/>
    <col min="18" max="16384" width="12.5703125" style="115"/>
  </cols>
  <sheetData>
    <row r="1" spans="1:17" ht="15.75" customHeight="1">
      <c r="A1" s="359" t="s">
        <v>325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</row>
    <row r="2" spans="1:17" s="116" customFormat="1" ht="15.75" customHeight="1">
      <c r="A2" s="359"/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</row>
    <row r="3" spans="1:17" ht="15.75" customHeight="1">
      <c r="A3" s="436" t="s">
        <v>442</v>
      </c>
      <c r="B3" s="436"/>
      <c r="C3" s="436"/>
      <c r="D3" s="436"/>
      <c r="E3" s="436"/>
      <c r="F3" s="436"/>
      <c r="G3" s="436"/>
      <c r="H3" s="436"/>
      <c r="I3" s="436"/>
      <c r="J3" s="436"/>
      <c r="K3" s="436"/>
      <c r="L3" s="436"/>
      <c r="M3" s="436"/>
      <c r="N3" s="436"/>
      <c r="O3" s="436"/>
      <c r="P3" s="436"/>
      <c r="Q3" s="436"/>
    </row>
    <row r="4" spans="1:17" s="116" customFormat="1" ht="15.75" customHeight="1">
      <c r="A4" s="574"/>
      <c r="B4" s="574"/>
      <c r="C4" s="574"/>
      <c r="D4" s="574"/>
      <c r="E4" s="574"/>
      <c r="F4" s="574"/>
      <c r="G4" s="574"/>
      <c r="H4" s="574"/>
      <c r="I4" s="574"/>
      <c r="J4" s="574"/>
      <c r="K4" s="574"/>
      <c r="L4" s="574"/>
      <c r="M4" s="574"/>
      <c r="N4" s="574"/>
      <c r="O4" s="574"/>
      <c r="P4" s="574"/>
      <c r="Q4" s="574"/>
    </row>
    <row r="5" spans="1:17" ht="15.75" customHeight="1">
      <c r="A5" s="382" t="s">
        <v>399</v>
      </c>
      <c r="B5" s="444">
        <v>1</v>
      </c>
      <c r="C5" s="444"/>
      <c r="D5" s="444">
        <v>2</v>
      </c>
      <c r="E5" s="444"/>
      <c r="F5" s="444">
        <v>3</v>
      </c>
      <c r="G5" s="444"/>
      <c r="H5" s="444">
        <v>4</v>
      </c>
      <c r="I5" s="444"/>
      <c r="J5" s="444">
        <v>5</v>
      </c>
      <c r="K5" s="444"/>
      <c r="L5" s="444">
        <v>6</v>
      </c>
      <c r="M5" s="444"/>
      <c r="N5" s="444">
        <v>7</v>
      </c>
      <c r="O5" s="444"/>
      <c r="P5" s="542">
        <v>8</v>
      </c>
      <c r="Q5" s="542"/>
    </row>
    <row r="6" spans="1:17" ht="15.75" customHeight="1">
      <c r="A6" s="382"/>
      <c r="B6" s="382" t="s">
        <v>382</v>
      </c>
      <c r="C6" s="382"/>
      <c r="D6" s="382" t="s">
        <v>400</v>
      </c>
      <c r="E6" s="382"/>
      <c r="F6" s="382" t="s">
        <v>384</v>
      </c>
      <c r="G6" s="382"/>
      <c r="H6" s="382" t="s">
        <v>385</v>
      </c>
      <c r="I6" s="382"/>
      <c r="J6" s="382" t="s">
        <v>388</v>
      </c>
      <c r="K6" s="382"/>
      <c r="L6" s="382" t="s">
        <v>389</v>
      </c>
      <c r="M6" s="382"/>
      <c r="N6" s="382" t="s">
        <v>390</v>
      </c>
      <c r="O6" s="382"/>
      <c r="P6" s="543" t="s">
        <v>401</v>
      </c>
      <c r="Q6" s="543"/>
    </row>
    <row r="8" spans="1:17" s="122" customFormat="1" ht="15.75" customHeight="1">
      <c r="A8" s="151" t="s">
        <v>399</v>
      </c>
      <c r="B8" s="167" t="s">
        <v>93</v>
      </c>
      <c r="C8" s="575" t="s">
        <v>53</v>
      </c>
      <c r="D8" s="575"/>
      <c r="E8" s="575"/>
      <c r="F8" s="575" t="s">
        <v>62</v>
      </c>
      <c r="G8" s="575"/>
      <c r="H8" s="575"/>
      <c r="I8" s="167" t="s">
        <v>63</v>
      </c>
      <c r="J8" s="168" t="s">
        <v>94</v>
      </c>
      <c r="K8" s="167" t="s">
        <v>95</v>
      </c>
      <c r="L8" s="167" t="s">
        <v>10</v>
      </c>
      <c r="M8" s="576" t="s">
        <v>96</v>
      </c>
      <c r="N8" s="577"/>
      <c r="O8" s="577"/>
      <c r="P8" s="577"/>
      <c r="Q8" s="577"/>
    </row>
    <row r="9" spans="1:17" ht="15.75" customHeight="1">
      <c r="A9" s="575" t="s">
        <v>48</v>
      </c>
      <c r="B9" s="145">
        <v>1</v>
      </c>
      <c r="C9" s="447"/>
      <c r="D9" s="448"/>
      <c r="E9" s="448"/>
      <c r="F9" s="447"/>
      <c r="G9" s="448"/>
      <c r="H9" s="448"/>
      <c r="I9" s="152"/>
      <c r="J9" s="134"/>
      <c r="K9" s="134"/>
      <c r="L9" s="166">
        <f t="shared" ref="L9:L13" si="0">K9-J9</f>
        <v>0</v>
      </c>
      <c r="M9" s="447"/>
      <c r="N9" s="447"/>
      <c r="O9" s="447"/>
      <c r="P9" s="447"/>
      <c r="Q9" s="447"/>
    </row>
    <row r="10" spans="1:17" ht="15.75" customHeight="1">
      <c r="A10" s="580"/>
      <c r="B10" s="145">
        <v>2</v>
      </c>
      <c r="C10" s="447"/>
      <c r="D10" s="448"/>
      <c r="E10" s="448"/>
      <c r="F10" s="447"/>
      <c r="G10" s="448"/>
      <c r="H10" s="448"/>
      <c r="I10" s="152"/>
      <c r="J10" s="134"/>
      <c r="K10" s="134"/>
      <c r="L10" s="166">
        <f t="shared" si="0"/>
        <v>0</v>
      </c>
      <c r="M10" s="447"/>
      <c r="N10" s="447"/>
      <c r="O10" s="447"/>
      <c r="P10" s="447"/>
      <c r="Q10" s="447"/>
    </row>
    <row r="11" spans="1:17" ht="15.75" customHeight="1">
      <c r="A11" s="580"/>
      <c r="B11" s="145">
        <v>3</v>
      </c>
      <c r="C11" s="447"/>
      <c r="D11" s="448"/>
      <c r="E11" s="448"/>
      <c r="F11" s="447"/>
      <c r="G11" s="448"/>
      <c r="H11" s="448"/>
      <c r="I11" s="152"/>
      <c r="J11" s="134"/>
      <c r="K11" s="134"/>
      <c r="L11" s="166">
        <f t="shared" si="0"/>
        <v>0</v>
      </c>
      <c r="M11" s="447"/>
      <c r="N11" s="447"/>
      <c r="O11" s="447"/>
      <c r="P11" s="447"/>
      <c r="Q11" s="447"/>
    </row>
    <row r="12" spans="1:17" ht="15.75" customHeight="1">
      <c r="A12" s="580"/>
      <c r="B12" s="145">
        <v>4</v>
      </c>
      <c r="C12" s="447"/>
      <c r="D12" s="448"/>
      <c r="E12" s="448"/>
      <c r="F12" s="447"/>
      <c r="G12" s="448"/>
      <c r="H12" s="448"/>
      <c r="I12" s="152"/>
      <c r="J12" s="134"/>
      <c r="K12" s="134"/>
      <c r="L12" s="166">
        <f t="shared" si="0"/>
        <v>0</v>
      </c>
      <c r="M12" s="447"/>
      <c r="N12" s="447"/>
      <c r="O12" s="447"/>
      <c r="P12" s="447"/>
      <c r="Q12" s="447"/>
    </row>
    <row r="13" spans="1:17" ht="15.75" customHeight="1">
      <c r="A13" s="580"/>
      <c r="B13" s="145">
        <v>5</v>
      </c>
      <c r="C13" s="447"/>
      <c r="D13" s="448"/>
      <c r="E13" s="448"/>
      <c r="F13" s="447"/>
      <c r="G13" s="448"/>
      <c r="H13" s="448"/>
      <c r="I13" s="152"/>
      <c r="J13" s="134"/>
      <c r="K13" s="134"/>
      <c r="L13" s="166">
        <f t="shared" si="0"/>
        <v>0</v>
      </c>
      <c r="M13" s="447"/>
      <c r="N13" s="447"/>
      <c r="O13" s="447"/>
      <c r="P13" s="447"/>
      <c r="Q13" s="447"/>
    </row>
    <row r="14" spans="1:17" ht="15.75" customHeight="1">
      <c r="A14" s="578"/>
      <c r="B14" s="578"/>
      <c r="C14" s="578"/>
      <c r="D14" s="578"/>
      <c r="E14" s="578"/>
      <c r="F14" s="578"/>
      <c r="G14" s="578"/>
      <c r="H14" s="578"/>
      <c r="I14" s="578"/>
      <c r="J14" s="578"/>
      <c r="K14" s="578"/>
      <c r="L14" s="578"/>
      <c r="M14" s="578"/>
      <c r="N14" s="578"/>
      <c r="O14" s="579"/>
    </row>
    <row r="15" spans="1:17" s="122" customFormat="1" ht="15.75" customHeight="1">
      <c r="A15" s="151" t="s">
        <v>399</v>
      </c>
      <c r="B15" s="151" t="s">
        <v>93</v>
      </c>
      <c r="C15" s="554" t="s">
        <v>53</v>
      </c>
      <c r="D15" s="554"/>
      <c r="E15" s="554"/>
      <c r="F15" s="554" t="s">
        <v>62</v>
      </c>
      <c r="G15" s="554"/>
      <c r="H15" s="554"/>
      <c r="I15" s="151" t="s">
        <v>63</v>
      </c>
      <c r="J15" s="165" t="s">
        <v>94</v>
      </c>
      <c r="K15" s="151" t="s">
        <v>95</v>
      </c>
      <c r="L15" s="151" t="s">
        <v>10</v>
      </c>
      <c r="M15" s="554" t="s">
        <v>96</v>
      </c>
      <c r="N15" s="554"/>
      <c r="O15" s="554"/>
      <c r="P15" s="554"/>
      <c r="Q15" s="554"/>
    </row>
    <row r="16" spans="1:17" ht="15.75" customHeight="1">
      <c r="A16" s="554" t="s">
        <v>443</v>
      </c>
      <c r="B16" s="145">
        <v>1</v>
      </c>
      <c r="C16" s="447"/>
      <c r="D16" s="448"/>
      <c r="E16" s="448"/>
      <c r="F16" s="447"/>
      <c r="G16" s="448"/>
      <c r="H16" s="448"/>
      <c r="I16" s="152"/>
      <c r="J16" s="134"/>
      <c r="K16" s="134"/>
      <c r="L16" s="166">
        <f t="shared" ref="L16:L19" si="1">K16-J16</f>
        <v>0</v>
      </c>
      <c r="M16" s="447"/>
      <c r="N16" s="447"/>
      <c r="O16" s="447"/>
      <c r="P16" s="447"/>
      <c r="Q16" s="447"/>
    </row>
    <row r="17" spans="1:17" ht="15.75" customHeight="1">
      <c r="A17" s="554"/>
      <c r="B17" s="145">
        <v>2</v>
      </c>
      <c r="C17" s="447"/>
      <c r="D17" s="448"/>
      <c r="E17" s="448"/>
      <c r="F17" s="447"/>
      <c r="G17" s="448"/>
      <c r="H17" s="448"/>
      <c r="I17" s="152"/>
      <c r="J17" s="134"/>
      <c r="K17" s="134"/>
      <c r="L17" s="166">
        <f t="shared" si="1"/>
        <v>0</v>
      </c>
      <c r="M17" s="447"/>
      <c r="N17" s="447"/>
      <c r="O17" s="447"/>
      <c r="P17" s="447"/>
      <c r="Q17" s="447"/>
    </row>
    <row r="18" spans="1:17" ht="15.75" customHeight="1">
      <c r="A18" s="554"/>
      <c r="B18" s="145">
        <v>3</v>
      </c>
      <c r="C18" s="447"/>
      <c r="D18" s="448"/>
      <c r="E18" s="448"/>
      <c r="F18" s="447"/>
      <c r="G18" s="448"/>
      <c r="H18" s="448"/>
      <c r="I18" s="152"/>
      <c r="J18" s="134"/>
      <c r="K18" s="134"/>
      <c r="L18" s="166">
        <f t="shared" si="1"/>
        <v>0</v>
      </c>
      <c r="M18" s="447"/>
      <c r="N18" s="447"/>
      <c r="O18" s="447"/>
      <c r="P18" s="447"/>
      <c r="Q18" s="447"/>
    </row>
    <row r="19" spans="1:17" ht="15.75" customHeight="1">
      <c r="A19" s="554"/>
      <c r="B19" s="145">
        <v>4</v>
      </c>
      <c r="C19" s="447"/>
      <c r="D19" s="448"/>
      <c r="E19" s="448"/>
      <c r="F19" s="447"/>
      <c r="G19" s="448"/>
      <c r="H19" s="448"/>
      <c r="I19" s="152"/>
      <c r="J19" s="134"/>
      <c r="K19" s="134"/>
      <c r="L19" s="166">
        <f t="shared" si="1"/>
        <v>0</v>
      </c>
      <c r="M19" s="447"/>
      <c r="N19" s="447"/>
      <c r="O19" s="447"/>
      <c r="P19" s="447"/>
      <c r="Q19" s="447"/>
    </row>
    <row r="20" spans="1:17" ht="15.75" customHeight="1">
      <c r="A20" s="554"/>
      <c r="B20" s="145">
        <v>5</v>
      </c>
      <c r="C20" s="447"/>
      <c r="D20" s="448"/>
      <c r="E20" s="448"/>
      <c r="F20" s="447"/>
      <c r="G20" s="448"/>
      <c r="H20" s="448"/>
      <c r="I20" s="152"/>
      <c r="J20" s="134"/>
      <c r="K20" s="134"/>
      <c r="L20" s="166">
        <f>K20-J20</f>
        <v>0</v>
      </c>
      <c r="M20" s="447"/>
      <c r="N20" s="447"/>
      <c r="O20" s="447"/>
      <c r="P20" s="447"/>
      <c r="Q20" s="447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CC"/>
  </sheetPr>
  <dimension ref="B2:AH366"/>
  <sheetViews>
    <sheetView zoomScale="70" zoomScaleNormal="70" workbookViewId="0">
      <pane xSplit="4" ySplit="6" topLeftCell="E142" activePane="bottomRight" state="frozen"/>
      <selection pane="bottomRight" activeCell="M17" sqref="M17"/>
      <selection pane="bottomLeft" activeCell="Z121" sqref="Z121"/>
      <selection pane="topRight" activeCell="Z121" sqref="Z121"/>
    </sheetView>
  </sheetViews>
  <sheetFormatPr defaultColWidth="8.85546875" defaultRowHeight="14.25"/>
  <cols>
    <col min="1" max="1" width="8.85546875" style="181"/>
    <col min="2" max="2" width="12.42578125" style="181" customWidth="1"/>
    <col min="3" max="3" width="8.85546875" style="181"/>
    <col min="4" max="4" width="6.85546875" style="181" customWidth="1"/>
    <col min="5" max="5" width="27" style="181" customWidth="1"/>
    <col min="6" max="6" width="22.5703125" style="181" customWidth="1"/>
    <col min="7" max="7" width="14.140625" style="181" customWidth="1"/>
    <col min="8" max="8" width="14" style="181" customWidth="1"/>
    <col min="9" max="9" width="16.85546875" style="181" customWidth="1"/>
    <col min="10" max="12" width="14" style="181" customWidth="1"/>
    <col min="13" max="13" width="19.42578125" style="181" customWidth="1"/>
    <col min="14" max="17" width="14" style="181" customWidth="1"/>
    <col min="18" max="18" width="8.85546875" style="181"/>
    <col min="19" max="19" width="10.42578125" style="181" bestFit="1" customWidth="1"/>
    <col min="20" max="20" width="10.140625" style="181" customWidth="1"/>
    <col min="21" max="21" width="15.5703125" style="181" customWidth="1"/>
    <col min="22" max="22" width="15.5703125" style="181" bestFit="1" customWidth="1"/>
    <col min="23" max="23" width="7.42578125" style="181" bestFit="1" customWidth="1"/>
    <col min="24" max="24" width="32.5703125" style="181" bestFit="1" customWidth="1"/>
    <col min="25" max="25" width="8.85546875" style="181"/>
    <col min="26" max="27" width="21.5703125" style="181" customWidth="1"/>
    <col min="28" max="33" width="14.42578125" style="181" customWidth="1"/>
    <col min="34" max="34" width="11.42578125" style="181" bestFit="1" customWidth="1"/>
    <col min="35" max="16384" width="8.85546875" style="181"/>
  </cols>
  <sheetData>
    <row r="2" spans="2:34" ht="41.1" customHeight="1">
      <c r="B2" s="594" t="s">
        <v>444</v>
      </c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  <c r="R2" s="595"/>
      <c r="S2" s="595"/>
      <c r="T2" s="595"/>
      <c r="U2" s="595"/>
      <c r="V2" s="595"/>
      <c r="W2" s="595"/>
      <c r="X2" s="595"/>
      <c r="Z2" s="182"/>
      <c r="AA2" s="182"/>
    </row>
    <row r="3" spans="2:34" ht="17.100000000000001" customHeight="1">
      <c r="B3" s="596" t="s">
        <v>150</v>
      </c>
      <c r="C3" s="597"/>
      <c r="D3" s="593" t="s">
        <v>445</v>
      </c>
      <c r="E3" s="593"/>
      <c r="F3" s="593"/>
      <c r="G3" s="593" t="s">
        <v>446</v>
      </c>
      <c r="H3" s="593"/>
      <c r="I3" s="593"/>
      <c r="J3" s="593"/>
      <c r="K3" s="593"/>
      <c r="L3" s="593"/>
      <c r="M3" s="593"/>
      <c r="N3" s="593"/>
      <c r="O3" s="593"/>
      <c r="P3" s="593"/>
      <c r="Q3" s="593"/>
      <c r="R3" s="593"/>
      <c r="S3" s="593"/>
      <c r="T3" s="593" t="s">
        <v>447</v>
      </c>
      <c r="U3" s="602" t="s">
        <v>448</v>
      </c>
      <c r="V3" s="605" t="s">
        <v>449</v>
      </c>
      <c r="W3" s="605" t="s">
        <v>450</v>
      </c>
      <c r="X3" s="608" t="s">
        <v>451</v>
      </c>
      <c r="Z3" s="593" t="s">
        <v>452</v>
      </c>
      <c r="AA3" s="593"/>
      <c r="AB3" s="593"/>
      <c r="AC3" s="593"/>
      <c r="AD3" s="593"/>
      <c r="AE3" s="593"/>
      <c r="AF3" s="593"/>
      <c r="AG3" s="593"/>
      <c r="AH3" s="593"/>
    </row>
    <row r="4" spans="2:34" ht="17.100000000000001" customHeight="1">
      <c r="B4" s="598"/>
      <c r="C4" s="599"/>
      <c r="D4" s="592" t="s">
        <v>453</v>
      </c>
      <c r="E4" s="593" t="s">
        <v>454</v>
      </c>
      <c r="F4" s="593"/>
      <c r="G4" s="593" t="s">
        <v>455</v>
      </c>
      <c r="H4" s="593"/>
      <c r="I4" s="593"/>
      <c r="J4" s="593"/>
      <c r="K4" s="593"/>
      <c r="L4" s="593"/>
      <c r="M4" s="593"/>
      <c r="N4" s="593"/>
      <c r="O4" s="593" t="s">
        <v>456</v>
      </c>
      <c r="P4" s="593"/>
      <c r="Q4" s="593"/>
      <c r="R4" s="593"/>
      <c r="S4" s="593"/>
      <c r="T4" s="593"/>
      <c r="U4" s="603"/>
      <c r="V4" s="606"/>
      <c r="W4" s="606"/>
      <c r="X4" s="608"/>
      <c r="Z4" s="593"/>
      <c r="AA4" s="593"/>
      <c r="AB4" s="593"/>
      <c r="AC4" s="593"/>
      <c r="AD4" s="593"/>
      <c r="AE4" s="593"/>
      <c r="AF4" s="593"/>
      <c r="AG4" s="593"/>
      <c r="AH4" s="593"/>
    </row>
    <row r="5" spans="2:34" ht="17.100000000000001" customHeight="1">
      <c r="B5" s="598"/>
      <c r="C5" s="599"/>
      <c r="D5" s="592"/>
      <c r="E5" s="592" t="s">
        <v>457</v>
      </c>
      <c r="F5" s="608" t="s">
        <v>458</v>
      </c>
      <c r="G5" s="587" t="s">
        <v>459</v>
      </c>
      <c r="H5" s="587"/>
      <c r="I5" s="587"/>
      <c r="J5" s="587"/>
      <c r="K5" s="587"/>
      <c r="L5" s="587"/>
      <c r="M5" s="587"/>
      <c r="N5" s="587"/>
      <c r="O5" s="587" t="s">
        <v>460</v>
      </c>
      <c r="P5" s="587"/>
      <c r="Q5" s="587" t="s">
        <v>461</v>
      </c>
      <c r="R5" s="587"/>
      <c r="S5" s="587"/>
      <c r="T5" s="593"/>
      <c r="U5" s="603"/>
      <c r="V5" s="606"/>
      <c r="W5" s="606"/>
      <c r="X5" s="608"/>
      <c r="Z5" s="593"/>
      <c r="AA5" s="593"/>
      <c r="AB5" s="593"/>
      <c r="AC5" s="593"/>
      <c r="AD5" s="593"/>
      <c r="AE5" s="593"/>
      <c r="AF5" s="593"/>
      <c r="AG5" s="593"/>
      <c r="AH5" s="593"/>
    </row>
    <row r="6" spans="2:34" ht="38.450000000000003" customHeight="1">
      <c r="B6" s="600"/>
      <c r="C6" s="601"/>
      <c r="D6" s="592"/>
      <c r="E6" s="592"/>
      <c r="F6" s="608"/>
      <c r="G6" s="190" t="s">
        <v>462</v>
      </c>
      <c r="H6" s="190" t="s">
        <v>463</v>
      </c>
      <c r="I6" s="190" t="s">
        <v>464</v>
      </c>
      <c r="J6" s="190" t="s">
        <v>465</v>
      </c>
      <c r="K6" s="190" t="s">
        <v>466</v>
      </c>
      <c r="L6" s="190" t="s">
        <v>467</v>
      </c>
      <c r="M6" s="190" t="s">
        <v>468</v>
      </c>
      <c r="N6" s="190" t="s">
        <v>469</v>
      </c>
      <c r="O6" s="191" t="s">
        <v>470</v>
      </c>
      <c r="P6" s="191" t="s">
        <v>471</v>
      </c>
      <c r="Q6" s="191" t="s">
        <v>470</v>
      </c>
      <c r="R6" s="191" t="s">
        <v>471</v>
      </c>
      <c r="S6" s="190" t="s">
        <v>472</v>
      </c>
      <c r="T6" s="593"/>
      <c r="U6" s="604"/>
      <c r="V6" s="607"/>
      <c r="W6" s="607"/>
      <c r="X6" s="608"/>
      <c r="Z6" s="222" t="s">
        <v>473</v>
      </c>
      <c r="AA6" s="222" t="s">
        <v>474</v>
      </c>
      <c r="AB6" s="210" t="s">
        <v>475</v>
      </c>
      <c r="AC6" s="210" t="s">
        <v>412</v>
      </c>
      <c r="AD6" s="210" t="s">
        <v>476</v>
      </c>
      <c r="AE6" s="210" t="s">
        <v>477</v>
      </c>
      <c r="AF6" s="210" t="s">
        <v>478</v>
      </c>
      <c r="AG6" s="210" t="s">
        <v>441</v>
      </c>
      <c r="AH6" s="210" t="s">
        <v>479</v>
      </c>
    </row>
    <row r="7" spans="2:34">
      <c r="B7" s="588">
        <v>45901</v>
      </c>
      <c r="C7" s="590" t="s">
        <v>209</v>
      </c>
      <c r="D7" s="209">
        <v>1</v>
      </c>
      <c r="E7" s="183" t="s">
        <v>480</v>
      </c>
      <c r="F7" s="184">
        <v>161.85599999999999</v>
      </c>
      <c r="G7" s="183">
        <v>56.832656084656101</v>
      </c>
      <c r="H7" s="183">
        <v>58.2</v>
      </c>
      <c r="I7" s="192">
        <f t="shared" ref="I7:I70" si="0">H7/G7</f>
        <v>1.0240591239182477</v>
      </c>
      <c r="J7" s="183">
        <v>0</v>
      </c>
      <c r="K7" s="192">
        <f t="shared" ref="K7:K70" si="1">J7/G7</f>
        <v>0</v>
      </c>
      <c r="L7" s="184">
        <v>179.84</v>
      </c>
      <c r="M7" s="192">
        <f t="shared" ref="M7:M70" si="2">(H7+J7)/G7</f>
        <v>1.0240591239182477</v>
      </c>
      <c r="N7" s="184">
        <v>245.90312973544735</v>
      </c>
      <c r="O7" s="183">
        <v>0.9</v>
      </c>
      <c r="P7" s="185">
        <v>1.5835965833787338E-2</v>
      </c>
      <c r="Q7" s="183">
        <v>0.46734391534390196</v>
      </c>
      <c r="R7" s="185">
        <v>8.2231580844604815E-3</v>
      </c>
      <c r="S7" s="184">
        <v>84.047129735447328</v>
      </c>
      <c r="T7" s="183" t="s">
        <v>481</v>
      </c>
      <c r="U7" s="183" t="s">
        <v>419</v>
      </c>
      <c r="V7" s="183"/>
      <c r="W7" s="189">
        <v>1</v>
      </c>
      <c r="X7" s="183" t="s">
        <v>293</v>
      </c>
      <c r="Y7" s="186" t="s">
        <v>482</v>
      </c>
      <c r="Z7" s="219">
        <f>SUM(W7:W46)</f>
        <v>40</v>
      </c>
      <c r="AA7" s="218">
        <f t="shared" ref="AA7:AH7" ca="1" si="3">SUMIF($U$7:$U$9970,TRIM(AA6),$W$7:$W$46)</f>
        <v>0</v>
      </c>
      <c r="AB7" s="218">
        <f t="shared" ca="1" si="3"/>
        <v>7</v>
      </c>
      <c r="AC7" s="218">
        <f t="shared" ca="1" si="3"/>
        <v>34</v>
      </c>
      <c r="AD7" s="218">
        <f t="shared" ca="1" si="3"/>
        <v>70</v>
      </c>
      <c r="AE7" s="218">
        <f t="shared" ca="1" si="3"/>
        <v>26</v>
      </c>
      <c r="AF7" s="218">
        <f t="shared" ca="1" si="3"/>
        <v>13</v>
      </c>
      <c r="AG7" s="218">
        <f t="shared" ca="1" si="3"/>
        <v>0</v>
      </c>
      <c r="AH7" s="218">
        <f t="shared" ca="1" si="3"/>
        <v>0</v>
      </c>
    </row>
    <row r="8" spans="2:34">
      <c r="B8" s="589"/>
      <c r="C8" s="591"/>
      <c r="D8" s="209">
        <v>2</v>
      </c>
      <c r="E8" s="183" t="s">
        <v>483</v>
      </c>
      <c r="F8" s="184">
        <v>159.02500000000001</v>
      </c>
      <c r="G8" s="183">
        <v>41.48</v>
      </c>
      <c r="H8" s="183">
        <v>41.7</v>
      </c>
      <c r="I8" s="192">
        <f t="shared" si="0"/>
        <v>1.005303760848602</v>
      </c>
      <c r="J8" s="183">
        <v>0.8</v>
      </c>
      <c r="K8" s="192">
        <f t="shared" si="1"/>
        <v>1.9286403085824497E-2</v>
      </c>
      <c r="L8" s="184">
        <v>318.05</v>
      </c>
      <c r="M8" s="192">
        <f t="shared" si="2"/>
        <v>1.0245901639344264</v>
      </c>
      <c r="N8" s="184">
        <v>324.41100000000102</v>
      </c>
      <c r="O8" s="183">
        <v>0.5</v>
      </c>
      <c r="P8" s="185">
        <v>1.2054001928640309E-2</v>
      </c>
      <c r="Q8" s="183">
        <v>0.52000000000000313</v>
      </c>
      <c r="R8" s="185">
        <v>1.2536162005785997E-2</v>
      </c>
      <c r="S8" s="184">
        <v>165.38600000000099</v>
      </c>
      <c r="T8" s="183" t="s">
        <v>484</v>
      </c>
      <c r="U8" s="183" t="s">
        <v>436</v>
      </c>
      <c r="V8" s="183"/>
      <c r="W8" s="189">
        <v>1</v>
      </c>
      <c r="X8" s="183" t="s">
        <v>306</v>
      </c>
      <c r="Y8" s="186"/>
      <c r="Z8" s="219"/>
      <c r="AA8" s="221">
        <f t="shared" ref="AA8:AH8" si="4">SUMIF($U$7:$U$46,TRIM(AA6),$F$7:$F$46)</f>
        <v>0</v>
      </c>
      <c r="AB8" s="221">
        <f t="shared" si="4"/>
        <v>277.08100000000002</v>
      </c>
      <c r="AC8" s="221">
        <f t="shared" si="4"/>
        <v>1224.807</v>
      </c>
      <c r="AD8" s="221">
        <f t="shared" si="4"/>
        <v>2558.0960000000005</v>
      </c>
      <c r="AE8" s="221">
        <f t="shared" si="4"/>
        <v>906.70699999999999</v>
      </c>
      <c r="AF8" s="221">
        <f t="shared" si="4"/>
        <v>806.46300000000008</v>
      </c>
      <c r="AG8" s="221">
        <f t="shared" si="4"/>
        <v>0</v>
      </c>
      <c r="AH8" s="221">
        <f t="shared" si="4"/>
        <v>0</v>
      </c>
    </row>
    <row r="9" spans="2:34">
      <c r="B9" s="589"/>
      <c r="C9" s="591"/>
      <c r="D9" s="209">
        <v>3</v>
      </c>
      <c r="E9" s="183" t="s">
        <v>485</v>
      </c>
      <c r="F9" s="184">
        <v>145.42500000000001</v>
      </c>
      <c r="G9" s="183">
        <v>35.795999999999999</v>
      </c>
      <c r="H9" s="183">
        <v>36.299999999999997</v>
      </c>
      <c r="I9" s="192">
        <f t="shared" si="0"/>
        <v>1.0140797854508883</v>
      </c>
      <c r="J9" s="183">
        <v>0</v>
      </c>
      <c r="K9" s="192">
        <f t="shared" si="1"/>
        <v>0</v>
      </c>
      <c r="L9" s="184">
        <v>290.85000000000002</v>
      </c>
      <c r="M9" s="192">
        <f t="shared" si="2"/>
        <v>1.0140797854508883</v>
      </c>
      <c r="N9" s="184">
        <v>146.58839999999935</v>
      </c>
      <c r="O9" s="183">
        <v>0.5</v>
      </c>
      <c r="P9" s="185">
        <v>1.3968041121913063E-2</v>
      </c>
      <c r="Q9" s="183">
        <v>3.9999999999977831E-3</v>
      </c>
      <c r="R9" s="185">
        <v>1.1174432897524257E-4</v>
      </c>
      <c r="S9" s="184">
        <v>1.1633999999993554</v>
      </c>
      <c r="T9" s="183" t="s">
        <v>481</v>
      </c>
      <c r="U9" s="183" t="s">
        <v>419</v>
      </c>
      <c r="V9" s="183"/>
      <c r="W9" s="189">
        <v>1</v>
      </c>
      <c r="X9" s="183" t="s">
        <v>232</v>
      </c>
      <c r="Y9" s="186"/>
      <c r="Z9" s="219">
        <f>SUM(W47:W116)</f>
        <v>70</v>
      </c>
      <c r="AA9" s="218">
        <f t="shared" ref="AA9:AH9" si="5">SUMIF($U$47:$U$116,TRIM(AA6),$W$47:$W$116)</f>
        <v>0</v>
      </c>
      <c r="AB9" s="218">
        <f t="shared" si="5"/>
        <v>3</v>
      </c>
      <c r="AC9" s="218">
        <f t="shared" si="5"/>
        <v>12</v>
      </c>
      <c r="AD9" s="218">
        <f t="shared" si="5"/>
        <v>37</v>
      </c>
      <c r="AE9" s="218">
        <f t="shared" si="5"/>
        <v>12</v>
      </c>
      <c r="AF9" s="218">
        <f t="shared" si="5"/>
        <v>6</v>
      </c>
      <c r="AG9" s="218">
        <f t="shared" si="5"/>
        <v>0</v>
      </c>
      <c r="AH9" s="218">
        <f t="shared" si="5"/>
        <v>0</v>
      </c>
    </row>
    <row r="10" spans="2:34">
      <c r="B10" s="589"/>
      <c r="C10" s="591"/>
      <c r="D10" s="209">
        <v>4</v>
      </c>
      <c r="E10" s="183" t="s">
        <v>486</v>
      </c>
      <c r="F10" s="184">
        <v>135.666</v>
      </c>
      <c r="G10" s="183">
        <v>3.7890000000000001</v>
      </c>
      <c r="H10" s="183">
        <v>4.3</v>
      </c>
      <c r="I10" s="192">
        <f t="shared" si="0"/>
        <v>1.1348640802322512</v>
      </c>
      <c r="J10" s="183">
        <v>0</v>
      </c>
      <c r="K10" s="192">
        <f t="shared" si="1"/>
        <v>0</v>
      </c>
      <c r="L10" s="184">
        <v>452.22</v>
      </c>
      <c r="M10" s="192">
        <f t="shared" si="2"/>
        <v>1.1348640802322512</v>
      </c>
      <c r="N10" s="184">
        <v>231.08441999999988</v>
      </c>
      <c r="O10" s="183">
        <v>0.3</v>
      </c>
      <c r="P10" s="185">
        <v>7.9176563737133804E-2</v>
      </c>
      <c r="Q10" s="183">
        <v>0.21099999999999969</v>
      </c>
      <c r="R10" s="185">
        <v>5.5687516495117363E-2</v>
      </c>
      <c r="S10" s="184">
        <v>95.41841999999987</v>
      </c>
      <c r="T10" s="183" t="s">
        <v>487</v>
      </c>
      <c r="U10" s="183" t="s">
        <v>488</v>
      </c>
      <c r="V10" s="183"/>
      <c r="W10" s="189">
        <v>1</v>
      </c>
      <c r="X10" s="183" t="s">
        <v>268</v>
      </c>
      <c r="Y10" s="186" t="s">
        <v>489</v>
      </c>
      <c r="Z10" s="218"/>
      <c r="AA10" s="221">
        <f t="shared" ref="AA10:AH10" si="6">SUMIF($U$47:$U$116,TRIM(AA6),$F$47:$F$116)</f>
        <v>0</v>
      </c>
      <c r="AB10" s="221">
        <f t="shared" si="6"/>
        <v>444.21800000000002</v>
      </c>
      <c r="AC10" s="221">
        <f t="shared" si="6"/>
        <v>1790.8820000000001</v>
      </c>
      <c r="AD10" s="221">
        <f t="shared" si="6"/>
        <v>5557.5039999999999</v>
      </c>
      <c r="AE10" s="221">
        <f t="shared" si="6"/>
        <v>1920.5409999999999</v>
      </c>
      <c r="AF10" s="221">
        <f t="shared" si="6"/>
        <v>1017.471</v>
      </c>
      <c r="AG10" s="221">
        <f t="shared" si="6"/>
        <v>0</v>
      </c>
      <c r="AH10" s="221">
        <f t="shared" si="6"/>
        <v>0</v>
      </c>
    </row>
    <row r="11" spans="2:34">
      <c r="B11" s="589"/>
      <c r="C11" s="591"/>
      <c r="D11" s="209">
        <v>5</v>
      </c>
      <c r="E11" s="183" t="s">
        <v>490</v>
      </c>
      <c r="F11" s="184">
        <v>134.595</v>
      </c>
      <c r="G11" s="183">
        <v>109.69</v>
      </c>
      <c r="H11" s="183">
        <v>110.2</v>
      </c>
      <c r="I11" s="192">
        <f t="shared" si="0"/>
        <v>1.0046494666788222</v>
      </c>
      <c r="J11" s="183">
        <v>0</v>
      </c>
      <c r="K11" s="192">
        <f t="shared" si="1"/>
        <v>0</v>
      </c>
      <c r="L11" s="184">
        <v>269.19</v>
      </c>
      <c r="M11" s="192">
        <f t="shared" si="2"/>
        <v>1.0046494666788222</v>
      </c>
      <c r="N11" s="184">
        <v>137.28690000000137</v>
      </c>
      <c r="O11" s="183">
        <v>0.5</v>
      </c>
      <c r="P11" s="185">
        <v>4.5583006655118968E-3</v>
      </c>
      <c r="Q11" s="183">
        <v>1.0000000000005116E-2</v>
      </c>
      <c r="R11" s="185">
        <v>9.1166013310284584E-5</v>
      </c>
      <c r="S11" s="184">
        <v>2.6919000000013771</v>
      </c>
      <c r="T11" s="183" t="s">
        <v>481</v>
      </c>
      <c r="U11" s="183" t="s">
        <v>419</v>
      </c>
      <c r="V11" s="183"/>
      <c r="W11" s="189">
        <v>1</v>
      </c>
      <c r="X11" s="183" t="s">
        <v>295</v>
      </c>
      <c r="Y11" s="186"/>
      <c r="Z11" s="218"/>
      <c r="AA11" s="219"/>
      <c r="AB11" s="219"/>
      <c r="AC11" s="218"/>
      <c r="AD11" s="218"/>
      <c r="AE11" s="218"/>
      <c r="AF11" s="218"/>
      <c r="AG11" s="218"/>
      <c r="AH11" s="218"/>
    </row>
    <row r="12" spans="2:34">
      <c r="B12" s="589"/>
      <c r="C12" s="591"/>
      <c r="D12" s="209">
        <v>6</v>
      </c>
      <c r="E12" s="183" t="s">
        <v>491</v>
      </c>
      <c r="F12" s="184">
        <v>134.46</v>
      </c>
      <c r="G12" s="183">
        <v>2169</v>
      </c>
      <c r="H12" s="183">
        <v>2178</v>
      </c>
      <c r="I12" s="192">
        <f t="shared" si="0"/>
        <v>1.004149377593361</v>
      </c>
      <c r="J12" s="183">
        <v>0</v>
      </c>
      <c r="K12" s="192">
        <f t="shared" si="1"/>
        <v>0</v>
      </c>
      <c r="L12" s="184">
        <v>14.94</v>
      </c>
      <c r="M12" s="192">
        <f t="shared" si="2"/>
        <v>1.004149377593361</v>
      </c>
      <c r="N12" s="184">
        <v>134.46</v>
      </c>
      <c r="O12" s="183">
        <v>9</v>
      </c>
      <c r="P12" s="185">
        <v>4.1493775933609959E-3</v>
      </c>
      <c r="Q12" s="183">
        <v>0</v>
      </c>
      <c r="R12" s="185">
        <v>0</v>
      </c>
      <c r="S12" s="184">
        <v>0</v>
      </c>
      <c r="T12" s="183" t="s">
        <v>484</v>
      </c>
      <c r="U12" s="183" t="s">
        <v>426</v>
      </c>
      <c r="V12" s="183"/>
      <c r="W12" s="189">
        <v>1</v>
      </c>
      <c r="X12" s="183" t="s">
        <v>228</v>
      </c>
      <c r="Y12" s="186"/>
      <c r="Z12" s="219">
        <f>SUM(W117:W186)</f>
        <v>40</v>
      </c>
      <c r="AA12" s="218">
        <f t="shared" ref="AA12:AH12" si="7">SUMIF($U$117:$U$186,TRIM(AA6),$W$117:$W$186)</f>
        <v>0</v>
      </c>
      <c r="AB12" s="218">
        <f t="shared" si="7"/>
        <v>2</v>
      </c>
      <c r="AC12" s="218">
        <f t="shared" si="7"/>
        <v>13</v>
      </c>
      <c r="AD12" s="218">
        <f t="shared" si="7"/>
        <v>15</v>
      </c>
      <c r="AE12" s="218">
        <f t="shared" si="7"/>
        <v>8</v>
      </c>
      <c r="AF12" s="218">
        <f t="shared" si="7"/>
        <v>2</v>
      </c>
      <c r="AG12" s="218">
        <f t="shared" si="7"/>
        <v>0</v>
      </c>
      <c r="AH12" s="218">
        <f t="shared" si="7"/>
        <v>0</v>
      </c>
    </row>
    <row r="13" spans="2:34">
      <c r="B13" s="589"/>
      <c r="C13" s="591"/>
      <c r="D13" s="209">
        <v>7</v>
      </c>
      <c r="E13" s="183" t="s">
        <v>492</v>
      </c>
      <c r="F13" s="184">
        <v>133.71</v>
      </c>
      <c r="G13" s="183">
        <v>5.2220000000000004</v>
      </c>
      <c r="H13" s="183">
        <v>6.6</v>
      </c>
      <c r="I13" s="192">
        <f t="shared" si="0"/>
        <v>1.2638835695135962</v>
      </c>
      <c r="J13" s="183">
        <v>0</v>
      </c>
      <c r="K13" s="192">
        <f t="shared" si="1"/>
        <v>0</v>
      </c>
      <c r="L13" s="184">
        <v>133.71</v>
      </c>
      <c r="M13" s="192">
        <f t="shared" si="2"/>
        <v>1.2638835695135962</v>
      </c>
      <c r="N13" s="184">
        <v>184.2523799999999</v>
      </c>
      <c r="O13" s="183">
        <v>1</v>
      </c>
      <c r="P13" s="185">
        <v>0.19149751053236305</v>
      </c>
      <c r="Q13" s="183">
        <v>0.37799999999999923</v>
      </c>
      <c r="R13" s="185">
        <v>7.2386058981233084E-2</v>
      </c>
      <c r="S13" s="184">
        <v>50.542379999999902</v>
      </c>
      <c r="T13" s="183" t="s">
        <v>487</v>
      </c>
      <c r="U13" s="183" t="s">
        <v>488</v>
      </c>
      <c r="V13" s="183"/>
      <c r="W13" s="189">
        <v>1</v>
      </c>
      <c r="X13" s="183" t="s">
        <v>493</v>
      </c>
      <c r="Y13" s="186" t="s">
        <v>494</v>
      </c>
      <c r="Z13" s="218"/>
      <c r="AA13" s="221">
        <f>SUMIF($U$117:$U$186,TRIM(AA6),$F$117:$F$186)</f>
        <v>0</v>
      </c>
      <c r="AB13" s="221">
        <f>SUMIF($U$117:$U$186,TRIM(AB6),$F$117:$F$186)</f>
        <v>322.63199999999995</v>
      </c>
      <c r="AC13" s="221">
        <f t="shared" ref="AC13:AH13" si="8">SUMIF($U$117:$U$186,TRIM(AC6),$F$117:$F$186)</f>
        <v>2023.2110000000002</v>
      </c>
      <c r="AD13" s="221">
        <f t="shared" si="8"/>
        <v>2363.1060000000002</v>
      </c>
      <c r="AE13" s="221">
        <f t="shared" si="8"/>
        <v>1294.1410000000001</v>
      </c>
      <c r="AF13" s="221">
        <f t="shared" si="8"/>
        <v>349.69999999999993</v>
      </c>
      <c r="AG13" s="221">
        <f t="shared" si="8"/>
        <v>0</v>
      </c>
      <c r="AH13" s="221">
        <f t="shared" si="8"/>
        <v>0</v>
      </c>
    </row>
    <row r="14" spans="2:34">
      <c r="B14" s="589"/>
      <c r="C14" s="591"/>
      <c r="D14" s="209">
        <v>8</v>
      </c>
      <c r="E14" s="183" t="s">
        <v>495</v>
      </c>
      <c r="F14" s="184">
        <v>133.464</v>
      </c>
      <c r="G14" s="183">
        <v>28.512</v>
      </c>
      <c r="H14" s="183">
        <v>29.2</v>
      </c>
      <c r="I14" s="192">
        <f t="shared" si="0"/>
        <v>1.0241301907968574</v>
      </c>
      <c r="J14" s="183">
        <v>0</v>
      </c>
      <c r="K14" s="192">
        <f t="shared" si="1"/>
        <v>0</v>
      </c>
      <c r="L14" s="184">
        <v>444.88</v>
      </c>
      <c r="M14" s="192">
        <f t="shared" si="2"/>
        <v>1.0241301907968574</v>
      </c>
      <c r="N14" s="184">
        <v>306.07743999999946</v>
      </c>
      <c r="O14" s="183">
        <v>0.3</v>
      </c>
      <c r="P14" s="185">
        <v>1.0521885521885521E-2</v>
      </c>
      <c r="Q14" s="183">
        <v>0.38799999999999885</v>
      </c>
      <c r="R14" s="185">
        <v>1.3608305274971901E-2</v>
      </c>
      <c r="S14" s="184">
        <v>172.61343999999949</v>
      </c>
      <c r="T14" s="183" t="s">
        <v>481</v>
      </c>
      <c r="U14" s="183" t="s">
        <v>419</v>
      </c>
      <c r="V14" s="183"/>
      <c r="W14" s="189">
        <v>1</v>
      </c>
      <c r="X14" s="183" t="s">
        <v>496</v>
      </c>
      <c r="Y14" s="186"/>
      <c r="Z14" s="218"/>
      <c r="AA14" s="219"/>
      <c r="AB14" s="219"/>
      <c r="AC14" s="218"/>
      <c r="AD14" s="218"/>
      <c r="AE14" s="218"/>
      <c r="AF14" s="218"/>
      <c r="AG14" s="218"/>
      <c r="AH14" s="218"/>
    </row>
    <row r="15" spans="2:34">
      <c r="B15" s="589"/>
      <c r="C15" s="591"/>
      <c r="D15" s="209">
        <v>9</v>
      </c>
      <c r="E15" s="183" t="s">
        <v>497</v>
      </c>
      <c r="F15" s="184">
        <v>129.108</v>
      </c>
      <c r="G15" s="183">
        <v>3.3679999999999999</v>
      </c>
      <c r="H15" s="183">
        <v>4.4000000000000004</v>
      </c>
      <c r="I15" s="192">
        <f t="shared" si="0"/>
        <v>1.306413301662708</v>
      </c>
      <c r="J15" s="183">
        <v>0</v>
      </c>
      <c r="K15" s="192">
        <f t="shared" si="1"/>
        <v>0</v>
      </c>
      <c r="L15" s="184">
        <v>184.44</v>
      </c>
      <c r="M15" s="192">
        <f t="shared" si="2"/>
        <v>1.306413301662708</v>
      </c>
      <c r="N15" s="184">
        <v>190.3420800000001</v>
      </c>
      <c r="O15" s="183">
        <v>0.70000000000000007</v>
      </c>
      <c r="P15" s="185">
        <v>0.20783847980997627</v>
      </c>
      <c r="Q15" s="183">
        <v>0.33200000000000041</v>
      </c>
      <c r="R15" s="185">
        <v>9.8574821852731712E-2</v>
      </c>
      <c r="S15" s="184">
        <v>61.234080000000077</v>
      </c>
      <c r="T15" s="183" t="s">
        <v>498</v>
      </c>
      <c r="U15" s="183" t="s">
        <v>488</v>
      </c>
      <c r="V15" s="183"/>
      <c r="W15" s="189">
        <v>1</v>
      </c>
      <c r="X15" s="183" t="s">
        <v>268</v>
      </c>
      <c r="Y15" s="186"/>
      <c r="Z15" s="219">
        <f>SUM(W187:W256)</f>
        <v>0</v>
      </c>
      <c r="AA15" s="218">
        <f t="shared" ref="AA15:AH15" si="9">SUMIF($U$187:$U$256,TRIM(AA6),$W$187:$W$256)</f>
        <v>0</v>
      </c>
      <c r="AB15" s="218">
        <f t="shared" si="9"/>
        <v>0</v>
      </c>
      <c r="AC15" s="218">
        <f t="shared" si="9"/>
        <v>0</v>
      </c>
      <c r="AD15" s="218">
        <f t="shared" si="9"/>
        <v>0</v>
      </c>
      <c r="AE15" s="218">
        <f t="shared" si="9"/>
        <v>0</v>
      </c>
      <c r="AF15" s="218">
        <f t="shared" si="9"/>
        <v>0</v>
      </c>
      <c r="AG15" s="218">
        <f t="shared" si="9"/>
        <v>0</v>
      </c>
      <c r="AH15" s="218">
        <f t="shared" si="9"/>
        <v>0</v>
      </c>
    </row>
    <row r="16" spans="2:34">
      <c r="B16" s="589"/>
      <c r="C16" s="591"/>
      <c r="D16" s="209">
        <v>10</v>
      </c>
      <c r="E16" s="183" t="s">
        <v>499</v>
      </c>
      <c r="F16" s="184">
        <v>129.02000000000001</v>
      </c>
      <c r="G16" s="183">
        <v>114.52800000000001</v>
      </c>
      <c r="H16" s="183">
        <v>115.2</v>
      </c>
      <c r="I16" s="192">
        <f t="shared" si="0"/>
        <v>1.0058675607711651</v>
      </c>
      <c r="J16" s="183">
        <v>0</v>
      </c>
      <c r="K16" s="192">
        <f t="shared" si="1"/>
        <v>0</v>
      </c>
      <c r="L16" s="184">
        <v>258.04000000000002</v>
      </c>
      <c r="M16" s="192">
        <f t="shared" si="2"/>
        <v>1.0058675607711651</v>
      </c>
      <c r="N16" s="184">
        <v>173.40287999999924</v>
      </c>
      <c r="O16" s="183">
        <v>0.5</v>
      </c>
      <c r="P16" s="185">
        <v>4.3657446214026259E-3</v>
      </c>
      <c r="Q16" s="183">
        <v>0.17199999999999704</v>
      </c>
      <c r="R16" s="185">
        <v>1.5018161497624776E-3</v>
      </c>
      <c r="S16" s="184">
        <v>44.38287999999924</v>
      </c>
      <c r="T16" s="183" t="s">
        <v>481</v>
      </c>
      <c r="U16" s="183" t="s">
        <v>419</v>
      </c>
      <c r="V16" s="183"/>
      <c r="W16" s="189">
        <v>1</v>
      </c>
      <c r="X16" s="183" t="s">
        <v>309</v>
      </c>
      <c r="Y16" s="186" t="s">
        <v>500</v>
      </c>
      <c r="Z16" s="218"/>
      <c r="AA16" s="221">
        <f>SUMIF($U$187:$U$256,TRIM(AA6),$F$187:$F$256)</f>
        <v>0</v>
      </c>
      <c r="AB16" s="221">
        <f t="shared" ref="AB16:AH16" si="10">SUMIF($U$187:$U$256,TRIM(AB6),$F$187:$F$256)</f>
        <v>0</v>
      </c>
      <c r="AC16" s="221">
        <f t="shared" si="10"/>
        <v>0</v>
      </c>
      <c r="AD16" s="221">
        <f t="shared" si="10"/>
        <v>0</v>
      </c>
      <c r="AE16" s="221">
        <f t="shared" si="10"/>
        <v>0</v>
      </c>
      <c r="AF16" s="221">
        <f t="shared" si="10"/>
        <v>0</v>
      </c>
      <c r="AG16" s="221">
        <f t="shared" si="10"/>
        <v>0</v>
      </c>
      <c r="AH16" s="221">
        <f t="shared" si="10"/>
        <v>0</v>
      </c>
    </row>
    <row r="17" spans="2:34">
      <c r="B17" s="588">
        <v>45902</v>
      </c>
      <c r="C17" s="590" t="s">
        <v>204</v>
      </c>
      <c r="D17" s="209">
        <v>1</v>
      </c>
      <c r="E17" s="183" t="s">
        <v>501</v>
      </c>
      <c r="F17" s="184">
        <v>174.57599999999999</v>
      </c>
      <c r="G17" s="183">
        <v>22.742999999999999</v>
      </c>
      <c r="H17" s="183">
        <v>23.4</v>
      </c>
      <c r="I17" s="192">
        <f t="shared" si="0"/>
        <v>1.0288880094974278</v>
      </c>
      <c r="J17" s="183">
        <v>0</v>
      </c>
      <c r="K17" s="192">
        <f t="shared" si="1"/>
        <v>0</v>
      </c>
      <c r="L17" s="184">
        <v>581.91999999999996</v>
      </c>
      <c r="M17" s="192">
        <f t="shared" si="2"/>
        <v>1.0288880094974278</v>
      </c>
      <c r="N17" s="184">
        <v>382.32144</v>
      </c>
      <c r="O17" s="183">
        <v>0.3</v>
      </c>
      <c r="P17" s="185">
        <v>1.3190871916633691E-2</v>
      </c>
      <c r="Q17" s="183">
        <v>0.35700000000000004</v>
      </c>
      <c r="R17" s="185">
        <v>1.5697137580794093E-2</v>
      </c>
      <c r="S17" s="184">
        <v>207.74544</v>
      </c>
      <c r="T17" s="183" t="s">
        <v>481</v>
      </c>
      <c r="U17" s="183" t="s">
        <v>419</v>
      </c>
      <c r="V17" s="183"/>
      <c r="W17" s="189">
        <v>1</v>
      </c>
      <c r="X17" s="183" t="s">
        <v>286</v>
      </c>
      <c r="Y17" s="186"/>
      <c r="Z17" s="218"/>
      <c r="AA17" s="219"/>
      <c r="AB17" s="219"/>
      <c r="AC17" s="218"/>
      <c r="AD17" s="218"/>
      <c r="AE17" s="218"/>
      <c r="AF17" s="218"/>
      <c r="AG17" s="218"/>
      <c r="AH17" s="218"/>
    </row>
    <row r="18" spans="2:34">
      <c r="B18" s="589"/>
      <c r="C18" s="591"/>
      <c r="D18" s="209">
        <v>2</v>
      </c>
      <c r="E18" s="183" t="s">
        <v>439</v>
      </c>
      <c r="F18" s="184">
        <v>157.71899999999999</v>
      </c>
      <c r="G18" s="183">
        <v>25.584</v>
      </c>
      <c r="H18" s="183">
        <v>26.3</v>
      </c>
      <c r="I18" s="192">
        <f t="shared" si="0"/>
        <v>1.0279862414008756</v>
      </c>
      <c r="J18" s="183">
        <v>0</v>
      </c>
      <c r="K18" s="192">
        <f t="shared" si="1"/>
        <v>0</v>
      </c>
      <c r="L18" s="184">
        <v>525.73</v>
      </c>
      <c r="M18" s="192">
        <f t="shared" si="2"/>
        <v>1.0279862414008756</v>
      </c>
      <c r="N18" s="184">
        <v>376.42268000000058</v>
      </c>
      <c r="O18" s="183">
        <v>0.3</v>
      </c>
      <c r="P18" s="185">
        <v>1.172607879924953E-2</v>
      </c>
      <c r="Q18" s="183">
        <v>0.41600000000000109</v>
      </c>
      <c r="R18" s="185">
        <v>1.626016260162606E-2</v>
      </c>
      <c r="S18" s="184">
        <v>218.70368000000059</v>
      </c>
      <c r="T18" s="183" t="s">
        <v>481</v>
      </c>
      <c r="U18" s="183" t="s">
        <v>419</v>
      </c>
      <c r="V18" s="183"/>
      <c r="W18" s="189">
        <v>1</v>
      </c>
      <c r="X18" s="183" t="s">
        <v>275</v>
      </c>
      <c r="Y18" s="186"/>
      <c r="Z18" s="219">
        <f>SUM(W257:W326)</f>
        <v>0</v>
      </c>
      <c r="AA18" s="218">
        <f t="shared" ref="AA18:AH18" si="11">SUMIF($U$257:$U$326,TRIM(AA6),$W$257:$W$326)</f>
        <v>0</v>
      </c>
      <c r="AB18" s="218">
        <f t="shared" si="11"/>
        <v>0</v>
      </c>
      <c r="AC18" s="218">
        <f t="shared" si="11"/>
        <v>0</v>
      </c>
      <c r="AD18" s="218">
        <f t="shared" si="11"/>
        <v>0</v>
      </c>
      <c r="AE18" s="218">
        <f t="shared" si="11"/>
        <v>0</v>
      </c>
      <c r="AF18" s="218">
        <f t="shared" si="11"/>
        <v>0</v>
      </c>
      <c r="AG18" s="218">
        <f t="shared" si="11"/>
        <v>0</v>
      </c>
      <c r="AH18" s="218">
        <f t="shared" si="11"/>
        <v>0</v>
      </c>
    </row>
    <row r="19" spans="2:34">
      <c r="B19" s="589"/>
      <c r="C19" s="591"/>
      <c r="D19" s="209">
        <v>3</v>
      </c>
      <c r="E19" s="183" t="s">
        <v>502</v>
      </c>
      <c r="F19" s="184">
        <v>154.392</v>
      </c>
      <c r="G19" s="183">
        <v>101.01300000000001</v>
      </c>
      <c r="H19" s="183">
        <v>103.6</v>
      </c>
      <c r="I19" s="192">
        <f t="shared" si="0"/>
        <v>1.025610564976785</v>
      </c>
      <c r="J19" s="183">
        <v>0</v>
      </c>
      <c r="K19" s="192">
        <f t="shared" si="1"/>
        <v>0</v>
      </c>
      <c r="L19" s="184">
        <v>73.52</v>
      </c>
      <c r="M19" s="192">
        <f t="shared" si="2"/>
        <v>1.025610564976785</v>
      </c>
      <c r="N19" s="184">
        <v>190.19623999999919</v>
      </c>
      <c r="O19" s="183">
        <v>2.1</v>
      </c>
      <c r="P19" s="185">
        <v>2.0789403344124022E-2</v>
      </c>
      <c r="Q19" s="183">
        <v>0.486999999999989</v>
      </c>
      <c r="R19" s="185">
        <v>4.8211616326610338E-3</v>
      </c>
      <c r="S19" s="184">
        <v>35.80423999999919</v>
      </c>
      <c r="T19" s="183" t="s">
        <v>481</v>
      </c>
      <c r="U19" s="183" t="s">
        <v>419</v>
      </c>
      <c r="V19" s="183"/>
      <c r="W19" s="189">
        <v>1</v>
      </c>
      <c r="X19" s="183" t="s">
        <v>298</v>
      </c>
      <c r="Y19" s="186" t="s">
        <v>503</v>
      </c>
      <c r="Z19" s="218"/>
      <c r="AA19" s="221">
        <f>SUMIF($U$257:$U$326,TRIM(AA6),$F$257:$F$326)</f>
        <v>0</v>
      </c>
      <c r="AB19" s="221">
        <f t="shared" ref="AB19:AH19" si="12">SUMIF($U$257:$U$326,TRIM(AB6),$F$257:$F$326)</f>
        <v>0</v>
      </c>
      <c r="AC19" s="221">
        <f t="shared" si="12"/>
        <v>0</v>
      </c>
      <c r="AD19" s="221">
        <f t="shared" si="12"/>
        <v>0</v>
      </c>
      <c r="AE19" s="221">
        <f t="shared" si="12"/>
        <v>0</v>
      </c>
      <c r="AF19" s="221">
        <f t="shared" si="12"/>
        <v>0</v>
      </c>
      <c r="AG19" s="221">
        <f t="shared" si="12"/>
        <v>0</v>
      </c>
      <c r="AH19" s="221">
        <f t="shared" si="12"/>
        <v>0</v>
      </c>
    </row>
    <row r="20" spans="2:34">
      <c r="B20" s="589"/>
      <c r="C20" s="591"/>
      <c r="D20" s="209">
        <v>4</v>
      </c>
      <c r="E20" s="183" t="s">
        <v>504</v>
      </c>
      <c r="F20" s="184">
        <v>153.41200000000001</v>
      </c>
      <c r="G20" s="183">
        <v>26.975999999999999</v>
      </c>
      <c r="H20" s="183">
        <v>27.8</v>
      </c>
      <c r="I20" s="192">
        <f t="shared" si="0"/>
        <v>1.0305456702253857</v>
      </c>
      <c r="J20" s="183">
        <v>0</v>
      </c>
      <c r="K20" s="192">
        <f t="shared" si="1"/>
        <v>0</v>
      </c>
      <c r="L20" s="184">
        <v>219.16</v>
      </c>
      <c r="M20" s="192">
        <f t="shared" si="2"/>
        <v>1.0305456702253857</v>
      </c>
      <c r="N20" s="184">
        <v>180.58784000000034</v>
      </c>
      <c r="O20" s="183">
        <v>0.70000000000000007</v>
      </c>
      <c r="P20" s="185">
        <v>2.594899169632266E-2</v>
      </c>
      <c r="Q20" s="183">
        <v>0.12400000000000155</v>
      </c>
      <c r="R20" s="185">
        <v>4.5966785290629288E-3</v>
      </c>
      <c r="S20" s="184">
        <v>27.175840000000338</v>
      </c>
      <c r="T20" s="183" t="s">
        <v>498</v>
      </c>
      <c r="U20" s="183" t="s">
        <v>488</v>
      </c>
      <c r="V20" s="183"/>
      <c r="W20" s="189">
        <v>1</v>
      </c>
      <c r="X20" s="183" t="s">
        <v>263</v>
      </c>
      <c r="Y20" s="186"/>
      <c r="Z20" s="218"/>
      <c r="AA20" s="219"/>
      <c r="AB20" s="219"/>
      <c r="AC20" s="218"/>
      <c r="AD20" s="218"/>
      <c r="AE20" s="218"/>
      <c r="AF20" s="218"/>
      <c r="AG20" s="218"/>
      <c r="AH20" s="218"/>
    </row>
    <row r="21" spans="2:34">
      <c r="B21" s="589"/>
      <c r="C21" s="591"/>
      <c r="D21" s="209">
        <v>5</v>
      </c>
      <c r="E21" s="183" t="s">
        <v>505</v>
      </c>
      <c r="F21" s="184">
        <v>153.018</v>
      </c>
      <c r="G21" s="183">
        <v>135.80000000000001</v>
      </c>
      <c r="H21" s="183">
        <v>136.30000000000001</v>
      </c>
      <c r="I21" s="192">
        <f t="shared" si="0"/>
        <v>1.0036818851251841</v>
      </c>
      <c r="J21" s="183">
        <v>0</v>
      </c>
      <c r="K21" s="192">
        <f t="shared" si="1"/>
        <v>0</v>
      </c>
      <c r="L21" s="184">
        <v>510.06</v>
      </c>
      <c r="M21" s="192">
        <f t="shared" si="2"/>
        <v>1.0036818851251841</v>
      </c>
      <c r="N21" s="184">
        <v>255.03</v>
      </c>
      <c r="O21" s="183">
        <v>0.3</v>
      </c>
      <c r="P21" s="185">
        <v>2.2091310751104561E-3</v>
      </c>
      <c r="Q21" s="183">
        <v>0.2</v>
      </c>
      <c r="R21" s="185">
        <v>1.4727540500736377E-3</v>
      </c>
      <c r="S21" s="184">
        <v>102.012</v>
      </c>
      <c r="T21" s="183" t="s">
        <v>481</v>
      </c>
      <c r="U21" s="183" t="s">
        <v>419</v>
      </c>
      <c r="V21" s="183"/>
      <c r="W21" s="189">
        <v>1</v>
      </c>
      <c r="X21" s="183" t="s">
        <v>420</v>
      </c>
      <c r="Y21" s="186"/>
      <c r="Z21" s="187"/>
      <c r="AA21" s="187"/>
      <c r="AB21" s="187"/>
      <c r="AC21" s="187"/>
      <c r="AD21" s="187"/>
      <c r="AE21" s="187"/>
      <c r="AF21" s="187"/>
      <c r="AG21" s="187"/>
      <c r="AH21" s="187"/>
    </row>
    <row r="22" spans="2:34" ht="16.5">
      <c r="B22" s="589"/>
      <c r="C22" s="591"/>
      <c r="D22" s="209">
        <v>6</v>
      </c>
      <c r="E22" s="183" t="s">
        <v>506</v>
      </c>
      <c r="F22" s="184">
        <v>150.78700000000001</v>
      </c>
      <c r="G22" s="183">
        <v>28.184999999999999</v>
      </c>
      <c r="H22" s="183">
        <v>29.8</v>
      </c>
      <c r="I22" s="192">
        <f t="shared" si="0"/>
        <v>1.0572999822600675</v>
      </c>
      <c r="J22" s="183">
        <v>0</v>
      </c>
      <c r="K22" s="192">
        <f t="shared" si="1"/>
        <v>0</v>
      </c>
      <c r="L22" s="184">
        <v>115.99</v>
      </c>
      <c r="M22" s="192">
        <f t="shared" si="2"/>
        <v>1.0572999822600675</v>
      </c>
      <c r="N22" s="184">
        <v>187.32385000000022</v>
      </c>
      <c r="O22" s="183">
        <v>1.3</v>
      </c>
      <c r="P22" s="185">
        <v>4.612382472946603E-2</v>
      </c>
      <c r="Q22" s="183">
        <v>0.31500000000000195</v>
      </c>
      <c r="R22" s="185">
        <v>1.1176157530601452E-2</v>
      </c>
      <c r="S22" s="184">
        <v>36.536850000000221</v>
      </c>
      <c r="T22" s="183" t="s">
        <v>487</v>
      </c>
      <c r="U22" s="183" t="s">
        <v>488</v>
      </c>
      <c r="V22" s="183"/>
      <c r="W22" s="189">
        <v>1</v>
      </c>
      <c r="X22" s="183" t="s">
        <v>307</v>
      </c>
      <c r="Y22" s="220" t="s">
        <v>507</v>
      </c>
      <c r="Z22" s="218">
        <f>SUM(W7:W9970)</f>
        <v>150</v>
      </c>
      <c r="AA22" s="219">
        <f t="shared" ref="AA22:AH22" si="13">SUMIF($U$7:$U$9970,TRIM(AA6),$W$7:$W$9970)</f>
        <v>0</v>
      </c>
      <c r="AB22" s="219">
        <f t="shared" si="13"/>
        <v>7</v>
      </c>
      <c r="AC22" s="218">
        <f t="shared" si="13"/>
        <v>34</v>
      </c>
      <c r="AD22" s="218">
        <f t="shared" si="13"/>
        <v>70</v>
      </c>
      <c r="AE22" s="218">
        <f t="shared" si="13"/>
        <v>26</v>
      </c>
      <c r="AF22" s="218">
        <f t="shared" si="13"/>
        <v>13</v>
      </c>
      <c r="AG22" s="218">
        <f t="shared" si="13"/>
        <v>0</v>
      </c>
      <c r="AH22" s="218">
        <f t="shared" si="13"/>
        <v>0</v>
      </c>
    </row>
    <row r="23" spans="2:34">
      <c r="B23" s="589"/>
      <c r="C23" s="591"/>
      <c r="D23" s="209">
        <v>7</v>
      </c>
      <c r="E23" s="183" t="s">
        <v>431</v>
      </c>
      <c r="F23" s="184">
        <v>150.57900000000001</v>
      </c>
      <c r="G23" s="183">
        <v>293.69799999999998</v>
      </c>
      <c r="H23" s="183">
        <v>296.7</v>
      </c>
      <c r="I23" s="192">
        <f t="shared" si="0"/>
        <v>1.0102213838705065</v>
      </c>
      <c r="J23" s="183">
        <v>0</v>
      </c>
      <c r="K23" s="192">
        <f t="shared" si="1"/>
        <v>0</v>
      </c>
      <c r="L23" s="184">
        <v>136.88999999999999</v>
      </c>
      <c r="M23" s="192">
        <f t="shared" si="2"/>
        <v>1.0102213838705065</v>
      </c>
      <c r="N23" s="184">
        <v>410.94378000000125</v>
      </c>
      <c r="O23" s="183">
        <v>1.1000000000000001</v>
      </c>
      <c r="P23" s="185">
        <v>3.7453438566146182E-3</v>
      </c>
      <c r="Q23" s="183">
        <v>1.9020000000000095</v>
      </c>
      <c r="R23" s="185">
        <v>6.4760400138918536E-3</v>
      </c>
      <c r="S23" s="184">
        <v>260.36478000000125</v>
      </c>
      <c r="T23" s="183" t="s">
        <v>484</v>
      </c>
      <c r="U23" s="183" t="s">
        <v>426</v>
      </c>
      <c r="V23" s="183"/>
      <c r="W23" s="189">
        <v>1</v>
      </c>
      <c r="X23" s="183" t="s">
        <v>420</v>
      </c>
      <c r="Z23" s="218"/>
      <c r="AA23" s="221">
        <f t="shared" ref="AA23:AH23" si="14">SUMIF($U$7:$U$9970,TRIM(AA6),$F$7:$F$9970)</f>
        <v>0</v>
      </c>
      <c r="AB23" s="221">
        <f t="shared" si="14"/>
        <v>1043.9309999999998</v>
      </c>
      <c r="AC23" s="221">
        <f t="shared" si="14"/>
        <v>5038.8999999999996</v>
      </c>
      <c r="AD23" s="221">
        <f t="shared" si="14"/>
        <v>10478.706</v>
      </c>
      <c r="AE23" s="221">
        <f t="shared" si="14"/>
        <v>4121.3890000000001</v>
      </c>
      <c r="AF23" s="221">
        <f t="shared" si="14"/>
        <v>2173.6340000000005</v>
      </c>
      <c r="AG23" s="221">
        <f t="shared" si="14"/>
        <v>0</v>
      </c>
      <c r="AH23" s="221">
        <f t="shared" si="14"/>
        <v>0</v>
      </c>
    </row>
    <row r="24" spans="2:34">
      <c r="B24" s="589"/>
      <c r="C24" s="591"/>
      <c r="D24" s="209">
        <v>8</v>
      </c>
      <c r="E24" s="183" t="s">
        <v>508</v>
      </c>
      <c r="F24" s="184">
        <v>148.995</v>
      </c>
      <c r="G24" s="183">
        <v>129.232</v>
      </c>
      <c r="H24" s="183">
        <v>131.69999999999999</v>
      </c>
      <c r="I24" s="192">
        <f t="shared" si="0"/>
        <v>1.019097437167265</v>
      </c>
      <c r="J24" s="183">
        <v>0</v>
      </c>
      <c r="K24" s="192">
        <f t="shared" si="1"/>
        <v>0</v>
      </c>
      <c r="L24" s="184">
        <v>70.95</v>
      </c>
      <c r="M24" s="192">
        <f t="shared" si="2"/>
        <v>1.019097437167265</v>
      </c>
      <c r="N24" s="184">
        <v>175.10459999999924</v>
      </c>
      <c r="O24" s="183">
        <v>2.1</v>
      </c>
      <c r="P24" s="185">
        <v>1.6249845239569148E-2</v>
      </c>
      <c r="Q24" s="183">
        <v>0.36799999999998922</v>
      </c>
      <c r="R24" s="185">
        <v>2.8475919276958433E-3</v>
      </c>
      <c r="S24" s="184">
        <v>26.109599999999237</v>
      </c>
      <c r="T24" s="183" t="s">
        <v>481</v>
      </c>
      <c r="U24" s="183" t="s">
        <v>419</v>
      </c>
      <c r="V24" s="183"/>
      <c r="W24" s="189">
        <v>1</v>
      </c>
      <c r="X24" s="183" t="s">
        <v>295</v>
      </c>
    </row>
    <row r="25" spans="2:34">
      <c r="B25" s="589"/>
      <c r="C25" s="591"/>
      <c r="D25" s="209">
        <v>9</v>
      </c>
      <c r="E25" s="183" t="s">
        <v>509</v>
      </c>
      <c r="F25" s="184">
        <v>148.4</v>
      </c>
      <c r="G25" s="183">
        <v>82.56</v>
      </c>
      <c r="H25" s="183">
        <v>84.6</v>
      </c>
      <c r="I25" s="192">
        <f t="shared" si="0"/>
        <v>1.0247093023255813</v>
      </c>
      <c r="J25" s="183">
        <v>0</v>
      </c>
      <c r="K25" s="192">
        <f t="shared" si="1"/>
        <v>0</v>
      </c>
      <c r="L25" s="184">
        <v>92.75</v>
      </c>
      <c r="M25" s="192">
        <f t="shared" si="2"/>
        <v>1.0247093023255813</v>
      </c>
      <c r="N25" s="184">
        <v>189.20999999999927</v>
      </c>
      <c r="O25" s="183">
        <v>1.6</v>
      </c>
      <c r="P25" s="185">
        <v>1.937984496124031E-2</v>
      </c>
      <c r="Q25" s="183">
        <v>0.43999999999999195</v>
      </c>
      <c r="R25" s="185">
        <v>5.3294573643409881E-3</v>
      </c>
      <c r="S25" s="184">
        <v>40.809999999999256</v>
      </c>
      <c r="T25" s="183" t="s">
        <v>481</v>
      </c>
      <c r="U25" s="183" t="s">
        <v>419</v>
      </c>
      <c r="V25" s="183"/>
      <c r="W25" s="189">
        <v>1</v>
      </c>
      <c r="X25" s="183" t="s">
        <v>323</v>
      </c>
    </row>
    <row r="26" spans="2:34">
      <c r="B26" s="589"/>
      <c r="C26" s="591"/>
      <c r="D26" s="209">
        <v>10</v>
      </c>
      <c r="E26" s="183" t="s">
        <v>492</v>
      </c>
      <c r="F26" s="184">
        <v>147.08100000000002</v>
      </c>
      <c r="G26" s="183">
        <v>5.593</v>
      </c>
      <c r="H26" s="183">
        <v>6.9</v>
      </c>
      <c r="I26" s="192">
        <f t="shared" si="0"/>
        <v>1.233684963347041</v>
      </c>
      <c r="J26" s="183">
        <v>0</v>
      </c>
      <c r="K26" s="192">
        <f t="shared" si="1"/>
        <v>0</v>
      </c>
      <c r="L26" s="184">
        <v>133.71</v>
      </c>
      <c r="M26" s="192">
        <f t="shared" si="2"/>
        <v>1.233684963347041</v>
      </c>
      <c r="N26" s="184">
        <v>174.75897000000006</v>
      </c>
      <c r="O26" s="183">
        <v>1.1000000000000001</v>
      </c>
      <c r="P26" s="185">
        <v>0.19667441444662973</v>
      </c>
      <c r="Q26" s="183">
        <v>0.20700000000000029</v>
      </c>
      <c r="R26" s="185">
        <v>3.7010548900411284E-2</v>
      </c>
      <c r="S26" s="184">
        <v>27.677970000000041</v>
      </c>
      <c r="T26" s="183" t="s">
        <v>487</v>
      </c>
      <c r="U26" s="183" t="s">
        <v>510</v>
      </c>
      <c r="V26" s="183"/>
      <c r="W26" s="189">
        <v>1</v>
      </c>
      <c r="X26" s="183" t="s">
        <v>493</v>
      </c>
    </row>
    <row r="27" spans="2:34">
      <c r="B27" s="588">
        <v>45903</v>
      </c>
      <c r="C27" s="590" t="s">
        <v>205</v>
      </c>
      <c r="D27" s="209">
        <v>1</v>
      </c>
      <c r="E27" s="183" t="s">
        <v>511</v>
      </c>
      <c r="F27" s="184">
        <v>203.42000000000002</v>
      </c>
      <c r="G27" s="183">
        <v>143.286</v>
      </c>
      <c r="H27" s="183">
        <v>140.1</v>
      </c>
      <c r="I27" s="192">
        <f t="shared" si="0"/>
        <v>0.97776475021984</v>
      </c>
      <c r="J27" s="183">
        <v>17.600000000000001</v>
      </c>
      <c r="K27" s="192">
        <f t="shared" si="1"/>
        <v>0.12283126055581146</v>
      </c>
      <c r="L27" s="184">
        <v>290.60000000000002</v>
      </c>
      <c r="M27" s="192">
        <f t="shared" si="2"/>
        <v>1.1005960107756514</v>
      </c>
      <c r="N27" s="184">
        <v>4188.7083999999968</v>
      </c>
      <c r="O27" s="183">
        <v>0.7</v>
      </c>
      <c r="P27" s="185">
        <v>4.8853342266515914E-3</v>
      </c>
      <c r="Q27" s="183">
        <v>13.713999999999988</v>
      </c>
      <c r="R27" s="185">
        <v>9.5710676548999812E-2</v>
      </c>
      <c r="S27" s="184">
        <v>3985.2883999999967</v>
      </c>
      <c r="T27" s="183" t="s">
        <v>484</v>
      </c>
      <c r="U27" s="183" t="s">
        <v>436</v>
      </c>
      <c r="V27" s="183"/>
      <c r="W27" s="189">
        <v>1</v>
      </c>
      <c r="X27" s="183" t="s">
        <v>311</v>
      </c>
    </row>
    <row r="28" spans="2:34">
      <c r="B28" s="589"/>
      <c r="C28" s="591"/>
      <c r="D28" s="209">
        <v>2</v>
      </c>
      <c r="E28" s="183" t="s">
        <v>429</v>
      </c>
      <c r="F28" s="184">
        <v>186.072</v>
      </c>
      <c r="G28" s="183">
        <v>11.032999999999999</v>
      </c>
      <c r="H28" s="183">
        <v>11.5</v>
      </c>
      <c r="I28" s="192">
        <f t="shared" si="0"/>
        <v>1.0423275627662467</v>
      </c>
      <c r="J28" s="183">
        <v>0</v>
      </c>
      <c r="K28" s="192">
        <f t="shared" si="1"/>
        <v>0</v>
      </c>
      <c r="L28" s="184">
        <v>930.36</v>
      </c>
      <c r="M28" s="192">
        <f t="shared" si="2"/>
        <v>1.0423275627662467</v>
      </c>
      <c r="N28" s="184">
        <v>434.4781200000005</v>
      </c>
      <c r="O28" s="183">
        <v>0.2</v>
      </c>
      <c r="P28" s="185">
        <v>1.8127435874195599E-2</v>
      </c>
      <c r="Q28" s="183">
        <v>0.26700000000000051</v>
      </c>
      <c r="R28" s="185">
        <v>2.4200126892051168E-2</v>
      </c>
      <c r="S28" s="184">
        <v>248.40612000000047</v>
      </c>
      <c r="T28" s="183" t="s">
        <v>484</v>
      </c>
      <c r="U28" s="183" t="s">
        <v>426</v>
      </c>
      <c r="V28" s="183"/>
      <c r="W28" s="189">
        <v>1</v>
      </c>
      <c r="X28" s="183" t="s">
        <v>279</v>
      </c>
    </row>
    <row r="29" spans="2:34">
      <c r="B29" s="589"/>
      <c r="C29" s="591"/>
      <c r="D29" s="209">
        <v>3</v>
      </c>
      <c r="E29" s="183" t="s">
        <v>512</v>
      </c>
      <c r="F29" s="184">
        <v>134.04499999999999</v>
      </c>
      <c r="G29" s="183">
        <v>408.642</v>
      </c>
      <c r="H29" s="183">
        <v>411.5</v>
      </c>
      <c r="I29" s="192">
        <f t="shared" si="0"/>
        <v>1.0069938968583749</v>
      </c>
      <c r="J29" s="183">
        <v>0</v>
      </c>
      <c r="K29" s="192">
        <f t="shared" si="1"/>
        <v>0</v>
      </c>
      <c r="L29" s="184">
        <v>78.849999999999994</v>
      </c>
      <c r="M29" s="192">
        <f t="shared" si="2"/>
        <v>1.0069938968583749</v>
      </c>
      <c r="N29" s="184">
        <v>225.3533000000003</v>
      </c>
      <c r="O29" s="183">
        <v>1.7</v>
      </c>
      <c r="P29" s="185">
        <v>4.1601205945546466E-3</v>
      </c>
      <c r="Q29" s="183">
        <v>1.1580000000000041</v>
      </c>
      <c r="R29" s="185">
        <v>2.8337762638201754E-3</v>
      </c>
      <c r="S29" s="184">
        <v>91.308300000000315</v>
      </c>
      <c r="T29" s="183" t="s">
        <v>481</v>
      </c>
      <c r="U29" s="183" t="s">
        <v>419</v>
      </c>
      <c r="V29" s="183"/>
      <c r="W29" s="189">
        <v>1</v>
      </c>
      <c r="X29" s="183" t="s">
        <v>289</v>
      </c>
    </row>
    <row r="30" spans="2:34">
      <c r="B30" s="589"/>
      <c r="C30" s="591"/>
      <c r="D30" s="209">
        <v>4</v>
      </c>
      <c r="E30" s="183" t="s">
        <v>513</v>
      </c>
      <c r="F30" s="184">
        <v>133.97999999999999</v>
      </c>
      <c r="G30" s="183">
        <v>137.55000000000001</v>
      </c>
      <c r="H30" s="183">
        <v>140.4</v>
      </c>
      <c r="I30" s="192">
        <f t="shared" si="0"/>
        <v>1.0207197382769901</v>
      </c>
      <c r="J30" s="183">
        <v>0</v>
      </c>
      <c r="K30" s="192">
        <f t="shared" si="1"/>
        <v>0</v>
      </c>
      <c r="L30" s="184">
        <v>66.989999999999995</v>
      </c>
      <c r="M30" s="192">
        <f t="shared" si="2"/>
        <v>1.0207197382769901</v>
      </c>
      <c r="N30" s="184">
        <v>190.92149999999961</v>
      </c>
      <c r="O30" s="183">
        <v>2</v>
      </c>
      <c r="P30" s="185">
        <v>1.4540167211922935E-2</v>
      </c>
      <c r="Q30" s="183">
        <v>0.84999999999999432</v>
      </c>
      <c r="R30" s="185">
        <v>6.1795710650672069E-3</v>
      </c>
      <c r="S30" s="184">
        <v>56.941499999999614</v>
      </c>
      <c r="T30" s="183" t="s">
        <v>481</v>
      </c>
      <c r="U30" s="183" t="s">
        <v>419</v>
      </c>
      <c r="V30" s="183"/>
      <c r="W30" s="189">
        <v>1</v>
      </c>
      <c r="X30" s="183" t="s">
        <v>277</v>
      </c>
    </row>
    <row r="31" spans="2:34">
      <c r="B31" s="589"/>
      <c r="C31" s="591"/>
      <c r="D31" s="209">
        <v>5</v>
      </c>
      <c r="E31" s="183" t="s">
        <v>495</v>
      </c>
      <c r="F31" s="184">
        <v>133.464</v>
      </c>
      <c r="G31" s="183">
        <v>24.533999999999999</v>
      </c>
      <c r="H31" s="183">
        <v>25.3</v>
      </c>
      <c r="I31" s="192">
        <f t="shared" si="0"/>
        <v>1.0312219776636504</v>
      </c>
      <c r="J31" s="183">
        <v>0</v>
      </c>
      <c r="K31" s="192">
        <f t="shared" si="1"/>
        <v>0</v>
      </c>
      <c r="L31" s="184">
        <v>444.88</v>
      </c>
      <c r="M31" s="192">
        <f t="shared" si="2"/>
        <v>1.0312219776636504</v>
      </c>
      <c r="N31" s="184">
        <v>340.77808000000078</v>
      </c>
      <c r="O31" s="183">
        <v>0.3</v>
      </c>
      <c r="P31" s="185">
        <v>1.2227928588897041E-2</v>
      </c>
      <c r="Q31" s="183">
        <v>0.4660000000000018</v>
      </c>
      <c r="R31" s="185">
        <v>1.8994049074753477E-2</v>
      </c>
      <c r="S31" s="184">
        <v>207.31408000000079</v>
      </c>
      <c r="T31" s="183" t="s">
        <v>481</v>
      </c>
      <c r="U31" s="183" t="s">
        <v>419</v>
      </c>
      <c r="V31" s="183"/>
      <c r="W31" s="189">
        <v>1</v>
      </c>
      <c r="X31" s="183" t="s">
        <v>496</v>
      </c>
    </row>
    <row r="32" spans="2:34">
      <c r="B32" s="589"/>
      <c r="C32" s="591"/>
      <c r="D32" s="209">
        <v>6</v>
      </c>
      <c r="E32" s="183" t="s">
        <v>514</v>
      </c>
      <c r="F32" s="184">
        <v>133.44</v>
      </c>
      <c r="G32" s="183">
        <v>215.18</v>
      </c>
      <c r="H32" s="183">
        <v>218.4</v>
      </c>
      <c r="I32" s="192">
        <f t="shared" si="0"/>
        <v>1.014964216005205</v>
      </c>
      <c r="J32" s="183">
        <v>0</v>
      </c>
      <c r="K32" s="192">
        <f t="shared" si="1"/>
        <v>0</v>
      </c>
      <c r="L32" s="184">
        <v>55.6</v>
      </c>
      <c r="M32" s="192">
        <f t="shared" si="2"/>
        <v>1.014964216005205</v>
      </c>
      <c r="N32" s="184">
        <v>179.03199999999995</v>
      </c>
      <c r="O32" s="183">
        <v>2.4</v>
      </c>
      <c r="P32" s="185">
        <v>1.1153452923134119E-2</v>
      </c>
      <c r="Q32" s="183">
        <v>0.81999999999999895</v>
      </c>
      <c r="R32" s="185">
        <v>3.8107630820708193E-3</v>
      </c>
      <c r="S32" s="184">
        <v>45.591999999999942</v>
      </c>
      <c r="T32" s="183" t="s">
        <v>481</v>
      </c>
      <c r="U32" s="183" t="s">
        <v>419</v>
      </c>
      <c r="V32" s="183"/>
      <c r="W32" s="189">
        <v>1</v>
      </c>
      <c r="X32" s="183" t="s">
        <v>282</v>
      </c>
    </row>
    <row r="33" spans="2:24">
      <c r="B33" s="589"/>
      <c r="C33" s="591"/>
      <c r="D33" s="209">
        <v>7</v>
      </c>
      <c r="E33" s="183" t="s">
        <v>515</v>
      </c>
      <c r="F33" s="184">
        <v>133.27500000000001</v>
      </c>
      <c r="G33" s="183">
        <v>69.674000000000007</v>
      </c>
      <c r="H33" s="183">
        <v>73.2</v>
      </c>
      <c r="I33" s="192">
        <f t="shared" si="0"/>
        <v>1.0506071131268477</v>
      </c>
      <c r="J33" s="183">
        <v>0</v>
      </c>
      <c r="K33" s="192">
        <f t="shared" si="1"/>
        <v>0</v>
      </c>
      <c r="L33" s="184">
        <v>53.31</v>
      </c>
      <c r="M33" s="192">
        <f t="shared" si="2"/>
        <v>1.0506071131268477</v>
      </c>
      <c r="N33" s="184">
        <v>187.9710599999998</v>
      </c>
      <c r="O33" s="183">
        <v>2.5</v>
      </c>
      <c r="P33" s="185">
        <v>3.5881390475643711E-2</v>
      </c>
      <c r="Q33" s="183">
        <v>1.0259999999999962</v>
      </c>
      <c r="R33" s="185">
        <v>1.4725722651204124E-2</v>
      </c>
      <c r="S33" s="184">
        <v>54.696059999999804</v>
      </c>
      <c r="T33" s="183" t="s">
        <v>487</v>
      </c>
      <c r="U33" s="183" t="s">
        <v>488</v>
      </c>
      <c r="V33" s="183"/>
      <c r="W33" s="189">
        <v>1</v>
      </c>
      <c r="X33" s="183" t="s">
        <v>308</v>
      </c>
    </row>
    <row r="34" spans="2:24">
      <c r="B34" s="589"/>
      <c r="C34" s="591"/>
      <c r="D34" s="209">
        <v>8</v>
      </c>
      <c r="E34" s="183" t="s">
        <v>516</v>
      </c>
      <c r="F34" s="184">
        <v>130.98000000000002</v>
      </c>
      <c r="G34" s="183">
        <v>12061</v>
      </c>
      <c r="H34" s="183">
        <v>12120</v>
      </c>
      <c r="I34" s="192">
        <f t="shared" si="0"/>
        <v>1.0048918000165823</v>
      </c>
      <c r="J34" s="183">
        <v>0</v>
      </c>
      <c r="K34" s="192">
        <f t="shared" si="1"/>
        <v>0</v>
      </c>
      <c r="L34" s="184">
        <v>2.2200000000000002</v>
      </c>
      <c r="M34" s="192">
        <f t="shared" si="2"/>
        <v>1.0048918000165823</v>
      </c>
      <c r="N34" s="184">
        <v>130.98000000000002</v>
      </c>
      <c r="O34" s="183">
        <v>59</v>
      </c>
      <c r="P34" s="185">
        <v>4.8918000165823726E-3</v>
      </c>
      <c r="Q34" s="183">
        <v>0</v>
      </c>
      <c r="R34" s="185">
        <v>0</v>
      </c>
      <c r="S34" s="184">
        <v>0</v>
      </c>
      <c r="T34" s="183" t="s">
        <v>484</v>
      </c>
      <c r="U34" s="183" t="s">
        <v>436</v>
      </c>
      <c r="V34" s="183"/>
      <c r="W34" s="189">
        <v>1</v>
      </c>
      <c r="X34" s="183" t="s">
        <v>420</v>
      </c>
    </row>
    <row r="35" spans="2:24">
      <c r="B35" s="589"/>
      <c r="C35" s="591"/>
      <c r="D35" s="209">
        <v>9</v>
      </c>
      <c r="E35" s="183" t="s">
        <v>517</v>
      </c>
      <c r="F35" s="184">
        <v>130</v>
      </c>
      <c r="G35" s="183">
        <v>4.1399999999999997</v>
      </c>
      <c r="H35" s="183">
        <v>6</v>
      </c>
      <c r="I35" s="192">
        <f t="shared" si="0"/>
        <v>1.4492753623188408</v>
      </c>
      <c r="J35" s="183">
        <v>0</v>
      </c>
      <c r="K35" s="192">
        <f t="shared" si="1"/>
        <v>0</v>
      </c>
      <c r="L35" s="184">
        <v>130</v>
      </c>
      <c r="M35" s="192">
        <f t="shared" si="2"/>
        <v>1.4492753623188408</v>
      </c>
      <c r="N35" s="184">
        <v>241.80000000000004</v>
      </c>
      <c r="O35" s="183">
        <v>1</v>
      </c>
      <c r="P35" s="185">
        <v>0.24154589371980678</v>
      </c>
      <c r="Q35" s="183">
        <v>0.86000000000000032</v>
      </c>
      <c r="R35" s="185">
        <v>0.20772946859903391</v>
      </c>
      <c r="S35" s="184">
        <v>111.80000000000004</v>
      </c>
      <c r="T35" s="183" t="s">
        <v>487</v>
      </c>
      <c r="U35" s="183" t="s">
        <v>510</v>
      </c>
      <c r="V35" s="183"/>
      <c r="W35" s="189">
        <v>1</v>
      </c>
      <c r="X35" s="183" t="s">
        <v>275</v>
      </c>
    </row>
    <row r="36" spans="2:24">
      <c r="B36" s="589"/>
      <c r="C36" s="591"/>
      <c r="D36" s="209">
        <v>10</v>
      </c>
      <c r="E36" s="183" t="s">
        <v>410</v>
      </c>
      <c r="F36" s="184">
        <v>129.25900000000001</v>
      </c>
      <c r="G36" s="183">
        <v>19.844999999999999</v>
      </c>
      <c r="H36" s="183">
        <v>21.6</v>
      </c>
      <c r="I36" s="192">
        <f t="shared" si="0"/>
        <v>1.08843537414966</v>
      </c>
      <c r="J36" s="183">
        <v>0</v>
      </c>
      <c r="K36" s="192">
        <f t="shared" si="1"/>
        <v>0</v>
      </c>
      <c r="L36" s="184">
        <v>99.43</v>
      </c>
      <c r="M36" s="192">
        <f t="shared" si="2"/>
        <v>1.08843537414966</v>
      </c>
      <c r="N36" s="184">
        <v>174.49965000000026</v>
      </c>
      <c r="O36" s="183">
        <v>1.3</v>
      </c>
      <c r="P36" s="185">
        <v>6.5507684555303605E-2</v>
      </c>
      <c r="Q36" s="183">
        <v>0.45500000000000251</v>
      </c>
      <c r="R36" s="185">
        <v>2.2927689594356388E-2</v>
      </c>
      <c r="S36" s="184">
        <v>45.240650000000251</v>
      </c>
      <c r="T36" s="183" t="s">
        <v>487</v>
      </c>
      <c r="U36" s="183" t="s">
        <v>488</v>
      </c>
      <c r="V36" s="183"/>
      <c r="W36" s="189">
        <v>1</v>
      </c>
      <c r="X36" s="183" t="s">
        <v>274</v>
      </c>
    </row>
    <row r="37" spans="2:24">
      <c r="B37" s="588">
        <v>45904</v>
      </c>
      <c r="C37" s="590" t="s">
        <v>206</v>
      </c>
      <c r="D37" s="209">
        <v>1</v>
      </c>
      <c r="E37" s="183" t="s">
        <v>511</v>
      </c>
      <c r="F37" s="184">
        <v>174.36</v>
      </c>
      <c r="G37" s="183">
        <v>137.04599999999999</v>
      </c>
      <c r="H37" s="183">
        <v>138.5</v>
      </c>
      <c r="I37" s="192">
        <f t="shared" si="0"/>
        <v>1.0106095763466283</v>
      </c>
      <c r="J37" s="183">
        <v>13</v>
      </c>
      <c r="K37" s="192">
        <f t="shared" si="1"/>
        <v>9.4858660595712394E-2</v>
      </c>
      <c r="L37" s="184">
        <v>290.60000000000002</v>
      </c>
      <c r="M37" s="192">
        <f t="shared" si="2"/>
        <v>1.1054682369423405</v>
      </c>
      <c r="N37" s="184">
        <v>4200.332400000003</v>
      </c>
      <c r="O37" s="183">
        <v>0.6</v>
      </c>
      <c r="P37" s="185">
        <v>4.3780920274944183E-3</v>
      </c>
      <c r="Q37" s="183">
        <v>13.854000000000008</v>
      </c>
      <c r="R37" s="185">
        <v>0.10109014491484618</v>
      </c>
      <c r="S37" s="184">
        <v>4025.9724000000028</v>
      </c>
      <c r="T37" s="183" t="s">
        <v>484</v>
      </c>
      <c r="U37" s="183" t="s">
        <v>426</v>
      </c>
      <c r="V37" s="183"/>
      <c r="W37" s="189">
        <v>1</v>
      </c>
      <c r="X37" s="183" t="s">
        <v>311</v>
      </c>
    </row>
    <row r="38" spans="2:24">
      <c r="B38" s="589"/>
      <c r="C38" s="591"/>
      <c r="D38" s="209">
        <v>2</v>
      </c>
      <c r="E38" s="183" t="s">
        <v>437</v>
      </c>
      <c r="F38" s="184">
        <v>161.39999999999998</v>
      </c>
      <c r="G38" s="183">
        <v>1518</v>
      </c>
      <c r="H38" s="183">
        <v>1530</v>
      </c>
      <c r="I38" s="192">
        <f t="shared" si="0"/>
        <v>1.0079051383399209</v>
      </c>
      <c r="J38" s="183">
        <v>0</v>
      </c>
      <c r="K38" s="192">
        <f t="shared" si="1"/>
        <v>0</v>
      </c>
      <c r="L38" s="184">
        <v>13.45</v>
      </c>
      <c r="M38" s="192">
        <f t="shared" si="2"/>
        <v>1.0079051383399209</v>
      </c>
      <c r="N38" s="184">
        <v>161.39999999999998</v>
      </c>
      <c r="O38" s="183">
        <v>12</v>
      </c>
      <c r="P38" s="185">
        <v>7.9051383399209481E-3</v>
      </c>
      <c r="Q38" s="183">
        <v>0</v>
      </c>
      <c r="R38" s="185">
        <v>0</v>
      </c>
      <c r="S38" s="184">
        <v>0</v>
      </c>
      <c r="T38" s="183" t="s">
        <v>484</v>
      </c>
      <c r="U38" s="183" t="s">
        <v>436</v>
      </c>
      <c r="V38" s="183"/>
      <c r="W38" s="189">
        <v>1</v>
      </c>
      <c r="X38" s="183" t="s">
        <v>310</v>
      </c>
    </row>
    <row r="39" spans="2:24">
      <c r="B39" s="589"/>
      <c r="C39" s="591"/>
      <c r="D39" s="209">
        <v>3</v>
      </c>
      <c r="E39" s="183" t="s">
        <v>518</v>
      </c>
      <c r="F39" s="184">
        <v>151.63800000000001</v>
      </c>
      <c r="G39" s="183">
        <v>17.574000000000002</v>
      </c>
      <c r="H39" s="183">
        <v>18</v>
      </c>
      <c r="I39" s="192">
        <f t="shared" si="0"/>
        <v>1.0242403550699897</v>
      </c>
      <c r="J39" s="183">
        <v>0</v>
      </c>
      <c r="K39" s="192">
        <f t="shared" si="1"/>
        <v>0</v>
      </c>
      <c r="L39" s="184">
        <v>758.19</v>
      </c>
      <c r="M39" s="192">
        <f t="shared" si="2"/>
        <v>1.0242403550699897</v>
      </c>
      <c r="N39" s="184">
        <v>322.98893999999882</v>
      </c>
      <c r="O39" s="183">
        <v>0.2</v>
      </c>
      <c r="P39" s="185">
        <v>1.1380448389666552E-2</v>
      </c>
      <c r="Q39" s="183">
        <v>0.22599999999999837</v>
      </c>
      <c r="R39" s="185">
        <v>1.2859906680323111E-2</v>
      </c>
      <c r="S39" s="184">
        <v>171.35093999999879</v>
      </c>
      <c r="T39" s="183" t="s">
        <v>484</v>
      </c>
      <c r="U39" s="183" t="s">
        <v>436</v>
      </c>
      <c r="V39" s="183"/>
      <c r="W39" s="189">
        <v>1</v>
      </c>
      <c r="X39" s="183" t="s">
        <v>321</v>
      </c>
    </row>
    <row r="40" spans="2:24">
      <c r="B40" s="589"/>
      <c r="C40" s="591"/>
      <c r="D40" s="209">
        <v>4</v>
      </c>
      <c r="E40" s="183" t="s">
        <v>486</v>
      </c>
      <c r="F40" s="184">
        <v>135.666</v>
      </c>
      <c r="G40" s="183">
        <v>3.798</v>
      </c>
      <c r="H40" s="183">
        <v>4.2</v>
      </c>
      <c r="I40" s="192">
        <f t="shared" si="0"/>
        <v>1.1058451816745656</v>
      </c>
      <c r="J40" s="183">
        <v>0</v>
      </c>
      <c r="K40" s="192">
        <f t="shared" si="1"/>
        <v>0</v>
      </c>
      <c r="L40" s="184">
        <v>452.22</v>
      </c>
      <c r="M40" s="192">
        <f t="shared" si="2"/>
        <v>1.1058451816745656</v>
      </c>
      <c r="N40" s="184">
        <v>181.79244000000008</v>
      </c>
      <c r="O40" s="183">
        <v>0.3</v>
      </c>
      <c r="P40" s="185">
        <v>7.8988941548183256E-2</v>
      </c>
      <c r="Q40" s="183">
        <v>0.10200000000000015</v>
      </c>
      <c r="R40" s="185">
        <v>2.6856240126382346E-2</v>
      </c>
      <c r="S40" s="184">
        <v>46.126440000000066</v>
      </c>
      <c r="T40" s="183" t="s">
        <v>487</v>
      </c>
      <c r="U40" s="183" t="s">
        <v>488</v>
      </c>
      <c r="V40" s="183"/>
      <c r="W40" s="189">
        <v>1</v>
      </c>
      <c r="X40" s="183" t="s">
        <v>268</v>
      </c>
    </row>
    <row r="41" spans="2:24">
      <c r="B41" s="589"/>
      <c r="C41" s="591"/>
      <c r="D41" s="209">
        <v>5</v>
      </c>
      <c r="E41" s="183" t="s">
        <v>495</v>
      </c>
      <c r="F41" s="184">
        <v>133.464</v>
      </c>
      <c r="G41" s="183">
        <v>22.5</v>
      </c>
      <c r="H41" s="183">
        <v>23.1</v>
      </c>
      <c r="I41" s="192">
        <f t="shared" si="0"/>
        <v>1.0266666666666668</v>
      </c>
      <c r="J41" s="183">
        <v>0</v>
      </c>
      <c r="K41" s="192">
        <f t="shared" si="1"/>
        <v>0</v>
      </c>
      <c r="L41" s="184">
        <v>444.88</v>
      </c>
      <c r="M41" s="192">
        <f t="shared" si="2"/>
        <v>1.0266666666666668</v>
      </c>
      <c r="N41" s="184">
        <v>266.92800000000062</v>
      </c>
      <c r="O41" s="183">
        <v>0.3</v>
      </c>
      <c r="P41" s="185">
        <v>1.3333333333333332E-2</v>
      </c>
      <c r="Q41" s="183">
        <v>0.30000000000000143</v>
      </c>
      <c r="R41" s="185">
        <v>1.3333333333333397E-2</v>
      </c>
      <c r="S41" s="184">
        <v>133.46400000000062</v>
      </c>
      <c r="T41" s="183" t="s">
        <v>481</v>
      </c>
      <c r="U41" s="183" t="s">
        <v>419</v>
      </c>
      <c r="V41" s="183"/>
      <c r="W41" s="189">
        <v>1</v>
      </c>
      <c r="X41" s="183" t="s">
        <v>496</v>
      </c>
    </row>
    <row r="42" spans="2:24">
      <c r="B42" s="589"/>
      <c r="C42" s="591"/>
      <c r="D42" s="209">
        <v>6</v>
      </c>
      <c r="E42" s="183" t="s">
        <v>433</v>
      </c>
      <c r="F42" s="184">
        <v>132.21600000000001</v>
      </c>
      <c r="G42" s="183">
        <v>59.674999999999997</v>
      </c>
      <c r="H42" s="183">
        <v>60.4</v>
      </c>
      <c r="I42" s="192">
        <f t="shared" si="0"/>
        <v>1.0121491411813992</v>
      </c>
      <c r="J42" s="183">
        <v>0</v>
      </c>
      <c r="K42" s="192">
        <f t="shared" si="1"/>
        <v>0</v>
      </c>
      <c r="L42" s="184">
        <v>330.54</v>
      </c>
      <c r="M42" s="192">
        <f t="shared" si="2"/>
        <v>1.0121491411813992</v>
      </c>
      <c r="N42" s="184">
        <v>239.64150000000049</v>
      </c>
      <c r="O42" s="183">
        <v>0.4</v>
      </c>
      <c r="P42" s="185">
        <v>6.7029744449099296E-3</v>
      </c>
      <c r="Q42" s="183">
        <v>0.3250000000000014</v>
      </c>
      <c r="R42" s="185">
        <v>5.4461667364893405E-3</v>
      </c>
      <c r="S42" s="184">
        <v>107.42550000000047</v>
      </c>
      <c r="T42" s="183" t="s">
        <v>484</v>
      </c>
      <c r="U42" s="183" t="s">
        <v>426</v>
      </c>
      <c r="V42" s="183"/>
      <c r="W42" s="189">
        <v>1</v>
      </c>
      <c r="X42" s="183" t="s">
        <v>289</v>
      </c>
    </row>
    <row r="43" spans="2:24">
      <c r="B43" s="589"/>
      <c r="C43" s="591"/>
      <c r="D43" s="209">
        <v>7</v>
      </c>
      <c r="E43" s="183" t="s">
        <v>499</v>
      </c>
      <c r="F43" s="184">
        <v>129.02000000000001</v>
      </c>
      <c r="G43" s="183">
        <v>90.591999999999999</v>
      </c>
      <c r="H43" s="183">
        <v>91.7</v>
      </c>
      <c r="I43" s="192">
        <f t="shared" si="0"/>
        <v>1.0122306605439775</v>
      </c>
      <c r="J43" s="183">
        <v>0</v>
      </c>
      <c r="K43" s="192">
        <f t="shared" si="1"/>
        <v>0</v>
      </c>
      <c r="L43" s="184">
        <v>258.04000000000002</v>
      </c>
      <c r="M43" s="192">
        <f t="shared" si="2"/>
        <v>1.0122306605439775</v>
      </c>
      <c r="N43" s="184">
        <v>285.90832000000108</v>
      </c>
      <c r="O43" s="183">
        <v>0.5</v>
      </c>
      <c r="P43" s="185">
        <v>5.5192511480042393E-3</v>
      </c>
      <c r="Q43" s="183">
        <v>0.60800000000000409</v>
      </c>
      <c r="R43" s="185">
        <v>6.7114093959731993E-3</v>
      </c>
      <c r="S43" s="184">
        <v>156.88832000000107</v>
      </c>
      <c r="T43" s="183" t="s">
        <v>484</v>
      </c>
      <c r="U43" s="183" t="s">
        <v>426</v>
      </c>
      <c r="V43" s="183"/>
      <c r="W43" s="189">
        <v>1</v>
      </c>
      <c r="X43" s="183" t="s">
        <v>309</v>
      </c>
    </row>
    <row r="44" spans="2:24">
      <c r="B44" s="589"/>
      <c r="C44" s="591"/>
      <c r="D44" s="209">
        <v>8</v>
      </c>
      <c r="E44" s="183" t="s">
        <v>519</v>
      </c>
      <c r="F44" s="184">
        <v>126.09899999999999</v>
      </c>
      <c r="G44" s="183">
        <v>86.59</v>
      </c>
      <c r="H44" s="183">
        <v>87.2</v>
      </c>
      <c r="I44" s="192">
        <f t="shared" si="0"/>
        <v>1.0070446933826076</v>
      </c>
      <c r="J44" s="183">
        <v>0</v>
      </c>
      <c r="K44" s="192">
        <f t="shared" si="1"/>
        <v>0</v>
      </c>
      <c r="L44" s="184">
        <v>420.33</v>
      </c>
      <c r="M44" s="192">
        <f t="shared" si="2"/>
        <v>1.0070446933826076</v>
      </c>
      <c r="N44" s="184">
        <v>256.40129999999976</v>
      </c>
      <c r="O44" s="183">
        <v>0.3</v>
      </c>
      <c r="P44" s="185">
        <v>3.4646033029218154E-3</v>
      </c>
      <c r="Q44" s="183">
        <v>0.30999999999999944</v>
      </c>
      <c r="R44" s="185">
        <v>3.5800900796858692E-3</v>
      </c>
      <c r="S44" s="184">
        <v>130.30229999999975</v>
      </c>
      <c r="T44" s="183" t="s">
        <v>481</v>
      </c>
      <c r="U44" s="183" t="s">
        <v>419</v>
      </c>
      <c r="V44" s="183"/>
      <c r="W44" s="189">
        <v>1</v>
      </c>
      <c r="X44" s="183" t="s">
        <v>301</v>
      </c>
    </row>
    <row r="45" spans="2:24">
      <c r="B45" s="589"/>
      <c r="C45" s="591"/>
      <c r="D45" s="209">
        <v>9</v>
      </c>
      <c r="E45" s="183" t="s">
        <v>520</v>
      </c>
      <c r="F45" s="184">
        <v>123.92399999999999</v>
      </c>
      <c r="G45" s="183">
        <v>5.84</v>
      </c>
      <c r="H45" s="183">
        <v>6.4</v>
      </c>
      <c r="I45" s="192">
        <f t="shared" si="0"/>
        <v>1.0958904109589043</v>
      </c>
      <c r="J45" s="183">
        <v>0</v>
      </c>
      <c r="K45" s="192">
        <f t="shared" si="1"/>
        <v>0</v>
      </c>
      <c r="L45" s="184">
        <v>413.08</v>
      </c>
      <c r="M45" s="192">
        <f t="shared" si="2"/>
        <v>1.0958904109589043</v>
      </c>
      <c r="N45" s="184">
        <v>231.32480000000021</v>
      </c>
      <c r="O45" s="183">
        <v>0.3</v>
      </c>
      <c r="P45" s="185">
        <v>5.1369863013698627E-2</v>
      </c>
      <c r="Q45" s="183">
        <v>0.26000000000000051</v>
      </c>
      <c r="R45" s="185">
        <v>4.4520547945205567E-2</v>
      </c>
      <c r="S45" s="184">
        <v>107.4008000000002</v>
      </c>
      <c r="T45" s="183" t="s">
        <v>487</v>
      </c>
      <c r="U45" s="183" t="s">
        <v>488</v>
      </c>
      <c r="V45" s="183"/>
      <c r="W45" s="189">
        <v>1</v>
      </c>
      <c r="X45" s="183" t="s">
        <v>230</v>
      </c>
    </row>
    <row r="46" spans="2:24">
      <c r="B46" s="589"/>
      <c r="C46" s="591"/>
      <c r="D46" s="209">
        <v>10</v>
      </c>
      <c r="E46" s="183" t="s">
        <v>423</v>
      </c>
      <c r="F46" s="184">
        <v>122.14400000000001</v>
      </c>
      <c r="G46" s="183">
        <v>105.42</v>
      </c>
      <c r="H46" s="183">
        <v>107.9</v>
      </c>
      <c r="I46" s="192">
        <f t="shared" si="0"/>
        <v>1.0235249478277366</v>
      </c>
      <c r="J46" s="183">
        <v>0</v>
      </c>
      <c r="K46" s="192">
        <f t="shared" si="1"/>
        <v>0</v>
      </c>
      <c r="L46" s="184">
        <v>76.34</v>
      </c>
      <c r="M46" s="192">
        <f t="shared" si="2"/>
        <v>1.0235249478277366</v>
      </c>
      <c r="N46" s="184">
        <v>189.3232000000003</v>
      </c>
      <c r="O46" s="183">
        <v>1.6</v>
      </c>
      <c r="P46" s="185">
        <v>1.5177385695313983E-2</v>
      </c>
      <c r="Q46" s="183">
        <v>0.88000000000000389</v>
      </c>
      <c r="R46" s="185">
        <v>8.3475621324227266E-3</v>
      </c>
      <c r="S46" s="184">
        <v>67.179200000000293</v>
      </c>
      <c r="T46" s="183" t="s">
        <v>481</v>
      </c>
      <c r="U46" s="183" t="s">
        <v>419</v>
      </c>
      <c r="V46" s="183"/>
      <c r="W46" s="189">
        <v>1</v>
      </c>
      <c r="X46" s="183" t="s">
        <v>307</v>
      </c>
    </row>
    <row r="47" spans="2:24">
      <c r="B47" s="588">
        <v>45905</v>
      </c>
      <c r="C47" s="590" t="s">
        <v>207</v>
      </c>
      <c r="D47" s="209">
        <v>1</v>
      </c>
      <c r="E47" s="183" t="s">
        <v>521</v>
      </c>
      <c r="F47" s="184">
        <v>157.55199999999999</v>
      </c>
      <c r="G47" s="183">
        <v>20.375</v>
      </c>
      <c r="H47" s="183">
        <v>21.5</v>
      </c>
      <c r="I47" s="192">
        <f t="shared" si="0"/>
        <v>1.0552147239263803</v>
      </c>
      <c r="J47" s="183">
        <v>0</v>
      </c>
      <c r="K47" s="192">
        <f t="shared" si="1"/>
        <v>0</v>
      </c>
      <c r="L47" s="184">
        <v>196.94</v>
      </c>
      <c r="M47" s="192">
        <f t="shared" si="2"/>
        <v>1.0552147239263803</v>
      </c>
      <c r="N47" s="184">
        <v>221.5575</v>
      </c>
      <c r="O47" s="183">
        <v>0.79999999999999993</v>
      </c>
      <c r="P47" s="185">
        <v>3.926380368098159E-2</v>
      </c>
      <c r="Q47" s="183">
        <v>0.32500000000000007</v>
      </c>
      <c r="R47" s="185">
        <v>1.5950920245398775E-2</v>
      </c>
      <c r="S47" s="184">
        <v>64.005500000000012</v>
      </c>
      <c r="T47" s="183" t="s">
        <v>487</v>
      </c>
      <c r="U47" s="183" t="s">
        <v>488</v>
      </c>
      <c r="V47" s="183"/>
      <c r="W47" s="189">
        <v>1</v>
      </c>
      <c r="X47" s="183" t="s">
        <v>311</v>
      </c>
    </row>
    <row r="48" spans="2:24">
      <c r="B48" s="589"/>
      <c r="C48" s="591"/>
      <c r="D48" s="209">
        <v>2</v>
      </c>
      <c r="E48" s="183" t="s">
        <v>522</v>
      </c>
      <c r="F48" s="184">
        <v>155.74300000000008</v>
      </c>
      <c r="G48" s="183">
        <v>230.86</v>
      </c>
      <c r="H48" s="183">
        <v>233</v>
      </c>
      <c r="I48" s="192">
        <f t="shared" si="0"/>
        <v>1.0092696872563458</v>
      </c>
      <c r="J48" s="183">
        <v>0</v>
      </c>
      <c r="K48" s="192">
        <f t="shared" si="1"/>
        <v>0</v>
      </c>
      <c r="L48" s="184">
        <v>81.97</v>
      </c>
      <c r="M48" s="192">
        <f t="shared" si="2"/>
        <v>1.0092696872563458</v>
      </c>
      <c r="N48" s="184">
        <v>175.41579999999888</v>
      </c>
      <c r="O48" s="183">
        <v>1.900000000000001</v>
      </c>
      <c r="P48" s="185">
        <v>8.2300961621762144E-3</v>
      </c>
      <c r="Q48" s="183">
        <v>0.23999999999998534</v>
      </c>
      <c r="R48" s="185">
        <v>1.0395910941695631E-3</v>
      </c>
      <c r="S48" s="184">
        <v>19.672799999998798</v>
      </c>
      <c r="T48" s="183" t="s">
        <v>481</v>
      </c>
      <c r="U48" s="183" t="s">
        <v>419</v>
      </c>
      <c r="V48" s="183"/>
      <c r="W48" s="189">
        <v>1</v>
      </c>
      <c r="X48" s="183" t="s">
        <v>306</v>
      </c>
    </row>
    <row r="49" spans="2:24">
      <c r="B49" s="589"/>
      <c r="C49" s="591"/>
      <c r="D49" s="209">
        <v>3</v>
      </c>
      <c r="E49" s="183" t="s">
        <v>413</v>
      </c>
      <c r="F49" s="184">
        <v>151.29</v>
      </c>
      <c r="G49" s="183">
        <v>31.08</v>
      </c>
      <c r="H49" s="183">
        <v>32.4</v>
      </c>
      <c r="I49" s="192">
        <f t="shared" si="0"/>
        <v>1.0424710424710424</v>
      </c>
      <c r="J49" s="183">
        <v>0</v>
      </c>
      <c r="K49" s="192">
        <f t="shared" si="1"/>
        <v>0</v>
      </c>
      <c r="L49" s="184">
        <v>151.29</v>
      </c>
      <c r="M49" s="192">
        <f t="shared" si="2"/>
        <v>1.0424710424710424</v>
      </c>
      <c r="N49" s="184">
        <v>199.70280000000002</v>
      </c>
      <c r="O49" s="183">
        <v>1</v>
      </c>
      <c r="P49" s="185">
        <v>3.2175032175032175E-2</v>
      </c>
      <c r="Q49" s="183">
        <v>0.32000000000000028</v>
      </c>
      <c r="R49" s="185">
        <v>1.0296010296010306E-2</v>
      </c>
      <c r="S49" s="184">
        <v>48.41280000000004</v>
      </c>
      <c r="T49" s="183" t="s">
        <v>419</v>
      </c>
      <c r="U49" s="183" t="s">
        <v>488</v>
      </c>
      <c r="V49" s="183"/>
      <c r="W49" s="189">
        <v>1</v>
      </c>
      <c r="X49" s="183" t="s">
        <v>302</v>
      </c>
    </row>
    <row r="50" spans="2:24">
      <c r="B50" s="589"/>
      <c r="C50" s="591"/>
      <c r="D50" s="209">
        <v>4</v>
      </c>
      <c r="E50" s="183" t="s">
        <v>508</v>
      </c>
      <c r="F50" s="184">
        <v>148.995</v>
      </c>
      <c r="G50" s="183">
        <v>86.960999999999999</v>
      </c>
      <c r="H50" s="183">
        <v>89.6</v>
      </c>
      <c r="I50" s="192">
        <f t="shared" si="0"/>
        <v>1.0303469371327376</v>
      </c>
      <c r="J50" s="183">
        <v>0</v>
      </c>
      <c r="K50" s="192">
        <f t="shared" si="1"/>
        <v>0</v>
      </c>
      <c r="L50" s="184">
        <v>70.95</v>
      </c>
      <c r="M50" s="192">
        <f t="shared" si="2"/>
        <v>1.0303469371327376</v>
      </c>
      <c r="N50" s="184">
        <v>187.2370499999997</v>
      </c>
      <c r="O50" s="183">
        <v>2.1</v>
      </c>
      <c r="P50" s="185">
        <v>2.414875633904854E-2</v>
      </c>
      <c r="Q50" s="183">
        <v>0.5389999999999957</v>
      </c>
      <c r="R50" s="185">
        <v>6.1981807936890756E-3</v>
      </c>
      <c r="S50" s="184">
        <v>38.242049999999693</v>
      </c>
      <c r="T50" s="183" t="s">
        <v>419</v>
      </c>
      <c r="U50" s="183" t="s">
        <v>488</v>
      </c>
      <c r="V50" s="183"/>
      <c r="W50" s="189">
        <v>1</v>
      </c>
      <c r="X50" s="183" t="s">
        <v>295</v>
      </c>
    </row>
    <row r="51" spans="2:24">
      <c r="B51" s="589"/>
      <c r="C51" s="591"/>
      <c r="D51" s="209">
        <v>5</v>
      </c>
      <c r="E51" s="183" t="s">
        <v>502</v>
      </c>
      <c r="F51" s="184">
        <v>147.04</v>
      </c>
      <c r="G51" s="183">
        <v>69.399000000000001</v>
      </c>
      <c r="H51" s="183">
        <v>71.5</v>
      </c>
      <c r="I51" s="192">
        <f t="shared" si="0"/>
        <v>1.0302742114439689</v>
      </c>
      <c r="J51" s="183">
        <v>0</v>
      </c>
      <c r="K51" s="192">
        <f t="shared" si="1"/>
        <v>0</v>
      </c>
      <c r="L51" s="184">
        <v>73.52</v>
      </c>
      <c r="M51" s="192">
        <f t="shared" si="2"/>
        <v>1.0302742114439689</v>
      </c>
      <c r="N51" s="184">
        <v>154.46551999999991</v>
      </c>
      <c r="O51" s="183">
        <v>2</v>
      </c>
      <c r="P51" s="185">
        <v>2.8818859061369759E-2</v>
      </c>
      <c r="Q51" s="183">
        <v>0.10099999999999909</v>
      </c>
      <c r="R51" s="185">
        <v>1.4553523825991599E-3</v>
      </c>
      <c r="S51" s="184">
        <v>7.4255199999999331</v>
      </c>
      <c r="T51" s="183" t="s">
        <v>419</v>
      </c>
      <c r="U51" s="183" t="s">
        <v>488</v>
      </c>
      <c r="V51" s="183"/>
      <c r="W51" s="189">
        <v>1</v>
      </c>
      <c r="X51" s="183" t="s">
        <v>298</v>
      </c>
    </row>
    <row r="52" spans="2:24">
      <c r="B52" s="589"/>
      <c r="C52" s="591"/>
      <c r="D52" s="209">
        <v>6</v>
      </c>
      <c r="E52" s="183" t="s">
        <v>437</v>
      </c>
      <c r="F52" s="184">
        <v>134.5</v>
      </c>
      <c r="G52" s="183">
        <v>1484</v>
      </c>
      <c r="H52" s="183">
        <v>1494</v>
      </c>
      <c r="I52" s="192">
        <f t="shared" si="0"/>
        <v>1.0067385444743935</v>
      </c>
      <c r="J52" s="183">
        <v>0</v>
      </c>
      <c r="K52" s="192">
        <f t="shared" si="1"/>
        <v>0</v>
      </c>
      <c r="L52" s="184">
        <v>13.45</v>
      </c>
      <c r="M52" s="192">
        <f t="shared" si="2"/>
        <v>1.0067385444743935</v>
      </c>
      <c r="N52" s="184">
        <v>134.5</v>
      </c>
      <c r="O52" s="183">
        <v>10</v>
      </c>
      <c r="P52" s="185">
        <v>6.7385444743935314E-3</v>
      </c>
      <c r="Q52" s="183">
        <v>0</v>
      </c>
      <c r="R52" s="185">
        <v>0</v>
      </c>
      <c r="S52" s="184">
        <v>0</v>
      </c>
      <c r="T52" s="183" t="s">
        <v>484</v>
      </c>
      <c r="U52" s="183" t="s">
        <v>436</v>
      </c>
      <c r="V52" s="183"/>
      <c r="W52" s="189">
        <v>1</v>
      </c>
      <c r="X52" s="183" t="s">
        <v>310</v>
      </c>
    </row>
    <row r="53" spans="2:24">
      <c r="B53" s="589"/>
      <c r="C53" s="591"/>
      <c r="D53" s="209">
        <v>7</v>
      </c>
      <c r="E53" s="183" t="s">
        <v>523</v>
      </c>
      <c r="F53" s="184">
        <v>133.602</v>
      </c>
      <c r="G53" s="183">
        <v>59.6</v>
      </c>
      <c r="H53" s="183">
        <v>61.6</v>
      </c>
      <c r="I53" s="192">
        <f t="shared" si="0"/>
        <v>1.0335570469798658</v>
      </c>
      <c r="J53" s="183">
        <v>0</v>
      </c>
      <c r="K53" s="192">
        <f t="shared" si="1"/>
        <v>0</v>
      </c>
      <c r="L53" s="184">
        <v>95.43</v>
      </c>
      <c r="M53" s="192">
        <f t="shared" si="2"/>
        <v>1.0335570469798658</v>
      </c>
      <c r="N53" s="184">
        <v>190.86</v>
      </c>
      <c r="O53" s="183">
        <v>1.4</v>
      </c>
      <c r="P53" s="185">
        <v>2.3489932885906038E-2</v>
      </c>
      <c r="Q53" s="183">
        <v>0.60000000000000009</v>
      </c>
      <c r="R53" s="185">
        <v>1.0067114093959733E-2</v>
      </c>
      <c r="S53" s="184">
        <v>57.25800000000001</v>
      </c>
      <c r="T53" s="183" t="s">
        <v>481</v>
      </c>
      <c r="U53" s="183" t="s">
        <v>419</v>
      </c>
      <c r="V53" s="183"/>
      <c r="W53" s="189">
        <v>1</v>
      </c>
      <c r="X53" s="183" t="s">
        <v>288</v>
      </c>
    </row>
    <row r="54" spans="2:24">
      <c r="B54" s="589"/>
      <c r="C54" s="591"/>
      <c r="D54" s="209">
        <v>8</v>
      </c>
      <c r="E54" s="183" t="s">
        <v>524</v>
      </c>
      <c r="F54" s="184">
        <v>127.738</v>
      </c>
      <c r="G54" s="183">
        <v>113.295</v>
      </c>
      <c r="H54" s="183">
        <v>116.5</v>
      </c>
      <c r="I54" s="192">
        <f t="shared" si="0"/>
        <v>1.0282889800962089</v>
      </c>
      <c r="J54" s="183">
        <v>0</v>
      </c>
      <c r="K54" s="192">
        <f t="shared" si="1"/>
        <v>0</v>
      </c>
      <c r="L54" s="184">
        <v>75.14</v>
      </c>
      <c r="M54" s="192">
        <f t="shared" si="2"/>
        <v>1.0282889800962089</v>
      </c>
      <c r="N54" s="184">
        <v>240.82369999999986</v>
      </c>
      <c r="O54" s="183">
        <v>1.7</v>
      </c>
      <c r="P54" s="185">
        <v>1.50050752460391E-2</v>
      </c>
      <c r="Q54" s="183">
        <v>1.5049999999999983</v>
      </c>
      <c r="R54" s="185">
        <v>1.3283904850169895E-2</v>
      </c>
      <c r="S54" s="184">
        <v>113.08569999999987</v>
      </c>
      <c r="T54" s="183" t="s">
        <v>481</v>
      </c>
      <c r="U54" s="183" t="s">
        <v>419</v>
      </c>
      <c r="V54" s="183"/>
      <c r="W54" s="189">
        <v>1</v>
      </c>
      <c r="X54" s="183" t="s">
        <v>420</v>
      </c>
    </row>
    <row r="55" spans="2:24">
      <c r="B55" s="589"/>
      <c r="C55" s="591"/>
      <c r="D55" s="209">
        <v>9</v>
      </c>
      <c r="E55" s="183" t="s">
        <v>415</v>
      </c>
      <c r="F55" s="184">
        <v>127.48</v>
      </c>
      <c r="G55" s="183">
        <v>115.526</v>
      </c>
      <c r="H55" s="183">
        <v>117.6</v>
      </c>
      <c r="I55" s="192">
        <f t="shared" si="0"/>
        <v>1.0179526686633311</v>
      </c>
      <c r="J55" s="183">
        <v>0</v>
      </c>
      <c r="K55" s="192">
        <f t="shared" si="1"/>
        <v>0</v>
      </c>
      <c r="L55" s="184">
        <v>127.48</v>
      </c>
      <c r="M55" s="192">
        <f t="shared" si="2"/>
        <v>1.0179526686633311</v>
      </c>
      <c r="N55" s="184">
        <v>264.39351999999974</v>
      </c>
      <c r="O55" s="183">
        <v>1</v>
      </c>
      <c r="P55" s="185">
        <v>8.6560601076813883E-3</v>
      </c>
      <c r="Q55" s="183">
        <v>1.0739999999999981</v>
      </c>
      <c r="R55" s="185">
        <v>9.2966085556497931E-3</v>
      </c>
      <c r="S55" s="184">
        <v>136.91351999999975</v>
      </c>
      <c r="T55" s="183" t="s">
        <v>481</v>
      </c>
      <c r="U55" s="183" t="s">
        <v>419</v>
      </c>
      <c r="V55" s="183"/>
      <c r="W55" s="189">
        <v>1</v>
      </c>
      <c r="X55" s="183" t="s">
        <v>321</v>
      </c>
    </row>
    <row r="56" spans="2:24">
      <c r="B56" s="589"/>
      <c r="C56" s="591"/>
      <c r="D56" s="209">
        <v>10</v>
      </c>
      <c r="E56" s="183" t="s">
        <v>525</v>
      </c>
      <c r="F56" s="184">
        <v>125.84000000000002</v>
      </c>
      <c r="G56" s="183">
        <v>63.63</v>
      </c>
      <c r="H56" s="183">
        <v>65.3</v>
      </c>
      <c r="I56" s="192">
        <f t="shared" si="0"/>
        <v>1.0262454816910263</v>
      </c>
      <c r="J56" s="183">
        <v>0</v>
      </c>
      <c r="K56" s="192">
        <f t="shared" si="1"/>
        <v>0</v>
      </c>
      <c r="L56" s="184">
        <v>114.4</v>
      </c>
      <c r="M56" s="192">
        <f t="shared" si="2"/>
        <v>1.0262454816910263</v>
      </c>
      <c r="N56" s="184">
        <v>191.0479999999994</v>
      </c>
      <c r="O56" s="183">
        <v>1.1000000000000001</v>
      </c>
      <c r="P56" s="185">
        <v>1.7287443030017287E-2</v>
      </c>
      <c r="Q56" s="183">
        <v>0.56999999999999451</v>
      </c>
      <c r="R56" s="185">
        <v>8.9580386610088707E-3</v>
      </c>
      <c r="S56" s="184">
        <v>65.207999999999373</v>
      </c>
      <c r="T56" s="183" t="s">
        <v>481</v>
      </c>
      <c r="U56" s="183" t="s">
        <v>419</v>
      </c>
      <c r="V56" s="183"/>
      <c r="W56" s="189">
        <v>1</v>
      </c>
      <c r="X56" s="183" t="s">
        <v>295</v>
      </c>
    </row>
    <row r="57" spans="2:24">
      <c r="B57" s="588">
        <v>45906</v>
      </c>
      <c r="C57" s="590" t="s">
        <v>208</v>
      </c>
      <c r="D57" s="209">
        <v>1</v>
      </c>
      <c r="E57" s="183" t="s">
        <v>495</v>
      </c>
      <c r="F57" s="184">
        <v>177.952</v>
      </c>
      <c r="G57" s="183">
        <v>22.59</v>
      </c>
      <c r="H57" s="183">
        <v>23.4</v>
      </c>
      <c r="I57" s="192">
        <f t="shared" si="0"/>
        <v>1.0358565737051793</v>
      </c>
      <c r="J57" s="183">
        <v>0</v>
      </c>
      <c r="K57" s="192">
        <f t="shared" si="1"/>
        <v>0</v>
      </c>
      <c r="L57" s="184">
        <v>444.88</v>
      </c>
      <c r="M57" s="192">
        <f t="shared" si="2"/>
        <v>1.0358565737051793</v>
      </c>
      <c r="N57" s="184">
        <v>360.35279999999943</v>
      </c>
      <c r="O57" s="183">
        <v>0.4</v>
      </c>
      <c r="P57" s="185">
        <v>1.7706949977866315E-2</v>
      </c>
      <c r="Q57" s="183">
        <v>0.4099999999999987</v>
      </c>
      <c r="R57" s="185">
        <v>1.8149623727312911E-2</v>
      </c>
      <c r="S57" s="184">
        <v>182.40079999999941</v>
      </c>
      <c r="T57" s="183" t="s">
        <v>481</v>
      </c>
      <c r="U57" s="183" t="s">
        <v>419</v>
      </c>
      <c r="V57" s="183"/>
      <c r="W57" s="189">
        <v>1</v>
      </c>
      <c r="X57" s="183" t="s">
        <v>496</v>
      </c>
    </row>
    <row r="58" spans="2:24">
      <c r="B58" s="589"/>
      <c r="C58" s="591"/>
      <c r="D58" s="209">
        <v>2</v>
      </c>
      <c r="E58" s="183" t="s">
        <v>417</v>
      </c>
      <c r="F58" s="184">
        <v>166.77600000000001</v>
      </c>
      <c r="G58" s="183">
        <v>54.354999999999997</v>
      </c>
      <c r="H58" s="183">
        <v>55.9</v>
      </c>
      <c r="I58" s="192">
        <f t="shared" si="0"/>
        <v>1.0284242479992642</v>
      </c>
      <c r="J58" s="183">
        <v>0</v>
      </c>
      <c r="K58" s="192">
        <f t="shared" si="1"/>
        <v>0</v>
      </c>
      <c r="L58" s="184">
        <v>208.47</v>
      </c>
      <c r="M58" s="192">
        <f t="shared" si="2"/>
        <v>1.0284242479992642</v>
      </c>
      <c r="N58" s="184">
        <v>322.08615000000037</v>
      </c>
      <c r="O58" s="183">
        <v>0.8</v>
      </c>
      <c r="P58" s="185">
        <v>1.4718057216447431E-2</v>
      </c>
      <c r="Q58" s="183">
        <v>0.74500000000000166</v>
      </c>
      <c r="R58" s="185">
        <v>1.37061907828167E-2</v>
      </c>
      <c r="S58" s="184">
        <v>155.31015000000033</v>
      </c>
      <c r="T58" s="183" t="s">
        <v>419</v>
      </c>
      <c r="U58" s="183" t="s">
        <v>419</v>
      </c>
      <c r="V58" s="183"/>
      <c r="W58" s="189">
        <v>1</v>
      </c>
      <c r="X58" s="183" t="s">
        <v>307</v>
      </c>
    </row>
    <row r="59" spans="2:24">
      <c r="B59" s="589"/>
      <c r="C59" s="591"/>
      <c r="D59" s="209">
        <v>3</v>
      </c>
      <c r="E59" s="183" t="s">
        <v>431</v>
      </c>
      <c r="F59" s="184">
        <v>164.26799999999997</v>
      </c>
      <c r="G59" s="183">
        <v>241.762</v>
      </c>
      <c r="H59" s="183">
        <v>244.8</v>
      </c>
      <c r="I59" s="192">
        <f t="shared" si="0"/>
        <v>1.0125660773818881</v>
      </c>
      <c r="J59" s="183">
        <v>0</v>
      </c>
      <c r="K59" s="192">
        <f t="shared" si="1"/>
        <v>0</v>
      </c>
      <c r="L59" s="184">
        <v>136.88999999999999</v>
      </c>
      <c r="M59" s="192">
        <f t="shared" si="2"/>
        <v>1.0125660773818881</v>
      </c>
      <c r="N59" s="184">
        <v>415.87182000000143</v>
      </c>
      <c r="O59" s="183">
        <v>1.2</v>
      </c>
      <c r="P59" s="185">
        <v>4.9635592028523922E-3</v>
      </c>
      <c r="Q59" s="183">
        <v>1.838000000000011</v>
      </c>
      <c r="R59" s="185">
        <v>7.6025181790356257E-3</v>
      </c>
      <c r="S59" s="184">
        <v>251.60382000000146</v>
      </c>
      <c r="T59" s="183" t="s">
        <v>484</v>
      </c>
      <c r="U59" s="183" t="s">
        <v>426</v>
      </c>
      <c r="V59" s="183"/>
      <c r="W59" s="189">
        <v>1</v>
      </c>
      <c r="X59" s="183" t="s">
        <v>420</v>
      </c>
    </row>
    <row r="60" spans="2:24">
      <c r="B60" s="589"/>
      <c r="C60" s="591"/>
      <c r="D60" s="209">
        <v>4</v>
      </c>
      <c r="E60" s="183" t="s">
        <v>439</v>
      </c>
      <c r="F60" s="184">
        <v>157.71899999999999</v>
      </c>
      <c r="G60" s="183">
        <v>23.04</v>
      </c>
      <c r="H60" s="183">
        <v>23.7</v>
      </c>
      <c r="I60" s="192">
        <f t="shared" si="0"/>
        <v>1.0286458333333333</v>
      </c>
      <c r="J60" s="183">
        <v>0</v>
      </c>
      <c r="K60" s="192">
        <f t="shared" si="1"/>
        <v>0</v>
      </c>
      <c r="L60" s="184">
        <v>525.73</v>
      </c>
      <c r="M60" s="192">
        <f t="shared" si="2"/>
        <v>1.0286458333333333</v>
      </c>
      <c r="N60" s="184">
        <v>346.98180000000008</v>
      </c>
      <c r="O60" s="183">
        <v>0.3</v>
      </c>
      <c r="P60" s="185">
        <v>1.3020833333333334E-2</v>
      </c>
      <c r="Q60" s="183">
        <v>0.36000000000000015</v>
      </c>
      <c r="R60" s="185">
        <v>1.5625000000000007E-2</v>
      </c>
      <c r="S60" s="184">
        <v>189.26280000000008</v>
      </c>
      <c r="T60" s="183" t="s">
        <v>419</v>
      </c>
      <c r="U60" s="183" t="s">
        <v>419</v>
      </c>
      <c r="V60" s="183"/>
      <c r="W60" s="189">
        <v>1</v>
      </c>
      <c r="X60" s="183" t="s">
        <v>275</v>
      </c>
    </row>
    <row r="61" spans="2:24">
      <c r="B61" s="589"/>
      <c r="C61" s="591"/>
      <c r="D61" s="209">
        <v>5</v>
      </c>
      <c r="E61" s="183" t="s">
        <v>435</v>
      </c>
      <c r="F61" s="184">
        <v>136.84</v>
      </c>
      <c r="G61" s="183">
        <v>37.695</v>
      </c>
      <c r="H61" s="183">
        <v>38.700000000000003</v>
      </c>
      <c r="I61" s="192">
        <f t="shared" si="0"/>
        <v>1.0266613609231994</v>
      </c>
      <c r="J61" s="183">
        <v>0</v>
      </c>
      <c r="K61" s="192">
        <f t="shared" si="1"/>
        <v>0</v>
      </c>
      <c r="L61" s="184">
        <v>273.68</v>
      </c>
      <c r="M61" s="192">
        <f t="shared" si="2"/>
        <v>1.0266613609231994</v>
      </c>
      <c r="N61" s="184">
        <v>275.0484000000007</v>
      </c>
      <c r="O61" s="183">
        <v>0.5</v>
      </c>
      <c r="P61" s="185">
        <v>1.326435866825839E-2</v>
      </c>
      <c r="Q61" s="183">
        <v>0.50500000000000256</v>
      </c>
      <c r="R61" s="185">
        <v>1.3397002254941042E-2</v>
      </c>
      <c r="S61" s="184">
        <v>138.20840000000069</v>
      </c>
      <c r="T61" s="183" t="s">
        <v>484</v>
      </c>
      <c r="U61" s="183" t="s">
        <v>426</v>
      </c>
      <c r="V61" s="183"/>
      <c r="W61" s="189">
        <v>1</v>
      </c>
      <c r="X61" s="183" t="s">
        <v>276</v>
      </c>
    </row>
    <row r="62" spans="2:24">
      <c r="B62" s="589"/>
      <c r="C62" s="591"/>
      <c r="D62" s="209">
        <v>6</v>
      </c>
      <c r="E62" s="183" t="s">
        <v>437</v>
      </c>
      <c r="F62" s="184">
        <v>134.5</v>
      </c>
      <c r="G62" s="183">
        <v>1484</v>
      </c>
      <c r="H62" s="183">
        <v>1494</v>
      </c>
      <c r="I62" s="192">
        <f t="shared" si="0"/>
        <v>1.0067385444743935</v>
      </c>
      <c r="J62" s="183">
        <v>0</v>
      </c>
      <c r="K62" s="192">
        <f t="shared" si="1"/>
        <v>0</v>
      </c>
      <c r="L62" s="184">
        <v>13.45</v>
      </c>
      <c r="M62" s="192">
        <f t="shared" si="2"/>
        <v>1.0067385444743935</v>
      </c>
      <c r="N62" s="184">
        <v>134.5</v>
      </c>
      <c r="O62" s="183">
        <v>10</v>
      </c>
      <c r="P62" s="185">
        <v>6.7385444743935314E-3</v>
      </c>
      <c r="Q62" s="183">
        <v>0</v>
      </c>
      <c r="R62" s="185">
        <v>0</v>
      </c>
      <c r="S62" s="184">
        <v>0</v>
      </c>
      <c r="T62" s="183" t="s">
        <v>484</v>
      </c>
      <c r="U62" s="183" t="s">
        <v>436</v>
      </c>
      <c r="V62" s="183"/>
      <c r="W62" s="189">
        <v>1</v>
      </c>
      <c r="X62" s="183" t="s">
        <v>310</v>
      </c>
    </row>
    <row r="63" spans="2:24">
      <c r="B63" s="589"/>
      <c r="C63" s="591"/>
      <c r="D63" s="209">
        <v>7</v>
      </c>
      <c r="E63" s="183" t="s">
        <v>425</v>
      </c>
      <c r="F63" s="184">
        <v>133.79600000000002</v>
      </c>
      <c r="G63" s="183">
        <v>44.277999999999999</v>
      </c>
      <c r="H63" s="183">
        <v>44.9</v>
      </c>
      <c r="I63" s="192">
        <f t="shared" si="0"/>
        <v>1.0140476082930574</v>
      </c>
      <c r="J63" s="183">
        <v>0</v>
      </c>
      <c r="K63" s="192">
        <f t="shared" si="1"/>
        <v>0</v>
      </c>
      <c r="L63" s="184">
        <v>334.49</v>
      </c>
      <c r="M63" s="192">
        <f t="shared" si="2"/>
        <v>1.0140476082930574</v>
      </c>
      <c r="N63" s="184">
        <v>208.05277999999996</v>
      </c>
      <c r="O63" s="183">
        <v>0.4</v>
      </c>
      <c r="P63" s="185">
        <v>9.0338316997154357E-3</v>
      </c>
      <c r="Q63" s="183">
        <v>0.22199999999999986</v>
      </c>
      <c r="R63" s="185">
        <v>5.0137765933420632E-3</v>
      </c>
      <c r="S63" s="184">
        <v>74.256779999999964</v>
      </c>
      <c r="T63" s="183" t="s">
        <v>419</v>
      </c>
      <c r="U63" s="183" t="s">
        <v>419</v>
      </c>
      <c r="V63" s="183"/>
      <c r="W63" s="189">
        <v>1</v>
      </c>
      <c r="X63" s="183" t="s">
        <v>287</v>
      </c>
    </row>
    <row r="64" spans="2:24">
      <c r="B64" s="589"/>
      <c r="C64" s="591"/>
      <c r="D64" s="209">
        <v>8</v>
      </c>
      <c r="E64" s="183" t="s">
        <v>433</v>
      </c>
      <c r="F64" s="184">
        <v>132.21600000000001</v>
      </c>
      <c r="G64" s="183">
        <v>62.93</v>
      </c>
      <c r="H64" s="183">
        <v>63.9</v>
      </c>
      <c r="I64" s="192">
        <f t="shared" si="0"/>
        <v>1.0154139520101699</v>
      </c>
      <c r="J64" s="183">
        <v>0</v>
      </c>
      <c r="K64" s="192">
        <f t="shared" si="1"/>
        <v>0</v>
      </c>
      <c r="L64" s="184">
        <v>330.54</v>
      </c>
      <c r="M64" s="192">
        <f t="shared" si="2"/>
        <v>1.0154139520101699</v>
      </c>
      <c r="N64" s="184">
        <v>320.62379999999962</v>
      </c>
      <c r="O64" s="183">
        <v>0.4</v>
      </c>
      <c r="P64" s="185">
        <v>6.3562688701732087E-3</v>
      </c>
      <c r="Q64" s="183">
        <v>0.56999999999999884</v>
      </c>
      <c r="R64" s="185">
        <v>9.0576831399968027E-3</v>
      </c>
      <c r="S64" s="184">
        <v>188.40779999999964</v>
      </c>
      <c r="T64" s="183" t="s">
        <v>419</v>
      </c>
      <c r="U64" s="183" t="s">
        <v>419</v>
      </c>
      <c r="V64" s="183"/>
      <c r="W64" s="189">
        <v>1</v>
      </c>
      <c r="X64" s="183" t="s">
        <v>289</v>
      </c>
    </row>
    <row r="65" spans="2:24">
      <c r="B65" s="589"/>
      <c r="C65" s="591"/>
      <c r="D65" s="209">
        <v>9</v>
      </c>
      <c r="E65" s="183" t="s">
        <v>519</v>
      </c>
      <c r="F65" s="184">
        <v>126.09899999999999</v>
      </c>
      <c r="G65" s="183">
        <v>71.89</v>
      </c>
      <c r="H65" s="183">
        <v>72.5</v>
      </c>
      <c r="I65" s="192">
        <f t="shared" si="0"/>
        <v>1.0084851857003756</v>
      </c>
      <c r="J65" s="183">
        <v>0</v>
      </c>
      <c r="K65" s="192">
        <f t="shared" si="1"/>
        <v>0</v>
      </c>
      <c r="L65" s="184">
        <v>420.33</v>
      </c>
      <c r="M65" s="192">
        <f t="shared" si="2"/>
        <v>1.0084851857003756</v>
      </c>
      <c r="N65" s="184">
        <v>256.40129999999976</v>
      </c>
      <c r="O65" s="183">
        <v>0.3</v>
      </c>
      <c r="P65" s="185">
        <v>4.173042147725692E-3</v>
      </c>
      <c r="Q65" s="183">
        <v>0.30999999999999944</v>
      </c>
      <c r="R65" s="185">
        <v>4.3121435526498738E-3</v>
      </c>
      <c r="S65" s="184">
        <v>130.30229999999975</v>
      </c>
      <c r="T65" s="183" t="s">
        <v>484</v>
      </c>
      <c r="U65" s="183" t="s">
        <v>426</v>
      </c>
      <c r="V65" s="183"/>
      <c r="W65" s="189">
        <v>1</v>
      </c>
      <c r="X65" s="183" t="s">
        <v>301</v>
      </c>
    </row>
    <row r="66" spans="2:24">
      <c r="B66" s="589"/>
      <c r="C66" s="591"/>
      <c r="D66" s="209">
        <v>10</v>
      </c>
      <c r="E66" s="183" t="s">
        <v>416</v>
      </c>
      <c r="F66" s="184">
        <v>125.523</v>
      </c>
      <c r="G66" s="183">
        <v>15.768000000000001</v>
      </c>
      <c r="H66" s="183">
        <v>16.2</v>
      </c>
      <c r="I66" s="192">
        <f t="shared" si="0"/>
        <v>1.0273972602739725</v>
      </c>
      <c r="J66" s="183">
        <v>0</v>
      </c>
      <c r="K66" s="192">
        <f t="shared" si="1"/>
        <v>0</v>
      </c>
      <c r="L66" s="184">
        <v>418.41</v>
      </c>
      <c r="M66" s="192">
        <f t="shared" si="2"/>
        <v>1.0273972602739725</v>
      </c>
      <c r="N66" s="184">
        <v>180.75311999999943</v>
      </c>
      <c r="O66" s="183">
        <v>0.3</v>
      </c>
      <c r="P66" s="185">
        <v>1.9025875190258751E-2</v>
      </c>
      <c r="Q66" s="183">
        <v>0.13199999999999862</v>
      </c>
      <c r="R66" s="185">
        <v>8.3713850837137636E-3</v>
      </c>
      <c r="S66" s="184">
        <v>55.230119999999424</v>
      </c>
      <c r="T66" s="183" t="s">
        <v>419</v>
      </c>
      <c r="U66" s="183" t="s">
        <v>419</v>
      </c>
      <c r="V66" s="183"/>
      <c r="W66" s="189">
        <v>1</v>
      </c>
      <c r="X66" s="183" t="s">
        <v>291</v>
      </c>
    </row>
    <row r="67" spans="2:24">
      <c r="B67" s="588">
        <v>45907</v>
      </c>
      <c r="C67" s="590" t="s">
        <v>157</v>
      </c>
      <c r="D67" s="209">
        <v>1</v>
      </c>
      <c r="E67" s="183" t="s">
        <v>425</v>
      </c>
      <c r="F67" s="184">
        <v>167.245</v>
      </c>
      <c r="G67" s="183">
        <v>50.18</v>
      </c>
      <c r="H67" s="183">
        <v>51.1</v>
      </c>
      <c r="I67" s="192">
        <f t="shared" si="0"/>
        <v>1.018333997608609</v>
      </c>
      <c r="J67" s="183">
        <v>0</v>
      </c>
      <c r="K67" s="192">
        <f t="shared" si="1"/>
        <v>0</v>
      </c>
      <c r="L67" s="184">
        <v>334.49</v>
      </c>
      <c r="M67" s="192">
        <f t="shared" si="2"/>
        <v>1.018333997608609</v>
      </c>
      <c r="N67" s="184">
        <v>307.73080000000056</v>
      </c>
      <c r="O67" s="183">
        <v>0.5</v>
      </c>
      <c r="P67" s="185">
        <v>9.9641291351135908E-3</v>
      </c>
      <c r="Q67" s="183">
        <v>0.42000000000000171</v>
      </c>
      <c r="R67" s="185">
        <v>8.3698684734954502E-3</v>
      </c>
      <c r="S67" s="184">
        <v>140.48580000000058</v>
      </c>
      <c r="T67" s="183" t="s">
        <v>481</v>
      </c>
      <c r="U67" s="183" t="s">
        <v>419</v>
      </c>
      <c r="V67" s="183"/>
      <c r="W67" s="189">
        <v>1</v>
      </c>
      <c r="X67" s="183" t="s">
        <v>287</v>
      </c>
    </row>
    <row r="68" spans="2:24">
      <c r="B68" s="589"/>
      <c r="C68" s="591"/>
      <c r="D68" s="209">
        <v>2</v>
      </c>
      <c r="E68" s="183" t="s">
        <v>518</v>
      </c>
      <c r="F68" s="184">
        <v>151.63800000000001</v>
      </c>
      <c r="G68" s="183">
        <v>19.608000000000001</v>
      </c>
      <c r="H68" s="183">
        <v>20</v>
      </c>
      <c r="I68" s="192">
        <f t="shared" si="0"/>
        <v>1.0199918400652794</v>
      </c>
      <c r="J68" s="183">
        <v>0</v>
      </c>
      <c r="K68" s="192">
        <f t="shared" si="1"/>
        <v>0</v>
      </c>
      <c r="L68" s="184">
        <v>758.19</v>
      </c>
      <c r="M68" s="192">
        <f t="shared" si="2"/>
        <v>1.0199918400652794</v>
      </c>
      <c r="N68" s="184">
        <v>297.21047999999962</v>
      </c>
      <c r="O68" s="183">
        <v>0.2</v>
      </c>
      <c r="P68" s="185">
        <v>1.0199918400652794E-2</v>
      </c>
      <c r="Q68" s="183">
        <v>0.19199999999999945</v>
      </c>
      <c r="R68" s="185">
        <v>9.7919216646266544E-3</v>
      </c>
      <c r="S68" s="184">
        <v>145.57247999999959</v>
      </c>
      <c r="T68" s="183" t="s">
        <v>484</v>
      </c>
      <c r="U68" s="183" t="s">
        <v>426</v>
      </c>
      <c r="V68" s="183"/>
      <c r="W68" s="189">
        <v>1</v>
      </c>
      <c r="X68" s="183" t="s">
        <v>321</v>
      </c>
    </row>
    <row r="69" spans="2:24">
      <c r="B69" s="589"/>
      <c r="C69" s="591"/>
      <c r="D69" s="209">
        <v>3</v>
      </c>
      <c r="E69" s="183" t="s">
        <v>526</v>
      </c>
      <c r="F69" s="184">
        <v>144.64000000000001</v>
      </c>
      <c r="G69" s="183">
        <v>232.28399999999999</v>
      </c>
      <c r="H69" s="183">
        <v>235.1</v>
      </c>
      <c r="I69" s="192">
        <f t="shared" si="0"/>
        <v>1.0121230906993164</v>
      </c>
      <c r="J69" s="183">
        <v>0</v>
      </c>
      <c r="K69" s="192">
        <f t="shared" si="1"/>
        <v>0</v>
      </c>
      <c r="L69" s="184">
        <v>90.4</v>
      </c>
      <c r="M69" s="192">
        <f t="shared" si="2"/>
        <v>1.0121230906993164</v>
      </c>
      <c r="N69" s="184">
        <v>254.56640000000024</v>
      </c>
      <c r="O69" s="183">
        <v>1.6</v>
      </c>
      <c r="P69" s="185">
        <v>6.8881197155206565E-3</v>
      </c>
      <c r="Q69" s="183">
        <v>1.2160000000000024</v>
      </c>
      <c r="R69" s="185">
        <v>5.2349709837957092E-3</v>
      </c>
      <c r="S69" s="184">
        <v>109.92640000000023</v>
      </c>
      <c r="T69" s="183" t="s">
        <v>481</v>
      </c>
      <c r="U69" s="183" t="s">
        <v>419</v>
      </c>
      <c r="V69" s="183"/>
      <c r="W69" s="189">
        <v>1</v>
      </c>
      <c r="X69" s="183" t="s">
        <v>288</v>
      </c>
    </row>
    <row r="70" spans="2:24">
      <c r="B70" s="589"/>
      <c r="C70" s="591"/>
      <c r="D70" s="209">
        <v>4</v>
      </c>
      <c r="E70" s="183" t="s">
        <v>527</v>
      </c>
      <c r="F70" s="184">
        <v>144.52100000000002</v>
      </c>
      <c r="G70" s="183">
        <v>233.87</v>
      </c>
      <c r="H70" s="183">
        <v>236.2</v>
      </c>
      <c r="I70" s="192">
        <f t="shared" si="0"/>
        <v>1.0099627998460683</v>
      </c>
      <c r="J70" s="183">
        <v>0</v>
      </c>
      <c r="K70" s="192">
        <f t="shared" si="1"/>
        <v>0</v>
      </c>
      <c r="L70" s="184">
        <v>111.17</v>
      </c>
      <c r="M70" s="192">
        <f t="shared" si="2"/>
        <v>1.0099627998460683</v>
      </c>
      <c r="N70" s="184">
        <v>259.02609999999822</v>
      </c>
      <c r="O70" s="183">
        <v>1.3</v>
      </c>
      <c r="P70" s="185">
        <v>5.558643690939411E-3</v>
      </c>
      <c r="Q70" s="183">
        <v>1.029999999999984</v>
      </c>
      <c r="R70" s="185">
        <v>4.4041561551288492E-3</v>
      </c>
      <c r="S70" s="184">
        <v>114.50509999999822</v>
      </c>
      <c r="T70" s="183" t="s">
        <v>481</v>
      </c>
      <c r="U70" s="183" t="s">
        <v>419</v>
      </c>
      <c r="V70" s="183"/>
      <c r="W70" s="189">
        <v>1</v>
      </c>
      <c r="X70" s="183" t="s">
        <v>420</v>
      </c>
    </row>
    <row r="71" spans="2:24">
      <c r="B71" s="589"/>
      <c r="C71" s="591"/>
      <c r="D71" s="209">
        <v>5</v>
      </c>
      <c r="E71" s="183" t="s">
        <v>515</v>
      </c>
      <c r="F71" s="184">
        <v>143.93700000000001</v>
      </c>
      <c r="G71" s="183">
        <v>76.186000000000007</v>
      </c>
      <c r="H71" s="183">
        <v>79.5</v>
      </c>
      <c r="I71" s="192">
        <f t="shared" ref="I71:I134" si="15">H71/G71</f>
        <v>1.0434988055548262</v>
      </c>
      <c r="J71" s="183">
        <v>0</v>
      </c>
      <c r="K71" s="192">
        <f t="shared" ref="K71:K134" si="16">J71/G71</f>
        <v>0</v>
      </c>
      <c r="L71" s="184">
        <v>53.31</v>
      </c>
      <c r="M71" s="192">
        <f t="shared" ref="M71:M134" si="17">(H71+J71)/G71</f>
        <v>1.0434988055548262</v>
      </c>
      <c r="N71" s="184">
        <v>176.66933999999964</v>
      </c>
      <c r="O71" s="183">
        <v>2.7</v>
      </c>
      <c r="P71" s="185">
        <v>3.5439582075446931E-2</v>
      </c>
      <c r="Q71" s="183">
        <v>0.61399999999999277</v>
      </c>
      <c r="R71" s="185">
        <v>8.0592234793793183E-3</v>
      </c>
      <c r="S71" s="184">
        <v>32.732339999999617</v>
      </c>
      <c r="T71" s="183" t="s">
        <v>487</v>
      </c>
      <c r="U71" s="183" t="s">
        <v>488</v>
      </c>
      <c r="V71" s="183"/>
      <c r="W71" s="189">
        <v>1</v>
      </c>
      <c r="X71" s="183" t="s">
        <v>308</v>
      </c>
    </row>
    <row r="72" spans="2:24">
      <c r="B72" s="589"/>
      <c r="C72" s="591"/>
      <c r="D72" s="209">
        <v>6</v>
      </c>
      <c r="E72" s="183" t="s">
        <v>512</v>
      </c>
      <c r="F72" s="184">
        <v>141.93</v>
      </c>
      <c r="G72" s="183">
        <v>426.87</v>
      </c>
      <c r="H72" s="183">
        <v>430.2</v>
      </c>
      <c r="I72" s="192">
        <f t="shared" si="15"/>
        <v>1.0078009698503057</v>
      </c>
      <c r="J72" s="183">
        <v>0</v>
      </c>
      <c r="K72" s="192">
        <f t="shared" si="16"/>
        <v>0</v>
      </c>
      <c r="L72" s="184">
        <v>78.849999999999994</v>
      </c>
      <c r="M72" s="192">
        <f t="shared" si="17"/>
        <v>1.0078009698503057</v>
      </c>
      <c r="N72" s="184">
        <v>262.57049999999873</v>
      </c>
      <c r="O72" s="183">
        <v>1.8</v>
      </c>
      <c r="P72" s="185">
        <v>4.2167404596247099E-3</v>
      </c>
      <c r="Q72" s="183">
        <v>1.529999999999984</v>
      </c>
      <c r="R72" s="185">
        <v>3.5842293906809663E-3</v>
      </c>
      <c r="S72" s="184">
        <v>120.64049999999874</v>
      </c>
      <c r="T72" s="183" t="s">
        <v>481</v>
      </c>
      <c r="U72" s="183" t="s">
        <v>419</v>
      </c>
      <c r="V72" s="183"/>
      <c r="W72" s="189">
        <v>1</v>
      </c>
      <c r="X72" s="183" t="s">
        <v>289</v>
      </c>
    </row>
    <row r="73" spans="2:24">
      <c r="B73" s="589"/>
      <c r="C73" s="591"/>
      <c r="D73" s="209">
        <v>7</v>
      </c>
      <c r="E73" s="183" t="s">
        <v>522</v>
      </c>
      <c r="F73" s="184">
        <v>139.34899999999999</v>
      </c>
      <c r="G73" s="183">
        <v>339.5</v>
      </c>
      <c r="H73" s="183">
        <v>342.8</v>
      </c>
      <c r="I73" s="192">
        <f t="shared" si="15"/>
        <v>1.009720176730486</v>
      </c>
      <c r="J73" s="183">
        <v>0</v>
      </c>
      <c r="K73" s="192">
        <f t="shared" si="16"/>
        <v>0</v>
      </c>
      <c r="L73" s="184">
        <v>81.97</v>
      </c>
      <c r="M73" s="192">
        <f t="shared" si="17"/>
        <v>1.009720176730486</v>
      </c>
      <c r="N73" s="184">
        <v>270.50100000000094</v>
      </c>
      <c r="O73" s="183">
        <v>1.7</v>
      </c>
      <c r="P73" s="185">
        <v>5.0073637702503677E-3</v>
      </c>
      <c r="Q73" s="183">
        <v>1.6000000000000114</v>
      </c>
      <c r="R73" s="185">
        <v>4.7128129602356742E-3</v>
      </c>
      <c r="S73" s="184">
        <v>131.15200000000092</v>
      </c>
      <c r="T73" s="183" t="s">
        <v>481</v>
      </c>
      <c r="U73" s="183" t="s">
        <v>419</v>
      </c>
      <c r="V73" s="183"/>
      <c r="W73" s="189">
        <v>1</v>
      </c>
      <c r="X73" s="183" t="s">
        <v>306</v>
      </c>
    </row>
    <row r="74" spans="2:24">
      <c r="B74" s="589"/>
      <c r="C74" s="591"/>
      <c r="D74" s="209">
        <v>8</v>
      </c>
      <c r="E74" s="183" t="s">
        <v>521</v>
      </c>
      <c r="F74" s="184">
        <v>137.858</v>
      </c>
      <c r="G74" s="183">
        <v>25.27</v>
      </c>
      <c r="H74" s="183">
        <v>26.4</v>
      </c>
      <c r="I74" s="192">
        <f t="shared" si="15"/>
        <v>1.0447170557973882</v>
      </c>
      <c r="J74" s="183">
        <v>0</v>
      </c>
      <c r="K74" s="192">
        <f t="shared" si="16"/>
        <v>0</v>
      </c>
      <c r="L74" s="184">
        <v>196.94</v>
      </c>
      <c r="M74" s="192">
        <f t="shared" si="17"/>
        <v>1.0447170557973882</v>
      </c>
      <c r="N74" s="184">
        <v>222.54219999999981</v>
      </c>
      <c r="O74" s="183">
        <v>0.70000000000000007</v>
      </c>
      <c r="P74" s="185">
        <v>2.7700831024930751E-2</v>
      </c>
      <c r="Q74" s="183">
        <v>0.42999999999999894</v>
      </c>
      <c r="R74" s="185">
        <v>1.7016224772457417E-2</v>
      </c>
      <c r="S74" s="184">
        <v>84.684199999999791</v>
      </c>
      <c r="T74" s="183" t="s">
        <v>487</v>
      </c>
      <c r="U74" s="183" t="s">
        <v>488</v>
      </c>
      <c r="V74" s="183"/>
      <c r="W74" s="189">
        <v>1</v>
      </c>
      <c r="X74" s="183" t="s">
        <v>311</v>
      </c>
    </row>
    <row r="75" spans="2:24">
      <c r="B75" s="589"/>
      <c r="C75" s="591"/>
      <c r="D75" s="209">
        <v>9</v>
      </c>
      <c r="E75" s="183" t="s">
        <v>525</v>
      </c>
      <c r="F75" s="184">
        <v>137.28</v>
      </c>
      <c r="G75" s="183">
        <v>93.6</v>
      </c>
      <c r="H75" s="183">
        <v>95.6</v>
      </c>
      <c r="I75" s="192">
        <f t="shared" si="15"/>
        <v>1.0213675213675213</v>
      </c>
      <c r="J75" s="183">
        <v>0</v>
      </c>
      <c r="K75" s="192">
        <f t="shared" si="16"/>
        <v>0</v>
      </c>
      <c r="L75" s="184">
        <v>114.4</v>
      </c>
      <c r="M75" s="192">
        <f t="shared" si="17"/>
        <v>1.0213675213675213</v>
      </c>
      <c r="N75" s="184">
        <v>228.8</v>
      </c>
      <c r="O75" s="183">
        <v>1.2</v>
      </c>
      <c r="P75" s="185">
        <v>1.282051282051282E-2</v>
      </c>
      <c r="Q75" s="183">
        <v>0.8</v>
      </c>
      <c r="R75" s="185">
        <v>8.5470085470085479E-3</v>
      </c>
      <c r="S75" s="184">
        <v>91.52000000000001</v>
      </c>
      <c r="T75" s="183" t="s">
        <v>481</v>
      </c>
      <c r="U75" s="183" t="s">
        <v>419</v>
      </c>
      <c r="V75" s="183"/>
      <c r="W75" s="189">
        <v>1</v>
      </c>
      <c r="X75" s="183" t="s">
        <v>295</v>
      </c>
    </row>
    <row r="76" spans="2:24">
      <c r="B76" s="589"/>
      <c r="C76" s="591"/>
      <c r="D76" s="209">
        <v>10</v>
      </c>
      <c r="E76" s="183" t="s">
        <v>528</v>
      </c>
      <c r="F76" s="184">
        <v>136.88999999999999</v>
      </c>
      <c r="G76" s="183">
        <v>45.856000000000002</v>
      </c>
      <c r="H76" s="183">
        <v>47.5</v>
      </c>
      <c r="I76" s="192">
        <f t="shared" si="15"/>
        <v>1.0358513607815771</v>
      </c>
      <c r="J76" s="183">
        <v>0</v>
      </c>
      <c r="K76" s="192">
        <f t="shared" si="16"/>
        <v>0</v>
      </c>
      <c r="L76" s="184">
        <v>136.88999999999999</v>
      </c>
      <c r="M76" s="192">
        <f t="shared" si="17"/>
        <v>1.0358513607815771</v>
      </c>
      <c r="N76" s="184">
        <v>225.04715999999976</v>
      </c>
      <c r="O76" s="183">
        <v>1</v>
      </c>
      <c r="P76" s="185">
        <v>2.1807397069085833E-2</v>
      </c>
      <c r="Q76" s="183">
        <v>0.64399999999999835</v>
      </c>
      <c r="R76" s="185">
        <v>1.4043963712491241E-2</v>
      </c>
      <c r="S76" s="184">
        <v>88.157159999999763</v>
      </c>
      <c r="T76" s="183" t="s">
        <v>484</v>
      </c>
      <c r="U76" s="183" t="s">
        <v>426</v>
      </c>
      <c r="V76" s="183"/>
      <c r="W76" s="189">
        <v>1</v>
      </c>
      <c r="X76" s="183" t="s">
        <v>420</v>
      </c>
    </row>
    <row r="77" spans="2:24">
      <c r="B77" s="588">
        <v>45908</v>
      </c>
      <c r="C77" s="590" t="s">
        <v>209</v>
      </c>
      <c r="D77" s="209">
        <v>1</v>
      </c>
      <c r="E77" s="183" t="s">
        <v>437</v>
      </c>
      <c r="F77" s="184">
        <v>215.2</v>
      </c>
      <c r="G77" s="183">
        <v>1658</v>
      </c>
      <c r="H77" s="183">
        <v>1674</v>
      </c>
      <c r="I77" s="192">
        <f t="shared" si="15"/>
        <v>1.0096501809408926</v>
      </c>
      <c r="J77" s="183">
        <v>0</v>
      </c>
      <c r="K77" s="192">
        <f t="shared" si="16"/>
        <v>0</v>
      </c>
      <c r="L77" s="184">
        <v>13.45</v>
      </c>
      <c r="M77" s="192">
        <f t="shared" si="17"/>
        <v>1.0096501809408926</v>
      </c>
      <c r="N77" s="184">
        <v>215.2</v>
      </c>
      <c r="O77" s="183">
        <v>16</v>
      </c>
      <c r="P77" s="185">
        <v>9.6501809408926411E-3</v>
      </c>
      <c r="Q77" s="183">
        <v>0</v>
      </c>
      <c r="R77" s="185">
        <v>0</v>
      </c>
      <c r="S77" s="184">
        <v>0</v>
      </c>
      <c r="T77" s="183" t="s">
        <v>484</v>
      </c>
      <c r="U77" s="183" t="s">
        <v>436</v>
      </c>
      <c r="V77" s="183"/>
      <c r="W77" s="189">
        <v>1</v>
      </c>
      <c r="X77" s="183" t="s">
        <v>310</v>
      </c>
    </row>
    <row r="78" spans="2:24">
      <c r="B78" s="589"/>
      <c r="C78" s="591"/>
      <c r="D78" s="209">
        <v>2</v>
      </c>
      <c r="E78" s="183" t="s">
        <v>433</v>
      </c>
      <c r="F78" s="184">
        <v>165.27</v>
      </c>
      <c r="G78" s="183">
        <v>81.436999999999998</v>
      </c>
      <c r="H78" s="183">
        <v>82.6</v>
      </c>
      <c r="I78" s="192">
        <f t="shared" si="15"/>
        <v>1.0142809779338628</v>
      </c>
      <c r="J78" s="183">
        <v>0</v>
      </c>
      <c r="K78" s="192">
        <f t="shared" si="16"/>
        <v>0</v>
      </c>
      <c r="L78" s="184">
        <v>330.54</v>
      </c>
      <c r="M78" s="192">
        <f t="shared" si="17"/>
        <v>1.0142809779338628</v>
      </c>
      <c r="N78" s="184">
        <v>384.41801999999893</v>
      </c>
      <c r="O78" s="183">
        <v>0.5</v>
      </c>
      <c r="P78" s="185">
        <v>6.1397153627957808E-3</v>
      </c>
      <c r="Q78" s="183">
        <v>0.6629999999999967</v>
      </c>
      <c r="R78" s="185">
        <v>8.1412625710671656E-3</v>
      </c>
      <c r="S78" s="184">
        <v>219.14801999999892</v>
      </c>
      <c r="T78" s="183" t="s">
        <v>484</v>
      </c>
      <c r="U78" s="183" t="s">
        <v>426</v>
      </c>
      <c r="V78" s="183"/>
      <c r="W78" s="189">
        <v>1</v>
      </c>
      <c r="X78" s="183" t="s">
        <v>289</v>
      </c>
    </row>
    <row r="79" spans="2:24">
      <c r="B79" s="589"/>
      <c r="C79" s="591"/>
      <c r="D79" s="209">
        <v>3</v>
      </c>
      <c r="E79" s="183" t="s">
        <v>499</v>
      </c>
      <c r="F79" s="184">
        <v>154.82400000000001</v>
      </c>
      <c r="G79" s="183">
        <v>95.744</v>
      </c>
      <c r="H79" s="183">
        <v>97.2</v>
      </c>
      <c r="I79" s="192">
        <f t="shared" si="15"/>
        <v>1.0152072192513368</v>
      </c>
      <c r="J79" s="183">
        <v>0</v>
      </c>
      <c r="K79" s="192">
        <f t="shared" si="16"/>
        <v>0</v>
      </c>
      <c r="L79" s="184">
        <v>258.04000000000002</v>
      </c>
      <c r="M79" s="192">
        <f t="shared" si="17"/>
        <v>1.0152072192513368</v>
      </c>
      <c r="N79" s="184">
        <v>375.70624000000083</v>
      </c>
      <c r="O79" s="183">
        <v>0.6</v>
      </c>
      <c r="P79" s="185">
        <v>6.266711229946524E-3</v>
      </c>
      <c r="Q79" s="183">
        <v>0.85600000000000309</v>
      </c>
      <c r="R79" s="185">
        <v>8.9405080213904066E-3</v>
      </c>
      <c r="S79" s="184">
        <v>220.88224000000082</v>
      </c>
      <c r="T79" s="183" t="s">
        <v>481</v>
      </c>
      <c r="U79" s="183" t="s">
        <v>419</v>
      </c>
      <c r="V79" s="183"/>
      <c r="W79" s="189">
        <v>1</v>
      </c>
      <c r="X79" s="183" t="s">
        <v>309</v>
      </c>
    </row>
    <row r="80" spans="2:24">
      <c r="B80" s="589"/>
      <c r="C80" s="591"/>
      <c r="D80" s="209">
        <v>4</v>
      </c>
      <c r="E80" s="183" t="s">
        <v>423</v>
      </c>
      <c r="F80" s="184">
        <v>145.04599999999999</v>
      </c>
      <c r="G80" s="183">
        <v>120.36</v>
      </c>
      <c r="H80" s="183">
        <v>123.1</v>
      </c>
      <c r="I80" s="192">
        <f t="shared" si="15"/>
        <v>1.0227650382186773</v>
      </c>
      <c r="J80" s="183">
        <v>0</v>
      </c>
      <c r="K80" s="192">
        <f t="shared" si="16"/>
        <v>0</v>
      </c>
      <c r="L80" s="184">
        <v>76.34</v>
      </c>
      <c r="M80" s="192">
        <f t="shared" si="17"/>
        <v>1.0227650382186773</v>
      </c>
      <c r="N80" s="184">
        <v>209.17159999999961</v>
      </c>
      <c r="O80" s="183">
        <v>1.9</v>
      </c>
      <c r="P80" s="185">
        <v>1.5785975407111998E-2</v>
      </c>
      <c r="Q80" s="183">
        <v>0.83999999999999497</v>
      </c>
      <c r="R80" s="185">
        <v>6.9790628115652623E-3</v>
      </c>
      <c r="S80" s="184">
        <v>64.125599999999622</v>
      </c>
      <c r="T80" s="183" t="s">
        <v>481</v>
      </c>
      <c r="U80" s="183" t="s">
        <v>419</v>
      </c>
      <c r="V80" s="183"/>
      <c r="W80" s="189">
        <v>1</v>
      </c>
      <c r="X80" s="183" t="s">
        <v>307</v>
      </c>
    </row>
    <row r="81" spans="2:24">
      <c r="B81" s="589"/>
      <c r="C81" s="591"/>
      <c r="D81" s="209">
        <v>5</v>
      </c>
      <c r="E81" s="183" t="s">
        <v>515</v>
      </c>
      <c r="F81" s="184">
        <v>143.93700000000001</v>
      </c>
      <c r="G81" s="183">
        <v>76.12</v>
      </c>
      <c r="H81" s="183">
        <v>79.400000000000006</v>
      </c>
      <c r="I81" s="192">
        <f t="shared" si="15"/>
        <v>1.0430898581187598</v>
      </c>
      <c r="J81" s="183">
        <v>0</v>
      </c>
      <c r="K81" s="192">
        <f t="shared" si="16"/>
        <v>0</v>
      </c>
      <c r="L81" s="184">
        <v>53.31</v>
      </c>
      <c r="M81" s="192">
        <f t="shared" si="17"/>
        <v>1.0430898581187598</v>
      </c>
      <c r="N81" s="184">
        <v>174.85680000000008</v>
      </c>
      <c r="O81" s="183">
        <v>2.7</v>
      </c>
      <c r="P81" s="185">
        <v>3.5470310036784025E-2</v>
      </c>
      <c r="Q81" s="183">
        <v>0.58000000000000096</v>
      </c>
      <c r="R81" s="185">
        <v>7.6195480819758396E-3</v>
      </c>
      <c r="S81" s="184">
        <v>30.919800000000052</v>
      </c>
      <c r="T81" s="183" t="s">
        <v>487</v>
      </c>
      <c r="U81" s="183" t="s">
        <v>488</v>
      </c>
      <c r="V81" s="183"/>
      <c r="W81" s="189">
        <v>1</v>
      </c>
      <c r="X81" s="183" t="s">
        <v>308</v>
      </c>
    </row>
    <row r="82" spans="2:24">
      <c r="B82" s="589"/>
      <c r="C82" s="591"/>
      <c r="D82" s="209">
        <v>6</v>
      </c>
      <c r="E82" s="183" t="s">
        <v>529</v>
      </c>
      <c r="F82" s="184">
        <v>141.714</v>
      </c>
      <c r="G82" s="183">
        <v>367.92</v>
      </c>
      <c r="H82" s="183">
        <v>371.3</v>
      </c>
      <c r="I82" s="192">
        <f t="shared" si="15"/>
        <v>1.0091867797347249</v>
      </c>
      <c r="J82" s="183">
        <v>0</v>
      </c>
      <c r="K82" s="192">
        <f t="shared" si="16"/>
        <v>0</v>
      </c>
      <c r="L82" s="184">
        <v>78.73</v>
      </c>
      <c r="M82" s="192">
        <f t="shared" si="17"/>
        <v>1.0091867797347249</v>
      </c>
      <c r="N82" s="184">
        <v>266.10739999999964</v>
      </c>
      <c r="O82" s="183">
        <v>1.8</v>
      </c>
      <c r="P82" s="185">
        <v>4.8923679060665359E-3</v>
      </c>
      <c r="Q82" s="183">
        <v>1.5799999999999954</v>
      </c>
      <c r="R82" s="185">
        <v>4.2944118286583916E-3</v>
      </c>
      <c r="S82" s="184">
        <v>124.39339999999964</v>
      </c>
      <c r="T82" s="183" t="s">
        <v>481</v>
      </c>
      <c r="U82" s="183" t="s">
        <v>419</v>
      </c>
      <c r="V82" s="183"/>
      <c r="W82" s="189">
        <v>1</v>
      </c>
      <c r="X82" s="183" t="s">
        <v>287</v>
      </c>
    </row>
    <row r="83" spans="2:24">
      <c r="B83" s="589"/>
      <c r="C83" s="591"/>
      <c r="D83" s="209">
        <v>7</v>
      </c>
      <c r="E83" s="183" t="s">
        <v>522</v>
      </c>
      <c r="F83" s="184">
        <v>139.34899999999999</v>
      </c>
      <c r="G83" s="183">
        <v>355.95</v>
      </c>
      <c r="H83" s="183">
        <v>359.1</v>
      </c>
      <c r="I83" s="192">
        <f t="shared" si="15"/>
        <v>1.0088495575221239</v>
      </c>
      <c r="J83" s="183">
        <v>0</v>
      </c>
      <c r="K83" s="192">
        <f t="shared" si="16"/>
        <v>0</v>
      </c>
      <c r="L83" s="184">
        <v>81.97</v>
      </c>
      <c r="M83" s="192">
        <f t="shared" si="17"/>
        <v>1.0088495575221239</v>
      </c>
      <c r="N83" s="184">
        <v>258.20550000000281</v>
      </c>
      <c r="O83" s="183">
        <v>1.7</v>
      </c>
      <c r="P83" s="185">
        <v>4.7759516786065456E-3</v>
      </c>
      <c r="Q83" s="183">
        <v>1.4500000000000342</v>
      </c>
      <c r="R83" s="185">
        <v>4.0736058435174444E-3</v>
      </c>
      <c r="S83" s="184">
        <v>118.8565000000028</v>
      </c>
      <c r="T83" s="183" t="s">
        <v>481</v>
      </c>
      <c r="U83" s="183" t="s">
        <v>419</v>
      </c>
      <c r="V83" s="183"/>
      <c r="W83" s="189">
        <v>1</v>
      </c>
      <c r="X83" s="183" t="s">
        <v>306</v>
      </c>
    </row>
    <row r="84" spans="2:24">
      <c r="B84" s="589"/>
      <c r="C84" s="591"/>
      <c r="D84" s="209">
        <v>8</v>
      </c>
      <c r="E84" s="183" t="s">
        <v>431</v>
      </c>
      <c r="F84" s="184">
        <v>136.88999999999999</v>
      </c>
      <c r="G84" s="183">
        <v>310.5</v>
      </c>
      <c r="H84" s="183">
        <v>312.5</v>
      </c>
      <c r="I84" s="192">
        <f t="shared" si="15"/>
        <v>1.0064412238325282</v>
      </c>
      <c r="J84" s="183">
        <v>0</v>
      </c>
      <c r="K84" s="192">
        <f t="shared" si="16"/>
        <v>0</v>
      </c>
      <c r="L84" s="184">
        <v>136.88999999999999</v>
      </c>
      <c r="M84" s="192">
        <f t="shared" si="17"/>
        <v>1.0064412238325282</v>
      </c>
      <c r="N84" s="184">
        <v>273.77999999999997</v>
      </c>
      <c r="O84" s="183">
        <v>1</v>
      </c>
      <c r="P84" s="185">
        <v>3.2206119162640902E-3</v>
      </c>
      <c r="Q84" s="183">
        <v>1</v>
      </c>
      <c r="R84" s="185">
        <v>3.2206119162640902E-3</v>
      </c>
      <c r="S84" s="184">
        <v>136.88999999999999</v>
      </c>
      <c r="T84" s="183" t="s">
        <v>484</v>
      </c>
      <c r="U84" s="183" t="s">
        <v>426</v>
      </c>
      <c r="V84" s="183"/>
      <c r="W84" s="189">
        <v>1</v>
      </c>
      <c r="X84" s="183" t="s">
        <v>420</v>
      </c>
    </row>
    <row r="85" spans="2:24">
      <c r="B85" s="589"/>
      <c r="C85" s="591"/>
      <c r="D85" s="209">
        <v>9</v>
      </c>
      <c r="E85" s="183" t="s">
        <v>413</v>
      </c>
      <c r="F85" s="184">
        <v>136.161</v>
      </c>
      <c r="G85" s="183">
        <v>40.78</v>
      </c>
      <c r="H85" s="183">
        <v>42.1</v>
      </c>
      <c r="I85" s="192">
        <f t="shared" si="15"/>
        <v>1.032368808239333</v>
      </c>
      <c r="J85" s="183">
        <v>0</v>
      </c>
      <c r="K85" s="192">
        <f t="shared" si="16"/>
        <v>0</v>
      </c>
      <c r="L85" s="184">
        <v>151.29</v>
      </c>
      <c r="M85" s="192">
        <f t="shared" si="17"/>
        <v>1.032368808239333</v>
      </c>
      <c r="N85" s="184">
        <v>199.70280000000002</v>
      </c>
      <c r="O85" s="183">
        <v>0.9</v>
      </c>
      <c r="P85" s="185">
        <v>2.2069641981363415E-2</v>
      </c>
      <c r="Q85" s="183">
        <v>0.42000000000000026</v>
      </c>
      <c r="R85" s="185">
        <v>1.0299166257969599E-2</v>
      </c>
      <c r="S85" s="184">
        <v>63.541800000000038</v>
      </c>
      <c r="T85" s="183" t="s">
        <v>487</v>
      </c>
      <c r="U85" s="183" t="s">
        <v>488</v>
      </c>
      <c r="V85" s="183"/>
      <c r="W85" s="189">
        <v>1</v>
      </c>
      <c r="X85" s="183" t="s">
        <v>302</v>
      </c>
    </row>
    <row r="86" spans="2:24">
      <c r="B86" s="589"/>
      <c r="C86" s="591"/>
      <c r="D86" s="209">
        <v>10</v>
      </c>
      <c r="E86" s="183" t="s">
        <v>523</v>
      </c>
      <c r="F86" s="184">
        <v>133.602</v>
      </c>
      <c r="G86" s="183">
        <v>75.55</v>
      </c>
      <c r="H86" s="183">
        <v>77.599999999999994</v>
      </c>
      <c r="I86" s="192">
        <f t="shared" si="15"/>
        <v>1.0271343481138318</v>
      </c>
      <c r="J86" s="183">
        <v>0</v>
      </c>
      <c r="K86" s="192">
        <f t="shared" si="16"/>
        <v>0</v>
      </c>
      <c r="L86" s="184">
        <v>95.43</v>
      </c>
      <c r="M86" s="192">
        <f t="shared" si="17"/>
        <v>1.0271343481138318</v>
      </c>
      <c r="N86" s="184">
        <v>195.63149999999973</v>
      </c>
      <c r="O86" s="183">
        <v>1.4</v>
      </c>
      <c r="P86" s="185">
        <v>1.8530774321641297E-2</v>
      </c>
      <c r="Q86" s="183">
        <v>0.64999999999999725</v>
      </c>
      <c r="R86" s="185">
        <v>8.6035737921905664E-3</v>
      </c>
      <c r="S86" s="184">
        <v>62.029499999999743</v>
      </c>
      <c r="T86" s="183" t="s">
        <v>481</v>
      </c>
      <c r="U86" s="183" t="s">
        <v>419</v>
      </c>
      <c r="V86" s="183"/>
      <c r="W86" s="189">
        <v>1</v>
      </c>
      <c r="X86" s="183" t="s">
        <v>288</v>
      </c>
    </row>
    <row r="87" spans="2:24">
      <c r="B87" s="588">
        <v>45909</v>
      </c>
      <c r="C87" s="590" t="s">
        <v>204</v>
      </c>
      <c r="D87" s="209">
        <v>1</v>
      </c>
      <c r="E87" s="183" t="s">
        <v>421</v>
      </c>
      <c r="F87" s="184">
        <v>169.35999999999999</v>
      </c>
      <c r="G87" s="183">
        <v>45.691000000000003</v>
      </c>
      <c r="H87" s="183">
        <v>46.8</v>
      </c>
      <c r="I87" s="192">
        <f t="shared" si="15"/>
        <v>1.0242717384167559</v>
      </c>
      <c r="J87" s="183">
        <v>0</v>
      </c>
      <c r="K87" s="192">
        <f t="shared" si="16"/>
        <v>0</v>
      </c>
      <c r="L87" s="184">
        <v>169.36</v>
      </c>
      <c r="M87" s="192">
        <f t="shared" si="17"/>
        <v>1.0242717384167559</v>
      </c>
      <c r="N87" s="184">
        <v>187.8202399999991</v>
      </c>
      <c r="O87" s="183">
        <v>0.99999999999999989</v>
      </c>
      <c r="P87" s="185">
        <v>2.1886148256768288E-2</v>
      </c>
      <c r="Q87" s="183">
        <v>0.10899999999999477</v>
      </c>
      <c r="R87" s="185">
        <v>2.385590159987629E-3</v>
      </c>
      <c r="S87" s="184">
        <v>18.460239999999114</v>
      </c>
      <c r="T87" s="183" t="s">
        <v>481</v>
      </c>
      <c r="U87" s="183" t="s">
        <v>419</v>
      </c>
      <c r="V87" s="183"/>
      <c r="W87" s="189">
        <v>1</v>
      </c>
      <c r="X87" s="183" t="s">
        <v>420</v>
      </c>
    </row>
    <row r="88" spans="2:24">
      <c r="B88" s="589"/>
      <c r="C88" s="591"/>
      <c r="D88" s="209">
        <v>2</v>
      </c>
      <c r="E88" s="183" t="s">
        <v>416</v>
      </c>
      <c r="F88" s="184">
        <v>167.36400000000003</v>
      </c>
      <c r="G88" s="183">
        <v>17.442</v>
      </c>
      <c r="H88" s="183">
        <v>17.899999999999999</v>
      </c>
      <c r="I88" s="192">
        <f t="shared" si="15"/>
        <v>1.0262584565990138</v>
      </c>
      <c r="J88" s="183">
        <v>0</v>
      </c>
      <c r="K88" s="192">
        <f t="shared" si="16"/>
        <v>0</v>
      </c>
      <c r="L88" s="184">
        <v>418.41</v>
      </c>
      <c r="M88" s="192">
        <f t="shared" si="17"/>
        <v>1.0262584565990138</v>
      </c>
      <c r="N88" s="184">
        <v>191.63177999999934</v>
      </c>
      <c r="O88" s="183">
        <v>0.4</v>
      </c>
      <c r="P88" s="185">
        <v>2.2933149868134391E-2</v>
      </c>
      <c r="Q88" s="183">
        <v>5.7999999999998386E-2</v>
      </c>
      <c r="R88" s="185">
        <v>3.3253067308793936E-3</v>
      </c>
      <c r="S88" s="184">
        <v>24.267779999999327</v>
      </c>
      <c r="T88" s="183" t="s">
        <v>481</v>
      </c>
      <c r="U88" s="183" t="s">
        <v>419</v>
      </c>
      <c r="V88" s="183"/>
      <c r="W88" s="189">
        <v>1</v>
      </c>
      <c r="X88" s="183" t="s">
        <v>291</v>
      </c>
    </row>
    <row r="89" spans="2:24">
      <c r="B89" s="589"/>
      <c r="C89" s="591"/>
      <c r="D89" s="209">
        <v>3</v>
      </c>
      <c r="E89" s="183" t="s">
        <v>413</v>
      </c>
      <c r="F89" s="184">
        <v>166.41900000000001</v>
      </c>
      <c r="G89" s="183">
        <v>41.58</v>
      </c>
      <c r="H89" s="183">
        <v>43</v>
      </c>
      <c r="I89" s="192">
        <f t="shared" si="15"/>
        <v>1.0341510341510343</v>
      </c>
      <c r="J89" s="183">
        <v>0</v>
      </c>
      <c r="K89" s="192">
        <f t="shared" si="16"/>
        <v>0</v>
      </c>
      <c r="L89" s="184">
        <v>151.29</v>
      </c>
      <c r="M89" s="192">
        <f t="shared" si="17"/>
        <v>1.0341510341510343</v>
      </c>
      <c r="N89" s="184">
        <v>214.83180000000024</v>
      </c>
      <c r="O89" s="183">
        <v>1.1000000000000001</v>
      </c>
      <c r="P89" s="185">
        <v>2.6455026455026457E-2</v>
      </c>
      <c r="Q89" s="183">
        <v>0.32000000000000162</v>
      </c>
      <c r="R89" s="185">
        <v>7.6960076960077353E-3</v>
      </c>
      <c r="S89" s="184">
        <v>48.412800000000239</v>
      </c>
      <c r="T89" s="183" t="s">
        <v>487</v>
      </c>
      <c r="U89" s="183" t="s">
        <v>488</v>
      </c>
      <c r="V89" s="183"/>
      <c r="W89" s="189">
        <v>1</v>
      </c>
      <c r="X89" s="183" t="s">
        <v>302</v>
      </c>
    </row>
    <row r="90" spans="2:24">
      <c r="B90" s="589"/>
      <c r="C90" s="591"/>
      <c r="D90" s="209">
        <v>4</v>
      </c>
      <c r="E90" s="183" t="s">
        <v>415</v>
      </c>
      <c r="F90" s="184">
        <v>165.72400000000002</v>
      </c>
      <c r="G90" s="183">
        <v>152.51499999999999</v>
      </c>
      <c r="H90" s="183">
        <v>154.9</v>
      </c>
      <c r="I90" s="192">
        <f t="shared" si="15"/>
        <v>1.0156378061174312</v>
      </c>
      <c r="J90" s="183">
        <v>0</v>
      </c>
      <c r="K90" s="192">
        <f t="shared" si="16"/>
        <v>0</v>
      </c>
      <c r="L90" s="184">
        <v>127.48</v>
      </c>
      <c r="M90" s="192">
        <f t="shared" si="17"/>
        <v>1.0156378061174312</v>
      </c>
      <c r="N90" s="184">
        <v>304.03980000000246</v>
      </c>
      <c r="O90" s="183">
        <v>1.3</v>
      </c>
      <c r="P90" s="185">
        <v>8.5237517621217593E-3</v>
      </c>
      <c r="Q90" s="183">
        <v>1.0850000000000193</v>
      </c>
      <c r="R90" s="185">
        <v>7.1140543553094406E-3</v>
      </c>
      <c r="S90" s="184">
        <v>138.31580000000247</v>
      </c>
      <c r="T90" s="183" t="s">
        <v>481</v>
      </c>
      <c r="U90" s="183" t="s">
        <v>419</v>
      </c>
      <c r="V90" s="183"/>
      <c r="W90" s="189">
        <v>1</v>
      </c>
      <c r="X90" s="183" t="s">
        <v>321</v>
      </c>
    </row>
    <row r="91" spans="2:24">
      <c r="B91" s="589"/>
      <c r="C91" s="591"/>
      <c r="D91" s="209">
        <v>5</v>
      </c>
      <c r="E91" s="183" t="s">
        <v>431</v>
      </c>
      <c r="F91" s="184">
        <v>164.26799999999997</v>
      </c>
      <c r="G91" s="183">
        <v>384.79</v>
      </c>
      <c r="H91" s="183">
        <v>386.6</v>
      </c>
      <c r="I91" s="192">
        <f t="shared" si="15"/>
        <v>1.0047038644455417</v>
      </c>
      <c r="J91" s="183">
        <v>0</v>
      </c>
      <c r="K91" s="192">
        <f t="shared" si="16"/>
        <v>0</v>
      </c>
      <c r="L91" s="184">
        <v>136.88999999999999</v>
      </c>
      <c r="M91" s="192">
        <f t="shared" si="17"/>
        <v>1.0047038644455417</v>
      </c>
      <c r="N91" s="184">
        <v>247.7709000000003</v>
      </c>
      <c r="O91" s="183">
        <v>1.2</v>
      </c>
      <c r="P91" s="185">
        <v>3.1185841627900928E-3</v>
      </c>
      <c r="Q91" s="183">
        <v>0.61000000000000232</v>
      </c>
      <c r="R91" s="185">
        <v>1.5852802827516367E-3</v>
      </c>
      <c r="S91" s="184">
        <v>83.502900000000309</v>
      </c>
      <c r="T91" s="183" t="s">
        <v>481</v>
      </c>
      <c r="U91" s="183" t="s">
        <v>419</v>
      </c>
      <c r="V91" s="183"/>
      <c r="W91" s="189">
        <v>1</v>
      </c>
      <c r="X91" s="183" t="s">
        <v>420</v>
      </c>
    </row>
    <row r="92" spans="2:24">
      <c r="B92" s="589"/>
      <c r="C92" s="591"/>
      <c r="D92" s="209">
        <v>6</v>
      </c>
      <c r="E92" s="183" t="s">
        <v>435</v>
      </c>
      <c r="F92" s="184">
        <v>164.208</v>
      </c>
      <c r="G92" s="183">
        <v>47.95</v>
      </c>
      <c r="H92" s="183">
        <v>49</v>
      </c>
      <c r="I92" s="192">
        <f t="shared" si="15"/>
        <v>1.021897810218978</v>
      </c>
      <c r="J92" s="183">
        <v>0</v>
      </c>
      <c r="K92" s="192">
        <f t="shared" si="16"/>
        <v>0</v>
      </c>
      <c r="L92" s="184">
        <v>273.68</v>
      </c>
      <c r="M92" s="192">
        <f t="shared" si="17"/>
        <v>1.021897810218978</v>
      </c>
      <c r="N92" s="184">
        <v>287.36399999999924</v>
      </c>
      <c r="O92" s="183">
        <v>0.6</v>
      </c>
      <c r="P92" s="185">
        <v>1.2513034410844628E-2</v>
      </c>
      <c r="Q92" s="183">
        <v>0.44999999999999718</v>
      </c>
      <c r="R92" s="185">
        <v>9.3847758081334123E-3</v>
      </c>
      <c r="S92" s="184">
        <v>123.15599999999922</v>
      </c>
      <c r="T92" s="183" t="s">
        <v>484</v>
      </c>
      <c r="U92" s="183" t="s">
        <v>426</v>
      </c>
      <c r="V92" s="183"/>
      <c r="W92" s="189">
        <v>1</v>
      </c>
      <c r="X92" s="183" t="s">
        <v>276</v>
      </c>
    </row>
    <row r="93" spans="2:24">
      <c r="B93" s="589"/>
      <c r="C93" s="591"/>
      <c r="D93" s="209">
        <v>7</v>
      </c>
      <c r="E93" s="183" t="s">
        <v>530</v>
      </c>
      <c r="F93" s="184">
        <v>160.35199999999998</v>
      </c>
      <c r="G93" s="183">
        <v>59.256994708994704</v>
      </c>
      <c r="H93" s="183">
        <v>60.5</v>
      </c>
      <c r="I93" s="192">
        <f t="shared" si="15"/>
        <v>1.0209765158882858</v>
      </c>
      <c r="J93" s="183">
        <v>0</v>
      </c>
      <c r="K93" s="192">
        <f t="shared" si="16"/>
        <v>0</v>
      </c>
      <c r="L93" s="184">
        <v>200.44</v>
      </c>
      <c r="M93" s="192">
        <f t="shared" si="17"/>
        <v>1.0209765158882858</v>
      </c>
      <c r="N93" s="184">
        <v>249.1479805291016</v>
      </c>
      <c r="O93" s="183">
        <v>0.79999999999999993</v>
      </c>
      <c r="P93" s="185">
        <v>1.3500515912572373E-2</v>
      </c>
      <c r="Q93" s="183">
        <v>0.44300529100529651</v>
      </c>
      <c r="R93" s="185">
        <v>7.4759999757134515E-3</v>
      </c>
      <c r="S93" s="184">
        <v>88.795980529101627</v>
      </c>
      <c r="T93" s="183" t="s">
        <v>484</v>
      </c>
      <c r="U93" s="183" t="s">
        <v>436</v>
      </c>
      <c r="V93" s="183"/>
      <c r="W93" s="189">
        <v>1</v>
      </c>
      <c r="X93" s="183" t="s">
        <v>237</v>
      </c>
    </row>
    <row r="94" spans="2:24">
      <c r="B94" s="589"/>
      <c r="C94" s="591"/>
      <c r="D94" s="209">
        <v>8</v>
      </c>
      <c r="E94" s="183" t="s">
        <v>439</v>
      </c>
      <c r="F94" s="184">
        <v>157.71899999999999</v>
      </c>
      <c r="G94" s="183">
        <v>26.808</v>
      </c>
      <c r="H94" s="183">
        <v>27.4</v>
      </c>
      <c r="I94" s="192">
        <f t="shared" si="15"/>
        <v>1.0220829603103552</v>
      </c>
      <c r="J94" s="183">
        <v>0</v>
      </c>
      <c r="K94" s="192">
        <f t="shared" si="16"/>
        <v>0</v>
      </c>
      <c r="L94" s="184">
        <v>525.73</v>
      </c>
      <c r="M94" s="192">
        <f t="shared" si="17"/>
        <v>1.0220829603103552</v>
      </c>
      <c r="N94" s="184">
        <v>311.23215999999934</v>
      </c>
      <c r="O94" s="183">
        <v>0.3</v>
      </c>
      <c r="P94" s="185">
        <v>1.1190689346463742E-2</v>
      </c>
      <c r="Q94" s="183">
        <v>0.29199999999999876</v>
      </c>
      <c r="R94" s="185">
        <v>1.089227096389133E-2</v>
      </c>
      <c r="S94" s="184">
        <v>153.51315999999935</v>
      </c>
      <c r="T94" s="183" t="s">
        <v>484</v>
      </c>
      <c r="U94" s="183" t="s">
        <v>436</v>
      </c>
      <c r="V94" s="183"/>
      <c r="W94" s="189">
        <v>1</v>
      </c>
      <c r="X94" s="183" t="s">
        <v>275</v>
      </c>
    </row>
    <row r="95" spans="2:24">
      <c r="B95" s="589"/>
      <c r="C95" s="591"/>
      <c r="D95" s="209">
        <v>9</v>
      </c>
      <c r="E95" s="183" t="s">
        <v>531</v>
      </c>
      <c r="F95" s="184">
        <v>157.71000000000006</v>
      </c>
      <c r="G95" s="183">
        <v>66.611999999999995</v>
      </c>
      <c r="H95" s="183">
        <v>69.2</v>
      </c>
      <c r="I95" s="192">
        <f t="shared" si="15"/>
        <v>1.0388518585239899</v>
      </c>
      <c r="J95" s="183">
        <v>0</v>
      </c>
      <c r="K95" s="192">
        <f t="shared" si="16"/>
        <v>0</v>
      </c>
      <c r="L95" s="184">
        <v>75.099999999999994</v>
      </c>
      <c r="M95" s="192">
        <f t="shared" si="17"/>
        <v>1.0388518585239899</v>
      </c>
      <c r="N95" s="184">
        <v>194.3588000000006</v>
      </c>
      <c r="O95" s="183">
        <v>2.100000000000001</v>
      </c>
      <c r="P95" s="185">
        <v>3.152585119798236E-2</v>
      </c>
      <c r="Q95" s="183">
        <v>0.48800000000000709</v>
      </c>
      <c r="R95" s="185">
        <v>7.3260073260074327E-3</v>
      </c>
      <c r="S95" s="184">
        <v>36.648800000000527</v>
      </c>
      <c r="T95" s="183" t="s">
        <v>487</v>
      </c>
      <c r="U95" s="183" t="s">
        <v>488</v>
      </c>
      <c r="V95" s="183"/>
      <c r="W95" s="189">
        <v>1</v>
      </c>
      <c r="X95" s="183" t="s">
        <v>265</v>
      </c>
    </row>
    <row r="96" spans="2:24">
      <c r="B96" s="589"/>
      <c r="C96" s="591"/>
      <c r="D96" s="209">
        <v>10</v>
      </c>
      <c r="E96" s="183" t="s">
        <v>512</v>
      </c>
      <c r="F96" s="184">
        <v>157.69999999999999</v>
      </c>
      <c r="G96" s="183">
        <v>478.02</v>
      </c>
      <c r="H96" s="183">
        <v>480.3</v>
      </c>
      <c r="I96" s="192">
        <f t="shared" si="15"/>
        <v>1.0047696749089996</v>
      </c>
      <c r="J96" s="183">
        <v>0</v>
      </c>
      <c r="K96" s="192">
        <f t="shared" si="16"/>
        <v>0</v>
      </c>
      <c r="L96" s="184">
        <v>78.849999999999994</v>
      </c>
      <c r="M96" s="192">
        <f t="shared" si="17"/>
        <v>1.0047696749089996</v>
      </c>
      <c r="N96" s="184">
        <v>179.77800000000232</v>
      </c>
      <c r="O96" s="183">
        <v>2</v>
      </c>
      <c r="P96" s="185">
        <v>4.1839253587715999E-3</v>
      </c>
      <c r="Q96" s="183">
        <v>0.28000000000002956</v>
      </c>
      <c r="R96" s="185">
        <v>5.8574955022808574E-4</v>
      </c>
      <c r="S96" s="184">
        <v>22.07800000000233</v>
      </c>
      <c r="T96" s="183" t="s">
        <v>481</v>
      </c>
      <c r="U96" s="183" t="s">
        <v>419</v>
      </c>
      <c r="V96" s="183"/>
      <c r="W96" s="189">
        <v>1</v>
      </c>
      <c r="X96" s="183" t="s">
        <v>289</v>
      </c>
    </row>
    <row r="97" spans="2:24">
      <c r="B97" s="588">
        <v>45910</v>
      </c>
      <c r="C97" s="590" t="s">
        <v>205</v>
      </c>
      <c r="D97" s="209">
        <v>1</v>
      </c>
      <c r="E97" s="183" t="s">
        <v>427</v>
      </c>
      <c r="F97" s="184">
        <v>244.69200000000001</v>
      </c>
      <c r="G97" s="183">
        <v>32.415999999999997</v>
      </c>
      <c r="H97" s="183">
        <v>32.9</v>
      </c>
      <c r="I97" s="192">
        <f t="shared" si="15"/>
        <v>1.0149308983218164</v>
      </c>
      <c r="J97" s="183">
        <v>0</v>
      </c>
      <c r="K97" s="192">
        <f t="shared" si="16"/>
        <v>0</v>
      </c>
      <c r="L97" s="184">
        <v>1223.46</v>
      </c>
      <c r="M97" s="192">
        <f t="shared" si="17"/>
        <v>1.0149308983218164</v>
      </c>
      <c r="N97" s="184">
        <v>592.15464000000213</v>
      </c>
      <c r="O97" s="183">
        <v>0.2</v>
      </c>
      <c r="P97" s="185">
        <v>6.1697926949654501E-3</v>
      </c>
      <c r="Q97" s="183">
        <v>0.28400000000000175</v>
      </c>
      <c r="R97" s="185">
        <v>8.7611056268509929E-3</v>
      </c>
      <c r="S97" s="184">
        <v>347.46264000000212</v>
      </c>
      <c r="T97" s="183" t="s">
        <v>484</v>
      </c>
      <c r="U97" s="183" t="s">
        <v>426</v>
      </c>
      <c r="V97" s="183"/>
      <c r="W97" s="189">
        <v>1</v>
      </c>
      <c r="X97" s="183" t="s">
        <v>245</v>
      </c>
    </row>
    <row r="98" spans="2:24">
      <c r="B98" s="589"/>
      <c r="C98" s="591"/>
      <c r="D98" s="209">
        <v>2</v>
      </c>
      <c r="E98" s="183" t="s">
        <v>437</v>
      </c>
      <c r="F98" s="184">
        <v>215.2</v>
      </c>
      <c r="G98" s="183">
        <v>1442</v>
      </c>
      <c r="H98" s="183">
        <v>1458</v>
      </c>
      <c r="I98" s="192">
        <f t="shared" si="15"/>
        <v>1.0110957004160888</v>
      </c>
      <c r="J98" s="183">
        <v>0</v>
      </c>
      <c r="K98" s="192">
        <f t="shared" si="16"/>
        <v>0</v>
      </c>
      <c r="L98" s="184">
        <v>13.45</v>
      </c>
      <c r="M98" s="192">
        <f t="shared" si="17"/>
        <v>1.0110957004160888</v>
      </c>
      <c r="N98" s="184">
        <v>215.2</v>
      </c>
      <c r="O98" s="183">
        <v>16</v>
      </c>
      <c r="P98" s="185">
        <v>1.1095700416088766E-2</v>
      </c>
      <c r="Q98" s="183">
        <v>0</v>
      </c>
      <c r="R98" s="185">
        <v>0</v>
      </c>
      <c r="S98" s="184">
        <v>0</v>
      </c>
      <c r="T98" s="183" t="s">
        <v>484</v>
      </c>
      <c r="U98" s="183" t="s">
        <v>436</v>
      </c>
      <c r="V98" s="183"/>
      <c r="W98" s="189">
        <v>1</v>
      </c>
      <c r="X98" s="183" t="s">
        <v>310</v>
      </c>
    </row>
    <row r="99" spans="2:24">
      <c r="B99" s="589"/>
      <c r="C99" s="591"/>
      <c r="D99" s="209">
        <v>3</v>
      </c>
      <c r="E99" s="183" t="s">
        <v>423</v>
      </c>
      <c r="F99" s="184">
        <v>167.94800000000009</v>
      </c>
      <c r="G99" s="183">
        <v>104.52</v>
      </c>
      <c r="H99" s="183">
        <v>107.5</v>
      </c>
      <c r="I99" s="192">
        <f t="shared" si="15"/>
        <v>1.0285112897053197</v>
      </c>
      <c r="J99" s="183">
        <v>0</v>
      </c>
      <c r="K99" s="192">
        <f t="shared" si="16"/>
        <v>0</v>
      </c>
      <c r="L99" s="184">
        <v>76.34</v>
      </c>
      <c r="M99" s="192">
        <f t="shared" si="17"/>
        <v>1.0285112897053197</v>
      </c>
      <c r="N99" s="184">
        <v>227.49320000000031</v>
      </c>
      <c r="O99" s="183">
        <v>2.2000000000000011</v>
      </c>
      <c r="P99" s="185">
        <v>2.1048603138155389E-2</v>
      </c>
      <c r="Q99" s="183">
        <v>0.78000000000000291</v>
      </c>
      <c r="R99" s="185">
        <v>7.4626865671642076E-3</v>
      </c>
      <c r="S99" s="184">
        <v>59.545200000000222</v>
      </c>
      <c r="T99" s="183" t="s">
        <v>481</v>
      </c>
      <c r="U99" s="183" t="s">
        <v>419</v>
      </c>
      <c r="V99" s="183"/>
      <c r="W99" s="189">
        <v>1</v>
      </c>
      <c r="X99" s="183" t="s">
        <v>307</v>
      </c>
    </row>
    <row r="100" spans="2:24">
      <c r="B100" s="589"/>
      <c r="C100" s="591"/>
      <c r="D100" s="209">
        <v>4</v>
      </c>
      <c r="E100" s="183" t="s">
        <v>529</v>
      </c>
      <c r="F100" s="184">
        <v>165.33300000000008</v>
      </c>
      <c r="G100" s="183">
        <v>338.4</v>
      </c>
      <c r="H100" s="183">
        <v>341.9</v>
      </c>
      <c r="I100" s="192">
        <f t="shared" si="15"/>
        <v>1.0103427895981087</v>
      </c>
      <c r="J100" s="183">
        <v>0</v>
      </c>
      <c r="K100" s="192">
        <f t="shared" si="16"/>
        <v>0</v>
      </c>
      <c r="L100" s="184">
        <v>78.73</v>
      </c>
      <c r="M100" s="192">
        <f t="shared" si="17"/>
        <v>1.0103427895981087</v>
      </c>
      <c r="N100" s="184">
        <v>275.55500000000001</v>
      </c>
      <c r="O100" s="183">
        <v>2.100000000000001</v>
      </c>
      <c r="P100" s="185">
        <v>6.2056737588652511E-3</v>
      </c>
      <c r="Q100" s="183">
        <v>1.399999999999999</v>
      </c>
      <c r="R100" s="185">
        <v>4.1371158392434961E-3</v>
      </c>
      <c r="S100" s="184">
        <v>110.22199999999992</v>
      </c>
      <c r="T100" s="183" t="s">
        <v>481</v>
      </c>
      <c r="U100" s="183" t="s">
        <v>419</v>
      </c>
      <c r="V100" s="183"/>
      <c r="W100" s="189">
        <v>1</v>
      </c>
      <c r="X100" s="183" t="s">
        <v>287</v>
      </c>
    </row>
    <row r="101" spans="2:24">
      <c r="B101" s="589"/>
      <c r="C101" s="591"/>
      <c r="D101" s="209">
        <v>5</v>
      </c>
      <c r="E101" s="183" t="s">
        <v>433</v>
      </c>
      <c r="F101" s="184">
        <v>165.27</v>
      </c>
      <c r="G101" s="183">
        <v>71.082999999999998</v>
      </c>
      <c r="H101" s="183">
        <v>72.5</v>
      </c>
      <c r="I101" s="192">
        <f t="shared" si="15"/>
        <v>1.019934442834433</v>
      </c>
      <c r="J101" s="183">
        <v>0</v>
      </c>
      <c r="K101" s="192">
        <f t="shared" si="16"/>
        <v>0</v>
      </c>
      <c r="L101" s="184">
        <v>330.54</v>
      </c>
      <c r="M101" s="192">
        <f t="shared" si="17"/>
        <v>1.019934442834433</v>
      </c>
      <c r="N101" s="184">
        <v>468.37518000000057</v>
      </c>
      <c r="O101" s="183">
        <v>0.5</v>
      </c>
      <c r="P101" s="185">
        <v>7.0340306402374691E-3</v>
      </c>
      <c r="Q101" s="183">
        <v>0.91700000000000159</v>
      </c>
      <c r="R101" s="185">
        <v>1.290041219419554E-2</v>
      </c>
      <c r="S101" s="184">
        <v>303.10518000000053</v>
      </c>
      <c r="T101" s="183" t="s">
        <v>484</v>
      </c>
      <c r="U101" s="183" t="s">
        <v>426</v>
      </c>
      <c r="V101" s="183"/>
      <c r="W101" s="189">
        <v>1</v>
      </c>
      <c r="X101" s="183" t="s">
        <v>289</v>
      </c>
    </row>
    <row r="102" spans="2:24">
      <c r="B102" s="589"/>
      <c r="C102" s="591"/>
      <c r="D102" s="209">
        <v>6</v>
      </c>
      <c r="E102" s="183" t="s">
        <v>435</v>
      </c>
      <c r="F102" s="184">
        <v>164.208</v>
      </c>
      <c r="G102" s="183">
        <v>43.89</v>
      </c>
      <c r="H102" s="183">
        <v>45</v>
      </c>
      <c r="I102" s="192">
        <f t="shared" si="15"/>
        <v>1.0252904989747096</v>
      </c>
      <c r="J102" s="183">
        <v>0</v>
      </c>
      <c r="K102" s="192">
        <f t="shared" si="16"/>
        <v>0</v>
      </c>
      <c r="L102" s="184">
        <v>273.68</v>
      </c>
      <c r="M102" s="192">
        <f t="shared" si="17"/>
        <v>1.0252904989747096</v>
      </c>
      <c r="N102" s="184">
        <v>303.78479999999985</v>
      </c>
      <c r="O102" s="183">
        <v>0.6</v>
      </c>
      <c r="P102" s="185">
        <v>1.367053998632946E-2</v>
      </c>
      <c r="Q102" s="183">
        <v>0.50999999999999945</v>
      </c>
      <c r="R102" s="185">
        <v>1.1619958988380029E-2</v>
      </c>
      <c r="S102" s="184">
        <v>139.57679999999985</v>
      </c>
      <c r="T102" s="183" t="s">
        <v>484</v>
      </c>
      <c r="U102" s="183" t="s">
        <v>426</v>
      </c>
      <c r="V102" s="183"/>
      <c r="W102" s="189">
        <v>1</v>
      </c>
      <c r="X102" s="183" t="s">
        <v>276</v>
      </c>
    </row>
    <row r="103" spans="2:24">
      <c r="B103" s="589"/>
      <c r="C103" s="591"/>
      <c r="D103" s="209">
        <v>7</v>
      </c>
      <c r="E103" s="183" t="s">
        <v>490</v>
      </c>
      <c r="F103" s="184">
        <v>161.51399999999998</v>
      </c>
      <c r="G103" s="183">
        <v>101.745</v>
      </c>
      <c r="H103" s="183">
        <v>103</v>
      </c>
      <c r="I103" s="192">
        <f t="shared" si="15"/>
        <v>1.0123347584647895</v>
      </c>
      <c r="J103" s="183">
        <v>0</v>
      </c>
      <c r="K103" s="192">
        <f t="shared" si="16"/>
        <v>0</v>
      </c>
      <c r="L103" s="184">
        <v>269.19</v>
      </c>
      <c r="M103" s="192">
        <f t="shared" si="17"/>
        <v>1.0123347584647895</v>
      </c>
      <c r="N103" s="184">
        <v>337.83344999999878</v>
      </c>
      <c r="O103" s="183">
        <v>0.6</v>
      </c>
      <c r="P103" s="185">
        <v>5.8970956803774139E-3</v>
      </c>
      <c r="Q103" s="183">
        <v>0.65499999999999547</v>
      </c>
      <c r="R103" s="185">
        <v>6.4376627844119653E-3</v>
      </c>
      <c r="S103" s="184">
        <v>176.31944999999877</v>
      </c>
      <c r="T103" s="183" t="s">
        <v>481</v>
      </c>
      <c r="U103" s="183" t="s">
        <v>419</v>
      </c>
      <c r="V103" s="183"/>
      <c r="W103" s="189">
        <v>1</v>
      </c>
      <c r="X103" s="183" t="s">
        <v>295</v>
      </c>
    </row>
    <row r="104" spans="2:24">
      <c r="B104" s="589"/>
      <c r="C104" s="591"/>
      <c r="D104" s="209">
        <v>8</v>
      </c>
      <c r="E104" s="183" t="s">
        <v>532</v>
      </c>
      <c r="F104" s="184">
        <v>155.215</v>
      </c>
      <c r="G104" s="183">
        <v>20.648</v>
      </c>
      <c r="H104" s="183">
        <v>21.5</v>
      </c>
      <c r="I104" s="192">
        <f t="shared" si="15"/>
        <v>1.041263076327005</v>
      </c>
      <c r="J104" s="183">
        <v>0</v>
      </c>
      <c r="K104" s="192">
        <f t="shared" si="16"/>
        <v>0</v>
      </c>
      <c r="L104" s="184">
        <v>310.43</v>
      </c>
      <c r="M104" s="192">
        <f t="shared" si="17"/>
        <v>1.041263076327005</v>
      </c>
      <c r="N104" s="184">
        <v>264.4863600000001</v>
      </c>
      <c r="O104" s="183">
        <v>0.5</v>
      </c>
      <c r="P104" s="185">
        <v>2.4215420379697792E-2</v>
      </c>
      <c r="Q104" s="183">
        <v>0.35200000000000031</v>
      </c>
      <c r="R104" s="185">
        <v>1.7047655947307262E-2</v>
      </c>
      <c r="S104" s="184">
        <v>109.2713600000001</v>
      </c>
      <c r="T104" s="183" t="s">
        <v>498</v>
      </c>
      <c r="U104" s="183" t="s">
        <v>488</v>
      </c>
      <c r="V104" s="183"/>
      <c r="W104" s="189">
        <v>1</v>
      </c>
      <c r="X104" s="183" t="s">
        <v>278</v>
      </c>
    </row>
    <row r="105" spans="2:24">
      <c r="B105" s="589"/>
      <c r="C105" s="591"/>
      <c r="D105" s="209">
        <v>9</v>
      </c>
      <c r="E105" s="183" t="s">
        <v>407</v>
      </c>
      <c r="F105" s="184">
        <v>153.26300000000003</v>
      </c>
      <c r="G105" s="183">
        <v>11.74</v>
      </c>
      <c r="H105" s="183">
        <v>12.9</v>
      </c>
      <c r="I105" s="192">
        <f t="shared" si="15"/>
        <v>1.0988074957410563</v>
      </c>
      <c r="J105" s="183">
        <v>0</v>
      </c>
      <c r="K105" s="192">
        <f t="shared" si="16"/>
        <v>0</v>
      </c>
      <c r="L105" s="184">
        <v>139.33000000000001</v>
      </c>
      <c r="M105" s="192">
        <f t="shared" si="17"/>
        <v>1.0988074957410563</v>
      </c>
      <c r="N105" s="184">
        <v>161.62280000000004</v>
      </c>
      <c r="O105" s="183">
        <v>1.1000000000000001</v>
      </c>
      <c r="P105" s="185">
        <v>9.3696763202725727E-2</v>
      </c>
      <c r="Q105" s="183">
        <v>6.0000000000000053E-2</v>
      </c>
      <c r="R105" s="185">
        <v>5.1107325383304989E-3</v>
      </c>
      <c r="S105" s="184">
        <v>8.3598000000000088</v>
      </c>
      <c r="T105" s="183" t="s">
        <v>487</v>
      </c>
      <c r="U105" s="183" t="s">
        <v>510</v>
      </c>
      <c r="V105" s="183"/>
      <c r="W105" s="189">
        <v>1</v>
      </c>
      <c r="X105" s="183" t="s">
        <v>286</v>
      </c>
    </row>
    <row r="106" spans="2:24">
      <c r="B106" s="589"/>
      <c r="C106" s="591"/>
      <c r="D106" s="209">
        <v>10</v>
      </c>
      <c r="E106" s="183" t="s">
        <v>533</v>
      </c>
      <c r="F106" s="184">
        <v>152.92000000000002</v>
      </c>
      <c r="G106" s="183">
        <v>29.541934426229499</v>
      </c>
      <c r="H106" s="183">
        <v>30.3</v>
      </c>
      <c r="I106" s="192">
        <f t="shared" si="15"/>
        <v>1.0256606613105685</v>
      </c>
      <c r="J106" s="183">
        <v>0</v>
      </c>
      <c r="K106" s="192">
        <f t="shared" si="16"/>
        <v>0</v>
      </c>
      <c r="L106" s="184">
        <v>382.3</v>
      </c>
      <c r="M106" s="192">
        <f t="shared" si="17"/>
        <v>1.0256606613105685</v>
      </c>
      <c r="N106" s="184">
        <v>289.80846885246274</v>
      </c>
      <c r="O106" s="183">
        <v>0.4</v>
      </c>
      <c r="P106" s="185">
        <v>1.3540074736773183E-2</v>
      </c>
      <c r="Q106" s="183">
        <v>0.35806557377050152</v>
      </c>
      <c r="R106" s="185">
        <v>1.2120586573795404E-2</v>
      </c>
      <c r="S106" s="184">
        <v>136.88846885246272</v>
      </c>
      <c r="T106" s="183" t="s">
        <v>481</v>
      </c>
      <c r="U106" s="183" t="s">
        <v>419</v>
      </c>
      <c r="V106" s="183"/>
      <c r="W106" s="189">
        <v>1</v>
      </c>
      <c r="X106" s="183" t="s">
        <v>236</v>
      </c>
    </row>
    <row r="107" spans="2:24">
      <c r="B107" s="588">
        <v>45911</v>
      </c>
      <c r="C107" s="590" t="s">
        <v>206</v>
      </c>
      <c r="D107" s="209">
        <v>1</v>
      </c>
      <c r="E107" s="183" t="s">
        <v>431</v>
      </c>
      <c r="F107" s="184">
        <v>164.26799999999997</v>
      </c>
      <c r="G107" s="183">
        <v>340.59199999999998</v>
      </c>
      <c r="H107" s="183">
        <v>342.5</v>
      </c>
      <c r="I107" s="192">
        <f t="shared" si="15"/>
        <v>1.0056020106168084</v>
      </c>
      <c r="J107" s="183">
        <v>0</v>
      </c>
      <c r="K107" s="192">
        <f t="shared" si="16"/>
        <v>0</v>
      </c>
      <c r="L107" s="184">
        <v>136.88999999999999</v>
      </c>
      <c r="M107" s="192">
        <f t="shared" si="17"/>
        <v>1.0056020106168084</v>
      </c>
      <c r="N107" s="184">
        <v>261.18612000000206</v>
      </c>
      <c r="O107" s="183">
        <v>1.2</v>
      </c>
      <c r="P107" s="185">
        <v>3.5232771174895476E-3</v>
      </c>
      <c r="Q107" s="183">
        <v>0.70800000000001551</v>
      </c>
      <c r="R107" s="185">
        <v>2.0787334993188789E-3</v>
      </c>
      <c r="S107" s="184">
        <v>96.918120000002119</v>
      </c>
      <c r="T107" s="183" t="s">
        <v>484</v>
      </c>
      <c r="U107" s="183" t="s">
        <v>426</v>
      </c>
      <c r="V107" s="183"/>
      <c r="W107" s="189">
        <v>1</v>
      </c>
      <c r="X107" s="183" t="s">
        <v>420</v>
      </c>
    </row>
    <row r="108" spans="2:24">
      <c r="B108" s="589"/>
      <c r="C108" s="591"/>
      <c r="D108" s="209">
        <v>2</v>
      </c>
      <c r="E108" s="183" t="s">
        <v>534</v>
      </c>
      <c r="F108" s="184">
        <v>163.32399999999998</v>
      </c>
      <c r="G108" s="183">
        <v>159.38900000000001</v>
      </c>
      <c r="H108" s="183">
        <v>161.6</v>
      </c>
      <c r="I108" s="192">
        <f t="shared" si="15"/>
        <v>1.0138717226408347</v>
      </c>
      <c r="J108" s="183">
        <v>0</v>
      </c>
      <c r="K108" s="192">
        <f t="shared" si="16"/>
        <v>0</v>
      </c>
      <c r="L108" s="184">
        <v>116.66</v>
      </c>
      <c r="M108" s="192">
        <f t="shared" si="17"/>
        <v>1.0138717226408347</v>
      </c>
      <c r="N108" s="184">
        <v>257.93525999999815</v>
      </c>
      <c r="O108" s="183">
        <v>1.4</v>
      </c>
      <c r="P108" s="185">
        <v>8.7835421515913888E-3</v>
      </c>
      <c r="Q108" s="183">
        <v>0.8109999999999844</v>
      </c>
      <c r="R108" s="185">
        <v>5.0881804892432001E-3</v>
      </c>
      <c r="S108" s="184">
        <v>94.611259999998182</v>
      </c>
      <c r="T108" s="183" t="s">
        <v>481</v>
      </c>
      <c r="U108" s="183" t="s">
        <v>419</v>
      </c>
      <c r="V108" s="183"/>
      <c r="W108" s="189">
        <v>1</v>
      </c>
      <c r="X108" s="183" t="s">
        <v>317</v>
      </c>
    </row>
    <row r="109" spans="2:24">
      <c r="B109" s="589"/>
      <c r="C109" s="591"/>
      <c r="D109" s="209">
        <v>3</v>
      </c>
      <c r="E109" s="183" t="s">
        <v>512</v>
      </c>
      <c r="F109" s="184">
        <v>157.69999999999999</v>
      </c>
      <c r="G109" s="183">
        <v>386.322</v>
      </c>
      <c r="H109" s="183">
        <v>389.2</v>
      </c>
      <c r="I109" s="192">
        <f t="shared" si="15"/>
        <v>1.0074497439959411</v>
      </c>
      <c r="J109" s="183">
        <v>0</v>
      </c>
      <c r="K109" s="192">
        <f t="shared" si="16"/>
        <v>0</v>
      </c>
      <c r="L109" s="184">
        <v>78.849999999999994</v>
      </c>
      <c r="M109" s="192">
        <f t="shared" si="17"/>
        <v>1.0074497439959411</v>
      </c>
      <c r="N109" s="184">
        <v>226.93029999999888</v>
      </c>
      <c r="O109" s="183">
        <v>2</v>
      </c>
      <c r="P109" s="185">
        <v>5.1770284891877755E-3</v>
      </c>
      <c r="Q109" s="183">
        <v>0.8779999999999859</v>
      </c>
      <c r="R109" s="185">
        <v>2.2727155067533973E-3</v>
      </c>
      <c r="S109" s="184">
        <v>69.230299999998877</v>
      </c>
      <c r="T109" s="183" t="s">
        <v>481</v>
      </c>
      <c r="U109" s="183" t="s">
        <v>419</v>
      </c>
      <c r="V109" s="183"/>
      <c r="W109" s="189">
        <v>1</v>
      </c>
      <c r="X109" s="183" t="s">
        <v>289</v>
      </c>
    </row>
    <row r="110" spans="2:24">
      <c r="B110" s="589"/>
      <c r="C110" s="591"/>
      <c r="D110" s="209">
        <v>4</v>
      </c>
      <c r="E110" s="183" t="s">
        <v>529</v>
      </c>
      <c r="F110" s="184">
        <v>157.46</v>
      </c>
      <c r="G110" s="183">
        <v>296.64</v>
      </c>
      <c r="H110" s="183">
        <v>299.8</v>
      </c>
      <c r="I110" s="192">
        <f t="shared" si="15"/>
        <v>1.0106526429341964</v>
      </c>
      <c r="J110" s="183">
        <v>0</v>
      </c>
      <c r="K110" s="192">
        <f t="shared" si="16"/>
        <v>0</v>
      </c>
      <c r="L110" s="184">
        <v>78.73</v>
      </c>
      <c r="M110" s="192">
        <f t="shared" si="17"/>
        <v>1.0106526429341964</v>
      </c>
      <c r="N110" s="184">
        <v>248.78680000000199</v>
      </c>
      <c r="O110" s="183">
        <v>2</v>
      </c>
      <c r="P110" s="185">
        <v>6.7421790722761599E-3</v>
      </c>
      <c r="Q110" s="183">
        <v>1.160000000000025</v>
      </c>
      <c r="R110" s="185">
        <v>3.9104638619202568E-3</v>
      </c>
      <c r="S110" s="184">
        <v>91.326800000001967</v>
      </c>
      <c r="T110" s="183" t="s">
        <v>481</v>
      </c>
      <c r="U110" s="183" t="s">
        <v>419</v>
      </c>
      <c r="V110" s="183"/>
      <c r="W110" s="189">
        <v>1</v>
      </c>
      <c r="X110" s="183" t="s">
        <v>287</v>
      </c>
    </row>
    <row r="111" spans="2:24">
      <c r="B111" s="589"/>
      <c r="C111" s="591"/>
      <c r="D111" s="209">
        <v>5</v>
      </c>
      <c r="E111" s="183" t="s">
        <v>527</v>
      </c>
      <c r="F111" s="184">
        <v>155.63800000000001</v>
      </c>
      <c r="G111" s="183">
        <v>230.88</v>
      </c>
      <c r="H111" s="183">
        <v>233.4</v>
      </c>
      <c r="I111" s="192">
        <f t="shared" si="15"/>
        <v>1.0109147609147611</v>
      </c>
      <c r="J111" s="183">
        <v>0</v>
      </c>
      <c r="K111" s="192">
        <f t="shared" si="16"/>
        <v>0</v>
      </c>
      <c r="L111" s="184">
        <v>111.17</v>
      </c>
      <c r="M111" s="192">
        <f t="shared" si="17"/>
        <v>1.0109147609147611</v>
      </c>
      <c r="N111" s="184">
        <v>280.14840000000112</v>
      </c>
      <c r="O111" s="183">
        <v>1.4</v>
      </c>
      <c r="P111" s="185">
        <v>6.0637560637560638E-3</v>
      </c>
      <c r="Q111" s="183">
        <v>1.1200000000000103</v>
      </c>
      <c r="R111" s="185">
        <v>4.8510048510048958E-3</v>
      </c>
      <c r="S111" s="184">
        <v>124.51040000000116</v>
      </c>
      <c r="T111" s="183" t="s">
        <v>481</v>
      </c>
      <c r="U111" s="183" t="s">
        <v>419</v>
      </c>
      <c r="V111" s="183"/>
      <c r="W111" s="189">
        <v>1</v>
      </c>
      <c r="X111" s="183" t="s">
        <v>420</v>
      </c>
    </row>
    <row r="112" spans="2:24">
      <c r="B112" s="589"/>
      <c r="C112" s="591"/>
      <c r="D112" s="209">
        <v>6</v>
      </c>
      <c r="E112" s="183" t="s">
        <v>535</v>
      </c>
      <c r="F112" s="184">
        <v>155.46600000000001</v>
      </c>
      <c r="G112" s="183">
        <v>192.51</v>
      </c>
      <c r="H112" s="183">
        <v>195.5</v>
      </c>
      <c r="I112" s="192">
        <f t="shared" si="15"/>
        <v>1.015531660692951</v>
      </c>
      <c r="J112" s="183">
        <v>0</v>
      </c>
      <c r="K112" s="192">
        <f t="shared" si="16"/>
        <v>0</v>
      </c>
      <c r="L112" s="184">
        <v>86.37</v>
      </c>
      <c r="M112" s="192">
        <f t="shared" si="17"/>
        <v>1.015531660692951</v>
      </c>
      <c r="N112" s="184">
        <v>258.24630000000082</v>
      </c>
      <c r="O112" s="183">
        <v>1.8</v>
      </c>
      <c r="P112" s="185">
        <v>9.3501636278634885E-3</v>
      </c>
      <c r="Q112" s="183">
        <v>1.1900000000000091</v>
      </c>
      <c r="R112" s="185">
        <v>6.1814970650875753E-3</v>
      </c>
      <c r="S112" s="184">
        <v>102.78030000000079</v>
      </c>
      <c r="T112" s="183" t="s">
        <v>481</v>
      </c>
      <c r="U112" s="183" t="s">
        <v>419</v>
      </c>
      <c r="V112" s="183"/>
      <c r="W112" s="189">
        <v>1</v>
      </c>
      <c r="X112" s="183" t="s">
        <v>311</v>
      </c>
    </row>
    <row r="113" spans="2:25">
      <c r="B113" s="589"/>
      <c r="C113" s="591"/>
      <c r="D113" s="209">
        <v>7</v>
      </c>
      <c r="E113" s="183" t="s">
        <v>410</v>
      </c>
      <c r="F113" s="184">
        <v>149.14500000000001</v>
      </c>
      <c r="G113" s="183">
        <v>19.649999999999999</v>
      </c>
      <c r="H113" s="183">
        <v>21.3</v>
      </c>
      <c r="I113" s="192">
        <f t="shared" si="15"/>
        <v>1.083969465648855</v>
      </c>
      <c r="J113" s="183">
        <v>0</v>
      </c>
      <c r="K113" s="192">
        <f t="shared" si="16"/>
        <v>0</v>
      </c>
      <c r="L113" s="184">
        <v>99.43</v>
      </c>
      <c r="M113" s="192">
        <f t="shared" si="17"/>
        <v>1.083969465648855</v>
      </c>
      <c r="N113" s="184">
        <v>164.05950000000021</v>
      </c>
      <c r="O113" s="183">
        <v>1.5</v>
      </c>
      <c r="P113" s="185">
        <v>7.6335877862595422E-2</v>
      </c>
      <c r="Q113" s="183">
        <v>0.15000000000000213</v>
      </c>
      <c r="R113" s="185">
        <v>7.633587786259651E-3</v>
      </c>
      <c r="S113" s="184">
        <v>14.914500000000213</v>
      </c>
      <c r="T113" s="183" t="s">
        <v>487</v>
      </c>
      <c r="U113" s="183" t="s">
        <v>510</v>
      </c>
      <c r="V113" s="183"/>
      <c r="W113" s="189">
        <v>1</v>
      </c>
      <c r="X113" s="183" t="s">
        <v>274</v>
      </c>
    </row>
    <row r="114" spans="2:25">
      <c r="B114" s="589"/>
      <c r="C114" s="591"/>
      <c r="D114" s="209">
        <v>8</v>
      </c>
      <c r="E114" s="183" t="s">
        <v>536</v>
      </c>
      <c r="F114" s="184">
        <v>144.768</v>
      </c>
      <c r="G114" s="183">
        <v>16.41</v>
      </c>
      <c r="H114" s="183">
        <v>17.3</v>
      </c>
      <c r="I114" s="192">
        <f t="shared" si="15"/>
        <v>1.0542352224253504</v>
      </c>
      <c r="J114" s="183">
        <v>0</v>
      </c>
      <c r="K114" s="192">
        <f t="shared" si="16"/>
        <v>0</v>
      </c>
      <c r="L114" s="184">
        <v>180.96</v>
      </c>
      <c r="M114" s="192">
        <f t="shared" si="17"/>
        <v>1.0542352224253504</v>
      </c>
      <c r="N114" s="184">
        <v>161.0544000000001</v>
      </c>
      <c r="O114" s="183">
        <v>0.79999999999999993</v>
      </c>
      <c r="P114" s="185">
        <v>4.8750761730652035E-2</v>
      </c>
      <c r="Q114" s="183">
        <v>9.0000000000000635E-2</v>
      </c>
      <c r="R114" s="185">
        <v>5.4844606946983935E-3</v>
      </c>
      <c r="S114" s="184">
        <v>16.286400000000114</v>
      </c>
      <c r="T114" s="183" t="s">
        <v>487</v>
      </c>
      <c r="U114" s="183" t="s">
        <v>488</v>
      </c>
      <c r="V114" s="183"/>
      <c r="W114" s="189">
        <v>1</v>
      </c>
      <c r="X114" s="183" t="s">
        <v>290</v>
      </c>
    </row>
    <row r="115" spans="2:25">
      <c r="B115" s="589"/>
      <c r="C115" s="591"/>
      <c r="D115" s="209">
        <v>9</v>
      </c>
      <c r="E115" s="183" t="s">
        <v>508</v>
      </c>
      <c r="F115" s="184">
        <v>141.9</v>
      </c>
      <c r="G115" s="183">
        <v>116.071</v>
      </c>
      <c r="H115" s="183">
        <v>118.2</v>
      </c>
      <c r="I115" s="192">
        <f t="shared" si="15"/>
        <v>1.0183422215712796</v>
      </c>
      <c r="J115" s="183">
        <v>0</v>
      </c>
      <c r="K115" s="192">
        <f t="shared" si="16"/>
        <v>0</v>
      </c>
      <c r="L115" s="184">
        <v>70.95</v>
      </c>
      <c r="M115" s="192">
        <f t="shared" si="17"/>
        <v>1.0183422215712796</v>
      </c>
      <c r="N115" s="184">
        <v>151.05255000000037</v>
      </c>
      <c r="O115" s="183">
        <v>2</v>
      </c>
      <c r="P115" s="185">
        <v>1.7230832852305915E-2</v>
      </c>
      <c r="Q115" s="183">
        <v>0.12900000000000489</v>
      </c>
      <c r="R115" s="185">
        <v>1.1113887189737738E-3</v>
      </c>
      <c r="S115" s="184">
        <v>9.1525500000003479</v>
      </c>
      <c r="T115" s="183" t="s">
        <v>481</v>
      </c>
      <c r="U115" s="183" t="s">
        <v>419</v>
      </c>
      <c r="V115" s="183"/>
      <c r="W115" s="189">
        <v>1</v>
      </c>
      <c r="X115" s="183" t="s">
        <v>295</v>
      </c>
    </row>
    <row r="116" spans="2:25">
      <c r="B116" s="589"/>
      <c r="C116" s="591"/>
      <c r="D116" s="209">
        <v>10</v>
      </c>
      <c r="E116" s="183" t="s">
        <v>411</v>
      </c>
      <c r="F116" s="184">
        <v>141.81</v>
      </c>
      <c r="G116" s="183">
        <v>5.6619999999999999</v>
      </c>
      <c r="H116" s="183">
        <v>6.5</v>
      </c>
      <c r="I116" s="192">
        <f t="shared" si="15"/>
        <v>1.1480042387848817</v>
      </c>
      <c r="J116" s="183">
        <v>0</v>
      </c>
      <c r="K116" s="192">
        <f t="shared" si="16"/>
        <v>0</v>
      </c>
      <c r="L116" s="184">
        <v>283.62</v>
      </c>
      <c r="M116" s="192">
        <f t="shared" si="17"/>
        <v>1.1480042387848817</v>
      </c>
      <c r="N116" s="184">
        <v>237.67356000000004</v>
      </c>
      <c r="O116" s="183">
        <v>0.5</v>
      </c>
      <c r="P116" s="185">
        <v>8.8308018368067828E-2</v>
      </c>
      <c r="Q116" s="183">
        <v>0.33800000000000008</v>
      </c>
      <c r="R116" s="185">
        <v>5.9696220416813862E-2</v>
      </c>
      <c r="S116" s="184">
        <v>95.863560000000021</v>
      </c>
      <c r="T116" s="183" t="s">
        <v>487</v>
      </c>
      <c r="U116" s="183" t="s">
        <v>510</v>
      </c>
      <c r="V116" s="183"/>
      <c r="W116" s="189">
        <v>1</v>
      </c>
      <c r="X116" s="183" t="s">
        <v>295</v>
      </c>
    </row>
    <row r="117" spans="2:25">
      <c r="B117" s="588">
        <v>45912</v>
      </c>
      <c r="C117" s="590" t="s">
        <v>207</v>
      </c>
      <c r="D117" s="209">
        <v>1</v>
      </c>
      <c r="E117" s="183" t="s">
        <v>431</v>
      </c>
      <c r="F117" s="184">
        <v>164.26799999999997</v>
      </c>
      <c r="G117" s="183">
        <v>262.27800000000002</v>
      </c>
      <c r="H117" s="183">
        <v>264.89999999999998</v>
      </c>
      <c r="I117" s="192">
        <f t="shared" si="15"/>
        <v>1.0099970260563218</v>
      </c>
      <c r="J117" s="183">
        <v>0</v>
      </c>
      <c r="K117" s="192">
        <f t="shared" si="16"/>
        <v>0</v>
      </c>
      <c r="L117" s="184">
        <v>136.88999999999999</v>
      </c>
      <c r="M117" s="192">
        <f t="shared" si="17"/>
        <v>1.0099970260563218</v>
      </c>
      <c r="N117" s="184">
        <v>358.92557999999411</v>
      </c>
      <c r="O117" s="183">
        <v>1.2</v>
      </c>
      <c r="P117" s="185">
        <v>4.5752979662800532E-3</v>
      </c>
      <c r="Q117" s="183">
        <v>1.4219999999999573</v>
      </c>
      <c r="R117" s="185">
        <v>5.4217280900417004E-3</v>
      </c>
      <c r="S117" s="184">
        <v>194.65757999999414</v>
      </c>
      <c r="T117" s="183" t="s">
        <v>484</v>
      </c>
      <c r="U117" s="183" t="s">
        <v>426</v>
      </c>
      <c r="V117" s="183"/>
      <c r="W117" s="189">
        <v>1</v>
      </c>
      <c r="X117" s="183" t="s">
        <v>420</v>
      </c>
    </row>
    <row r="118" spans="2:25">
      <c r="B118" s="589"/>
      <c r="C118" s="591"/>
      <c r="D118" s="209">
        <v>2</v>
      </c>
      <c r="E118" s="183" t="s">
        <v>512</v>
      </c>
      <c r="F118" s="184">
        <v>157.69999999999999</v>
      </c>
      <c r="G118" s="183">
        <v>384.46199999999999</v>
      </c>
      <c r="H118" s="183">
        <v>387.4</v>
      </c>
      <c r="I118" s="192">
        <f t="shared" si="15"/>
        <v>1.0076418475688105</v>
      </c>
      <c r="J118" s="183">
        <v>0</v>
      </c>
      <c r="K118" s="192">
        <f t="shared" si="16"/>
        <v>0</v>
      </c>
      <c r="L118" s="184">
        <v>78.849999999999994</v>
      </c>
      <c r="M118" s="192">
        <f t="shared" si="17"/>
        <v>1.0076418475688105</v>
      </c>
      <c r="N118" s="184">
        <v>231.66129999999904</v>
      </c>
      <c r="O118" s="183">
        <v>2</v>
      </c>
      <c r="P118" s="185">
        <v>5.2020745873454337E-3</v>
      </c>
      <c r="Q118" s="183">
        <v>0.93799999999998818</v>
      </c>
      <c r="R118" s="185">
        <v>2.4397729814649776E-3</v>
      </c>
      <c r="S118" s="184">
        <v>73.961299999999056</v>
      </c>
      <c r="T118" s="183" t="s">
        <v>481</v>
      </c>
      <c r="U118" s="183" t="s">
        <v>419</v>
      </c>
      <c r="V118" s="183"/>
      <c r="W118" s="189">
        <v>1</v>
      </c>
      <c r="X118" s="183" t="s">
        <v>289</v>
      </c>
    </row>
    <row r="119" spans="2:25">
      <c r="B119" s="589"/>
      <c r="C119" s="591"/>
      <c r="D119" s="209">
        <v>3</v>
      </c>
      <c r="E119" s="183" t="s">
        <v>537</v>
      </c>
      <c r="F119" s="184">
        <v>155.76</v>
      </c>
      <c r="G119" s="183">
        <v>34.305</v>
      </c>
      <c r="H119" s="183">
        <v>36.1</v>
      </c>
      <c r="I119" s="192">
        <f t="shared" si="15"/>
        <v>1.0523247340037896</v>
      </c>
      <c r="J119" s="183">
        <v>0</v>
      </c>
      <c r="K119" s="192">
        <f t="shared" si="16"/>
        <v>0</v>
      </c>
      <c r="L119" s="184">
        <v>97.35</v>
      </c>
      <c r="M119" s="192">
        <f t="shared" si="17"/>
        <v>1.0523247340037896</v>
      </c>
      <c r="N119" s="184">
        <v>174.74325000000016</v>
      </c>
      <c r="O119" s="183">
        <v>1.6</v>
      </c>
      <c r="P119" s="185">
        <v>4.6640431423990672E-2</v>
      </c>
      <c r="Q119" s="183">
        <v>0.19500000000000162</v>
      </c>
      <c r="R119" s="185">
        <v>5.6843025797989107E-3</v>
      </c>
      <c r="S119" s="184">
        <v>18.983250000000155</v>
      </c>
      <c r="T119" s="183" t="s">
        <v>487</v>
      </c>
      <c r="U119" s="183" t="s">
        <v>488</v>
      </c>
      <c r="V119" s="183"/>
      <c r="W119" s="189">
        <v>1</v>
      </c>
      <c r="X119" s="183" t="s">
        <v>420</v>
      </c>
    </row>
    <row r="120" spans="2:25">
      <c r="B120" s="589"/>
      <c r="C120" s="591"/>
      <c r="D120" s="209">
        <v>4</v>
      </c>
      <c r="E120" s="183" t="s">
        <v>522</v>
      </c>
      <c r="F120" s="184">
        <v>155.74300000000008</v>
      </c>
      <c r="G120" s="183">
        <v>253.19</v>
      </c>
      <c r="H120" s="183">
        <v>256.10000000000002</v>
      </c>
      <c r="I120" s="192">
        <f t="shared" si="15"/>
        <v>1.0114933449188357</v>
      </c>
      <c r="J120" s="183">
        <v>0</v>
      </c>
      <c r="K120" s="192">
        <f t="shared" si="16"/>
        <v>0</v>
      </c>
      <c r="L120" s="184">
        <v>81.97</v>
      </c>
      <c r="M120" s="192">
        <f t="shared" si="17"/>
        <v>1.0114933449188357</v>
      </c>
      <c r="N120" s="184">
        <v>238.53270000000205</v>
      </c>
      <c r="O120" s="183">
        <v>1.900000000000001</v>
      </c>
      <c r="P120" s="185">
        <v>7.5042458232947628E-3</v>
      </c>
      <c r="Q120" s="183">
        <v>1.010000000000024</v>
      </c>
      <c r="R120" s="185">
        <v>3.9890990955409929E-3</v>
      </c>
      <c r="S120" s="184">
        <v>82.789700000001972</v>
      </c>
      <c r="T120" s="183" t="s">
        <v>484</v>
      </c>
      <c r="U120" s="183" t="s">
        <v>419</v>
      </c>
      <c r="V120" s="183"/>
      <c r="W120" s="189">
        <v>1</v>
      </c>
      <c r="X120" s="183" t="s">
        <v>306</v>
      </c>
    </row>
    <row r="121" spans="2:25">
      <c r="B121" s="589"/>
      <c r="C121" s="591"/>
      <c r="D121" s="209">
        <v>5</v>
      </c>
      <c r="E121" s="183" t="s">
        <v>535</v>
      </c>
      <c r="F121" s="184">
        <v>155.46600000000001</v>
      </c>
      <c r="G121" s="183">
        <v>171.67500000000001</v>
      </c>
      <c r="H121" s="183">
        <v>174.5</v>
      </c>
      <c r="I121" s="192">
        <f t="shared" si="15"/>
        <v>1.0164555118683558</v>
      </c>
      <c r="J121" s="183">
        <v>0</v>
      </c>
      <c r="K121" s="192">
        <f t="shared" si="16"/>
        <v>0</v>
      </c>
      <c r="L121" s="184">
        <v>86.37</v>
      </c>
      <c r="M121" s="192">
        <f t="shared" si="17"/>
        <v>1.0164555118683558</v>
      </c>
      <c r="N121" s="184">
        <v>243.99524999999903</v>
      </c>
      <c r="O121" s="183">
        <v>1.8</v>
      </c>
      <c r="P121" s="185">
        <v>1.0484927916120577E-2</v>
      </c>
      <c r="Q121" s="183">
        <v>1.0249999999999886</v>
      </c>
      <c r="R121" s="185">
        <v>5.9705839522352618E-3</v>
      </c>
      <c r="S121" s="184">
        <v>88.529249999999024</v>
      </c>
      <c r="T121" s="183" t="s">
        <v>484</v>
      </c>
      <c r="U121" s="183" t="s">
        <v>419</v>
      </c>
      <c r="V121" s="183"/>
      <c r="W121" s="189">
        <v>1</v>
      </c>
      <c r="X121" s="183" t="s">
        <v>311</v>
      </c>
    </row>
    <row r="122" spans="2:25">
      <c r="B122" s="589"/>
      <c r="C122" s="591"/>
      <c r="D122" s="209">
        <v>6</v>
      </c>
      <c r="E122" s="183" t="s">
        <v>538</v>
      </c>
      <c r="F122" s="184">
        <v>151.84800000000001</v>
      </c>
      <c r="G122" s="183">
        <v>43.875</v>
      </c>
      <c r="H122" s="183">
        <v>44.9</v>
      </c>
      <c r="I122" s="192">
        <f t="shared" si="15"/>
        <v>1.0233618233618234</v>
      </c>
      <c r="J122" s="183">
        <v>0</v>
      </c>
      <c r="K122" s="192">
        <f t="shared" si="16"/>
        <v>0</v>
      </c>
      <c r="L122" s="184">
        <v>253.08</v>
      </c>
      <c r="M122" s="192">
        <f t="shared" si="17"/>
        <v>1.0233618233618234</v>
      </c>
      <c r="N122" s="184">
        <v>259.40699999999964</v>
      </c>
      <c r="O122" s="183">
        <v>0.6</v>
      </c>
      <c r="P122" s="185">
        <v>1.3675213675213675E-2</v>
      </c>
      <c r="Q122" s="183">
        <v>0.4249999999999986</v>
      </c>
      <c r="R122" s="185">
        <v>9.6866096866096551E-3</v>
      </c>
      <c r="S122" s="184">
        <v>107.55899999999966</v>
      </c>
      <c r="T122" s="183" t="s">
        <v>484</v>
      </c>
      <c r="U122" s="183" t="s">
        <v>419</v>
      </c>
      <c r="V122" s="183"/>
      <c r="W122" s="189">
        <v>1</v>
      </c>
      <c r="X122" s="183" t="s">
        <v>304</v>
      </c>
    </row>
    <row r="123" spans="2:25">
      <c r="B123" s="589"/>
      <c r="C123" s="591"/>
      <c r="D123" s="209">
        <v>7</v>
      </c>
      <c r="E123" s="183" t="s">
        <v>415</v>
      </c>
      <c r="F123" s="184">
        <v>140.22800000000001</v>
      </c>
      <c r="G123" s="183">
        <v>117.923</v>
      </c>
      <c r="H123" s="183">
        <v>120.2</v>
      </c>
      <c r="I123" s="192">
        <f t="shared" si="15"/>
        <v>1.0193092102473649</v>
      </c>
      <c r="J123" s="183">
        <v>0</v>
      </c>
      <c r="K123" s="192">
        <f t="shared" si="16"/>
        <v>0</v>
      </c>
      <c r="L123" s="184">
        <v>127.48</v>
      </c>
      <c r="M123" s="192">
        <f t="shared" si="17"/>
        <v>1.0193092102473649</v>
      </c>
      <c r="N123" s="184">
        <v>290.27196000000015</v>
      </c>
      <c r="O123" s="183">
        <v>1.1000000000000001</v>
      </c>
      <c r="P123" s="185">
        <v>9.3281208924467663E-3</v>
      </c>
      <c r="Q123" s="183">
        <v>1.1770000000000009</v>
      </c>
      <c r="R123" s="185">
        <v>9.9810893549180484E-3</v>
      </c>
      <c r="S123" s="184">
        <v>150.04396000000011</v>
      </c>
      <c r="T123" s="183" t="s">
        <v>487</v>
      </c>
      <c r="U123" s="183" t="s">
        <v>488</v>
      </c>
      <c r="V123" s="183"/>
      <c r="W123" s="189">
        <v>1</v>
      </c>
      <c r="X123" s="183" t="s">
        <v>321</v>
      </c>
    </row>
    <row r="124" spans="2:25">
      <c r="B124" s="589"/>
      <c r="C124" s="591"/>
      <c r="D124" s="209">
        <v>8</v>
      </c>
      <c r="E124" s="183" t="s">
        <v>539</v>
      </c>
      <c r="F124" s="184">
        <v>139.43400000000008</v>
      </c>
      <c r="G124" s="183">
        <v>445.36</v>
      </c>
      <c r="H124" s="183">
        <v>449.5</v>
      </c>
      <c r="I124" s="192">
        <f t="shared" si="15"/>
        <v>1.0092958505478713</v>
      </c>
      <c r="J124" s="183">
        <v>0</v>
      </c>
      <c r="K124" s="192">
        <f t="shared" si="16"/>
        <v>0</v>
      </c>
      <c r="L124" s="184">
        <v>41.01</v>
      </c>
      <c r="M124" s="192">
        <f t="shared" si="17"/>
        <v>1.0092958505478713</v>
      </c>
      <c r="N124" s="184">
        <v>169.78139999999942</v>
      </c>
      <c r="O124" s="183">
        <v>3.4000000000000021</v>
      </c>
      <c r="P124" s="185">
        <v>7.6342733968025912E-3</v>
      </c>
      <c r="Q124" s="183">
        <v>0.73999999999998423</v>
      </c>
      <c r="R124" s="185">
        <v>1.6615771510687628E-3</v>
      </c>
      <c r="S124" s="184">
        <v>30.34739999999935</v>
      </c>
      <c r="T124" s="183" t="s">
        <v>487</v>
      </c>
      <c r="U124" s="183" t="s">
        <v>488</v>
      </c>
      <c r="V124" s="183"/>
      <c r="W124" s="189">
        <v>1</v>
      </c>
      <c r="X124" s="183" t="s">
        <v>308</v>
      </c>
    </row>
    <row r="125" spans="2:25">
      <c r="B125" s="589"/>
      <c r="C125" s="591"/>
      <c r="D125" s="209">
        <v>9</v>
      </c>
      <c r="E125" s="183" t="s">
        <v>540</v>
      </c>
      <c r="F125" s="184">
        <v>139.29300000000006</v>
      </c>
      <c r="G125" s="183">
        <v>79.296000000000006</v>
      </c>
      <c r="H125" s="183">
        <v>81.5</v>
      </c>
      <c r="I125" s="192">
        <f t="shared" si="15"/>
        <v>1.0277945924132363</v>
      </c>
      <c r="J125" s="183">
        <v>0</v>
      </c>
      <c r="K125" s="192">
        <f t="shared" si="16"/>
        <v>0</v>
      </c>
      <c r="L125" s="184">
        <v>66.33</v>
      </c>
      <c r="M125" s="192">
        <f t="shared" si="17"/>
        <v>1.0277945924132363</v>
      </c>
      <c r="N125" s="184">
        <v>146.19131999999956</v>
      </c>
      <c r="O125" s="183">
        <v>2.100000000000001</v>
      </c>
      <c r="P125" s="185">
        <v>2.6483050847457636E-2</v>
      </c>
      <c r="Q125" s="183">
        <v>0.10399999999999254</v>
      </c>
      <c r="R125" s="185">
        <v>1.3115415657787598E-3</v>
      </c>
      <c r="S125" s="184">
        <v>6.8983199999995053</v>
      </c>
      <c r="T125" s="183" t="s">
        <v>484</v>
      </c>
      <c r="U125" s="183" t="s">
        <v>426</v>
      </c>
      <c r="V125" s="183"/>
      <c r="W125" s="189">
        <v>1</v>
      </c>
      <c r="X125" s="183" t="s">
        <v>293</v>
      </c>
    </row>
    <row r="126" spans="2:25">
      <c r="B126" s="589"/>
      <c r="C126" s="591"/>
      <c r="D126" s="209">
        <v>10</v>
      </c>
      <c r="E126" s="183" t="s">
        <v>541</v>
      </c>
      <c r="F126" s="184">
        <v>138.87299999999999</v>
      </c>
      <c r="G126" s="183">
        <v>15.257</v>
      </c>
      <c r="H126" s="183">
        <v>16.2</v>
      </c>
      <c r="I126" s="192">
        <f t="shared" si="15"/>
        <v>1.0618076948286033</v>
      </c>
      <c r="J126" s="183">
        <v>0</v>
      </c>
      <c r="K126" s="192">
        <f t="shared" si="16"/>
        <v>0</v>
      </c>
      <c r="L126" s="184">
        <v>198.39</v>
      </c>
      <c r="M126" s="192">
        <f t="shared" si="17"/>
        <v>1.0618076948286033</v>
      </c>
      <c r="N126" s="184">
        <v>187.08176999999992</v>
      </c>
      <c r="O126" s="183">
        <v>0.7</v>
      </c>
      <c r="P126" s="185">
        <v>4.588057940617421E-2</v>
      </c>
      <c r="Q126" s="183">
        <v>0.24299999999999966</v>
      </c>
      <c r="R126" s="185">
        <v>1.5927115422429028E-2</v>
      </c>
      <c r="S126" s="184">
        <v>48.20876999999993</v>
      </c>
      <c r="T126" s="183" t="s">
        <v>498</v>
      </c>
      <c r="U126" s="183" t="s">
        <v>488</v>
      </c>
      <c r="V126" s="183"/>
      <c r="W126" s="189">
        <v>1</v>
      </c>
      <c r="X126" s="183" t="s">
        <v>234</v>
      </c>
    </row>
    <row r="127" spans="2:25">
      <c r="B127" s="588">
        <v>45913</v>
      </c>
      <c r="C127" s="590" t="s">
        <v>208</v>
      </c>
      <c r="D127" s="209">
        <v>1</v>
      </c>
      <c r="E127" s="183" t="s">
        <v>429</v>
      </c>
      <c r="F127" s="184">
        <v>186.072</v>
      </c>
      <c r="G127" s="183">
        <v>12.045</v>
      </c>
      <c r="H127" s="183">
        <v>12.5</v>
      </c>
      <c r="I127" s="192">
        <f t="shared" si="15"/>
        <v>1.0377750103777501</v>
      </c>
      <c r="J127" s="183">
        <v>0</v>
      </c>
      <c r="K127" s="192">
        <f t="shared" si="16"/>
        <v>0</v>
      </c>
      <c r="L127" s="184">
        <v>930.36</v>
      </c>
      <c r="M127" s="192">
        <f t="shared" si="17"/>
        <v>1.0377750103777501</v>
      </c>
      <c r="N127" s="184">
        <v>423.31380000000007</v>
      </c>
      <c r="O127" s="183">
        <v>0.2</v>
      </c>
      <c r="P127" s="185">
        <v>1.6604400166044003E-2</v>
      </c>
      <c r="Q127" s="183">
        <v>0.25500000000000006</v>
      </c>
      <c r="R127" s="185">
        <v>2.1170610211706107E-2</v>
      </c>
      <c r="S127" s="184">
        <v>237.24180000000007</v>
      </c>
      <c r="T127" s="183" t="s">
        <v>484</v>
      </c>
      <c r="U127" s="183" t="s">
        <v>426</v>
      </c>
      <c r="V127" s="183"/>
      <c r="W127" s="189">
        <v>1</v>
      </c>
      <c r="X127" s="183" t="s">
        <v>279</v>
      </c>
      <c r="Y127" s="186" t="s">
        <v>542</v>
      </c>
    </row>
    <row r="128" spans="2:25">
      <c r="B128" s="589"/>
      <c r="C128" s="591"/>
      <c r="D128" s="209">
        <v>2</v>
      </c>
      <c r="E128" s="183" t="s">
        <v>413</v>
      </c>
      <c r="F128" s="184">
        <v>181.54799999999997</v>
      </c>
      <c r="G128" s="183">
        <v>36.06</v>
      </c>
      <c r="H128" s="183">
        <v>37.700000000000003</v>
      </c>
      <c r="I128" s="192">
        <f t="shared" si="15"/>
        <v>1.045479755962285</v>
      </c>
      <c r="J128" s="183">
        <v>0</v>
      </c>
      <c r="K128" s="192">
        <f t="shared" si="16"/>
        <v>0</v>
      </c>
      <c r="L128" s="184">
        <v>151.29</v>
      </c>
      <c r="M128" s="192">
        <f t="shared" si="17"/>
        <v>1.045479755962285</v>
      </c>
      <c r="N128" s="184">
        <v>248.11560000000009</v>
      </c>
      <c r="O128" s="183">
        <v>1.2</v>
      </c>
      <c r="P128" s="185">
        <v>3.3277870216306155E-2</v>
      </c>
      <c r="Q128" s="183">
        <v>0.44000000000000061</v>
      </c>
      <c r="R128" s="185">
        <v>1.2201885745978941E-2</v>
      </c>
      <c r="S128" s="184">
        <v>66.567600000000084</v>
      </c>
      <c r="T128" s="183" t="s">
        <v>487</v>
      </c>
      <c r="U128" s="183" t="s">
        <v>488</v>
      </c>
      <c r="V128" s="183"/>
      <c r="W128" s="189">
        <v>1</v>
      </c>
      <c r="X128" s="183" t="s">
        <v>302</v>
      </c>
      <c r="Y128" s="188" t="s">
        <v>543</v>
      </c>
    </row>
    <row r="129" spans="2:24">
      <c r="B129" s="589"/>
      <c r="C129" s="591"/>
      <c r="D129" s="209">
        <v>3</v>
      </c>
      <c r="E129" s="183" t="s">
        <v>417</v>
      </c>
      <c r="F129" s="184">
        <v>166.77599999999998</v>
      </c>
      <c r="G129" s="183">
        <v>53.935000000000002</v>
      </c>
      <c r="H129" s="183">
        <v>55.2</v>
      </c>
      <c r="I129" s="192">
        <f t="shared" si="15"/>
        <v>1.023454157782516</v>
      </c>
      <c r="J129" s="183">
        <v>0</v>
      </c>
      <c r="K129" s="192">
        <f t="shared" si="16"/>
        <v>0</v>
      </c>
      <c r="L129" s="184">
        <v>208.47</v>
      </c>
      <c r="M129" s="192">
        <f t="shared" si="17"/>
        <v>1.023454157782516</v>
      </c>
      <c r="N129" s="184">
        <v>263.71455000000014</v>
      </c>
      <c r="O129" s="183">
        <v>0.79999999999999993</v>
      </c>
      <c r="P129" s="185">
        <v>1.4832668953369795E-2</v>
      </c>
      <c r="Q129" s="183">
        <v>0.46500000000000064</v>
      </c>
      <c r="R129" s="185">
        <v>8.6214888291462066E-3</v>
      </c>
      <c r="S129" s="184">
        <v>96.938550000000134</v>
      </c>
      <c r="T129" s="183" t="s">
        <v>487</v>
      </c>
      <c r="U129" s="183" t="s">
        <v>488</v>
      </c>
      <c r="V129" s="183"/>
      <c r="W129" s="189">
        <v>1</v>
      </c>
      <c r="X129" s="183" t="s">
        <v>307</v>
      </c>
    </row>
    <row r="130" spans="2:24">
      <c r="B130" s="589"/>
      <c r="C130" s="591"/>
      <c r="D130" s="209">
        <v>4</v>
      </c>
      <c r="E130" s="183" t="s">
        <v>435</v>
      </c>
      <c r="F130" s="184">
        <v>164.208</v>
      </c>
      <c r="G130" s="183">
        <v>41.545000000000002</v>
      </c>
      <c r="H130" s="183">
        <v>42.6</v>
      </c>
      <c r="I130" s="192">
        <f t="shared" si="15"/>
        <v>1.0253941509206883</v>
      </c>
      <c r="J130" s="183">
        <v>0</v>
      </c>
      <c r="K130" s="192">
        <f t="shared" si="16"/>
        <v>0</v>
      </c>
      <c r="L130" s="184">
        <v>273.68</v>
      </c>
      <c r="M130" s="192">
        <f t="shared" si="17"/>
        <v>1.0253941509206883</v>
      </c>
      <c r="N130" s="184">
        <v>288.73239999999993</v>
      </c>
      <c r="O130" s="183">
        <v>0.6</v>
      </c>
      <c r="P130" s="185">
        <v>1.4442171139728005E-2</v>
      </c>
      <c r="Q130" s="183">
        <v>0.45499999999999974</v>
      </c>
      <c r="R130" s="185">
        <v>1.0951979780960398E-2</v>
      </c>
      <c r="S130" s="184">
        <v>124.52439999999993</v>
      </c>
      <c r="T130" s="183" t="s">
        <v>487</v>
      </c>
      <c r="U130" s="183" t="s">
        <v>488</v>
      </c>
      <c r="V130" s="183"/>
      <c r="W130" s="189">
        <v>1</v>
      </c>
      <c r="X130" s="183" t="s">
        <v>276</v>
      </c>
    </row>
    <row r="131" spans="2:24">
      <c r="B131" s="589"/>
      <c r="C131" s="591"/>
      <c r="D131" s="209">
        <v>5</v>
      </c>
      <c r="E131" s="183" t="s">
        <v>522</v>
      </c>
      <c r="F131" s="184">
        <v>163.94</v>
      </c>
      <c r="G131" s="183">
        <v>258.72000000000003</v>
      </c>
      <c r="H131" s="183">
        <v>262.3</v>
      </c>
      <c r="I131" s="192">
        <f t="shared" si="15"/>
        <v>1.0138373531230673</v>
      </c>
      <c r="J131" s="183">
        <v>0</v>
      </c>
      <c r="K131" s="192">
        <f t="shared" si="16"/>
        <v>0</v>
      </c>
      <c r="L131" s="184">
        <v>81.97</v>
      </c>
      <c r="M131" s="192">
        <f t="shared" si="17"/>
        <v>1.0138373531230673</v>
      </c>
      <c r="N131" s="184">
        <v>293.45259999999871</v>
      </c>
      <c r="O131" s="183">
        <v>2</v>
      </c>
      <c r="P131" s="185">
        <v>7.7303648732220155E-3</v>
      </c>
      <c r="Q131" s="183">
        <v>1.5799999999999841</v>
      </c>
      <c r="R131" s="185">
        <v>6.1069882498453309E-3</v>
      </c>
      <c r="S131" s="184">
        <v>129.51259999999868</v>
      </c>
      <c r="T131" s="183" t="s">
        <v>481</v>
      </c>
      <c r="U131" s="183" t="s">
        <v>419</v>
      </c>
      <c r="V131" s="183"/>
      <c r="W131" s="189">
        <v>1</v>
      </c>
      <c r="X131" s="183" t="s">
        <v>306</v>
      </c>
    </row>
    <row r="132" spans="2:24">
      <c r="B132" s="589"/>
      <c r="C132" s="591"/>
      <c r="D132" s="209">
        <v>6</v>
      </c>
      <c r="E132" s="183" t="s">
        <v>529</v>
      </c>
      <c r="F132" s="184">
        <v>157.46</v>
      </c>
      <c r="G132" s="183">
        <v>332.46</v>
      </c>
      <c r="H132" s="183">
        <v>335.6</v>
      </c>
      <c r="I132" s="192">
        <f t="shared" si="15"/>
        <v>1.0094447452325093</v>
      </c>
      <c r="J132" s="183">
        <v>0</v>
      </c>
      <c r="K132" s="192">
        <f t="shared" si="16"/>
        <v>0</v>
      </c>
      <c r="L132" s="184">
        <v>78.73</v>
      </c>
      <c r="M132" s="192">
        <f t="shared" si="17"/>
        <v>1.0094447452325093</v>
      </c>
      <c r="N132" s="184">
        <v>247.21220000000341</v>
      </c>
      <c r="O132" s="183">
        <v>2</v>
      </c>
      <c r="P132" s="185">
        <v>6.0157612945918306E-3</v>
      </c>
      <c r="Q132" s="183">
        <v>1.1400000000000432</v>
      </c>
      <c r="R132" s="185">
        <v>3.4289839379174738E-3</v>
      </c>
      <c r="S132" s="184">
        <v>89.752200000003413</v>
      </c>
      <c r="T132" s="183" t="s">
        <v>481</v>
      </c>
      <c r="U132" s="183" t="s">
        <v>419</v>
      </c>
      <c r="V132" s="183"/>
      <c r="W132" s="189">
        <v>1</v>
      </c>
      <c r="X132" s="183" t="s">
        <v>287</v>
      </c>
    </row>
    <row r="133" spans="2:24">
      <c r="B133" s="589"/>
      <c r="C133" s="591"/>
      <c r="D133" s="209">
        <v>7</v>
      </c>
      <c r="E133" s="183" t="s">
        <v>535</v>
      </c>
      <c r="F133" s="184">
        <v>155.46600000000001</v>
      </c>
      <c r="G133" s="183">
        <v>180.54</v>
      </c>
      <c r="H133" s="183">
        <v>183.2</v>
      </c>
      <c r="I133" s="192">
        <f t="shared" si="15"/>
        <v>1.0147335770466379</v>
      </c>
      <c r="J133" s="183">
        <v>0</v>
      </c>
      <c r="K133" s="192">
        <f t="shared" si="16"/>
        <v>0</v>
      </c>
      <c r="L133" s="184">
        <v>86.37</v>
      </c>
      <c r="M133" s="192">
        <f t="shared" si="17"/>
        <v>1.0147335770466379</v>
      </c>
      <c r="N133" s="184">
        <v>229.74419999999972</v>
      </c>
      <c r="O133" s="183">
        <v>1.8</v>
      </c>
      <c r="P133" s="185">
        <v>9.9700897308075773E-3</v>
      </c>
      <c r="Q133" s="183">
        <v>0.85999999999999654</v>
      </c>
      <c r="R133" s="185">
        <v>4.7634873158302676E-3</v>
      </c>
      <c r="S133" s="184">
        <v>74.2781999999997</v>
      </c>
      <c r="T133" s="183" t="s">
        <v>481</v>
      </c>
      <c r="U133" s="183" t="s">
        <v>419</v>
      </c>
      <c r="V133" s="183"/>
      <c r="W133" s="189">
        <v>1</v>
      </c>
      <c r="X133" s="183" t="s">
        <v>311</v>
      </c>
    </row>
    <row r="134" spans="2:24">
      <c r="B134" s="589"/>
      <c r="C134" s="591"/>
      <c r="D134" s="209">
        <v>8</v>
      </c>
      <c r="E134" s="183" t="s">
        <v>527</v>
      </c>
      <c r="F134" s="184">
        <v>144.52100000000002</v>
      </c>
      <c r="G134" s="183">
        <v>172.07</v>
      </c>
      <c r="H134" s="183">
        <v>174.5</v>
      </c>
      <c r="I134" s="192">
        <f t="shared" si="15"/>
        <v>1.0141221595862149</v>
      </c>
      <c r="J134" s="183">
        <v>0</v>
      </c>
      <c r="K134" s="192">
        <f t="shared" si="16"/>
        <v>0</v>
      </c>
      <c r="L134" s="184">
        <v>111.17</v>
      </c>
      <c r="M134" s="192">
        <f t="shared" si="17"/>
        <v>1.0141221595862149</v>
      </c>
      <c r="N134" s="184">
        <v>270.14310000000074</v>
      </c>
      <c r="O134" s="183">
        <v>1.3</v>
      </c>
      <c r="P134" s="185">
        <v>7.5550647992096249E-3</v>
      </c>
      <c r="Q134" s="183">
        <v>1.1300000000000068</v>
      </c>
      <c r="R134" s="185">
        <v>6.567094787005328E-3</v>
      </c>
      <c r="S134" s="184">
        <v>125.62210000000076</v>
      </c>
      <c r="T134" s="183" t="s">
        <v>481</v>
      </c>
      <c r="U134" s="183" t="s">
        <v>419</v>
      </c>
      <c r="V134" s="183"/>
      <c r="W134" s="189">
        <v>1</v>
      </c>
      <c r="X134" s="183" t="s">
        <v>420</v>
      </c>
    </row>
    <row r="135" spans="2:24">
      <c r="B135" s="589"/>
      <c r="C135" s="591"/>
      <c r="D135" s="209">
        <v>9</v>
      </c>
      <c r="E135" s="183" t="s">
        <v>531</v>
      </c>
      <c r="F135" s="184">
        <v>142.68999999999997</v>
      </c>
      <c r="G135" s="183">
        <v>51.323999999999998</v>
      </c>
      <c r="H135" s="183">
        <v>53.6</v>
      </c>
      <c r="I135" s="192">
        <f t="shared" ref="I135:I156" si="18">H135/G135</f>
        <v>1.0443457251967891</v>
      </c>
      <c r="J135" s="183">
        <v>0</v>
      </c>
      <c r="K135" s="192">
        <f t="shared" ref="K135:K156" si="19">J135/G135</f>
        <v>0</v>
      </c>
      <c r="L135" s="184">
        <v>75.099999999999994</v>
      </c>
      <c r="M135" s="192">
        <f t="shared" ref="M135:M156" si="20">(H135+J135)/G135</f>
        <v>1.0443457251967891</v>
      </c>
      <c r="N135" s="184">
        <v>170.92760000000024</v>
      </c>
      <c r="O135" s="183">
        <v>1.9</v>
      </c>
      <c r="P135" s="185">
        <v>3.7019717870781697E-2</v>
      </c>
      <c r="Q135" s="183">
        <v>0.37600000000000344</v>
      </c>
      <c r="R135" s="185">
        <v>7.3260073260073937E-3</v>
      </c>
      <c r="S135" s="184">
        <v>28.237600000000256</v>
      </c>
      <c r="T135" s="183" t="s">
        <v>487</v>
      </c>
      <c r="U135" s="183" t="s">
        <v>488</v>
      </c>
      <c r="V135" s="183"/>
      <c r="W135" s="189">
        <v>1</v>
      </c>
      <c r="X135" s="183" t="s">
        <v>265</v>
      </c>
    </row>
    <row r="136" spans="2:24">
      <c r="B136" s="589"/>
      <c r="C136" s="591"/>
      <c r="D136" s="209">
        <v>10</v>
      </c>
      <c r="E136" s="183" t="s">
        <v>509</v>
      </c>
      <c r="F136" s="184">
        <v>139.125</v>
      </c>
      <c r="G136" s="183">
        <v>70.239999999999995</v>
      </c>
      <c r="H136" s="183">
        <v>72.3</v>
      </c>
      <c r="I136" s="192">
        <f t="shared" si="18"/>
        <v>1.0293280182232347</v>
      </c>
      <c r="J136" s="183">
        <v>0</v>
      </c>
      <c r="K136" s="192">
        <f t="shared" si="19"/>
        <v>0</v>
      </c>
      <c r="L136" s="184">
        <v>92.75</v>
      </c>
      <c r="M136" s="192">
        <f t="shared" si="20"/>
        <v>1.0293280182232347</v>
      </c>
      <c r="N136" s="184">
        <v>191.06500000000023</v>
      </c>
      <c r="O136" s="183">
        <v>1.5</v>
      </c>
      <c r="P136" s="185">
        <v>2.1355353075170846E-2</v>
      </c>
      <c r="Q136" s="183">
        <v>0.56000000000000227</v>
      </c>
      <c r="R136" s="185">
        <v>7.972665148063815E-3</v>
      </c>
      <c r="S136" s="184">
        <v>51.940000000000211</v>
      </c>
      <c r="T136" s="183" t="s">
        <v>487</v>
      </c>
      <c r="U136" s="183" t="s">
        <v>488</v>
      </c>
      <c r="V136" s="183"/>
      <c r="W136" s="189">
        <v>1</v>
      </c>
      <c r="X136" s="183" t="s">
        <v>323</v>
      </c>
    </row>
    <row r="137" spans="2:24">
      <c r="B137" s="588">
        <v>45914</v>
      </c>
      <c r="C137" s="590" t="s">
        <v>157</v>
      </c>
      <c r="D137" s="209">
        <v>1</v>
      </c>
      <c r="E137" s="183" t="s">
        <v>437</v>
      </c>
      <c r="F137" s="184">
        <v>188.29999999999998</v>
      </c>
      <c r="G137" s="183">
        <v>1660</v>
      </c>
      <c r="H137" s="183">
        <v>1674</v>
      </c>
      <c r="I137" s="192">
        <f t="shared" si="18"/>
        <v>1.008433734939759</v>
      </c>
      <c r="J137" s="183">
        <v>0</v>
      </c>
      <c r="K137" s="192">
        <f t="shared" si="19"/>
        <v>0</v>
      </c>
      <c r="L137" s="184">
        <v>13.45</v>
      </c>
      <c r="M137" s="192">
        <f t="shared" si="20"/>
        <v>1.008433734939759</v>
      </c>
      <c r="N137" s="184">
        <v>188.29999999999998</v>
      </c>
      <c r="O137" s="183">
        <v>14</v>
      </c>
      <c r="P137" s="185">
        <v>8.4337349397590362E-3</v>
      </c>
      <c r="Q137" s="183">
        <v>0</v>
      </c>
      <c r="R137" s="185">
        <v>0</v>
      </c>
      <c r="S137" s="184">
        <v>0</v>
      </c>
      <c r="T137" s="183" t="s">
        <v>484</v>
      </c>
      <c r="U137" s="183" t="s">
        <v>436</v>
      </c>
      <c r="V137" s="183"/>
      <c r="W137" s="189">
        <v>1</v>
      </c>
      <c r="X137" s="183" t="s">
        <v>310</v>
      </c>
    </row>
    <row r="138" spans="2:24">
      <c r="B138" s="589"/>
      <c r="C138" s="591"/>
      <c r="D138" s="209">
        <v>2</v>
      </c>
      <c r="E138" s="183" t="s">
        <v>425</v>
      </c>
      <c r="F138" s="184">
        <v>167.245</v>
      </c>
      <c r="G138" s="183">
        <v>53.014000000000003</v>
      </c>
      <c r="H138" s="183">
        <v>54</v>
      </c>
      <c r="I138" s="192">
        <f t="shared" si="18"/>
        <v>1.0185988606783114</v>
      </c>
      <c r="J138" s="183">
        <v>0</v>
      </c>
      <c r="K138" s="192">
        <f t="shared" si="19"/>
        <v>0</v>
      </c>
      <c r="L138" s="184">
        <v>334.49</v>
      </c>
      <c r="M138" s="192">
        <f t="shared" si="20"/>
        <v>1.0185988606783114</v>
      </c>
      <c r="N138" s="184">
        <v>329.80713999999904</v>
      </c>
      <c r="O138" s="183">
        <v>0.5</v>
      </c>
      <c r="P138" s="185">
        <v>9.4314709322065871E-3</v>
      </c>
      <c r="Q138" s="183">
        <v>0.4859999999999971</v>
      </c>
      <c r="R138" s="185">
        <v>9.1673897461047472E-3</v>
      </c>
      <c r="S138" s="184">
        <v>162.56213999999903</v>
      </c>
      <c r="T138" s="183" t="s">
        <v>481</v>
      </c>
      <c r="U138" s="183" t="s">
        <v>419</v>
      </c>
      <c r="V138" s="183"/>
      <c r="W138" s="189">
        <v>1</v>
      </c>
      <c r="X138" s="183" t="s">
        <v>287</v>
      </c>
    </row>
    <row r="139" spans="2:24">
      <c r="B139" s="589"/>
      <c r="C139" s="591"/>
      <c r="D139" s="209">
        <v>3</v>
      </c>
      <c r="E139" s="183" t="s">
        <v>433</v>
      </c>
      <c r="F139" s="184">
        <v>165.27</v>
      </c>
      <c r="G139" s="183">
        <v>76.135999999999996</v>
      </c>
      <c r="H139" s="183">
        <v>77.2</v>
      </c>
      <c r="I139" s="192">
        <f t="shared" si="18"/>
        <v>1.0139749921193655</v>
      </c>
      <c r="J139" s="183">
        <v>0</v>
      </c>
      <c r="K139" s="192">
        <f t="shared" si="19"/>
        <v>0</v>
      </c>
      <c r="L139" s="184">
        <v>330.54</v>
      </c>
      <c r="M139" s="192">
        <f t="shared" si="20"/>
        <v>1.0139749921193655</v>
      </c>
      <c r="N139" s="184">
        <v>351.69456000000241</v>
      </c>
      <c r="O139" s="183">
        <v>0.5</v>
      </c>
      <c r="P139" s="185">
        <v>6.5671955448145429E-3</v>
      </c>
      <c r="Q139" s="183">
        <v>0.56400000000000716</v>
      </c>
      <c r="R139" s="185">
        <v>7.4077965745508985E-3</v>
      </c>
      <c r="S139" s="184">
        <v>186.42456000000237</v>
      </c>
      <c r="T139" s="183" t="s">
        <v>481</v>
      </c>
      <c r="U139" s="183" t="s">
        <v>419</v>
      </c>
      <c r="V139" s="183"/>
      <c r="W139" s="189">
        <v>1</v>
      </c>
      <c r="X139" s="183" t="s">
        <v>289</v>
      </c>
    </row>
    <row r="140" spans="2:24">
      <c r="B140" s="589"/>
      <c r="C140" s="591"/>
      <c r="D140" s="209">
        <v>4</v>
      </c>
      <c r="E140" s="183" t="s">
        <v>431</v>
      </c>
      <c r="F140" s="184">
        <v>164.26799999999997</v>
      </c>
      <c r="G140" s="183">
        <v>362.76</v>
      </c>
      <c r="H140" s="183">
        <v>365.2</v>
      </c>
      <c r="I140" s="192">
        <f t="shared" si="18"/>
        <v>1.0067262101665013</v>
      </c>
      <c r="J140" s="183">
        <v>0</v>
      </c>
      <c r="K140" s="192">
        <f t="shared" si="19"/>
        <v>0</v>
      </c>
      <c r="L140" s="184">
        <v>136.88999999999999</v>
      </c>
      <c r="M140" s="192">
        <f t="shared" si="20"/>
        <v>1.0067262101665013</v>
      </c>
      <c r="N140" s="184">
        <v>334.01159999999965</v>
      </c>
      <c r="O140" s="183">
        <v>1.2</v>
      </c>
      <c r="P140" s="185">
        <v>3.3079722130334105E-3</v>
      </c>
      <c r="Q140" s="183">
        <v>1.2399999999999978</v>
      </c>
      <c r="R140" s="185">
        <v>3.4182379534678513E-3</v>
      </c>
      <c r="S140" s="184">
        <v>169.74359999999967</v>
      </c>
      <c r="T140" s="183" t="s">
        <v>484</v>
      </c>
      <c r="U140" s="183" t="s">
        <v>426</v>
      </c>
      <c r="V140" s="183"/>
      <c r="W140" s="189">
        <v>1</v>
      </c>
      <c r="X140" s="183" t="s">
        <v>420</v>
      </c>
    </row>
    <row r="141" spans="2:24">
      <c r="B141" s="589"/>
      <c r="C141" s="591"/>
      <c r="D141" s="209">
        <v>5</v>
      </c>
      <c r="E141" s="183" t="s">
        <v>435</v>
      </c>
      <c r="F141" s="184">
        <v>164.208</v>
      </c>
      <c r="G141" s="183">
        <v>47.81</v>
      </c>
      <c r="H141" s="183">
        <v>48.7</v>
      </c>
      <c r="I141" s="192">
        <f t="shared" si="18"/>
        <v>1.0186153524367287</v>
      </c>
      <c r="J141" s="183">
        <v>0</v>
      </c>
      <c r="K141" s="192">
        <f t="shared" si="19"/>
        <v>0</v>
      </c>
      <c r="L141" s="184">
        <v>273.68</v>
      </c>
      <c r="M141" s="192">
        <f t="shared" si="20"/>
        <v>1.0186153524367287</v>
      </c>
      <c r="N141" s="184">
        <v>243.57520000000017</v>
      </c>
      <c r="O141" s="183">
        <v>0.6</v>
      </c>
      <c r="P141" s="185">
        <v>1.2549675800041831E-2</v>
      </c>
      <c r="Q141" s="183">
        <v>0.29000000000000059</v>
      </c>
      <c r="R141" s="185">
        <v>6.0656766366868975E-3</v>
      </c>
      <c r="S141" s="184">
        <v>79.367200000000167</v>
      </c>
      <c r="T141" s="183" t="s">
        <v>484</v>
      </c>
      <c r="U141" s="183" t="s">
        <v>426</v>
      </c>
      <c r="V141" s="183"/>
      <c r="W141" s="189">
        <v>1</v>
      </c>
      <c r="X141" s="183" t="s">
        <v>276</v>
      </c>
    </row>
    <row r="142" spans="2:24">
      <c r="B142" s="589"/>
      <c r="C142" s="591"/>
      <c r="D142" s="209">
        <v>6</v>
      </c>
      <c r="E142" s="183" t="s">
        <v>514</v>
      </c>
      <c r="F142" s="184">
        <v>161.24000000000004</v>
      </c>
      <c r="G142" s="183">
        <v>273.27999999999997</v>
      </c>
      <c r="H142" s="183">
        <v>276.5</v>
      </c>
      <c r="I142" s="192">
        <f t="shared" si="18"/>
        <v>1.011782786885246</v>
      </c>
      <c r="J142" s="183">
        <v>0</v>
      </c>
      <c r="K142" s="192">
        <f t="shared" si="19"/>
        <v>0</v>
      </c>
      <c r="L142" s="184">
        <v>55.6</v>
      </c>
      <c r="M142" s="192">
        <f t="shared" si="20"/>
        <v>1.011782786885246</v>
      </c>
      <c r="N142" s="184">
        <v>179.03200000000152</v>
      </c>
      <c r="O142" s="183">
        <v>2.9000000000000008</v>
      </c>
      <c r="P142" s="185">
        <v>1.0611826697892277E-2</v>
      </c>
      <c r="Q142" s="183">
        <v>0.32000000000002649</v>
      </c>
      <c r="R142" s="185">
        <v>1.1709601873537269E-3</v>
      </c>
      <c r="S142" s="184">
        <v>17.792000000001472</v>
      </c>
      <c r="T142" s="183" t="s">
        <v>481</v>
      </c>
      <c r="U142" s="183" t="s">
        <v>419</v>
      </c>
      <c r="V142" s="183"/>
      <c r="W142" s="189">
        <v>1</v>
      </c>
      <c r="X142" s="183" t="s">
        <v>282</v>
      </c>
    </row>
    <row r="143" spans="2:24">
      <c r="B143" s="589"/>
      <c r="C143" s="591"/>
      <c r="D143" s="209">
        <v>7</v>
      </c>
      <c r="E143" s="183" t="s">
        <v>529</v>
      </c>
      <c r="F143" s="184">
        <v>157.46</v>
      </c>
      <c r="G143" s="183">
        <v>367.02</v>
      </c>
      <c r="H143" s="183">
        <v>369.2</v>
      </c>
      <c r="I143" s="192">
        <f t="shared" si="18"/>
        <v>1.0059397308048608</v>
      </c>
      <c r="J143" s="183">
        <v>0</v>
      </c>
      <c r="K143" s="192">
        <f t="shared" si="19"/>
        <v>0</v>
      </c>
      <c r="L143" s="184">
        <v>78.73</v>
      </c>
      <c r="M143" s="192">
        <f t="shared" si="20"/>
        <v>1.0059397308048608</v>
      </c>
      <c r="N143" s="184">
        <v>171.63140000000055</v>
      </c>
      <c r="O143" s="183">
        <v>2</v>
      </c>
      <c r="P143" s="185">
        <v>5.449294316386028E-3</v>
      </c>
      <c r="Q143" s="183">
        <v>0.18000000000000682</v>
      </c>
      <c r="R143" s="185">
        <v>4.9043648847476109E-4</v>
      </c>
      <c r="S143" s="184">
        <v>14.171400000000538</v>
      </c>
      <c r="T143" s="183" t="s">
        <v>481</v>
      </c>
      <c r="U143" s="183" t="s">
        <v>419</v>
      </c>
      <c r="V143" s="183"/>
      <c r="W143" s="189">
        <v>1</v>
      </c>
      <c r="X143" s="183" t="s">
        <v>287</v>
      </c>
    </row>
    <row r="144" spans="2:24">
      <c r="B144" s="589"/>
      <c r="C144" s="591"/>
      <c r="D144" s="209">
        <v>8</v>
      </c>
      <c r="E144" s="183" t="s">
        <v>523</v>
      </c>
      <c r="F144" s="184">
        <v>152.68800000000002</v>
      </c>
      <c r="G144" s="183">
        <v>74.45</v>
      </c>
      <c r="H144" s="183">
        <v>76.5</v>
      </c>
      <c r="I144" s="192">
        <f t="shared" si="18"/>
        <v>1.0275352585627937</v>
      </c>
      <c r="J144" s="183">
        <v>0</v>
      </c>
      <c r="K144" s="192">
        <f t="shared" si="19"/>
        <v>0</v>
      </c>
      <c r="L144" s="184">
        <v>95.43</v>
      </c>
      <c r="M144" s="192">
        <f t="shared" si="20"/>
        <v>1.0275352585627937</v>
      </c>
      <c r="N144" s="184">
        <v>195.63149999999973</v>
      </c>
      <c r="O144" s="183">
        <v>1.6</v>
      </c>
      <c r="P144" s="185">
        <v>2.1490933512424447E-2</v>
      </c>
      <c r="Q144" s="183">
        <v>0.44999999999999707</v>
      </c>
      <c r="R144" s="185">
        <v>6.044325050369336E-3</v>
      </c>
      <c r="S144" s="184">
        <v>42.943499999999723</v>
      </c>
      <c r="T144" s="183" t="s">
        <v>487</v>
      </c>
      <c r="U144" s="183" t="s">
        <v>488</v>
      </c>
      <c r="V144" s="183"/>
      <c r="W144" s="189">
        <v>1</v>
      </c>
      <c r="X144" s="183" t="s">
        <v>288</v>
      </c>
    </row>
    <row r="145" spans="2:24">
      <c r="B145" s="589"/>
      <c r="C145" s="591"/>
      <c r="D145" s="209">
        <v>9</v>
      </c>
      <c r="E145" s="183" t="s">
        <v>491</v>
      </c>
      <c r="F145" s="184">
        <v>149.4</v>
      </c>
      <c r="G145" s="183">
        <v>2491</v>
      </c>
      <c r="H145" s="183">
        <v>2501</v>
      </c>
      <c r="I145" s="192">
        <f t="shared" si="18"/>
        <v>1.0040144520272982</v>
      </c>
      <c r="J145" s="183">
        <v>0</v>
      </c>
      <c r="K145" s="192">
        <f t="shared" si="19"/>
        <v>0</v>
      </c>
      <c r="L145" s="184">
        <v>14.94</v>
      </c>
      <c r="M145" s="192">
        <f t="shared" si="20"/>
        <v>1.0040144520272982</v>
      </c>
      <c r="N145" s="184">
        <v>149.4</v>
      </c>
      <c r="O145" s="183">
        <v>10</v>
      </c>
      <c r="P145" s="185">
        <v>4.0144520272982738E-3</v>
      </c>
      <c r="Q145" s="183">
        <v>0</v>
      </c>
      <c r="R145" s="185">
        <v>0</v>
      </c>
      <c r="S145" s="184">
        <v>0</v>
      </c>
      <c r="T145" s="183" t="s">
        <v>484</v>
      </c>
      <c r="U145" s="183" t="s">
        <v>426</v>
      </c>
      <c r="V145" s="183"/>
      <c r="W145" s="189">
        <v>1</v>
      </c>
      <c r="X145" s="183" t="s">
        <v>228</v>
      </c>
    </row>
    <row r="146" spans="2:24">
      <c r="B146" s="589"/>
      <c r="C146" s="591"/>
      <c r="D146" s="209">
        <v>10</v>
      </c>
      <c r="E146" s="183" t="s">
        <v>544</v>
      </c>
      <c r="F146" s="184">
        <v>148.67500000000001</v>
      </c>
      <c r="G146" s="183">
        <v>43.438000000000002</v>
      </c>
      <c r="H146" s="183">
        <v>44.1</v>
      </c>
      <c r="I146" s="192">
        <f t="shared" si="18"/>
        <v>1.0152401123440304</v>
      </c>
      <c r="J146" s="183">
        <v>0</v>
      </c>
      <c r="K146" s="192">
        <f t="shared" si="19"/>
        <v>0</v>
      </c>
      <c r="L146" s="184">
        <v>297.35000000000002</v>
      </c>
      <c r="M146" s="192">
        <f t="shared" si="20"/>
        <v>1.0152401123440304</v>
      </c>
      <c r="N146" s="184">
        <v>196.84569999999974</v>
      </c>
      <c r="O146" s="183">
        <v>0.5</v>
      </c>
      <c r="P146" s="185">
        <v>1.1510658870113724E-2</v>
      </c>
      <c r="Q146" s="183">
        <v>0.16199999999999903</v>
      </c>
      <c r="R146" s="185">
        <v>3.7294534739168244E-3</v>
      </c>
      <c r="S146" s="184">
        <v>48.170699999999719</v>
      </c>
      <c r="T146" s="183" t="s">
        <v>484</v>
      </c>
      <c r="U146" s="183" t="s">
        <v>426</v>
      </c>
      <c r="V146" s="183"/>
      <c r="W146" s="189">
        <v>1</v>
      </c>
      <c r="X146" s="183" t="s">
        <v>279</v>
      </c>
    </row>
    <row r="147" spans="2:24">
      <c r="B147" s="588">
        <v>45915</v>
      </c>
      <c r="C147" s="590" t="s">
        <v>209</v>
      </c>
      <c r="D147" s="209">
        <v>1</v>
      </c>
      <c r="E147" s="183" t="s">
        <v>415</v>
      </c>
      <c r="F147" s="184">
        <v>178.47200000000001</v>
      </c>
      <c r="G147" s="183">
        <v>158.81299999999999</v>
      </c>
      <c r="H147" s="183">
        <v>162.30000000000001</v>
      </c>
      <c r="I147" s="192">
        <f t="shared" si="18"/>
        <v>1.0219566408291514</v>
      </c>
      <c r="J147" s="183">
        <v>0</v>
      </c>
      <c r="K147" s="192">
        <f t="shared" si="19"/>
        <v>0</v>
      </c>
      <c r="L147" s="184">
        <v>127.48</v>
      </c>
      <c r="M147" s="192">
        <f t="shared" si="20"/>
        <v>1.0219566408291514</v>
      </c>
      <c r="N147" s="184">
        <v>444.52276000000296</v>
      </c>
      <c r="O147" s="183">
        <v>1.4</v>
      </c>
      <c r="P147" s="185">
        <v>8.8153992431350085E-3</v>
      </c>
      <c r="Q147" s="183">
        <v>2.0870000000000233</v>
      </c>
      <c r="R147" s="185">
        <v>1.3141241586016405E-2</v>
      </c>
      <c r="S147" s="184">
        <v>266.05076000000298</v>
      </c>
      <c r="T147" s="183" t="s">
        <v>487</v>
      </c>
      <c r="U147" s="183" t="s">
        <v>488</v>
      </c>
      <c r="V147" s="183"/>
      <c r="W147" s="189">
        <v>1</v>
      </c>
      <c r="X147" s="183" t="s">
        <v>321</v>
      </c>
    </row>
    <row r="148" spans="2:24">
      <c r="B148" s="589"/>
      <c r="C148" s="591"/>
      <c r="D148" s="209">
        <v>2</v>
      </c>
      <c r="E148" s="183" t="s">
        <v>431</v>
      </c>
      <c r="F148" s="184">
        <v>177.95699999999999</v>
      </c>
      <c r="G148" s="183">
        <v>360.88600000000002</v>
      </c>
      <c r="H148" s="183">
        <v>363.5</v>
      </c>
      <c r="I148" s="192">
        <f t="shared" si="18"/>
        <v>1.0072432845829431</v>
      </c>
      <c r="J148" s="183">
        <v>0</v>
      </c>
      <c r="K148" s="192">
        <f t="shared" si="19"/>
        <v>0</v>
      </c>
      <c r="L148" s="184">
        <v>136.88999999999999</v>
      </c>
      <c r="M148" s="192">
        <f t="shared" si="20"/>
        <v>1.0072432845829431</v>
      </c>
      <c r="N148" s="184">
        <v>357.83045999999666</v>
      </c>
      <c r="O148" s="183">
        <v>1.3</v>
      </c>
      <c r="P148" s="185">
        <v>3.6022455844782007E-3</v>
      </c>
      <c r="Q148" s="183">
        <v>1.3139999999999759</v>
      </c>
      <c r="R148" s="185">
        <v>3.6410389984648222E-3</v>
      </c>
      <c r="S148" s="184">
        <v>179.87345999999667</v>
      </c>
      <c r="T148" s="183" t="s">
        <v>484</v>
      </c>
      <c r="U148" s="183" t="s">
        <v>426</v>
      </c>
      <c r="V148" s="183"/>
      <c r="W148" s="189">
        <v>1</v>
      </c>
      <c r="X148" s="183" t="s">
        <v>420</v>
      </c>
    </row>
    <row r="149" spans="2:24">
      <c r="B149" s="589"/>
      <c r="C149" s="591"/>
      <c r="D149" s="209">
        <v>3</v>
      </c>
      <c r="E149" s="183" t="s">
        <v>405</v>
      </c>
      <c r="F149" s="184">
        <v>170.28199999999998</v>
      </c>
      <c r="G149" s="183">
        <v>26.442</v>
      </c>
      <c r="H149" s="183">
        <v>28.4</v>
      </c>
      <c r="I149" s="192">
        <f t="shared" si="18"/>
        <v>1.074048861659481</v>
      </c>
      <c r="J149" s="183">
        <v>0</v>
      </c>
      <c r="K149" s="192">
        <f t="shared" si="19"/>
        <v>0</v>
      </c>
      <c r="L149" s="184">
        <v>121.63</v>
      </c>
      <c r="M149" s="192">
        <f t="shared" si="20"/>
        <v>1.074048861659481</v>
      </c>
      <c r="N149" s="184">
        <v>238.15153999999978</v>
      </c>
      <c r="O149" s="183">
        <v>1.4</v>
      </c>
      <c r="P149" s="185">
        <v>5.2946070645185687E-2</v>
      </c>
      <c r="Q149" s="183">
        <v>0.5579999999999985</v>
      </c>
      <c r="R149" s="185">
        <v>2.1102791014295384E-2</v>
      </c>
      <c r="S149" s="184">
        <v>67.869539999999816</v>
      </c>
      <c r="T149" s="183" t="s">
        <v>487</v>
      </c>
      <c r="U149" s="183" t="s">
        <v>510</v>
      </c>
      <c r="V149" s="183"/>
      <c r="W149" s="189">
        <v>1</v>
      </c>
      <c r="X149" s="183" t="s">
        <v>297</v>
      </c>
    </row>
    <row r="150" spans="2:24">
      <c r="B150" s="589"/>
      <c r="C150" s="591"/>
      <c r="D150" s="209">
        <v>4</v>
      </c>
      <c r="E150" s="183" t="s">
        <v>416</v>
      </c>
      <c r="F150" s="184">
        <v>167.36400000000003</v>
      </c>
      <c r="G150" s="183">
        <v>17.919</v>
      </c>
      <c r="H150" s="183">
        <v>18.7</v>
      </c>
      <c r="I150" s="192">
        <f t="shared" si="18"/>
        <v>1.043585021485574</v>
      </c>
      <c r="J150" s="183">
        <v>0</v>
      </c>
      <c r="K150" s="192">
        <f t="shared" si="19"/>
        <v>0</v>
      </c>
      <c r="L150" s="184">
        <v>418.41</v>
      </c>
      <c r="M150" s="192">
        <f t="shared" si="20"/>
        <v>1.043585021485574</v>
      </c>
      <c r="N150" s="184">
        <v>326.77820999999955</v>
      </c>
      <c r="O150" s="183">
        <v>0.4</v>
      </c>
      <c r="P150" s="185">
        <v>2.2322674256375914E-2</v>
      </c>
      <c r="Q150" s="183">
        <v>0.38099999999999878</v>
      </c>
      <c r="R150" s="185">
        <v>2.1262347229197988E-2</v>
      </c>
      <c r="S150" s="184">
        <v>159.41420999999951</v>
      </c>
      <c r="T150" s="183" t="s">
        <v>487</v>
      </c>
      <c r="U150" s="183" t="s">
        <v>488</v>
      </c>
      <c r="V150" s="183"/>
      <c r="W150" s="189">
        <v>1</v>
      </c>
      <c r="X150" s="183" t="s">
        <v>291</v>
      </c>
    </row>
    <row r="151" spans="2:24">
      <c r="B151" s="589"/>
      <c r="C151" s="591"/>
      <c r="D151" s="209">
        <v>5</v>
      </c>
      <c r="E151" s="183" t="s">
        <v>490</v>
      </c>
      <c r="F151" s="184">
        <v>161.51399999999998</v>
      </c>
      <c r="G151" s="183">
        <v>117.25</v>
      </c>
      <c r="H151" s="183">
        <v>118.5</v>
      </c>
      <c r="I151" s="192">
        <f t="shared" si="18"/>
        <v>1.0106609808102345</v>
      </c>
      <c r="J151" s="183">
        <v>0</v>
      </c>
      <c r="K151" s="192">
        <f t="shared" si="19"/>
        <v>0</v>
      </c>
      <c r="L151" s="184">
        <v>269.19</v>
      </c>
      <c r="M151" s="192">
        <f t="shared" si="20"/>
        <v>1.0106609808102345</v>
      </c>
      <c r="N151" s="184">
        <v>336.48750000000001</v>
      </c>
      <c r="O151" s="183">
        <v>0.6</v>
      </c>
      <c r="P151" s="185">
        <v>5.1172707889125795E-3</v>
      </c>
      <c r="Q151" s="183">
        <v>0.65</v>
      </c>
      <c r="R151" s="185">
        <v>5.5437100213219619E-3</v>
      </c>
      <c r="S151" s="184">
        <v>174.9735</v>
      </c>
      <c r="T151" s="183" t="s">
        <v>481</v>
      </c>
      <c r="U151" s="183" t="s">
        <v>419</v>
      </c>
      <c r="V151" s="183"/>
      <c r="W151" s="189">
        <v>1</v>
      </c>
      <c r="X151" s="183" t="s">
        <v>295</v>
      </c>
    </row>
    <row r="152" spans="2:24">
      <c r="B152" s="589"/>
      <c r="C152" s="591"/>
      <c r="D152" s="209">
        <v>6</v>
      </c>
      <c r="E152" s="183" t="s">
        <v>437</v>
      </c>
      <c r="F152" s="184">
        <v>161.39999999999998</v>
      </c>
      <c r="G152" s="183">
        <v>1626</v>
      </c>
      <c r="H152" s="183">
        <v>1638</v>
      </c>
      <c r="I152" s="192">
        <f t="shared" si="18"/>
        <v>1.0073800738007379</v>
      </c>
      <c r="J152" s="183">
        <v>0</v>
      </c>
      <c r="K152" s="192">
        <f t="shared" si="19"/>
        <v>0</v>
      </c>
      <c r="L152" s="184">
        <v>13.45</v>
      </c>
      <c r="M152" s="192">
        <f t="shared" si="20"/>
        <v>1.0073800738007379</v>
      </c>
      <c r="N152" s="184">
        <v>161.39999999999998</v>
      </c>
      <c r="O152" s="183">
        <v>12</v>
      </c>
      <c r="P152" s="185">
        <v>7.3800738007380072E-3</v>
      </c>
      <c r="Q152" s="183">
        <v>0</v>
      </c>
      <c r="R152" s="185">
        <v>0</v>
      </c>
      <c r="S152" s="184">
        <v>0</v>
      </c>
      <c r="T152" s="183" t="s">
        <v>484</v>
      </c>
      <c r="U152" s="183" t="s">
        <v>436</v>
      </c>
      <c r="V152" s="183"/>
      <c r="W152" s="189">
        <v>1</v>
      </c>
      <c r="X152" s="183" t="s">
        <v>310</v>
      </c>
    </row>
    <row r="153" spans="2:24">
      <c r="B153" s="589"/>
      <c r="C153" s="591"/>
      <c r="D153" s="209">
        <v>7</v>
      </c>
      <c r="E153" s="183" t="s">
        <v>545</v>
      </c>
      <c r="F153" s="184">
        <v>156.04500000000002</v>
      </c>
      <c r="G153" s="183">
        <v>43.32</v>
      </c>
      <c r="H153" s="183">
        <v>45</v>
      </c>
      <c r="I153" s="192">
        <f t="shared" si="18"/>
        <v>1.0387811634349031</v>
      </c>
      <c r="J153" s="183">
        <v>0</v>
      </c>
      <c r="K153" s="192">
        <f t="shared" si="19"/>
        <v>0</v>
      </c>
      <c r="L153" s="184">
        <v>104.03</v>
      </c>
      <c r="M153" s="192">
        <f t="shared" si="20"/>
        <v>1.0387811634349031</v>
      </c>
      <c r="N153" s="184">
        <v>174.77039999999997</v>
      </c>
      <c r="O153" s="183">
        <v>1.5</v>
      </c>
      <c r="P153" s="185">
        <v>3.4626038781163437E-2</v>
      </c>
      <c r="Q153" s="183">
        <v>0.17999999999999972</v>
      </c>
      <c r="R153" s="185">
        <v>4.1551246537396055E-3</v>
      </c>
      <c r="S153" s="184">
        <v>18.725399999999972</v>
      </c>
      <c r="T153" s="183" t="s">
        <v>487</v>
      </c>
      <c r="U153" s="183" t="s">
        <v>488</v>
      </c>
      <c r="V153" s="183"/>
      <c r="W153" s="189">
        <v>1</v>
      </c>
      <c r="X153" s="183" t="s">
        <v>287</v>
      </c>
    </row>
    <row r="154" spans="2:24">
      <c r="B154" s="589"/>
      <c r="C154" s="591"/>
      <c r="D154" s="209">
        <v>8</v>
      </c>
      <c r="E154" s="183" t="s">
        <v>532</v>
      </c>
      <c r="F154" s="184">
        <v>155.215</v>
      </c>
      <c r="G154" s="183">
        <v>23.518999999999998</v>
      </c>
      <c r="H154" s="183">
        <v>24.6</v>
      </c>
      <c r="I154" s="192">
        <f t="shared" si="18"/>
        <v>1.0459628385560611</v>
      </c>
      <c r="J154" s="183">
        <v>0</v>
      </c>
      <c r="K154" s="192">
        <f t="shared" si="19"/>
        <v>0</v>
      </c>
      <c r="L154" s="184">
        <v>310.43</v>
      </c>
      <c r="M154" s="192">
        <f t="shared" si="20"/>
        <v>1.0459628385560611</v>
      </c>
      <c r="N154" s="184">
        <v>335.57483000000099</v>
      </c>
      <c r="O154" s="183">
        <v>0.5</v>
      </c>
      <c r="P154" s="185">
        <v>2.1259407287724821E-2</v>
      </c>
      <c r="Q154" s="183">
        <v>0.58100000000000307</v>
      </c>
      <c r="R154" s="185">
        <v>2.4703431268336372E-2</v>
      </c>
      <c r="S154" s="184">
        <v>180.35983000000095</v>
      </c>
      <c r="T154" s="183" t="s">
        <v>481</v>
      </c>
      <c r="U154" s="183" t="s">
        <v>419</v>
      </c>
      <c r="V154" s="183"/>
      <c r="W154" s="189">
        <v>1</v>
      </c>
      <c r="X154" s="183" t="s">
        <v>278</v>
      </c>
    </row>
    <row r="155" spans="2:24">
      <c r="B155" s="589"/>
      <c r="C155" s="591"/>
      <c r="D155" s="209">
        <v>9</v>
      </c>
      <c r="E155" s="183" t="s">
        <v>505</v>
      </c>
      <c r="F155" s="184">
        <v>153.018</v>
      </c>
      <c r="G155" s="183">
        <v>133.702</v>
      </c>
      <c r="H155" s="183">
        <v>134.69999999999999</v>
      </c>
      <c r="I155" s="192">
        <f t="shared" si="18"/>
        <v>1.0074643610417195</v>
      </c>
      <c r="J155" s="183">
        <v>0</v>
      </c>
      <c r="K155" s="192">
        <f t="shared" si="19"/>
        <v>0</v>
      </c>
      <c r="L155" s="184">
        <v>510.06</v>
      </c>
      <c r="M155" s="192">
        <f t="shared" si="20"/>
        <v>1.0074643610417195</v>
      </c>
      <c r="N155" s="184">
        <v>509.03987999999515</v>
      </c>
      <c r="O155" s="183">
        <v>0.3</v>
      </c>
      <c r="P155" s="185">
        <v>2.2437959043245426E-3</v>
      </c>
      <c r="Q155" s="183">
        <v>0.69799999999999041</v>
      </c>
      <c r="R155" s="185">
        <v>5.220565137395031E-3</v>
      </c>
      <c r="S155" s="184">
        <v>356.02187999999512</v>
      </c>
      <c r="T155" s="183" t="s">
        <v>481</v>
      </c>
      <c r="U155" s="183" t="s">
        <v>419</v>
      </c>
      <c r="V155" s="183"/>
      <c r="W155" s="189">
        <v>1</v>
      </c>
      <c r="X155" s="183" t="s">
        <v>420</v>
      </c>
    </row>
    <row r="156" spans="2:24">
      <c r="B156" s="589"/>
      <c r="C156" s="591"/>
      <c r="D156" s="209">
        <v>10</v>
      </c>
      <c r="E156" s="183" t="s">
        <v>408</v>
      </c>
      <c r="F156" s="184">
        <v>152.35</v>
      </c>
      <c r="G156" s="183">
        <v>6.0049999999999999</v>
      </c>
      <c r="H156" s="183">
        <v>6.7</v>
      </c>
      <c r="I156" s="192">
        <f t="shared" si="18"/>
        <v>1.1157368859283932</v>
      </c>
      <c r="J156" s="183">
        <v>0</v>
      </c>
      <c r="K156" s="192">
        <f t="shared" si="19"/>
        <v>0</v>
      </c>
      <c r="L156" s="184">
        <v>304.7</v>
      </c>
      <c r="M156" s="192">
        <f t="shared" si="20"/>
        <v>1.1157368859283932</v>
      </c>
      <c r="N156" s="184">
        <v>211.76650000000006</v>
      </c>
      <c r="O156" s="183">
        <v>0.5</v>
      </c>
      <c r="P156" s="185">
        <v>8.3263946711074108E-2</v>
      </c>
      <c r="Q156" s="183">
        <v>0.19500000000000028</v>
      </c>
      <c r="R156" s="185">
        <v>3.2472939217318947E-2</v>
      </c>
      <c r="S156" s="184">
        <v>59.416500000000084</v>
      </c>
      <c r="T156" s="183" t="s">
        <v>487</v>
      </c>
      <c r="U156" s="183" t="s">
        <v>510</v>
      </c>
      <c r="V156" s="183"/>
      <c r="W156" s="189">
        <v>1</v>
      </c>
      <c r="X156" s="183" t="s">
        <v>233</v>
      </c>
    </row>
    <row r="157" spans="2:24">
      <c r="B157" s="581">
        <f>B147+1</f>
        <v>45916</v>
      </c>
      <c r="C157" s="590" t="s">
        <v>204</v>
      </c>
      <c r="D157" s="209">
        <v>1</v>
      </c>
      <c r="E157" s="183"/>
      <c r="F157" s="184"/>
      <c r="G157" s="183"/>
      <c r="H157" s="183"/>
      <c r="I157" s="192"/>
      <c r="J157" s="183"/>
      <c r="K157" s="192"/>
      <c r="L157" s="184"/>
      <c r="M157" s="192"/>
      <c r="N157" s="184"/>
      <c r="O157" s="183"/>
      <c r="P157" s="185"/>
      <c r="Q157" s="183"/>
      <c r="R157" s="185"/>
      <c r="S157" s="184"/>
      <c r="T157" s="183"/>
      <c r="U157" s="183"/>
      <c r="V157" s="183"/>
      <c r="W157" s="189"/>
      <c r="X157" s="183"/>
    </row>
    <row r="158" spans="2:24">
      <c r="B158" s="582"/>
      <c r="C158" s="591"/>
      <c r="D158" s="209">
        <v>2</v>
      </c>
      <c r="E158" s="183"/>
      <c r="F158" s="184"/>
      <c r="G158" s="183"/>
      <c r="H158" s="183"/>
      <c r="I158" s="192"/>
      <c r="J158" s="183"/>
      <c r="K158" s="192"/>
      <c r="L158" s="184"/>
      <c r="M158" s="192"/>
      <c r="N158" s="184"/>
      <c r="O158" s="183"/>
      <c r="P158" s="185"/>
      <c r="Q158" s="183"/>
      <c r="R158" s="185"/>
      <c r="S158" s="184"/>
      <c r="T158" s="183"/>
      <c r="U158" s="183"/>
      <c r="V158" s="183"/>
      <c r="W158" s="189"/>
      <c r="X158" s="183"/>
    </row>
    <row r="159" spans="2:24">
      <c r="B159" s="582"/>
      <c r="C159" s="591"/>
      <c r="D159" s="209">
        <v>3</v>
      </c>
      <c r="E159" s="183"/>
      <c r="F159" s="184"/>
      <c r="G159" s="183"/>
      <c r="H159" s="183"/>
      <c r="I159" s="192"/>
      <c r="J159" s="183"/>
      <c r="K159" s="192"/>
      <c r="L159" s="184"/>
      <c r="M159" s="192"/>
      <c r="N159" s="184"/>
      <c r="O159" s="183"/>
      <c r="P159" s="185"/>
      <c r="Q159" s="183"/>
      <c r="R159" s="185"/>
      <c r="S159" s="184"/>
      <c r="T159" s="183"/>
      <c r="U159" s="183"/>
      <c r="V159" s="183"/>
      <c r="W159" s="189"/>
      <c r="X159" s="183"/>
    </row>
    <row r="160" spans="2:24">
      <c r="B160" s="582"/>
      <c r="C160" s="591"/>
      <c r="D160" s="209">
        <v>4</v>
      </c>
      <c r="E160" s="183"/>
      <c r="F160" s="184"/>
      <c r="G160" s="183"/>
      <c r="H160" s="183"/>
      <c r="I160" s="192"/>
      <c r="J160" s="183"/>
      <c r="K160" s="192"/>
      <c r="L160" s="184"/>
      <c r="M160" s="192"/>
      <c r="N160" s="184"/>
      <c r="O160" s="183"/>
      <c r="P160" s="185"/>
      <c r="Q160" s="183"/>
      <c r="R160" s="185"/>
      <c r="S160" s="184"/>
      <c r="T160" s="183"/>
      <c r="U160" s="183"/>
      <c r="V160" s="183"/>
      <c r="W160" s="189"/>
      <c r="X160" s="183"/>
    </row>
    <row r="161" spans="2:24">
      <c r="B161" s="582"/>
      <c r="C161" s="591"/>
      <c r="D161" s="209">
        <v>5</v>
      </c>
      <c r="E161" s="183"/>
      <c r="F161" s="184"/>
      <c r="G161" s="183"/>
      <c r="H161" s="183"/>
      <c r="I161" s="192"/>
      <c r="J161" s="183"/>
      <c r="K161" s="192"/>
      <c r="L161" s="184"/>
      <c r="M161" s="192"/>
      <c r="N161" s="184"/>
      <c r="O161" s="183"/>
      <c r="P161" s="185"/>
      <c r="Q161" s="183"/>
      <c r="R161" s="185"/>
      <c r="S161" s="184"/>
      <c r="T161" s="183"/>
      <c r="U161" s="183"/>
      <c r="V161" s="183"/>
      <c r="W161" s="189"/>
      <c r="X161" s="183"/>
    </row>
    <row r="162" spans="2:24">
      <c r="B162" s="582"/>
      <c r="C162" s="591"/>
      <c r="D162" s="209">
        <v>6</v>
      </c>
      <c r="E162" s="183"/>
      <c r="F162" s="184"/>
      <c r="G162" s="183"/>
      <c r="H162" s="183"/>
      <c r="I162" s="192"/>
      <c r="J162" s="183"/>
      <c r="K162" s="192"/>
      <c r="L162" s="184"/>
      <c r="M162" s="192"/>
      <c r="N162" s="184"/>
      <c r="O162" s="183"/>
      <c r="P162" s="185"/>
      <c r="Q162" s="183"/>
      <c r="R162" s="185"/>
      <c r="S162" s="184"/>
      <c r="T162" s="183"/>
      <c r="U162" s="183"/>
      <c r="V162" s="183"/>
      <c r="W162" s="189"/>
      <c r="X162" s="183"/>
    </row>
    <row r="163" spans="2:24">
      <c r="B163" s="582"/>
      <c r="C163" s="591"/>
      <c r="D163" s="209">
        <v>7</v>
      </c>
      <c r="E163" s="183"/>
      <c r="F163" s="184"/>
      <c r="G163" s="183"/>
      <c r="H163" s="183"/>
      <c r="I163" s="192"/>
      <c r="J163" s="183"/>
      <c r="K163" s="192"/>
      <c r="L163" s="184"/>
      <c r="M163" s="192"/>
      <c r="N163" s="184"/>
      <c r="O163" s="183"/>
      <c r="P163" s="185"/>
      <c r="Q163" s="183"/>
      <c r="R163" s="185"/>
      <c r="S163" s="184"/>
      <c r="T163" s="183"/>
      <c r="U163" s="183"/>
      <c r="V163" s="183"/>
      <c r="W163" s="189"/>
      <c r="X163" s="183"/>
    </row>
    <row r="164" spans="2:24">
      <c r="B164" s="582"/>
      <c r="C164" s="591"/>
      <c r="D164" s="209">
        <v>8</v>
      </c>
      <c r="E164" s="183"/>
      <c r="F164" s="184"/>
      <c r="G164" s="183"/>
      <c r="H164" s="183"/>
      <c r="I164" s="192"/>
      <c r="J164" s="183"/>
      <c r="K164" s="192"/>
      <c r="L164" s="184"/>
      <c r="M164" s="192"/>
      <c r="N164" s="184"/>
      <c r="O164" s="183"/>
      <c r="P164" s="185"/>
      <c r="Q164" s="183"/>
      <c r="R164" s="185"/>
      <c r="S164" s="184"/>
      <c r="T164" s="183"/>
      <c r="U164" s="183"/>
      <c r="V164" s="183"/>
      <c r="W164" s="189"/>
      <c r="X164" s="183"/>
    </row>
    <row r="165" spans="2:24">
      <c r="B165" s="582"/>
      <c r="C165" s="591"/>
      <c r="D165" s="209">
        <v>9</v>
      </c>
      <c r="E165" s="183"/>
      <c r="F165" s="184"/>
      <c r="G165" s="183"/>
      <c r="H165" s="183"/>
      <c r="I165" s="192"/>
      <c r="J165" s="183"/>
      <c r="K165" s="192"/>
      <c r="L165" s="184"/>
      <c r="M165" s="192"/>
      <c r="N165" s="184"/>
      <c r="O165" s="183"/>
      <c r="P165" s="185"/>
      <c r="Q165" s="183"/>
      <c r="R165" s="185"/>
      <c r="S165" s="184"/>
      <c r="T165" s="183"/>
      <c r="U165" s="183"/>
      <c r="V165" s="183"/>
      <c r="W165" s="189"/>
      <c r="X165" s="183"/>
    </row>
    <row r="166" spans="2:24">
      <c r="B166" s="583"/>
      <c r="C166" s="591"/>
      <c r="D166" s="209">
        <v>10</v>
      </c>
      <c r="E166" s="183"/>
      <c r="F166" s="184"/>
      <c r="G166" s="183"/>
      <c r="H166" s="183"/>
      <c r="I166" s="192"/>
      <c r="J166" s="183"/>
      <c r="K166" s="192"/>
      <c r="L166" s="184"/>
      <c r="M166" s="192"/>
      <c r="N166" s="184"/>
      <c r="O166" s="183"/>
      <c r="P166" s="185"/>
      <c r="Q166" s="183"/>
      <c r="R166" s="185"/>
      <c r="S166" s="184"/>
      <c r="T166" s="183"/>
      <c r="U166" s="183"/>
      <c r="V166" s="183"/>
      <c r="W166" s="189"/>
      <c r="X166" s="183"/>
    </row>
    <row r="167" spans="2:24">
      <c r="B167" s="581">
        <f>B157+1</f>
        <v>45917</v>
      </c>
      <c r="C167" s="590" t="s">
        <v>205</v>
      </c>
      <c r="D167" s="209">
        <v>1</v>
      </c>
      <c r="E167" s="183"/>
      <c r="F167" s="184"/>
      <c r="G167" s="183"/>
      <c r="H167" s="183"/>
      <c r="I167" s="192"/>
      <c r="J167" s="183"/>
      <c r="K167" s="192"/>
      <c r="L167" s="184"/>
      <c r="M167" s="192"/>
      <c r="N167" s="184"/>
      <c r="O167" s="183"/>
      <c r="P167" s="185"/>
      <c r="Q167" s="183"/>
      <c r="R167" s="185"/>
      <c r="S167" s="184"/>
      <c r="T167" s="183"/>
      <c r="U167" s="183"/>
      <c r="V167" s="183"/>
      <c r="W167" s="189"/>
      <c r="X167" s="183"/>
    </row>
    <row r="168" spans="2:24">
      <c r="B168" s="582"/>
      <c r="C168" s="591"/>
      <c r="D168" s="209">
        <v>2</v>
      </c>
      <c r="E168" s="183"/>
      <c r="F168" s="184"/>
      <c r="G168" s="183"/>
      <c r="H168" s="183"/>
      <c r="I168" s="192"/>
      <c r="J168" s="183"/>
      <c r="K168" s="192"/>
      <c r="L168" s="184"/>
      <c r="M168" s="192"/>
      <c r="N168" s="184"/>
      <c r="O168" s="183"/>
      <c r="P168" s="185"/>
      <c r="Q168" s="183"/>
      <c r="R168" s="185"/>
      <c r="S168" s="184"/>
      <c r="T168" s="183"/>
      <c r="U168" s="183"/>
      <c r="V168" s="183"/>
      <c r="W168" s="189"/>
      <c r="X168" s="183"/>
    </row>
    <row r="169" spans="2:24">
      <c r="B169" s="582"/>
      <c r="C169" s="591"/>
      <c r="D169" s="209">
        <v>3</v>
      </c>
      <c r="E169" s="183"/>
      <c r="F169" s="184"/>
      <c r="G169" s="183"/>
      <c r="H169" s="183"/>
      <c r="I169" s="192"/>
      <c r="J169" s="183"/>
      <c r="K169" s="192"/>
      <c r="L169" s="184"/>
      <c r="M169" s="192"/>
      <c r="N169" s="184"/>
      <c r="O169" s="183"/>
      <c r="P169" s="185"/>
      <c r="Q169" s="183"/>
      <c r="R169" s="185"/>
      <c r="S169" s="184"/>
      <c r="T169" s="183"/>
      <c r="U169" s="183"/>
      <c r="V169" s="183"/>
      <c r="W169" s="189"/>
      <c r="X169" s="183"/>
    </row>
    <row r="170" spans="2:24">
      <c r="B170" s="582"/>
      <c r="C170" s="591"/>
      <c r="D170" s="209">
        <v>4</v>
      </c>
      <c r="E170" s="183"/>
      <c r="F170" s="184"/>
      <c r="G170" s="183"/>
      <c r="H170" s="183"/>
      <c r="I170" s="192"/>
      <c r="J170" s="183"/>
      <c r="K170" s="192"/>
      <c r="L170" s="184"/>
      <c r="M170" s="192"/>
      <c r="N170" s="184"/>
      <c r="O170" s="183"/>
      <c r="P170" s="185"/>
      <c r="Q170" s="183"/>
      <c r="R170" s="185"/>
      <c r="S170" s="184"/>
      <c r="T170" s="183"/>
      <c r="U170" s="183"/>
      <c r="V170" s="183"/>
      <c r="W170" s="189"/>
      <c r="X170" s="183"/>
    </row>
    <row r="171" spans="2:24">
      <c r="B171" s="582"/>
      <c r="C171" s="591"/>
      <c r="D171" s="209">
        <v>5</v>
      </c>
      <c r="E171" s="183"/>
      <c r="F171" s="184"/>
      <c r="G171" s="183"/>
      <c r="H171" s="183"/>
      <c r="I171" s="192"/>
      <c r="J171" s="183"/>
      <c r="K171" s="192"/>
      <c r="L171" s="184"/>
      <c r="M171" s="192"/>
      <c r="N171" s="184"/>
      <c r="O171" s="183"/>
      <c r="P171" s="185"/>
      <c r="Q171" s="183"/>
      <c r="R171" s="185"/>
      <c r="S171" s="184"/>
      <c r="T171" s="183"/>
      <c r="U171" s="183"/>
      <c r="V171" s="183"/>
      <c r="W171" s="189"/>
      <c r="X171" s="183"/>
    </row>
    <row r="172" spans="2:24">
      <c r="B172" s="582"/>
      <c r="C172" s="591"/>
      <c r="D172" s="209">
        <v>6</v>
      </c>
      <c r="E172" s="183"/>
      <c r="F172" s="184"/>
      <c r="G172" s="183"/>
      <c r="H172" s="183"/>
      <c r="I172" s="192"/>
      <c r="J172" s="183"/>
      <c r="K172" s="192"/>
      <c r="L172" s="184"/>
      <c r="M172" s="192"/>
      <c r="N172" s="184"/>
      <c r="O172" s="183"/>
      <c r="P172" s="185"/>
      <c r="Q172" s="183"/>
      <c r="R172" s="185"/>
      <c r="S172" s="184"/>
      <c r="T172" s="183"/>
      <c r="U172" s="183"/>
      <c r="V172" s="183"/>
      <c r="W172" s="189"/>
      <c r="X172" s="183"/>
    </row>
    <row r="173" spans="2:24">
      <c r="B173" s="582"/>
      <c r="C173" s="591"/>
      <c r="D173" s="209">
        <v>7</v>
      </c>
      <c r="E173" s="183"/>
      <c r="F173" s="184"/>
      <c r="G173" s="183"/>
      <c r="H173" s="183"/>
      <c r="I173" s="192"/>
      <c r="J173" s="183"/>
      <c r="K173" s="192"/>
      <c r="L173" s="184"/>
      <c r="M173" s="192"/>
      <c r="N173" s="184"/>
      <c r="O173" s="183"/>
      <c r="P173" s="185"/>
      <c r="Q173" s="183"/>
      <c r="R173" s="185"/>
      <c r="S173" s="184"/>
      <c r="T173" s="183"/>
      <c r="U173" s="183"/>
      <c r="V173" s="183"/>
      <c r="W173" s="189"/>
      <c r="X173" s="183"/>
    </row>
    <row r="174" spans="2:24">
      <c r="B174" s="582"/>
      <c r="C174" s="591"/>
      <c r="D174" s="209">
        <v>8</v>
      </c>
      <c r="E174" s="183"/>
      <c r="F174" s="184"/>
      <c r="G174" s="183"/>
      <c r="H174" s="183"/>
      <c r="I174" s="192"/>
      <c r="J174" s="183"/>
      <c r="K174" s="192"/>
      <c r="L174" s="184"/>
      <c r="M174" s="192"/>
      <c r="N174" s="184"/>
      <c r="O174" s="183"/>
      <c r="P174" s="185"/>
      <c r="Q174" s="183"/>
      <c r="R174" s="185"/>
      <c r="S174" s="184"/>
      <c r="T174" s="183"/>
      <c r="U174" s="183"/>
      <c r="V174" s="183"/>
      <c r="W174" s="189"/>
      <c r="X174" s="183"/>
    </row>
    <row r="175" spans="2:24">
      <c r="B175" s="582"/>
      <c r="C175" s="591"/>
      <c r="D175" s="209">
        <v>9</v>
      </c>
      <c r="E175" s="183"/>
      <c r="F175" s="184"/>
      <c r="G175" s="183"/>
      <c r="H175" s="183"/>
      <c r="I175" s="192"/>
      <c r="J175" s="183"/>
      <c r="K175" s="192"/>
      <c r="L175" s="184"/>
      <c r="M175" s="192"/>
      <c r="N175" s="184"/>
      <c r="O175" s="183"/>
      <c r="P175" s="185"/>
      <c r="Q175" s="183"/>
      <c r="R175" s="185"/>
      <c r="S175" s="184"/>
      <c r="T175" s="183"/>
      <c r="U175" s="183"/>
      <c r="V175" s="183"/>
      <c r="W175" s="189"/>
      <c r="X175" s="183"/>
    </row>
    <row r="176" spans="2:24">
      <c r="B176" s="583"/>
      <c r="C176" s="591"/>
      <c r="D176" s="209">
        <v>10</v>
      </c>
      <c r="E176" s="183"/>
      <c r="F176" s="184"/>
      <c r="G176" s="183"/>
      <c r="H176" s="183"/>
      <c r="I176" s="192"/>
      <c r="J176" s="183"/>
      <c r="K176" s="192"/>
      <c r="L176" s="184"/>
      <c r="M176" s="192"/>
      <c r="N176" s="184"/>
      <c r="O176" s="183"/>
      <c r="P176" s="185"/>
      <c r="Q176" s="183"/>
      <c r="R176" s="185"/>
      <c r="S176" s="184"/>
      <c r="T176" s="183"/>
      <c r="U176" s="183"/>
      <c r="V176" s="183"/>
      <c r="W176" s="189"/>
      <c r="X176" s="183"/>
    </row>
    <row r="177" spans="2:24">
      <c r="B177" s="581">
        <f t="shared" ref="B177" si="21">B167+1</f>
        <v>45918</v>
      </c>
      <c r="C177" s="590" t="s">
        <v>206</v>
      </c>
      <c r="D177" s="209">
        <v>1</v>
      </c>
      <c r="E177" s="183"/>
      <c r="F177" s="184"/>
      <c r="G177" s="183"/>
      <c r="H177" s="183"/>
      <c r="I177" s="192"/>
      <c r="J177" s="183"/>
      <c r="K177" s="192"/>
      <c r="L177" s="184"/>
      <c r="M177" s="192"/>
      <c r="N177" s="184"/>
      <c r="O177" s="183"/>
      <c r="P177" s="185"/>
      <c r="Q177" s="183"/>
      <c r="R177" s="185"/>
      <c r="S177" s="184"/>
      <c r="T177" s="183"/>
      <c r="U177" s="183"/>
      <c r="V177" s="183"/>
      <c r="W177" s="189"/>
      <c r="X177" s="183"/>
    </row>
    <row r="178" spans="2:24">
      <c r="B178" s="582"/>
      <c r="C178" s="591"/>
      <c r="D178" s="209">
        <v>2</v>
      </c>
      <c r="E178" s="183"/>
      <c r="F178" s="184"/>
      <c r="G178" s="183"/>
      <c r="H178" s="183"/>
      <c r="I178" s="192"/>
      <c r="J178" s="183"/>
      <c r="K178" s="192"/>
      <c r="L178" s="184"/>
      <c r="M178" s="192"/>
      <c r="N178" s="184"/>
      <c r="O178" s="183"/>
      <c r="P178" s="185"/>
      <c r="Q178" s="183"/>
      <c r="R178" s="185"/>
      <c r="S178" s="184"/>
      <c r="T178" s="183"/>
      <c r="U178" s="183"/>
      <c r="V178" s="183"/>
      <c r="W178" s="189"/>
      <c r="X178" s="183"/>
    </row>
    <row r="179" spans="2:24">
      <c r="B179" s="582"/>
      <c r="C179" s="591"/>
      <c r="D179" s="209">
        <v>3</v>
      </c>
      <c r="E179" s="183"/>
      <c r="F179" s="184"/>
      <c r="G179" s="183"/>
      <c r="H179" s="183"/>
      <c r="I179" s="192"/>
      <c r="J179" s="183"/>
      <c r="K179" s="192"/>
      <c r="L179" s="184"/>
      <c r="M179" s="192"/>
      <c r="N179" s="184"/>
      <c r="O179" s="183"/>
      <c r="P179" s="185"/>
      <c r="Q179" s="183"/>
      <c r="R179" s="185"/>
      <c r="S179" s="184"/>
      <c r="T179" s="183"/>
      <c r="U179" s="183"/>
      <c r="V179" s="183"/>
      <c r="W179" s="189"/>
      <c r="X179" s="183"/>
    </row>
    <row r="180" spans="2:24">
      <c r="B180" s="582"/>
      <c r="C180" s="591"/>
      <c r="D180" s="209">
        <v>4</v>
      </c>
      <c r="E180" s="183"/>
      <c r="F180" s="184"/>
      <c r="G180" s="183"/>
      <c r="H180" s="183"/>
      <c r="I180" s="192"/>
      <c r="J180" s="183"/>
      <c r="K180" s="192"/>
      <c r="L180" s="184"/>
      <c r="M180" s="192"/>
      <c r="N180" s="184"/>
      <c r="O180" s="183"/>
      <c r="P180" s="185"/>
      <c r="Q180" s="183"/>
      <c r="R180" s="185"/>
      <c r="S180" s="184"/>
      <c r="T180" s="183"/>
      <c r="U180" s="183"/>
      <c r="V180" s="183"/>
      <c r="W180" s="189"/>
      <c r="X180" s="183"/>
    </row>
    <row r="181" spans="2:24">
      <c r="B181" s="582"/>
      <c r="C181" s="591"/>
      <c r="D181" s="209">
        <v>5</v>
      </c>
      <c r="E181" s="183"/>
      <c r="F181" s="184"/>
      <c r="G181" s="183"/>
      <c r="H181" s="183"/>
      <c r="I181" s="192"/>
      <c r="J181" s="183"/>
      <c r="K181" s="192"/>
      <c r="L181" s="184"/>
      <c r="M181" s="192"/>
      <c r="N181" s="184"/>
      <c r="O181" s="183"/>
      <c r="P181" s="185"/>
      <c r="Q181" s="183"/>
      <c r="R181" s="185"/>
      <c r="S181" s="184"/>
      <c r="T181" s="183"/>
      <c r="U181" s="183"/>
      <c r="V181" s="183"/>
      <c r="W181" s="189"/>
      <c r="X181" s="183"/>
    </row>
    <row r="182" spans="2:24">
      <c r="B182" s="582"/>
      <c r="C182" s="591"/>
      <c r="D182" s="209">
        <v>6</v>
      </c>
      <c r="E182" s="183"/>
      <c r="F182" s="184"/>
      <c r="G182" s="183"/>
      <c r="H182" s="183"/>
      <c r="I182" s="192"/>
      <c r="J182" s="183"/>
      <c r="K182" s="192"/>
      <c r="L182" s="184"/>
      <c r="M182" s="192"/>
      <c r="N182" s="184"/>
      <c r="O182" s="183"/>
      <c r="P182" s="185"/>
      <c r="Q182" s="183"/>
      <c r="R182" s="185"/>
      <c r="S182" s="184"/>
      <c r="T182" s="183"/>
      <c r="U182" s="183"/>
      <c r="V182" s="183"/>
      <c r="W182" s="189"/>
      <c r="X182" s="183"/>
    </row>
    <row r="183" spans="2:24">
      <c r="B183" s="582"/>
      <c r="C183" s="591"/>
      <c r="D183" s="209">
        <v>7</v>
      </c>
      <c r="E183" s="183"/>
      <c r="F183" s="184"/>
      <c r="G183" s="183"/>
      <c r="H183" s="183"/>
      <c r="I183" s="192"/>
      <c r="J183" s="183"/>
      <c r="K183" s="192"/>
      <c r="L183" s="184"/>
      <c r="M183" s="192"/>
      <c r="N183" s="184"/>
      <c r="O183" s="183"/>
      <c r="P183" s="185"/>
      <c r="Q183" s="183"/>
      <c r="R183" s="185"/>
      <c r="S183" s="184"/>
      <c r="T183" s="183"/>
      <c r="U183" s="183"/>
      <c r="V183" s="183"/>
      <c r="W183" s="189"/>
      <c r="X183" s="183"/>
    </row>
    <row r="184" spans="2:24">
      <c r="B184" s="582"/>
      <c r="C184" s="591"/>
      <c r="D184" s="209">
        <v>8</v>
      </c>
      <c r="E184" s="183"/>
      <c r="F184" s="184"/>
      <c r="G184" s="183"/>
      <c r="H184" s="183"/>
      <c r="I184" s="192"/>
      <c r="J184" s="183"/>
      <c r="K184" s="192"/>
      <c r="L184" s="184"/>
      <c r="M184" s="192"/>
      <c r="N184" s="184"/>
      <c r="O184" s="183"/>
      <c r="P184" s="185"/>
      <c r="Q184" s="183"/>
      <c r="R184" s="185"/>
      <c r="S184" s="184"/>
      <c r="T184" s="183"/>
      <c r="U184" s="183"/>
      <c r="V184" s="183"/>
      <c r="W184" s="189"/>
      <c r="X184" s="183"/>
    </row>
    <row r="185" spans="2:24">
      <c r="B185" s="582"/>
      <c r="C185" s="591"/>
      <c r="D185" s="209">
        <v>9</v>
      </c>
      <c r="E185" s="183"/>
      <c r="F185" s="184"/>
      <c r="G185" s="183"/>
      <c r="H185" s="183"/>
      <c r="I185" s="192"/>
      <c r="J185" s="183"/>
      <c r="K185" s="192"/>
      <c r="L185" s="184"/>
      <c r="M185" s="192"/>
      <c r="N185" s="184"/>
      <c r="O185" s="183"/>
      <c r="P185" s="185"/>
      <c r="Q185" s="183"/>
      <c r="R185" s="185"/>
      <c r="S185" s="184"/>
      <c r="T185" s="183"/>
      <c r="U185" s="183"/>
      <c r="V185" s="183"/>
      <c r="W185" s="189"/>
      <c r="X185" s="183"/>
    </row>
    <row r="186" spans="2:24">
      <c r="B186" s="583"/>
      <c r="C186" s="591"/>
      <c r="D186" s="209">
        <v>10</v>
      </c>
      <c r="E186" s="183"/>
      <c r="F186" s="184"/>
      <c r="G186" s="183"/>
      <c r="H186" s="183"/>
      <c r="I186" s="192"/>
      <c r="J186" s="183"/>
      <c r="K186" s="192"/>
      <c r="L186" s="184"/>
      <c r="M186" s="192"/>
      <c r="N186" s="184"/>
      <c r="O186" s="183"/>
      <c r="P186" s="185"/>
      <c r="Q186" s="183"/>
      <c r="R186" s="185"/>
      <c r="S186" s="184"/>
      <c r="T186" s="183"/>
      <c r="U186" s="183"/>
      <c r="V186" s="183"/>
      <c r="W186" s="189"/>
      <c r="X186" s="183"/>
    </row>
    <row r="187" spans="2:24">
      <c r="B187" s="581">
        <f t="shared" ref="B187" si="22">B177+1</f>
        <v>45919</v>
      </c>
      <c r="C187" s="590" t="s">
        <v>207</v>
      </c>
      <c r="D187" s="209">
        <v>1</v>
      </c>
      <c r="E187" s="183"/>
      <c r="F187" s="184"/>
      <c r="G187" s="183"/>
      <c r="H187" s="183"/>
      <c r="I187" s="192"/>
      <c r="J187" s="183"/>
      <c r="K187" s="192"/>
      <c r="L187" s="184"/>
      <c r="M187" s="192"/>
      <c r="N187" s="184"/>
      <c r="O187" s="183"/>
      <c r="P187" s="185"/>
      <c r="Q187" s="183"/>
      <c r="R187" s="185"/>
      <c r="S187" s="184"/>
      <c r="T187" s="183"/>
      <c r="U187" s="183"/>
      <c r="V187" s="183"/>
      <c r="W187" s="189"/>
      <c r="X187" s="183"/>
    </row>
    <row r="188" spans="2:24">
      <c r="B188" s="582"/>
      <c r="C188" s="591"/>
      <c r="D188" s="209">
        <v>2</v>
      </c>
      <c r="E188" s="183"/>
      <c r="F188" s="184"/>
      <c r="G188" s="183"/>
      <c r="H188" s="183"/>
      <c r="I188" s="192"/>
      <c r="J188" s="183"/>
      <c r="K188" s="192"/>
      <c r="L188" s="184"/>
      <c r="M188" s="192"/>
      <c r="N188" s="184"/>
      <c r="O188" s="183"/>
      <c r="P188" s="185"/>
      <c r="Q188" s="183"/>
      <c r="R188" s="185"/>
      <c r="S188" s="184"/>
      <c r="T188" s="183"/>
      <c r="U188" s="183"/>
      <c r="V188" s="183"/>
      <c r="W188" s="189"/>
      <c r="X188" s="183"/>
    </row>
    <row r="189" spans="2:24">
      <c r="B189" s="582"/>
      <c r="C189" s="591"/>
      <c r="D189" s="209">
        <v>3</v>
      </c>
      <c r="E189" s="183"/>
      <c r="F189" s="184"/>
      <c r="G189" s="183"/>
      <c r="H189" s="183"/>
      <c r="I189" s="192"/>
      <c r="J189" s="183"/>
      <c r="K189" s="192"/>
      <c r="L189" s="184"/>
      <c r="M189" s="192"/>
      <c r="N189" s="184"/>
      <c r="O189" s="183"/>
      <c r="P189" s="185"/>
      <c r="Q189" s="183"/>
      <c r="R189" s="185"/>
      <c r="S189" s="184"/>
      <c r="T189" s="183"/>
      <c r="U189" s="183"/>
      <c r="V189" s="183"/>
      <c r="W189" s="189"/>
      <c r="X189" s="183"/>
    </row>
    <row r="190" spans="2:24">
      <c r="B190" s="582"/>
      <c r="C190" s="591"/>
      <c r="D190" s="209">
        <v>4</v>
      </c>
      <c r="E190" s="183"/>
      <c r="F190" s="184"/>
      <c r="G190" s="183"/>
      <c r="H190" s="183"/>
      <c r="I190" s="192"/>
      <c r="J190" s="183"/>
      <c r="K190" s="192"/>
      <c r="L190" s="184"/>
      <c r="M190" s="192"/>
      <c r="N190" s="184"/>
      <c r="O190" s="183"/>
      <c r="P190" s="185"/>
      <c r="Q190" s="183"/>
      <c r="R190" s="185"/>
      <c r="S190" s="184"/>
      <c r="T190" s="183"/>
      <c r="U190" s="183"/>
      <c r="V190" s="183"/>
      <c r="W190" s="189"/>
      <c r="X190" s="183"/>
    </row>
    <row r="191" spans="2:24">
      <c r="B191" s="582"/>
      <c r="C191" s="591"/>
      <c r="D191" s="209">
        <v>5</v>
      </c>
      <c r="E191" s="183"/>
      <c r="F191" s="184"/>
      <c r="G191" s="183"/>
      <c r="H191" s="183"/>
      <c r="I191" s="192"/>
      <c r="J191" s="183"/>
      <c r="K191" s="192"/>
      <c r="L191" s="184"/>
      <c r="M191" s="192"/>
      <c r="N191" s="184"/>
      <c r="O191" s="183"/>
      <c r="P191" s="185"/>
      <c r="Q191" s="183"/>
      <c r="R191" s="185"/>
      <c r="S191" s="184"/>
      <c r="T191" s="183"/>
      <c r="U191" s="183"/>
      <c r="V191" s="183"/>
      <c r="W191" s="189"/>
      <c r="X191" s="183"/>
    </row>
    <row r="192" spans="2:24">
      <c r="B192" s="582"/>
      <c r="C192" s="591"/>
      <c r="D192" s="209">
        <v>6</v>
      </c>
      <c r="E192" s="183"/>
      <c r="F192" s="184"/>
      <c r="G192" s="183"/>
      <c r="H192" s="183"/>
      <c r="I192" s="192"/>
      <c r="J192" s="183"/>
      <c r="K192" s="192"/>
      <c r="L192" s="184"/>
      <c r="M192" s="192"/>
      <c r="N192" s="184"/>
      <c r="O192" s="183"/>
      <c r="P192" s="185"/>
      <c r="Q192" s="183"/>
      <c r="R192" s="185"/>
      <c r="S192" s="184"/>
      <c r="T192" s="183"/>
      <c r="U192" s="183"/>
      <c r="V192" s="183"/>
      <c r="W192" s="189"/>
      <c r="X192" s="183"/>
    </row>
    <row r="193" spans="2:24">
      <c r="B193" s="582"/>
      <c r="C193" s="591"/>
      <c r="D193" s="209">
        <v>7</v>
      </c>
      <c r="E193" s="183"/>
      <c r="F193" s="184"/>
      <c r="G193" s="183"/>
      <c r="H193" s="183"/>
      <c r="I193" s="192"/>
      <c r="J193" s="183"/>
      <c r="K193" s="192"/>
      <c r="L193" s="184"/>
      <c r="M193" s="192"/>
      <c r="N193" s="184"/>
      <c r="O193" s="183"/>
      <c r="P193" s="185"/>
      <c r="Q193" s="183"/>
      <c r="R193" s="185"/>
      <c r="S193" s="184"/>
      <c r="T193" s="183"/>
      <c r="U193" s="183"/>
      <c r="V193" s="183"/>
      <c r="W193" s="189"/>
      <c r="X193" s="183"/>
    </row>
    <row r="194" spans="2:24">
      <c r="B194" s="582"/>
      <c r="C194" s="591"/>
      <c r="D194" s="209">
        <v>8</v>
      </c>
      <c r="E194" s="183"/>
      <c r="F194" s="184"/>
      <c r="G194" s="183"/>
      <c r="H194" s="183"/>
      <c r="I194" s="192"/>
      <c r="J194" s="183"/>
      <c r="K194" s="192"/>
      <c r="L194" s="184"/>
      <c r="M194" s="192"/>
      <c r="N194" s="184"/>
      <c r="O194" s="183"/>
      <c r="P194" s="185"/>
      <c r="Q194" s="183"/>
      <c r="R194" s="185"/>
      <c r="S194" s="184"/>
      <c r="T194" s="183"/>
      <c r="U194" s="183"/>
      <c r="V194" s="183"/>
      <c r="W194" s="189"/>
      <c r="X194" s="183"/>
    </row>
    <row r="195" spans="2:24">
      <c r="B195" s="582"/>
      <c r="C195" s="591"/>
      <c r="D195" s="209">
        <v>9</v>
      </c>
      <c r="E195" s="183"/>
      <c r="F195" s="184"/>
      <c r="G195" s="183"/>
      <c r="H195" s="183"/>
      <c r="I195" s="192"/>
      <c r="J195" s="183"/>
      <c r="K195" s="192"/>
      <c r="L195" s="184"/>
      <c r="M195" s="192"/>
      <c r="N195" s="184"/>
      <c r="O195" s="183"/>
      <c r="P195" s="185"/>
      <c r="Q195" s="183"/>
      <c r="R195" s="185"/>
      <c r="S195" s="184"/>
      <c r="T195" s="183"/>
      <c r="U195" s="183"/>
      <c r="V195" s="183"/>
      <c r="W195" s="189"/>
      <c r="X195" s="183"/>
    </row>
    <row r="196" spans="2:24">
      <c r="B196" s="583"/>
      <c r="C196" s="591"/>
      <c r="D196" s="209">
        <v>10</v>
      </c>
      <c r="E196" s="183"/>
      <c r="F196" s="184"/>
      <c r="G196" s="183"/>
      <c r="H196" s="183"/>
      <c r="I196" s="192"/>
      <c r="J196" s="183"/>
      <c r="K196" s="192"/>
      <c r="L196" s="184"/>
      <c r="M196" s="192"/>
      <c r="N196" s="184"/>
      <c r="O196" s="183"/>
      <c r="P196" s="185"/>
      <c r="Q196" s="183"/>
      <c r="R196" s="185"/>
      <c r="S196" s="184"/>
      <c r="T196" s="183"/>
      <c r="U196" s="183"/>
      <c r="V196" s="183"/>
      <c r="W196" s="189"/>
      <c r="X196" s="183"/>
    </row>
    <row r="197" spans="2:24">
      <c r="B197" s="581">
        <f t="shared" ref="B197" si="23">B187+1</f>
        <v>45920</v>
      </c>
      <c r="C197" s="590" t="s">
        <v>208</v>
      </c>
      <c r="D197" s="209">
        <v>1</v>
      </c>
      <c r="E197" s="183"/>
      <c r="F197" s="184"/>
      <c r="G197" s="183"/>
      <c r="H197" s="183"/>
      <c r="I197" s="192"/>
      <c r="J197" s="183"/>
      <c r="K197" s="192"/>
      <c r="L197" s="184"/>
      <c r="M197" s="192"/>
      <c r="N197" s="184"/>
      <c r="O197" s="183"/>
      <c r="P197" s="185"/>
      <c r="Q197" s="183"/>
      <c r="R197" s="185"/>
      <c r="S197" s="184"/>
      <c r="T197" s="183"/>
      <c r="U197" s="183"/>
      <c r="V197" s="183"/>
      <c r="W197" s="189"/>
      <c r="X197" s="183"/>
    </row>
    <row r="198" spans="2:24">
      <c r="B198" s="582"/>
      <c r="C198" s="591"/>
      <c r="D198" s="209">
        <v>2</v>
      </c>
      <c r="E198" s="183"/>
      <c r="F198" s="184"/>
      <c r="G198" s="183"/>
      <c r="H198" s="183"/>
      <c r="I198" s="192"/>
      <c r="J198" s="183"/>
      <c r="K198" s="192"/>
      <c r="L198" s="184"/>
      <c r="M198" s="192"/>
      <c r="N198" s="184"/>
      <c r="O198" s="183"/>
      <c r="P198" s="185"/>
      <c r="Q198" s="183"/>
      <c r="R198" s="185"/>
      <c r="S198" s="184"/>
      <c r="T198" s="183"/>
      <c r="U198" s="183"/>
      <c r="V198" s="183"/>
      <c r="W198" s="189"/>
      <c r="X198" s="183"/>
    </row>
    <row r="199" spans="2:24">
      <c r="B199" s="582"/>
      <c r="C199" s="591"/>
      <c r="D199" s="209">
        <v>3</v>
      </c>
      <c r="E199" s="183"/>
      <c r="F199" s="184"/>
      <c r="G199" s="183"/>
      <c r="H199" s="183"/>
      <c r="I199" s="192"/>
      <c r="J199" s="183"/>
      <c r="K199" s="192"/>
      <c r="L199" s="184"/>
      <c r="M199" s="192"/>
      <c r="N199" s="184"/>
      <c r="O199" s="183"/>
      <c r="P199" s="185"/>
      <c r="Q199" s="183"/>
      <c r="R199" s="185"/>
      <c r="S199" s="184"/>
      <c r="T199" s="183"/>
      <c r="U199" s="183"/>
      <c r="V199" s="183"/>
      <c r="W199" s="189"/>
      <c r="X199" s="183"/>
    </row>
    <row r="200" spans="2:24">
      <c r="B200" s="582"/>
      <c r="C200" s="591"/>
      <c r="D200" s="209">
        <v>4</v>
      </c>
      <c r="E200" s="183"/>
      <c r="F200" s="184"/>
      <c r="G200" s="183"/>
      <c r="H200" s="183"/>
      <c r="I200" s="192"/>
      <c r="J200" s="183"/>
      <c r="K200" s="192"/>
      <c r="L200" s="184"/>
      <c r="M200" s="192"/>
      <c r="N200" s="184"/>
      <c r="O200" s="183"/>
      <c r="P200" s="185"/>
      <c r="Q200" s="183"/>
      <c r="R200" s="185"/>
      <c r="S200" s="184"/>
      <c r="T200" s="183"/>
      <c r="U200" s="183"/>
      <c r="V200" s="183"/>
      <c r="W200" s="189"/>
      <c r="X200" s="183"/>
    </row>
    <row r="201" spans="2:24">
      <c r="B201" s="582"/>
      <c r="C201" s="591"/>
      <c r="D201" s="209">
        <v>5</v>
      </c>
      <c r="E201" s="183"/>
      <c r="F201" s="184"/>
      <c r="G201" s="183"/>
      <c r="H201" s="183"/>
      <c r="I201" s="192"/>
      <c r="J201" s="183"/>
      <c r="K201" s="192"/>
      <c r="L201" s="184"/>
      <c r="M201" s="192"/>
      <c r="N201" s="184"/>
      <c r="O201" s="183"/>
      <c r="P201" s="185"/>
      <c r="Q201" s="183"/>
      <c r="R201" s="185"/>
      <c r="S201" s="184"/>
      <c r="T201" s="183"/>
      <c r="U201" s="183"/>
      <c r="V201" s="183"/>
      <c r="W201" s="189"/>
      <c r="X201" s="183"/>
    </row>
    <row r="202" spans="2:24">
      <c r="B202" s="582"/>
      <c r="C202" s="591"/>
      <c r="D202" s="209">
        <v>6</v>
      </c>
      <c r="E202" s="183"/>
      <c r="F202" s="184"/>
      <c r="G202" s="183"/>
      <c r="H202" s="183"/>
      <c r="I202" s="192"/>
      <c r="J202" s="183"/>
      <c r="K202" s="192"/>
      <c r="L202" s="184"/>
      <c r="M202" s="192"/>
      <c r="N202" s="184"/>
      <c r="O202" s="183"/>
      <c r="P202" s="185"/>
      <c r="Q202" s="183"/>
      <c r="R202" s="185"/>
      <c r="S202" s="184"/>
      <c r="T202" s="183"/>
      <c r="U202" s="183"/>
      <c r="V202" s="183"/>
      <c r="W202" s="189"/>
      <c r="X202" s="183"/>
    </row>
    <row r="203" spans="2:24">
      <c r="B203" s="582"/>
      <c r="C203" s="591"/>
      <c r="D203" s="209">
        <v>7</v>
      </c>
      <c r="E203" s="183"/>
      <c r="F203" s="184"/>
      <c r="G203" s="183"/>
      <c r="H203" s="183"/>
      <c r="I203" s="192"/>
      <c r="J203" s="183"/>
      <c r="K203" s="192"/>
      <c r="L203" s="184"/>
      <c r="M203" s="192"/>
      <c r="N203" s="184"/>
      <c r="O203" s="183"/>
      <c r="P203" s="185"/>
      <c r="Q203" s="183"/>
      <c r="R203" s="185"/>
      <c r="S203" s="184"/>
      <c r="T203" s="183"/>
      <c r="U203" s="183"/>
      <c r="V203" s="183"/>
      <c r="W203" s="189"/>
      <c r="X203" s="183"/>
    </row>
    <row r="204" spans="2:24">
      <c r="B204" s="582"/>
      <c r="C204" s="591"/>
      <c r="D204" s="209">
        <v>8</v>
      </c>
      <c r="E204" s="183"/>
      <c r="F204" s="184"/>
      <c r="G204" s="183"/>
      <c r="H204" s="183"/>
      <c r="I204" s="192"/>
      <c r="J204" s="183"/>
      <c r="K204" s="192"/>
      <c r="L204" s="184"/>
      <c r="M204" s="192"/>
      <c r="N204" s="184"/>
      <c r="O204" s="183"/>
      <c r="P204" s="185"/>
      <c r="Q204" s="183"/>
      <c r="R204" s="185"/>
      <c r="S204" s="184"/>
      <c r="T204" s="183"/>
      <c r="U204" s="183"/>
      <c r="V204" s="183"/>
      <c r="W204" s="189"/>
      <c r="X204" s="183"/>
    </row>
    <row r="205" spans="2:24">
      <c r="B205" s="582"/>
      <c r="C205" s="591"/>
      <c r="D205" s="209">
        <v>9</v>
      </c>
      <c r="E205" s="183"/>
      <c r="F205" s="184"/>
      <c r="G205" s="183"/>
      <c r="H205" s="183"/>
      <c r="I205" s="192"/>
      <c r="J205" s="183"/>
      <c r="K205" s="192"/>
      <c r="L205" s="184"/>
      <c r="M205" s="192"/>
      <c r="N205" s="184"/>
      <c r="O205" s="183"/>
      <c r="P205" s="185"/>
      <c r="Q205" s="183"/>
      <c r="R205" s="185"/>
      <c r="S205" s="184"/>
      <c r="T205" s="183"/>
      <c r="U205" s="183"/>
      <c r="V205" s="183"/>
      <c r="W205" s="189"/>
      <c r="X205" s="183"/>
    </row>
    <row r="206" spans="2:24">
      <c r="B206" s="583"/>
      <c r="C206" s="591"/>
      <c r="D206" s="209">
        <v>10</v>
      </c>
      <c r="E206" s="183"/>
      <c r="F206" s="184"/>
      <c r="G206" s="183"/>
      <c r="H206" s="183"/>
      <c r="I206" s="192"/>
      <c r="J206" s="183"/>
      <c r="K206" s="192"/>
      <c r="L206" s="184"/>
      <c r="M206" s="192"/>
      <c r="N206" s="184"/>
      <c r="O206" s="183"/>
      <c r="P206" s="185"/>
      <c r="Q206" s="183"/>
      <c r="R206" s="185"/>
      <c r="S206" s="184"/>
      <c r="T206" s="183"/>
      <c r="U206" s="183"/>
      <c r="V206" s="183"/>
      <c r="W206" s="189"/>
      <c r="X206" s="183"/>
    </row>
    <row r="207" spans="2:24">
      <c r="B207" s="581">
        <f t="shared" ref="B207" si="24">B197+1</f>
        <v>45921</v>
      </c>
      <c r="C207" s="590" t="s">
        <v>157</v>
      </c>
      <c r="D207" s="209">
        <v>1</v>
      </c>
      <c r="E207" s="183"/>
      <c r="F207" s="184"/>
      <c r="G207" s="183"/>
      <c r="H207" s="183"/>
      <c r="I207" s="192"/>
      <c r="J207" s="183"/>
      <c r="K207" s="192"/>
      <c r="L207" s="184"/>
      <c r="M207" s="192"/>
      <c r="N207" s="184"/>
      <c r="O207" s="183"/>
      <c r="P207" s="185"/>
      <c r="Q207" s="183"/>
      <c r="R207" s="185"/>
      <c r="S207" s="184"/>
      <c r="T207" s="183"/>
      <c r="U207" s="183"/>
      <c r="V207" s="183"/>
      <c r="W207" s="189"/>
      <c r="X207" s="183"/>
    </row>
    <row r="208" spans="2:24">
      <c r="B208" s="582"/>
      <c r="C208" s="591"/>
      <c r="D208" s="209">
        <v>2</v>
      </c>
      <c r="E208" s="183"/>
      <c r="F208" s="184"/>
      <c r="G208" s="183"/>
      <c r="H208" s="183"/>
      <c r="I208" s="192"/>
      <c r="J208" s="183"/>
      <c r="K208" s="192"/>
      <c r="L208" s="184"/>
      <c r="M208" s="192"/>
      <c r="N208" s="184"/>
      <c r="O208" s="183"/>
      <c r="P208" s="185"/>
      <c r="Q208" s="183"/>
      <c r="R208" s="185"/>
      <c r="S208" s="184"/>
      <c r="T208" s="183"/>
      <c r="U208" s="183"/>
      <c r="V208" s="183"/>
      <c r="W208" s="189"/>
      <c r="X208" s="183"/>
    </row>
    <row r="209" spans="2:24">
      <c r="B209" s="582"/>
      <c r="C209" s="591"/>
      <c r="D209" s="209">
        <v>3</v>
      </c>
      <c r="E209" s="183"/>
      <c r="F209" s="184"/>
      <c r="G209" s="183"/>
      <c r="H209" s="183"/>
      <c r="I209" s="192"/>
      <c r="J209" s="183"/>
      <c r="K209" s="192"/>
      <c r="L209" s="184"/>
      <c r="M209" s="192"/>
      <c r="N209" s="184"/>
      <c r="O209" s="183"/>
      <c r="P209" s="185"/>
      <c r="Q209" s="183"/>
      <c r="R209" s="185"/>
      <c r="S209" s="184"/>
      <c r="T209" s="183"/>
      <c r="U209" s="183"/>
      <c r="V209" s="183"/>
      <c r="W209" s="189"/>
      <c r="X209" s="183"/>
    </row>
    <row r="210" spans="2:24">
      <c r="B210" s="582"/>
      <c r="C210" s="591"/>
      <c r="D210" s="209">
        <v>4</v>
      </c>
      <c r="E210" s="183"/>
      <c r="F210" s="184"/>
      <c r="G210" s="183"/>
      <c r="H210" s="183"/>
      <c r="I210" s="192"/>
      <c r="J210" s="183"/>
      <c r="K210" s="192"/>
      <c r="L210" s="184"/>
      <c r="M210" s="192"/>
      <c r="N210" s="184"/>
      <c r="O210" s="183"/>
      <c r="P210" s="185"/>
      <c r="Q210" s="183"/>
      <c r="R210" s="185"/>
      <c r="S210" s="184"/>
      <c r="T210" s="183"/>
      <c r="U210" s="183"/>
      <c r="V210" s="183"/>
      <c r="W210" s="189"/>
      <c r="X210" s="183"/>
    </row>
    <row r="211" spans="2:24">
      <c r="B211" s="582"/>
      <c r="C211" s="591"/>
      <c r="D211" s="209">
        <v>5</v>
      </c>
      <c r="E211" s="183"/>
      <c r="F211" s="184"/>
      <c r="G211" s="183"/>
      <c r="H211" s="183"/>
      <c r="I211" s="192"/>
      <c r="J211" s="183"/>
      <c r="K211" s="192"/>
      <c r="L211" s="184"/>
      <c r="M211" s="192"/>
      <c r="N211" s="184"/>
      <c r="O211" s="183"/>
      <c r="P211" s="185"/>
      <c r="Q211" s="183"/>
      <c r="R211" s="185"/>
      <c r="S211" s="184"/>
      <c r="T211" s="183"/>
      <c r="U211" s="183"/>
      <c r="V211" s="183"/>
      <c r="W211" s="189"/>
      <c r="X211" s="183"/>
    </row>
    <row r="212" spans="2:24">
      <c r="B212" s="582"/>
      <c r="C212" s="591"/>
      <c r="D212" s="209">
        <v>6</v>
      </c>
      <c r="E212" s="183"/>
      <c r="F212" s="184"/>
      <c r="G212" s="183"/>
      <c r="H212" s="183"/>
      <c r="I212" s="192"/>
      <c r="J212" s="183"/>
      <c r="K212" s="192"/>
      <c r="L212" s="184"/>
      <c r="M212" s="192"/>
      <c r="N212" s="184"/>
      <c r="O212" s="183"/>
      <c r="P212" s="185"/>
      <c r="Q212" s="183"/>
      <c r="R212" s="185"/>
      <c r="S212" s="184"/>
      <c r="T212" s="183"/>
      <c r="U212" s="183"/>
      <c r="V212" s="183"/>
      <c r="W212" s="189"/>
      <c r="X212" s="183"/>
    </row>
    <row r="213" spans="2:24">
      <c r="B213" s="582"/>
      <c r="C213" s="591"/>
      <c r="D213" s="209">
        <v>7</v>
      </c>
      <c r="E213" s="183"/>
      <c r="F213" s="184"/>
      <c r="G213" s="183"/>
      <c r="H213" s="183"/>
      <c r="I213" s="192"/>
      <c r="J213" s="183"/>
      <c r="K213" s="192"/>
      <c r="L213" s="184"/>
      <c r="M213" s="192"/>
      <c r="N213" s="184"/>
      <c r="O213" s="183"/>
      <c r="P213" s="185"/>
      <c r="Q213" s="183"/>
      <c r="R213" s="185"/>
      <c r="S213" s="184"/>
      <c r="T213" s="183"/>
      <c r="U213" s="183"/>
      <c r="V213" s="183"/>
      <c r="W213" s="189"/>
      <c r="X213" s="183"/>
    </row>
    <row r="214" spans="2:24">
      <c r="B214" s="582"/>
      <c r="C214" s="591"/>
      <c r="D214" s="209">
        <v>8</v>
      </c>
      <c r="E214" s="183"/>
      <c r="F214" s="184"/>
      <c r="G214" s="183"/>
      <c r="H214" s="183"/>
      <c r="I214" s="192"/>
      <c r="J214" s="183"/>
      <c r="K214" s="192"/>
      <c r="L214" s="184"/>
      <c r="M214" s="192"/>
      <c r="N214" s="184"/>
      <c r="O214" s="183"/>
      <c r="P214" s="185"/>
      <c r="Q214" s="183"/>
      <c r="R214" s="185"/>
      <c r="S214" s="184"/>
      <c r="T214" s="183"/>
      <c r="U214" s="183"/>
      <c r="V214" s="183"/>
      <c r="W214" s="189"/>
      <c r="X214" s="183"/>
    </row>
    <row r="215" spans="2:24">
      <c r="B215" s="582"/>
      <c r="C215" s="591"/>
      <c r="D215" s="209">
        <v>9</v>
      </c>
      <c r="E215" s="183"/>
      <c r="F215" s="184"/>
      <c r="G215" s="183"/>
      <c r="H215" s="183"/>
      <c r="I215" s="192"/>
      <c r="J215" s="183"/>
      <c r="K215" s="192"/>
      <c r="L215" s="184"/>
      <c r="M215" s="192"/>
      <c r="N215" s="184"/>
      <c r="O215" s="183"/>
      <c r="P215" s="185"/>
      <c r="Q215" s="183"/>
      <c r="R215" s="185"/>
      <c r="S215" s="184"/>
      <c r="T215" s="183"/>
      <c r="U215" s="183"/>
      <c r="V215" s="183"/>
      <c r="W215" s="189"/>
      <c r="X215" s="183"/>
    </row>
    <row r="216" spans="2:24">
      <c r="B216" s="583"/>
      <c r="C216" s="591"/>
      <c r="D216" s="209">
        <v>10</v>
      </c>
      <c r="E216" s="183"/>
      <c r="F216" s="184"/>
      <c r="G216" s="183"/>
      <c r="H216" s="183"/>
      <c r="I216" s="192"/>
      <c r="J216" s="183"/>
      <c r="K216" s="192"/>
      <c r="L216" s="184"/>
      <c r="M216" s="192"/>
      <c r="N216" s="184"/>
      <c r="O216" s="183"/>
      <c r="P216" s="185"/>
      <c r="Q216" s="183"/>
      <c r="R216" s="185"/>
      <c r="S216" s="184"/>
      <c r="T216" s="183"/>
      <c r="U216" s="183"/>
      <c r="V216" s="183"/>
      <c r="W216" s="189"/>
      <c r="X216" s="183"/>
    </row>
    <row r="217" spans="2:24">
      <c r="B217" s="581">
        <f t="shared" ref="B217" si="25">B207+1</f>
        <v>45922</v>
      </c>
      <c r="C217" s="590" t="s">
        <v>209</v>
      </c>
      <c r="D217" s="209">
        <v>1</v>
      </c>
      <c r="E217" s="183"/>
      <c r="F217" s="184"/>
      <c r="G217" s="183"/>
      <c r="H217" s="183"/>
      <c r="I217" s="192"/>
      <c r="J217" s="183"/>
      <c r="K217" s="192"/>
      <c r="L217" s="184"/>
      <c r="M217" s="192"/>
      <c r="N217" s="184"/>
      <c r="O217" s="183"/>
      <c r="P217" s="185"/>
      <c r="Q217" s="183"/>
      <c r="R217" s="185"/>
      <c r="S217" s="184"/>
      <c r="T217" s="183"/>
      <c r="U217" s="183"/>
      <c r="V217" s="183"/>
      <c r="W217" s="189"/>
      <c r="X217" s="183"/>
    </row>
    <row r="218" spans="2:24">
      <c r="B218" s="582"/>
      <c r="C218" s="591"/>
      <c r="D218" s="209">
        <v>2</v>
      </c>
      <c r="E218" s="183"/>
      <c r="F218" s="184"/>
      <c r="G218" s="183"/>
      <c r="H218" s="183"/>
      <c r="I218" s="192"/>
      <c r="J218" s="183"/>
      <c r="K218" s="192"/>
      <c r="L218" s="184"/>
      <c r="M218" s="192"/>
      <c r="N218" s="184"/>
      <c r="O218" s="183"/>
      <c r="P218" s="185"/>
      <c r="Q218" s="183"/>
      <c r="R218" s="185"/>
      <c r="S218" s="184"/>
      <c r="T218" s="183"/>
      <c r="U218" s="183"/>
      <c r="V218" s="183"/>
      <c r="W218" s="189"/>
      <c r="X218" s="183"/>
    </row>
    <row r="219" spans="2:24">
      <c r="B219" s="582"/>
      <c r="C219" s="591"/>
      <c r="D219" s="209">
        <v>3</v>
      </c>
      <c r="E219" s="183"/>
      <c r="F219" s="184"/>
      <c r="G219" s="183"/>
      <c r="H219" s="183"/>
      <c r="I219" s="192"/>
      <c r="J219" s="183"/>
      <c r="K219" s="192"/>
      <c r="L219" s="184"/>
      <c r="M219" s="192"/>
      <c r="N219" s="184"/>
      <c r="O219" s="183"/>
      <c r="P219" s="185"/>
      <c r="Q219" s="183"/>
      <c r="R219" s="185"/>
      <c r="S219" s="184"/>
      <c r="T219" s="183"/>
      <c r="U219" s="183"/>
      <c r="V219" s="183"/>
      <c r="W219" s="189"/>
      <c r="X219" s="183"/>
    </row>
    <row r="220" spans="2:24">
      <c r="B220" s="582"/>
      <c r="C220" s="591"/>
      <c r="D220" s="209">
        <v>4</v>
      </c>
      <c r="E220" s="183"/>
      <c r="F220" s="184"/>
      <c r="G220" s="183"/>
      <c r="H220" s="183"/>
      <c r="I220" s="192"/>
      <c r="J220" s="183"/>
      <c r="K220" s="192"/>
      <c r="L220" s="184"/>
      <c r="M220" s="192"/>
      <c r="N220" s="184"/>
      <c r="O220" s="183"/>
      <c r="P220" s="185"/>
      <c r="Q220" s="183"/>
      <c r="R220" s="185"/>
      <c r="S220" s="184"/>
      <c r="T220" s="183"/>
      <c r="U220" s="183"/>
      <c r="V220" s="183"/>
      <c r="W220" s="189"/>
      <c r="X220" s="183"/>
    </row>
    <row r="221" spans="2:24">
      <c r="B221" s="582"/>
      <c r="C221" s="591"/>
      <c r="D221" s="209">
        <v>5</v>
      </c>
      <c r="E221" s="183"/>
      <c r="F221" s="184"/>
      <c r="G221" s="183"/>
      <c r="H221" s="183"/>
      <c r="I221" s="192"/>
      <c r="J221" s="183"/>
      <c r="K221" s="192"/>
      <c r="L221" s="184"/>
      <c r="M221" s="192"/>
      <c r="N221" s="184"/>
      <c r="O221" s="183"/>
      <c r="P221" s="185"/>
      <c r="Q221" s="183"/>
      <c r="R221" s="185"/>
      <c r="S221" s="184"/>
      <c r="T221" s="183"/>
      <c r="U221" s="183"/>
      <c r="V221" s="183"/>
      <c r="W221" s="189"/>
      <c r="X221" s="183"/>
    </row>
    <row r="222" spans="2:24">
      <c r="B222" s="582"/>
      <c r="C222" s="591"/>
      <c r="D222" s="209">
        <v>6</v>
      </c>
      <c r="E222" s="183"/>
      <c r="F222" s="184"/>
      <c r="G222" s="183"/>
      <c r="H222" s="183"/>
      <c r="I222" s="192"/>
      <c r="J222" s="183"/>
      <c r="K222" s="192"/>
      <c r="L222" s="184"/>
      <c r="M222" s="192"/>
      <c r="N222" s="184"/>
      <c r="O222" s="183"/>
      <c r="P222" s="185"/>
      <c r="Q222" s="183"/>
      <c r="R222" s="185"/>
      <c r="S222" s="184"/>
      <c r="T222" s="183"/>
      <c r="U222" s="183"/>
      <c r="V222" s="183"/>
      <c r="W222" s="189"/>
      <c r="X222" s="183"/>
    </row>
    <row r="223" spans="2:24">
      <c r="B223" s="582"/>
      <c r="C223" s="591"/>
      <c r="D223" s="209">
        <v>7</v>
      </c>
      <c r="E223" s="183"/>
      <c r="F223" s="184"/>
      <c r="G223" s="183"/>
      <c r="H223" s="183"/>
      <c r="I223" s="192"/>
      <c r="J223" s="183"/>
      <c r="K223" s="192"/>
      <c r="L223" s="184"/>
      <c r="M223" s="192"/>
      <c r="N223" s="184"/>
      <c r="O223" s="183"/>
      <c r="P223" s="185"/>
      <c r="Q223" s="183"/>
      <c r="R223" s="185"/>
      <c r="S223" s="184"/>
      <c r="T223" s="183"/>
      <c r="U223" s="183"/>
      <c r="V223" s="183"/>
      <c r="W223" s="189"/>
      <c r="X223" s="183"/>
    </row>
    <row r="224" spans="2:24">
      <c r="B224" s="582"/>
      <c r="C224" s="591"/>
      <c r="D224" s="209">
        <v>8</v>
      </c>
      <c r="E224" s="183"/>
      <c r="F224" s="184"/>
      <c r="G224" s="183"/>
      <c r="H224" s="183"/>
      <c r="I224" s="192"/>
      <c r="J224" s="183"/>
      <c r="K224" s="192"/>
      <c r="L224" s="184"/>
      <c r="M224" s="192"/>
      <c r="N224" s="184"/>
      <c r="O224" s="183"/>
      <c r="P224" s="185"/>
      <c r="Q224" s="183"/>
      <c r="R224" s="185"/>
      <c r="S224" s="184"/>
      <c r="T224" s="183"/>
      <c r="U224" s="183"/>
      <c r="V224" s="183"/>
      <c r="W224" s="189"/>
      <c r="X224" s="183"/>
    </row>
    <row r="225" spans="2:24">
      <c r="B225" s="582"/>
      <c r="C225" s="591"/>
      <c r="D225" s="209">
        <v>9</v>
      </c>
      <c r="E225" s="183"/>
      <c r="F225" s="184"/>
      <c r="G225" s="183"/>
      <c r="H225" s="183"/>
      <c r="I225" s="192"/>
      <c r="J225" s="183"/>
      <c r="K225" s="192"/>
      <c r="L225" s="184"/>
      <c r="M225" s="192"/>
      <c r="N225" s="184"/>
      <c r="O225" s="183"/>
      <c r="P225" s="185"/>
      <c r="Q225" s="183"/>
      <c r="R225" s="185"/>
      <c r="S225" s="184"/>
      <c r="T225" s="183"/>
      <c r="U225" s="183"/>
      <c r="V225" s="183"/>
      <c r="W225" s="189"/>
      <c r="X225" s="183"/>
    </row>
    <row r="226" spans="2:24">
      <c r="B226" s="583"/>
      <c r="C226" s="591"/>
      <c r="D226" s="209">
        <v>10</v>
      </c>
      <c r="E226" s="183"/>
      <c r="F226" s="184"/>
      <c r="G226" s="183"/>
      <c r="H226" s="183"/>
      <c r="I226" s="192"/>
      <c r="J226" s="183"/>
      <c r="K226" s="192"/>
      <c r="L226" s="184"/>
      <c r="M226" s="192"/>
      <c r="N226" s="184"/>
      <c r="O226" s="183"/>
      <c r="P226" s="185"/>
      <c r="Q226" s="183"/>
      <c r="R226" s="185"/>
      <c r="S226" s="184"/>
      <c r="T226" s="183"/>
      <c r="U226" s="183"/>
      <c r="V226" s="183"/>
      <c r="W226" s="189"/>
      <c r="X226" s="183"/>
    </row>
    <row r="227" spans="2:24">
      <c r="B227" s="581">
        <f t="shared" ref="B227" si="26">B217+1</f>
        <v>45923</v>
      </c>
      <c r="C227" s="590" t="s">
        <v>204</v>
      </c>
      <c r="D227" s="209">
        <v>1</v>
      </c>
      <c r="E227" s="183"/>
      <c r="F227" s="184"/>
      <c r="G227" s="183"/>
      <c r="H227" s="183"/>
      <c r="I227" s="192"/>
      <c r="J227" s="183"/>
      <c r="K227" s="192"/>
      <c r="L227" s="184"/>
      <c r="M227" s="192"/>
      <c r="N227" s="184"/>
      <c r="O227" s="183"/>
      <c r="P227" s="185"/>
      <c r="Q227" s="183"/>
      <c r="R227" s="185"/>
      <c r="S227" s="184"/>
      <c r="T227" s="183"/>
      <c r="U227" s="183"/>
      <c r="V227" s="183"/>
      <c r="W227" s="189"/>
      <c r="X227" s="183"/>
    </row>
    <row r="228" spans="2:24">
      <c r="B228" s="582"/>
      <c r="C228" s="591"/>
      <c r="D228" s="209">
        <v>2</v>
      </c>
      <c r="E228" s="183"/>
      <c r="F228" s="184"/>
      <c r="G228" s="183"/>
      <c r="H228" s="183"/>
      <c r="I228" s="192"/>
      <c r="J228" s="183"/>
      <c r="K228" s="192"/>
      <c r="L228" s="184"/>
      <c r="M228" s="192"/>
      <c r="N228" s="184"/>
      <c r="O228" s="183"/>
      <c r="P228" s="185"/>
      <c r="Q228" s="183"/>
      <c r="R228" s="185"/>
      <c r="S228" s="184"/>
      <c r="T228" s="183"/>
      <c r="U228" s="183"/>
      <c r="V228" s="183"/>
      <c r="W228" s="189"/>
      <c r="X228" s="183"/>
    </row>
    <row r="229" spans="2:24">
      <c r="B229" s="582"/>
      <c r="C229" s="591"/>
      <c r="D229" s="209">
        <v>3</v>
      </c>
      <c r="E229" s="183"/>
      <c r="F229" s="184"/>
      <c r="G229" s="183"/>
      <c r="H229" s="183"/>
      <c r="I229" s="192"/>
      <c r="J229" s="183"/>
      <c r="K229" s="192"/>
      <c r="L229" s="184"/>
      <c r="M229" s="192"/>
      <c r="N229" s="184"/>
      <c r="O229" s="183"/>
      <c r="P229" s="185"/>
      <c r="Q229" s="183"/>
      <c r="R229" s="185"/>
      <c r="S229" s="184"/>
      <c r="T229" s="183"/>
      <c r="U229" s="183"/>
      <c r="V229" s="183"/>
      <c r="W229" s="189"/>
      <c r="X229" s="183"/>
    </row>
    <row r="230" spans="2:24">
      <c r="B230" s="582"/>
      <c r="C230" s="591"/>
      <c r="D230" s="209">
        <v>4</v>
      </c>
      <c r="E230" s="183"/>
      <c r="F230" s="184"/>
      <c r="G230" s="183"/>
      <c r="H230" s="183"/>
      <c r="I230" s="192"/>
      <c r="J230" s="183"/>
      <c r="K230" s="192"/>
      <c r="L230" s="184"/>
      <c r="M230" s="192"/>
      <c r="N230" s="184"/>
      <c r="O230" s="183"/>
      <c r="P230" s="185"/>
      <c r="Q230" s="183"/>
      <c r="R230" s="185"/>
      <c r="S230" s="184"/>
      <c r="T230" s="183"/>
      <c r="U230" s="183"/>
      <c r="V230" s="183"/>
      <c r="W230" s="189"/>
      <c r="X230" s="183"/>
    </row>
    <row r="231" spans="2:24">
      <c r="B231" s="582"/>
      <c r="C231" s="591"/>
      <c r="D231" s="209">
        <v>5</v>
      </c>
      <c r="E231" s="183"/>
      <c r="F231" s="184"/>
      <c r="G231" s="183"/>
      <c r="H231" s="183"/>
      <c r="I231" s="192"/>
      <c r="J231" s="183"/>
      <c r="K231" s="192"/>
      <c r="L231" s="184"/>
      <c r="M231" s="192"/>
      <c r="N231" s="184"/>
      <c r="O231" s="183"/>
      <c r="P231" s="185"/>
      <c r="Q231" s="183"/>
      <c r="R231" s="185"/>
      <c r="S231" s="184"/>
      <c r="T231" s="183"/>
      <c r="U231" s="183"/>
      <c r="V231" s="183"/>
      <c r="W231" s="189"/>
      <c r="X231" s="183"/>
    </row>
    <row r="232" spans="2:24">
      <c r="B232" s="582"/>
      <c r="C232" s="591"/>
      <c r="D232" s="209">
        <v>6</v>
      </c>
      <c r="E232" s="183"/>
      <c r="F232" s="184"/>
      <c r="G232" s="183"/>
      <c r="H232" s="183"/>
      <c r="I232" s="192"/>
      <c r="J232" s="183"/>
      <c r="K232" s="192"/>
      <c r="L232" s="184"/>
      <c r="M232" s="192"/>
      <c r="N232" s="184"/>
      <c r="O232" s="183"/>
      <c r="P232" s="185"/>
      <c r="Q232" s="183"/>
      <c r="R232" s="185"/>
      <c r="S232" s="184"/>
      <c r="T232" s="183"/>
      <c r="U232" s="183"/>
      <c r="V232" s="183"/>
      <c r="W232" s="189"/>
      <c r="X232" s="183"/>
    </row>
    <row r="233" spans="2:24">
      <c r="B233" s="582"/>
      <c r="C233" s="591"/>
      <c r="D233" s="209">
        <v>7</v>
      </c>
      <c r="E233" s="183"/>
      <c r="F233" s="184"/>
      <c r="G233" s="183"/>
      <c r="H233" s="183"/>
      <c r="I233" s="192"/>
      <c r="J233" s="183"/>
      <c r="K233" s="192"/>
      <c r="L233" s="184"/>
      <c r="M233" s="192"/>
      <c r="N233" s="184"/>
      <c r="O233" s="183"/>
      <c r="P233" s="185"/>
      <c r="Q233" s="183"/>
      <c r="R233" s="185"/>
      <c r="S233" s="184"/>
      <c r="T233" s="183"/>
      <c r="U233" s="183"/>
      <c r="V233" s="183"/>
      <c r="W233" s="189"/>
      <c r="X233" s="183"/>
    </row>
    <row r="234" spans="2:24">
      <c r="B234" s="582"/>
      <c r="C234" s="591"/>
      <c r="D234" s="209">
        <v>8</v>
      </c>
      <c r="E234" s="183"/>
      <c r="F234" s="184"/>
      <c r="G234" s="183"/>
      <c r="H234" s="183"/>
      <c r="I234" s="192"/>
      <c r="J234" s="183"/>
      <c r="K234" s="192"/>
      <c r="L234" s="184"/>
      <c r="M234" s="192"/>
      <c r="N234" s="184"/>
      <c r="O234" s="183"/>
      <c r="P234" s="185"/>
      <c r="Q234" s="183"/>
      <c r="R234" s="185"/>
      <c r="S234" s="184"/>
      <c r="T234" s="183"/>
      <c r="U234" s="183"/>
      <c r="V234" s="183"/>
      <c r="W234" s="189"/>
      <c r="X234" s="183"/>
    </row>
    <row r="235" spans="2:24">
      <c r="B235" s="582"/>
      <c r="C235" s="591"/>
      <c r="D235" s="209">
        <v>9</v>
      </c>
      <c r="E235" s="183"/>
      <c r="F235" s="184"/>
      <c r="G235" s="183"/>
      <c r="H235" s="183"/>
      <c r="I235" s="192"/>
      <c r="J235" s="183"/>
      <c r="K235" s="192"/>
      <c r="L235" s="184"/>
      <c r="M235" s="192"/>
      <c r="N235" s="184"/>
      <c r="O235" s="183"/>
      <c r="P235" s="185"/>
      <c r="Q235" s="183"/>
      <c r="R235" s="185"/>
      <c r="S235" s="184"/>
      <c r="T235" s="183"/>
      <c r="U235" s="183"/>
      <c r="V235" s="183"/>
      <c r="W235" s="189"/>
      <c r="X235" s="183"/>
    </row>
    <row r="236" spans="2:24">
      <c r="B236" s="583"/>
      <c r="C236" s="591"/>
      <c r="D236" s="209">
        <v>10</v>
      </c>
      <c r="E236" s="183"/>
      <c r="F236" s="184"/>
      <c r="G236" s="183"/>
      <c r="H236" s="183"/>
      <c r="I236" s="192"/>
      <c r="J236" s="183"/>
      <c r="K236" s="192"/>
      <c r="L236" s="184"/>
      <c r="M236" s="192"/>
      <c r="N236" s="184"/>
      <c r="O236" s="183"/>
      <c r="P236" s="185"/>
      <c r="Q236" s="183"/>
      <c r="R236" s="185"/>
      <c r="S236" s="184"/>
      <c r="T236" s="183"/>
      <c r="U236" s="183"/>
      <c r="V236" s="183"/>
      <c r="W236" s="189"/>
      <c r="X236" s="183"/>
    </row>
    <row r="237" spans="2:24">
      <c r="B237" s="581">
        <f t="shared" ref="B237" si="27">B227+1</f>
        <v>45924</v>
      </c>
      <c r="C237" s="590" t="s">
        <v>205</v>
      </c>
      <c r="D237" s="209">
        <v>1</v>
      </c>
      <c r="E237" s="183"/>
      <c r="F237" s="184"/>
      <c r="G237" s="183"/>
      <c r="H237" s="183"/>
      <c r="I237" s="192"/>
      <c r="J237" s="183"/>
      <c r="K237" s="192"/>
      <c r="L237" s="184"/>
      <c r="M237" s="192"/>
      <c r="N237" s="184"/>
      <c r="O237" s="183"/>
      <c r="P237" s="185"/>
      <c r="Q237" s="183"/>
      <c r="R237" s="185"/>
      <c r="S237" s="184"/>
      <c r="T237" s="183"/>
      <c r="U237" s="183"/>
      <c r="V237" s="183"/>
      <c r="W237" s="189"/>
      <c r="X237" s="183"/>
    </row>
    <row r="238" spans="2:24">
      <c r="B238" s="582"/>
      <c r="C238" s="591"/>
      <c r="D238" s="209">
        <v>2</v>
      </c>
      <c r="E238" s="183"/>
      <c r="F238" s="184"/>
      <c r="G238" s="183"/>
      <c r="H238" s="183"/>
      <c r="I238" s="192"/>
      <c r="J238" s="183"/>
      <c r="K238" s="192"/>
      <c r="L238" s="184"/>
      <c r="M238" s="192"/>
      <c r="N238" s="184"/>
      <c r="O238" s="183"/>
      <c r="P238" s="185"/>
      <c r="Q238" s="183"/>
      <c r="R238" s="185"/>
      <c r="S238" s="184"/>
      <c r="T238" s="183"/>
      <c r="U238" s="183"/>
      <c r="V238" s="183"/>
      <c r="W238" s="189"/>
      <c r="X238" s="183"/>
    </row>
    <row r="239" spans="2:24">
      <c r="B239" s="582"/>
      <c r="C239" s="591"/>
      <c r="D239" s="209">
        <v>3</v>
      </c>
      <c r="E239" s="183"/>
      <c r="F239" s="184"/>
      <c r="G239" s="183"/>
      <c r="H239" s="183"/>
      <c r="I239" s="192"/>
      <c r="J239" s="183"/>
      <c r="K239" s="192"/>
      <c r="L239" s="184"/>
      <c r="M239" s="192"/>
      <c r="N239" s="184"/>
      <c r="O239" s="183"/>
      <c r="P239" s="185"/>
      <c r="Q239" s="183"/>
      <c r="R239" s="185"/>
      <c r="S239" s="184"/>
      <c r="T239" s="183"/>
      <c r="U239" s="183"/>
      <c r="V239" s="183"/>
      <c r="W239" s="189"/>
      <c r="X239" s="183"/>
    </row>
    <row r="240" spans="2:24">
      <c r="B240" s="582"/>
      <c r="C240" s="591"/>
      <c r="D240" s="209">
        <v>4</v>
      </c>
      <c r="E240" s="183"/>
      <c r="F240" s="184"/>
      <c r="G240" s="183"/>
      <c r="H240" s="183"/>
      <c r="I240" s="192"/>
      <c r="J240" s="183"/>
      <c r="K240" s="192"/>
      <c r="L240" s="184"/>
      <c r="M240" s="192"/>
      <c r="N240" s="184"/>
      <c r="O240" s="183"/>
      <c r="P240" s="185"/>
      <c r="Q240" s="183"/>
      <c r="R240" s="185"/>
      <c r="S240" s="184"/>
      <c r="T240" s="183"/>
      <c r="U240" s="183"/>
      <c r="V240" s="183"/>
      <c r="W240" s="189"/>
      <c r="X240" s="183"/>
    </row>
    <row r="241" spans="2:24">
      <c r="B241" s="582"/>
      <c r="C241" s="591"/>
      <c r="D241" s="209">
        <v>5</v>
      </c>
      <c r="E241" s="183"/>
      <c r="F241" s="184"/>
      <c r="G241" s="183"/>
      <c r="H241" s="183"/>
      <c r="I241" s="192"/>
      <c r="J241" s="183"/>
      <c r="K241" s="192"/>
      <c r="L241" s="184"/>
      <c r="M241" s="192"/>
      <c r="N241" s="184"/>
      <c r="O241" s="183"/>
      <c r="P241" s="185"/>
      <c r="Q241" s="183"/>
      <c r="R241" s="185"/>
      <c r="S241" s="184"/>
      <c r="T241" s="183"/>
      <c r="U241" s="183"/>
      <c r="V241" s="183"/>
      <c r="W241" s="189"/>
      <c r="X241" s="183"/>
    </row>
    <row r="242" spans="2:24">
      <c r="B242" s="582"/>
      <c r="C242" s="591"/>
      <c r="D242" s="209">
        <v>6</v>
      </c>
      <c r="E242" s="183"/>
      <c r="F242" s="184"/>
      <c r="G242" s="183"/>
      <c r="H242" s="183"/>
      <c r="I242" s="192"/>
      <c r="J242" s="183"/>
      <c r="K242" s="192"/>
      <c r="L242" s="184"/>
      <c r="M242" s="192"/>
      <c r="N242" s="184"/>
      <c r="O242" s="183"/>
      <c r="P242" s="185"/>
      <c r="Q242" s="183"/>
      <c r="R242" s="185"/>
      <c r="S242" s="184"/>
      <c r="T242" s="183"/>
      <c r="U242" s="183"/>
      <c r="V242" s="183"/>
      <c r="W242" s="189"/>
      <c r="X242" s="183"/>
    </row>
    <row r="243" spans="2:24">
      <c r="B243" s="582"/>
      <c r="C243" s="591"/>
      <c r="D243" s="209">
        <v>7</v>
      </c>
      <c r="E243" s="183"/>
      <c r="F243" s="184"/>
      <c r="G243" s="183"/>
      <c r="H243" s="183"/>
      <c r="I243" s="192"/>
      <c r="J243" s="183"/>
      <c r="K243" s="192"/>
      <c r="L243" s="184"/>
      <c r="M243" s="192"/>
      <c r="N243" s="184"/>
      <c r="O243" s="183"/>
      <c r="P243" s="185"/>
      <c r="Q243" s="183"/>
      <c r="R243" s="185"/>
      <c r="S243" s="184"/>
      <c r="T243" s="183"/>
      <c r="U243" s="183"/>
      <c r="V243" s="183"/>
      <c r="W243" s="189"/>
      <c r="X243" s="183"/>
    </row>
    <row r="244" spans="2:24">
      <c r="B244" s="582"/>
      <c r="C244" s="591"/>
      <c r="D244" s="209">
        <v>8</v>
      </c>
      <c r="E244" s="183"/>
      <c r="F244" s="184"/>
      <c r="G244" s="183"/>
      <c r="H244" s="183"/>
      <c r="I244" s="192"/>
      <c r="J244" s="183"/>
      <c r="K244" s="192"/>
      <c r="L244" s="184"/>
      <c r="M244" s="192"/>
      <c r="N244" s="184"/>
      <c r="O244" s="183"/>
      <c r="P244" s="185"/>
      <c r="Q244" s="183"/>
      <c r="R244" s="185"/>
      <c r="S244" s="184"/>
      <c r="T244" s="183"/>
      <c r="U244" s="183"/>
      <c r="V244" s="183"/>
      <c r="W244" s="189"/>
      <c r="X244" s="183"/>
    </row>
    <row r="245" spans="2:24">
      <c r="B245" s="582"/>
      <c r="C245" s="591"/>
      <c r="D245" s="209">
        <v>9</v>
      </c>
      <c r="E245" s="183"/>
      <c r="F245" s="184"/>
      <c r="G245" s="183"/>
      <c r="H245" s="183"/>
      <c r="I245" s="192"/>
      <c r="J245" s="183"/>
      <c r="K245" s="192"/>
      <c r="L245" s="184"/>
      <c r="M245" s="192"/>
      <c r="N245" s="184"/>
      <c r="O245" s="183"/>
      <c r="P245" s="185"/>
      <c r="Q245" s="183"/>
      <c r="R245" s="185"/>
      <c r="S245" s="184"/>
      <c r="T245" s="183"/>
      <c r="U245" s="183"/>
      <c r="V245" s="183"/>
      <c r="W245" s="189"/>
      <c r="X245" s="183"/>
    </row>
    <row r="246" spans="2:24">
      <c r="B246" s="583"/>
      <c r="C246" s="591"/>
      <c r="D246" s="209">
        <v>10</v>
      </c>
      <c r="E246" s="183"/>
      <c r="F246" s="184"/>
      <c r="G246" s="183"/>
      <c r="H246" s="183"/>
      <c r="I246" s="192"/>
      <c r="J246" s="183"/>
      <c r="K246" s="192"/>
      <c r="L246" s="184"/>
      <c r="M246" s="192"/>
      <c r="N246" s="184"/>
      <c r="O246" s="183"/>
      <c r="P246" s="185"/>
      <c r="Q246" s="183"/>
      <c r="R246" s="185"/>
      <c r="S246" s="184"/>
      <c r="T246" s="183"/>
      <c r="U246" s="183"/>
      <c r="V246" s="183"/>
      <c r="W246" s="189"/>
      <c r="X246" s="183"/>
    </row>
    <row r="247" spans="2:24">
      <c r="B247" s="581">
        <f t="shared" ref="B247" si="28">B237+1</f>
        <v>45925</v>
      </c>
      <c r="C247" s="590" t="s">
        <v>206</v>
      </c>
      <c r="D247" s="209">
        <v>1</v>
      </c>
      <c r="E247" s="183"/>
      <c r="F247" s="184"/>
      <c r="G247" s="183"/>
      <c r="H247" s="183"/>
      <c r="I247" s="192"/>
      <c r="J247" s="183"/>
      <c r="K247" s="192"/>
      <c r="L247" s="184"/>
      <c r="M247" s="192"/>
      <c r="N247" s="184"/>
      <c r="O247" s="183"/>
      <c r="P247" s="185"/>
      <c r="Q247" s="183"/>
      <c r="R247" s="185"/>
      <c r="S247" s="184"/>
      <c r="T247" s="183"/>
      <c r="U247" s="183"/>
      <c r="V247" s="183"/>
      <c r="W247" s="189"/>
      <c r="X247" s="183"/>
    </row>
    <row r="248" spans="2:24">
      <c r="B248" s="582"/>
      <c r="C248" s="591"/>
      <c r="D248" s="209">
        <v>2</v>
      </c>
      <c r="E248" s="183"/>
      <c r="F248" s="184"/>
      <c r="G248" s="183"/>
      <c r="H248" s="183"/>
      <c r="I248" s="192"/>
      <c r="J248" s="183"/>
      <c r="K248" s="192"/>
      <c r="L248" s="184"/>
      <c r="M248" s="192"/>
      <c r="N248" s="184"/>
      <c r="O248" s="183"/>
      <c r="P248" s="185"/>
      <c r="Q248" s="183"/>
      <c r="R248" s="185"/>
      <c r="S248" s="184"/>
      <c r="T248" s="183"/>
      <c r="U248" s="183"/>
      <c r="V248" s="183"/>
      <c r="W248" s="189"/>
      <c r="X248" s="183"/>
    </row>
    <row r="249" spans="2:24">
      <c r="B249" s="582"/>
      <c r="C249" s="591"/>
      <c r="D249" s="209">
        <v>3</v>
      </c>
      <c r="E249" s="183"/>
      <c r="F249" s="184"/>
      <c r="G249" s="183"/>
      <c r="H249" s="183"/>
      <c r="I249" s="192"/>
      <c r="J249" s="183"/>
      <c r="K249" s="192"/>
      <c r="L249" s="184"/>
      <c r="M249" s="192"/>
      <c r="N249" s="184"/>
      <c r="O249" s="183"/>
      <c r="P249" s="185"/>
      <c r="Q249" s="183"/>
      <c r="R249" s="185"/>
      <c r="S249" s="184"/>
      <c r="T249" s="183"/>
      <c r="U249" s="183"/>
      <c r="V249" s="183"/>
      <c r="W249" s="189"/>
      <c r="X249" s="183"/>
    </row>
    <row r="250" spans="2:24">
      <c r="B250" s="582"/>
      <c r="C250" s="591"/>
      <c r="D250" s="209">
        <v>4</v>
      </c>
      <c r="E250" s="183"/>
      <c r="F250" s="184"/>
      <c r="G250" s="183"/>
      <c r="H250" s="183"/>
      <c r="I250" s="192"/>
      <c r="J250" s="183"/>
      <c r="K250" s="192"/>
      <c r="L250" s="184"/>
      <c r="M250" s="192"/>
      <c r="N250" s="184"/>
      <c r="O250" s="183"/>
      <c r="P250" s="185"/>
      <c r="Q250" s="183"/>
      <c r="R250" s="185"/>
      <c r="S250" s="184"/>
      <c r="T250" s="183"/>
      <c r="U250" s="183"/>
      <c r="V250" s="183"/>
      <c r="W250" s="189"/>
      <c r="X250" s="183"/>
    </row>
    <row r="251" spans="2:24">
      <c r="B251" s="582"/>
      <c r="C251" s="591"/>
      <c r="D251" s="209">
        <v>5</v>
      </c>
      <c r="E251" s="183"/>
      <c r="F251" s="184"/>
      <c r="G251" s="183"/>
      <c r="H251" s="183"/>
      <c r="I251" s="192"/>
      <c r="J251" s="183"/>
      <c r="K251" s="192"/>
      <c r="L251" s="184"/>
      <c r="M251" s="192"/>
      <c r="N251" s="184"/>
      <c r="O251" s="183"/>
      <c r="P251" s="185"/>
      <c r="Q251" s="183"/>
      <c r="R251" s="185"/>
      <c r="S251" s="184"/>
      <c r="T251" s="183"/>
      <c r="U251" s="183"/>
      <c r="V251" s="183"/>
      <c r="W251" s="189"/>
      <c r="X251" s="183"/>
    </row>
    <row r="252" spans="2:24">
      <c r="B252" s="582"/>
      <c r="C252" s="591"/>
      <c r="D252" s="209">
        <v>6</v>
      </c>
      <c r="E252" s="183"/>
      <c r="F252" s="184"/>
      <c r="G252" s="183"/>
      <c r="H252" s="183"/>
      <c r="I252" s="192"/>
      <c r="J252" s="183"/>
      <c r="K252" s="192"/>
      <c r="L252" s="184"/>
      <c r="M252" s="192"/>
      <c r="N252" s="184"/>
      <c r="O252" s="183"/>
      <c r="P252" s="185"/>
      <c r="Q252" s="183"/>
      <c r="R252" s="185"/>
      <c r="S252" s="184"/>
      <c r="T252" s="183"/>
      <c r="U252" s="183"/>
      <c r="V252" s="183"/>
      <c r="W252" s="189"/>
      <c r="X252" s="183"/>
    </row>
    <row r="253" spans="2:24">
      <c r="B253" s="582"/>
      <c r="C253" s="591"/>
      <c r="D253" s="209">
        <v>7</v>
      </c>
      <c r="E253" s="183"/>
      <c r="F253" s="184"/>
      <c r="G253" s="183"/>
      <c r="H253" s="183"/>
      <c r="I253" s="192"/>
      <c r="J253" s="183"/>
      <c r="K253" s="192"/>
      <c r="L253" s="184"/>
      <c r="M253" s="192"/>
      <c r="N253" s="184"/>
      <c r="O253" s="183"/>
      <c r="P253" s="185"/>
      <c r="Q253" s="183"/>
      <c r="R253" s="185"/>
      <c r="S253" s="184"/>
      <c r="T253" s="183"/>
      <c r="U253" s="183"/>
      <c r="V253" s="183"/>
      <c r="W253" s="189"/>
      <c r="X253" s="183"/>
    </row>
    <row r="254" spans="2:24">
      <c r="B254" s="582"/>
      <c r="C254" s="591"/>
      <c r="D254" s="209">
        <v>8</v>
      </c>
      <c r="E254" s="183"/>
      <c r="F254" s="184"/>
      <c r="G254" s="183"/>
      <c r="H254" s="183"/>
      <c r="I254" s="192"/>
      <c r="J254" s="183"/>
      <c r="K254" s="192"/>
      <c r="L254" s="184"/>
      <c r="M254" s="192"/>
      <c r="N254" s="184"/>
      <c r="O254" s="183"/>
      <c r="P254" s="185"/>
      <c r="Q254" s="183"/>
      <c r="R254" s="185"/>
      <c r="S254" s="184"/>
      <c r="T254" s="183"/>
      <c r="U254" s="183"/>
      <c r="V254" s="183"/>
      <c r="W254" s="189"/>
      <c r="X254" s="183"/>
    </row>
    <row r="255" spans="2:24">
      <c r="B255" s="582"/>
      <c r="C255" s="591"/>
      <c r="D255" s="209">
        <v>9</v>
      </c>
      <c r="E255" s="183"/>
      <c r="F255" s="184"/>
      <c r="G255" s="183"/>
      <c r="H255" s="183"/>
      <c r="I255" s="192"/>
      <c r="J255" s="183"/>
      <c r="K255" s="192"/>
      <c r="L255" s="184"/>
      <c r="M255" s="192"/>
      <c r="N255" s="184"/>
      <c r="O255" s="183"/>
      <c r="P255" s="185"/>
      <c r="Q255" s="183"/>
      <c r="R255" s="185"/>
      <c r="S255" s="184"/>
      <c r="T255" s="183"/>
      <c r="U255" s="183"/>
      <c r="V255" s="183"/>
      <c r="W255" s="189"/>
      <c r="X255" s="183"/>
    </row>
    <row r="256" spans="2:24">
      <c r="B256" s="583"/>
      <c r="C256" s="591"/>
      <c r="D256" s="209">
        <v>10</v>
      </c>
      <c r="E256" s="183"/>
      <c r="F256" s="184"/>
      <c r="G256" s="183"/>
      <c r="H256" s="183"/>
      <c r="I256" s="192"/>
      <c r="J256" s="183"/>
      <c r="K256" s="192"/>
      <c r="L256" s="184"/>
      <c r="M256" s="192"/>
      <c r="N256" s="184"/>
      <c r="O256" s="183"/>
      <c r="P256" s="185"/>
      <c r="Q256" s="183"/>
      <c r="R256" s="185"/>
      <c r="S256" s="184"/>
      <c r="T256" s="183"/>
      <c r="U256" s="183"/>
      <c r="V256" s="183"/>
      <c r="W256" s="189"/>
      <c r="X256" s="183"/>
    </row>
    <row r="257" spans="2:24">
      <c r="B257" s="581">
        <f t="shared" ref="B257" si="29">B247+1</f>
        <v>45926</v>
      </c>
      <c r="C257" s="590" t="s">
        <v>207</v>
      </c>
      <c r="D257" s="209">
        <v>1</v>
      </c>
      <c r="E257" s="183"/>
      <c r="F257" s="184"/>
      <c r="G257" s="183"/>
      <c r="H257" s="183"/>
      <c r="I257" s="192"/>
      <c r="J257" s="183"/>
      <c r="K257" s="192"/>
      <c r="L257" s="184"/>
      <c r="M257" s="192"/>
      <c r="N257" s="184"/>
      <c r="O257" s="183"/>
      <c r="P257" s="185"/>
      <c r="Q257" s="183"/>
      <c r="R257" s="185"/>
      <c r="S257" s="184"/>
      <c r="T257" s="183"/>
      <c r="U257" s="183"/>
      <c r="V257" s="183"/>
      <c r="W257" s="189"/>
      <c r="X257" s="183"/>
    </row>
    <row r="258" spans="2:24">
      <c r="B258" s="582"/>
      <c r="C258" s="591"/>
      <c r="D258" s="209">
        <v>2</v>
      </c>
      <c r="E258" s="183"/>
      <c r="F258" s="184"/>
      <c r="G258" s="183"/>
      <c r="H258" s="183"/>
      <c r="I258" s="192"/>
      <c r="J258" s="183"/>
      <c r="K258" s="192"/>
      <c r="L258" s="184"/>
      <c r="M258" s="192"/>
      <c r="N258" s="184"/>
      <c r="O258" s="183"/>
      <c r="P258" s="185"/>
      <c r="Q258" s="183"/>
      <c r="R258" s="185"/>
      <c r="S258" s="184"/>
      <c r="T258" s="183"/>
      <c r="U258" s="183"/>
      <c r="V258" s="183"/>
      <c r="W258" s="189"/>
      <c r="X258" s="183"/>
    </row>
    <row r="259" spans="2:24">
      <c r="B259" s="582"/>
      <c r="C259" s="591"/>
      <c r="D259" s="209">
        <v>3</v>
      </c>
      <c r="E259" s="183"/>
      <c r="F259" s="184"/>
      <c r="G259" s="183"/>
      <c r="H259" s="183"/>
      <c r="I259" s="192"/>
      <c r="J259" s="183"/>
      <c r="K259" s="192"/>
      <c r="L259" s="184"/>
      <c r="M259" s="192"/>
      <c r="N259" s="184"/>
      <c r="O259" s="183"/>
      <c r="P259" s="185"/>
      <c r="Q259" s="183"/>
      <c r="R259" s="185"/>
      <c r="S259" s="184"/>
      <c r="T259" s="183"/>
      <c r="U259" s="183"/>
      <c r="V259" s="183"/>
      <c r="W259" s="189"/>
      <c r="X259" s="183"/>
    </row>
    <row r="260" spans="2:24">
      <c r="B260" s="582"/>
      <c r="C260" s="591"/>
      <c r="D260" s="209">
        <v>4</v>
      </c>
      <c r="E260" s="183"/>
      <c r="F260" s="184"/>
      <c r="G260" s="183"/>
      <c r="H260" s="183"/>
      <c r="I260" s="192"/>
      <c r="J260" s="183"/>
      <c r="K260" s="192"/>
      <c r="L260" s="184"/>
      <c r="M260" s="192"/>
      <c r="N260" s="184"/>
      <c r="O260" s="183"/>
      <c r="P260" s="185"/>
      <c r="Q260" s="183"/>
      <c r="R260" s="185"/>
      <c r="S260" s="184"/>
      <c r="T260" s="183"/>
      <c r="U260" s="183"/>
      <c r="V260" s="183"/>
      <c r="W260" s="189"/>
      <c r="X260" s="183"/>
    </row>
    <row r="261" spans="2:24">
      <c r="B261" s="582"/>
      <c r="C261" s="591"/>
      <c r="D261" s="209">
        <v>5</v>
      </c>
      <c r="E261" s="183"/>
      <c r="F261" s="184"/>
      <c r="G261" s="183"/>
      <c r="H261" s="183"/>
      <c r="I261" s="192"/>
      <c r="J261" s="183"/>
      <c r="K261" s="192"/>
      <c r="L261" s="184"/>
      <c r="M261" s="192"/>
      <c r="N261" s="184"/>
      <c r="O261" s="183"/>
      <c r="P261" s="185"/>
      <c r="Q261" s="183"/>
      <c r="R261" s="185"/>
      <c r="S261" s="184"/>
      <c r="T261" s="183"/>
      <c r="U261" s="183"/>
      <c r="V261" s="183"/>
      <c r="W261" s="189"/>
      <c r="X261" s="183"/>
    </row>
    <row r="262" spans="2:24">
      <c r="B262" s="582"/>
      <c r="C262" s="591"/>
      <c r="D262" s="209">
        <v>6</v>
      </c>
      <c r="E262" s="183"/>
      <c r="F262" s="184"/>
      <c r="G262" s="183"/>
      <c r="H262" s="183"/>
      <c r="I262" s="192"/>
      <c r="J262" s="183"/>
      <c r="K262" s="192"/>
      <c r="L262" s="184"/>
      <c r="M262" s="192"/>
      <c r="N262" s="184"/>
      <c r="O262" s="183"/>
      <c r="P262" s="185"/>
      <c r="Q262" s="183"/>
      <c r="R262" s="185"/>
      <c r="S262" s="184"/>
      <c r="T262" s="183"/>
      <c r="U262" s="183"/>
      <c r="V262" s="183"/>
      <c r="W262" s="189"/>
      <c r="X262" s="183"/>
    </row>
    <row r="263" spans="2:24">
      <c r="B263" s="582"/>
      <c r="C263" s="591"/>
      <c r="D263" s="209">
        <v>7</v>
      </c>
      <c r="E263" s="183"/>
      <c r="F263" s="184"/>
      <c r="G263" s="183"/>
      <c r="H263" s="183"/>
      <c r="I263" s="192"/>
      <c r="J263" s="183"/>
      <c r="K263" s="192"/>
      <c r="L263" s="184"/>
      <c r="M263" s="192"/>
      <c r="N263" s="184"/>
      <c r="O263" s="183"/>
      <c r="P263" s="185"/>
      <c r="Q263" s="183"/>
      <c r="R263" s="185"/>
      <c r="S263" s="184"/>
      <c r="T263" s="183"/>
      <c r="U263" s="183"/>
      <c r="V263" s="183"/>
      <c r="W263" s="189"/>
      <c r="X263" s="183"/>
    </row>
    <row r="264" spans="2:24">
      <c r="B264" s="582"/>
      <c r="C264" s="591"/>
      <c r="D264" s="209">
        <v>8</v>
      </c>
      <c r="E264" s="183"/>
      <c r="F264" s="184"/>
      <c r="G264" s="183"/>
      <c r="H264" s="183"/>
      <c r="I264" s="192"/>
      <c r="J264" s="183"/>
      <c r="K264" s="192"/>
      <c r="L264" s="184"/>
      <c r="M264" s="192"/>
      <c r="N264" s="184"/>
      <c r="O264" s="183"/>
      <c r="P264" s="185"/>
      <c r="Q264" s="183"/>
      <c r="R264" s="185"/>
      <c r="S264" s="184"/>
      <c r="T264" s="183"/>
      <c r="U264" s="183"/>
      <c r="V264" s="183"/>
      <c r="W264" s="189"/>
      <c r="X264" s="183"/>
    </row>
    <row r="265" spans="2:24">
      <c r="B265" s="582"/>
      <c r="C265" s="591"/>
      <c r="D265" s="209">
        <v>9</v>
      </c>
      <c r="E265" s="183"/>
      <c r="F265" s="184"/>
      <c r="G265" s="183"/>
      <c r="H265" s="183"/>
      <c r="I265" s="192"/>
      <c r="J265" s="183"/>
      <c r="K265" s="192"/>
      <c r="L265" s="184"/>
      <c r="M265" s="192"/>
      <c r="N265" s="184"/>
      <c r="O265" s="183"/>
      <c r="P265" s="185"/>
      <c r="Q265" s="183"/>
      <c r="R265" s="185"/>
      <c r="S265" s="184"/>
      <c r="T265" s="183"/>
      <c r="U265" s="183"/>
      <c r="V265" s="183"/>
      <c r="W265" s="189"/>
      <c r="X265" s="183"/>
    </row>
    <row r="266" spans="2:24">
      <c r="B266" s="583"/>
      <c r="C266" s="591"/>
      <c r="D266" s="209">
        <v>10</v>
      </c>
      <c r="E266" s="183"/>
      <c r="F266" s="184"/>
      <c r="G266" s="183"/>
      <c r="H266" s="183"/>
      <c r="I266" s="192"/>
      <c r="J266" s="183"/>
      <c r="K266" s="192"/>
      <c r="L266" s="184"/>
      <c r="M266" s="192"/>
      <c r="N266" s="184"/>
      <c r="O266" s="183"/>
      <c r="P266" s="185"/>
      <c r="Q266" s="183"/>
      <c r="R266" s="185"/>
      <c r="S266" s="184"/>
      <c r="T266" s="183"/>
      <c r="U266" s="183"/>
      <c r="V266" s="183"/>
      <c r="W266" s="189"/>
      <c r="X266" s="183"/>
    </row>
    <row r="267" spans="2:24">
      <c r="B267" s="581">
        <f t="shared" ref="B267" si="30">B257+1</f>
        <v>45927</v>
      </c>
      <c r="C267" s="590" t="s">
        <v>208</v>
      </c>
      <c r="D267" s="209">
        <v>1</v>
      </c>
      <c r="E267" s="183"/>
      <c r="F267" s="184"/>
      <c r="G267" s="183"/>
      <c r="H267" s="183"/>
      <c r="I267" s="192"/>
      <c r="J267" s="183"/>
      <c r="K267" s="192"/>
      <c r="L267" s="184"/>
      <c r="M267" s="192"/>
      <c r="N267" s="184"/>
      <c r="O267" s="183"/>
      <c r="P267" s="185"/>
      <c r="Q267" s="183"/>
      <c r="R267" s="185"/>
      <c r="S267" s="184"/>
      <c r="T267" s="183"/>
      <c r="U267" s="183"/>
      <c r="V267" s="183"/>
      <c r="W267" s="189"/>
      <c r="X267" s="183"/>
    </row>
    <row r="268" spans="2:24">
      <c r="B268" s="582"/>
      <c r="C268" s="591"/>
      <c r="D268" s="209">
        <v>2</v>
      </c>
      <c r="E268" s="183"/>
      <c r="F268" s="184"/>
      <c r="G268" s="183"/>
      <c r="H268" s="183"/>
      <c r="I268" s="192"/>
      <c r="J268" s="183"/>
      <c r="K268" s="192"/>
      <c r="L268" s="184"/>
      <c r="M268" s="192"/>
      <c r="N268" s="184"/>
      <c r="O268" s="183"/>
      <c r="P268" s="185"/>
      <c r="Q268" s="183"/>
      <c r="R268" s="185"/>
      <c r="S268" s="184"/>
      <c r="T268" s="183"/>
      <c r="U268" s="183"/>
      <c r="V268" s="183"/>
      <c r="W268" s="189"/>
      <c r="X268" s="183"/>
    </row>
    <row r="269" spans="2:24">
      <c r="B269" s="582"/>
      <c r="C269" s="591"/>
      <c r="D269" s="209">
        <v>3</v>
      </c>
      <c r="E269" s="183"/>
      <c r="F269" s="184"/>
      <c r="G269" s="183"/>
      <c r="H269" s="183"/>
      <c r="I269" s="192"/>
      <c r="J269" s="183"/>
      <c r="K269" s="192"/>
      <c r="L269" s="184"/>
      <c r="M269" s="192"/>
      <c r="N269" s="184"/>
      <c r="O269" s="183"/>
      <c r="P269" s="185"/>
      <c r="Q269" s="183"/>
      <c r="R269" s="185"/>
      <c r="S269" s="184"/>
      <c r="T269" s="183"/>
      <c r="U269" s="183"/>
      <c r="V269" s="183"/>
      <c r="W269" s="189"/>
      <c r="X269" s="183"/>
    </row>
    <row r="270" spans="2:24">
      <c r="B270" s="582"/>
      <c r="C270" s="591"/>
      <c r="D270" s="209">
        <v>4</v>
      </c>
      <c r="E270" s="183"/>
      <c r="F270" s="184"/>
      <c r="G270" s="183"/>
      <c r="H270" s="183"/>
      <c r="I270" s="192"/>
      <c r="J270" s="183"/>
      <c r="K270" s="192"/>
      <c r="L270" s="184"/>
      <c r="M270" s="192"/>
      <c r="N270" s="184"/>
      <c r="O270" s="183"/>
      <c r="P270" s="185"/>
      <c r="Q270" s="183"/>
      <c r="R270" s="185"/>
      <c r="S270" s="184"/>
      <c r="T270" s="183"/>
      <c r="U270" s="183"/>
      <c r="V270" s="183"/>
      <c r="W270" s="189"/>
      <c r="X270" s="183"/>
    </row>
    <row r="271" spans="2:24">
      <c r="B271" s="582"/>
      <c r="C271" s="591"/>
      <c r="D271" s="209">
        <v>5</v>
      </c>
      <c r="E271" s="183"/>
      <c r="F271" s="184"/>
      <c r="G271" s="183"/>
      <c r="H271" s="183"/>
      <c r="I271" s="192"/>
      <c r="J271" s="183"/>
      <c r="K271" s="192"/>
      <c r="L271" s="184"/>
      <c r="M271" s="192"/>
      <c r="N271" s="184"/>
      <c r="O271" s="183"/>
      <c r="P271" s="185"/>
      <c r="Q271" s="183"/>
      <c r="R271" s="185"/>
      <c r="S271" s="184"/>
      <c r="T271" s="183"/>
      <c r="U271" s="183"/>
      <c r="V271" s="183"/>
      <c r="W271" s="189"/>
      <c r="X271" s="183"/>
    </row>
    <row r="272" spans="2:24">
      <c r="B272" s="582"/>
      <c r="C272" s="591"/>
      <c r="D272" s="209">
        <v>6</v>
      </c>
      <c r="E272" s="183"/>
      <c r="F272" s="184"/>
      <c r="G272" s="183"/>
      <c r="H272" s="183"/>
      <c r="I272" s="192"/>
      <c r="J272" s="183"/>
      <c r="K272" s="192"/>
      <c r="L272" s="184"/>
      <c r="M272" s="192"/>
      <c r="N272" s="184"/>
      <c r="O272" s="183"/>
      <c r="P272" s="185"/>
      <c r="Q272" s="183"/>
      <c r="R272" s="185"/>
      <c r="S272" s="184"/>
      <c r="T272" s="183"/>
      <c r="U272" s="183"/>
      <c r="V272" s="183"/>
      <c r="W272" s="189"/>
      <c r="X272" s="183"/>
    </row>
    <row r="273" spans="2:24">
      <c r="B273" s="582"/>
      <c r="C273" s="591"/>
      <c r="D273" s="209">
        <v>7</v>
      </c>
      <c r="E273" s="183"/>
      <c r="F273" s="184"/>
      <c r="G273" s="183"/>
      <c r="H273" s="183"/>
      <c r="I273" s="192"/>
      <c r="J273" s="183"/>
      <c r="K273" s="192"/>
      <c r="L273" s="184"/>
      <c r="M273" s="192"/>
      <c r="N273" s="184"/>
      <c r="O273" s="183"/>
      <c r="P273" s="185"/>
      <c r="Q273" s="183"/>
      <c r="R273" s="185"/>
      <c r="S273" s="184"/>
      <c r="T273" s="183"/>
      <c r="U273" s="183"/>
      <c r="V273" s="183"/>
      <c r="W273" s="189"/>
      <c r="X273" s="183"/>
    </row>
    <row r="274" spans="2:24">
      <c r="B274" s="582"/>
      <c r="C274" s="591"/>
      <c r="D274" s="209">
        <v>8</v>
      </c>
      <c r="E274" s="183"/>
      <c r="F274" s="184"/>
      <c r="G274" s="183"/>
      <c r="H274" s="183"/>
      <c r="I274" s="192"/>
      <c r="J274" s="183"/>
      <c r="K274" s="192"/>
      <c r="L274" s="184"/>
      <c r="M274" s="192"/>
      <c r="N274" s="184"/>
      <c r="O274" s="183"/>
      <c r="P274" s="185"/>
      <c r="Q274" s="183"/>
      <c r="R274" s="185"/>
      <c r="S274" s="184"/>
      <c r="T274" s="183"/>
      <c r="U274" s="183"/>
      <c r="V274" s="183"/>
      <c r="W274" s="189"/>
      <c r="X274" s="183"/>
    </row>
    <row r="275" spans="2:24">
      <c r="B275" s="582"/>
      <c r="C275" s="591"/>
      <c r="D275" s="209">
        <v>9</v>
      </c>
      <c r="E275" s="183"/>
      <c r="F275" s="184"/>
      <c r="G275" s="183"/>
      <c r="H275" s="183"/>
      <c r="I275" s="192"/>
      <c r="J275" s="183"/>
      <c r="K275" s="192"/>
      <c r="L275" s="184"/>
      <c r="M275" s="192"/>
      <c r="N275" s="184"/>
      <c r="O275" s="183"/>
      <c r="P275" s="185"/>
      <c r="Q275" s="183"/>
      <c r="R275" s="185"/>
      <c r="S275" s="184"/>
      <c r="T275" s="183"/>
      <c r="U275" s="183"/>
      <c r="V275" s="183"/>
      <c r="W275" s="189"/>
      <c r="X275" s="183"/>
    </row>
    <row r="276" spans="2:24">
      <c r="B276" s="583"/>
      <c r="C276" s="591"/>
      <c r="D276" s="209">
        <v>10</v>
      </c>
      <c r="E276" s="183"/>
      <c r="F276" s="184"/>
      <c r="G276" s="183"/>
      <c r="H276" s="183"/>
      <c r="I276" s="192"/>
      <c r="J276" s="183"/>
      <c r="K276" s="192"/>
      <c r="L276" s="184"/>
      <c r="M276" s="192"/>
      <c r="N276" s="184"/>
      <c r="O276" s="183"/>
      <c r="P276" s="185"/>
      <c r="Q276" s="183"/>
      <c r="R276" s="185"/>
      <c r="S276" s="184"/>
      <c r="T276" s="183"/>
      <c r="U276" s="183"/>
      <c r="V276" s="183"/>
      <c r="W276" s="189"/>
      <c r="X276" s="183"/>
    </row>
    <row r="277" spans="2:24">
      <c r="B277" s="581">
        <f t="shared" ref="B277" si="31">B267+1</f>
        <v>45928</v>
      </c>
      <c r="C277" s="590" t="s">
        <v>157</v>
      </c>
      <c r="D277" s="209">
        <v>1</v>
      </c>
      <c r="E277" s="183"/>
      <c r="F277" s="184"/>
      <c r="G277" s="183"/>
      <c r="H277" s="183"/>
      <c r="I277" s="192"/>
      <c r="J277" s="183"/>
      <c r="K277" s="192"/>
      <c r="L277" s="184"/>
      <c r="M277" s="192"/>
      <c r="N277" s="184"/>
      <c r="O277" s="183"/>
      <c r="P277" s="185"/>
      <c r="Q277" s="183"/>
      <c r="R277" s="185"/>
      <c r="S277" s="184"/>
      <c r="T277" s="183"/>
      <c r="U277" s="183"/>
      <c r="V277" s="183"/>
      <c r="W277" s="189"/>
      <c r="X277" s="183"/>
    </row>
    <row r="278" spans="2:24">
      <c r="B278" s="582"/>
      <c r="C278" s="591"/>
      <c r="D278" s="209">
        <v>2</v>
      </c>
      <c r="E278" s="183"/>
      <c r="F278" s="184"/>
      <c r="G278" s="183"/>
      <c r="H278" s="183"/>
      <c r="I278" s="192"/>
      <c r="J278" s="183"/>
      <c r="K278" s="192"/>
      <c r="L278" s="184"/>
      <c r="M278" s="192"/>
      <c r="N278" s="184"/>
      <c r="O278" s="183"/>
      <c r="P278" s="185"/>
      <c r="Q278" s="183"/>
      <c r="R278" s="185"/>
      <c r="S278" s="184"/>
      <c r="T278" s="183"/>
      <c r="U278" s="183"/>
      <c r="V278" s="183"/>
      <c r="W278" s="189"/>
      <c r="X278" s="183"/>
    </row>
    <row r="279" spans="2:24">
      <c r="B279" s="582"/>
      <c r="C279" s="591"/>
      <c r="D279" s="209">
        <v>3</v>
      </c>
      <c r="E279" s="183"/>
      <c r="F279" s="184"/>
      <c r="G279" s="183"/>
      <c r="H279" s="183"/>
      <c r="I279" s="192"/>
      <c r="J279" s="183"/>
      <c r="K279" s="192"/>
      <c r="L279" s="184"/>
      <c r="M279" s="192"/>
      <c r="N279" s="184"/>
      <c r="O279" s="183"/>
      <c r="P279" s="185"/>
      <c r="Q279" s="183"/>
      <c r="R279" s="185"/>
      <c r="S279" s="184"/>
      <c r="T279" s="183"/>
      <c r="U279" s="183"/>
      <c r="V279" s="183"/>
      <c r="W279" s="189"/>
      <c r="X279" s="183"/>
    </row>
    <row r="280" spans="2:24">
      <c r="B280" s="582"/>
      <c r="C280" s="591"/>
      <c r="D280" s="209">
        <v>4</v>
      </c>
      <c r="E280" s="183"/>
      <c r="F280" s="184"/>
      <c r="G280" s="183"/>
      <c r="H280" s="183"/>
      <c r="I280" s="192"/>
      <c r="J280" s="183"/>
      <c r="K280" s="192"/>
      <c r="L280" s="184"/>
      <c r="M280" s="192"/>
      <c r="N280" s="184"/>
      <c r="O280" s="183"/>
      <c r="P280" s="185"/>
      <c r="Q280" s="183"/>
      <c r="R280" s="185"/>
      <c r="S280" s="184"/>
      <c r="T280" s="183"/>
      <c r="U280" s="183"/>
      <c r="V280" s="183"/>
      <c r="W280" s="189"/>
      <c r="X280" s="183"/>
    </row>
    <row r="281" spans="2:24">
      <c r="B281" s="582"/>
      <c r="C281" s="591"/>
      <c r="D281" s="209">
        <v>5</v>
      </c>
      <c r="E281" s="183"/>
      <c r="F281" s="184"/>
      <c r="G281" s="183"/>
      <c r="H281" s="183"/>
      <c r="I281" s="192"/>
      <c r="J281" s="183"/>
      <c r="K281" s="192"/>
      <c r="L281" s="184"/>
      <c r="M281" s="192"/>
      <c r="N281" s="184"/>
      <c r="O281" s="183"/>
      <c r="P281" s="185"/>
      <c r="Q281" s="183"/>
      <c r="R281" s="185"/>
      <c r="S281" s="184"/>
      <c r="T281" s="183"/>
      <c r="U281" s="183"/>
      <c r="V281" s="183"/>
      <c r="W281" s="189"/>
      <c r="X281" s="183"/>
    </row>
    <row r="282" spans="2:24">
      <c r="B282" s="582"/>
      <c r="C282" s="591"/>
      <c r="D282" s="209">
        <v>6</v>
      </c>
      <c r="E282" s="183"/>
      <c r="F282" s="184"/>
      <c r="G282" s="183"/>
      <c r="H282" s="183"/>
      <c r="I282" s="192"/>
      <c r="J282" s="183"/>
      <c r="K282" s="192"/>
      <c r="L282" s="184"/>
      <c r="M282" s="192"/>
      <c r="N282" s="184"/>
      <c r="O282" s="183"/>
      <c r="P282" s="185"/>
      <c r="Q282" s="183"/>
      <c r="R282" s="185"/>
      <c r="S282" s="184"/>
      <c r="T282" s="183"/>
      <c r="U282" s="183"/>
      <c r="V282" s="183"/>
      <c r="W282" s="189"/>
      <c r="X282" s="183"/>
    </row>
    <row r="283" spans="2:24">
      <c r="B283" s="582"/>
      <c r="C283" s="591"/>
      <c r="D283" s="209">
        <v>7</v>
      </c>
      <c r="E283" s="183"/>
      <c r="F283" s="184"/>
      <c r="G283" s="183"/>
      <c r="H283" s="183"/>
      <c r="I283" s="192"/>
      <c r="J283" s="183"/>
      <c r="K283" s="192"/>
      <c r="L283" s="184"/>
      <c r="M283" s="192"/>
      <c r="N283" s="184"/>
      <c r="O283" s="183"/>
      <c r="P283" s="185"/>
      <c r="Q283" s="183"/>
      <c r="R283" s="185"/>
      <c r="S283" s="184"/>
      <c r="T283" s="183"/>
      <c r="U283" s="183"/>
      <c r="V283" s="183"/>
      <c r="W283" s="189"/>
      <c r="X283" s="183"/>
    </row>
    <row r="284" spans="2:24" ht="16.5">
      <c r="B284" s="582"/>
      <c r="C284" s="591"/>
      <c r="D284" s="209">
        <v>8</v>
      </c>
      <c r="E284" s="183"/>
      <c r="F284" s="184"/>
      <c r="G284" s="183"/>
      <c r="H284" s="183"/>
      <c r="I284" s="192"/>
      <c r="J284" s="183"/>
      <c r="K284" s="192"/>
      <c r="L284" s="184"/>
      <c r="M284" s="192"/>
      <c r="N284" s="184"/>
      <c r="O284" s="183"/>
      <c r="P284" s="185"/>
      <c r="Q284" s="183"/>
      <c r="R284" s="185"/>
      <c r="S284" s="184"/>
      <c r="T284" s="183"/>
      <c r="U284" s="183"/>
      <c r="V284" s="298"/>
      <c r="W284" s="189"/>
      <c r="X284" s="183"/>
    </row>
    <row r="285" spans="2:24">
      <c r="B285" s="582"/>
      <c r="C285" s="591"/>
      <c r="D285" s="209">
        <v>9</v>
      </c>
      <c r="E285" s="183"/>
      <c r="F285" s="184"/>
      <c r="G285" s="183"/>
      <c r="H285" s="183"/>
      <c r="I285" s="192"/>
      <c r="J285" s="183"/>
      <c r="K285" s="192"/>
      <c r="L285" s="184"/>
      <c r="M285" s="192"/>
      <c r="N285" s="184"/>
      <c r="O285" s="183"/>
      <c r="P285" s="185"/>
      <c r="Q285" s="183"/>
      <c r="R285" s="185"/>
      <c r="S285" s="184"/>
      <c r="T285" s="183"/>
      <c r="U285" s="183"/>
      <c r="V285" s="183"/>
      <c r="W285" s="189"/>
      <c r="X285" s="183"/>
    </row>
    <row r="286" spans="2:24">
      <c r="B286" s="583"/>
      <c r="C286" s="591"/>
      <c r="D286" s="209">
        <v>10</v>
      </c>
      <c r="E286" s="183"/>
      <c r="F286" s="184"/>
      <c r="G286" s="183"/>
      <c r="H286" s="183"/>
      <c r="I286" s="192"/>
      <c r="J286" s="183"/>
      <c r="K286" s="192"/>
      <c r="L286" s="184"/>
      <c r="M286" s="192"/>
      <c r="N286" s="184"/>
      <c r="O286" s="183"/>
      <c r="P286" s="185"/>
      <c r="Q286" s="183"/>
      <c r="R286" s="185"/>
      <c r="S286" s="184"/>
      <c r="T286" s="183"/>
      <c r="U286" s="183"/>
      <c r="V286" s="183"/>
      <c r="W286" s="189"/>
      <c r="X286" s="183"/>
    </row>
    <row r="287" spans="2:24">
      <c r="B287" s="581">
        <f t="shared" ref="B287" si="32">B277+1</f>
        <v>45929</v>
      </c>
      <c r="C287" s="590" t="s">
        <v>209</v>
      </c>
      <c r="D287" s="209">
        <v>1</v>
      </c>
      <c r="E287" s="183"/>
      <c r="F287" s="184"/>
      <c r="G287" s="183"/>
      <c r="H287" s="183"/>
      <c r="I287" s="192"/>
      <c r="J287" s="183"/>
      <c r="K287" s="192"/>
      <c r="L287" s="184"/>
      <c r="M287" s="192"/>
      <c r="N287" s="184"/>
      <c r="O287" s="183"/>
      <c r="P287" s="185"/>
      <c r="Q287" s="183"/>
      <c r="R287" s="185"/>
      <c r="S287" s="184"/>
      <c r="T287" s="183"/>
      <c r="U287" s="183"/>
      <c r="V287" s="183"/>
      <c r="W287" s="189"/>
      <c r="X287" s="183"/>
    </row>
    <row r="288" spans="2:24">
      <c r="B288" s="582"/>
      <c r="C288" s="591"/>
      <c r="D288" s="209">
        <v>2</v>
      </c>
      <c r="E288" s="183"/>
      <c r="F288" s="184"/>
      <c r="G288" s="183"/>
      <c r="H288" s="183"/>
      <c r="I288" s="192"/>
      <c r="J288" s="183"/>
      <c r="K288" s="192"/>
      <c r="L288" s="184"/>
      <c r="M288" s="192"/>
      <c r="N288" s="184"/>
      <c r="O288" s="183"/>
      <c r="P288" s="185"/>
      <c r="Q288" s="183"/>
      <c r="R288" s="185"/>
      <c r="S288" s="184"/>
      <c r="T288" s="183"/>
      <c r="U288" s="183"/>
      <c r="V288" s="183"/>
      <c r="W288" s="189"/>
      <c r="X288" s="183"/>
    </row>
    <row r="289" spans="2:24">
      <c r="B289" s="582"/>
      <c r="C289" s="591"/>
      <c r="D289" s="209">
        <v>3</v>
      </c>
      <c r="E289" s="183"/>
      <c r="F289" s="184"/>
      <c r="G289" s="183"/>
      <c r="H289" s="183"/>
      <c r="I289" s="192"/>
      <c r="J289" s="183"/>
      <c r="K289" s="192"/>
      <c r="L289" s="184"/>
      <c r="M289" s="192"/>
      <c r="N289" s="184"/>
      <c r="O289" s="183"/>
      <c r="P289" s="185"/>
      <c r="Q289" s="183"/>
      <c r="R289" s="185"/>
      <c r="S289" s="184"/>
      <c r="T289" s="183"/>
      <c r="U289" s="183"/>
      <c r="V289" s="183"/>
      <c r="W289" s="189"/>
      <c r="X289" s="183"/>
    </row>
    <row r="290" spans="2:24">
      <c r="B290" s="582"/>
      <c r="C290" s="591"/>
      <c r="D290" s="209">
        <v>4</v>
      </c>
      <c r="E290" s="183"/>
      <c r="F290" s="184"/>
      <c r="G290" s="183"/>
      <c r="H290" s="183"/>
      <c r="I290" s="192"/>
      <c r="J290" s="183"/>
      <c r="K290" s="192"/>
      <c r="L290" s="184"/>
      <c r="M290" s="192"/>
      <c r="N290" s="184"/>
      <c r="O290" s="183"/>
      <c r="P290" s="185"/>
      <c r="Q290" s="183"/>
      <c r="R290" s="185"/>
      <c r="S290" s="184"/>
      <c r="T290" s="183"/>
      <c r="U290" s="183"/>
      <c r="V290" s="183"/>
      <c r="W290" s="189"/>
      <c r="X290" s="183"/>
    </row>
    <row r="291" spans="2:24">
      <c r="B291" s="582"/>
      <c r="C291" s="591"/>
      <c r="D291" s="209">
        <v>5</v>
      </c>
      <c r="E291" s="183"/>
      <c r="F291" s="184"/>
      <c r="G291" s="183"/>
      <c r="H291" s="183"/>
      <c r="I291" s="192"/>
      <c r="J291" s="183"/>
      <c r="K291" s="192"/>
      <c r="L291" s="184"/>
      <c r="M291" s="192"/>
      <c r="N291" s="184"/>
      <c r="O291" s="183"/>
      <c r="P291" s="185"/>
      <c r="Q291" s="183"/>
      <c r="R291" s="185"/>
      <c r="S291" s="184"/>
      <c r="T291" s="183"/>
      <c r="U291" s="183"/>
      <c r="V291" s="183"/>
      <c r="W291" s="189"/>
      <c r="X291" s="183"/>
    </row>
    <row r="292" spans="2:24">
      <c r="B292" s="582"/>
      <c r="C292" s="591"/>
      <c r="D292" s="209">
        <v>6</v>
      </c>
      <c r="E292" s="183"/>
      <c r="F292" s="184"/>
      <c r="G292" s="183"/>
      <c r="H292" s="183"/>
      <c r="I292" s="192"/>
      <c r="J292" s="183"/>
      <c r="K292" s="192"/>
      <c r="L292" s="184"/>
      <c r="M292" s="192"/>
      <c r="N292" s="184"/>
      <c r="O292" s="183"/>
      <c r="P292" s="185"/>
      <c r="Q292" s="183"/>
      <c r="R292" s="185"/>
      <c r="S292" s="184"/>
      <c r="T292" s="183"/>
      <c r="U292" s="183"/>
      <c r="V292" s="183"/>
      <c r="W292" s="189"/>
      <c r="X292" s="183"/>
    </row>
    <row r="293" spans="2:24">
      <c r="B293" s="582"/>
      <c r="C293" s="591"/>
      <c r="D293" s="209">
        <v>7</v>
      </c>
      <c r="E293" s="183"/>
      <c r="F293" s="184"/>
      <c r="G293" s="183"/>
      <c r="H293" s="183"/>
      <c r="I293" s="192"/>
      <c r="J293" s="183"/>
      <c r="K293" s="192"/>
      <c r="L293" s="184"/>
      <c r="M293" s="192"/>
      <c r="N293" s="184"/>
      <c r="O293" s="183"/>
      <c r="P293" s="185"/>
      <c r="Q293" s="183"/>
      <c r="R293" s="185"/>
      <c r="S293" s="184"/>
      <c r="T293" s="183"/>
      <c r="U293" s="183"/>
      <c r="V293" s="183"/>
      <c r="W293" s="189"/>
      <c r="X293" s="183"/>
    </row>
    <row r="294" spans="2:24" ht="16.5">
      <c r="B294" s="582"/>
      <c r="C294" s="591"/>
      <c r="D294" s="209">
        <v>8</v>
      </c>
      <c r="E294" s="183"/>
      <c r="F294" s="184"/>
      <c r="G294" s="183"/>
      <c r="H294" s="183"/>
      <c r="I294" s="192"/>
      <c r="J294" s="183"/>
      <c r="K294" s="192"/>
      <c r="L294" s="184"/>
      <c r="M294" s="192"/>
      <c r="N294" s="184"/>
      <c r="O294" s="183"/>
      <c r="P294" s="185"/>
      <c r="Q294" s="183"/>
      <c r="R294" s="185"/>
      <c r="S294" s="184"/>
      <c r="T294" s="183"/>
      <c r="U294" s="183"/>
      <c r="V294" s="298"/>
      <c r="W294" s="189"/>
      <c r="X294" s="183"/>
    </row>
    <row r="295" spans="2:24">
      <c r="B295" s="582"/>
      <c r="C295" s="591"/>
      <c r="D295" s="209">
        <v>9</v>
      </c>
      <c r="E295" s="183"/>
      <c r="F295" s="184"/>
      <c r="G295" s="183"/>
      <c r="H295" s="183"/>
      <c r="I295" s="192"/>
      <c r="J295" s="183"/>
      <c r="K295" s="192"/>
      <c r="L295" s="184"/>
      <c r="M295" s="192"/>
      <c r="N295" s="184"/>
      <c r="O295" s="183"/>
      <c r="P295" s="185"/>
      <c r="Q295" s="183"/>
      <c r="R295" s="185"/>
      <c r="S295" s="184"/>
      <c r="T295" s="183"/>
      <c r="U295" s="183"/>
      <c r="V295" s="183"/>
      <c r="W295" s="189"/>
      <c r="X295" s="183"/>
    </row>
    <row r="296" spans="2:24">
      <c r="B296" s="583"/>
      <c r="C296" s="591"/>
      <c r="D296" s="209">
        <v>10</v>
      </c>
      <c r="E296" s="183"/>
      <c r="F296" s="184"/>
      <c r="G296" s="183"/>
      <c r="H296" s="183"/>
      <c r="I296" s="192"/>
      <c r="J296" s="183"/>
      <c r="K296" s="192"/>
      <c r="L296" s="184"/>
      <c r="M296" s="192"/>
      <c r="N296" s="184"/>
      <c r="O296" s="183"/>
      <c r="P296" s="185"/>
      <c r="Q296" s="183"/>
      <c r="R296" s="185"/>
      <c r="S296" s="184"/>
      <c r="T296" s="183"/>
      <c r="U296" s="183"/>
      <c r="V296" s="183"/>
      <c r="W296" s="189"/>
      <c r="X296" s="183"/>
    </row>
    <row r="297" spans="2:24">
      <c r="B297" s="581">
        <f t="shared" ref="B297" si="33">B287+1</f>
        <v>45930</v>
      </c>
      <c r="C297" s="590" t="s">
        <v>204</v>
      </c>
      <c r="D297" s="209">
        <v>1</v>
      </c>
      <c r="E297" s="183"/>
      <c r="F297" s="184"/>
      <c r="G297" s="183"/>
      <c r="H297" s="183"/>
      <c r="I297" s="192"/>
      <c r="J297" s="183"/>
      <c r="K297" s="192"/>
      <c r="L297" s="184"/>
      <c r="M297" s="192"/>
      <c r="N297" s="184"/>
      <c r="O297" s="183"/>
      <c r="P297" s="185"/>
      <c r="Q297" s="183"/>
      <c r="R297" s="185"/>
      <c r="S297" s="184"/>
      <c r="T297" s="183"/>
      <c r="U297" s="183"/>
      <c r="V297" s="183"/>
      <c r="W297" s="189"/>
      <c r="X297" s="183"/>
    </row>
    <row r="298" spans="2:24">
      <c r="B298" s="582"/>
      <c r="C298" s="591"/>
      <c r="D298" s="209">
        <v>2</v>
      </c>
      <c r="E298" s="183"/>
      <c r="F298" s="184"/>
      <c r="G298" s="183"/>
      <c r="H298" s="183"/>
      <c r="I298" s="192"/>
      <c r="J298" s="183"/>
      <c r="K298" s="192"/>
      <c r="L298" s="184"/>
      <c r="M298" s="192"/>
      <c r="N298" s="184"/>
      <c r="O298" s="183"/>
      <c r="P298" s="185"/>
      <c r="Q298" s="183"/>
      <c r="R298" s="185"/>
      <c r="S298" s="184"/>
      <c r="T298" s="183"/>
      <c r="U298" s="183"/>
      <c r="V298" s="183"/>
      <c r="W298" s="189"/>
      <c r="X298" s="183"/>
    </row>
    <row r="299" spans="2:24">
      <c r="B299" s="582"/>
      <c r="C299" s="591"/>
      <c r="D299" s="209">
        <v>3</v>
      </c>
      <c r="E299" s="183"/>
      <c r="F299" s="184"/>
      <c r="G299" s="183"/>
      <c r="H299" s="183"/>
      <c r="I299" s="192"/>
      <c r="J299" s="183"/>
      <c r="K299" s="192"/>
      <c r="L299" s="184"/>
      <c r="M299" s="192"/>
      <c r="N299" s="184"/>
      <c r="O299" s="183"/>
      <c r="P299" s="185"/>
      <c r="Q299" s="183"/>
      <c r="R299" s="185"/>
      <c r="S299" s="184"/>
      <c r="T299" s="183"/>
      <c r="U299" s="183"/>
      <c r="V299" s="183"/>
      <c r="W299" s="189"/>
      <c r="X299" s="183"/>
    </row>
    <row r="300" spans="2:24">
      <c r="B300" s="582"/>
      <c r="C300" s="591"/>
      <c r="D300" s="209">
        <v>4</v>
      </c>
      <c r="E300" s="183"/>
      <c r="F300" s="184"/>
      <c r="G300" s="183"/>
      <c r="H300" s="183"/>
      <c r="I300" s="192"/>
      <c r="J300" s="183"/>
      <c r="K300" s="192"/>
      <c r="L300" s="184"/>
      <c r="M300" s="192"/>
      <c r="N300" s="184"/>
      <c r="O300" s="183"/>
      <c r="P300" s="185"/>
      <c r="Q300" s="183"/>
      <c r="R300" s="185"/>
      <c r="S300" s="184"/>
      <c r="T300" s="183"/>
      <c r="U300" s="183"/>
      <c r="V300" s="183"/>
      <c r="W300" s="189"/>
      <c r="X300" s="183"/>
    </row>
    <row r="301" spans="2:24">
      <c r="B301" s="582"/>
      <c r="C301" s="591"/>
      <c r="D301" s="209">
        <v>5</v>
      </c>
      <c r="E301" s="183"/>
      <c r="F301" s="184"/>
      <c r="G301" s="183"/>
      <c r="H301" s="183"/>
      <c r="I301" s="192"/>
      <c r="J301" s="183"/>
      <c r="K301" s="192"/>
      <c r="L301" s="184"/>
      <c r="M301" s="192"/>
      <c r="N301" s="184"/>
      <c r="O301" s="183"/>
      <c r="P301" s="185"/>
      <c r="Q301" s="183"/>
      <c r="R301" s="185"/>
      <c r="S301" s="184"/>
      <c r="T301" s="183"/>
      <c r="U301" s="183"/>
      <c r="V301" s="183"/>
      <c r="W301" s="189"/>
      <c r="X301" s="183"/>
    </row>
    <row r="302" spans="2:24">
      <c r="B302" s="582"/>
      <c r="C302" s="591"/>
      <c r="D302" s="209">
        <v>6</v>
      </c>
      <c r="E302" s="183"/>
      <c r="F302" s="184"/>
      <c r="G302" s="183"/>
      <c r="H302" s="183"/>
      <c r="I302" s="192"/>
      <c r="J302" s="183"/>
      <c r="K302" s="192"/>
      <c r="L302" s="184"/>
      <c r="M302" s="192"/>
      <c r="N302" s="184"/>
      <c r="O302" s="183"/>
      <c r="P302" s="185"/>
      <c r="Q302" s="183"/>
      <c r="R302" s="185"/>
      <c r="S302" s="184"/>
      <c r="T302" s="183"/>
      <c r="U302" s="183"/>
      <c r="V302" s="183"/>
      <c r="W302" s="189"/>
      <c r="X302" s="183"/>
    </row>
    <row r="303" spans="2:24">
      <c r="B303" s="582"/>
      <c r="C303" s="591"/>
      <c r="D303" s="209">
        <v>7</v>
      </c>
      <c r="E303" s="183"/>
      <c r="F303" s="184"/>
      <c r="G303" s="183"/>
      <c r="H303" s="183"/>
      <c r="I303" s="192"/>
      <c r="J303" s="183"/>
      <c r="K303" s="192"/>
      <c r="L303" s="184"/>
      <c r="M303" s="192"/>
      <c r="N303" s="184"/>
      <c r="O303" s="183"/>
      <c r="P303" s="185"/>
      <c r="Q303" s="183"/>
      <c r="R303" s="185"/>
      <c r="S303" s="184"/>
      <c r="T303" s="183"/>
      <c r="U303" s="183"/>
      <c r="V303" s="183"/>
      <c r="W303" s="189"/>
      <c r="X303" s="183"/>
    </row>
    <row r="304" spans="2:24">
      <c r="B304" s="582"/>
      <c r="C304" s="591"/>
      <c r="D304" s="209">
        <v>8</v>
      </c>
      <c r="E304" s="183"/>
      <c r="F304" s="184"/>
      <c r="G304" s="183"/>
      <c r="H304" s="183"/>
      <c r="I304" s="192"/>
      <c r="J304" s="183"/>
      <c r="K304" s="192"/>
      <c r="L304" s="184"/>
      <c r="M304" s="192"/>
      <c r="N304" s="184"/>
      <c r="O304" s="183"/>
      <c r="P304" s="185"/>
      <c r="Q304" s="183"/>
      <c r="R304" s="185"/>
      <c r="S304" s="184"/>
      <c r="T304" s="183"/>
      <c r="U304" s="183"/>
      <c r="V304" s="183"/>
      <c r="W304" s="189"/>
      <c r="X304" s="183"/>
    </row>
    <row r="305" spans="2:24">
      <c r="B305" s="582"/>
      <c r="C305" s="591"/>
      <c r="D305" s="209">
        <v>9</v>
      </c>
      <c r="E305" s="183"/>
      <c r="F305" s="184"/>
      <c r="G305" s="183"/>
      <c r="H305" s="183"/>
      <c r="I305" s="192"/>
      <c r="J305" s="183"/>
      <c r="K305" s="192"/>
      <c r="L305" s="184"/>
      <c r="M305" s="192"/>
      <c r="N305" s="184"/>
      <c r="O305" s="183"/>
      <c r="P305" s="185"/>
      <c r="Q305" s="183"/>
      <c r="R305" s="185"/>
      <c r="S305" s="184"/>
      <c r="T305" s="183"/>
      <c r="U305" s="183"/>
      <c r="V305" s="183"/>
      <c r="W305" s="189"/>
      <c r="X305" s="183"/>
    </row>
    <row r="306" spans="2:24">
      <c r="B306" s="583"/>
      <c r="C306" s="591"/>
      <c r="D306" s="209">
        <v>10</v>
      </c>
      <c r="E306" s="183"/>
      <c r="F306" s="184"/>
      <c r="G306" s="183"/>
      <c r="H306" s="183"/>
      <c r="I306" s="192"/>
      <c r="J306" s="183"/>
      <c r="K306" s="192"/>
      <c r="L306" s="184"/>
      <c r="M306" s="192"/>
      <c r="N306" s="184"/>
      <c r="O306" s="183"/>
      <c r="P306" s="185"/>
      <c r="Q306" s="183"/>
      <c r="R306" s="185"/>
      <c r="S306" s="184"/>
      <c r="T306" s="183"/>
      <c r="U306" s="183"/>
      <c r="V306" s="183"/>
      <c r="W306" s="189"/>
      <c r="X306" s="183"/>
    </row>
    <row r="307" spans="2:24">
      <c r="B307" s="581">
        <f t="shared" ref="B307:B357" si="34">B297+1</f>
        <v>45931</v>
      </c>
      <c r="C307" s="584" t="s">
        <v>205</v>
      </c>
      <c r="D307" s="209">
        <v>1</v>
      </c>
      <c r="E307" s="183"/>
      <c r="F307" s="184"/>
      <c r="G307" s="183"/>
      <c r="H307" s="183"/>
      <c r="I307" s="192"/>
      <c r="J307" s="183"/>
      <c r="K307" s="192"/>
      <c r="L307" s="184"/>
      <c r="M307" s="192"/>
      <c r="N307" s="184"/>
      <c r="O307" s="183"/>
      <c r="P307" s="185"/>
      <c r="Q307" s="183"/>
      <c r="R307" s="185"/>
      <c r="S307" s="184"/>
      <c r="T307" s="183"/>
      <c r="U307" s="183"/>
      <c r="V307" s="183"/>
      <c r="W307" s="189"/>
      <c r="X307" s="183"/>
    </row>
    <row r="308" spans="2:24">
      <c r="B308" s="582"/>
      <c r="C308" s="585"/>
      <c r="D308" s="209">
        <v>2</v>
      </c>
      <c r="E308" s="183"/>
      <c r="F308" s="184"/>
      <c r="G308" s="183"/>
      <c r="H308" s="183"/>
      <c r="I308" s="192"/>
      <c r="J308" s="183"/>
      <c r="K308" s="192"/>
      <c r="L308" s="184"/>
      <c r="M308" s="192"/>
      <c r="N308" s="184"/>
      <c r="O308" s="183"/>
      <c r="P308" s="185"/>
      <c r="Q308" s="183"/>
      <c r="R308" s="185"/>
      <c r="S308" s="184"/>
      <c r="T308" s="183"/>
      <c r="U308" s="183"/>
      <c r="V308" s="183"/>
      <c r="W308" s="189"/>
      <c r="X308" s="183"/>
    </row>
    <row r="309" spans="2:24">
      <c r="B309" s="582"/>
      <c r="C309" s="585"/>
      <c r="D309" s="209">
        <v>3</v>
      </c>
      <c r="E309" s="183"/>
      <c r="F309" s="184"/>
      <c r="G309" s="183"/>
      <c r="H309" s="183"/>
      <c r="I309" s="192"/>
      <c r="J309" s="183"/>
      <c r="K309" s="192"/>
      <c r="L309" s="184"/>
      <c r="M309" s="192"/>
      <c r="N309" s="184"/>
      <c r="O309" s="183"/>
      <c r="P309" s="185"/>
      <c r="Q309" s="183"/>
      <c r="R309" s="185"/>
      <c r="S309" s="184"/>
      <c r="T309" s="183"/>
      <c r="U309" s="183"/>
      <c r="V309" s="183"/>
      <c r="W309" s="189"/>
      <c r="X309" s="183"/>
    </row>
    <row r="310" spans="2:24">
      <c r="B310" s="582"/>
      <c r="C310" s="585"/>
      <c r="D310" s="209">
        <v>4</v>
      </c>
      <c r="E310" s="183"/>
      <c r="F310" s="184"/>
      <c r="G310" s="183"/>
      <c r="H310" s="183"/>
      <c r="I310" s="192"/>
      <c r="J310" s="183"/>
      <c r="K310" s="192"/>
      <c r="L310" s="184"/>
      <c r="M310" s="192"/>
      <c r="N310" s="184"/>
      <c r="O310" s="183"/>
      <c r="P310" s="185"/>
      <c r="Q310" s="183"/>
      <c r="R310" s="185"/>
      <c r="S310" s="184"/>
      <c r="T310" s="183"/>
      <c r="U310" s="183"/>
      <c r="V310" s="183"/>
      <c r="W310" s="189"/>
      <c r="X310" s="183"/>
    </row>
    <row r="311" spans="2:24">
      <c r="B311" s="582"/>
      <c r="C311" s="585"/>
      <c r="D311" s="209">
        <v>5</v>
      </c>
      <c r="E311" s="183"/>
      <c r="F311" s="184"/>
      <c r="G311" s="183"/>
      <c r="H311" s="183"/>
      <c r="I311" s="192"/>
      <c r="J311" s="183"/>
      <c r="K311" s="192"/>
      <c r="L311" s="184"/>
      <c r="M311" s="192"/>
      <c r="N311" s="184"/>
      <c r="O311" s="183"/>
      <c r="P311" s="185"/>
      <c r="Q311" s="183"/>
      <c r="R311" s="185"/>
      <c r="S311" s="184"/>
      <c r="T311" s="183"/>
      <c r="U311" s="183"/>
      <c r="V311" s="183"/>
      <c r="W311" s="189"/>
      <c r="X311" s="183"/>
    </row>
    <row r="312" spans="2:24">
      <c r="B312" s="582"/>
      <c r="C312" s="585"/>
      <c r="D312" s="209">
        <v>6</v>
      </c>
      <c r="E312" s="183"/>
      <c r="F312" s="184"/>
      <c r="G312" s="183"/>
      <c r="H312" s="183"/>
      <c r="I312" s="192"/>
      <c r="J312" s="183"/>
      <c r="K312" s="192"/>
      <c r="L312" s="184"/>
      <c r="M312" s="192"/>
      <c r="N312" s="184"/>
      <c r="O312" s="183"/>
      <c r="P312" s="185"/>
      <c r="Q312" s="183"/>
      <c r="R312" s="185"/>
      <c r="S312" s="184"/>
      <c r="T312" s="183"/>
      <c r="U312" s="183"/>
      <c r="V312" s="183"/>
      <c r="W312" s="189"/>
      <c r="X312" s="183"/>
    </row>
    <row r="313" spans="2:24">
      <c r="B313" s="582"/>
      <c r="C313" s="585"/>
      <c r="D313" s="209">
        <v>7</v>
      </c>
      <c r="E313" s="183"/>
      <c r="F313" s="184"/>
      <c r="G313" s="183"/>
      <c r="H313" s="183"/>
      <c r="I313" s="192"/>
      <c r="J313" s="183"/>
      <c r="K313" s="192"/>
      <c r="L313" s="184"/>
      <c r="M313" s="192"/>
      <c r="N313" s="184"/>
      <c r="O313" s="183"/>
      <c r="P313" s="185"/>
      <c r="Q313" s="183"/>
      <c r="R313" s="185"/>
      <c r="S313" s="184"/>
      <c r="T313" s="183"/>
      <c r="U313" s="183"/>
      <c r="V313" s="183"/>
      <c r="W313" s="189"/>
      <c r="X313" s="183"/>
    </row>
    <row r="314" spans="2:24">
      <c r="B314" s="582"/>
      <c r="C314" s="585"/>
      <c r="D314" s="209">
        <v>8</v>
      </c>
      <c r="E314" s="183"/>
      <c r="F314" s="184"/>
      <c r="G314" s="183"/>
      <c r="H314" s="183"/>
      <c r="I314" s="192"/>
      <c r="J314" s="183"/>
      <c r="K314" s="192"/>
      <c r="L314" s="184"/>
      <c r="M314" s="192"/>
      <c r="N314" s="184"/>
      <c r="O314" s="183"/>
      <c r="P314" s="185"/>
      <c r="Q314" s="183"/>
      <c r="R314" s="185"/>
      <c r="S314" s="184"/>
      <c r="T314" s="183"/>
      <c r="U314" s="183"/>
      <c r="V314" s="183"/>
      <c r="W314" s="189"/>
      <c r="X314" s="183"/>
    </row>
    <row r="315" spans="2:24">
      <c r="B315" s="582"/>
      <c r="C315" s="585"/>
      <c r="D315" s="209">
        <v>9</v>
      </c>
      <c r="E315" s="183"/>
      <c r="F315" s="184"/>
      <c r="G315" s="183"/>
      <c r="H315" s="183"/>
      <c r="I315" s="192"/>
      <c r="J315" s="183"/>
      <c r="K315" s="192"/>
      <c r="L315" s="184"/>
      <c r="M315" s="192"/>
      <c r="N315" s="184"/>
      <c r="O315" s="183"/>
      <c r="P315" s="185"/>
      <c r="Q315" s="183"/>
      <c r="R315" s="185"/>
      <c r="S315" s="184"/>
      <c r="T315" s="183"/>
      <c r="U315" s="183"/>
      <c r="V315" s="183"/>
      <c r="W315" s="189"/>
      <c r="X315" s="183"/>
    </row>
    <row r="316" spans="2:24">
      <c r="B316" s="583"/>
      <c r="C316" s="586"/>
      <c r="D316" s="209">
        <v>10</v>
      </c>
      <c r="E316" s="183"/>
      <c r="F316" s="184"/>
      <c r="G316" s="183"/>
      <c r="H316" s="183"/>
      <c r="I316" s="192"/>
      <c r="J316" s="183"/>
      <c r="K316" s="192"/>
      <c r="L316" s="184"/>
      <c r="M316" s="192"/>
      <c r="N316" s="184"/>
      <c r="O316" s="183"/>
      <c r="P316" s="185"/>
      <c r="Q316" s="183"/>
      <c r="R316" s="185"/>
      <c r="S316" s="184"/>
      <c r="T316" s="183"/>
      <c r="U316" s="183"/>
      <c r="V316" s="183"/>
      <c r="W316" s="189"/>
      <c r="X316" s="183"/>
    </row>
    <row r="317" spans="2:24">
      <c r="B317" s="581">
        <f t="shared" si="34"/>
        <v>45932</v>
      </c>
      <c r="C317" s="584" t="s">
        <v>206</v>
      </c>
      <c r="D317" s="209">
        <v>1</v>
      </c>
      <c r="E317" s="183"/>
      <c r="F317" s="184"/>
      <c r="G317" s="183"/>
      <c r="H317" s="183"/>
      <c r="I317" s="192"/>
      <c r="J317" s="183"/>
      <c r="K317" s="192"/>
      <c r="L317" s="184"/>
      <c r="M317" s="192"/>
      <c r="N317" s="184"/>
      <c r="O317" s="183"/>
      <c r="P317" s="185"/>
      <c r="Q317" s="183"/>
      <c r="R317" s="185"/>
      <c r="S317" s="184"/>
      <c r="T317" s="183"/>
      <c r="U317" s="183"/>
      <c r="V317" s="183"/>
      <c r="W317" s="189"/>
      <c r="X317" s="183"/>
    </row>
    <row r="318" spans="2:24">
      <c r="B318" s="582"/>
      <c r="C318" s="585"/>
      <c r="D318" s="209">
        <v>2</v>
      </c>
      <c r="E318" s="183"/>
      <c r="F318" s="184"/>
      <c r="G318" s="183"/>
      <c r="H318" s="183"/>
      <c r="I318" s="192"/>
      <c r="J318" s="183"/>
      <c r="K318" s="192"/>
      <c r="L318" s="184"/>
      <c r="M318" s="192"/>
      <c r="N318" s="184"/>
      <c r="O318" s="183"/>
      <c r="P318" s="185"/>
      <c r="Q318" s="183"/>
      <c r="R318" s="185"/>
      <c r="S318" s="184"/>
      <c r="T318" s="183"/>
      <c r="U318" s="183"/>
      <c r="V318" s="183"/>
      <c r="W318" s="189"/>
      <c r="X318" s="183"/>
    </row>
    <row r="319" spans="2:24">
      <c r="B319" s="582"/>
      <c r="C319" s="585"/>
      <c r="D319" s="209">
        <v>3</v>
      </c>
      <c r="E319" s="183"/>
      <c r="F319" s="184"/>
      <c r="G319" s="183"/>
      <c r="H319" s="183"/>
      <c r="I319" s="192"/>
      <c r="J319" s="183"/>
      <c r="K319" s="192"/>
      <c r="L319" s="184"/>
      <c r="M319" s="192"/>
      <c r="N319" s="184"/>
      <c r="O319" s="183"/>
      <c r="P319" s="185"/>
      <c r="Q319" s="183"/>
      <c r="R319" s="185"/>
      <c r="S319" s="184"/>
      <c r="T319" s="183"/>
      <c r="U319" s="183"/>
      <c r="V319" s="183"/>
      <c r="W319" s="189"/>
      <c r="X319" s="183"/>
    </row>
    <row r="320" spans="2:24">
      <c r="B320" s="582"/>
      <c r="C320" s="585"/>
      <c r="D320" s="209">
        <v>4</v>
      </c>
      <c r="E320" s="183"/>
      <c r="F320" s="184"/>
      <c r="G320" s="183"/>
      <c r="H320" s="183"/>
      <c r="I320" s="192"/>
      <c r="J320" s="183"/>
      <c r="K320" s="192"/>
      <c r="L320" s="184"/>
      <c r="M320" s="192"/>
      <c r="N320" s="184"/>
      <c r="O320" s="183"/>
      <c r="P320" s="185"/>
      <c r="Q320" s="183"/>
      <c r="R320" s="185"/>
      <c r="S320" s="184"/>
      <c r="T320" s="183"/>
      <c r="U320" s="183"/>
      <c r="V320" s="183"/>
      <c r="W320" s="189"/>
      <c r="X320" s="183"/>
    </row>
    <row r="321" spans="2:24">
      <c r="B321" s="582"/>
      <c r="C321" s="585"/>
      <c r="D321" s="209">
        <v>5</v>
      </c>
      <c r="E321" s="183"/>
      <c r="F321" s="184"/>
      <c r="G321" s="183"/>
      <c r="H321" s="183"/>
      <c r="I321" s="192"/>
      <c r="J321" s="183"/>
      <c r="K321" s="192"/>
      <c r="L321" s="184"/>
      <c r="M321" s="192"/>
      <c r="N321" s="184"/>
      <c r="O321" s="183"/>
      <c r="P321" s="185"/>
      <c r="Q321" s="183"/>
      <c r="R321" s="185"/>
      <c r="S321" s="184"/>
      <c r="T321" s="183"/>
      <c r="U321" s="183"/>
      <c r="V321" s="183"/>
      <c r="W321" s="189"/>
      <c r="X321" s="183"/>
    </row>
    <row r="322" spans="2:24">
      <c r="B322" s="582"/>
      <c r="C322" s="585"/>
      <c r="D322" s="209">
        <v>6</v>
      </c>
      <c r="E322" s="183"/>
      <c r="F322" s="184"/>
      <c r="G322" s="183"/>
      <c r="H322" s="183"/>
      <c r="I322" s="192"/>
      <c r="J322" s="183"/>
      <c r="K322" s="192"/>
      <c r="L322" s="184"/>
      <c r="M322" s="192"/>
      <c r="N322" s="184"/>
      <c r="O322" s="183"/>
      <c r="P322" s="185"/>
      <c r="Q322" s="183"/>
      <c r="R322" s="185"/>
      <c r="S322" s="184"/>
      <c r="T322" s="183"/>
      <c r="U322" s="183"/>
      <c r="V322" s="183"/>
      <c r="W322" s="189"/>
      <c r="X322" s="183"/>
    </row>
    <row r="323" spans="2:24">
      <c r="B323" s="582"/>
      <c r="C323" s="585"/>
      <c r="D323" s="209">
        <v>7</v>
      </c>
      <c r="E323" s="183"/>
      <c r="F323" s="184"/>
      <c r="G323" s="183"/>
      <c r="H323" s="183"/>
      <c r="I323" s="192"/>
      <c r="J323" s="183"/>
      <c r="K323" s="192"/>
      <c r="L323" s="184"/>
      <c r="M323" s="192"/>
      <c r="N323" s="184"/>
      <c r="O323" s="183"/>
      <c r="P323" s="185"/>
      <c r="Q323" s="183"/>
      <c r="R323" s="185"/>
      <c r="S323" s="184"/>
      <c r="T323" s="183"/>
      <c r="U323" s="183"/>
      <c r="V323" s="183"/>
      <c r="W323" s="189"/>
      <c r="X323" s="183"/>
    </row>
    <row r="324" spans="2:24">
      <c r="B324" s="582"/>
      <c r="C324" s="585"/>
      <c r="D324" s="209">
        <v>8</v>
      </c>
      <c r="E324" s="183"/>
      <c r="F324" s="184"/>
      <c r="G324" s="183"/>
      <c r="H324" s="183"/>
      <c r="I324" s="192"/>
      <c r="J324" s="183"/>
      <c r="K324" s="192"/>
      <c r="L324" s="184"/>
      <c r="M324" s="192"/>
      <c r="N324" s="184"/>
      <c r="O324" s="183"/>
      <c r="P324" s="185"/>
      <c r="Q324" s="183"/>
      <c r="R324" s="185"/>
      <c r="S324" s="184"/>
      <c r="T324" s="183"/>
      <c r="U324" s="183"/>
      <c r="V324" s="183"/>
      <c r="W324" s="189"/>
      <c r="X324" s="183"/>
    </row>
    <row r="325" spans="2:24">
      <c r="B325" s="582"/>
      <c r="C325" s="585"/>
      <c r="D325" s="209">
        <v>9</v>
      </c>
      <c r="E325" s="183"/>
      <c r="F325" s="184"/>
      <c r="G325" s="183"/>
      <c r="H325" s="183"/>
      <c r="I325" s="192"/>
      <c r="J325" s="183"/>
      <c r="K325" s="192"/>
      <c r="L325" s="184"/>
      <c r="M325" s="192"/>
      <c r="N325" s="184"/>
      <c r="O325" s="183"/>
      <c r="P325" s="185"/>
      <c r="Q325" s="183"/>
      <c r="R325" s="185"/>
      <c r="S325" s="184"/>
      <c r="T325" s="183"/>
      <c r="U325" s="183"/>
      <c r="V325" s="183"/>
      <c r="W325" s="189"/>
      <c r="X325" s="183"/>
    </row>
    <row r="326" spans="2:24">
      <c r="B326" s="583"/>
      <c r="C326" s="586"/>
      <c r="D326" s="209">
        <v>10</v>
      </c>
      <c r="E326" s="183"/>
      <c r="F326" s="184"/>
      <c r="G326" s="183"/>
      <c r="H326" s="183"/>
      <c r="I326" s="192"/>
      <c r="J326" s="183"/>
      <c r="K326" s="192"/>
      <c r="L326" s="184"/>
      <c r="M326" s="192"/>
      <c r="N326" s="184"/>
      <c r="O326" s="183"/>
      <c r="P326" s="185"/>
      <c r="Q326" s="183"/>
      <c r="R326" s="185"/>
      <c r="S326" s="184"/>
      <c r="T326" s="183"/>
      <c r="U326" s="183"/>
      <c r="V326" s="183"/>
      <c r="W326" s="189"/>
      <c r="X326" s="183"/>
    </row>
    <row r="327" spans="2:24">
      <c r="B327" s="581">
        <f t="shared" si="34"/>
        <v>45933</v>
      </c>
      <c r="C327" s="584" t="s">
        <v>207</v>
      </c>
      <c r="D327" s="209">
        <v>1</v>
      </c>
      <c r="E327" s="183"/>
      <c r="F327" s="184"/>
      <c r="G327" s="183"/>
      <c r="H327" s="183"/>
      <c r="I327" s="192"/>
      <c r="J327" s="183"/>
      <c r="K327" s="192"/>
      <c r="L327" s="184"/>
      <c r="M327" s="192"/>
      <c r="N327" s="184"/>
      <c r="O327" s="183"/>
      <c r="P327" s="185"/>
      <c r="Q327" s="183"/>
      <c r="R327" s="185"/>
      <c r="S327" s="184"/>
      <c r="T327" s="183"/>
      <c r="U327" s="183"/>
      <c r="V327" s="183"/>
      <c r="W327" s="189"/>
      <c r="X327" s="183"/>
    </row>
    <row r="328" spans="2:24">
      <c r="B328" s="582"/>
      <c r="C328" s="585"/>
      <c r="D328" s="209">
        <v>2</v>
      </c>
      <c r="E328" s="183"/>
      <c r="F328" s="184"/>
      <c r="G328" s="183"/>
      <c r="H328" s="183"/>
      <c r="I328" s="192"/>
      <c r="J328" s="183"/>
      <c r="K328" s="192"/>
      <c r="L328" s="184"/>
      <c r="M328" s="192"/>
      <c r="N328" s="184"/>
      <c r="O328" s="183"/>
      <c r="P328" s="185"/>
      <c r="Q328" s="183"/>
      <c r="R328" s="185"/>
      <c r="S328" s="184"/>
      <c r="T328" s="183"/>
      <c r="U328" s="183"/>
      <c r="V328" s="183"/>
      <c r="W328" s="189"/>
      <c r="X328" s="183"/>
    </row>
    <row r="329" spans="2:24">
      <c r="B329" s="582"/>
      <c r="C329" s="585"/>
      <c r="D329" s="209">
        <v>3</v>
      </c>
      <c r="E329" s="183"/>
      <c r="F329" s="184"/>
      <c r="G329" s="183"/>
      <c r="H329" s="183"/>
      <c r="I329" s="192"/>
      <c r="J329" s="183"/>
      <c r="K329" s="192"/>
      <c r="L329" s="184"/>
      <c r="M329" s="192"/>
      <c r="N329" s="184"/>
      <c r="O329" s="183"/>
      <c r="P329" s="185"/>
      <c r="Q329" s="183"/>
      <c r="R329" s="185"/>
      <c r="S329" s="184"/>
      <c r="T329" s="183"/>
      <c r="U329" s="183"/>
      <c r="V329" s="183"/>
      <c r="W329" s="189"/>
      <c r="X329" s="183"/>
    </row>
    <row r="330" spans="2:24">
      <c r="B330" s="582"/>
      <c r="C330" s="585"/>
      <c r="D330" s="209">
        <v>4</v>
      </c>
      <c r="E330" s="183"/>
      <c r="F330" s="184"/>
      <c r="G330" s="183"/>
      <c r="H330" s="183"/>
      <c r="I330" s="192"/>
      <c r="J330" s="183"/>
      <c r="K330" s="192"/>
      <c r="L330" s="184"/>
      <c r="M330" s="192"/>
      <c r="N330" s="184"/>
      <c r="O330" s="183"/>
      <c r="P330" s="185"/>
      <c r="Q330" s="183"/>
      <c r="R330" s="185"/>
      <c r="S330" s="184"/>
      <c r="T330" s="183"/>
      <c r="U330" s="183"/>
      <c r="V330" s="183"/>
      <c r="W330" s="189"/>
      <c r="X330" s="183"/>
    </row>
    <row r="331" spans="2:24">
      <c r="B331" s="582"/>
      <c r="C331" s="585"/>
      <c r="D331" s="209">
        <v>5</v>
      </c>
      <c r="E331" s="183"/>
      <c r="F331" s="184"/>
      <c r="G331" s="183"/>
      <c r="H331" s="183"/>
      <c r="I331" s="192"/>
      <c r="J331" s="183"/>
      <c r="K331" s="192"/>
      <c r="L331" s="184"/>
      <c r="M331" s="192"/>
      <c r="N331" s="184"/>
      <c r="O331" s="183"/>
      <c r="P331" s="185"/>
      <c r="Q331" s="183"/>
      <c r="R331" s="185"/>
      <c r="S331" s="184"/>
      <c r="T331" s="183"/>
      <c r="U331" s="183"/>
      <c r="V331" s="183"/>
      <c r="W331" s="189"/>
      <c r="X331" s="183"/>
    </row>
    <row r="332" spans="2:24">
      <c r="B332" s="582"/>
      <c r="C332" s="585"/>
      <c r="D332" s="209">
        <v>6</v>
      </c>
      <c r="E332" s="183"/>
      <c r="F332" s="184"/>
      <c r="G332" s="183"/>
      <c r="H332" s="183"/>
      <c r="I332" s="192"/>
      <c r="J332" s="183"/>
      <c r="K332" s="192"/>
      <c r="L332" s="184"/>
      <c r="M332" s="192"/>
      <c r="N332" s="184"/>
      <c r="O332" s="183"/>
      <c r="P332" s="185"/>
      <c r="Q332" s="183"/>
      <c r="R332" s="185"/>
      <c r="S332" s="184"/>
      <c r="T332" s="183"/>
      <c r="U332" s="183"/>
      <c r="V332" s="183"/>
      <c r="W332" s="189"/>
      <c r="X332" s="183"/>
    </row>
    <row r="333" spans="2:24">
      <c r="B333" s="582"/>
      <c r="C333" s="585"/>
      <c r="D333" s="209">
        <v>7</v>
      </c>
      <c r="E333" s="183"/>
      <c r="F333" s="184"/>
      <c r="G333" s="183"/>
      <c r="H333" s="183"/>
      <c r="I333" s="192"/>
      <c r="J333" s="183"/>
      <c r="K333" s="192"/>
      <c r="L333" s="184"/>
      <c r="M333" s="192"/>
      <c r="N333" s="184"/>
      <c r="O333" s="183"/>
      <c r="P333" s="185"/>
      <c r="Q333" s="183"/>
      <c r="R333" s="185"/>
      <c r="S333" s="184"/>
      <c r="T333" s="183"/>
      <c r="U333" s="183"/>
      <c r="V333" s="183"/>
      <c r="W333" s="189"/>
      <c r="X333" s="183"/>
    </row>
    <row r="334" spans="2:24">
      <c r="B334" s="582"/>
      <c r="C334" s="585"/>
      <c r="D334" s="209">
        <v>8</v>
      </c>
      <c r="E334" s="183"/>
      <c r="F334" s="184"/>
      <c r="G334" s="183"/>
      <c r="H334" s="183"/>
      <c r="I334" s="192"/>
      <c r="J334" s="183"/>
      <c r="K334" s="192"/>
      <c r="L334" s="184"/>
      <c r="M334" s="192"/>
      <c r="N334" s="184"/>
      <c r="O334" s="183"/>
      <c r="P334" s="185"/>
      <c r="Q334" s="183"/>
      <c r="R334" s="185"/>
      <c r="S334" s="184"/>
      <c r="T334" s="183"/>
      <c r="U334" s="183"/>
      <c r="V334" s="183"/>
      <c r="W334" s="189"/>
      <c r="X334" s="183"/>
    </row>
    <row r="335" spans="2:24">
      <c r="B335" s="582"/>
      <c r="C335" s="585"/>
      <c r="D335" s="209">
        <v>9</v>
      </c>
      <c r="E335" s="183"/>
      <c r="F335" s="184"/>
      <c r="G335" s="183"/>
      <c r="H335" s="183"/>
      <c r="I335" s="192"/>
      <c r="J335" s="183"/>
      <c r="K335" s="192"/>
      <c r="L335" s="184"/>
      <c r="M335" s="192"/>
      <c r="N335" s="184"/>
      <c r="O335" s="183"/>
      <c r="P335" s="185"/>
      <c r="Q335" s="183"/>
      <c r="R335" s="185"/>
      <c r="S335" s="184"/>
      <c r="T335" s="183"/>
      <c r="U335" s="183"/>
      <c r="V335" s="183"/>
      <c r="W335" s="189"/>
      <c r="X335" s="183"/>
    </row>
    <row r="336" spans="2:24">
      <c r="B336" s="583"/>
      <c r="C336" s="586"/>
      <c r="D336" s="209">
        <v>10</v>
      </c>
      <c r="E336" s="183"/>
      <c r="F336" s="184"/>
      <c r="G336" s="183"/>
      <c r="H336" s="183"/>
      <c r="I336" s="192"/>
      <c r="J336" s="183"/>
      <c r="K336" s="192"/>
      <c r="L336" s="184"/>
      <c r="M336" s="192"/>
      <c r="N336" s="184"/>
      <c r="O336" s="183"/>
      <c r="P336" s="185"/>
      <c r="Q336" s="183"/>
      <c r="R336" s="185"/>
      <c r="S336" s="184"/>
      <c r="T336" s="183"/>
      <c r="U336" s="183"/>
      <c r="V336" s="183"/>
      <c r="W336" s="189"/>
      <c r="X336" s="183"/>
    </row>
    <row r="337" spans="2:24">
      <c r="B337" s="581">
        <f t="shared" si="34"/>
        <v>45934</v>
      </c>
      <c r="C337" s="584" t="s">
        <v>208</v>
      </c>
      <c r="D337" s="209">
        <v>1</v>
      </c>
      <c r="E337" s="183"/>
      <c r="F337" s="184"/>
      <c r="G337" s="183"/>
      <c r="H337" s="183"/>
      <c r="I337" s="192"/>
      <c r="J337" s="183"/>
      <c r="K337" s="192"/>
      <c r="L337" s="184"/>
      <c r="M337" s="192"/>
      <c r="N337" s="184"/>
      <c r="O337" s="183"/>
      <c r="P337" s="185"/>
      <c r="Q337" s="183"/>
      <c r="R337" s="185"/>
      <c r="S337" s="184"/>
      <c r="T337" s="183"/>
      <c r="U337" s="183"/>
      <c r="V337" s="183"/>
      <c r="W337" s="189"/>
      <c r="X337" s="183"/>
    </row>
    <row r="338" spans="2:24">
      <c r="B338" s="582"/>
      <c r="C338" s="585"/>
      <c r="D338" s="209">
        <v>2</v>
      </c>
      <c r="E338" s="183"/>
      <c r="F338" s="184"/>
      <c r="G338" s="183"/>
      <c r="H338" s="183"/>
      <c r="I338" s="192"/>
      <c r="J338" s="183"/>
      <c r="K338" s="192"/>
      <c r="L338" s="184"/>
      <c r="M338" s="192"/>
      <c r="N338" s="184"/>
      <c r="O338" s="183"/>
      <c r="P338" s="185"/>
      <c r="Q338" s="183"/>
      <c r="R338" s="185"/>
      <c r="S338" s="184"/>
      <c r="T338" s="183"/>
      <c r="U338" s="183"/>
      <c r="V338" s="183"/>
      <c r="W338" s="189"/>
      <c r="X338" s="183"/>
    </row>
    <row r="339" spans="2:24">
      <c r="B339" s="582"/>
      <c r="C339" s="585"/>
      <c r="D339" s="209">
        <v>3</v>
      </c>
      <c r="E339" s="183"/>
      <c r="F339" s="184"/>
      <c r="G339" s="183"/>
      <c r="H339" s="183"/>
      <c r="I339" s="192"/>
      <c r="J339" s="183"/>
      <c r="K339" s="192"/>
      <c r="L339" s="184"/>
      <c r="M339" s="192"/>
      <c r="N339" s="184"/>
      <c r="O339" s="183"/>
      <c r="P339" s="185"/>
      <c r="Q339" s="183"/>
      <c r="R339" s="185"/>
      <c r="S339" s="184"/>
      <c r="T339" s="183"/>
      <c r="U339" s="183"/>
      <c r="V339" s="183"/>
      <c r="W339" s="189"/>
      <c r="X339" s="183"/>
    </row>
    <row r="340" spans="2:24">
      <c r="B340" s="582"/>
      <c r="C340" s="585"/>
      <c r="D340" s="209">
        <v>4</v>
      </c>
      <c r="E340" s="183"/>
      <c r="F340" s="184"/>
      <c r="G340" s="183"/>
      <c r="H340" s="183"/>
      <c r="I340" s="192"/>
      <c r="J340" s="183"/>
      <c r="K340" s="192"/>
      <c r="L340" s="184"/>
      <c r="M340" s="192"/>
      <c r="N340" s="184"/>
      <c r="O340" s="183"/>
      <c r="P340" s="185"/>
      <c r="Q340" s="183"/>
      <c r="R340" s="185"/>
      <c r="S340" s="184"/>
      <c r="T340" s="183"/>
      <c r="U340" s="183"/>
      <c r="V340" s="183"/>
      <c r="W340" s="189"/>
      <c r="X340" s="183"/>
    </row>
    <row r="341" spans="2:24">
      <c r="B341" s="582"/>
      <c r="C341" s="585"/>
      <c r="D341" s="209">
        <v>5</v>
      </c>
      <c r="E341" s="183"/>
      <c r="F341" s="184"/>
      <c r="G341" s="183"/>
      <c r="H341" s="183"/>
      <c r="I341" s="192"/>
      <c r="J341" s="183"/>
      <c r="K341" s="192"/>
      <c r="L341" s="184"/>
      <c r="M341" s="192"/>
      <c r="N341" s="184"/>
      <c r="O341" s="183"/>
      <c r="P341" s="185"/>
      <c r="Q341" s="183"/>
      <c r="R341" s="185"/>
      <c r="S341" s="184"/>
      <c r="T341" s="183"/>
      <c r="U341" s="183"/>
      <c r="V341" s="183"/>
      <c r="W341" s="189"/>
      <c r="X341" s="183"/>
    </row>
    <row r="342" spans="2:24">
      <c r="B342" s="582"/>
      <c r="C342" s="585"/>
      <c r="D342" s="209">
        <v>6</v>
      </c>
      <c r="E342" s="183"/>
      <c r="F342" s="184"/>
      <c r="G342" s="183"/>
      <c r="H342" s="183"/>
      <c r="I342" s="192"/>
      <c r="J342" s="183"/>
      <c r="K342" s="192"/>
      <c r="L342" s="184"/>
      <c r="M342" s="192"/>
      <c r="N342" s="184"/>
      <c r="O342" s="183"/>
      <c r="P342" s="185"/>
      <c r="Q342" s="183"/>
      <c r="R342" s="185"/>
      <c r="S342" s="184"/>
      <c r="T342" s="183"/>
      <c r="U342" s="183"/>
      <c r="V342" s="183"/>
      <c r="W342" s="189"/>
      <c r="X342" s="183"/>
    </row>
    <row r="343" spans="2:24">
      <c r="B343" s="582"/>
      <c r="C343" s="585"/>
      <c r="D343" s="209">
        <v>7</v>
      </c>
      <c r="E343" s="183"/>
      <c r="F343" s="184"/>
      <c r="G343" s="183"/>
      <c r="H343" s="183"/>
      <c r="I343" s="192"/>
      <c r="J343" s="183"/>
      <c r="K343" s="192"/>
      <c r="L343" s="184"/>
      <c r="M343" s="192"/>
      <c r="N343" s="184"/>
      <c r="O343" s="183"/>
      <c r="P343" s="185"/>
      <c r="Q343" s="183"/>
      <c r="R343" s="185"/>
      <c r="S343" s="184"/>
      <c r="T343" s="183"/>
      <c r="U343" s="183"/>
      <c r="V343" s="183"/>
      <c r="W343" s="189"/>
      <c r="X343" s="183"/>
    </row>
    <row r="344" spans="2:24">
      <c r="B344" s="582"/>
      <c r="C344" s="585"/>
      <c r="D344" s="209">
        <v>8</v>
      </c>
      <c r="E344" s="183"/>
      <c r="F344" s="184"/>
      <c r="G344" s="183"/>
      <c r="H344" s="183"/>
      <c r="I344" s="192"/>
      <c r="J344" s="183"/>
      <c r="K344" s="192"/>
      <c r="L344" s="184"/>
      <c r="M344" s="192"/>
      <c r="N344" s="184"/>
      <c r="O344" s="183"/>
      <c r="P344" s="185"/>
      <c r="Q344" s="183"/>
      <c r="R344" s="185"/>
      <c r="S344" s="184"/>
      <c r="T344" s="183"/>
      <c r="U344" s="183"/>
      <c r="V344" s="183"/>
      <c r="W344" s="189"/>
      <c r="X344" s="183"/>
    </row>
    <row r="345" spans="2:24">
      <c r="B345" s="582"/>
      <c r="C345" s="585"/>
      <c r="D345" s="209">
        <v>9</v>
      </c>
      <c r="E345" s="183"/>
      <c r="F345" s="184"/>
      <c r="G345" s="183"/>
      <c r="H345" s="183"/>
      <c r="I345" s="192"/>
      <c r="J345" s="183"/>
      <c r="K345" s="192"/>
      <c r="L345" s="184"/>
      <c r="M345" s="192"/>
      <c r="N345" s="184"/>
      <c r="O345" s="183"/>
      <c r="P345" s="185"/>
      <c r="Q345" s="183"/>
      <c r="R345" s="185"/>
      <c r="S345" s="184"/>
      <c r="T345" s="183"/>
      <c r="U345" s="183"/>
      <c r="V345" s="183"/>
      <c r="W345" s="189"/>
      <c r="X345" s="183"/>
    </row>
    <row r="346" spans="2:24">
      <c r="B346" s="583"/>
      <c r="C346" s="586"/>
      <c r="D346" s="209">
        <v>10</v>
      </c>
      <c r="E346" s="183"/>
      <c r="F346" s="184"/>
      <c r="G346" s="183"/>
      <c r="H346" s="183"/>
      <c r="I346" s="192"/>
      <c r="J346" s="183"/>
      <c r="K346" s="192"/>
      <c r="L346" s="184"/>
      <c r="M346" s="192"/>
      <c r="N346" s="184"/>
      <c r="O346" s="183"/>
      <c r="P346" s="185"/>
      <c r="Q346" s="183"/>
      <c r="R346" s="185"/>
      <c r="S346" s="184"/>
      <c r="T346" s="183"/>
      <c r="U346" s="183"/>
      <c r="V346" s="183"/>
      <c r="W346" s="189"/>
      <c r="X346" s="183"/>
    </row>
    <row r="347" spans="2:24">
      <c r="B347" s="581">
        <f t="shared" si="34"/>
        <v>45935</v>
      </c>
      <c r="C347" s="584" t="s">
        <v>157</v>
      </c>
      <c r="D347" s="209">
        <v>1</v>
      </c>
      <c r="E347" s="183"/>
      <c r="F347" s="184"/>
      <c r="G347" s="183"/>
      <c r="H347" s="183"/>
      <c r="I347" s="192"/>
      <c r="J347" s="183"/>
      <c r="K347" s="192"/>
      <c r="L347" s="184"/>
      <c r="M347" s="192"/>
      <c r="N347" s="184"/>
      <c r="O347" s="183"/>
      <c r="P347" s="185"/>
      <c r="Q347" s="183"/>
      <c r="R347" s="185"/>
      <c r="S347" s="184"/>
      <c r="T347" s="183"/>
      <c r="U347" s="183"/>
      <c r="V347" s="183"/>
      <c r="W347" s="189"/>
      <c r="X347" s="183"/>
    </row>
    <row r="348" spans="2:24">
      <c r="B348" s="582"/>
      <c r="C348" s="585"/>
      <c r="D348" s="209">
        <v>2</v>
      </c>
      <c r="E348" s="183"/>
      <c r="F348" s="184"/>
      <c r="G348" s="183"/>
      <c r="H348" s="183"/>
      <c r="I348" s="192"/>
      <c r="J348" s="183"/>
      <c r="K348" s="192"/>
      <c r="L348" s="184"/>
      <c r="M348" s="192"/>
      <c r="N348" s="184"/>
      <c r="O348" s="183"/>
      <c r="P348" s="185"/>
      <c r="Q348" s="183"/>
      <c r="R348" s="185"/>
      <c r="S348" s="184"/>
      <c r="T348" s="183"/>
      <c r="U348" s="183"/>
      <c r="V348" s="183"/>
      <c r="W348" s="189"/>
      <c r="X348" s="183"/>
    </row>
    <row r="349" spans="2:24">
      <c r="B349" s="582"/>
      <c r="C349" s="585"/>
      <c r="D349" s="209">
        <v>3</v>
      </c>
      <c r="E349" s="183"/>
      <c r="F349" s="184"/>
      <c r="G349" s="183"/>
      <c r="H349" s="183"/>
      <c r="I349" s="192"/>
      <c r="J349" s="183"/>
      <c r="K349" s="192"/>
      <c r="L349" s="184"/>
      <c r="M349" s="192"/>
      <c r="N349" s="184"/>
      <c r="O349" s="183"/>
      <c r="P349" s="185"/>
      <c r="Q349" s="183"/>
      <c r="R349" s="185"/>
      <c r="S349" s="184"/>
      <c r="T349" s="183"/>
      <c r="U349" s="183"/>
      <c r="V349" s="183"/>
      <c r="W349" s="189"/>
      <c r="X349" s="183"/>
    </row>
    <row r="350" spans="2:24">
      <c r="B350" s="582"/>
      <c r="C350" s="585"/>
      <c r="D350" s="209">
        <v>4</v>
      </c>
      <c r="E350" s="183"/>
      <c r="F350" s="184"/>
      <c r="G350" s="183"/>
      <c r="H350" s="183"/>
      <c r="I350" s="192"/>
      <c r="J350" s="183"/>
      <c r="K350" s="192"/>
      <c r="L350" s="184"/>
      <c r="M350" s="192"/>
      <c r="N350" s="184"/>
      <c r="O350" s="183"/>
      <c r="P350" s="185"/>
      <c r="Q350" s="183"/>
      <c r="R350" s="185"/>
      <c r="S350" s="184"/>
      <c r="T350" s="183"/>
      <c r="U350" s="183"/>
      <c r="V350" s="183"/>
      <c r="W350" s="189"/>
      <c r="X350" s="183"/>
    </row>
    <row r="351" spans="2:24">
      <c r="B351" s="582"/>
      <c r="C351" s="585"/>
      <c r="D351" s="209">
        <v>5</v>
      </c>
      <c r="E351" s="183"/>
      <c r="F351" s="184"/>
      <c r="G351" s="183"/>
      <c r="H351" s="183"/>
      <c r="I351" s="192"/>
      <c r="J351" s="183"/>
      <c r="K351" s="192"/>
      <c r="L351" s="184"/>
      <c r="M351" s="192"/>
      <c r="N351" s="184"/>
      <c r="O351" s="183"/>
      <c r="P351" s="185"/>
      <c r="Q351" s="183"/>
      <c r="R351" s="185"/>
      <c r="S351" s="184"/>
      <c r="T351" s="183"/>
      <c r="U351" s="183"/>
      <c r="V351" s="183"/>
      <c r="W351" s="189"/>
      <c r="X351" s="183"/>
    </row>
    <row r="352" spans="2:24">
      <c r="B352" s="582"/>
      <c r="C352" s="585"/>
      <c r="D352" s="209">
        <v>6</v>
      </c>
      <c r="E352" s="183"/>
      <c r="F352" s="184"/>
      <c r="G352" s="183"/>
      <c r="H352" s="183"/>
      <c r="I352" s="192"/>
      <c r="J352" s="183"/>
      <c r="K352" s="192"/>
      <c r="L352" s="184"/>
      <c r="M352" s="192"/>
      <c r="N352" s="184"/>
      <c r="O352" s="183"/>
      <c r="P352" s="185"/>
      <c r="Q352" s="183"/>
      <c r="R352" s="185"/>
      <c r="S352" s="184"/>
      <c r="T352" s="183"/>
      <c r="U352" s="183"/>
      <c r="V352" s="183"/>
      <c r="W352" s="189"/>
      <c r="X352" s="183"/>
    </row>
    <row r="353" spans="2:24">
      <c r="B353" s="582"/>
      <c r="C353" s="585"/>
      <c r="D353" s="209">
        <v>7</v>
      </c>
      <c r="E353" s="183"/>
      <c r="F353" s="184"/>
      <c r="G353" s="183"/>
      <c r="H353" s="183"/>
      <c r="I353" s="192"/>
      <c r="J353" s="183"/>
      <c r="K353" s="192"/>
      <c r="L353" s="184"/>
      <c r="M353" s="192"/>
      <c r="N353" s="184"/>
      <c r="O353" s="183"/>
      <c r="P353" s="185"/>
      <c r="Q353" s="183"/>
      <c r="R353" s="185"/>
      <c r="S353" s="184"/>
      <c r="T353" s="183"/>
      <c r="U353" s="183"/>
      <c r="V353" s="183"/>
      <c r="W353" s="189"/>
      <c r="X353" s="183"/>
    </row>
    <row r="354" spans="2:24">
      <c r="B354" s="582"/>
      <c r="C354" s="585"/>
      <c r="D354" s="209">
        <v>8</v>
      </c>
      <c r="E354" s="183"/>
      <c r="F354" s="184"/>
      <c r="G354" s="183"/>
      <c r="H354" s="183"/>
      <c r="I354" s="192"/>
      <c r="J354" s="183"/>
      <c r="K354" s="192"/>
      <c r="L354" s="184"/>
      <c r="M354" s="192"/>
      <c r="N354" s="184"/>
      <c r="O354" s="183"/>
      <c r="P354" s="185"/>
      <c r="Q354" s="183"/>
      <c r="R354" s="185"/>
      <c r="S354" s="184"/>
      <c r="T354" s="183"/>
      <c r="U354" s="183"/>
      <c r="V354" s="183"/>
      <c r="W354" s="189"/>
      <c r="X354" s="183"/>
    </row>
    <row r="355" spans="2:24">
      <c r="B355" s="582"/>
      <c r="C355" s="585"/>
      <c r="D355" s="209">
        <v>9</v>
      </c>
      <c r="E355" s="183"/>
      <c r="F355" s="184"/>
      <c r="G355" s="183"/>
      <c r="H355" s="183"/>
      <c r="I355" s="192"/>
      <c r="J355" s="183"/>
      <c r="K355" s="192"/>
      <c r="L355" s="184"/>
      <c r="M355" s="192"/>
      <c r="N355" s="184"/>
      <c r="O355" s="183"/>
      <c r="P355" s="185"/>
      <c r="Q355" s="183"/>
      <c r="R355" s="185"/>
      <c r="S355" s="184"/>
      <c r="T355" s="183"/>
      <c r="U355" s="183"/>
      <c r="V355" s="183"/>
      <c r="W355" s="189"/>
      <c r="X355" s="183"/>
    </row>
    <row r="356" spans="2:24">
      <c r="B356" s="583"/>
      <c r="C356" s="586"/>
      <c r="D356" s="209">
        <v>10</v>
      </c>
      <c r="E356" s="183"/>
      <c r="F356" s="184"/>
      <c r="G356" s="183"/>
      <c r="H356" s="183"/>
      <c r="I356" s="192"/>
      <c r="J356" s="183"/>
      <c r="K356" s="192"/>
      <c r="L356" s="184"/>
      <c r="M356" s="192"/>
      <c r="N356" s="184"/>
      <c r="O356" s="183"/>
      <c r="P356" s="185"/>
      <c r="Q356" s="183"/>
      <c r="R356" s="185"/>
      <c r="S356" s="184"/>
      <c r="T356" s="183"/>
      <c r="U356" s="183"/>
      <c r="V356" s="183"/>
      <c r="W356" s="189"/>
      <c r="X356" s="183"/>
    </row>
    <row r="357" spans="2:24">
      <c r="B357" s="581">
        <f t="shared" si="34"/>
        <v>45936</v>
      </c>
      <c r="C357" s="584" t="s">
        <v>209</v>
      </c>
      <c r="D357" s="209">
        <v>1</v>
      </c>
      <c r="E357" s="183"/>
      <c r="F357" s="184"/>
      <c r="G357" s="183"/>
      <c r="H357" s="183"/>
      <c r="I357" s="192"/>
      <c r="J357" s="183"/>
      <c r="K357" s="192"/>
      <c r="L357" s="184"/>
      <c r="M357" s="192"/>
      <c r="N357" s="184"/>
      <c r="O357" s="183"/>
      <c r="P357" s="185"/>
      <c r="Q357" s="183"/>
      <c r="R357" s="185"/>
      <c r="S357" s="184"/>
      <c r="T357" s="183"/>
      <c r="U357" s="183"/>
      <c r="V357" s="183"/>
      <c r="W357" s="189"/>
      <c r="X357" s="183"/>
    </row>
    <row r="358" spans="2:24">
      <c r="B358" s="582"/>
      <c r="C358" s="585"/>
      <c r="D358" s="209">
        <v>2</v>
      </c>
      <c r="E358" s="183"/>
      <c r="F358" s="184"/>
      <c r="G358" s="183"/>
      <c r="H358" s="183"/>
      <c r="I358" s="192"/>
      <c r="J358" s="183"/>
      <c r="K358" s="192"/>
      <c r="L358" s="184"/>
      <c r="M358" s="192"/>
      <c r="N358" s="184"/>
      <c r="O358" s="183"/>
      <c r="P358" s="185"/>
      <c r="Q358" s="183"/>
      <c r="R358" s="185"/>
      <c r="S358" s="184"/>
      <c r="T358" s="183"/>
      <c r="U358" s="183"/>
      <c r="V358" s="183"/>
      <c r="W358" s="189"/>
      <c r="X358" s="183"/>
    </row>
    <row r="359" spans="2:24">
      <c r="B359" s="582"/>
      <c r="C359" s="585"/>
      <c r="D359" s="209">
        <v>3</v>
      </c>
      <c r="E359" s="183"/>
      <c r="F359" s="184"/>
      <c r="G359" s="183"/>
      <c r="H359" s="183"/>
      <c r="I359" s="192"/>
      <c r="J359" s="183"/>
      <c r="K359" s="192"/>
      <c r="L359" s="184"/>
      <c r="M359" s="192"/>
      <c r="N359" s="184"/>
      <c r="O359" s="183"/>
      <c r="P359" s="185"/>
      <c r="Q359" s="183"/>
      <c r="R359" s="185"/>
      <c r="S359" s="184"/>
      <c r="T359" s="183"/>
      <c r="U359" s="183"/>
      <c r="V359" s="183"/>
      <c r="W359" s="189"/>
      <c r="X359" s="183"/>
    </row>
    <row r="360" spans="2:24">
      <c r="B360" s="582"/>
      <c r="C360" s="585"/>
      <c r="D360" s="209">
        <v>4</v>
      </c>
      <c r="E360" s="183"/>
      <c r="F360" s="184"/>
      <c r="G360" s="183"/>
      <c r="H360" s="183"/>
      <c r="I360" s="192"/>
      <c r="J360" s="183"/>
      <c r="K360" s="192"/>
      <c r="L360" s="184"/>
      <c r="M360" s="192"/>
      <c r="N360" s="184"/>
      <c r="O360" s="183"/>
      <c r="P360" s="185"/>
      <c r="Q360" s="183"/>
      <c r="R360" s="185"/>
      <c r="S360" s="184"/>
      <c r="T360" s="183"/>
      <c r="U360" s="183"/>
      <c r="V360" s="183"/>
      <c r="W360" s="189"/>
      <c r="X360" s="183"/>
    </row>
    <row r="361" spans="2:24">
      <c r="B361" s="582"/>
      <c r="C361" s="585"/>
      <c r="D361" s="209">
        <v>5</v>
      </c>
      <c r="E361" s="183"/>
      <c r="F361" s="184"/>
      <c r="G361" s="183"/>
      <c r="H361" s="183"/>
      <c r="I361" s="192"/>
      <c r="J361" s="183"/>
      <c r="K361" s="192"/>
      <c r="L361" s="184"/>
      <c r="M361" s="192"/>
      <c r="N361" s="184"/>
      <c r="O361" s="183"/>
      <c r="P361" s="185"/>
      <c r="Q361" s="183"/>
      <c r="R361" s="185"/>
      <c r="S361" s="184"/>
      <c r="T361" s="183"/>
      <c r="U361" s="183"/>
      <c r="V361" s="183"/>
      <c r="W361" s="189"/>
      <c r="X361" s="183"/>
    </row>
    <row r="362" spans="2:24">
      <c r="B362" s="582"/>
      <c r="C362" s="585"/>
      <c r="D362" s="209">
        <v>6</v>
      </c>
      <c r="E362" s="183"/>
      <c r="F362" s="184"/>
      <c r="G362" s="183"/>
      <c r="H362" s="183"/>
      <c r="I362" s="192"/>
      <c r="J362" s="183"/>
      <c r="K362" s="192"/>
      <c r="L362" s="184"/>
      <c r="M362" s="192"/>
      <c r="N362" s="184"/>
      <c r="O362" s="183"/>
      <c r="P362" s="185"/>
      <c r="Q362" s="183"/>
      <c r="R362" s="185"/>
      <c r="S362" s="184"/>
      <c r="T362" s="183"/>
      <c r="U362" s="183"/>
      <c r="V362" s="183"/>
      <c r="W362" s="189"/>
      <c r="X362" s="183"/>
    </row>
    <row r="363" spans="2:24">
      <c r="B363" s="582"/>
      <c r="C363" s="585"/>
      <c r="D363" s="209">
        <v>7</v>
      </c>
      <c r="E363" s="183"/>
      <c r="F363" s="184"/>
      <c r="G363" s="183"/>
      <c r="H363" s="183"/>
      <c r="I363" s="192"/>
      <c r="J363" s="183"/>
      <c r="K363" s="192"/>
      <c r="L363" s="184"/>
      <c r="M363" s="192"/>
      <c r="N363" s="184"/>
      <c r="O363" s="183"/>
      <c r="P363" s="185"/>
      <c r="Q363" s="183"/>
      <c r="R363" s="185"/>
      <c r="S363" s="184"/>
      <c r="T363" s="183"/>
      <c r="U363" s="183"/>
      <c r="V363" s="183"/>
      <c r="W363" s="189"/>
      <c r="X363" s="183"/>
    </row>
    <row r="364" spans="2:24">
      <c r="B364" s="582"/>
      <c r="C364" s="585"/>
      <c r="D364" s="209">
        <v>8</v>
      </c>
      <c r="E364" s="183"/>
      <c r="F364" s="184"/>
      <c r="G364" s="183"/>
      <c r="H364" s="183"/>
      <c r="I364" s="192"/>
      <c r="J364" s="183"/>
      <c r="K364" s="192"/>
      <c r="L364" s="184"/>
      <c r="M364" s="192"/>
      <c r="N364" s="184"/>
      <c r="O364" s="183"/>
      <c r="P364" s="185"/>
      <c r="Q364" s="183"/>
      <c r="R364" s="185"/>
      <c r="S364" s="184"/>
      <c r="T364" s="183"/>
      <c r="U364" s="183"/>
      <c r="V364" s="183"/>
      <c r="W364" s="189"/>
      <c r="X364" s="183"/>
    </row>
    <row r="365" spans="2:24">
      <c r="B365" s="582"/>
      <c r="C365" s="585"/>
      <c r="D365" s="209">
        <v>9</v>
      </c>
      <c r="E365" s="183"/>
      <c r="F365" s="184"/>
      <c r="G365" s="183"/>
      <c r="H365" s="183"/>
      <c r="I365" s="192"/>
      <c r="J365" s="183"/>
      <c r="K365" s="192"/>
      <c r="L365" s="184"/>
      <c r="M365" s="192"/>
      <c r="N365" s="184"/>
      <c r="O365" s="183"/>
      <c r="P365" s="185"/>
      <c r="Q365" s="183"/>
      <c r="R365" s="185"/>
      <c r="S365" s="184"/>
      <c r="T365" s="183"/>
      <c r="U365" s="183"/>
      <c r="V365" s="183"/>
      <c r="W365" s="189"/>
      <c r="X365" s="183"/>
    </row>
    <row r="366" spans="2:24">
      <c r="B366" s="583"/>
      <c r="C366" s="586"/>
      <c r="D366" s="209">
        <v>10</v>
      </c>
      <c r="E366" s="183"/>
      <c r="F366" s="184"/>
      <c r="G366" s="183"/>
      <c r="H366" s="183"/>
      <c r="I366" s="192"/>
      <c r="J366" s="183"/>
      <c r="K366" s="192"/>
      <c r="L366" s="184"/>
      <c r="M366" s="192"/>
      <c r="N366" s="184"/>
      <c r="O366" s="183"/>
      <c r="P366" s="185"/>
      <c r="Q366" s="183"/>
      <c r="R366" s="185"/>
      <c r="S366" s="184"/>
      <c r="T366" s="183"/>
      <c r="U366" s="183"/>
      <c r="V366" s="183"/>
      <c r="W366" s="189"/>
      <c r="X366" s="183"/>
    </row>
  </sheetData>
  <mergeCells count="91">
    <mergeCell ref="C247:C256"/>
    <mergeCell ref="C257:C266"/>
    <mergeCell ref="C317:C326"/>
    <mergeCell ref="C267:C276"/>
    <mergeCell ref="C277:C286"/>
    <mergeCell ref="C287:C296"/>
    <mergeCell ref="C297:C306"/>
    <mergeCell ref="C307:C316"/>
    <mergeCell ref="B287:B296"/>
    <mergeCell ref="B297:B306"/>
    <mergeCell ref="B307:B316"/>
    <mergeCell ref="C117:C126"/>
    <mergeCell ref="C127:C136"/>
    <mergeCell ref="C137:C146"/>
    <mergeCell ref="C147:C156"/>
    <mergeCell ref="C157:C166"/>
    <mergeCell ref="C167:C176"/>
    <mergeCell ref="C177:C186"/>
    <mergeCell ref="C187:C196"/>
    <mergeCell ref="C197:C206"/>
    <mergeCell ref="C207:C216"/>
    <mergeCell ref="C217:C226"/>
    <mergeCell ref="C227:C236"/>
    <mergeCell ref="C237:C246"/>
    <mergeCell ref="B237:B246"/>
    <mergeCell ref="B247:B256"/>
    <mergeCell ref="B257:B266"/>
    <mergeCell ref="B267:B276"/>
    <mergeCell ref="B277:B286"/>
    <mergeCell ref="B187:B196"/>
    <mergeCell ref="B197:B206"/>
    <mergeCell ref="B207:B216"/>
    <mergeCell ref="B217:B226"/>
    <mergeCell ref="B227:B236"/>
    <mergeCell ref="B137:B146"/>
    <mergeCell ref="B147:B156"/>
    <mergeCell ref="B157:B166"/>
    <mergeCell ref="B167:B176"/>
    <mergeCell ref="B177:B186"/>
    <mergeCell ref="B57:B66"/>
    <mergeCell ref="C57:C66"/>
    <mergeCell ref="B67:B76"/>
    <mergeCell ref="B117:B126"/>
    <mergeCell ref="B127:B136"/>
    <mergeCell ref="B107:B116"/>
    <mergeCell ref="C107:C116"/>
    <mergeCell ref="B97:B106"/>
    <mergeCell ref="C97:C106"/>
    <mergeCell ref="C67:C76"/>
    <mergeCell ref="B77:B86"/>
    <mergeCell ref="C77:C86"/>
    <mergeCell ref="B87:B96"/>
    <mergeCell ref="C87:C9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G5:N5"/>
    <mergeCell ref="O5:P5"/>
    <mergeCell ref="Q5:S5"/>
    <mergeCell ref="B47:B56"/>
    <mergeCell ref="B7:B16"/>
    <mergeCell ref="C7:C16"/>
    <mergeCell ref="D4:D6"/>
    <mergeCell ref="E4:F4"/>
    <mergeCell ref="C47:C56"/>
    <mergeCell ref="B17:B26"/>
    <mergeCell ref="C17:C26"/>
    <mergeCell ref="B27:B36"/>
    <mergeCell ref="C27:C36"/>
    <mergeCell ref="B37:B46"/>
    <mergeCell ref="C37:C46"/>
    <mergeCell ref="B347:B356"/>
    <mergeCell ref="C347:C356"/>
    <mergeCell ref="B357:B366"/>
    <mergeCell ref="C357:C366"/>
    <mergeCell ref="B317:B326"/>
    <mergeCell ref="B327:B336"/>
    <mergeCell ref="C327:C336"/>
    <mergeCell ref="B337:B346"/>
    <mergeCell ref="C337:C346"/>
  </mergeCells>
  <phoneticPr fontId="9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CC"/>
  </sheetPr>
  <dimension ref="B2:AH366"/>
  <sheetViews>
    <sheetView zoomScale="70" zoomScaleNormal="70" workbookViewId="0">
      <pane xSplit="4" ySplit="6" topLeftCell="E7" activePane="bottomRight" state="frozen"/>
      <selection pane="bottomRight" activeCell="M31" sqref="M31"/>
      <selection pane="bottomLeft" activeCell="Z121" sqref="Z121"/>
      <selection pane="topRight" activeCell="Z121" sqref="Z121"/>
    </sheetView>
  </sheetViews>
  <sheetFormatPr defaultColWidth="8.85546875" defaultRowHeight="14.25"/>
  <cols>
    <col min="1" max="1" width="8.85546875" style="181"/>
    <col min="2" max="2" width="12.42578125" style="181" customWidth="1"/>
    <col min="3" max="3" width="8.85546875" style="181"/>
    <col min="4" max="4" width="6.85546875" style="181" customWidth="1"/>
    <col min="5" max="5" width="27" style="181" customWidth="1"/>
    <col min="6" max="6" width="22.5703125" style="181" customWidth="1"/>
    <col min="7" max="7" width="14.140625" style="181" customWidth="1"/>
    <col min="8" max="8" width="14" style="181" customWidth="1"/>
    <col min="9" max="9" width="16.85546875" style="181" customWidth="1"/>
    <col min="10" max="12" width="14" style="181" customWidth="1"/>
    <col min="13" max="13" width="19.42578125" style="181" customWidth="1"/>
    <col min="14" max="18" width="14" style="181" customWidth="1"/>
    <col min="19" max="19" width="8.85546875" style="181"/>
    <col min="20" max="20" width="10.140625" style="181" customWidth="1"/>
    <col min="21" max="21" width="15.5703125" style="181" customWidth="1"/>
    <col min="22" max="22" width="15.5703125" style="181" bestFit="1" customWidth="1"/>
    <col min="23" max="23" width="7.42578125" style="181" bestFit="1" customWidth="1"/>
    <col min="24" max="24" width="32.5703125" style="181" bestFit="1" customWidth="1"/>
    <col min="25" max="25" width="8.85546875" style="181"/>
    <col min="26" max="27" width="21.5703125" style="181" customWidth="1"/>
    <col min="28" max="33" width="14.42578125" style="181" customWidth="1"/>
    <col min="34" max="34" width="11.42578125" style="181" bestFit="1" customWidth="1"/>
    <col min="35" max="16384" width="8.85546875" style="181"/>
  </cols>
  <sheetData>
    <row r="2" spans="2:34" ht="41.1" customHeight="1">
      <c r="B2" s="594" t="s">
        <v>546</v>
      </c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  <c r="R2" s="595"/>
      <c r="S2" s="595"/>
      <c r="T2" s="595"/>
      <c r="U2" s="595"/>
      <c r="V2" s="595"/>
      <c r="W2" s="595"/>
      <c r="X2" s="595"/>
      <c r="Z2" s="182"/>
      <c r="AA2" s="182"/>
    </row>
    <row r="3" spans="2:34" ht="17.100000000000001" customHeight="1">
      <c r="B3" s="596" t="s">
        <v>150</v>
      </c>
      <c r="C3" s="597"/>
      <c r="D3" s="593" t="s">
        <v>445</v>
      </c>
      <c r="E3" s="593"/>
      <c r="F3" s="593"/>
      <c r="G3" s="593" t="s">
        <v>446</v>
      </c>
      <c r="H3" s="593"/>
      <c r="I3" s="593"/>
      <c r="J3" s="593"/>
      <c r="K3" s="593"/>
      <c r="L3" s="593"/>
      <c r="M3" s="593"/>
      <c r="N3" s="593"/>
      <c r="O3" s="593"/>
      <c r="P3" s="593"/>
      <c r="Q3" s="593"/>
      <c r="R3" s="593"/>
      <c r="S3" s="593"/>
      <c r="T3" s="593" t="s">
        <v>447</v>
      </c>
      <c r="U3" s="602" t="s">
        <v>448</v>
      </c>
      <c r="V3" s="605" t="s">
        <v>449</v>
      </c>
      <c r="W3" s="605" t="s">
        <v>450</v>
      </c>
      <c r="X3" s="608" t="s">
        <v>451</v>
      </c>
      <c r="Z3" s="593" t="s">
        <v>452</v>
      </c>
      <c r="AA3" s="593"/>
      <c r="AB3" s="593"/>
      <c r="AC3" s="593"/>
      <c r="AD3" s="593"/>
      <c r="AE3" s="593"/>
      <c r="AF3" s="593"/>
      <c r="AG3" s="593"/>
      <c r="AH3" s="593"/>
    </row>
    <row r="4" spans="2:34" ht="17.100000000000001" customHeight="1">
      <c r="B4" s="598"/>
      <c r="C4" s="599"/>
      <c r="D4" s="592" t="s">
        <v>453</v>
      </c>
      <c r="E4" s="593" t="s">
        <v>454</v>
      </c>
      <c r="F4" s="593"/>
      <c r="G4" s="593" t="s">
        <v>455</v>
      </c>
      <c r="H4" s="593"/>
      <c r="I4" s="593"/>
      <c r="J4" s="593"/>
      <c r="K4" s="593"/>
      <c r="L4" s="593"/>
      <c r="M4" s="593"/>
      <c r="N4" s="593"/>
      <c r="O4" s="593" t="s">
        <v>456</v>
      </c>
      <c r="P4" s="593"/>
      <c r="Q4" s="593"/>
      <c r="R4" s="593"/>
      <c r="S4" s="593"/>
      <c r="T4" s="593"/>
      <c r="U4" s="603"/>
      <c r="V4" s="606"/>
      <c r="W4" s="606"/>
      <c r="X4" s="608"/>
      <c r="Z4" s="593"/>
      <c r="AA4" s="593"/>
      <c r="AB4" s="593"/>
      <c r="AC4" s="593"/>
      <c r="AD4" s="593"/>
      <c r="AE4" s="593"/>
      <c r="AF4" s="593"/>
      <c r="AG4" s="593"/>
      <c r="AH4" s="593"/>
    </row>
    <row r="5" spans="2:34" ht="17.100000000000001" customHeight="1">
      <c r="B5" s="598"/>
      <c r="C5" s="599"/>
      <c r="D5" s="592"/>
      <c r="E5" s="592" t="s">
        <v>457</v>
      </c>
      <c r="F5" s="608" t="s">
        <v>547</v>
      </c>
      <c r="G5" s="587" t="s">
        <v>459</v>
      </c>
      <c r="H5" s="587"/>
      <c r="I5" s="587"/>
      <c r="J5" s="587"/>
      <c r="K5" s="587"/>
      <c r="L5" s="587"/>
      <c r="M5" s="587"/>
      <c r="N5" s="587"/>
      <c r="O5" s="609" t="s">
        <v>460</v>
      </c>
      <c r="P5" s="610"/>
      <c r="Q5" s="611"/>
      <c r="R5" s="587" t="s">
        <v>461</v>
      </c>
      <c r="S5" s="587"/>
      <c r="T5" s="593"/>
      <c r="U5" s="603"/>
      <c r="V5" s="606"/>
      <c r="W5" s="606"/>
      <c r="X5" s="608"/>
      <c r="Z5" s="593"/>
      <c r="AA5" s="593"/>
      <c r="AB5" s="593"/>
      <c r="AC5" s="593"/>
      <c r="AD5" s="593"/>
      <c r="AE5" s="593"/>
      <c r="AF5" s="593"/>
      <c r="AG5" s="593"/>
      <c r="AH5" s="593"/>
    </row>
    <row r="6" spans="2:34" ht="38.450000000000003" customHeight="1">
      <c r="B6" s="600"/>
      <c r="C6" s="601"/>
      <c r="D6" s="592"/>
      <c r="E6" s="592"/>
      <c r="F6" s="608"/>
      <c r="G6" s="190" t="s">
        <v>462</v>
      </c>
      <c r="H6" s="190" t="s">
        <v>463</v>
      </c>
      <c r="I6" s="190" t="s">
        <v>464</v>
      </c>
      <c r="J6" s="190" t="s">
        <v>465</v>
      </c>
      <c r="K6" s="190" t="s">
        <v>466</v>
      </c>
      <c r="L6" s="190" t="s">
        <v>467</v>
      </c>
      <c r="M6" s="190" t="s">
        <v>468</v>
      </c>
      <c r="N6" s="190" t="s">
        <v>469</v>
      </c>
      <c r="O6" s="191" t="s">
        <v>470</v>
      </c>
      <c r="P6" s="191" t="s">
        <v>471</v>
      </c>
      <c r="Q6" s="190" t="s">
        <v>472</v>
      </c>
      <c r="R6" s="191" t="s">
        <v>470</v>
      </c>
      <c r="S6" s="191" t="s">
        <v>471</v>
      </c>
      <c r="T6" s="593"/>
      <c r="U6" s="604"/>
      <c r="V6" s="607"/>
      <c r="W6" s="607"/>
      <c r="X6" s="608"/>
      <c r="Z6" s="222" t="s">
        <v>473</v>
      </c>
      <c r="AA6" s="222" t="s">
        <v>474</v>
      </c>
      <c r="AB6" s="210" t="s">
        <v>475</v>
      </c>
      <c r="AC6" s="210" t="s">
        <v>412</v>
      </c>
      <c r="AD6" s="210" t="s">
        <v>476</v>
      </c>
      <c r="AE6" s="210" t="s">
        <v>477</v>
      </c>
      <c r="AF6" s="210" t="s">
        <v>478</v>
      </c>
      <c r="AG6" s="210" t="s">
        <v>441</v>
      </c>
      <c r="AH6" s="210" t="s">
        <v>479</v>
      </c>
    </row>
    <row r="7" spans="2:34">
      <c r="B7" s="588">
        <v>45901</v>
      </c>
      <c r="C7" s="590" t="s">
        <v>209</v>
      </c>
      <c r="D7" s="209">
        <v>1</v>
      </c>
      <c r="E7" s="183" t="s">
        <v>415</v>
      </c>
      <c r="F7" s="184">
        <v>257.8920399999995</v>
      </c>
      <c r="G7" s="183">
        <v>149.977</v>
      </c>
      <c r="H7" s="183">
        <v>153</v>
      </c>
      <c r="I7" s="192">
        <f t="shared" ref="I7:I70" si="0">H7/G7</f>
        <v>1.0201564239850109</v>
      </c>
      <c r="J7" s="183">
        <v>0</v>
      </c>
      <c r="K7" s="192">
        <f t="shared" ref="K7:K70" si="1">J7/G7</f>
        <v>0</v>
      </c>
      <c r="L7" s="184">
        <v>127.48</v>
      </c>
      <c r="M7" s="192">
        <f t="shared" ref="M7:M70" si="2">(H7+J7)/G7</f>
        <v>1.0201564239850109</v>
      </c>
      <c r="N7" s="184">
        <v>385.37203999999952</v>
      </c>
      <c r="O7" s="183">
        <v>1</v>
      </c>
      <c r="P7" s="185">
        <v>6.6676890456536667E-3</v>
      </c>
      <c r="Q7" s="322">
        <v>127.48</v>
      </c>
      <c r="R7" s="311">
        <v>2.0229999999999961</v>
      </c>
      <c r="S7" s="184">
        <v>1.3488734939357342E-2</v>
      </c>
      <c r="T7" s="183" t="s">
        <v>487</v>
      </c>
      <c r="U7" s="183" t="s">
        <v>488</v>
      </c>
      <c r="V7" s="183"/>
      <c r="W7" s="189">
        <v>1</v>
      </c>
      <c r="X7" s="183" t="s">
        <v>321</v>
      </c>
      <c r="Y7" s="186" t="s">
        <v>482</v>
      </c>
      <c r="Z7" s="219">
        <f>SUM(W7:W46)</f>
        <v>40</v>
      </c>
      <c r="AA7" s="218">
        <f t="shared" ref="AA7:AH7" ca="1" si="3">SUMIF($U$7:$U$9970,TRIM(AA6),$W$7:$W$46)</f>
        <v>0</v>
      </c>
      <c r="AB7" s="218">
        <f t="shared" ca="1" si="3"/>
        <v>6</v>
      </c>
      <c r="AC7" s="218">
        <f t="shared" ca="1" si="3"/>
        <v>13</v>
      </c>
      <c r="AD7" s="218">
        <f t="shared" ca="1" si="3"/>
        <v>22</v>
      </c>
      <c r="AE7" s="218">
        <f t="shared" ca="1" si="3"/>
        <v>67</v>
      </c>
      <c r="AF7" s="218">
        <f t="shared" ca="1" si="3"/>
        <v>42</v>
      </c>
      <c r="AG7" s="218">
        <f t="shared" ca="1" si="3"/>
        <v>0</v>
      </c>
      <c r="AH7" s="218">
        <f t="shared" ca="1" si="3"/>
        <v>0</v>
      </c>
    </row>
    <row r="8" spans="2:34">
      <c r="B8" s="589"/>
      <c r="C8" s="591"/>
      <c r="D8" s="209">
        <v>2</v>
      </c>
      <c r="E8" s="183" t="s">
        <v>548</v>
      </c>
      <c r="F8" s="184">
        <v>238.3163700000014</v>
      </c>
      <c r="G8" s="183">
        <v>51.497</v>
      </c>
      <c r="H8" s="183">
        <v>52.2</v>
      </c>
      <c r="I8" s="192">
        <f t="shared" si="0"/>
        <v>1.0136512806571256</v>
      </c>
      <c r="J8" s="183">
        <v>0</v>
      </c>
      <c r="K8" s="192">
        <f t="shared" si="1"/>
        <v>0</v>
      </c>
      <c r="L8" s="184">
        <v>473.79</v>
      </c>
      <c r="M8" s="192">
        <f t="shared" si="2"/>
        <v>1.0136512806571256</v>
      </c>
      <c r="N8" s="184">
        <v>333.07437000000141</v>
      </c>
      <c r="O8" s="183">
        <v>0.2</v>
      </c>
      <c r="P8" s="185">
        <v>3.883721381828068E-3</v>
      </c>
      <c r="Q8" s="322">
        <v>94.75800000000001</v>
      </c>
      <c r="R8" s="311">
        <v>0.503000000000003</v>
      </c>
      <c r="S8" s="184">
        <v>9.7675592752976478E-3</v>
      </c>
      <c r="T8" s="183" t="s">
        <v>484</v>
      </c>
      <c r="U8" s="183" t="s">
        <v>436</v>
      </c>
      <c r="V8" s="183"/>
      <c r="W8" s="189">
        <v>1</v>
      </c>
      <c r="X8" s="183" t="s">
        <v>420</v>
      </c>
      <c r="Y8" s="186"/>
      <c r="Z8" s="219"/>
      <c r="AA8" s="221">
        <f t="shared" ref="AA8:AH8" si="4">SUMIF($U$7:$U$46,TRIM(AA6),$F$7:$F$46)</f>
        <v>0</v>
      </c>
      <c r="AB8" s="221">
        <f t="shared" si="4"/>
        <v>203.14559999999989</v>
      </c>
      <c r="AC8" s="221">
        <f t="shared" si="4"/>
        <v>889.77553999999998</v>
      </c>
      <c r="AD8" s="221">
        <f t="shared" si="4"/>
        <v>1278.1407499999959</v>
      </c>
      <c r="AE8" s="221">
        <f t="shared" si="4"/>
        <v>17503.53461000001</v>
      </c>
      <c r="AF8" s="221">
        <f t="shared" si="4"/>
        <v>2720.2404099999981</v>
      </c>
      <c r="AG8" s="221">
        <f t="shared" si="4"/>
        <v>0</v>
      </c>
      <c r="AH8" s="221">
        <f t="shared" si="4"/>
        <v>0</v>
      </c>
    </row>
    <row r="9" spans="2:34">
      <c r="B9" s="589"/>
      <c r="C9" s="591"/>
      <c r="D9" s="209">
        <v>3</v>
      </c>
      <c r="E9" s="183" t="s">
        <v>538</v>
      </c>
      <c r="F9" s="184">
        <v>234.09899999999925</v>
      </c>
      <c r="G9" s="183">
        <v>57.575000000000003</v>
      </c>
      <c r="H9" s="183">
        <v>59</v>
      </c>
      <c r="I9" s="192">
        <f t="shared" si="0"/>
        <v>1.0247503256621797</v>
      </c>
      <c r="J9" s="183">
        <v>0</v>
      </c>
      <c r="K9" s="192">
        <f t="shared" si="1"/>
        <v>0</v>
      </c>
      <c r="L9" s="184">
        <v>253.08</v>
      </c>
      <c r="M9" s="192">
        <f t="shared" si="2"/>
        <v>1.0247503256621797</v>
      </c>
      <c r="N9" s="184">
        <v>360.63899999999927</v>
      </c>
      <c r="O9" s="183">
        <v>0.5</v>
      </c>
      <c r="P9" s="185">
        <v>8.6843247937472851E-3</v>
      </c>
      <c r="Q9" s="322">
        <v>126.54</v>
      </c>
      <c r="R9" s="311">
        <v>0.92499999999999716</v>
      </c>
      <c r="S9" s="184">
        <v>1.6066000868432431E-2</v>
      </c>
      <c r="T9" s="183" t="s">
        <v>484</v>
      </c>
      <c r="U9" s="183" t="s">
        <v>426</v>
      </c>
      <c r="V9" s="183"/>
      <c r="W9" s="189">
        <v>1</v>
      </c>
      <c r="X9" s="183" t="s">
        <v>304</v>
      </c>
      <c r="Y9" s="186"/>
      <c r="Z9" s="219">
        <f>SUM(W47:W116)</f>
        <v>70</v>
      </c>
      <c r="AA9" s="218">
        <f t="shared" ref="AA9:AH9" si="5">SUMIF($U$47:$U$116,TRIM(AA6),$W$47:$W$116)</f>
        <v>0</v>
      </c>
      <c r="AB9" s="218">
        <f t="shared" si="5"/>
        <v>5</v>
      </c>
      <c r="AC9" s="218">
        <f t="shared" si="5"/>
        <v>5</v>
      </c>
      <c r="AD9" s="218">
        <f t="shared" si="5"/>
        <v>11</v>
      </c>
      <c r="AE9" s="218">
        <f t="shared" si="5"/>
        <v>28</v>
      </c>
      <c r="AF9" s="218">
        <f t="shared" si="5"/>
        <v>21</v>
      </c>
      <c r="AG9" s="218">
        <f t="shared" si="5"/>
        <v>0</v>
      </c>
      <c r="AH9" s="218">
        <f t="shared" si="5"/>
        <v>0</v>
      </c>
    </row>
    <row r="10" spans="2:34">
      <c r="B10" s="589"/>
      <c r="C10" s="591"/>
      <c r="D10" s="209">
        <v>4</v>
      </c>
      <c r="E10" s="183" t="s">
        <v>549</v>
      </c>
      <c r="F10" s="184">
        <v>233.09040000000022</v>
      </c>
      <c r="G10" s="183">
        <v>4.806</v>
      </c>
      <c r="H10" s="183">
        <v>5.4</v>
      </c>
      <c r="I10" s="192">
        <f t="shared" si="0"/>
        <v>1.1235955056179776</v>
      </c>
      <c r="J10" s="183">
        <v>0</v>
      </c>
      <c r="K10" s="192">
        <f t="shared" si="1"/>
        <v>0</v>
      </c>
      <c r="L10" s="184">
        <v>591.6</v>
      </c>
      <c r="M10" s="192">
        <f t="shared" si="2"/>
        <v>1.1235955056179776</v>
      </c>
      <c r="N10" s="184">
        <v>351.41040000000021</v>
      </c>
      <c r="O10" s="183">
        <v>0.2</v>
      </c>
      <c r="P10" s="185">
        <v>4.161464835622139E-2</v>
      </c>
      <c r="Q10" s="322">
        <v>118.32000000000001</v>
      </c>
      <c r="R10" s="311">
        <v>0.39400000000000029</v>
      </c>
      <c r="S10" s="184">
        <v>8.1980857261756204E-2</v>
      </c>
      <c r="T10" s="183" t="s">
        <v>498</v>
      </c>
      <c r="U10" s="183" t="s">
        <v>488</v>
      </c>
      <c r="V10" s="183"/>
      <c r="W10" s="189">
        <v>1</v>
      </c>
      <c r="X10" s="183" t="s">
        <v>257</v>
      </c>
      <c r="Y10" s="186" t="s">
        <v>489</v>
      </c>
      <c r="Z10" s="218"/>
      <c r="AA10" s="221">
        <f t="shared" ref="AA10:AH10" si="6">SUMIF($U$47:$U$116,TRIM(AA6),$F$47:$F$116)</f>
        <v>0</v>
      </c>
      <c r="AB10" s="221">
        <f t="shared" si="6"/>
        <v>1292.3049499999993</v>
      </c>
      <c r="AC10" s="221">
        <f t="shared" si="6"/>
        <v>1172.7913200000016</v>
      </c>
      <c r="AD10" s="221">
        <f t="shared" si="6"/>
        <v>3083.4419731147827</v>
      </c>
      <c r="AE10" s="221">
        <f t="shared" si="6"/>
        <v>20325.091950000013</v>
      </c>
      <c r="AF10" s="221">
        <f t="shared" si="6"/>
        <v>6075.5803199999955</v>
      </c>
      <c r="AG10" s="221">
        <f t="shared" si="6"/>
        <v>0</v>
      </c>
      <c r="AH10" s="221">
        <f t="shared" si="6"/>
        <v>0</v>
      </c>
    </row>
    <row r="11" spans="2:34">
      <c r="B11" s="589"/>
      <c r="C11" s="591"/>
      <c r="D11" s="209">
        <v>5</v>
      </c>
      <c r="E11" s="183" t="s">
        <v>550</v>
      </c>
      <c r="F11" s="184">
        <v>212.68479999999994</v>
      </c>
      <c r="G11" s="183">
        <v>3.2040000000000002</v>
      </c>
      <c r="H11" s="183">
        <v>4</v>
      </c>
      <c r="I11" s="192">
        <f t="shared" si="0"/>
        <v>1.2484394506866416</v>
      </c>
      <c r="J11" s="183">
        <v>0</v>
      </c>
      <c r="K11" s="192">
        <f t="shared" si="1"/>
        <v>0</v>
      </c>
      <c r="L11" s="184">
        <v>428.8</v>
      </c>
      <c r="M11" s="192">
        <f t="shared" si="2"/>
        <v>1.2484394506866416</v>
      </c>
      <c r="N11" s="184">
        <v>341.32479999999993</v>
      </c>
      <c r="O11" s="183">
        <v>0.3</v>
      </c>
      <c r="P11" s="185">
        <v>9.363295880149812E-2</v>
      </c>
      <c r="Q11" s="322">
        <v>128.63999999999999</v>
      </c>
      <c r="R11" s="311">
        <v>0.49599999999999983</v>
      </c>
      <c r="S11" s="184">
        <v>0.1548064918851435</v>
      </c>
      <c r="T11" s="183" t="s">
        <v>498</v>
      </c>
      <c r="U11" s="183" t="s">
        <v>488</v>
      </c>
      <c r="V11" s="183"/>
      <c r="W11" s="189">
        <v>1</v>
      </c>
      <c r="X11" s="183" t="s">
        <v>257</v>
      </c>
      <c r="Y11" s="186"/>
      <c r="Z11" s="218"/>
      <c r="AA11" s="219"/>
      <c r="AB11" s="219"/>
      <c r="AC11" s="218"/>
      <c r="AD11" s="218"/>
      <c r="AE11" s="218"/>
      <c r="AF11" s="218"/>
      <c r="AG11" s="218"/>
      <c r="AH11" s="218"/>
    </row>
    <row r="12" spans="2:34">
      <c r="B12" s="589"/>
      <c r="C12" s="591"/>
      <c r="D12" s="209">
        <v>6</v>
      </c>
      <c r="E12" s="183" t="s">
        <v>519</v>
      </c>
      <c r="F12" s="184">
        <v>193.35180000000454</v>
      </c>
      <c r="G12" s="183">
        <v>82.74</v>
      </c>
      <c r="H12" s="183">
        <v>83.4</v>
      </c>
      <c r="I12" s="192">
        <f t="shared" si="0"/>
        <v>1.0079767947788254</v>
      </c>
      <c r="J12" s="183">
        <v>0</v>
      </c>
      <c r="K12" s="192">
        <f t="shared" si="1"/>
        <v>0</v>
      </c>
      <c r="L12" s="184">
        <v>420.33</v>
      </c>
      <c r="M12" s="192">
        <f t="shared" si="2"/>
        <v>1.0079767947788254</v>
      </c>
      <c r="N12" s="184">
        <v>277.41780000000455</v>
      </c>
      <c r="O12" s="183">
        <v>0.2</v>
      </c>
      <c r="P12" s="185">
        <v>2.4172105390379505E-3</v>
      </c>
      <c r="Q12" s="322">
        <v>84.066000000000003</v>
      </c>
      <c r="R12" s="311">
        <v>0.46000000000001079</v>
      </c>
      <c r="S12" s="184">
        <v>5.5595842397874158E-3</v>
      </c>
      <c r="T12" s="183" t="s">
        <v>484</v>
      </c>
      <c r="U12" s="183" t="s">
        <v>426</v>
      </c>
      <c r="V12" s="183"/>
      <c r="W12" s="189">
        <v>1</v>
      </c>
      <c r="X12" s="183" t="s">
        <v>301</v>
      </c>
      <c r="Y12" s="186"/>
      <c r="Z12" s="219">
        <f>SUM(W117:W186)</f>
        <v>40</v>
      </c>
      <c r="AA12" s="218">
        <f t="shared" ref="AA12:AH12" si="7">SUMIF($U$117:$U$186,TRIM(AA6),$W$117:$W$186)</f>
        <v>0</v>
      </c>
      <c r="AB12" s="218">
        <f t="shared" si="7"/>
        <v>0</v>
      </c>
      <c r="AC12" s="218">
        <f t="shared" si="7"/>
        <v>4</v>
      </c>
      <c r="AD12" s="218">
        <f t="shared" si="7"/>
        <v>5</v>
      </c>
      <c r="AE12" s="218">
        <f t="shared" si="7"/>
        <v>23</v>
      </c>
      <c r="AF12" s="218">
        <f t="shared" si="7"/>
        <v>8</v>
      </c>
      <c r="AG12" s="218">
        <f t="shared" si="7"/>
        <v>0</v>
      </c>
      <c r="AH12" s="218">
        <f t="shared" si="7"/>
        <v>0</v>
      </c>
    </row>
    <row r="13" spans="2:34">
      <c r="B13" s="589"/>
      <c r="C13" s="591"/>
      <c r="D13" s="209">
        <v>7</v>
      </c>
      <c r="E13" s="183" t="s">
        <v>518</v>
      </c>
      <c r="F13" s="184">
        <v>192.58025999999938</v>
      </c>
      <c r="G13" s="183">
        <v>19.146000000000001</v>
      </c>
      <c r="H13" s="183">
        <v>19.5</v>
      </c>
      <c r="I13" s="192">
        <f t="shared" si="0"/>
        <v>1.0184895017235975</v>
      </c>
      <c r="J13" s="183">
        <v>0</v>
      </c>
      <c r="K13" s="192">
        <f t="shared" si="1"/>
        <v>0</v>
      </c>
      <c r="L13" s="184">
        <v>758.19</v>
      </c>
      <c r="M13" s="192">
        <f t="shared" si="2"/>
        <v>1.0184895017235975</v>
      </c>
      <c r="N13" s="184">
        <v>268.3992599999994</v>
      </c>
      <c r="O13" s="183">
        <v>0.1</v>
      </c>
      <c r="P13" s="185">
        <v>5.2230230857620392E-3</v>
      </c>
      <c r="Q13" s="322">
        <v>75.819000000000003</v>
      </c>
      <c r="R13" s="311">
        <v>0.25399999999999923</v>
      </c>
      <c r="S13" s="184">
        <v>1.3266478637835538E-2</v>
      </c>
      <c r="T13" s="183" t="s">
        <v>484</v>
      </c>
      <c r="U13" s="183" t="s">
        <v>436</v>
      </c>
      <c r="V13" s="183"/>
      <c r="W13" s="189">
        <v>1</v>
      </c>
      <c r="X13" s="183" t="s">
        <v>321</v>
      </c>
      <c r="Y13" s="186" t="s">
        <v>494</v>
      </c>
      <c r="Z13" s="218"/>
      <c r="AA13" s="221">
        <f t="shared" ref="AA13:AH13" si="8">SUMIF($U$117:$U$186,TRIM(AA6),$F$117:$F$186)</f>
        <v>0</v>
      </c>
      <c r="AB13" s="221">
        <f t="shared" si="8"/>
        <v>0</v>
      </c>
      <c r="AC13" s="221">
        <f t="shared" si="8"/>
        <v>878.86802000000012</v>
      </c>
      <c r="AD13" s="221">
        <f t="shared" si="8"/>
        <v>1083.4609600000019</v>
      </c>
      <c r="AE13" s="221">
        <f t="shared" si="8"/>
        <v>12273.718049999987</v>
      </c>
      <c r="AF13" s="221">
        <f t="shared" si="8"/>
        <v>2336.6413000000039</v>
      </c>
      <c r="AG13" s="221">
        <f t="shared" si="8"/>
        <v>0</v>
      </c>
      <c r="AH13" s="221">
        <f t="shared" si="8"/>
        <v>0</v>
      </c>
    </row>
    <row r="14" spans="2:34">
      <c r="B14" s="589"/>
      <c r="C14" s="591"/>
      <c r="D14" s="209">
        <v>8</v>
      </c>
      <c r="E14" s="183" t="s">
        <v>433</v>
      </c>
      <c r="F14" s="184">
        <v>187.08563999999993</v>
      </c>
      <c r="G14" s="183">
        <v>81.034000000000006</v>
      </c>
      <c r="H14" s="183">
        <v>80.900000000000006</v>
      </c>
      <c r="I14" s="192">
        <f t="shared" si="0"/>
        <v>0.99834637312732921</v>
      </c>
      <c r="J14" s="183">
        <v>1</v>
      </c>
      <c r="K14" s="192">
        <f t="shared" si="1"/>
        <v>1.2340499049781573E-2</v>
      </c>
      <c r="L14" s="184">
        <v>330.54</v>
      </c>
      <c r="M14" s="192">
        <f t="shared" si="2"/>
        <v>1.0106868721771107</v>
      </c>
      <c r="N14" s="184">
        <v>286.24763999999993</v>
      </c>
      <c r="O14" s="183">
        <v>0.3</v>
      </c>
      <c r="P14" s="185">
        <v>3.7021497149344715E-3</v>
      </c>
      <c r="Q14" s="322">
        <v>99.162000000000006</v>
      </c>
      <c r="R14" s="311">
        <v>0.56599999999999961</v>
      </c>
      <c r="S14" s="184">
        <v>6.9847224621763654E-3</v>
      </c>
      <c r="T14" s="183" t="s">
        <v>484</v>
      </c>
      <c r="U14" s="183" t="s">
        <v>426</v>
      </c>
      <c r="V14" s="183"/>
      <c r="W14" s="189">
        <v>1</v>
      </c>
      <c r="X14" s="183" t="s">
        <v>289</v>
      </c>
      <c r="Y14" s="186"/>
      <c r="Z14" s="218"/>
      <c r="AA14" s="219"/>
      <c r="AB14" s="219"/>
      <c r="AC14" s="218"/>
      <c r="AD14" s="218"/>
      <c r="AE14" s="218"/>
      <c r="AF14" s="218"/>
      <c r="AG14" s="218"/>
      <c r="AH14" s="218"/>
    </row>
    <row r="15" spans="2:34">
      <c r="B15" s="589"/>
      <c r="C15" s="591"/>
      <c r="D15" s="209">
        <v>9</v>
      </c>
      <c r="E15" s="183" t="s">
        <v>429</v>
      </c>
      <c r="F15" s="184">
        <v>186.07200000000068</v>
      </c>
      <c r="G15" s="183">
        <v>13.2</v>
      </c>
      <c r="H15" s="183">
        <v>13.5</v>
      </c>
      <c r="I15" s="192">
        <f t="shared" si="0"/>
        <v>1.0227272727272727</v>
      </c>
      <c r="J15" s="183">
        <v>0</v>
      </c>
      <c r="K15" s="192">
        <f t="shared" si="1"/>
        <v>0</v>
      </c>
      <c r="L15" s="184">
        <v>930.36</v>
      </c>
      <c r="M15" s="192">
        <f t="shared" si="2"/>
        <v>1.0227272727272727</v>
      </c>
      <c r="N15" s="184">
        <v>279.10800000000069</v>
      </c>
      <c r="O15" s="183">
        <v>0.1</v>
      </c>
      <c r="P15" s="185">
        <v>7.5757575757575768E-3</v>
      </c>
      <c r="Q15" s="322">
        <v>93.036000000000001</v>
      </c>
      <c r="R15" s="311">
        <v>0.2000000000000007</v>
      </c>
      <c r="S15" s="184">
        <v>1.5151515151515206E-2</v>
      </c>
      <c r="T15" s="183" t="s">
        <v>484</v>
      </c>
      <c r="U15" s="183" t="s">
        <v>426</v>
      </c>
      <c r="V15" s="183"/>
      <c r="W15" s="189">
        <v>1</v>
      </c>
      <c r="X15" s="183" t="s">
        <v>279</v>
      </c>
      <c r="Y15" s="186"/>
      <c r="Z15" s="219">
        <f>SUM(W187:W256)</f>
        <v>0</v>
      </c>
      <c r="AA15" s="218">
        <f t="shared" ref="AA15:AH15" si="9">SUMIF($U$187:$U$256,TRIM(AA6),$W$187:$W$256)</f>
        <v>0</v>
      </c>
      <c r="AB15" s="218">
        <f t="shared" si="9"/>
        <v>0</v>
      </c>
      <c r="AC15" s="218">
        <f t="shared" si="9"/>
        <v>0</v>
      </c>
      <c r="AD15" s="218">
        <f t="shared" si="9"/>
        <v>0</v>
      </c>
      <c r="AE15" s="218">
        <f t="shared" si="9"/>
        <v>0</v>
      </c>
      <c r="AF15" s="218">
        <f t="shared" si="9"/>
        <v>0</v>
      </c>
      <c r="AG15" s="218">
        <f t="shared" si="9"/>
        <v>0</v>
      </c>
      <c r="AH15" s="218">
        <f t="shared" si="9"/>
        <v>0</v>
      </c>
    </row>
    <row r="16" spans="2:34">
      <c r="B16" s="589"/>
      <c r="C16" s="591"/>
      <c r="D16" s="209">
        <v>10</v>
      </c>
      <c r="E16" s="183" t="s">
        <v>551</v>
      </c>
      <c r="F16" s="184">
        <v>182.79180000000011</v>
      </c>
      <c r="G16" s="183">
        <v>4.2539999999999996</v>
      </c>
      <c r="H16" s="183">
        <v>4.8</v>
      </c>
      <c r="I16" s="192">
        <f t="shared" si="0"/>
        <v>1.1283497884344147</v>
      </c>
      <c r="J16" s="183">
        <v>0</v>
      </c>
      <c r="K16" s="192">
        <f t="shared" si="1"/>
        <v>0</v>
      </c>
      <c r="L16" s="184">
        <v>528.29999999999995</v>
      </c>
      <c r="M16" s="192">
        <f t="shared" si="2"/>
        <v>1.1283497884344147</v>
      </c>
      <c r="N16" s="184">
        <v>288.45180000000011</v>
      </c>
      <c r="O16" s="183">
        <v>0.2</v>
      </c>
      <c r="P16" s="185">
        <v>4.7014574518100621E-2</v>
      </c>
      <c r="Q16" s="322">
        <v>105.66</v>
      </c>
      <c r="R16" s="311">
        <v>0.34600000000000025</v>
      </c>
      <c r="S16" s="184">
        <v>8.1335213916314125E-2</v>
      </c>
      <c r="T16" s="183" t="s">
        <v>484</v>
      </c>
      <c r="U16" s="183" t="s">
        <v>426</v>
      </c>
      <c r="V16" s="183"/>
      <c r="W16" s="189">
        <v>1</v>
      </c>
      <c r="X16" s="183" t="s">
        <v>552</v>
      </c>
      <c r="Y16" s="186" t="s">
        <v>500</v>
      </c>
      <c r="Z16" s="218"/>
      <c r="AA16" s="221">
        <f t="shared" ref="AA16:AH16" si="10">SUMIF($U$187:$U$256,TRIM(AA6),$F$187:$F$256)</f>
        <v>0</v>
      </c>
      <c r="AB16" s="221">
        <f t="shared" si="10"/>
        <v>0</v>
      </c>
      <c r="AC16" s="221">
        <f t="shared" si="10"/>
        <v>0</v>
      </c>
      <c r="AD16" s="221">
        <f t="shared" si="10"/>
        <v>0</v>
      </c>
      <c r="AE16" s="221">
        <f t="shared" si="10"/>
        <v>0</v>
      </c>
      <c r="AF16" s="221">
        <f t="shared" si="10"/>
        <v>0</v>
      </c>
      <c r="AG16" s="221">
        <f t="shared" si="10"/>
        <v>0</v>
      </c>
      <c r="AH16" s="221">
        <f t="shared" si="10"/>
        <v>0</v>
      </c>
    </row>
    <row r="17" spans="2:34">
      <c r="B17" s="588">
        <v>45902</v>
      </c>
      <c r="C17" s="590" t="s">
        <v>204</v>
      </c>
      <c r="D17" s="209">
        <v>1</v>
      </c>
      <c r="E17" s="183" t="s">
        <v>511</v>
      </c>
      <c r="F17" s="184">
        <v>6666.9452000000056</v>
      </c>
      <c r="G17" s="183">
        <v>233.55799999999999</v>
      </c>
      <c r="H17" s="183">
        <v>210.6</v>
      </c>
      <c r="I17" s="192">
        <f t="shared" si="0"/>
        <v>0.90170321718802182</v>
      </c>
      <c r="J17" s="183">
        <v>46.2</v>
      </c>
      <c r="K17" s="192">
        <f t="shared" si="1"/>
        <v>0.19780953767372561</v>
      </c>
      <c r="L17" s="184">
        <v>290.60000000000002</v>
      </c>
      <c r="M17" s="192">
        <f t="shared" si="2"/>
        <v>1.0995127548617474</v>
      </c>
      <c r="N17" s="184">
        <v>6754.1252000000059</v>
      </c>
      <c r="O17" s="183">
        <v>0.3</v>
      </c>
      <c r="P17" s="185">
        <v>1.2844775173618545E-3</v>
      </c>
      <c r="Q17" s="322">
        <v>87.18</v>
      </c>
      <c r="R17" s="311">
        <v>22.942000000000018</v>
      </c>
      <c r="S17" s="184">
        <v>9.8228277344385634E-2</v>
      </c>
      <c r="T17" s="183" t="s">
        <v>484</v>
      </c>
      <c r="U17" s="183" t="s">
        <v>426</v>
      </c>
      <c r="V17" s="183"/>
      <c r="W17" s="189">
        <v>1</v>
      </c>
      <c r="X17" s="183" t="s">
        <v>311</v>
      </c>
      <c r="Y17" s="186"/>
      <c r="Z17" s="218"/>
      <c r="AA17" s="219"/>
      <c r="AB17" s="219"/>
      <c r="AC17" s="218"/>
      <c r="AD17" s="218"/>
      <c r="AE17" s="218"/>
      <c r="AF17" s="218"/>
      <c r="AG17" s="218"/>
      <c r="AH17" s="218"/>
    </row>
    <row r="18" spans="2:34">
      <c r="B18" s="589"/>
      <c r="C18" s="591"/>
      <c r="D18" s="209">
        <v>2</v>
      </c>
      <c r="E18" s="183" t="s">
        <v>431</v>
      </c>
      <c r="F18" s="184">
        <v>260.36478000000125</v>
      </c>
      <c r="G18" s="183">
        <v>293.69799999999998</v>
      </c>
      <c r="H18" s="183">
        <v>296.7</v>
      </c>
      <c r="I18" s="192">
        <f t="shared" si="0"/>
        <v>1.0102213838705065</v>
      </c>
      <c r="J18" s="183">
        <v>0</v>
      </c>
      <c r="K18" s="192">
        <f t="shared" si="1"/>
        <v>0</v>
      </c>
      <c r="L18" s="184">
        <v>136.88999999999999</v>
      </c>
      <c r="M18" s="192">
        <f t="shared" si="2"/>
        <v>1.0102213838705065</v>
      </c>
      <c r="N18" s="184">
        <v>410.94378000000125</v>
      </c>
      <c r="O18" s="183">
        <v>1.1000000000000001</v>
      </c>
      <c r="P18" s="185">
        <v>3.7453438566146182E-3</v>
      </c>
      <c r="Q18" s="322">
        <v>150.57900000000001</v>
      </c>
      <c r="R18" s="311">
        <v>1.9020000000000095</v>
      </c>
      <c r="S18" s="184">
        <v>6.4760400138918536E-3</v>
      </c>
      <c r="T18" s="183" t="s">
        <v>484</v>
      </c>
      <c r="U18" s="183" t="s">
        <v>426</v>
      </c>
      <c r="V18" s="183"/>
      <c r="W18" s="189">
        <v>1</v>
      </c>
      <c r="X18" s="183" t="s">
        <v>420</v>
      </c>
      <c r="Y18" s="186"/>
      <c r="Z18" s="219">
        <f>SUM(W257:W326)</f>
        <v>0</v>
      </c>
      <c r="AA18" s="218">
        <f t="shared" ref="AA18:AH18" si="11">SUMIF($U$257:$U$326,TRIM(AA6),$W$257:$W$326)</f>
        <v>0</v>
      </c>
      <c r="AB18" s="218">
        <f t="shared" si="11"/>
        <v>0</v>
      </c>
      <c r="AC18" s="218">
        <f t="shared" si="11"/>
        <v>0</v>
      </c>
      <c r="AD18" s="218">
        <f t="shared" si="11"/>
        <v>0</v>
      </c>
      <c r="AE18" s="218">
        <f t="shared" si="11"/>
        <v>0</v>
      </c>
      <c r="AF18" s="218">
        <f t="shared" si="11"/>
        <v>0</v>
      </c>
      <c r="AG18" s="218">
        <f t="shared" si="11"/>
        <v>0</v>
      </c>
      <c r="AH18" s="218">
        <f t="shared" si="11"/>
        <v>0</v>
      </c>
    </row>
    <row r="19" spans="2:34">
      <c r="B19" s="589"/>
      <c r="C19" s="591"/>
      <c r="D19" s="209">
        <v>3</v>
      </c>
      <c r="E19" s="183" t="s">
        <v>553</v>
      </c>
      <c r="F19" s="184">
        <v>254.62000000000012</v>
      </c>
      <c r="G19" s="183">
        <v>0.31219999999999998</v>
      </c>
      <c r="H19" s="183">
        <v>0.4</v>
      </c>
      <c r="I19" s="192">
        <f t="shared" si="0"/>
        <v>1.2812299807815504</v>
      </c>
      <c r="J19" s="183">
        <v>0</v>
      </c>
      <c r="K19" s="192">
        <f t="shared" si="1"/>
        <v>0</v>
      </c>
      <c r="L19" s="184">
        <v>2900</v>
      </c>
      <c r="M19" s="192">
        <f t="shared" si="2"/>
        <v>1.2812299807815504</v>
      </c>
      <c r="N19" s="184">
        <v>254.62000000000012</v>
      </c>
      <c r="O19" s="183">
        <v>0</v>
      </c>
      <c r="P19" s="185">
        <v>0</v>
      </c>
      <c r="Q19" s="322">
        <v>0</v>
      </c>
      <c r="R19" s="311">
        <v>8.7800000000000045E-2</v>
      </c>
      <c r="S19" s="184">
        <v>0.28122998078155043</v>
      </c>
      <c r="T19" s="183" t="s">
        <v>484</v>
      </c>
      <c r="U19" s="183" t="s">
        <v>426</v>
      </c>
      <c r="V19" s="183"/>
      <c r="W19" s="189">
        <v>1</v>
      </c>
      <c r="X19" s="183" t="s">
        <v>309</v>
      </c>
      <c r="Y19" s="186" t="s">
        <v>503</v>
      </c>
      <c r="Z19" s="218"/>
      <c r="AA19" s="221">
        <f t="shared" ref="AA19:AH19" si="12">SUMIF($U$257:$U$326,TRIM(AA6),$F$257:$F$326)</f>
        <v>0</v>
      </c>
      <c r="AB19" s="221">
        <f t="shared" si="12"/>
        <v>0</v>
      </c>
      <c r="AC19" s="221">
        <f t="shared" si="12"/>
        <v>0</v>
      </c>
      <c r="AD19" s="221">
        <f t="shared" si="12"/>
        <v>0</v>
      </c>
      <c r="AE19" s="221">
        <f t="shared" si="12"/>
        <v>0</v>
      </c>
      <c r="AF19" s="221">
        <f t="shared" si="12"/>
        <v>0</v>
      </c>
      <c r="AG19" s="221">
        <f t="shared" si="12"/>
        <v>0</v>
      </c>
      <c r="AH19" s="221">
        <f t="shared" si="12"/>
        <v>0</v>
      </c>
    </row>
    <row r="20" spans="2:34">
      <c r="B20" s="589"/>
      <c r="C20" s="591"/>
      <c r="D20" s="209">
        <v>4</v>
      </c>
      <c r="E20" s="183" t="s">
        <v>429</v>
      </c>
      <c r="F20" s="184">
        <v>253.05791999999991</v>
      </c>
      <c r="G20" s="183">
        <v>12.628</v>
      </c>
      <c r="H20" s="183">
        <v>13</v>
      </c>
      <c r="I20" s="192">
        <f t="shared" si="0"/>
        <v>1.0294583465315172</v>
      </c>
      <c r="J20" s="183">
        <v>0</v>
      </c>
      <c r="K20" s="192">
        <f t="shared" si="1"/>
        <v>0</v>
      </c>
      <c r="L20" s="184">
        <v>930.36</v>
      </c>
      <c r="M20" s="192">
        <f t="shared" si="2"/>
        <v>1.0294583465315172</v>
      </c>
      <c r="N20" s="184">
        <v>346.09391999999991</v>
      </c>
      <c r="O20" s="183">
        <v>0.1</v>
      </c>
      <c r="P20" s="185">
        <v>7.918910357934749E-3</v>
      </c>
      <c r="Q20" s="322">
        <v>93.036000000000001</v>
      </c>
      <c r="R20" s="311">
        <v>0.27199999999999991</v>
      </c>
      <c r="S20" s="184">
        <v>2.1539436173582508E-2</v>
      </c>
      <c r="T20" s="183" t="s">
        <v>484</v>
      </c>
      <c r="U20" s="183" t="s">
        <v>436</v>
      </c>
      <c r="V20" s="183"/>
      <c r="W20" s="189">
        <v>1</v>
      </c>
      <c r="X20" s="183" t="s">
        <v>279</v>
      </c>
      <c r="Y20" s="186"/>
      <c r="Z20" s="218"/>
      <c r="AA20" s="219"/>
      <c r="AB20" s="219"/>
      <c r="AC20" s="218"/>
      <c r="AD20" s="218"/>
      <c r="AE20" s="218"/>
      <c r="AF20" s="218"/>
      <c r="AG20" s="218"/>
      <c r="AH20" s="218"/>
    </row>
    <row r="21" spans="2:34">
      <c r="B21" s="589"/>
      <c r="C21" s="591"/>
      <c r="D21" s="209">
        <v>5</v>
      </c>
      <c r="E21" s="183" t="s">
        <v>554</v>
      </c>
      <c r="F21" s="184">
        <v>240.12111000000101</v>
      </c>
      <c r="G21" s="183">
        <v>58.652999999999999</v>
      </c>
      <c r="H21" s="183">
        <v>59.6</v>
      </c>
      <c r="I21" s="192">
        <f t="shared" si="0"/>
        <v>1.0161458066936049</v>
      </c>
      <c r="J21" s="183">
        <v>0</v>
      </c>
      <c r="K21" s="192">
        <f t="shared" si="1"/>
        <v>0</v>
      </c>
      <c r="L21" s="184">
        <v>371.13</v>
      </c>
      <c r="M21" s="192">
        <f t="shared" si="2"/>
        <v>1.0161458066936049</v>
      </c>
      <c r="N21" s="184">
        <v>351.46011000000101</v>
      </c>
      <c r="O21" s="183">
        <v>0.3</v>
      </c>
      <c r="P21" s="185">
        <v>5.1148278860416348E-3</v>
      </c>
      <c r="Q21" s="322">
        <v>111.339</v>
      </c>
      <c r="R21" s="311">
        <v>0.64700000000000268</v>
      </c>
      <c r="S21" s="184">
        <v>1.1030978807563171E-2</v>
      </c>
      <c r="T21" s="183" t="s">
        <v>481</v>
      </c>
      <c r="U21" s="183" t="s">
        <v>419</v>
      </c>
      <c r="V21" s="183"/>
      <c r="W21" s="189">
        <v>1</v>
      </c>
      <c r="X21" s="183" t="s">
        <v>314</v>
      </c>
      <c r="Y21" s="186"/>
      <c r="Z21" s="187"/>
      <c r="AA21" s="187"/>
      <c r="AB21" s="187"/>
      <c r="AC21" s="187"/>
      <c r="AD21" s="187"/>
      <c r="AE21" s="187"/>
      <c r="AF21" s="187"/>
      <c r="AG21" s="187"/>
      <c r="AH21" s="187"/>
    </row>
    <row r="22" spans="2:34" ht="16.5">
      <c r="B22" s="589"/>
      <c r="C22" s="591"/>
      <c r="D22" s="209">
        <v>6</v>
      </c>
      <c r="E22" s="183" t="s">
        <v>439</v>
      </c>
      <c r="F22" s="184">
        <v>218.70368000000059</v>
      </c>
      <c r="G22" s="183">
        <v>25.584</v>
      </c>
      <c r="H22" s="183">
        <v>26.3</v>
      </c>
      <c r="I22" s="192">
        <f t="shared" si="0"/>
        <v>1.0279862414008756</v>
      </c>
      <c r="J22" s="183">
        <v>0</v>
      </c>
      <c r="K22" s="192">
        <f t="shared" si="1"/>
        <v>0</v>
      </c>
      <c r="L22" s="184">
        <v>525.73</v>
      </c>
      <c r="M22" s="192">
        <f t="shared" si="2"/>
        <v>1.0279862414008756</v>
      </c>
      <c r="N22" s="184">
        <v>376.42268000000058</v>
      </c>
      <c r="O22" s="183">
        <v>0.3</v>
      </c>
      <c r="P22" s="185">
        <v>1.172607879924953E-2</v>
      </c>
      <c r="Q22" s="322">
        <v>157.71899999999999</v>
      </c>
      <c r="R22" s="311">
        <v>0.41600000000000109</v>
      </c>
      <c r="S22" s="184">
        <v>1.626016260162606E-2</v>
      </c>
      <c r="T22" s="183" t="s">
        <v>484</v>
      </c>
      <c r="U22" s="183" t="s">
        <v>436</v>
      </c>
      <c r="V22" s="183"/>
      <c r="W22" s="189">
        <v>1</v>
      </c>
      <c r="X22" s="183" t="s">
        <v>275</v>
      </c>
      <c r="Y22" s="220" t="s">
        <v>507</v>
      </c>
      <c r="Z22" s="218">
        <f>SUM(W7:W9970)</f>
        <v>150</v>
      </c>
      <c r="AA22" s="219">
        <f t="shared" ref="AA22:AH22" si="13">SUMIF($U$7:$U$9970,TRIM(AA6),$W$7:$W$9970)</f>
        <v>0</v>
      </c>
      <c r="AB22" s="219">
        <f t="shared" si="13"/>
        <v>6</v>
      </c>
      <c r="AC22" s="218">
        <f t="shared" si="13"/>
        <v>13</v>
      </c>
      <c r="AD22" s="218">
        <f t="shared" si="13"/>
        <v>22</v>
      </c>
      <c r="AE22" s="218">
        <f t="shared" si="13"/>
        <v>67</v>
      </c>
      <c r="AF22" s="218">
        <f t="shared" si="13"/>
        <v>42</v>
      </c>
      <c r="AG22" s="218">
        <f t="shared" si="13"/>
        <v>0</v>
      </c>
      <c r="AH22" s="218">
        <f t="shared" si="13"/>
        <v>0</v>
      </c>
    </row>
    <row r="23" spans="2:34">
      <c r="B23" s="589"/>
      <c r="C23" s="591"/>
      <c r="D23" s="209">
        <v>7</v>
      </c>
      <c r="E23" s="183" t="s">
        <v>548</v>
      </c>
      <c r="F23" s="184">
        <v>212.7317100000011</v>
      </c>
      <c r="G23" s="183">
        <v>46.850999999999999</v>
      </c>
      <c r="H23" s="183">
        <v>47.6</v>
      </c>
      <c r="I23" s="192">
        <f t="shared" si="0"/>
        <v>1.0159868519348574</v>
      </c>
      <c r="J23" s="183">
        <v>0</v>
      </c>
      <c r="K23" s="192">
        <f t="shared" si="1"/>
        <v>0</v>
      </c>
      <c r="L23" s="184">
        <v>473.79</v>
      </c>
      <c r="M23" s="192">
        <f t="shared" si="2"/>
        <v>1.0159868519348574</v>
      </c>
      <c r="N23" s="184">
        <v>354.8687100000011</v>
      </c>
      <c r="O23" s="183">
        <v>0.3</v>
      </c>
      <c r="P23" s="185">
        <v>6.4032784785810334E-3</v>
      </c>
      <c r="Q23" s="322">
        <v>142.137</v>
      </c>
      <c r="R23" s="311">
        <v>0.44900000000000234</v>
      </c>
      <c r="S23" s="184">
        <v>9.5835734562763307E-3</v>
      </c>
      <c r="T23" s="183" t="s">
        <v>484</v>
      </c>
      <c r="U23" s="183" t="s">
        <v>436</v>
      </c>
      <c r="V23" s="183"/>
      <c r="W23" s="189">
        <v>1</v>
      </c>
      <c r="X23" s="183" t="s">
        <v>420</v>
      </c>
      <c r="Z23" s="218"/>
      <c r="AA23" s="221">
        <f t="shared" ref="AA23:AH23" si="14">SUMIF($U$7:$U$9970,TRIM(AA6),$F$7:$F$9970)</f>
        <v>0</v>
      </c>
      <c r="AB23" s="221">
        <f t="shared" si="14"/>
        <v>1495.4505499999991</v>
      </c>
      <c r="AC23" s="221">
        <f t="shared" si="14"/>
        <v>2941.4348800000016</v>
      </c>
      <c r="AD23" s="221">
        <f t="shared" si="14"/>
        <v>5445.0436831147808</v>
      </c>
      <c r="AE23" s="221">
        <f t="shared" si="14"/>
        <v>50102.344610000007</v>
      </c>
      <c r="AF23" s="221">
        <f t="shared" si="14"/>
        <v>11132.462029999995</v>
      </c>
      <c r="AG23" s="221">
        <f t="shared" si="14"/>
        <v>0</v>
      </c>
      <c r="AH23" s="221">
        <f t="shared" si="14"/>
        <v>0</v>
      </c>
    </row>
    <row r="24" spans="2:34">
      <c r="B24" s="589"/>
      <c r="C24" s="591"/>
      <c r="D24" s="209">
        <v>8</v>
      </c>
      <c r="E24" s="183" t="s">
        <v>501</v>
      </c>
      <c r="F24" s="184">
        <v>207.74544</v>
      </c>
      <c r="G24" s="183">
        <v>22.742999999999999</v>
      </c>
      <c r="H24" s="183">
        <v>23.4</v>
      </c>
      <c r="I24" s="192">
        <f t="shared" si="0"/>
        <v>1.0288880094974278</v>
      </c>
      <c r="J24" s="183">
        <v>0</v>
      </c>
      <c r="K24" s="192">
        <f t="shared" si="1"/>
        <v>0</v>
      </c>
      <c r="L24" s="184">
        <v>581.91999999999996</v>
      </c>
      <c r="M24" s="192">
        <f t="shared" si="2"/>
        <v>1.0288880094974278</v>
      </c>
      <c r="N24" s="184">
        <v>382.32144</v>
      </c>
      <c r="O24" s="183">
        <v>0.3</v>
      </c>
      <c r="P24" s="185">
        <v>1.3190871916633691E-2</v>
      </c>
      <c r="Q24" s="322">
        <v>174.57599999999999</v>
      </c>
      <c r="R24" s="311">
        <v>0.35700000000000004</v>
      </c>
      <c r="S24" s="184">
        <v>1.5697137580794093E-2</v>
      </c>
      <c r="T24" s="183" t="s">
        <v>481</v>
      </c>
      <c r="U24" s="183" t="s">
        <v>419</v>
      </c>
      <c r="V24" s="183"/>
      <c r="W24" s="189">
        <v>1</v>
      </c>
      <c r="X24" s="183" t="s">
        <v>286</v>
      </c>
    </row>
    <row r="25" spans="2:34">
      <c r="B25" s="589"/>
      <c r="C25" s="591"/>
      <c r="D25" s="209">
        <v>9</v>
      </c>
      <c r="E25" s="183" t="s">
        <v>555</v>
      </c>
      <c r="F25" s="184">
        <v>203.14559999999989</v>
      </c>
      <c r="G25" s="183">
        <v>6.66</v>
      </c>
      <c r="H25" s="183">
        <v>7</v>
      </c>
      <c r="I25" s="192">
        <f t="shared" si="0"/>
        <v>1.0510510510510511</v>
      </c>
      <c r="J25" s="183">
        <v>0</v>
      </c>
      <c r="K25" s="192">
        <f t="shared" si="1"/>
        <v>0</v>
      </c>
      <c r="L25" s="184">
        <v>846.44</v>
      </c>
      <c r="M25" s="192">
        <f t="shared" si="2"/>
        <v>1.0510510510510511</v>
      </c>
      <c r="N25" s="184">
        <v>287.78959999999989</v>
      </c>
      <c r="O25" s="183">
        <v>0.1</v>
      </c>
      <c r="P25" s="185">
        <v>1.5015015015015015E-2</v>
      </c>
      <c r="Q25" s="322">
        <v>84.644000000000005</v>
      </c>
      <c r="R25" s="311">
        <v>0.23999999999999985</v>
      </c>
      <c r="S25" s="184">
        <v>3.6036036036036015E-2</v>
      </c>
      <c r="T25" s="183" t="s">
        <v>487</v>
      </c>
      <c r="U25" s="183" t="s">
        <v>510</v>
      </c>
      <c r="V25" s="183"/>
      <c r="W25" s="189">
        <v>1</v>
      </c>
      <c r="X25" s="183" t="s">
        <v>278</v>
      </c>
    </row>
    <row r="26" spans="2:34">
      <c r="B26" s="589"/>
      <c r="C26" s="591"/>
      <c r="D26" s="209">
        <v>10</v>
      </c>
      <c r="E26" s="183" t="s">
        <v>556</v>
      </c>
      <c r="F26" s="184">
        <v>188.5876999999997</v>
      </c>
      <c r="G26" s="183">
        <v>33.494999999999997</v>
      </c>
      <c r="H26" s="183">
        <v>33.799999999999997</v>
      </c>
      <c r="I26" s="192">
        <f t="shared" si="0"/>
        <v>1.0091058366920436</v>
      </c>
      <c r="J26" s="183">
        <v>0</v>
      </c>
      <c r="K26" s="192">
        <f t="shared" si="1"/>
        <v>0</v>
      </c>
      <c r="L26" s="184">
        <v>919.94</v>
      </c>
      <c r="M26" s="192">
        <f t="shared" si="2"/>
        <v>1.0091058366920436</v>
      </c>
      <c r="N26" s="184">
        <v>280.58169999999973</v>
      </c>
      <c r="O26" s="183">
        <v>0.1</v>
      </c>
      <c r="P26" s="185">
        <v>2.9855202268995375E-3</v>
      </c>
      <c r="Q26" s="322">
        <v>91.994000000000014</v>
      </c>
      <c r="R26" s="311">
        <v>0.20499999999999971</v>
      </c>
      <c r="S26" s="184">
        <v>6.1203164651440429E-3</v>
      </c>
      <c r="T26" s="183" t="s">
        <v>484</v>
      </c>
      <c r="U26" s="183" t="s">
        <v>426</v>
      </c>
      <c r="V26" s="183"/>
      <c r="W26" s="189">
        <v>1</v>
      </c>
      <c r="X26" s="183" t="s">
        <v>244</v>
      </c>
    </row>
    <row r="27" spans="2:34">
      <c r="B27" s="588">
        <v>45903</v>
      </c>
      <c r="C27" s="590" t="s">
        <v>205</v>
      </c>
      <c r="D27" s="209">
        <v>1</v>
      </c>
      <c r="E27" s="183" t="s">
        <v>511</v>
      </c>
      <c r="F27" s="184">
        <v>3985.2883999999967</v>
      </c>
      <c r="G27" s="183">
        <v>143.286</v>
      </c>
      <c r="H27" s="183">
        <v>140.1</v>
      </c>
      <c r="I27" s="192">
        <f t="shared" si="0"/>
        <v>0.97776475021984</v>
      </c>
      <c r="J27" s="183">
        <v>17.600000000000001</v>
      </c>
      <c r="K27" s="192">
        <f t="shared" si="1"/>
        <v>0.12283126055581146</v>
      </c>
      <c r="L27" s="184">
        <v>290.60000000000002</v>
      </c>
      <c r="M27" s="192">
        <f t="shared" si="2"/>
        <v>1.1005960107756514</v>
      </c>
      <c r="N27" s="184">
        <v>4188.7083999999968</v>
      </c>
      <c r="O27" s="183">
        <v>0.7</v>
      </c>
      <c r="P27" s="185">
        <v>4.8853342266515914E-3</v>
      </c>
      <c r="Q27" s="322">
        <v>203.42000000000002</v>
      </c>
      <c r="R27" s="311">
        <v>13.713999999999988</v>
      </c>
      <c r="S27" s="184">
        <v>9.5710676548999812E-2</v>
      </c>
      <c r="T27" s="183" t="s">
        <v>484</v>
      </c>
      <c r="U27" s="183" t="s">
        <v>426</v>
      </c>
      <c r="V27" s="183"/>
      <c r="W27" s="189">
        <v>1</v>
      </c>
      <c r="X27" s="183" t="s">
        <v>311</v>
      </c>
    </row>
    <row r="28" spans="2:34">
      <c r="B28" s="589"/>
      <c r="C28" s="591"/>
      <c r="D28" s="209">
        <v>2</v>
      </c>
      <c r="E28" s="183" t="s">
        <v>557</v>
      </c>
      <c r="F28" s="184">
        <v>275.85619999999648</v>
      </c>
      <c r="G28" s="183">
        <v>18.536000000000001</v>
      </c>
      <c r="H28" s="183">
        <v>18.7</v>
      </c>
      <c r="I28" s="192">
        <f t="shared" si="0"/>
        <v>1.0088476478204573</v>
      </c>
      <c r="J28" s="183">
        <v>0</v>
      </c>
      <c r="K28" s="192">
        <f t="shared" si="1"/>
        <v>0</v>
      </c>
      <c r="L28" s="184">
        <v>1682.05</v>
      </c>
      <c r="M28" s="192">
        <f t="shared" si="2"/>
        <v>1.0088476478204573</v>
      </c>
      <c r="N28" s="184">
        <v>275.85619999999648</v>
      </c>
      <c r="O28" s="183">
        <v>0</v>
      </c>
      <c r="P28" s="185">
        <v>0</v>
      </c>
      <c r="Q28" s="322">
        <v>0</v>
      </c>
      <c r="R28" s="311">
        <v>0.16399999999999793</v>
      </c>
      <c r="S28" s="184">
        <v>8.8476478204573758E-3</v>
      </c>
      <c r="T28" s="183" t="s">
        <v>481</v>
      </c>
      <c r="U28" s="183" t="s">
        <v>419</v>
      </c>
      <c r="V28" s="183"/>
      <c r="W28" s="189">
        <v>1</v>
      </c>
      <c r="X28" s="183" t="s">
        <v>243</v>
      </c>
    </row>
    <row r="29" spans="2:34">
      <c r="B29" s="589"/>
      <c r="C29" s="591"/>
      <c r="D29" s="209">
        <v>3</v>
      </c>
      <c r="E29" s="183" t="s">
        <v>553</v>
      </c>
      <c r="F29" s="184">
        <v>265.06000000000012</v>
      </c>
      <c r="G29" s="183">
        <v>0.30859999999999999</v>
      </c>
      <c r="H29" s="183">
        <v>0.4</v>
      </c>
      <c r="I29" s="192">
        <f t="shared" si="0"/>
        <v>1.2961762799740766</v>
      </c>
      <c r="J29" s="183">
        <v>0</v>
      </c>
      <c r="K29" s="192">
        <f t="shared" si="1"/>
        <v>0</v>
      </c>
      <c r="L29" s="184">
        <v>2900</v>
      </c>
      <c r="M29" s="192">
        <f t="shared" si="2"/>
        <v>1.2961762799740766</v>
      </c>
      <c r="N29" s="184">
        <v>265.06000000000012</v>
      </c>
      <c r="O29" s="183">
        <v>0</v>
      </c>
      <c r="P29" s="185">
        <v>0</v>
      </c>
      <c r="Q29" s="322">
        <v>0</v>
      </c>
      <c r="R29" s="311">
        <v>9.1400000000000037E-2</v>
      </c>
      <c r="S29" s="184">
        <v>0.29617627997407658</v>
      </c>
      <c r="T29" s="183" t="s">
        <v>484</v>
      </c>
      <c r="U29" s="183" t="s">
        <v>426</v>
      </c>
      <c r="V29" s="183"/>
      <c r="W29" s="189">
        <v>1</v>
      </c>
      <c r="X29" s="183" t="s">
        <v>309</v>
      </c>
    </row>
    <row r="30" spans="2:34">
      <c r="B30" s="589"/>
      <c r="C30" s="591"/>
      <c r="D30" s="209">
        <v>4</v>
      </c>
      <c r="E30" s="183" t="s">
        <v>429</v>
      </c>
      <c r="F30" s="184">
        <v>248.4061200000005</v>
      </c>
      <c r="G30" s="183">
        <v>11.032999999999999</v>
      </c>
      <c r="H30" s="183">
        <v>11.5</v>
      </c>
      <c r="I30" s="192">
        <f t="shared" si="0"/>
        <v>1.0423275627662467</v>
      </c>
      <c r="J30" s="183">
        <v>0</v>
      </c>
      <c r="K30" s="192">
        <f t="shared" si="1"/>
        <v>0</v>
      </c>
      <c r="L30" s="184">
        <v>930.36</v>
      </c>
      <c r="M30" s="192">
        <f t="shared" si="2"/>
        <v>1.0423275627662467</v>
      </c>
      <c r="N30" s="184">
        <v>434.4781200000005</v>
      </c>
      <c r="O30" s="183">
        <v>0.2</v>
      </c>
      <c r="P30" s="185">
        <v>1.8127435874195599E-2</v>
      </c>
      <c r="Q30" s="322">
        <v>186.072</v>
      </c>
      <c r="R30" s="311">
        <v>0.26700000000000051</v>
      </c>
      <c r="S30" s="184">
        <v>2.4200126892051168E-2</v>
      </c>
      <c r="T30" s="183" t="s">
        <v>484</v>
      </c>
      <c r="U30" s="183" t="s">
        <v>426</v>
      </c>
      <c r="V30" s="183"/>
      <c r="W30" s="189">
        <v>1</v>
      </c>
      <c r="X30" s="183" t="s">
        <v>279</v>
      </c>
    </row>
    <row r="31" spans="2:34">
      <c r="B31" s="589"/>
      <c r="C31" s="591"/>
      <c r="D31" s="209">
        <v>5</v>
      </c>
      <c r="E31" s="183" t="s">
        <v>501</v>
      </c>
      <c r="F31" s="184">
        <v>222.29343999999833</v>
      </c>
      <c r="G31" s="183">
        <v>21.318000000000001</v>
      </c>
      <c r="H31" s="183">
        <v>21.9</v>
      </c>
      <c r="I31" s="192">
        <f t="shared" si="0"/>
        <v>1.0273008725021107</v>
      </c>
      <c r="J31" s="183">
        <v>0</v>
      </c>
      <c r="K31" s="192">
        <f t="shared" si="1"/>
        <v>0</v>
      </c>
      <c r="L31" s="184">
        <v>581.91999999999996</v>
      </c>
      <c r="M31" s="192">
        <f t="shared" si="2"/>
        <v>1.0273008725021107</v>
      </c>
      <c r="N31" s="184">
        <v>338.67743999999834</v>
      </c>
      <c r="O31" s="183">
        <v>0.2</v>
      </c>
      <c r="P31" s="185">
        <v>9.3817431278731579E-3</v>
      </c>
      <c r="Q31" s="322">
        <v>116.384</v>
      </c>
      <c r="R31" s="311">
        <v>0.38199999999999718</v>
      </c>
      <c r="S31" s="184">
        <v>1.7919129374237598E-2</v>
      </c>
      <c r="T31" s="183" t="s">
        <v>481</v>
      </c>
      <c r="U31" s="183" t="s">
        <v>419</v>
      </c>
      <c r="V31" s="183"/>
      <c r="W31" s="189">
        <v>1</v>
      </c>
      <c r="X31" s="183" t="s">
        <v>286</v>
      </c>
    </row>
    <row r="32" spans="2:34">
      <c r="B32" s="589"/>
      <c r="C32" s="591"/>
      <c r="D32" s="209">
        <v>6</v>
      </c>
      <c r="E32" s="183" t="s">
        <v>519</v>
      </c>
      <c r="F32" s="184">
        <v>212.2666499999969</v>
      </c>
      <c r="G32" s="183">
        <v>92.295000000000002</v>
      </c>
      <c r="H32" s="183">
        <v>91.8</v>
      </c>
      <c r="I32" s="192">
        <f t="shared" si="0"/>
        <v>0.99463676255485123</v>
      </c>
      <c r="J32" s="183">
        <v>1.3</v>
      </c>
      <c r="K32" s="192">
        <f t="shared" si="1"/>
        <v>1.4085270057966304E-2</v>
      </c>
      <c r="L32" s="184">
        <v>420.33</v>
      </c>
      <c r="M32" s="192">
        <f t="shared" si="2"/>
        <v>1.0087220326128175</v>
      </c>
      <c r="N32" s="184">
        <v>338.36564999999689</v>
      </c>
      <c r="O32" s="183">
        <v>0.3</v>
      </c>
      <c r="P32" s="185">
        <v>3.2504469364537623E-3</v>
      </c>
      <c r="Q32" s="322">
        <v>126.09899999999999</v>
      </c>
      <c r="R32" s="311">
        <v>0.50499999999999257</v>
      </c>
      <c r="S32" s="184">
        <v>5.4715856763637525E-3</v>
      </c>
      <c r="T32" s="183" t="s">
        <v>484</v>
      </c>
      <c r="U32" s="183" t="s">
        <v>426</v>
      </c>
      <c r="V32" s="183"/>
      <c r="W32" s="189">
        <v>1</v>
      </c>
      <c r="X32" s="183" t="s">
        <v>301</v>
      </c>
    </row>
    <row r="33" spans="2:24">
      <c r="B33" s="589"/>
      <c r="C33" s="591"/>
      <c r="D33" s="209">
        <v>7</v>
      </c>
      <c r="E33" s="183" t="s">
        <v>495</v>
      </c>
      <c r="F33" s="184">
        <v>207.31408000000079</v>
      </c>
      <c r="G33" s="183">
        <v>24.533999999999999</v>
      </c>
      <c r="H33" s="183">
        <v>25.3</v>
      </c>
      <c r="I33" s="192">
        <f t="shared" si="0"/>
        <v>1.0312219776636504</v>
      </c>
      <c r="J33" s="183">
        <v>0</v>
      </c>
      <c r="K33" s="192">
        <f t="shared" si="1"/>
        <v>0</v>
      </c>
      <c r="L33" s="184">
        <v>444.88</v>
      </c>
      <c r="M33" s="192">
        <f t="shared" si="2"/>
        <v>1.0312219776636504</v>
      </c>
      <c r="N33" s="184">
        <v>340.77808000000078</v>
      </c>
      <c r="O33" s="183">
        <v>0.3</v>
      </c>
      <c r="P33" s="185">
        <v>1.2227928588897041E-2</v>
      </c>
      <c r="Q33" s="322">
        <v>133.464</v>
      </c>
      <c r="R33" s="311">
        <v>0.4660000000000018</v>
      </c>
      <c r="S33" s="184">
        <v>1.8994049074753477E-2</v>
      </c>
      <c r="T33" s="183" t="s">
        <v>484</v>
      </c>
      <c r="U33" s="183" t="s">
        <v>436</v>
      </c>
      <c r="V33" s="183"/>
      <c r="W33" s="189">
        <v>1</v>
      </c>
      <c r="X33" s="183" t="s">
        <v>496</v>
      </c>
    </row>
    <row r="34" spans="2:24">
      <c r="B34" s="589"/>
      <c r="C34" s="591"/>
      <c r="D34" s="209">
        <v>8</v>
      </c>
      <c r="E34" s="183" t="s">
        <v>548</v>
      </c>
      <c r="F34" s="184">
        <v>205.15107000000057</v>
      </c>
      <c r="G34" s="183">
        <v>44.366999999999997</v>
      </c>
      <c r="H34" s="183">
        <v>44.9</v>
      </c>
      <c r="I34" s="192">
        <f t="shared" si="0"/>
        <v>1.0120134334077129</v>
      </c>
      <c r="J34" s="183">
        <v>0</v>
      </c>
      <c r="K34" s="192">
        <f t="shared" si="1"/>
        <v>0</v>
      </c>
      <c r="L34" s="184">
        <v>473.79</v>
      </c>
      <c r="M34" s="192">
        <f t="shared" si="2"/>
        <v>1.0120134334077129</v>
      </c>
      <c r="N34" s="184">
        <v>252.53007000000059</v>
      </c>
      <c r="O34" s="183">
        <v>0.1</v>
      </c>
      <c r="P34" s="185">
        <v>2.2539274686140601E-3</v>
      </c>
      <c r="Q34" s="322">
        <v>47.379000000000005</v>
      </c>
      <c r="R34" s="311">
        <v>0.43300000000000127</v>
      </c>
      <c r="S34" s="184">
        <v>9.7595059390989097E-3</v>
      </c>
      <c r="T34" s="183" t="s">
        <v>484</v>
      </c>
      <c r="U34" s="183" t="s">
        <v>436</v>
      </c>
      <c r="V34" s="183"/>
      <c r="W34" s="189">
        <v>1</v>
      </c>
      <c r="X34" s="183" t="s">
        <v>420</v>
      </c>
    </row>
    <row r="35" spans="2:24">
      <c r="B35" s="589"/>
      <c r="C35" s="591"/>
      <c r="D35" s="209">
        <v>9</v>
      </c>
      <c r="E35" s="183" t="s">
        <v>439</v>
      </c>
      <c r="F35" s="184">
        <v>189.26279999999934</v>
      </c>
      <c r="G35" s="183">
        <v>24.84</v>
      </c>
      <c r="H35" s="183">
        <v>25.4</v>
      </c>
      <c r="I35" s="192">
        <f t="shared" si="0"/>
        <v>1.0225442834138485</v>
      </c>
      <c r="J35" s="183">
        <v>0</v>
      </c>
      <c r="K35" s="192">
        <f t="shared" si="1"/>
        <v>0</v>
      </c>
      <c r="L35" s="184">
        <v>525.73</v>
      </c>
      <c r="M35" s="192">
        <f t="shared" si="2"/>
        <v>1.0225442834138485</v>
      </c>
      <c r="N35" s="184">
        <v>294.40879999999936</v>
      </c>
      <c r="O35" s="183">
        <v>0.2</v>
      </c>
      <c r="P35" s="185">
        <v>8.0515297906602265E-3</v>
      </c>
      <c r="Q35" s="322">
        <v>105.14600000000002</v>
      </c>
      <c r="R35" s="311">
        <v>0.35999999999999871</v>
      </c>
      <c r="S35" s="184">
        <v>1.4492753623188354E-2</v>
      </c>
      <c r="T35" s="183" t="s">
        <v>484</v>
      </c>
      <c r="U35" s="183" t="s">
        <v>436</v>
      </c>
      <c r="V35" s="183"/>
      <c r="W35" s="189">
        <v>1</v>
      </c>
      <c r="X35" s="183" t="s">
        <v>275</v>
      </c>
    </row>
    <row r="36" spans="2:24">
      <c r="B36" s="589"/>
      <c r="C36" s="591"/>
      <c r="D36" s="209">
        <v>10</v>
      </c>
      <c r="E36" s="183" t="s">
        <v>521</v>
      </c>
      <c r="F36" s="184">
        <v>186.1083000000003</v>
      </c>
      <c r="G36" s="183">
        <v>27.555</v>
      </c>
      <c r="H36" s="183">
        <v>29.1</v>
      </c>
      <c r="I36" s="192">
        <f t="shared" si="0"/>
        <v>1.0560696788241699</v>
      </c>
      <c r="J36" s="183">
        <v>0</v>
      </c>
      <c r="K36" s="192">
        <f t="shared" si="1"/>
        <v>0</v>
      </c>
      <c r="L36" s="184">
        <v>196.94</v>
      </c>
      <c r="M36" s="192">
        <f t="shared" si="2"/>
        <v>1.0560696788241699</v>
      </c>
      <c r="N36" s="184">
        <v>304.27230000000031</v>
      </c>
      <c r="O36" s="183">
        <v>0.60000000000000009</v>
      </c>
      <c r="P36" s="185">
        <v>2.1774632553075671E-2</v>
      </c>
      <c r="Q36" s="322">
        <v>118.16400000000002</v>
      </c>
      <c r="R36" s="311">
        <v>0.94500000000000162</v>
      </c>
      <c r="S36" s="184">
        <v>3.4295046271094233E-2</v>
      </c>
      <c r="T36" s="183" t="s">
        <v>487</v>
      </c>
      <c r="U36" s="183" t="s">
        <v>488</v>
      </c>
      <c r="V36" s="183"/>
      <c r="W36" s="189">
        <v>1</v>
      </c>
      <c r="X36" s="183" t="s">
        <v>311</v>
      </c>
    </row>
    <row r="37" spans="2:24">
      <c r="B37" s="588">
        <v>45904</v>
      </c>
      <c r="C37" s="590" t="s">
        <v>206</v>
      </c>
      <c r="D37" s="209">
        <v>1</v>
      </c>
      <c r="E37" s="183" t="s">
        <v>511</v>
      </c>
      <c r="F37" s="184">
        <v>4025.9724000000028</v>
      </c>
      <c r="G37" s="183">
        <v>137.04599999999999</v>
      </c>
      <c r="H37" s="183">
        <v>138.5</v>
      </c>
      <c r="I37" s="192">
        <f t="shared" si="0"/>
        <v>1.0106095763466283</v>
      </c>
      <c r="J37" s="183">
        <v>13</v>
      </c>
      <c r="K37" s="192">
        <f t="shared" si="1"/>
        <v>9.4858660595712394E-2</v>
      </c>
      <c r="L37" s="184">
        <v>290.60000000000002</v>
      </c>
      <c r="M37" s="192">
        <f t="shared" si="2"/>
        <v>1.1054682369423405</v>
      </c>
      <c r="N37" s="184">
        <v>4200.332400000003</v>
      </c>
      <c r="O37" s="183">
        <v>0.6</v>
      </c>
      <c r="P37" s="185">
        <v>4.3780920274944183E-3</v>
      </c>
      <c r="Q37" s="322">
        <v>174.36</v>
      </c>
      <c r="R37" s="311">
        <v>13.854000000000008</v>
      </c>
      <c r="S37" s="184">
        <v>0.10109014491484618</v>
      </c>
      <c r="T37" s="183" t="s">
        <v>484</v>
      </c>
      <c r="U37" s="183" t="s">
        <v>426</v>
      </c>
      <c r="V37" s="183"/>
      <c r="W37" s="189">
        <v>1</v>
      </c>
      <c r="X37" s="183" t="s">
        <v>311</v>
      </c>
    </row>
    <row r="38" spans="2:24">
      <c r="B38" s="589"/>
      <c r="C38" s="591"/>
      <c r="D38" s="209">
        <v>2</v>
      </c>
      <c r="E38" s="183" t="s">
        <v>439</v>
      </c>
      <c r="F38" s="184">
        <v>283.89419999999956</v>
      </c>
      <c r="G38" s="183">
        <v>24.36</v>
      </c>
      <c r="H38" s="183">
        <v>24.7</v>
      </c>
      <c r="I38" s="192">
        <f t="shared" si="0"/>
        <v>1.0139573070607553</v>
      </c>
      <c r="J38" s="183">
        <v>0.2</v>
      </c>
      <c r="K38" s="192">
        <f t="shared" si="1"/>
        <v>8.2101806239737278E-3</v>
      </c>
      <c r="L38" s="184">
        <v>525.73</v>
      </c>
      <c r="M38" s="192">
        <f t="shared" si="2"/>
        <v>1.0221674876847291</v>
      </c>
      <c r="N38" s="184">
        <v>283.89419999999956</v>
      </c>
      <c r="O38" s="183">
        <v>0</v>
      </c>
      <c r="P38" s="185">
        <v>0</v>
      </c>
      <c r="Q38" s="322">
        <v>0</v>
      </c>
      <c r="R38" s="311">
        <v>0.53999999999999915</v>
      </c>
      <c r="S38" s="184">
        <v>2.216748768472903E-2</v>
      </c>
      <c r="T38" s="183" t="s">
        <v>484</v>
      </c>
      <c r="U38" s="183" t="s">
        <v>436</v>
      </c>
      <c r="V38" s="183"/>
      <c r="W38" s="189">
        <v>1</v>
      </c>
      <c r="X38" s="183" t="s">
        <v>275</v>
      </c>
    </row>
    <row r="39" spans="2:24">
      <c r="B39" s="589"/>
      <c r="C39" s="591"/>
      <c r="D39" s="209">
        <v>3</v>
      </c>
      <c r="E39" s="183" t="s">
        <v>556</v>
      </c>
      <c r="F39" s="184">
        <v>241.9442199999983</v>
      </c>
      <c r="G39" s="183">
        <v>28.637</v>
      </c>
      <c r="H39" s="183">
        <v>28.9</v>
      </c>
      <c r="I39" s="192">
        <f t="shared" si="0"/>
        <v>1.0091839228969515</v>
      </c>
      <c r="J39" s="183">
        <v>0</v>
      </c>
      <c r="K39" s="192">
        <f t="shared" si="1"/>
        <v>0</v>
      </c>
      <c r="L39" s="184">
        <v>919.94</v>
      </c>
      <c r="M39" s="192">
        <f t="shared" si="2"/>
        <v>1.0091839228969515</v>
      </c>
      <c r="N39" s="184">
        <v>241.9442199999983</v>
      </c>
      <c r="O39" s="183">
        <v>0</v>
      </c>
      <c r="P39" s="185">
        <v>0</v>
      </c>
      <c r="Q39" s="322">
        <v>0</v>
      </c>
      <c r="R39" s="311">
        <v>0.26299999999999812</v>
      </c>
      <c r="S39" s="184">
        <v>9.1839228969514304E-3</v>
      </c>
      <c r="T39" s="183" t="s">
        <v>484</v>
      </c>
      <c r="U39" s="183" t="s">
        <v>426</v>
      </c>
      <c r="V39" s="183"/>
      <c r="W39" s="189">
        <v>1</v>
      </c>
      <c r="X39" s="183" t="s">
        <v>244</v>
      </c>
    </row>
    <row r="40" spans="2:24">
      <c r="B40" s="589"/>
      <c r="C40" s="591"/>
      <c r="D40" s="209">
        <v>4</v>
      </c>
      <c r="E40" s="183" t="s">
        <v>548</v>
      </c>
      <c r="F40" s="184">
        <v>193.30631999999858</v>
      </c>
      <c r="G40" s="183">
        <v>43.792000000000002</v>
      </c>
      <c r="H40" s="183">
        <v>44.4</v>
      </c>
      <c r="I40" s="192">
        <f t="shared" si="0"/>
        <v>1.0138838143953233</v>
      </c>
      <c r="J40" s="183">
        <v>0</v>
      </c>
      <c r="K40" s="192">
        <f t="shared" si="1"/>
        <v>0</v>
      </c>
      <c r="L40" s="184">
        <v>473.79</v>
      </c>
      <c r="M40" s="192">
        <f t="shared" si="2"/>
        <v>1.0138838143953233</v>
      </c>
      <c r="N40" s="184">
        <v>288.06431999999859</v>
      </c>
      <c r="O40" s="183">
        <v>0.2</v>
      </c>
      <c r="P40" s="185">
        <v>4.5670442089879434E-3</v>
      </c>
      <c r="Q40" s="322">
        <v>94.75800000000001</v>
      </c>
      <c r="R40" s="311">
        <v>0.40799999999999698</v>
      </c>
      <c r="S40" s="184">
        <v>9.3167701863353346E-3</v>
      </c>
      <c r="T40" s="183" t="s">
        <v>484</v>
      </c>
      <c r="U40" s="183" t="s">
        <v>436</v>
      </c>
      <c r="V40" s="183"/>
      <c r="W40" s="189">
        <v>1</v>
      </c>
      <c r="X40" s="183" t="s">
        <v>420</v>
      </c>
    </row>
    <row r="41" spans="2:24">
      <c r="B41" s="589"/>
      <c r="C41" s="591"/>
      <c r="D41" s="209">
        <v>5</v>
      </c>
      <c r="E41" s="183" t="s">
        <v>483</v>
      </c>
      <c r="F41" s="184">
        <v>185.74119999999965</v>
      </c>
      <c r="G41" s="183">
        <v>34.616</v>
      </c>
      <c r="H41" s="183">
        <v>35.4</v>
      </c>
      <c r="I41" s="192">
        <f t="shared" si="0"/>
        <v>1.0226484862491334</v>
      </c>
      <c r="J41" s="183">
        <v>0</v>
      </c>
      <c r="K41" s="192">
        <f t="shared" si="1"/>
        <v>0</v>
      </c>
      <c r="L41" s="184">
        <v>318.05</v>
      </c>
      <c r="M41" s="192">
        <f t="shared" si="2"/>
        <v>1.0226484862491334</v>
      </c>
      <c r="N41" s="184">
        <v>249.35119999999966</v>
      </c>
      <c r="O41" s="183">
        <v>0.2</v>
      </c>
      <c r="P41" s="185">
        <v>5.777675063554426E-3</v>
      </c>
      <c r="Q41" s="322">
        <v>63.610000000000007</v>
      </c>
      <c r="R41" s="311">
        <v>0.58399999999999896</v>
      </c>
      <c r="S41" s="184">
        <v>1.6870811185578892E-2</v>
      </c>
      <c r="T41" s="183" t="s">
        <v>484</v>
      </c>
      <c r="U41" s="183" t="s">
        <v>436</v>
      </c>
      <c r="V41" s="183"/>
      <c r="W41" s="189">
        <v>1</v>
      </c>
      <c r="X41" s="183" t="s">
        <v>306</v>
      </c>
    </row>
    <row r="42" spans="2:24">
      <c r="B42" s="589"/>
      <c r="C42" s="591"/>
      <c r="D42" s="209">
        <v>6</v>
      </c>
      <c r="E42" s="183" t="s">
        <v>518</v>
      </c>
      <c r="F42" s="184">
        <v>171.35093999999881</v>
      </c>
      <c r="G42" s="183">
        <v>17.574000000000002</v>
      </c>
      <c r="H42" s="183">
        <v>18</v>
      </c>
      <c r="I42" s="192">
        <f t="shared" si="0"/>
        <v>1.0242403550699897</v>
      </c>
      <c r="J42" s="183">
        <v>0</v>
      </c>
      <c r="K42" s="192">
        <f t="shared" si="1"/>
        <v>0</v>
      </c>
      <c r="L42" s="184">
        <v>758.19</v>
      </c>
      <c r="M42" s="192">
        <f t="shared" si="2"/>
        <v>1.0242403550699897</v>
      </c>
      <c r="N42" s="184">
        <v>322.98893999999882</v>
      </c>
      <c r="O42" s="183">
        <v>0.2</v>
      </c>
      <c r="P42" s="185">
        <v>1.1380448389666552E-2</v>
      </c>
      <c r="Q42" s="322">
        <v>151.63800000000001</v>
      </c>
      <c r="R42" s="311">
        <v>0.22599999999999837</v>
      </c>
      <c r="S42" s="184">
        <v>1.2859906680323111E-2</v>
      </c>
      <c r="T42" s="183" t="s">
        <v>484</v>
      </c>
      <c r="U42" s="183" t="s">
        <v>436</v>
      </c>
      <c r="V42" s="183"/>
      <c r="W42" s="189">
        <v>1</v>
      </c>
      <c r="X42" s="183" t="s">
        <v>321</v>
      </c>
    </row>
    <row r="43" spans="2:24">
      <c r="B43" s="589"/>
      <c r="C43" s="591"/>
      <c r="D43" s="209">
        <v>7</v>
      </c>
      <c r="E43" s="183" t="s">
        <v>544</v>
      </c>
      <c r="F43" s="184">
        <v>170.67890000000114</v>
      </c>
      <c r="G43" s="183">
        <v>33.225999999999999</v>
      </c>
      <c r="H43" s="183">
        <v>34.200000000000003</v>
      </c>
      <c r="I43" s="192">
        <f t="shared" si="0"/>
        <v>1.0293143923433457</v>
      </c>
      <c r="J43" s="183">
        <v>0</v>
      </c>
      <c r="K43" s="192">
        <f t="shared" si="1"/>
        <v>0</v>
      </c>
      <c r="L43" s="184">
        <v>297.35000000000002</v>
      </c>
      <c r="M43" s="192">
        <f t="shared" si="2"/>
        <v>1.0293143923433457</v>
      </c>
      <c r="N43" s="184">
        <v>289.61890000000113</v>
      </c>
      <c r="O43" s="183">
        <v>0.4</v>
      </c>
      <c r="P43" s="185">
        <v>1.2038764822729189E-2</v>
      </c>
      <c r="Q43" s="322">
        <v>118.94000000000001</v>
      </c>
      <c r="R43" s="311">
        <v>0.57400000000000373</v>
      </c>
      <c r="S43" s="184">
        <v>1.7275627520616496E-2</v>
      </c>
      <c r="T43" s="183" t="s">
        <v>484</v>
      </c>
      <c r="U43" s="183" t="s">
        <v>426</v>
      </c>
      <c r="V43" s="183"/>
      <c r="W43" s="189">
        <v>1</v>
      </c>
      <c r="X43" s="183" t="s">
        <v>279</v>
      </c>
    </row>
    <row r="44" spans="2:24">
      <c r="B44" s="589"/>
      <c r="C44" s="591"/>
      <c r="D44" s="209">
        <v>8</v>
      </c>
      <c r="E44" s="183" t="s">
        <v>505</v>
      </c>
      <c r="F44" s="184">
        <v>168.82985999999866</v>
      </c>
      <c r="G44" s="183">
        <v>118.169</v>
      </c>
      <c r="H44" s="183">
        <v>118.6</v>
      </c>
      <c r="I44" s="192">
        <f t="shared" si="0"/>
        <v>1.0036473186707173</v>
      </c>
      <c r="J44" s="183">
        <v>0</v>
      </c>
      <c r="K44" s="192">
        <f t="shared" si="1"/>
        <v>0</v>
      </c>
      <c r="L44" s="184">
        <v>510.06</v>
      </c>
      <c r="M44" s="192">
        <f t="shared" si="2"/>
        <v>1.0036473186707173</v>
      </c>
      <c r="N44" s="184">
        <v>219.83585999999866</v>
      </c>
      <c r="O44" s="183">
        <v>0.1</v>
      </c>
      <c r="P44" s="185">
        <v>8.462456312569287E-4</v>
      </c>
      <c r="Q44" s="322">
        <v>51.006</v>
      </c>
      <c r="R44" s="311">
        <v>0.33099999999999741</v>
      </c>
      <c r="S44" s="184">
        <v>2.8010730394604118E-3</v>
      </c>
      <c r="T44" s="183" t="s">
        <v>484</v>
      </c>
      <c r="U44" s="183" t="s">
        <v>436</v>
      </c>
      <c r="V44" s="183"/>
      <c r="W44" s="189">
        <v>1</v>
      </c>
      <c r="X44" s="183" t="s">
        <v>420</v>
      </c>
    </row>
    <row r="45" spans="2:24">
      <c r="B45" s="589"/>
      <c r="C45" s="591"/>
      <c r="D45" s="209">
        <v>9</v>
      </c>
      <c r="E45" s="183" t="s">
        <v>501</v>
      </c>
      <c r="F45" s="184">
        <v>167.59296000000015</v>
      </c>
      <c r="G45" s="183">
        <v>19.911999999999999</v>
      </c>
      <c r="H45" s="183">
        <v>19.899999999999999</v>
      </c>
      <c r="I45" s="192">
        <f t="shared" si="0"/>
        <v>0.99939734833266369</v>
      </c>
      <c r="J45" s="183">
        <v>0.3</v>
      </c>
      <c r="K45" s="192">
        <f t="shared" si="1"/>
        <v>1.5066291683406991E-2</v>
      </c>
      <c r="L45" s="184">
        <v>581.91999999999996</v>
      </c>
      <c r="M45" s="192">
        <f t="shared" si="2"/>
        <v>1.0144636400160707</v>
      </c>
      <c r="N45" s="184">
        <v>167.59296000000015</v>
      </c>
      <c r="O45" s="183">
        <v>0</v>
      </c>
      <c r="P45" s="185">
        <v>0</v>
      </c>
      <c r="Q45" s="322">
        <v>0</v>
      </c>
      <c r="R45" s="311">
        <v>0.28800000000000026</v>
      </c>
      <c r="S45" s="184">
        <v>1.4463640016070724E-2</v>
      </c>
      <c r="T45" s="183" t="s">
        <v>481</v>
      </c>
      <c r="U45" s="183" t="s">
        <v>419</v>
      </c>
      <c r="V45" s="183"/>
      <c r="W45" s="189">
        <v>1</v>
      </c>
      <c r="X45" s="183" t="s">
        <v>286</v>
      </c>
    </row>
    <row r="46" spans="2:24">
      <c r="B46" s="589"/>
      <c r="C46" s="591"/>
      <c r="D46" s="209">
        <v>10</v>
      </c>
      <c r="E46" s="183" t="s">
        <v>527</v>
      </c>
      <c r="F46" s="184">
        <v>164.53160000000011</v>
      </c>
      <c r="G46" s="183">
        <v>195.62</v>
      </c>
      <c r="H46" s="183">
        <v>197.9</v>
      </c>
      <c r="I46" s="192">
        <f t="shared" si="0"/>
        <v>1.0116552499744402</v>
      </c>
      <c r="J46" s="183">
        <v>0</v>
      </c>
      <c r="K46" s="192">
        <f t="shared" si="1"/>
        <v>0</v>
      </c>
      <c r="L46" s="184">
        <v>111.17</v>
      </c>
      <c r="M46" s="192">
        <f t="shared" si="2"/>
        <v>1.0116552499744402</v>
      </c>
      <c r="N46" s="184">
        <v>253.46760000000012</v>
      </c>
      <c r="O46" s="183">
        <v>0.8</v>
      </c>
      <c r="P46" s="185">
        <v>4.0895613945404353E-3</v>
      </c>
      <c r="Q46" s="322">
        <v>88.936000000000007</v>
      </c>
      <c r="R46" s="311">
        <v>1.4800000000000011</v>
      </c>
      <c r="S46" s="184">
        <v>7.5656885798998114E-3</v>
      </c>
      <c r="T46" s="183" t="s">
        <v>481</v>
      </c>
      <c r="U46" s="183" t="s">
        <v>419</v>
      </c>
      <c r="V46" s="183"/>
      <c r="W46" s="189">
        <v>1</v>
      </c>
      <c r="X46" s="183" t="s">
        <v>420</v>
      </c>
    </row>
    <row r="47" spans="2:24">
      <c r="B47" s="588">
        <v>45905</v>
      </c>
      <c r="C47" s="590" t="s">
        <v>207</v>
      </c>
      <c r="D47" s="209">
        <v>1</v>
      </c>
      <c r="E47" s="183" t="s">
        <v>511</v>
      </c>
      <c r="F47" s="184">
        <v>2106.8500000000013</v>
      </c>
      <c r="G47" s="183">
        <v>105.95</v>
      </c>
      <c r="H47" s="183">
        <v>106.7</v>
      </c>
      <c r="I47" s="192">
        <f t="shared" si="0"/>
        <v>1.0070788107597923</v>
      </c>
      <c r="J47" s="183">
        <v>6.7</v>
      </c>
      <c r="K47" s="192">
        <f t="shared" si="1"/>
        <v>6.3237376120811706E-2</v>
      </c>
      <c r="L47" s="184">
        <v>290.60000000000002</v>
      </c>
      <c r="M47" s="192">
        <f t="shared" si="2"/>
        <v>1.0703161868806041</v>
      </c>
      <c r="N47" s="184">
        <v>2164.9700000000012</v>
      </c>
      <c r="O47" s="183">
        <v>0.2</v>
      </c>
      <c r="P47" s="185">
        <v>1.8876828692779614E-3</v>
      </c>
      <c r="Q47" s="322">
        <v>58.120000000000005</v>
      </c>
      <c r="R47" s="311">
        <v>7.2500000000000027</v>
      </c>
      <c r="S47" s="184">
        <v>6.8428504011326122E-2</v>
      </c>
      <c r="T47" s="183" t="s">
        <v>484</v>
      </c>
      <c r="U47" s="183" t="s">
        <v>426</v>
      </c>
      <c r="V47" s="183"/>
      <c r="W47" s="189">
        <v>1</v>
      </c>
      <c r="X47" s="183" t="s">
        <v>311</v>
      </c>
    </row>
    <row r="48" spans="2:24">
      <c r="B48" s="589"/>
      <c r="C48" s="591"/>
      <c r="D48" s="209">
        <v>2</v>
      </c>
      <c r="E48" s="183" t="s">
        <v>557</v>
      </c>
      <c r="F48" s="184">
        <v>410.42019999999962</v>
      </c>
      <c r="G48" s="183">
        <v>16.756</v>
      </c>
      <c r="H48" s="183">
        <v>17</v>
      </c>
      <c r="I48" s="192">
        <f t="shared" si="0"/>
        <v>1.0145619479589401</v>
      </c>
      <c r="J48" s="183">
        <v>0</v>
      </c>
      <c r="K48" s="192">
        <f t="shared" si="1"/>
        <v>0</v>
      </c>
      <c r="L48" s="184">
        <v>1682.05</v>
      </c>
      <c r="M48" s="192">
        <f t="shared" si="2"/>
        <v>1.0145619479589401</v>
      </c>
      <c r="N48" s="184">
        <v>410.42019999999962</v>
      </c>
      <c r="O48" s="183">
        <v>0</v>
      </c>
      <c r="P48" s="185">
        <v>0</v>
      </c>
      <c r="Q48" s="322">
        <v>0</v>
      </c>
      <c r="R48" s="311">
        <v>0.24399999999999977</v>
      </c>
      <c r="S48" s="184">
        <v>1.4561947958940067E-2</v>
      </c>
      <c r="T48" s="183" t="s">
        <v>484</v>
      </c>
      <c r="U48" s="183" t="s">
        <v>426</v>
      </c>
      <c r="V48" s="183"/>
      <c r="W48" s="189">
        <v>1</v>
      </c>
      <c r="X48" s="183" t="s">
        <v>243</v>
      </c>
    </row>
    <row r="49" spans="2:24">
      <c r="B49" s="589"/>
      <c r="C49" s="591"/>
      <c r="D49" s="209">
        <v>3</v>
      </c>
      <c r="E49" s="183" t="s">
        <v>533</v>
      </c>
      <c r="F49" s="184">
        <v>356.45401311477252</v>
      </c>
      <c r="G49" s="183">
        <v>23.967606557377</v>
      </c>
      <c r="H49" s="183">
        <v>24.9</v>
      </c>
      <c r="I49" s="192">
        <f t="shared" si="0"/>
        <v>1.0389022341630527</v>
      </c>
      <c r="J49" s="183">
        <v>0</v>
      </c>
      <c r="K49" s="192">
        <f t="shared" si="1"/>
        <v>0</v>
      </c>
      <c r="L49" s="184">
        <v>382.3</v>
      </c>
      <c r="M49" s="192">
        <f t="shared" si="2"/>
        <v>1.0389022341630527</v>
      </c>
      <c r="N49" s="184">
        <v>356.45401311477252</v>
      </c>
      <c r="O49" s="183">
        <v>0</v>
      </c>
      <c r="P49" s="185">
        <v>0</v>
      </c>
      <c r="Q49" s="322">
        <v>0</v>
      </c>
      <c r="R49" s="311">
        <v>0.93239344262299895</v>
      </c>
      <c r="S49" s="184">
        <v>3.8902234163052767E-2</v>
      </c>
      <c r="T49" s="183" t="s">
        <v>481</v>
      </c>
      <c r="U49" s="183" t="s">
        <v>419</v>
      </c>
      <c r="V49" s="183"/>
      <c r="W49" s="189">
        <v>1</v>
      </c>
      <c r="X49" s="183" t="s">
        <v>236</v>
      </c>
    </row>
    <row r="50" spans="2:24">
      <c r="B50" s="589"/>
      <c r="C50" s="591"/>
      <c r="D50" s="209">
        <v>4</v>
      </c>
      <c r="E50" s="183" t="s">
        <v>505</v>
      </c>
      <c r="F50" s="184">
        <v>333.06918000000439</v>
      </c>
      <c r="G50" s="183">
        <v>101.547</v>
      </c>
      <c r="H50" s="183">
        <v>102.4</v>
      </c>
      <c r="I50" s="192">
        <f t="shared" si="0"/>
        <v>1.0084000512078153</v>
      </c>
      <c r="J50" s="183">
        <v>0</v>
      </c>
      <c r="K50" s="192">
        <f t="shared" si="1"/>
        <v>0</v>
      </c>
      <c r="L50" s="184">
        <v>510.06</v>
      </c>
      <c r="M50" s="192">
        <f t="shared" si="2"/>
        <v>1.0084000512078153</v>
      </c>
      <c r="N50" s="184">
        <v>435.08118000000439</v>
      </c>
      <c r="O50" s="183">
        <v>0.2</v>
      </c>
      <c r="P50" s="185">
        <v>1.9695313500152642E-3</v>
      </c>
      <c r="Q50" s="322">
        <v>102.012</v>
      </c>
      <c r="R50" s="311">
        <v>0.65300000000000868</v>
      </c>
      <c r="S50" s="184">
        <v>6.4305198577999222E-3</v>
      </c>
      <c r="T50" s="183" t="s">
        <v>484</v>
      </c>
      <c r="U50" s="183" t="s">
        <v>436</v>
      </c>
      <c r="V50" s="183"/>
      <c r="W50" s="189">
        <v>1</v>
      </c>
      <c r="X50" s="183" t="s">
        <v>420</v>
      </c>
    </row>
    <row r="51" spans="2:24">
      <c r="B51" s="589"/>
      <c r="C51" s="591"/>
      <c r="D51" s="209">
        <v>5</v>
      </c>
      <c r="E51" s="183" t="s">
        <v>558</v>
      </c>
      <c r="F51" s="184">
        <v>282.81382999999965</v>
      </c>
      <c r="G51" s="183">
        <v>7.5110000000000001</v>
      </c>
      <c r="H51" s="183">
        <v>8.1999999999999993</v>
      </c>
      <c r="I51" s="192">
        <f t="shared" si="0"/>
        <v>1.0917321262148847</v>
      </c>
      <c r="J51" s="183">
        <v>0</v>
      </c>
      <c r="K51" s="192">
        <f t="shared" si="1"/>
        <v>0</v>
      </c>
      <c r="L51" s="184">
        <v>410.47</v>
      </c>
      <c r="M51" s="192">
        <f t="shared" si="2"/>
        <v>1.0917321262148847</v>
      </c>
      <c r="N51" s="184">
        <v>282.81382999999965</v>
      </c>
      <c r="O51" s="183">
        <v>0</v>
      </c>
      <c r="P51" s="185">
        <v>0</v>
      </c>
      <c r="Q51" s="322">
        <v>0</v>
      </c>
      <c r="R51" s="311">
        <v>0.68899999999999917</v>
      </c>
      <c r="S51" s="184">
        <v>9.1732126214884718E-2</v>
      </c>
      <c r="T51" s="183" t="s">
        <v>487</v>
      </c>
      <c r="U51" s="183" t="s">
        <v>510</v>
      </c>
      <c r="V51" s="183"/>
      <c r="W51" s="189">
        <v>1</v>
      </c>
      <c r="X51" s="183" t="s">
        <v>241</v>
      </c>
    </row>
    <row r="52" spans="2:24">
      <c r="B52" s="589"/>
      <c r="C52" s="591"/>
      <c r="D52" s="209">
        <v>6</v>
      </c>
      <c r="E52" s="183" t="s">
        <v>519</v>
      </c>
      <c r="F52" s="184">
        <v>281.62110000000069</v>
      </c>
      <c r="G52" s="183">
        <v>67.83</v>
      </c>
      <c r="H52" s="183">
        <v>67.3</v>
      </c>
      <c r="I52" s="192">
        <f t="shared" si="0"/>
        <v>0.99218634822349994</v>
      </c>
      <c r="J52" s="183">
        <v>1.2</v>
      </c>
      <c r="K52" s="192">
        <f t="shared" si="1"/>
        <v>1.7691287041132243E-2</v>
      </c>
      <c r="L52" s="184">
        <v>420.33</v>
      </c>
      <c r="M52" s="192">
        <f t="shared" si="2"/>
        <v>1.0098776352646321</v>
      </c>
      <c r="N52" s="184">
        <v>281.62110000000069</v>
      </c>
      <c r="O52" s="183">
        <v>0</v>
      </c>
      <c r="P52" s="185">
        <v>0</v>
      </c>
      <c r="Q52" s="322">
        <v>0</v>
      </c>
      <c r="R52" s="311">
        <v>0.67000000000000171</v>
      </c>
      <c r="S52" s="184">
        <v>9.8776352646321938E-3</v>
      </c>
      <c r="T52" s="183" t="s">
        <v>484</v>
      </c>
      <c r="U52" s="183" t="s">
        <v>426</v>
      </c>
      <c r="V52" s="183"/>
      <c r="W52" s="189">
        <v>1</v>
      </c>
      <c r="X52" s="183" t="s">
        <v>301</v>
      </c>
    </row>
    <row r="53" spans="2:24">
      <c r="B53" s="589"/>
      <c r="C53" s="591"/>
      <c r="D53" s="209">
        <v>7</v>
      </c>
      <c r="E53" s="183" t="s">
        <v>559</v>
      </c>
      <c r="F53" s="184">
        <v>274.69680000000011</v>
      </c>
      <c r="G53" s="183">
        <v>9.5120000000000005</v>
      </c>
      <c r="H53" s="183">
        <v>10.3</v>
      </c>
      <c r="I53" s="192">
        <f t="shared" si="0"/>
        <v>1.082842724978974</v>
      </c>
      <c r="J53" s="183">
        <v>0</v>
      </c>
      <c r="K53" s="192">
        <f t="shared" si="1"/>
        <v>0</v>
      </c>
      <c r="L53" s="184">
        <v>348.6</v>
      </c>
      <c r="M53" s="192">
        <f t="shared" si="2"/>
        <v>1.082842724978974</v>
      </c>
      <c r="N53" s="184">
        <v>274.69680000000011</v>
      </c>
      <c r="O53" s="183">
        <v>0</v>
      </c>
      <c r="P53" s="185">
        <v>0</v>
      </c>
      <c r="Q53" s="322">
        <v>0</v>
      </c>
      <c r="R53" s="311">
        <v>0.78800000000000026</v>
      </c>
      <c r="S53" s="184">
        <v>8.284272497897395E-2</v>
      </c>
      <c r="T53" s="183" t="s">
        <v>484</v>
      </c>
      <c r="U53" s="183" t="s">
        <v>510</v>
      </c>
      <c r="V53" s="183"/>
      <c r="W53" s="189">
        <v>1</v>
      </c>
      <c r="X53" s="183" t="s">
        <v>280</v>
      </c>
    </row>
    <row r="54" spans="2:24">
      <c r="B54" s="589"/>
      <c r="C54" s="591"/>
      <c r="D54" s="209">
        <v>8</v>
      </c>
      <c r="E54" s="183" t="s">
        <v>560</v>
      </c>
      <c r="F54" s="184">
        <v>264.17367999999993</v>
      </c>
      <c r="G54" s="183">
        <v>2.7240000000000002</v>
      </c>
      <c r="H54" s="183">
        <v>3.5</v>
      </c>
      <c r="I54" s="192">
        <f t="shared" si="0"/>
        <v>1.2848751835535976</v>
      </c>
      <c r="J54" s="183">
        <v>0</v>
      </c>
      <c r="K54" s="192">
        <f t="shared" si="1"/>
        <v>0</v>
      </c>
      <c r="L54" s="184">
        <v>340.43</v>
      </c>
      <c r="M54" s="192">
        <f t="shared" si="2"/>
        <v>1.2848751835535976</v>
      </c>
      <c r="N54" s="184">
        <v>264.17367999999993</v>
      </c>
      <c r="O54" s="183">
        <v>0</v>
      </c>
      <c r="P54" s="185">
        <v>0</v>
      </c>
      <c r="Q54" s="322">
        <v>0</v>
      </c>
      <c r="R54" s="311">
        <v>0.7759999999999998</v>
      </c>
      <c r="S54" s="184">
        <v>0.28487518355359753</v>
      </c>
      <c r="T54" s="183" t="s">
        <v>484</v>
      </c>
      <c r="U54" s="183" t="s">
        <v>510</v>
      </c>
      <c r="V54" s="183"/>
      <c r="W54" s="189">
        <v>1</v>
      </c>
      <c r="X54" s="183" t="s">
        <v>285</v>
      </c>
    </row>
    <row r="55" spans="2:24">
      <c r="B55" s="589"/>
      <c r="C55" s="591"/>
      <c r="D55" s="209">
        <v>9</v>
      </c>
      <c r="E55" s="183" t="s">
        <v>554</v>
      </c>
      <c r="F55" s="184">
        <v>261.27552000000077</v>
      </c>
      <c r="G55" s="183">
        <v>54.095999999999997</v>
      </c>
      <c r="H55" s="183">
        <v>54.9</v>
      </c>
      <c r="I55" s="192">
        <f t="shared" si="0"/>
        <v>1.0148624667258208</v>
      </c>
      <c r="J55" s="183">
        <v>0</v>
      </c>
      <c r="K55" s="192">
        <f t="shared" si="1"/>
        <v>0</v>
      </c>
      <c r="L55" s="184">
        <v>371.13</v>
      </c>
      <c r="M55" s="192">
        <f t="shared" si="2"/>
        <v>1.0148624667258208</v>
      </c>
      <c r="N55" s="184">
        <v>298.38852000000077</v>
      </c>
      <c r="O55" s="183">
        <v>0.1</v>
      </c>
      <c r="P55" s="185">
        <v>1.8485655131617866E-3</v>
      </c>
      <c r="Q55" s="322">
        <v>37.113</v>
      </c>
      <c r="R55" s="311">
        <v>0.70400000000000207</v>
      </c>
      <c r="S55" s="184">
        <v>1.3013901212659015E-2</v>
      </c>
      <c r="T55" s="183" t="s">
        <v>484</v>
      </c>
      <c r="U55" s="183" t="s">
        <v>488</v>
      </c>
      <c r="V55" s="183"/>
      <c r="W55" s="189">
        <v>1</v>
      </c>
      <c r="X55" s="183" t="s">
        <v>314</v>
      </c>
    </row>
    <row r="56" spans="2:24">
      <c r="B56" s="589"/>
      <c r="C56" s="591"/>
      <c r="D56" s="209">
        <v>10</v>
      </c>
      <c r="E56" s="183" t="s">
        <v>439</v>
      </c>
      <c r="F56" s="184">
        <v>258.6591600000001</v>
      </c>
      <c r="G56" s="183">
        <v>20.808</v>
      </c>
      <c r="H56" s="183">
        <v>21.5</v>
      </c>
      <c r="I56" s="192">
        <f t="shared" si="0"/>
        <v>1.0332564398308344</v>
      </c>
      <c r="J56" s="183">
        <v>0</v>
      </c>
      <c r="K56" s="192">
        <f t="shared" si="1"/>
        <v>0</v>
      </c>
      <c r="L56" s="184">
        <v>525.73</v>
      </c>
      <c r="M56" s="192">
        <f t="shared" si="2"/>
        <v>1.0332564398308344</v>
      </c>
      <c r="N56" s="184">
        <v>363.80516000000011</v>
      </c>
      <c r="O56" s="183">
        <v>0.2</v>
      </c>
      <c r="P56" s="185">
        <v>9.6116878123798551E-3</v>
      </c>
      <c r="Q56" s="322">
        <v>105.14600000000002</v>
      </c>
      <c r="R56" s="311">
        <v>0.49200000000000016</v>
      </c>
      <c r="S56" s="184">
        <v>2.3644752018454448E-2</v>
      </c>
      <c r="T56" s="183" t="s">
        <v>484</v>
      </c>
      <c r="U56" s="183" t="s">
        <v>436</v>
      </c>
      <c r="V56" s="183"/>
      <c r="W56" s="189">
        <v>1</v>
      </c>
      <c r="X56" s="183" t="s">
        <v>275</v>
      </c>
    </row>
    <row r="57" spans="2:24">
      <c r="B57" s="588">
        <v>45906</v>
      </c>
      <c r="C57" s="590" t="s">
        <v>208</v>
      </c>
      <c r="D57" s="209">
        <v>1</v>
      </c>
      <c r="E57" s="183" t="s">
        <v>511</v>
      </c>
      <c r="F57" s="184">
        <v>2034.1999999999985</v>
      </c>
      <c r="G57" s="183">
        <v>127.4</v>
      </c>
      <c r="H57" s="183">
        <v>128.4</v>
      </c>
      <c r="I57" s="192">
        <f t="shared" si="0"/>
        <v>1.0078492935635792</v>
      </c>
      <c r="J57" s="183">
        <v>6.1</v>
      </c>
      <c r="K57" s="192">
        <f t="shared" si="1"/>
        <v>4.7880690737833589E-2</v>
      </c>
      <c r="L57" s="184">
        <v>290.60000000000002</v>
      </c>
      <c r="M57" s="192">
        <f t="shared" si="2"/>
        <v>1.0557299843014127</v>
      </c>
      <c r="N57" s="184">
        <v>2063.2599999999984</v>
      </c>
      <c r="O57" s="183">
        <v>0.1</v>
      </c>
      <c r="P57" s="185">
        <v>7.8492935635792783E-4</v>
      </c>
      <c r="Q57" s="322">
        <v>29.060000000000002</v>
      </c>
      <c r="R57" s="311">
        <v>6.9999999999999947</v>
      </c>
      <c r="S57" s="184">
        <v>5.4945054945054903E-2</v>
      </c>
      <c r="T57" s="183" t="s">
        <v>484</v>
      </c>
      <c r="U57" s="183" t="s">
        <v>426</v>
      </c>
      <c r="V57" s="183"/>
      <c r="W57" s="189">
        <v>1</v>
      </c>
      <c r="X57" s="183" t="s">
        <v>311</v>
      </c>
    </row>
    <row r="58" spans="2:24">
      <c r="B58" s="589"/>
      <c r="C58" s="591"/>
      <c r="D58" s="209">
        <v>2</v>
      </c>
      <c r="E58" s="183" t="s">
        <v>556</v>
      </c>
      <c r="F58" s="184">
        <v>336.69804000000101</v>
      </c>
      <c r="G58" s="183">
        <v>26.334</v>
      </c>
      <c r="H58" s="183">
        <v>26.8</v>
      </c>
      <c r="I58" s="192">
        <f t="shared" si="0"/>
        <v>1.0176957545378598</v>
      </c>
      <c r="J58" s="183">
        <v>0</v>
      </c>
      <c r="K58" s="192">
        <f t="shared" si="1"/>
        <v>0</v>
      </c>
      <c r="L58" s="184">
        <v>919.94</v>
      </c>
      <c r="M58" s="192">
        <f t="shared" si="2"/>
        <v>1.0176957545378598</v>
      </c>
      <c r="N58" s="184">
        <v>428.69204000000104</v>
      </c>
      <c r="O58" s="183">
        <v>0.1</v>
      </c>
      <c r="P58" s="185">
        <v>3.7973722184248501E-3</v>
      </c>
      <c r="Q58" s="322">
        <v>91.994000000000014</v>
      </c>
      <c r="R58" s="311">
        <v>0.3660000000000011</v>
      </c>
      <c r="S58" s="184">
        <v>1.3898382319434993E-2</v>
      </c>
      <c r="T58" s="183" t="s">
        <v>484</v>
      </c>
      <c r="U58" s="183" t="s">
        <v>426</v>
      </c>
      <c r="V58" s="183"/>
      <c r="W58" s="189">
        <v>1</v>
      </c>
      <c r="X58" s="183" t="s">
        <v>244</v>
      </c>
    </row>
    <row r="59" spans="2:24">
      <c r="B59" s="589"/>
      <c r="C59" s="591"/>
      <c r="D59" s="209">
        <v>3</v>
      </c>
      <c r="E59" s="183" t="s">
        <v>429</v>
      </c>
      <c r="F59" s="184">
        <v>315.39204000000007</v>
      </c>
      <c r="G59" s="183">
        <v>11.561</v>
      </c>
      <c r="H59" s="183">
        <v>12</v>
      </c>
      <c r="I59" s="192">
        <f t="shared" si="0"/>
        <v>1.0379724937289161</v>
      </c>
      <c r="J59" s="183">
        <v>0</v>
      </c>
      <c r="K59" s="192">
        <f t="shared" si="1"/>
        <v>0</v>
      </c>
      <c r="L59" s="184">
        <v>930.36</v>
      </c>
      <c r="M59" s="192">
        <f t="shared" si="2"/>
        <v>1.0379724937289161</v>
      </c>
      <c r="N59" s="184">
        <v>408.42804000000007</v>
      </c>
      <c r="O59" s="183">
        <v>0.1</v>
      </c>
      <c r="P59" s="185">
        <v>8.6497707810743018E-3</v>
      </c>
      <c r="Q59" s="322">
        <v>93.036000000000001</v>
      </c>
      <c r="R59" s="311">
        <v>0.33900000000000008</v>
      </c>
      <c r="S59" s="184">
        <v>2.9322722947841891E-2</v>
      </c>
      <c r="T59" s="183" t="s">
        <v>484</v>
      </c>
      <c r="U59" s="183" t="s">
        <v>436</v>
      </c>
      <c r="V59" s="183"/>
      <c r="W59" s="189">
        <v>1</v>
      </c>
      <c r="X59" s="183" t="s">
        <v>279</v>
      </c>
    </row>
    <row r="60" spans="2:24">
      <c r="B60" s="589"/>
      <c r="C60" s="591"/>
      <c r="D60" s="209">
        <v>4</v>
      </c>
      <c r="E60" s="183" t="s">
        <v>557</v>
      </c>
      <c r="F60" s="184">
        <v>255.67160000000172</v>
      </c>
      <c r="G60" s="183">
        <v>17.047999999999998</v>
      </c>
      <c r="H60" s="183">
        <v>17.2</v>
      </c>
      <c r="I60" s="192">
        <f t="shared" si="0"/>
        <v>1.0089160018770531</v>
      </c>
      <c r="J60" s="183">
        <v>0</v>
      </c>
      <c r="K60" s="192">
        <f t="shared" si="1"/>
        <v>0</v>
      </c>
      <c r="L60" s="184">
        <v>1682.05</v>
      </c>
      <c r="M60" s="192">
        <f t="shared" si="2"/>
        <v>1.0089160018770531</v>
      </c>
      <c r="N60" s="184">
        <v>255.67160000000172</v>
      </c>
      <c r="O60" s="183">
        <v>0</v>
      </c>
      <c r="P60" s="185">
        <v>0</v>
      </c>
      <c r="Q60" s="322">
        <v>0</v>
      </c>
      <c r="R60" s="311">
        <v>0.15200000000000102</v>
      </c>
      <c r="S60" s="184">
        <v>8.9160018770530879E-3</v>
      </c>
      <c r="T60" s="183" t="s">
        <v>481</v>
      </c>
      <c r="U60" s="183" t="s">
        <v>419</v>
      </c>
      <c r="V60" s="183"/>
      <c r="W60" s="189">
        <v>1</v>
      </c>
      <c r="X60" s="183" t="s">
        <v>243</v>
      </c>
    </row>
    <row r="61" spans="2:24">
      <c r="B61" s="589"/>
      <c r="C61" s="591"/>
      <c r="D61" s="209">
        <v>5</v>
      </c>
      <c r="E61" s="183" t="s">
        <v>431</v>
      </c>
      <c r="F61" s="184">
        <v>251.60382000000146</v>
      </c>
      <c r="G61" s="183">
        <v>241.762</v>
      </c>
      <c r="H61" s="183">
        <v>244.8</v>
      </c>
      <c r="I61" s="192">
        <f t="shared" si="0"/>
        <v>1.0125660773818881</v>
      </c>
      <c r="J61" s="183">
        <v>0</v>
      </c>
      <c r="K61" s="192">
        <f t="shared" si="1"/>
        <v>0</v>
      </c>
      <c r="L61" s="184">
        <v>136.88999999999999</v>
      </c>
      <c r="M61" s="192">
        <f t="shared" si="2"/>
        <v>1.0125660773818881</v>
      </c>
      <c r="N61" s="184">
        <v>415.87182000000143</v>
      </c>
      <c r="O61" s="183">
        <v>1.2</v>
      </c>
      <c r="P61" s="185">
        <v>4.9635592028523922E-3</v>
      </c>
      <c r="Q61" s="322">
        <v>164.26799999999997</v>
      </c>
      <c r="R61" s="311">
        <v>1.838000000000011</v>
      </c>
      <c r="S61" s="184">
        <v>7.6025181790356257E-3</v>
      </c>
      <c r="T61" s="183" t="s">
        <v>481</v>
      </c>
      <c r="U61" s="183" t="s">
        <v>419</v>
      </c>
      <c r="V61" s="183"/>
      <c r="W61" s="189">
        <v>1</v>
      </c>
      <c r="X61" s="183" t="s">
        <v>420</v>
      </c>
    </row>
    <row r="62" spans="2:24">
      <c r="B62" s="589"/>
      <c r="C62" s="591"/>
      <c r="D62" s="209">
        <v>6</v>
      </c>
      <c r="E62" s="183" t="s">
        <v>415</v>
      </c>
      <c r="F62" s="184">
        <v>220.15796000000122</v>
      </c>
      <c r="G62" s="183">
        <v>120.273</v>
      </c>
      <c r="H62" s="183">
        <v>122.9</v>
      </c>
      <c r="I62" s="192">
        <f t="shared" si="0"/>
        <v>1.0218419761708779</v>
      </c>
      <c r="J62" s="183">
        <v>0</v>
      </c>
      <c r="K62" s="192">
        <f t="shared" si="1"/>
        <v>0</v>
      </c>
      <c r="L62" s="184">
        <v>127.48</v>
      </c>
      <c r="M62" s="192">
        <f t="shared" si="2"/>
        <v>1.0218419761708779</v>
      </c>
      <c r="N62" s="184">
        <v>334.88996000000122</v>
      </c>
      <c r="O62" s="183">
        <v>0.9</v>
      </c>
      <c r="P62" s="185">
        <v>7.4829762290788459E-3</v>
      </c>
      <c r="Q62" s="322">
        <v>114.732</v>
      </c>
      <c r="R62" s="311">
        <v>1.7270000000000096</v>
      </c>
      <c r="S62" s="184">
        <v>1.4358999941799155E-2</v>
      </c>
      <c r="T62" s="183" t="s">
        <v>487</v>
      </c>
      <c r="U62" s="183" t="s">
        <v>488</v>
      </c>
      <c r="V62" s="183"/>
      <c r="W62" s="189">
        <v>1</v>
      </c>
      <c r="X62" s="183" t="s">
        <v>321</v>
      </c>
    </row>
    <row r="63" spans="2:24">
      <c r="B63" s="589"/>
      <c r="C63" s="591"/>
      <c r="D63" s="209">
        <v>7</v>
      </c>
      <c r="E63" s="183" t="s">
        <v>548</v>
      </c>
      <c r="F63" s="184">
        <v>217.46960999999814</v>
      </c>
      <c r="G63" s="183">
        <v>42.941000000000003</v>
      </c>
      <c r="H63" s="183">
        <v>43.4</v>
      </c>
      <c r="I63" s="192">
        <f t="shared" si="0"/>
        <v>1.010689085023637</v>
      </c>
      <c r="J63" s="183">
        <v>0</v>
      </c>
      <c r="K63" s="192">
        <f t="shared" si="1"/>
        <v>0</v>
      </c>
      <c r="L63" s="184">
        <v>473.79</v>
      </c>
      <c r="M63" s="192">
        <f t="shared" si="2"/>
        <v>1.010689085023637</v>
      </c>
      <c r="N63" s="184">
        <v>217.46960999999814</v>
      </c>
      <c r="O63" s="183">
        <v>0</v>
      </c>
      <c r="P63" s="185">
        <v>0</v>
      </c>
      <c r="Q63" s="322">
        <v>0</v>
      </c>
      <c r="R63" s="311">
        <v>0.45899999999999608</v>
      </c>
      <c r="S63" s="184">
        <v>1.0689085023636991E-2</v>
      </c>
      <c r="T63" s="183" t="s">
        <v>484</v>
      </c>
      <c r="U63" s="183" t="s">
        <v>436</v>
      </c>
      <c r="V63" s="183"/>
      <c r="W63" s="189">
        <v>1</v>
      </c>
      <c r="X63" s="183" t="s">
        <v>420</v>
      </c>
    </row>
    <row r="64" spans="2:24">
      <c r="B64" s="589"/>
      <c r="C64" s="591"/>
      <c r="D64" s="209">
        <v>8</v>
      </c>
      <c r="E64" s="183" t="s">
        <v>505</v>
      </c>
      <c r="F64" s="184">
        <v>212.69502000000227</v>
      </c>
      <c r="G64" s="183">
        <v>109.783</v>
      </c>
      <c r="H64" s="183">
        <v>110.4</v>
      </c>
      <c r="I64" s="192">
        <f t="shared" si="0"/>
        <v>1.0056201779874845</v>
      </c>
      <c r="J64" s="183">
        <v>0</v>
      </c>
      <c r="K64" s="192">
        <f t="shared" si="1"/>
        <v>0</v>
      </c>
      <c r="L64" s="184">
        <v>510.06</v>
      </c>
      <c r="M64" s="192">
        <f t="shared" si="2"/>
        <v>1.0056201779874845</v>
      </c>
      <c r="N64" s="184">
        <v>314.70702000000227</v>
      </c>
      <c r="O64" s="183">
        <v>0.2</v>
      </c>
      <c r="P64" s="185">
        <v>1.8217756847599357E-3</v>
      </c>
      <c r="Q64" s="322">
        <v>102.012</v>
      </c>
      <c r="R64" s="311">
        <v>0.41700000000000442</v>
      </c>
      <c r="S64" s="184">
        <v>3.7984023027245058E-3</v>
      </c>
      <c r="T64" s="183" t="s">
        <v>484</v>
      </c>
      <c r="U64" s="183" t="s">
        <v>436</v>
      </c>
      <c r="V64" s="183"/>
      <c r="W64" s="189">
        <v>1</v>
      </c>
      <c r="X64" s="183" t="s">
        <v>420</v>
      </c>
    </row>
    <row r="65" spans="2:24">
      <c r="B65" s="589"/>
      <c r="C65" s="591"/>
      <c r="D65" s="209">
        <v>9</v>
      </c>
      <c r="E65" s="183" t="s">
        <v>555</v>
      </c>
      <c r="F65" s="184">
        <v>205.68491999999998</v>
      </c>
      <c r="G65" s="183">
        <v>6.0570000000000004</v>
      </c>
      <c r="H65" s="183">
        <v>6.4</v>
      </c>
      <c r="I65" s="192">
        <f t="shared" si="0"/>
        <v>1.0566286940729734</v>
      </c>
      <c r="J65" s="183">
        <v>0</v>
      </c>
      <c r="K65" s="192">
        <f t="shared" si="1"/>
        <v>0</v>
      </c>
      <c r="L65" s="184">
        <v>846.44</v>
      </c>
      <c r="M65" s="192">
        <f t="shared" si="2"/>
        <v>1.0566286940729734</v>
      </c>
      <c r="N65" s="184">
        <v>290.32891999999998</v>
      </c>
      <c r="O65" s="183">
        <v>0.1</v>
      </c>
      <c r="P65" s="185">
        <v>1.650982334489021E-2</v>
      </c>
      <c r="Q65" s="322">
        <v>84.644000000000005</v>
      </c>
      <c r="R65" s="311">
        <v>0.24299999999999997</v>
      </c>
      <c r="S65" s="184">
        <v>4.0118870728083199E-2</v>
      </c>
      <c r="T65" s="183" t="s">
        <v>487</v>
      </c>
      <c r="U65" s="183" t="s">
        <v>510</v>
      </c>
      <c r="V65" s="183"/>
      <c r="W65" s="189">
        <v>1</v>
      </c>
      <c r="X65" s="183" t="s">
        <v>278</v>
      </c>
    </row>
    <row r="66" spans="2:24">
      <c r="B66" s="589"/>
      <c r="C66" s="591"/>
      <c r="D66" s="209">
        <v>10</v>
      </c>
      <c r="E66" s="183" t="s">
        <v>439</v>
      </c>
      <c r="F66" s="184">
        <v>189.26280000000008</v>
      </c>
      <c r="G66" s="183">
        <v>23.04</v>
      </c>
      <c r="H66" s="183">
        <v>23.7</v>
      </c>
      <c r="I66" s="192">
        <f t="shared" si="0"/>
        <v>1.0286458333333333</v>
      </c>
      <c r="J66" s="183">
        <v>0</v>
      </c>
      <c r="K66" s="192">
        <f t="shared" si="1"/>
        <v>0</v>
      </c>
      <c r="L66" s="184">
        <v>525.73</v>
      </c>
      <c r="M66" s="192">
        <f t="shared" si="2"/>
        <v>1.0286458333333333</v>
      </c>
      <c r="N66" s="184">
        <v>346.98180000000008</v>
      </c>
      <c r="O66" s="183">
        <v>0.3</v>
      </c>
      <c r="P66" s="185">
        <v>1.3020833333333334E-2</v>
      </c>
      <c r="Q66" s="322">
        <v>157.71899999999999</v>
      </c>
      <c r="R66" s="311">
        <v>0.36000000000000015</v>
      </c>
      <c r="S66" s="184">
        <v>1.5625000000000007E-2</v>
      </c>
      <c r="T66" s="183" t="s">
        <v>484</v>
      </c>
      <c r="U66" s="183" t="s">
        <v>436</v>
      </c>
      <c r="V66" s="183"/>
      <c r="W66" s="189">
        <v>1</v>
      </c>
      <c r="X66" s="183" t="s">
        <v>275</v>
      </c>
    </row>
    <row r="67" spans="2:24">
      <c r="B67" s="588">
        <v>45907</v>
      </c>
      <c r="C67" s="590" t="s">
        <v>157</v>
      </c>
      <c r="D67" s="209">
        <v>1</v>
      </c>
      <c r="E67" s="183" t="s">
        <v>511</v>
      </c>
      <c r="F67" s="184">
        <v>2381.7575999999981</v>
      </c>
      <c r="G67" s="183">
        <v>131.404</v>
      </c>
      <c r="H67" s="183">
        <v>132</v>
      </c>
      <c r="I67" s="192">
        <f t="shared" si="0"/>
        <v>1.0045356305744118</v>
      </c>
      <c r="J67" s="183">
        <v>7.7</v>
      </c>
      <c r="K67" s="192">
        <f t="shared" si="1"/>
        <v>5.8597911783507352E-2</v>
      </c>
      <c r="L67" s="184">
        <v>290.60000000000002</v>
      </c>
      <c r="M67" s="192">
        <f t="shared" si="2"/>
        <v>1.0631335423579191</v>
      </c>
      <c r="N67" s="184">
        <v>2410.817599999998</v>
      </c>
      <c r="O67" s="183">
        <v>0.1</v>
      </c>
      <c r="P67" s="185">
        <v>7.6101184134425134E-4</v>
      </c>
      <c r="Q67" s="322">
        <v>29.060000000000002</v>
      </c>
      <c r="R67" s="311">
        <v>8.1959999999999926</v>
      </c>
      <c r="S67" s="184">
        <v>6.2372530516574785E-2</v>
      </c>
      <c r="T67" s="183" t="s">
        <v>484</v>
      </c>
      <c r="U67" s="183" t="s">
        <v>426</v>
      </c>
      <c r="V67" s="183"/>
      <c r="W67" s="189">
        <v>1</v>
      </c>
      <c r="X67" s="183" t="s">
        <v>311</v>
      </c>
    </row>
    <row r="68" spans="2:24">
      <c r="B68" s="589"/>
      <c r="C68" s="591"/>
      <c r="D68" s="209">
        <v>2</v>
      </c>
      <c r="E68" s="183" t="s">
        <v>505</v>
      </c>
      <c r="F68" s="184">
        <v>288.18389999999886</v>
      </c>
      <c r="G68" s="183">
        <v>138.63499999999999</v>
      </c>
      <c r="H68" s="183">
        <v>139.19999999999999</v>
      </c>
      <c r="I68" s="192">
        <f t="shared" si="0"/>
        <v>1.0040754499224582</v>
      </c>
      <c r="J68" s="183">
        <v>0</v>
      </c>
      <c r="K68" s="192">
        <f t="shared" si="1"/>
        <v>0</v>
      </c>
      <c r="L68" s="184">
        <v>510.06</v>
      </c>
      <c r="M68" s="192">
        <f t="shared" si="2"/>
        <v>1.0040754499224582</v>
      </c>
      <c r="N68" s="184">
        <v>288.18389999999886</v>
      </c>
      <c r="O68" s="183">
        <v>0</v>
      </c>
      <c r="P68" s="185">
        <v>0</v>
      </c>
      <c r="Q68" s="322">
        <v>0</v>
      </c>
      <c r="R68" s="311">
        <v>0.56499999999999773</v>
      </c>
      <c r="S68" s="184">
        <v>4.0754499224582375E-3</v>
      </c>
      <c r="T68" s="183" t="s">
        <v>484</v>
      </c>
      <c r="U68" s="183" t="s">
        <v>436</v>
      </c>
      <c r="V68" s="183"/>
      <c r="W68" s="189">
        <v>1</v>
      </c>
      <c r="X68" s="183" t="s">
        <v>420</v>
      </c>
    </row>
    <row r="69" spans="2:24">
      <c r="B69" s="589"/>
      <c r="C69" s="591"/>
      <c r="D69" s="209">
        <v>3</v>
      </c>
      <c r="E69" s="183" t="s">
        <v>439</v>
      </c>
      <c r="F69" s="184">
        <v>279.68835999999965</v>
      </c>
      <c r="G69" s="183">
        <v>27.167999999999999</v>
      </c>
      <c r="H69" s="183">
        <v>27.9</v>
      </c>
      <c r="I69" s="192">
        <f t="shared" si="0"/>
        <v>1.0269434628975265</v>
      </c>
      <c r="J69" s="183">
        <v>0</v>
      </c>
      <c r="K69" s="192">
        <f t="shared" si="1"/>
        <v>0</v>
      </c>
      <c r="L69" s="184">
        <v>525.73</v>
      </c>
      <c r="M69" s="192">
        <f t="shared" si="2"/>
        <v>1.0269434628975265</v>
      </c>
      <c r="N69" s="184">
        <v>384.83435999999966</v>
      </c>
      <c r="O69" s="183">
        <v>0.2</v>
      </c>
      <c r="P69" s="185">
        <v>7.3616018845700827E-3</v>
      </c>
      <c r="Q69" s="322">
        <v>105.14600000000002</v>
      </c>
      <c r="R69" s="311">
        <v>0.53199999999999936</v>
      </c>
      <c r="S69" s="184">
        <v>1.9581861012956395E-2</v>
      </c>
      <c r="T69" s="183" t="s">
        <v>484</v>
      </c>
      <c r="U69" s="183" t="s">
        <v>436</v>
      </c>
      <c r="V69" s="183"/>
      <c r="W69" s="189">
        <v>1</v>
      </c>
      <c r="X69" s="183" t="s">
        <v>275</v>
      </c>
    </row>
    <row r="70" spans="2:24">
      <c r="B70" s="589"/>
      <c r="C70" s="591"/>
      <c r="D70" s="209">
        <v>4</v>
      </c>
      <c r="E70" s="183" t="s">
        <v>553</v>
      </c>
      <c r="F70" s="184">
        <v>254.33</v>
      </c>
      <c r="G70" s="183">
        <v>0.31230000000000002</v>
      </c>
      <c r="H70" s="183">
        <v>0.4</v>
      </c>
      <c r="I70" s="192">
        <f t="shared" si="0"/>
        <v>1.2808197246237591</v>
      </c>
      <c r="J70" s="183">
        <v>0</v>
      </c>
      <c r="K70" s="192">
        <f t="shared" si="1"/>
        <v>0</v>
      </c>
      <c r="L70" s="184">
        <v>2900</v>
      </c>
      <c r="M70" s="192">
        <f t="shared" si="2"/>
        <v>1.2808197246237591</v>
      </c>
      <c r="N70" s="184">
        <v>254.33</v>
      </c>
      <c r="O70" s="183">
        <v>0</v>
      </c>
      <c r="P70" s="185">
        <v>0</v>
      </c>
      <c r="Q70" s="322">
        <v>0</v>
      </c>
      <c r="R70" s="311">
        <v>8.77E-2</v>
      </c>
      <c r="S70" s="184">
        <v>0.2808197246237592</v>
      </c>
      <c r="T70" s="183" t="s">
        <v>484</v>
      </c>
      <c r="U70" s="183" t="s">
        <v>426</v>
      </c>
      <c r="V70" s="183"/>
      <c r="W70" s="189">
        <v>1</v>
      </c>
      <c r="X70" s="183" t="s">
        <v>309</v>
      </c>
    </row>
    <row r="71" spans="2:24">
      <c r="B71" s="589"/>
      <c r="C71" s="591"/>
      <c r="D71" s="209">
        <v>5</v>
      </c>
      <c r="E71" s="183" t="s">
        <v>555</v>
      </c>
      <c r="F71" s="184">
        <v>229.38523999999992</v>
      </c>
      <c r="G71" s="183">
        <v>7.0289999999999999</v>
      </c>
      <c r="H71" s="183">
        <v>7.3</v>
      </c>
      <c r="I71" s="192">
        <f t="shared" ref="I71:I134" si="15">H71/G71</f>
        <v>1.0385545596813202</v>
      </c>
      <c r="J71" s="183">
        <v>0</v>
      </c>
      <c r="K71" s="192">
        <f t="shared" ref="K71:K134" si="16">J71/G71</f>
        <v>0</v>
      </c>
      <c r="L71" s="184">
        <v>846.44</v>
      </c>
      <c r="M71" s="192">
        <f t="shared" ref="M71:M134" si="17">(H71+J71)/G71</f>
        <v>1.0385545596813202</v>
      </c>
      <c r="N71" s="184">
        <v>229.38523999999992</v>
      </c>
      <c r="O71" s="183">
        <v>0</v>
      </c>
      <c r="P71" s="185">
        <v>0</v>
      </c>
      <c r="Q71" s="322">
        <v>0</v>
      </c>
      <c r="R71" s="311">
        <v>0.27099999999999991</v>
      </c>
      <c r="S71" s="184">
        <v>3.8554559681320232E-2</v>
      </c>
      <c r="T71" s="183" t="s">
        <v>487</v>
      </c>
      <c r="U71" s="183" t="s">
        <v>488</v>
      </c>
      <c r="V71" s="183"/>
      <c r="W71" s="189">
        <v>1</v>
      </c>
      <c r="X71" s="183" t="s">
        <v>278</v>
      </c>
    </row>
    <row r="72" spans="2:24">
      <c r="B72" s="589"/>
      <c r="C72" s="591"/>
      <c r="D72" s="209">
        <v>6</v>
      </c>
      <c r="E72" s="183" t="s">
        <v>519</v>
      </c>
      <c r="F72" s="184">
        <v>226.97820000000263</v>
      </c>
      <c r="G72" s="183">
        <v>85.96</v>
      </c>
      <c r="H72" s="183">
        <v>86.2</v>
      </c>
      <c r="I72" s="192">
        <f t="shared" si="15"/>
        <v>1.0027919962773384</v>
      </c>
      <c r="J72" s="183">
        <v>0.3</v>
      </c>
      <c r="K72" s="192">
        <f t="shared" si="16"/>
        <v>3.489995346672871E-3</v>
      </c>
      <c r="L72" s="184">
        <v>420.33</v>
      </c>
      <c r="M72" s="192">
        <f t="shared" si="17"/>
        <v>1.0062819916240113</v>
      </c>
      <c r="N72" s="184">
        <v>226.97820000000263</v>
      </c>
      <c r="O72" s="183">
        <v>0</v>
      </c>
      <c r="P72" s="185">
        <v>0</v>
      </c>
      <c r="Q72" s="322">
        <v>0</v>
      </c>
      <c r="R72" s="311">
        <v>0.54000000000000625</v>
      </c>
      <c r="S72" s="184">
        <v>6.2819916240112409E-3</v>
      </c>
      <c r="T72" s="183" t="s">
        <v>481</v>
      </c>
      <c r="U72" s="183" t="s">
        <v>419</v>
      </c>
      <c r="V72" s="183"/>
      <c r="W72" s="189">
        <v>1</v>
      </c>
      <c r="X72" s="183" t="s">
        <v>301</v>
      </c>
    </row>
    <row r="73" spans="2:24">
      <c r="B73" s="589"/>
      <c r="C73" s="591"/>
      <c r="D73" s="209">
        <v>7</v>
      </c>
      <c r="E73" s="183" t="s">
        <v>548</v>
      </c>
      <c r="F73" s="184">
        <v>203.7297000000012</v>
      </c>
      <c r="G73" s="183">
        <v>48.07</v>
      </c>
      <c r="H73" s="183">
        <v>48.7</v>
      </c>
      <c r="I73" s="192">
        <f t="shared" si="15"/>
        <v>1.0131058872477636</v>
      </c>
      <c r="J73" s="183">
        <v>0</v>
      </c>
      <c r="K73" s="192">
        <f t="shared" si="16"/>
        <v>0</v>
      </c>
      <c r="L73" s="184">
        <v>473.79</v>
      </c>
      <c r="M73" s="192">
        <f t="shared" si="17"/>
        <v>1.0131058872477636</v>
      </c>
      <c r="N73" s="184">
        <v>298.48770000000121</v>
      </c>
      <c r="O73" s="183">
        <v>0.2</v>
      </c>
      <c r="P73" s="185">
        <v>4.1605991262741839E-3</v>
      </c>
      <c r="Q73" s="322">
        <v>94.75800000000001</v>
      </c>
      <c r="R73" s="311">
        <v>0.43000000000000255</v>
      </c>
      <c r="S73" s="184">
        <v>8.9452881214895467E-3</v>
      </c>
      <c r="T73" s="183" t="s">
        <v>484</v>
      </c>
      <c r="U73" s="183" t="s">
        <v>436</v>
      </c>
      <c r="V73" s="183"/>
      <c r="W73" s="189">
        <v>1</v>
      </c>
      <c r="X73" s="183" t="s">
        <v>420</v>
      </c>
    </row>
    <row r="74" spans="2:24">
      <c r="B74" s="589"/>
      <c r="C74" s="591"/>
      <c r="D74" s="209">
        <v>8</v>
      </c>
      <c r="E74" s="183" t="s">
        <v>556</v>
      </c>
      <c r="F74" s="184">
        <v>189.50764000000083</v>
      </c>
      <c r="G74" s="183">
        <v>28.994</v>
      </c>
      <c r="H74" s="183">
        <v>29.3</v>
      </c>
      <c r="I74" s="192">
        <f t="shared" si="15"/>
        <v>1.0105539077050425</v>
      </c>
      <c r="J74" s="183">
        <v>0</v>
      </c>
      <c r="K74" s="192">
        <f t="shared" si="16"/>
        <v>0</v>
      </c>
      <c r="L74" s="184">
        <v>919.94</v>
      </c>
      <c r="M74" s="192">
        <f t="shared" si="17"/>
        <v>1.0105539077050425</v>
      </c>
      <c r="N74" s="184">
        <v>281.50164000000086</v>
      </c>
      <c r="O74" s="183">
        <v>0.1</v>
      </c>
      <c r="P74" s="185">
        <v>3.448989446092295E-3</v>
      </c>
      <c r="Q74" s="322">
        <v>91.994000000000014</v>
      </c>
      <c r="R74" s="311">
        <v>0.20600000000000093</v>
      </c>
      <c r="S74" s="184">
        <v>7.1049182589501599E-3</v>
      </c>
      <c r="T74" s="183" t="s">
        <v>484</v>
      </c>
      <c r="U74" s="183" t="s">
        <v>426</v>
      </c>
      <c r="V74" s="183"/>
      <c r="W74" s="189">
        <v>1</v>
      </c>
      <c r="X74" s="183" t="s">
        <v>244</v>
      </c>
    </row>
    <row r="75" spans="2:24">
      <c r="B75" s="589"/>
      <c r="C75" s="591"/>
      <c r="D75" s="209">
        <v>9</v>
      </c>
      <c r="E75" s="183" t="s">
        <v>554</v>
      </c>
      <c r="F75" s="184">
        <v>187.42064999999883</v>
      </c>
      <c r="G75" s="183">
        <v>62.895000000000003</v>
      </c>
      <c r="H75" s="183">
        <v>62.7</v>
      </c>
      <c r="I75" s="192">
        <f t="shared" si="15"/>
        <v>0.99689959456236588</v>
      </c>
      <c r="J75" s="183">
        <v>0.8</v>
      </c>
      <c r="K75" s="192">
        <f t="shared" si="16"/>
        <v>1.2719612051832418E-2</v>
      </c>
      <c r="L75" s="184">
        <v>371.13</v>
      </c>
      <c r="M75" s="192">
        <f t="shared" si="17"/>
        <v>1.0096192066141982</v>
      </c>
      <c r="N75" s="184">
        <v>224.53364999999883</v>
      </c>
      <c r="O75" s="183">
        <v>0.1</v>
      </c>
      <c r="P75" s="185">
        <v>1.5899515064790523E-3</v>
      </c>
      <c r="Q75" s="322">
        <v>37.113</v>
      </c>
      <c r="R75" s="311">
        <v>0.5049999999999969</v>
      </c>
      <c r="S75" s="184">
        <v>8.0292551077191642E-3</v>
      </c>
      <c r="T75" s="183" t="s">
        <v>481</v>
      </c>
      <c r="U75" s="183" t="s">
        <v>419</v>
      </c>
      <c r="V75" s="183"/>
      <c r="W75" s="189">
        <v>1</v>
      </c>
      <c r="X75" s="183" t="s">
        <v>314</v>
      </c>
    </row>
    <row r="76" spans="2:24">
      <c r="B76" s="589"/>
      <c r="C76" s="591"/>
      <c r="D76" s="209">
        <v>10</v>
      </c>
      <c r="E76" s="183" t="s">
        <v>495</v>
      </c>
      <c r="F76" s="184">
        <v>186.8495999999995</v>
      </c>
      <c r="G76" s="183">
        <v>27.18</v>
      </c>
      <c r="H76" s="183">
        <v>27.9</v>
      </c>
      <c r="I76" s="192">
        <f t="shared" si="15"/>
        <v>1.0264900662251655</v>
      </c>
      <c r="J76" s="183">
        <v>0</v>
      </c>
      <c r="K76" s="192">
        <f t="shared" si="16"/>
        <v>0</v>
      </c>
      <c r="L76" s="184">
        <v>444.88</v>
      </c>
      <c r="M76" s="192">
        <f t="shared" si="17"/>
        <v>1.0264900662251655</v>
      </c>
      <c r="N76" s="184">
        <v>320.3135999999995</v>
      </c>
      <c r="O76" s="183">
        <v>0.3</v>
      </c>
      <c r="P76" s="185">
        <v>1.1037527593818984E-2</v>
      </c>
      <c r="Q76" s="322">
        <v>133.464</v>
      </c>
      <c r="R76" s="311">
        <v>0.41999999999999887</v>
      </c>
      <c r="S76" s="184">
        <v>1.5452538631346538E-2</v>
      </c>
      <c r="T76" s="183" t="s">
        <v>484</v>
      </c>
      <c r="U76" s="183" t="s">
        <v>436</v>
      </c>
      <c r="V76" s="183"/>
      <c r="W76" s="189">
        <v>1</v>
      </c>
      <c r="X76" s="183" t="s">
        <v>496</v>
      </c>
    </row>
    <row r="77" spans="2:24">
      <c r="B77" s="588">
        <v>45908</v>
      </c>
      <c r="C77" s="590" t="s">
        <v>209</v>
      </c>
      <c r="D77" s="209">
        <v>1</v>
      </c>
      <c r="E77" s="183" t="s">
        <v>511</v>
      </c>
      <c r="F77" s="184">
        <v>1999.328</v>
      </c>
      <c r="G77" s="183">
        <v>116.22</v>
      </c>
      <c r="H77" s="183">
        <v>118.1</v>
      </c>
      <c r="I77" s="192">
        <f t="shared" si="15"/>
        <v>1.0161762175184994</v>
      </c>
      <c r="J77" s="183">
        <v>5.2</v>
      </c>
      <c r="K77" s="192">
        <f t="shared" si="16"/>
        <v>4.4742729306487698E-2</v>
      </c>
      <c r="L77" s="184">
        <v>290.60000000000002</v>
      </c>
      <c r="M77" s="192">
        <f t="shared" si="17"/>
        <v>1.0609189468249871</v>
      </c>
      <c r="N77" s="184">
        <v>2057.4479999999999</v>
      </c>
      <c r="O77" s="183">
        <v>0.2</v>
      </c>
      <c r="P77" s="185">
        <v>1.7208742040956807E-3</v>
      </c>
      <c r="Q77" s="322">
        <v>58.120000000000005</v>
      </c>
      <c r="R77" s="311">
        <v>6.8799999999999981</v>
      </c>
      <c r="S77" s="184">
        <v>5.9198072620891398E-2</v>
      </c>
      <c r="T77" s="183" t="s">
        <v>484</v>
      </c>
      <c r="U77" s="183" t="s">
        <v>426</v>
      </c>
      <c r="V77" s="183"/>
      <c r="W77" s="189">
        <v>1</v>
      </c>
      <c r="X77" s="183" t="s">
        <v>311</v>
      </c>
    </row>
    <row r="78" spans="2:24">
      <c r="B78" s="589"/>
      <c r="C78" s="591"/>
      <c r="D78" s="209">
        <v>2</v>
      </c>
      <c r="E78" s="183" t="s">
        <v>556</v>
      </c>
      <c r="F78" s="184">
        <v>390.97450000000197</v>
      </c>
      <c r="G78" s="183">
        <v>26.774999999999999</v>
      </c>
      <c r="H78" s="183">
        <v>27.3</v>
      </c>
      <c r="I78" s="192">
        <f t="shared" si="15"/>
        <v>1.0196078431372551</v>
      </c>
      <c r="J78" s="183">
        <v>0</v>
      </c>
      <c r="K78" s="192">
        <f t="shared" si="16"/>
        <v>0</v>
      </c>
      <c r="L78" s="184">
        <v>919.94</v>
      </c>
      <c r="M78" s="192">
        <f t="shared" si="17"/>
        <v>1.0196078431372551</v>
      </c>
      <c r="N78" s="184">
        <v>482.968500000002</v>
      </c>
      <c r="O78" s="183">
        <v>0.1</v>
      </c>
      <c r="P78" s="185">
        <v>3.7348272642390296E-3</v>
      </c>
      <c r="Q78" s="322">
        <v>91.994000000000014</v>
      </c>
      <c r="R78" s="311">
        <v>0.42500000000000215</v>
      </c>
      <c r="S78" s="184">
        <v>1.5873015873015955E-2</v>
      </c>
      <c r="T78" s="183" t="s">
        <v>484</v>
      </c>
      <c r="U78" s="183" t="s">
        <v>426</v>
      </c>
      <c r="V78" s="183"/>
      <c r="W78" s="189">
        <v>1</v>
      </c>
      <c r="X78" s="183" t="s">
        <v>244</v>
      </c>
    </row>
    <row r="79" spans="2:24">
      <c r="B79" s="589"/>
      <c r="C79" s="591"/>
      <c r="D79" s="209">
        <v>3</v>
      </c>
      <c r="E79" s="183" t="s">
        <v>495</v>
      </c>
      <c r="F79" s="184">
        <v>355.01423999999952</v>
      </c>
      <c r="G79" s="183">
        <v>28.602</v>
      </c>
      <c r="H79" s="183">
        <v>29.7</v>
      </c>
      <c r="I79" s="192">
        <f t="shared" si="15"/>
        <v>1.038388923851479</v>
      </c>
      <c r="J79" s="183">
        <v>0</v>
      </c>
      <c r="K79" s="192">
        <f t="shared" si="16"/>
        <v>0</v>
      </c>
      <c r="L79" s="184">
        <v>444.88</v>
      </c>
      <c r="M79" s="192">
        <f t="shared" si="17"/>
        <v>1.038388923851479</v>
      </c>
      <c r="N79" s="184">
        <v>488.47823999999952</v>
      </c>
      <c r="O79" s="183">
        <v>0.3</v>
      </c>
      <c r="P79" s="185">
        <v>1.0488777008600797E-2</v>
      </c>
      <c r="Q79" s="322">
        <v>133.464</v>
      </c>
      <c r="R79" s="311">
        <v>0.79799999999999893</v>
      </c>
      <c r="S79" s="184">
        <v>2.7900146842878084E-2</v>
      </c>
      <c r="T79" s="183" t="s">
        <v>484</v>
      </c>
      <c r="U79" s="183" t="s">
        <v>436</v>
      </c>
      <c r="V79" s="183"/>
      <c r="W79" s="189">
        <v>1</v>
      </c>
      <c r="X79" s="183" t="s">
        <v>496</v>
      </c>
    </row>
    <row r="80" spans="2:24">
      <c r="B80" s="589"/>
      <c r="C80" s="591"/>
      <c r="D80" s="209">
        <v>4</v>
      </c>
      <c r="E80" s="183" t="s">
        <v>505</v>
      </c>
      <c r="F80" s="184">
        <v>259.1104800000021</v>
      </c>
      <c r="G80" s="183">
        <v>142.892</v>
      </c>
      <c r="H80" s="183">
        <v>142.69999999999999</v>
      </c>
      <c r="I80" s="192">
        <f t="shared" si="15"/>
        <v>0.99865632785600311</v>
      </c>
      <c r="J80" s="183">
        <v>0.8</v>
      </c>
      <c r="K80" s="192">
        <f t="shared" si="16"/>
        <v>5.5986339333202705E-3</v>
      </c>
      <c r="L80" s="184">
        <v>510.06</v>
      </c>
      <c r="M80" s="192">
        <f t="shared" si="17"/>
        <v>1.0042549617893235</v>
      </c>
      <c r="N80" s="184">
        <v>310.11648000000207</v>
      </c>
      <c r="O80" s="183">
        <v>0.1</v>
      </c>
      <c r="P80" s="185">
        <v>6.9982924166503381E-4</v>
      </c>
      <c r="Q80" s="322">
        <v>51.006</v>
      </c>
      <c r="R80" s="311">
        <v>0.50800000000000411</v>
      </c>
      <c r="S80" s="184">
        <v>3.5551325476584003E-3</v>
      </c>
      <c r="T80" s="183" t="s">
        <v>484</v>
      </c>
      <c r="U80" s="183" t="s">
        <v>436</v>
      </c>
      <c r="V80" s="183"/>
      <c r="W80" s="189">
        <v>1</v>
      </c>
      <c r="X80" s="183" t="s">
        <v>420</v>
      </c>
    </row>
    <row r="81" spans="2:24">
      <c r="B81" s="589"/>
      <c r="C81" s="591"/>
      <c r="D81" s="209">
        <v>5</v>
      </c>
      <c r="E81" s="183" t="s">
        <v>555</v>
      </c>
      <c r="F81" s="184">
        <v>242.08184000000011</v>
      </c>
      <c r="G81" s="183">
        <v>7.6139999999999999</v>
      </c>
      <c r="H81" s="183">
        <v>8</v>
      </c>
      <c r="I81" s="192">
        <f t="shared" si="15"/>
        <v>1.0506960861570791</v>
      </c>
      <c r="J81" s="183">
        <v>0</v>
      </c>
      <c r="K81" s="192">
        <f t="shared" si="16"/>
        <v>0</v>
      </c>
      <c r="L81" s="184">
        <v>846.44</v>
      </c>
      <c r="M81" s="192">
        <f t="shared" si="17"/>
        <v>1.0506960861570791</v>
      </c>
      <c r="N81" s="184">
        <v>326.72584000000012</v>
      </c>
      <c r="O81" s="183">
        <v>0.1</v>
      </c>
      <c r="P81" s="185">
        <v>1.3133701076963489E-2</v>
      </c>
      <c r="Q81" s="322">
        <v>84.644000000000005</v>
      </c>
      <c r="R81" s="311">
        <v>0.28600000000000014</v>
      </c>
      <c r="S81" s="184">
        <v>3.7562385080115598E-2</v>
      </c>
      <c r="T81" s="183" t="s">
        <v>487</v>
      </c>
      <c r="U81" s="183" t="s">
        <v>488</v>
      </c>
      <c r="V81" s="183"/>
      <c r="W81" s="189">
        <v>1</v>
      </c>
      <c r="X81" s="183" t="s">
        <v>278</v>
      </c>
    </row>
    <row r="82" spans="2:24">
      <c r="B82" s="589"/>
      <c r="C82" s="591"/>
      <c r="D82" s="209">
        <v>6</v>
      </c>
      <c r="E82" s="183" t="s">
        <v>519</v>
      </c>
      <c r="F82" s="184">
        <v>239.58810000000068</v>
      </c>
      <c r="G82" s="183">
        <v>98.63</v>
      </c>
      <c r="H82" s="183">
        <v>99.3</v>
      </c>
      <c r="I82" s="192">
        <f t="shared" si="15"/>
        <v>1.006793064990368</v>
      </c>
      <c r="J82" s="183">
        <v>0</v>
      </c>
      <c r="K82" s="192">
        <f t="shared" si="16"/>
        <v>0</v>
      </c>
      <c r="L82" s="184">
        <v>420.33</v>
      </c>
      <c r="M82" s="192">
        <f t="shared" si="17"/>
        <v>1.006793064990368</v>
      </c>
      <c r="N82" s="184">
        <v>281.62110000000069</v>
      </c>
      <c r="O82" s="183">
        <v>0.1</v>
      </c>
      <c r="P82" s="185">
        <v>1.0138902970698571E-3</v>
      </c>
      <c r="Q82" s="322">
        <v>42.033000000000001</v>
      </c>
      <c r="R82" s="311">
        <v>0.57000000000000173</v>
      </c>
      <c r="S82" s="184">
        <v>5.7791746932982033E-3</v>
      </c>
      <c r="T82" s="183" t="s">
        <v>481</v>
      </c>
      <c r="U82" s="183" t="s">
        <v>419</v>
      </c>
      <c r="V82" s="183"/>
      <c r="W82" s="189">
        <v>1</v>
      </c>
      <c r="X82" s="183" t="s">
        <v>301</v>
      </c>
    </row>
    <row r="83" spans="2:24">
      <c r="B83" s="589"/>
      <c r="C83" s="591"/>
      <c r="D83" s="209">
        <v>7</v>
      </c>
      <c r="E83" s="183" t="s">
        <v>548</v>
      </c>
      <c r="F83" s="184">
        <v>228.36677999999969</v>
      </c>
      <c r="G83" s="183">
        <v>47.518000000000001</v>
      </c>
      <c r="H83" s="183">
        <v>48</v>
      </c>
      <c r="I83" s="192">
        <f t="shared" si="15"/>
        <v>1.0101435245591144</v>
      </c>
      <c r="J83" s="183">
        <v>0</v>
      </c>
      <c r="K83" s="192">
        <f t="shared" si="16"/>
        <v>0</v>
      </c>
      <c r="L83" s="184">
        <v>473.79</v>
      </c>
      <c r="M83" s="192">
        <f t="shared" si="17"/>
        <v>1.0101435245591144</v>
      </c>
      <c r="N83" s="184">
        <v>228.36677999999969</v>
      </c>
      <c r="O83" s="183">
        <v>0</v>
      </c>
      <c r="P83" s="185">
        <v>0</v>
      </c>
      <c r="Q83" s="322">
        <v>0</v>
      </c>
      <c r="R83" s="311">
        <v>0.48199999999999932</v>
      </c>
      <c r="S83" s="184">
        <v>1.0143524559114426E-2</v>
      </c>
      <c r="T83" s="183" t="s">
        <v>484</v>
      </c>
      <c r="U83" s="183" t="s">
        <v>436</v>
      </c>
      <c r="V83" s="183"/>
      <c r="W83" s="189">
        <v>1</v>
      </c>
      <c r="X83" s="183" t="s">
        <v>420</v>
      </c>
    </row>
    <row r="84" spans="2:24">
      <c r="B84" s="589"/>
      <c r="C84" s="591"/>
      <c r="D84" s="209">
        <v>8</v>
      </c>
      <c r="E84" s="183" t="s">
        <v>499</v>
      </c>
      <c r="F84" s="184">
        <v>220.88224000000082</v>
      </c>
      <c r="G84" s="183">
        <v>95.744</v>
      </c>
      <c r="H84" s="183">
        <v>97.2</v>
      </c>
      <c r="I84" s="192">
        <f t="shared" si="15"/>
        <v>1.0152072192513368</v>
      </c>
      <c r="J84" s="183">
        <v>0</v>
      </c>
      <c r="K84" s="192">
        <f t="shared" si="16"/>
        <v>0</v>
      </c>
      <c r="L84" s="184">
        <v>258.04000000000002</v>
      </c>
      <c r="M84" s="192">
        <f t="shared" si="17"/>
        <v>1.0152072192513368</v>
      </c>
      <c r="N84" s="184">
        <v>375.70624000000083</v>
      </c>
      <c r="O84" s="183">
        <v>0.6</v>
      </c>
      <c r="P84" s="185">
        <v>6.266711229946524E-3</v>
      </c>
      <c r="Q84" s="322">
        <v>154.82400000000001</v>
      </c>
      <c r="R84" s="311">
        <v>0.85600000000000309</v>
      </c>
      <c r="S84" s="184">
        <v>8.9405080213904066E-3</v>
      </c>
      <c r="T84" s="183" t="s">
        <v>484</v>
      </c>
      <c r="U84" s="183" t="s">
        <v>426</v>
      </c>
      <c r="V84" s="183"/>
      <c r="W84" s="189">
        <v>1</v>
      </c>
      <c r="X84" s="183" t="s">
        <v>309</v>
      </c>
    </row>
    <row r="85" spans="2:24">
      <c r="B85" s="589"/>
      <c r="C85" s="591"/>
      <c r="D85" s="209">
        <v>9</v>
      </c>
      <c r="E85" s="183" t="s">
        <v>433</v>
      </c>
      <c r="F85" s="184">
        <v>219.14801999999892</v>
      </c>
      <c r="G85" s="183">
        <v>81.436999999999998</v>
      </c>
      <c r="H85" s="183">
        <v>82.6</v>
      </c>
      <c r="I85" s="192">
        <f t="shared" si="15"/>
        <v>1.0142809779338628</v>
      </c>
      <c r="J85" s="183">
        <v>0</v>
      </c>
      <c r="K85" s="192">
        <f t="shared" si="16"/>
        <v>0</v>
      </c>
      <c r="L85" s="184">
        <v>330.54</v>
      </c>
      <c r="M85" s="192">
        <f t="shared" si="17"/>
        <v>1.0142809779338628</v>
      </c>
      <c r="N85" s="184">
        <v>384.41801999999893</v>
      </c>
      <c r="O85" s="183">
        <v>0.5</v>
      </c>
      <c r="P85" s="185">
        <v>6.1397153627957808E-3</v>
      </c>
      <c r="Q85" s="322">
        <v>165.27</v>
      </c>
      <c r="R85" s="311">
        <v>0.6629999999999967</v>
      </c>
      <c r="S85" s="184">
        <v>8.1412625710671656E-3</v>
      </c>
      <c r="T85" s="183" t="s">
        <v>484</v>
      </c>
      <c r="U85" s="183" t="s">
        <v>426</v>
      </c>
      <c r="V85" s="183"/>
      <c r="W85" s="189">
        <v>1</v>
      </c>
      <c r="X85" s="183" t="s">
        <v>289</v>
      </c>
    </row>
    <row r="86" spans="2:24">
      <c r="B86" s="589"/>
      <c r="C86" s="591"/>
      <c r="D86" s="209">
        <v>10</v>
      </c>
      <c r="E86" s="183" t="s">
        <v>554</v>
      </c>
      <c r="F86" s="184">
        <v>203.0081100000005</v>
      </c>
      <c r="G86" s="183">
        <v>60.753</v>
      </c>
      <c r="H86" s="183">
        <v>61.6</v>
      </c>
      <c r="I86" s="192">
        <f t="shared" si="15"/>
        <v>1.0139416983523448</v>
      </c>
      <c r="J86" s="183">
        <v>0</v>
      </c>
      <c r="K86" s="192">
        <f t="shared" si="16"/>
        <v>0</v>
      </c>
      <c r="L86" s="184">
        <v>371.13</v>
      </c>
      <c r="M86" s="192">
        <f t="shared" si="17"/>
        <v>1.0139416983523448</v>
      </c>
      <c r="N86" s="184">
        <v>314.3471100000005</v>
      </c>
      <c r="O86" s="183">
        <v>0.3</v>
      </c>
      <c r="P86" s="185">
        <v>4.9380277517159649E-3</v>
      </c>
      <c r="Q86" s="322">
        <v>111.339</v>
      </c>
      <c r="R86" s="311">
        <v>0.54700000000000126</v>
      </c>
      <c r="S86" s="184">
        <v>9.0036706006287968E-3</v>
      </c>
      <c r="T86" s="183" t="s">
        <v>481</v>
      </c>
      <c r="U86" s="183" t="s">
        <v>419</v>
      </c>
      <c r="V86" s="183"/>
      <c r="W86" s="189">
        <v>1</v>
      </c>
      <c r="X86" s="183" t="s">
        <v>314</v>
      </c>
    </row>
    <row r="87" spans="2:24">
      <c r="B87" s="588">
        <v>45909</v>
      </c>
      <c r="C87" s="590" t="s">
        <v>204</v>
      </c>
      <c r="D87" s="209">
        <v>1</v>
      </c>
      <c r="E87" s="183" t="s">
        <v>511</v>
      </c>
      <c r="F87" s="184">
        <v>1797.6515999999972</v>
      </c>
      <c r="G87" s="183">
        <v>107.614</v>
      </c>
      <c r="H87" s="183">
        <v>108.3</v>
      </c>
      <c r="I87" s="192">
        <f t="shared" si="15"/>
        <v>1.0063746352705039</v>
      </c>
      <c r="J87" s="183">
        <v>5.8</v>
      </c>
      <c r="K87" s="192">
        <f t="shared" si="16"/>
        <v>5.3896333190848772E-2</v>
      </c>
      <c r="L87" s="184">
        <v>290.60000000000002</v>
      </c>
      <c r="M87" s="192">
        <f t="shared" si="17"/>
        <v>1.0602709684613525</v>
      </c>
      <c r="N87" s="184">
        <v>1884.8315999999973</v>
      </c>
      <c r="O87" s="183">
        <v>0.3</v>
      </c>
      <c r="P87" s="185">
        <v>2.7877413719404535E-3</v>
      </c>
      <c r="Q87" s="322">
        <v>87.18</v>
      </c>
      <c r="R87" s="311">
        <v>6.1859999999999902</v>
      </c>
      <c r="S87" s="184">
        <v>5.7483227089412066E-2</v>
      </c>
      <c r="T87" s="183" t="s">
        <v>484</v>
      </c>
      <c r="U87" s="183" t="s">
        <v>426</v>
      </c>
      <c r="V87" s="183"/>
      <c r="W87" s="189">
        <v>1</v>
      </c>
      <c r="X87" s="183" t="s">
        <v>311</v>
      </c>
    </row>
    <row r="88" spans="2:24">
      <c r="B88" s="589"/>
      <c r="C88" s="591"/>
      <c r="D88" s="209">
        <v>2</v>
      </c>
      <c r="E88" s="183" t="s">
        <v>429</v>
      </c>
      <c r="F88" s="184">
        <v>438.19956000000008</v>
      </c>
      <c r="G88" s="183">
        <v>12.529</v>
      </c>
      <c r="H88" s="183">
        <v>13</v>
      </c>
      <c r="I88" s="192">
        <f t="shared" si="15"/>
        <v>1.0375927847394046</v>
      </c>
      <c r="J88" s="183">
        <v>0</v>
      </c>
      <c r="K88" s="192">
        <f t="shared" si="16"/>
        <v>0</v>
      </c>
      <c r="L88" s="184">
        <v>930.36</v>
      </c>
      <c r="M88" s="192">
        <f t="shared" si="17"/>
        <v>1.0375927847394046</v>
      </c>
      <c r="N88" s="184">
        <v>438.19956000000008</v>
      </c>
      <c r="O88" s="183">
        <v>0</v>
      </c>
      <c r="P88" s="185">
        <v>0</v>
      </c>
      <c r="Q88" s="322">
        <v>0</v>
      </c>
      <c r="R88" s="311">
        <v>0.47100000000000009</v>
      </c>
      <c r="S88" s="184">
        <v>3.759278473940459E-2</v>
      </c>
      <c r="T88" s="183" t="s">
        <v>484</v>
      </c>
      <c r="U88" s="183" t="s">
        <v>436</v>
      </c>
      <c r="V88" s="183"/>
      <c r="W88" s="189">
        <v>1</v>
      </c>
      <c r="X88" s="183" t="s">
        <v>279</v>
      </c>
    </row>
    <row r="89" spans="2:24">
      <c r="B89" s="589"/>
      <c r="C89" s="591"/>
      <c r="D89" s="209">
        <v>3</v>
      </c>
      <c r="E89" s="183" t="s">
        <v>505</v>
      </c>
      <c r="F89" s="184">
        <v>409.57817999999281</v>
      </c>
      <c r="G89" s="183">
        <v>134.99700000000001</v>
      </c>
      <c r="H89" s="183">
        <v>136</v>
      </c>
      <c r="I89" s="192">
        <f t="shared" si="15"/>
        <v>1.0074297947361792</v>
      </c>
      <c r="J89" s="183">
        <v>0</v>
      </c>
      <c r="K89" s="192">
        <f t="shared" si="16"/>
        <v>0</v>
      </c>
      <c r="L89" s="184">
        <v>510.06</v>
      </c>
      <c r="M89" s="192">
        <f t="shared" si="17"/>
        <v>1.0074297947361792</v>
      </c>
      <c r="N89" s="184">
        <v>511.59017999999281</v>
      </c>
      <c r="O89" s="183">
        <v>0.2</v>
      </c>
      <c r="P89" s="185">
        <v>1.4815144040237931E-3</v>
      </c>
      <c r="Q89" s="322">
        <v>102.012</v>
      </c>
      <c r="R89" s="311">
        <v>0.80299999999998595</v>
      </c>
      <c r="S89" s="184">
        <v>5.9482803321554249E-3</v>
      </c>
      <c r="T89" s="183" t="s">
        <v>484</v>
      </c>
      <c r="U89" s="183" t="s">
        <v>436</v>
      </c>
      <c r="V89" s="183"/>
      <c r="W89" s="189">
        <v>1</v>
      </c>
      <c r="X89" s="183" t="s">
        <v>420</v>
      </c>
    </row>
    <row r="90" spans="2:24">
      <c r="B90" s="589"/>
      <c r="C90" s="591"/>
      <c r="D90" s="209">
        <v>4</v>
      </c>
      <c r="E90" s="183" t="s">
        <v>557</v>
      </c>
      <c r="F90" s="184">
        <v>343.13819999999805</v>
      </c>
      <c r="G90" s="183">
        <v>15.996</v>
      </c>
      <c r="H90" s="183">
        <v>16</v>
      </c>
      <c r="I90" s="192">
        <f t="shared" si="15"/>
        <v>1.000250062515629</v>
      </c>
      <c r="J90" s="183">
        <v>0.2</v>
      </c>
      <c r="K90" s="192">
        <f t="shared" si="16"/>
        <v>1.2503125781445362E-2</v>
      </c>
      <c r="L90" s="184">
        <v>1682.05</v>
      </c>
      <c r="M90" s="192">
        <f t="shared" si="17"/>
        <v>1.0127531882970742</v>
      </c>
      <c r="N90" s="184">
        <v>343.13819999999805</v>
      </c>
      <c r="O90" s="183">
        <v>0</v>
      </c>
      <c r="P90" s="185">
        <v>0</v>
      </c>
      <c r="Q90" s="322">
        <v>0</v>
      </c>
      <c r="R90" s="311">
        <v>0.20399999999999885</v>
      </c>
      <c r="S90" s="184">
        <v>1.2753188297074195E-2</v>
      </c>
      <c r="T90" s="183" t="s">
        <v>481</v>
      </c>
      <c r="U90" s="183" t="s">
        <v>419</v>
      </c>
      <c r="V90" s="183"/>
      <c r="W90" s="189">
        <v>1</v>
      </c>
      <c r="X90" s="183" t="s">
        <v>243</v>
      </c>
    </row>
    <row r="91" spans="2:24">
      <c r="B91" s="589"/>
      <c r="C91" s="591"/>
      <c r="D91" s="209">
        <v>5</v>
      </c>
      <c r="E91" s="183" t="s">
        <v>427</v>
      </c>
      <c r="F91" s="184">
        <v>342.56880000000314</v>
      </c>
      <c r="G91" s="183">
        <v>36.72</v>
      </c>
      <c r="H91" s="183">
        <v>37.1</v>
      </c>
      <c r="I91" s="192">
        <f t="shared" si="15"/>
        <v>1.0103485838779958</v>
      </c>
      <c r="J91" s="183">
        <v>0</v>
      </c>
      <c r="K91" s="192">
        <f t="shared" si="16"/>
        <v>0</v>
      </c>
      <c r="L91" s="184">
        <v>1223.46</v>
      </c>
      <c r="M91" s="192">
        <f t="shared" si="17"/>
        <v>1.0103485838779958</v>
      </c>
      <c r="N91" s="184">
        <v>464.91480000000314</v>
      </c>
      <c r="O91" s="183">
        <v>0.1</v>
      </c>
      <c r="P91" s="185">
        <v>2.7233115468409588E-3</v>
      </c>
      <c r="Q91" s="322">
        <v>122.346</v>
      </c>
      <c r="R91" s="311">
        <v>0.28000000000000258</v>
      </c>
      <c r="S91" s="184">
        <v>7.6252723311547544E-3</v>
      </c>
      <c r="T91" s="183" t="s">
        <v>484</v>
      </c>
      <c r="U91" s="183" t="s">
        <v>426</v>
      </c>
      <c r="V91" s="183"/>
      <c r="W91" s="189">
        <v>1</v>
      </c>
      <c r="X91" s="183" t="s">
        <v>245</v>
      </c>
    </row>
    <row r="92" spans="2:24">
      <c r="B92" s="589"/>
      <c r="C92" s="591"/>
      <c r="D92" s="209">
        <v>6</v>
      </c>
      <c r="E92" s="183" t="s">
        <v>561</v>
      </c>
      <c r="F92" s="184">
        <v>319.99999999999949</v>
      </c>
      <c r="G92" s="183">
        <v>11.32</v>
      </c>
      <c r="H92" s="183">
        <v>11.4</v>
      </c>
      <c r="I92" s="192">
        <f t="shared" si="15"/>
        <v>1.0070671378091873</v>
      </c>
      <c r="J92" s="183">
        <v>0.1</v>
      </c>
      <c r="K92" s="192">
        <f t="shared" si="16"/>
        <v>8.8339222614840993E-3</v>
      </c>
      <c r="L92" s="184">
        <v>1800</v>
      </c>
      <c r="M92" s="192">
        <f t="shared" si="17"/>
        <v>1.0159010600706713</v>
      </c>
      <c r="N92" s="184">
        <v>319.99999999999949</v>
      </c>
      <c r="O92" s="183">
        <v>0</v>
      </c>
      <c r="P92" s="185">
        <v>0</v>
      </c>
      <c r="Q92" s="322">
        <v>0</v>
      </c>
      <c r="R92" s="311">
        <v>0.17999999999999972</v>
      </c>
      <c r="S92" s="184">
        <v>1.5901060070671352E-2</v>
      </c>
      <c r="T92" s="183" t="s">
        <v>484</v>
      </c>
      <c r="U92" s="183" t="s">
        <v>426</v>
      </c>
      <c r="V92" s="183"/>
      <c r="W92" s="189">
        <v>1</v>
      </c>
      <c r="X92" s="183" t="s">
        <v>226</v>
      </c>
    </row>
    <row r="93" spans="2:24">
      <c r="B93" s="589"/>
      <c r="C93" s="591"/>
      <c r="D93" s="209">
        <v>7</v>
      </c>
      <c r="E93" s="183" t="s">
        <v>556</v>
      </c>
      <c r="F93" s="184">
        <v>307.25996000000293</v>
      </c>
      <c r="G93" s="183">
        <v>24.765999999999998</v>
      </c>
      <c r="H93" s="183">
        <v>25.1</v>
      </c>
      <c r="I93" s="192">
        <f t="shared" si="15"/>
        <v>1.0134862311233144</v>
      </c>
      <c r="J93" s="183">
        <v>0</v>
      </c>
      <c r="K93" s="192">
        <f t="shared" si="16"/>
        <v>0</v>
      </c>
      <c r="L93" s="184">
        <v>919.94</v>
      </c>
      <c r="M93" s="192">
        <f t="shared" si="17"/>
        <v>1.0134862311233144</v>
      </c>
      <c r="N93" s="184">
        <v>307.25996000000293</v>
      </c>
      <c r="O93" s="183">
        <v>0</v>
      </c>
      <c r="P93" s="185">
        <v>0</v>
      </c>
      <c r="Q93" s="322">
        <v>0</v>
      </c>
      <c r="R93" s="311">
        <v>0.33400000000000318</v>
      </c>
      <c r="S93" s="184">
        <v>1.3486231123314351E-2</v>
      </c>
      <c r="T93" s="183" t="s">
        <v>484</v>
      </c>
      <c r="U93" s="183" t="s">
        <v>436</v>
      </c>
      <c r="V93" s="183"/>
      <c r="W93" s="189">
        <v>1</v>
      </c>
      <c r="X93" s="183" t="s">
        <v>244</v>
      </c>
    </row>
    <row r="94" spans="2:24">
      <c r="B94" s="589"/>
      <c r="C94" s="591"/>
      <c r="D94" s="209">
        <v>8</v>
      </c>
      <c r="E94" s="183" t="s">
        <v>555</v>
      </c>
      <c r="F94" s="184">
        <v>264.93571999999978</v>
      </c>
      <c r="G94" s="183">
        <v>6.6870000000000003</v>
      </c>
      <c r="H94" s="183">
        <v>7</v>
      </c>
      <c r="I94" s="192">
        <f t="shared" si="15"/>
        <v>1.0468072379243307</v>
      </c>
      <c r="J94" s="183">
        <v>0</v>
      </c>
      <c r="K94" s="192">
        <f t="shared" si="16"/>
        <v>0</v>
      </c>
      <c r="L94" s="184">
        <v>846.44</v>
      </c>
      <c r="M94" s="192">
        <f t="shared" si="17"/>
        <v>1.0468072379243307</v>
      </c>
      <c r="N94" s="184">
        <v>264.93571999999978</v>
      </c>
      <c r="O94" s="183">
        <v>0</v>
      </c>
      <c r="P94" s="185">
        <v>0</v>
      </c>
      <c r="Q94" s="322">
        <v>0</v>
      </c>
      <c r="R94" s="311">
        <v>0.31299999999999972</v>
      </c>
      <c r="S94" s="184">
        <v>4.6807237924330745E-2</v>
      </c>
      <c r="T94" s="183" t="s">
        <v>487</v>
      </c>
      <c r="U94" s="183" t="s">
        <v>510</v>
      </c>
      <c r="V94" s="183"/>
      <c r="W94" s="189">
        <v>1</v>
      </c>
      <c r="X94" s="183" t="s">
        <v>278</v>
      </c>
    </row>
    <row r="95" spans="2:24">
      <c r="B95" s="589"/>
      <c r="C95" s="591"/>
      <c r="D95" s="209">
        <v>9</v>
      </c>
      <c r="E95" s="183" t="s">
        <v>501</v>
      </c>
      <c r="F95" s="184">
        <v>260.70015999999976</v>
      </c>
      <c r="G95" s="183">
        <v>24.852</v>
      </c>
      <c r="H95" s="183">
        <v>25.5</v>
      </c>
      <c r="I95" s="192">
        <f t="shared" si="15"/>
        <v>1.0260743602124578</v>
      </c>
      <c r="J95" s="183">
        <v>0</v>
      </c>
      <c r="K95" s="192">
        <f t="shared" si="16"/>
        <v>0</v>
      </c>
      <c r="L95" s="184">
        <v>581.91999999999996</v>
      </c>
      <c r="M95" s="192">
        <f t="shared" si="17"/>
        <v>1.0260743602124578</v>
      </c>
      <c r="N95" s="184">
        <v>377.08415999999977</v>
      </c>
      <c r="O95" s="183">
        <v>0.2</v>
      </c>
      <c r="P95" s="185">
        <v>8.0476420408820224E-3</v>
      </c>
      <c r="Q95" s="322">
        <v>116.384</v>
      </c>
      <c r="R95" s="311">
        <v>0.44799999999999968</v>
      </c>
      <c r="S95" s="184">
        <v>1.8026718171575716E-2</v>
      </c>
      <c r="T95" s="183" t="s">
        <v>484</v>
      </c>
      <c r="U95" s="183" t="s">
        <v>426</v>
      </c>
      <c r="V95" s="183"/>
      <c r="W95" s="189">
        <v>1</v>
      </c>
      <c r="X95" s="183" t="s">
        <v>286</v>
      </c>
    </row>
    <row r="96" spans="2:24">
      <c r="B96" s="589"/>
      <c r="C96" s="591"/>
      <c r="D96" s="209">
        <v>10</v>
      </c>
      <c r="E96" s="183" t="s">
        <v>519</v>
      </c>
      <c r="F96" s="184">
        <v>222.77490000000046</v>
      </c>
      <c r="G96" s="183">
        <v>97.37</v>
      </c>
      <c r="H96" s="183">
        <v>97.9</v>
      </c>
      <c r="I96" s="192">
        <f t="shared" si="15"/>
        <v>1.0054431549758653</v>
      </c>
      <c r="J96" s="183">
        <v>0</v>
      </c>
      <c r="K96" s="192">
        <f t="shared" si="16"/>
        <v>0</v>
      </c>
      <c r="L96" s="184">
        <v>420.33</v>
      </c>
      <c r="M96" s="192">
        <f t="shared" si="17"/>
        <v>1.0054431549758653</v>
      </c>
      <c r="N96" s="184">
        <v>222.77490000000046</v>
      </c>
      <c r="O96" s="183">
        <v>0</v>
      </c>
      <c r="P96" s="185">
        <v>0</v>
      </c>
      <c r="Q96" s="322">
        <v>0</v>
      </c>
      <c r="R96" s="311">
        <v>0.53000000000000114</v>
      </c>
      <c r="S96" s="184">
        <v>5.4431549758652675E-3</v>
      </c>
      <c r="T96" s="183" t="s">
        <v>484</v>
      </c>
      <c r="U96" s="183" t="s">
        <v>426</v>
      </c>
      <c r="V96" s="183"/>
      <c r="W96" s="189">
        <v>1</v>
      </c>
      <c r="X96" s="183" t="s">
        <v>301</v>
      </c>
    </row>
    <row r="97" spans="2:24">
      <c r="B97" s="588">
        <v>45910</v>
      </c>
      <c r="C97" s="590" t="s">
        <v>205</v>
      </c>
      <c r="D97" s="209">
        <v>1</v>
      </c>
      <c r="E97" s="183" t="s">
        <v>511</v>
      </c>
      <c r="F97" s="184">
        <v>1945.2764</v>
      </c>
      <c r="G97" s="183">
        <v>113.90600000000001</v>
      </c>
      <c r="H97" s="183">
        <v>114.9</v>
      </c>
      <c r="I97" s="192">
        <f t="shared" si="15"/>
        <v>1.0087264937755693</v>
      </c>
      <c r="J97" s="183">
        <v>6</v>
      </c>
      <c r="K97" s="192">
        <f t="shared" si="16"/>
        <v>5.2675012729794739E-2</v>
      </c>
      <c r="L97" s="184">
        <v>290.60000000000002</v>
      </c>
      <c r="M97" s="192">
        <f t="shared" si="17"/>
        <v>1.0614015065053641</v>
      </c>
      <c r="N97" s="184">
        <v>2032.4564</v>
      </c>
      <c r="O97" s="183">
        <v>0.3</v>
      </c>
      <c r="P97" s="185">
        <v>2.633750636489737E-3</v>
      </c>
      <c r="Q97" s="322">
        <v>87.18</v>
      </c>
      <c r="R97" s="311">
        <v>6.694</v>
      </c>
      <c r="S97" s="184">
        <v>5.8767755868874332E-2</v>
      </c>
      <c r="T97" s="183" t="s">
        <v>484</v>
      </c>
      <c r="U97" s="183" t="s">
        <v>426</v>
      </c>
      <c r="V97" s="183"/>
      <c r="W97" s="189">
        <v>1</v>
      </c>
      <c r="X97" s="183" t="s">
        <v>311</v>
      </c>
    </row>
    <row r="98" spans="2:24">
      <c r="B98" s="589"/>
      <c r="C98" s="591"/>
      <c r="D98" s="209">
        <v>2</v>
      </c>
      <c r="E98" s="183" t="s">
        <v>557</v>
      </c>
      <c r="F98" s="184">
        <v>403.69200000000035</v>
      </c>
      <c r="G98" s="183">
        <v>15.76</v>
      </c>
      <c r="H98" s="183">
        <v>15.8</v>
      </c>
      <c r="I98" s="192">
        <f t="shared" si="15"/>
        <v>1.0025380710659899</v>
      </c>
      <c r="J98" s="183">
        <v>0.2</v>
      </c>
      <c r="K98" s="192">
        <f t="shared" si="16"/>
        <v>1.269035532994924E-2</v>
      </c>
      <c r="L98" s="184">
        <v>1682.05</v>
      </c>
      <c r="M98" s="192">
        <f t="shared" si="17"/>
        <v>1.015228426395939</v>
      </c>
      <c r="N98" s="184">
        <v>403.69200000000035</v>
      </c>
      <c r="O98" s="183">
        <v>0</v>
      </c>
      <c r="P98" s="185">
        <v>0</v>
      </c>
      <c r="Q98" s="322">
        <v>0</v>
      </c>
      <c r="R98" s="311">
        <v>0.24000000000000021</v>
      </c>
      <c r="S98" s="184">
        <v>1.5228426395939101E-2</v>
      </c>
      <c r="T98" s="183" t="s">
        <v>481</v>
      </c>
      <c r="U98" s="183" t="s">
        <v>419</v>
      </c>
      <c r="V98" s="183"/>
      <c r="W98" s="189">
        <v>1</v>
      </c>
      <c r="X98" s="183" t="s">
        <v>243</v>
      </c>
    </row>
    <row r="99" spans="2:24">
      <c r="B99" s="589"/>
      <c r="C99" s="591"/>
      <c r="D99" s="209">
        <v>3</v>
      </c>
      <c r="E99" s="183" t="s">
        <v>427</v>
      </c>
      <c r="F99" s="184">
        <v>347.46264000000212</v>
      </c>
      <c r="G99" s="183">
        <v>32.415999999999997</v>
      </c>
      <c r="H99" s="183">
        <v>32.9</v>
      </c>
      <c r="I99" s="192">
        <f t="shared" si="15"/>
        <v>1.0149308983218164</v>
      </c>
      <c r="J99" s="183">
        <v>0</v>
      </c>
      <c r="K99" s="192">
        <f t="shared" si="16"/>
        <v>0</v>
      </c>
      <c r="L99" s="184">
        <v>1223.46</v>
      </c>
      <c r="M99" s="192">
        <f t="shared" si="17"/>
        <v>1.0149308983218164</v>
      </c>
      <c r="N99" s="184">
        <v>592.15464000000213</v>
      </c>
      <c r="O99" s="183">
        <v>0.2</v>
      </c>
      <c r="P99" s="185">
        <v>6.1697926949654501E-3</v>
      </c>
      <c r="Q99" s="322">
        <v>244.69200000000001</v>
      </c>
      <c r="R99" s="311">
        <v>0.28400000000000175</v>
      </c>
      <c r="S99" s="184">
        <v>8.7611056268509929E-3</v>
      </c>
      <c r="T99" s="183" t="s">
        <v>484</v>
      </c>
      <c r="U99" s="183" t="s">
        <v>426</v>
      </c>
      <c r="V99" s="183"/>
      <c r="W99" s="189">
        <v>1</v>
      </c>
      <c r="X99" s="183" t="s">
        <v>245</v>
      </c>
    </row>
    <row r="100" spans="2:24">
      <c r="B100" s="589"/>
      <c r="C100" s="591"/>
      <c r="D100" s="209">
        <v>4</v>
      </c>
      <c r="E100" s="183" t="s">
        <v>429</v>
      </c>
      <c r="F100" s="184">
        <v>347.02427999999941</v>
      </c>
      <c r="G100" s="183">
        <v>11.627000000000001</v>
      </c>
      <c r="H100" s="183">
        <v>12</v>
      </c>
      <c r="I100" s="192">
        <f t="shared" si="15"/>
        <v>1.0320805022791777</v>
      </c>
      <c r="J100" s="183">
        <v>0</v>
      </c>
      <c r="K100" s="192">
        <f t="shared" si="16"/>
        <v>0</v>
      </c>
      <c r="L100" s="184">
        <v>930.36</v>
      </c>
      <c r="M100" s="192">
        <f t="shared" si="17"/>
        <v>1.0320805022791777</v>
      </c>
      <c r="N100" s="184">
        <v>347.02427999999941</v>
      </c>
      <c r="O100" s="183">
        <v>0</v>
      </c>
      <c r="P100" s="185">
        <v>0</v>
      </c>
      <c r="Q100" s="322">
        <v>0</v>
      </c>
      <c r="R100" s="311">
        <v>0.37299999999999933</v>
      </c>
      <c r="S100" s="184">
        <v>3.2080502279177719E-2</v>
      </c>
      <c r="T100" s="183" t="s">
        <v>484</v>
      </c>
      <c r="U100" s="183" t="s">
        <v>436</v>
      </c>
      <c r="V100" s="183"/>
      <c r="W100" s="189">
        <v>1</v>
      </c>
      <c r="X100" s="183" t="s">
        <v>279</v>
      </c>
    </row>
    <row r="101" spans="2:24">
      <c r="B101" s="589"/>
      <c r="C101" s="591"/>
      <c r="D101" s="209">
        <v>5</v>
      </c>
      <c r="E101" s="183" t="s">
        <v>505</v>
      </c>
      <c r="F101" s="184">
        <v>325.41827999999686</v>
      </c>
      <c r="G101" s="183">
        <v>124.66200000000001</v>
      </c>
      <c r="H101" s="183">
        <v>124.5</v>
      </c>
      <c r="I101" s="192">
        <f t="shared" si="15"/>
        <v>0.99870048611445339</v>
      </c>
      <c r="J101" s="183">
        <v>1</v>
      </c>
      <c r="K101" s="192">
        <f t="shared" si="16"/>
        <v>8.0216906515217148E-3</v>
      </c>
      <c r="L101" s="184">
        <v>510.06</v>
      </c>
      <c r="M101" s="192">
        <f t="shared" si="17"/>
        <v>1.0067221767659751</v>
      </c>
      <c r="N101" s="184">
        <v>427.43027999999686</v>
      </c>
      <c r="O101" s="183">
        <v>0.2</v>
      </c>
      <c r="P101" s="185">
        <v>1.6043381303043429E-3</v>
      </c>
      <c r="Q101" s="322">
        <v>102.012</v>
      </c>
      <c r="R101" s="311">
        <v>0.63799999999999391</v>
      </c>
      <c r="S101" s="184">
        <v>5.1178386356708046E-3</v>
      </c>
      <c r="T101" s="183" t="s">
        <v>484</v>
      </c>
      <c r="U101" s="183" t="s">
        <v>436</v>
      </c>
      <c r="V101" s="183"/>
      <c r="W101" s="189">
        <v>1</v>
      </c>
      <c r="X101" s="183" t="s">
        <v>420</v>
      </c>
    </row>
    <row r="102" spans="2:24">
      <c r="B102" s="589"/>
      <c r="C102" s="591"/>
      <c r="D102" s="209">
        <v>6</v>
      </c>
      <c r="E102" s="183" t="s">
        <v>433</v>
      </c>
      <c r="F102" s="184">
        <v>303.10518000000059</v>
      </c>
      <c r="G102" s="183">
        <v>71.082999999999998</v>
      </c>
      <c r="H102" s="183">
        <v>72.5</v>
      </c>
      <c r="I102" s="192">
        <f t="shared" si="15"/>
        <v>1.019934442834433</v>
      </c>
      <c r="J102" s="183">
        <v>0</v>
      </c>
      <c r="K102" s="192">
        <f t="shared" si="16"/>
        <v>0</v>
      </c>
      <c r="L102" s="184">
        <v>330.54</v>
      </c>
      <c r="M102" s="192">
        <f t="shared" si="17"/>
        <v>1.019934442834433</v>
      </c>
      <c r="N102" s="184">
        <v>468.37518000000057</v>
      </c>
      <c r="O102" s="183">
        <v>0.5</v>
      </c>
      <c r="P102" s="185">
        <v>7.0340306402374691E-3</v>
      </c>
      <c r="Q102" s="322">
        <v>165.27</v>
      </c>
      <c r="R102" s="311">
        <v>0.91700000000000159</v>
      </c>
      <c r="S102" s="184">
        <v>1.290041219419554E-2</v>
      </c>
      <c r="T102" s="183" t="s">
        <v>484</v>
      </c>
      <c r="U102" s="183" t="s">
        <v>426</v>
      </c>
      <c r="V102" s="183"/>
      <c r="W102" s="189">
        <v>1</v>
      </c>
      <c r="X102" s="183" t="s">
        <v>289</v>
      </c>
    </row>
    <row r="103" spans="2:24">
      <c r="B103" s="589"/>
      <c r="C103" s="591"/>
      <c r="D103" s="209">
        <v>7</v>
      </c>
      <c r="E103" s="183" t="s">
        <v>556</v>
      </c>
      <c r="F103" s="184">
        <v>297.14061999999842</v>
      </c>
      <c r="G103" s="183">
        <v>24.577000000000002</v>
      </c>
      <c r="H103" s="183">
        <v>25</v>
      </c>
      <c r="I103" s="192">
        <f t="shared" si="15"/>
        <v>1.0172112137364202</v>
      </c>
      <c r="J103" s="183">
        <v>0</v>
      </c>
      <c r="K103" s="192">
        <f t="shared" si="16"/>
        <v>0</v>
      </c>
      <c r="L103" s="184">
        <v>919.94</v>
      </c>
      <c r="M103" s="192">
        <f t="shared" si="17"/>
        <v>1.0172112137364202</v>
      </c>
      <c r="N103" s="184">
        <v>389.13461999999845</v>
      </c>
      <c r="O103" s="183">
        <v>0.1</v>
      </c>
      <c r="P103" s="185">
        <v>4.0688448549456805E-3</v>
      </c>
      <c r="Q103" s="322">
        <v>91.994000000000014</v>
      </c>
      <c r="R103" s="311">
        <v>0.32299999999999829</v>
      </c>
      <c r="S103" s="184">
        <v>1.3142368881474478E-2</v>
      </c>
      <c r="T103" s="183" t="s">
        <v>484</v>
      </c>
      <c r="U103" s="183" t="s">
        <v>426</v>
      </c>
      <c r="V103" s="183"/>
      <c r="W103" s="189">
        <v>1</v>
      </c>
      <c r="X103" s="183" t="s">
        <v>244</v>
      </c>
    </row>
    <row r="104" spans="2:24">
      <c r="B104" s="589"/>
      <c r="C104" s="591"/>
      <c r="D104" s="209">
        <v>8</v>
      </c>
      <c r="E104" s="183" t="s">
        <v>519</v>
      </c>
      <c r="F104" s="184">
        <v>296.33265000000284</v>
      </c>
      <c r="G104" s="183">
        <v>97.894999999999996</v>
      </c>
      <c r="H104" s="183">
        <v>98.7</v>
      </c>
      <c r="I104" s="192">
        <f t="shared" si="15"/>
        <v>1.0082230961744727</v>
      </c>
      <c r="J104" s="183">
        <v>0</v>
      </c>
      <c r="K104" s="192">
        <f t="shared" si="16"/>
        <v>0</v>
      </c>
      <c r="L104" s="184">
        <v>420.33</v>
      </c>
      <c r="M104" s="192">
        <f t="shared" si="17"/>
        <v>1.0082230961744727</v>
      </c>
      <c r="N104" s="184">
        <v>338.36565000000286</v>
      </c>
      <c r="O104" s="183">
        <v>0.1</v>
      </c>
      <c r="P104" s="185">
        <v>1.0215026303692734E-3</v>
      </c>
      <c r="Q104" s="322">
        <v>42.033000000000001</v>
      </c>
      <c r="R104" s="311">
        <v>0.70500000000000684</v>
      </c>
      <c r="S104" s="184">
        <v>7.2015935441034464E-3</v>
      </c>
      <c r="T104" s="183" t="s">
        <v>484</v>
      </c>
      <c r="U104" s="183" t="s">
        <v>426</v>
      </c>
      <c r="V104" s="183"/>
      <c r="W104" s="189">
        <v>1</v>
      </c>
      <c r="X104" s="183" t="s">
        <v>301</v>
      </c>
    </row>
    <row r="105" spans="2:24">
      <c r="B105" s="589"/>
      <c r="C105" s="591"/>
      <c r="D105" s="209">
        <v>9</v>
      </c>
      <c r="E105" s="183" t="s">
        <v>561</v>
      </c>
      <c r="F105" s="184">
        <v>288.00000000000023</v>
      </c>
      <c r="G105" s="183">
        <v>11.04</v>
      </c>
      <c r="H105" s="183">
        <v>11.2</v>
      </c>
      <c r="I105" s="192">
        <f t="shared" si="15"/>
        <v>1.0144927536231885</v>
      </c>
      <c r="J105" s="183">
        <v>0</v>
      </c>
      <c r="K105" s="192">
        <f t="shared" si="16"/>
        <v>0</v>
      </c>
      <c r="L105" s="184">
        <v>1800</v>
      </c>
      <c r="M105" s="192">
        <f t="shared" si="17"/>
        <v>1.0144927536231885</v>
      </c>
      <c r="N105" s="184">
        <v>288.00000000000023</v>
      </c>
      <c r="O105" s="183">
        <v>0</v>
      </c>
      <c r="P105" s="185">
        <v>0</v>
      </c>
      <c r="Q105" s="322">
        <v>0</v>
      </c>
      <c r="R105" s="311">
        <v>0.16000000000000014</v>
      </c>
      <c r="S105" s="184">
        <v>1.449275362318842E-2</v>
      </c>
      <c r="T105" s="183" t="s">
        <v>481</v>
      </c>
      <c r="U105" s="183" t="s">
        <v>419</v>
      </c>
      <c r="V105" s="183"/>
      <c r="W105" s="189">
        <v>1</v>
      </c>
      <c r="X105" s="183" t="s">
        <v>226</v>
      </c>
    </row>
    <row r="106" spans="2:24">
      <c r="B106" s="589"/>
      <c r="C106" s="591"/>
      <c r="D106" s="209">
        <v>10</v>
      </c>
      <c r="E106" s="183" t="s">
        <v>548</v>
      </c>
      <c r="F106" s="184">
        <v>234.52604999999943</v>
      </c>
      <c r="G106" s="183">
        <v>42.204999999999998</v>
      </c>
      <c r="H106" s="183">
        <v>42.8</v>
      </c>
      <c r="I106" s="192">
        <f t="shared" si="15"/>
        <v>1.0140978557043003</v>
      </c>
      <c r="J106" s="183">
        <v>0</v>
      </c>
      <c r="K106" s="192">
        <f t="shared" si="16"/>
        <v>0</v>
      </c>
      <c r="L106" s="184">
        <v>473.79</v>
      </c>
      <c r="M106" s="192">
        <f t="shared" si="17"/>
        <v>1.0140978557043003</v>
      </c>
      <c r="N106" s="184">
        <v>281.90504999999945</v>
      </c>
      <c r="O106" s="183">
        <v>0.1</v>
      </c>
      <c r="P106" s="185">
        <v>2.3693875133278049E-3</v>
      </c>
      <c r="Q106" s="322">
        <v>47.379000000000005</v>
      </c>
      <c r="R106" s="311">
        <v>0.49499999999999889</v>
      </c>
      <c r="S106" s="184">
        <v>1.1728468190972608E-2</v>
      </c>
      <c r="T106" s="183" t="s">
        <v>484</v>
      </c>
      <c r="U106" s="183" t="s">
        <v>436</v>
      </c>
      <c r="V106" s="183"/>
      <c r="W106" s="189">
        <v>1</v>
      </c>
      <c r="X106" s="183" t="s">
        <v>420</v>
      </c>
    </row>
    <row r="107" spans="2:24">
      <c r="B107" s="588">
        <v>45911</v>
      </c>
      <c r="C107" s="590" t="s">
        <v>206</v>
      </c>
      <c r="D107" s="209">
        <v>1</v>
      </c>
      <c r="E107" s="183" t="s">
        <v>511</v>
      </c>
      <c r="F107" s="184">
        <v>2026.0632000000016</v>
      </c>
      <c r="G107" s="183">
        <v>111.22799999999999</v>
      </c>
      <c r="H107" s="183">
        <v>112</v>
      </c>
      <c r="I107" s="192">
        <f t="shared" si="15"/>
        <v>1.0069406983852986</v>
      </c>
      <c r="J107" s="183">
        <v>6.5</v>
      </c>
      <c r="K107" s="192">
        <f t="shared" si="16"/>
        <v>5.8438522674146801E-2</v>
      </c>
      <c r="L107" s="184">
        <v>290.60000000000002</v>
      </c>
      <c r="M107" s="192">
        <f t="shared" si="17"/>
        <v>1.0653792210594455</v>
      </c>
      <c r="N107" s="184">
        <v>2113.2432000000017</v>
      </c>
      <c r="O107" s="183">
        <v>0.3</v>
      </c>
      <c r="P107" s="185">
        <v>2.6971625849606215E-3</v>
      </c>
      <c r="Q107" s="322">
        <v>87.18</v>
      </c>
      <c r="R107" s="311">
        <v>6.9720000000000057</v>
      </c>
      <c r="S107" s="184">
        <v>6.2682058474484895E-2</v>
      </c>
      <c r="T107" s="183" t="s">
        <v>484</v>
      </c>
      <c r="U107" s="183" t="s">
        <v>426</v>
      </c>
      <c r="V107" s="183"/>
      <c r="W107" s="189">
        <v>1</v>
      </c>
      <c r="X107" s="183" t="s">
        <v>311</v>
      </c>
    </row>
    <row r="108" spans="2:24">
      <c r="B108" s="589"/>
      <c r="C108" s="591"/>
      <c r="D108" s="209">
        <v>2</v>
      </c>
      <c r="E108" s="183" t="s">
        <v>505</v>
      </c>
      <c r="F108" s="184">
        <v>379.9946999999965</v>
      </c>
      <c r="G108" s="183">
        <v>117.855</v>
      </c>
      <c r="H108" s="183">
        <v>118.8</v>
      </c>
      <c r="I108" s="192">
        <f t="shared" si="15"/>
        <v>1.0080183276059564</v>
      </c>
      <c r="J108" s="183">
        <v>0</v>
      </c>
      <c r="K108" s="192">
        <f t="shared" si="16"/>
        <v>0</v>
      </c>
      <c r="L108" s="184">
        <v>510.06</v>
      </c>
      <c r="M108" s="192">
        <f t="shared" si="17"/>
        <v>1.0080183276059564</v>
      </c>
      <c r="N108" s="184">
        <v>482.0066999999965</v>
      </c>
      <c r="O108" s="183">
        <v>0.2</v>
      </c>
      <c r="P108" s="185">
        <v>1.6970005515251792E-3</v>
      </c>
      <c r="Q108" s="322">
        <v>102.012</v>
      </c>
      <c r="R108" s="311">
        <v>0.74499999999999322</v>
      </c>
      <c r="S108" s="184">
        <v>6.3213270544312354E-3</v>
      </c>
      <c r="T108" s="183" t="s">
        <v>484</v>
      </c>
      <c r="U108" s="183" t="s">
        <v>436</v>
      </c>
      <c r="V108" s="183"/>
      <c r="W108" s="189">
        <v>1</v>
      </c>
      <c r="X108" s="183" t="s">
        <v>420</v>
      </c>
    </row>
    <row r="109" spans="2:24">
      <c r="B109" s="589"/>
      <c r="C109" s="591"/>
      <c r="D109" s="209">
        <v>3</v>
      </c>
      <c r="E109" s="183" t="s">
        <v>561</v>
      </c>
      <c r="F109" s="184">
        <v>331.20000000000027</v>
      </c>
      <c r="G109" s="183">
        <v>5.8159999999999998</v>
      </c>
      <c r="H109" s="183">
        <v>6</v>
      </c>
      <c r="I109" s="192">
        <f t="shared" si="15"/>
        <v>1.0316368638239339</v>
      </c>
      <c r="J109" s="183">
        <v>0</v>
      </c>
      <c r="K109" s="192">
        <f t="shared" si="16"/>
        <v>0</v>
      </c>
      <c r="L109" s="184">
        <v>1800</v>
      </c>
      <c r="M109" s="192">
        <f t="shared" si="17"/>
        <v>1.0316368638239339</v>
      </c>
      <c r="N109" s="184">
        <v>331.20000000000027</v>
      </c>
      <c r="O109" s="183">
        <v>0</v>
      </c>
      <c r="P109" s="185">
        <v>0</v>
      </c>
      <c r="Q109" s="322">
        <v>0</v>
      </c>
      <c r="R109" s="311">
        <v>0.18400000000000016</v>
      </c>
      <c r="S109" s="184">
        <v>3.1636863823934006E-2</v>
      </c>
      <c r="T109" s="183" t="s">
        <v>484</v>
      </c>
      <c r="U109" s="183" t="s">
        <v>426</v>
      </c>
      <c r="V109" s="183"/>
      <c r="W109" s="189">
        <v>1</v>
      </c>
      <c r="X109" s="183" t="s">
        <v>226</v>
      </c>
    </row>
    <row r="110" spans="2:24">
      <c r="B110" s="589"/>
      <c r="C110" s="591"/>
      <c r="D110" s="209">
        <v>4</v>
      </c>
      <c r="E110" s="183" t="s">
        <v>427</v>
      </c>
      <c r="F110" s="184">
        <v>327.88728000000521</v>
      </c>
      <c r="G110" s="183">
        <v>31.431999999999999</v>
      </c>
      <c r="H110" s="183">
        <v>31.1</v>
      </c>
      <c r="I110" s="192">
        <f t="shared" si="15"/>
        <v>0.98943751590735562</v>
      </c>
      <c r="J110" s="183">
        <v>0.6</v>
      </c>
      <c r="K110" s="192">
        <f t="shared" si="16"/>
        <v>1.9088826673453806E-2</v>
      </c>
      <c r="L110" s="184">
        <v>1223.46</v>
      </c>
      <c r="M110" s="192">
        <f t="shared" si="17"/>
        <v>1.0085263425808095</v>
      </c>
      <c r="N110" s="184">
        <v>327.88728000000521</v>
      </c>
      <c r="O110" s="183">
        <v>0</v>
      </c>
      <c r="P110" s="185">
        <v>0</v>
      </c>
      <c r="Q110" s="322">
        <v>0</v>
      </c>
      <c r="R110" s="311">
        <v>0.26800000000000423</v>
      </c>
      <c r="S110" s="184">
        <v>8.5263425808095022E-3</v>
      </c>
      <c r="T110" s="183" t="s">
        <v>481</v>
      </c>
      <c r="U110" s="183" t="s">
        <v>419</v>
      </c>
      <c r="V110" s="183"/>
      <c r="W110" s="189">
        <v>1</v>
      </c>
      <c r="X110" s="183" t="s">
        <v>245</v>
      </c>
    </row>
    <row r="111" spans="2:24">
      <c r="B111" s="589"/>
      <c r="C111" s="591"/>
      <c r="D111" s="209">
        <v>5</v>
      </c>
      <c r="E111" s="183" t="s">
        <v>556</v>
      </c>
      <c r="F111" s="184">
        <v>311.85966000000008</v>
      </c>
      <c r="G111" s="183">
        <v>23.260999999999999</v>
      </c>
      <c r="H111" s="183">
        <v>23.7</v>
      </c>
      <c r="I111" s="192">
        <f t="shared" si="15"/>
        <v>1.0188727913675251</v>
      </c>
      <c r="J111" s="183">
        <v>0</v>
      </c>
      <c r="K111" s="192">
        <f t="shared" si="16"/>
        <v>0</v>
      </c>
      <c r="L111" s="184">
        <v>919.94</v>
      </c>
      <c r="M111" s="192">
        <f t="shared" si="17"/>
        <v>1.0188727913675251</v>
      </c>
      <c r="N111" s="184">
        <v>403.8536600000001</v>
      </c>
      <c r="O111" s="183">
        <v>0.1</v>
      </c>
      <c r="P111" s="185">
        <v>4.2990413137870259E-3</v>
      </c>
      <c r="Q111" s="322">
        <v>91.994000000000014</v>
      </c>
      <c r="R111" s="311">
        <v>0.33900000000000008</v>
      </c>
      <c r="S111" s="184">
        <v>1.4573750053738021E-2</v>
      </c>
      <c r="T111" s="183" t="s">
        <v>484</v>
      </c>
      <c r="U111" s="183" t="s">
        <v>426</v>
      </c>
      <c r="V111" s="183"/>
      <c r="W111" s="189">
        <v>1</v>
      </c>
      <c r="X111" s="183" t="s">
        <v>244</v>
      </c>
    </row>
    <row r="112" spans="2:24">
      <c r="B112" s="589"/>
      <c r="C112" s="591"/>
      <c r="D112" s="209">
        <v>6</v>
      </c>
      <c r="E112" s="183" t="s">
        <v>429</v>
      </c>
      <c r="F112" s="184">
        <v>306.08844000000028</v>
      </c>
      <c r="G112" s="183">
        <v>10.571</v>
      </c>
      <c r="H112" s="183">
        <v>11</v>
      </c>
      <c r="I112" s="192">
        <f t="shared" si="15"/>
        <v>1.0405827263267431</v>
      </c>
      <c r="J112" s="183">
        <v>0</v>
      </c>
      <c r="K112" s="192">
        <f t="shared" si="16"/>
        <v>0</v>
      </c>
      <c r="L112" s="184">
        <v>930.36</v>
      </c>
      <c r="M112" s="192">
        <f t="shared" si="17"/>
        <v>1.0405827263267431</v>
      </c>
      <c r="N112" s="184">
        <v>399.12444000000028</v>
      </c>
      <c r="O112" s="183">
        <v>0.1</v>
      </c>
      <c r="P112" s="185">
        <v>9.4598429666067543E-3</v>
      </c>
      <c r="Q112" s="322">
        <v>93.036000000000001</v>
      </c>
      <c r="R112" s="311">
        <v>0.32900000000000029</v>
      </c>
      <c r="S112" s="184">
        <v>3.1122883360136251E-2</v>
      </c>
      <c r="T112" s="183" t="s">
        <v>484</v>
      </c>
      <c r="U112" s="183" t="s">
        <v>436</v>
      </c>
      <c r="V112" s="183"/>
      <c r="W112" s="189">
        <v>1</v>
      </c>
      <c r="X112" s="183" t="s">
        <v>279</v>
      </c>
    </row>
    <row r="113" spans="2:25">
      <c r="B113" s="589"/>
      <c r="C113" s="591"/>
      <c r="D113" s="209">
        <v>7</v>
      </c>
      <c r="E113" s="183" t="s">
        <v>519</v>
      </c>
      <c r="F113" s="184">
        <v>243.79140000000044</v>
      </c>
      <c r="G113" s="183">
        <v>94.92</v>
      </c>
      <c r="H113" s="183">
        <v>95.7</v>
      </c>
      <c r="I113" s="192">
        <f t="shared" si="15"/>
        <v>1.0082174462705435</v>
      </c>
      <c r="J113" s="183">
        <v>0</v>
      </c>
      <c r="K113" s="192">
        <f t="shared" si="16"/>
        <v>0</v>
      </c>
      <c r="L113" s="184">
        <v>420.33</v>
      </c>
      <c r="M113" s="192">
        <f t="shared" si="17"/>
        <v>1.0082174462705435</v>
      </c>
      <c r="N113" s="184">
        <v>327.85740000000044</v>
      </c>
      <c r="O113" s="183">
        <v>0.2</v>
      </c>
      <c r="P113" s="185">
        <v>2.1070375052675938E-3</v>
      </c>
      <c r="Q113" s="322">
        <v>84.066000000000003</v>
      </c>
      <c r="R113" s="311">
        <v>0.58000000000000118</v>
      </c>
      <c r="S113" s="184">
        <v>6.1104087652760338E-3</v>
      </c>
      <c r="T113" s="183" t="s">
        <v>484</v>
      </c>
      <c r="U113" s="183" t="s">
        <v>426</v>
      </c>
      <c r="V113" s="183"/>
      <c r="W113" s="189">
        <v>1</v>
      </c>
      <c r="X113" s="183" t="s">
        <v>301</v>
      </c>
    </row>
    <row r="114" spans="2:25">
      <c r="B114" s="589"/>
      <c r="C114" s="591"/>
      <c r="D114" s="209">
        <v>8</v>
      </c>
      <c r="E114" s="183" t="s">
        <v>553</v>
      </c>
      <c r="F114" s="184">
        <v>240.98999999999995</v>
      </c>
      <c r="G114" s="183">
        <v>0.21690000000000001</v>
      </c>
      <c r="H114" s="183">
        <v>0.3</v>
      </c>
      <c r="I114" s="192">
        <f t="shared" si="15"/>
        <v>1.3831258644536653</v>
      </c>
      <c r="J114" s="183">
        <v>0</v>
      </c>
      <c r="K114" s="192">
        <f t="shared" si="16"/>
        <v>0</v>
      </c>
      <c r="L114" s="184">
        <v>2900</v>
      </c>
      <c r="M114" s="192">
        <f t="shared" si="17"/>
        <v>1.3831258644536653</v>
      </c>
      <c r="N114" s="184">
        <v>240.98999999999995</v>
      </c>
      <c r="O114" s="183">
        <v>0</v>
      </c>
      <c r="P114" s="185">
        <v>0</v>
      </c>
      <c r="Q114" s="322">
        <v>0</v>
      </c>
      <c r="R114" s="311">
        <v>8.3099999999999979E-2</v>
      </c>
      <c r="S114" s="184">
        <v>0.3831258644536652</v>
      </c>
      <c r="T114" s="183" t="s">
        <v>484</v>
      </c>
      <c r="U114" s="183" t="s">
        <v>426</v>
      </c>
      <c r="V114" s="183"/>
      <c r="W114" s="189">
        <v>1</v>
      </c>
      <c r="X114" s="183" t="s">
        <v>309</v>
      </c>
    </row>
    <row r="115" spans="2:25">
      <c r="B115" s="589"/>
      <c r="C115" s="591"/>
      <c r="D115" s="209">
        <v>9</v>
      </c>
      <c r="E115" s="183" t="s">
        <v>562</v>
      </c>
      <c r="F115" s="184">
        <v>219.89075999999966</v>
      </c>
      <c r="G115" s="183">
        <v>5.6520000000000001</v>
      </c>
      <c r="H115" s="183">
        <v>6.1</v>
      </c>
      <c r="I115" s="192">
        <f t="shared" si="15"/>
        <v>1.0792639773531492</v>
      </c>
      <c r="J115" s="183">
        <v>0</v>
      </c>
      <c r="K115" s="192">
        <f t="shared" si="16"/>
        <v>0</v>
      </c>
      <c r="L115" s="184">
        <v>631.87</v>
      </c>
      <c r="M115" s="192">
        <f t="shared" si="17"/>
        <v>1.0792639773531492</v>
      </c>
      <c r="N115" s="184">
        <v>283.07775999999967</v>
      </c>
      <c r="O115" s="183">
        <v>0.1</v>
      </c>
      <c r="P115" s="185">
        <v>1.7692852087756547E-2</v>
      </c>
      <c r="Q115" s="322">
        <v>63.187000000000005</v>
      </c>
      <c r="R115" s="311">
        <v>0.34799999999999953</v>
      </c>
      <c r="S115" s="184">
        <v>6.1571125265392698E-2</v>
      </c>
      <c r="T115" s="183" t="s">
        <v>487</v>
      </c>
      <c r="U115" s="183" t="s">
        <v>488</v>
      </c>
      <c r="V115" s="183"/>
      <c r="W115" s="189">
        <v>1</v>
      </c>
      <c r="X115" s="183" t="s">
        <v>293</v>
      </c>
    </row>
    <row r="116" spans="2:25">
      <c r="B116" s="589"/>
      <c r="C116" s="591"/>
      <c r="D116" s="209">
        <v>10</v>
      </c>
      <c r="E116" s="183" t="s">
        <v>483</v>
      </c>
      <c r="F116" s="184">
        <v>212.45740000000069</v>
      </c>
      <c r="G116" s="183">
        <v>41.231999999999999</v>
      </c>
      <c r="H116" s="183">
        <v>42.1</v>
      </c>
      <c r="I116" s="192">
        <f t="shared" si="15"/>
        <v>1.0210516103996896</v>
      </c>
      <c r="J116" s="183">
        <v>0</v>
      </c>
      <c r="K116" s="192">
        <f t="shared" si="16"/>
        <v>0</v>
      </c>
      <c r="L116" s="184">
        <v>318.05</v>
      </c>
      <c r="M116" s="192">
        <f t="shared" si="17"/>
        <v>1.0210516103996896</v>
      </c>
      <c r="N116" s="184">
        <v>276.0674000000007</v>
      </c>
      <c r="O116" s="183">
        <v>0.2</v>
      </c>
      <c r="P116" s="185">
        <v>4.8506014745828482E-3</v>
      </c>
      <c r="Q116" s="322">
        <v>63.610000000000007</v>
      </c>
      <c r="R116" s="311">
        <v>0.66800000000000215</v>
      </c>
      <c r="S116" s="184">
        <v>1.6201008925106765E-2</v>
      </c>
      <c r="T116" s="183" t="s">
        <v>484</v>
      </c>
      <c r="U116" s="183" t="s">
        <v>426</v>
      </c>
      <c r="V116" s="183"/>
      <c r="W116" s="189">
        <v>1</v>
      </c>
      <c r="X116" s="183" t="s">
        <v>306</v>
      </c>
    </row>
    <row r="117" spans="2:25">
      <c r="B117" s="588">
        <v>45912</v>
      </c>
      <c r="C117" s="590" t="s">
        <v>207</v>
      </c>
      <c r="D117" s="209">
        <v>1</v>
      </c>
      <c r="E117" s="183" t="s">
        <v>511</v>
      </c>
      <c r="F117" s="184">
        <v>1688.3859999999977</v>
      </c>
      <c r="G117" s="183">
        <v>99.19</v>
      </c>
      <c r="H117" s="183">
        <v>100.1</v>
      </c>
      <c r="I117" s="192">
        <f t="shared" si="15"/>
        <v>1.0091743119266054</v>
      </c>
      <c r="J117" s="183">
        <v>5.0999999999999996</v>
      </c>
      <c r="K117" s="192">
        <f t="shared" si="16"/>
        <v>5.1416473434822058E-2</v>
      </c>
      <c r="L117" s="184">
        <v>290.60000000000002</v>
      </c>
      <c r="M117" s="192">
        <f t="shared" si="17"/>
        <v>1.0605907853614274</v>
      </c>
      <c r="N117" s="184">
        <v>1746.5059999999976</v>
      </c>
      <c r="O117" s="183">
        <v>0.2</v>
      </c>
      <c r="P117" s="185">
        <v>2.0163322915616494E-3</v>
      </c>
      <c r="Q117" s="322">
        <v>58.120000000000005</v>
      </c>
      <c r="R117" s="311">
        <v>5.8099999999999907</v>
      </c>
      <c r="S117" s="184">
        <v>5.857445306986582E-2</v>
      </c>
      <c r="T117" s="183" t="s">
        <v>484</v>
      </c>
      <c r="U117" s="183" t="s">
        <v>426</v>
      </c>
      <c r="V117" s="183"/>
      <c r="W117" s="189">
        <v>1</v>
      </c>
      <c r="X117" s="183" t="s">
        <v>311</v>
      </c>
    </row>
    <row r="118" spans="2:25">
      <c r="B118" s="589"/>
      <c r="C118" s="591"/>
      <c r="D118" s="209">
        <v>2</v>
      </c>
      <c r="E118" s="183" t="s">
        <v>505</v>
      </c>
      <c r="F118" s="184">
        <v>351.94140000000323</v>
      </c>
      <c r="G118" s="183">
        <v>102.11</v>
      </c>
      <c r="H118" s="183">
        <v>102.9</v>
      </c>
      <c r="I118" s="192">
        <f t="shared" si="15"/>
        <v>1.0077367544804623</v>
      </c>
      <c r="J118" s="183">
        <v>0</v>
      </c>
      <c r="K118" s="192">
        <f t="shared" si="16"/>
        <v>0</v>
      </c>
      <c r="L118" s="184">
        <v>510.06</v>
      </c>
      <c r="M118" s="192">
        <f t="shared" si="17"/>
        <v>1.0077367544804623</v>
      </c>
      <c r="N118" s="184">
        <v>402.9474000000032</v>
      </c>
      <c r="O118" s="183">
        <v>0.1</v>
      </c>
      <c r="P118" s="185">
        <v>9.7933601018509466E-4</v>
      </c>
      <c r="Q118" s="322">
        <v>51.006</v>
      </c>
      <c r="R118" s="311">
        <v>0.69000000000000627</v>
      </c>
      <c r="S118" s="184">
        <v>6.7574184702772133E-3</v>
      </c>
      <c r="T118" s="183" t="s">
        <v>484</v>
      </c>
      <c r="U118" s="183" t="s">
        <v>436</v>
      </c>
      <c r="V118" s="183"/>
      <c r="W118" s="189">
        <v>1</v>
      </c>
      <c r="X118" s="183" t="s">
        <v>420</v>
      </c>
    </row>
    <row r="119" spans="2:25">
      <c r="B119" s="589"/>
      <c r="C119" s="591"/>
      <c r="D119" s="209">
        <v>3</v>
      </c>
      <c r="E119" s="183" t="s">
        <v>501</v>
      </c>
      <c r="F119" s="184">
        <v>345.66048000000069</v>
      </c>
      <c r="G119" s="183">
        <v>20.405999999999999</v>
      </c>
      <c r="H119" s="183">
        <v>21</v>
      </c>
      <c r="I119" s="192">
        <f t="shared" si="15"/>
        <v>1.0291090855630698</v>
      </c>
      <c r="J119" s="183">
        <v>0</v>
      </c>
      <c r="K119" s="192">
        <f t="shared" si="16"/>
        <v>0</v>
      </c>
      <c r="L119" s="184">
        <v>581.91999999999996</v>
      </c>
      <c r="M119" s="192">
        <f t="shared" si="17"/>
        <v>1.0291090855630698</v>
      </c>
      <c r="N119" s="184">
        <v>345.66048000000069</v>
      </c>
      <c r="O119" s="183">
        <v>0</v>
      </c>
      <c r="P119" s="185">
        <v>0</v>
      </c>
      <c r="Q119" s="322">
        <v>0</v>
      </c>
      <c r="R119" s="311">
        <v>0.59400000000000119</v>
      </c>
      <c r="S119" s="184">
        <v>2.9109085563069747E-2</v>
      </c>
      <c r="T119" s="183" t="s">
        <v>484</v>
      </c>
      <c r="U119" s="183" t="s">
        <v>426</v>
      </c>
      <c r="V119" s="183"/>
      <c r="W119" s="189">
        <v>1</v>
      </c>
      <c r="X119" s="183" t="s">
        <v>286</v>
      </c>
    </row>
    <row r="120" spans="2:25">
      <c r="B120" s="589"/>
      <c r="C120" s="591"/>
      <c r="D120" s="209">
        <v>4</v>
      </c>
      <c r="E120" s="183" t="s">
        <v>518</v>
      </c>
      <c r="F120" s="184">
        <v>338.15273999999982</v>
      </c>
      <c r="G120" s="183">
        <v>15.054</v>
      </c>
      <c r="H120" s="183">
        <v>15.5</v>
      </c>
      <c r="I120" s="192">
        <f t="shared" si="15"/>
        <v>1.0296266772950711</v>
      </c>
      <c r="J120" s="183">
        <v>0</v>
      </c>
      <c r="K120" s="192">
        <f t="shared" si="16"/>
        <v>0</v>
      </c>
      <c r="L120" s="184">
        <v>758.19</v>
      </c>
      <c r="M120" s="192">
        <f t="shared" si="17"/>
        <v>1.0296266772950711</v>
      </c>
      <c r="N120" s="184">
        <v>338.15273999999982</v>
      </c>
      <c r="O120" s="183">
        <v>0</v>
      </c>
      <c r="P120" s="185">
        <v>0</v>
      </c>
      <c r="Q120" s="322">
        <v>0</v>
      </c>
      <c r="R120" s="311">
        <v>0.44599999999999973</v>
      </c>
      <c r="S120" s="184">
        <v>2.9626677295071058E-2</v>
      </c>
      <c r="T120" s="183" t="s">
        <v>484</v>
      </c>
      <c r="U120" s="183" t="s">
        <v>436</v>
      </c>
      <c r="V120" s="183"/>
      <c r="W120" s="189">
        <v>1</v>
      </c>
      <c r="X120" s="183" t="s">
        <v>321</v>
      </c>
    </row>
    <row r="121" spans="2:25">
      <c r="B121" s="589"/>
      <c r="C121" s="591"/>
      <c r="D121" s="209">
        <v>5</v>
      </c>
      <c r="E121" s="183" t="s">
        <v>425</v>
      </c>
      <c r="F121" s="184">
        <v>255.55036000000143</v>
      </c>
      <c r="G121" s="183">
        <v>43.835999999999999</v>
      </c>
      <c r="H121" s="183">
        <v>44.7</v>
      </c>
      <c r="I121" s="192">
        <f t="shared" si="15"/>
        <v>1.0197098275390091</v>
      </c>
      <c r="J121" s="183">
        <v>0</v>
      </c>
      <c r="K121" s="192">
        <f t="shared" si="16"/>
        <v>0</v>
      </c>
      <c r="L121" s="184">
        <v>334.49</v>
      </c>
      <c r="M121" s="192">
        <f t="shared" si="17"/>
        <v>1.0197098275390091</v>
      </c>
      <c r="N121" s="184">
        <v>288.99936000000145</v>
      </c>
      <c r="O121" s="183">
        <v>0.1</v>
      </c>
      <c r="P121" s="185">
        <v>2.2812300392371569E-3</v>
      </c>
      <c r="Q121" s="322">
        <v>33.449000000000005</v>
      </c>
      <c r="R121" s="311">
        <v>0.76400000000000434</v>
      </c>
      <c r="S121" s="184">
        <v>1.7428597499771978E-2</v>
      </c>
      <c r="T121" s="183" t="s">
        <v>484</v>
      </c>
      <c r="U121" s="183" t="s">
        <v>426</v>
      </c>
      <c r="V121" s="183"/>
      <c r="W121" s="189">
        <v>1</v>
      </c>
      <c r="X121" s="183" t="s">
        <v>287</v>
      </c>
    </row>
    <row r="122" spans="2:25">
      <c r="B122" s="589"/>
      <c r="C122" s="591"/>
      <c r="D122" s="209">
        <v>6</v>
      </c>
      <c r="E122" s="183" t="s">
        <v>519</v>
      </c>
      <c r="F122" s="184">
        <v>254.29964999999925</v>
      </c>
      <c r="G122" s="183">
        <v>74.795000000000002</v>
      </c>
      <c r="H122" s="183">
        <v>75.5</v>
      </c>
      <c r="I122" s="192">
        <f t="shared" si="15"/>
        <v>1.0094257637542616</v>
      </c>
      <c r="J122" s="183">
        <v>0</v>
      </c>
      <c r="K122" s="192">
        <f t="shared" si="16"/>
        <v>0</v>
      </c>
      <c r="L122" s="184">
        <v>420.33</v>
      </c>
      <c r="M122" s="192">
        <f t="shared" si="17"/>
        <v>1.0094257637542616</v>
      </c>
      <c r="N122" s="184">
        <v>296.33264999999926</v>
      </c>
      <c r="O122" s="183">
        <v>0.1</v>
      </c>
      <c r="P122" s="185">
        <v>1.3369877665619361E-3</v>
      </c>
      <c r="Q122" s="322">
        <v>42.033000000000001</v>
      </c>
      <c r="R122" s="311">
        <v>0.60499999999999832</v>
      </c>
      <c r="S122" s="184">
        <v>8.0887759876996906E-3</v>
      </c>
      <c r="T122" s="183" t="s">
        <v>484</v>
      </c>
      <c r="U122" s="183" t="s">
        <v>426</v>
      </c>
      <c r="V122" s="183"/>
      <c r="W122" s="189">
        <v>1</v>
      </c>
      <c r="X122" s="183" t="s">
        <v>301</v>
      </c>
    </row>
    <row r="123" spans="2:25">
      <c r="B123" s="589"/>
      <c r="C123" s="591"/>
      <c r="D123" s="209">
        <v>7</v>
      </c>
      <c r="E123" s="183" t="s">
        <v>427</v>
      </c>
      <c r="F123" s="184">
        <v>249.58583999999814</v>
      </c>
      <c r="G123" s="183">
        <v>23.696000000000002</v>
      </c>
      <c r="H123" s="183">
        <v>23.3</v>
      </c>
      <c r="I123" s="192">
        <f t="shared" si="15"/>
        <v>0.98328831870357858</v>
      </c>
      <c r="J123" s="183">
        <v>0.7</v>
      </c>
      <c r="K123" s="192">
        <f t="shared" si="16"/>
        <v>2.9540850776502359E-2</v>
      </c>
      <c r="L123" s="184">
        <v>1223.46</v>
      </c>
      <c r="M123" s="192">
        <f t="shared" si="17"/>
        <v>1.0128291694800811</v>
      </c>
      <c r="N123" s="184">
        <v>371.93183999999815</v>
      </c>
      <c r="O123" s="183">
        <v>0.1</v>
      </c>
      <c r="P123" s="185">
        <v>4.2201215395003379E-3</v>
      </c>
      <c r="Q123" s="322">
        <v>122.346</v>
      </c>
      <c r="R123" s="311">
        <v>0.20399999999999849</v>
      </c>
      <c r="S123" s="184">
        <v>8.6090479405806237E-3</v>
      </c>
      <c r="T123" s="183" t="s">
        <v>481</v>
      </c>
      <c r="U123" s="183" t="s">
        <v>419</v>
      </c>
      <c r="V123" s="183"/>
      <c r="W123" s="189">
        <v>1</v>
      </c>
      <c r="X123" s="183" t="s">
        <v>245</v>
      </c>
    </row>
    <row r="124" spans="2:25">
      <c r="B124" s="589"/>
      <c r="C124" s="591"/>
      <c r="D124" s="209">
        <v>8</v>
      </c>
      <c r="E124" s="183" t="s">
        <v>556</v>
      </c>
      <c r="F124" s="184">
        <v>220.78559999999857</v>
      </c>
      <c r="G124" s="183">
        <v>19.46</v>
      </c>
      <c r="H124" s="183">
        <v>19.7</v>
      </c>
      <c r="I124" s="192">
        <f t="shared" si="15"/>
        <v>1.012332990750257</v>
      </c>
      <c r="J124" s="183">
        <v>0</v>
      </c>
      <c r="K124" s="192">
        <f t="shared" si="16"/>
        <v>0</v>
      </c>
      <c r="L124" s="184">
        <v>919.94</v>
      </c>
      <c r="M124" s="192">
        <f t="shared" si="17"/>
        <v>1.012332990750257</v>
      </c>
      <c r="N124" s="184">
        <v>220.78559999999857</v>
      </c>
      <c r="O124" s="183">
        <v>0</v>
      </c>
      <c r="P124" s="185">
        <v>0</v>
      </c>
      <c r="Q124" s="322">
        <v>0</v>
      </c>
      <c r="R124" s="311">
        <v>0.23999999999999844</v>
      </c>
      <c r="S124" s="184">
        <v>1.2332990750256857E-2</v>
      </c>
      <c r="T124" s="183" t="s">
        <v>484</v>
      </c>
      <c r="U124" s="183" t="s">
        <v>426</v>
      </c>
      <c r="V124" s="183"/>
      <c r="W124" s="189">
        <v>1</v>
      </c>
      <c r="X124" s="183" t="s">
        <v>244</v>
      </c>
    </row>
    <row r="125" spans="2:25">
      <c r="B125" s="589"/>
      <c r="C125" s="591"/>
      <c r="D125" s="209">
        <v>9</v>
      </c>
      <c r="E125" s="183" t="s">
        <v>483</v>
      </c>
      <c r="F125" s="184">
        <v>211.18519999999955</v>
      </c>
      <c r="G125" s="183">
        <v>28.936</v>
      </c>
      <c r="H125" s="183">
        <v>29.9</v>
      </c>
      <c r="I125" s="192">
        <f t="shared" si="15"/>
        <v>1.0333149018523637</v>
      </c>
      <c r="J125" s="183">
        <v>0</v>
      </c>
      <c r="K125" s="192">
        <f t="shared" si="16"/>
        <v>0</v>
      </c>
      <c r="L125" s="184">
        <v>318.05</v>
      </c>
      <c r="M125" s="192">
        <f t="shared" si="17"/>
        <v>1.0333149018523637</v>
      </c>
      <c r="N125" s="184">
        <v>306.60019999999957</v>
      </c>
      <c r="O125" s="183">
        <v>0.3</v>
      </c>
      <c r="P125" s="185">
        <v>1.0367708045341442E-2</v>
      </c>
      <c r="Q125" s="322">
        <v>95.415000000000006</v>
      </c>
      <c r="R125" s="311">
        <v>0.66399999999999859</v>
      </c>
      <c r="S125" s="184">
        <v>2.2947193807022346E-2</v>
      </c>
      <c r="T125" s="183" t="s">
        <v>484</v>
      </c>
      <c r="U125" s="183" t="s">
        <v>426</v>
      </c>
      <c r="V125" s="183"/>
      <c r="W125" s="189">
        <v>1</v>
      </c>
      <c r="X125" s="183" t="s">
        <v>306</v>
      </c>
    </row>
    <row r="126" spans="2:25">
      <c r="B126" s="589"/>
      <c r="C126" s="591"/>
      <c r="D126" s="209">
        <v>10</v>
      </c>
      <c r="E126" s="183" t="s">
        <v>549</v>
      </c>
      <c r="F126" s="184">
        <v>204.69360000000006</v>
      </c>
      <c r="G126" s="183">
        <v>4.5540000000000003</v>
      </c>
      <c r="H126" s="183">
        <v>4.9000000000000004</v>
      </c>
      <c r="I126" s="192">
        <f t="shared" si="15"/>
        <v>1.0759771629336847</v>
      </c>
      <c r="J126" s="183">
        <v>0</v>
      </c>
      <c r="K126" s="192">
        <f t="shared" si="16"/>
        <v>0</v>
      </c>
      <c r="L126" s="184">
        <v>591.6</v>
      </c>
      <c r="M126" s="192">
        <f t="shared" si="17"/>
        <v>1.0759771629336847</v>
      </c>
      <c r="N126" s="184">
        <v>204.69360000000006</v>
      </c>
      <c r="O126" s="183">
        <v>0</v>
      </c>
      <c r="P126" s="185">
        <v>0</v>
      </c>
      <c r="Q126" s="322">
        <v>0</v>
      </c>
      <c r="R126" s="311">
        <v>0.34600000000000009</v>
      </c>
      <c r="S126" s="184">
        <v>7.5977162933684686E-2</v>
      </c>
      <c r="T126" s="183" t="s">
        <v>498</v>
      </c>
      <c r="U126" s="183" t="s">
        <v>488</v>
      </c>
      <c r="V126" s="183"/>
      <c r="W126" s="189">
        <v>1</v>
      </c>
      <c r="X126" s="183" t="s">
        <v>257</v>
      </c>
    </row>
    <row r="127" spans="2:25">
      <c r="B127" s="588">
        <v>45913</v>
      </c>
      <c r="C127" s="590" t="s">
        <v>208</v>
      </c>
      <c r="D127" s="209">
        <v>1</v>
      </c>
      <c r="E127" s="183" t="s">
        <v>511</v>
      </c>
      <c r="F127" s="184">
        <v>1798.2328000000016</v>
      </c>
      <c r="G127" s="183">
        <v>104.312</v>
      </c>
      <c r="H127" s="183">
        <v>104.9</v>
      </c>
      <c r="I127" s="192">
        <f t="shared" si="15"/>
        <v>1.0056369353478027</v>
      </c>
      <c r="J127" s="183">
        <v>5.8</v>
      </c>
      <c r="K127" s="192">
        <f t="shared" si="16"/>
        <v>5.5602423498734566E-2</v>
      </c>
      <c r="L127" s="184">
        <v>290.60000000000002</v>
      </c>
      <c r="M127" s="192">
        <f t="shared" si="17"/>
        <v>1.0612393588465374</v>
      </c>
      <c r="N127" s="184">
        <v>1856.3528000000017</v>
      </c>
      <c r="O127" s="183">
        <v>0.2</v>
      </c>
      <c r="P127" s="185">
        <v>1.9173249482322264E-3</v>
      </c>
      <c r="Q127" s="322">
        <v>58.120000000000005</v>
      </c>
      <c r="R127" s="311">
        <v>6.1880000000000051</v>
      </c>
      <c r="S127" s="184">
        <v>5.9322033898305135E-2</v>
      </c>
      <c r="T127" s="183" t="s">
        <v>484</v>
      </c>
      <c r="U127" s="183" t="s">
        <v>426</v>
      </c>
      <c r="V127" s="183"/>
      <c r="W127" s="189">
        <v>1</v>
      </c>
      <c r="X127" s="183" t="s">
        <v>311</v>
      </c>
      <c r="Y127" s="186" t="s">
        <v>542</v>
      </c>
    </row>
    <row r="128" spans="2:25">
      <c r="B128" s="589"/>
      <c r="C128" s="591"/>
      <c r="D128" s="209">
        <v>2</v>
      </c>
      <c r="E128" s="183" t="s">
        <v>427</v>
      </c>
      <c r="F128" s="184">
        <v>298.52423999999974</v>
      </c>
      <c r="G128" s="183">
        <v>23.856000000000002</v>
      </c>
      <c r="H128" s="183">
        <v>23.5</v>
      </c>
      <c r="I128" s="192">
        <f t="shared" si="15"/>
        <v>0.98507712944332659</v>
      </c>
      <c r="J128" s="183">
        <v>0.6</v>
      </c>
      <c r="K128" s="192">
        <f t="shared" si="16"/>
        <v>2.5150905432595572E-2</v>
      </c>
      <c r="L128" s="184">
        <v>1223.46</v>
      </c>
      <c r="M128" s="192">
        <f t="shared" si="17"/>
        <v>1.0102280348759223</v>
      </c>
      <c r="N128" s="184">
        <v>298.52423999999974</v>
      </c>
      <c r="O128" s="183">
        <v>0</v>
      </c>
      <c r="P128" s="185">
        <v>0</v>
      </c>
      <c r="Q128" s="322">
        <v>0</v>
      </c>
      <c r="R128" s="311">
        <v>0.24399999999999977</v>
      </c>
      <c r="S128" s="184">
        <v>1.0228034875922189E-2</v>
      </c>
      <c r="T128" s="183" t="s">
        <v>484</v>
      </c>
      <c r="U128" s="183" t="s">
        <v>426</v>
      </c>
      <c r="V128" s="183"/>
      <c r="W128" s="189">
        <v>1</v>
      </c>
      <c r="X128" s="183" t="s">
        <v>245</v>
      </c>
      <c r="Y128" s="188" t="s">
        <v>543</v>
      </c>
    </row>
    <row r="129" spans="2:24">
      <c r="B129" s="589"/>
      <c r="C129" s="591"/>
      <c r="D129" s="209">
        <v>3</v>
      </c>
      <c r="E129" s="183" t="s">
        <v>501</v>
      </c>
      <c r="F129" s="184">
        <v>259.53632000000044</v>
      </c>
      <c r="G129" s="183">
        <v>24.053999999999998</v>
      </c>
      <c r="H129" s="183">
        <v>24.7</v>
      </c>
      <c r="I129" s="192">
        <f t="shared" si="15"/>
        <v>1.0268562401263823</v>
      </c>
      <c r="J129" s="183">
        <v>0</v>
      </c>
      <c r="K129" s="192">
        <f t="shared" si="16"/>
        <v>0</v>
      </c>
      <c r="L129" s="184">
        <v>581.91999999999996</v>
      </c>
      <c r="M129" s="192">
        <f t="shared" si="17"/>
        <v>1.0268562401263823</v>
      </c>
      <c r="N129" s="184">
        <v>375.92032000000046</v>
      </c>
      <c r="O129" s="183">
        <v>0.2</v>
      </c>
      <c r="P129" s="185">
        <v>8.3146254261245549E-3</v>
      </c>
      <c r="Q129" s="322">
        <v>116.384</v>
      </c>
      <c r="R129" s="311">
        <v>0.44600000000000078</v>
      </c>
      <c r="S129" s="184">
        <v>1.8541614700257787E-2</v>
      </c>
      <c r="T129" s="183" t="s">
        <v>481</v>
      </c>
      <c r="U129" s="183" t="s">
        <v>419</v>
      </c>
      <c r="V129" s="183"/>
      <c r="W129" s="189">
        <v>1</v>
      </c>
      <c r="X129" s="183" t="s">
        <v>286</v>
      </c>
    </row>
    <row r="130" spans="2:24">
      <c r="B130" s="589"/>
      <c r="C130" s="591"/>
      <c r="D130" s="209">
        <v>4</v>
      </c>
      <c r="E130" s="183" t="s">
        <v>505</v>
      </c>
      <c r="F130" s="184">
        <v>256.5601799999971</v>
      </c>
      <c r="G130" s="183">
        <v>107.39700000000001</v>
      </c>
      <c r="H130" s="183">
        <v>107.2</v>
      </c>
      <c r="I130" s="192">
        <f t="shared" si="15"/>
        <v>0.99816568433010233</v>
      </c>
      <c r="J130" s="183">
        <v>0.8</v>
      </c>
      <c r="K130" s="192">
        <f t="shared" si="16"/>
        <v>7.448997644254495E-3</v>
      </c>
      <c r="L130" s="184">
        <v>510.06</v>
      </c>
      <c r="M130" s="192">
        <f t="shared" si="17"/>
        <v>1.0056146819743568</v>
      </c>
      <c r="N130" s="184">
        <v>307.56617999999713</v>
      </c>
      <c r="O130" s="183">
        <v>0.1</v>
      </c>
      <c r="P130" s="185">
        <v>9.3112470553181187E-4</v>
      </c>
      <c r="Q130" s="322">
        <v>51.006</v>
      </c>
      <c r="R130" s="311">
        <v>0.50299999999999445</v>
      </c>
      <c r="S130" s="184">
        <v>4.6835572688249619E-3</v>
      </c>
      <c r="T130" s="183" t="s">
        <v>484</v>
      </c>
      <c r="U130" s="183" t="s">
        <v>436</v>
      </c>
      <c r="V130" s="183"/>
      <c r="W130" s="189">
        <v>1</v>
      </c>
      <c r="X130" s="183" t="s">
        <v>420</v>
      </c>
    </row>
    <row r="131" spans="2:24">
      <c r="B131" s="589"/>
      <c r="C131" s="591"/>
      <c r="D131" s="209">
        <v>5</v>
      </c>
      <c r="E131" s="183" t="s">
        <v>557</v>
      </c>
      <c r="F131" s="184">
        <v>242.21520000000021</v>
      </c>
      <c r="G131" s="183">
        <v>12.256</v>
      </c>
      <c r="H131" s="183">
        <v>12.4</v>
      </c>
      <c r="I131" s="192">
        <f t="shared" si="15"/>
        <v>1.0117493472584858</v>
      </c>
      <c r="J131" s="183">
        <v>0</v>
      </c>
      <c r="K131" s="192">
        <f t="shared" si="16"/>
        <v>0</v>
      </c>
      <c r="L131" s="184">
        <v>1682.05</v>
      </c>
      <c r="M131" s="192">
        <f t="shared" si="17"/>
        <v>1.0117493472584858</v>
      </c>
      <c r="N131" s="184">
        <v>242.21520000000021</v>
      </c>
      <c r="O131" s="183">
        <v>0</v>
      </c>
      <c r="P131" s="185">
        <v>0</v>
      </c>
      <c r="Q131" s="322">
        <v>0</v>
      </c>
      <c r="R131" s="311">
        <v>0.14400000000000013</v>
      </c>
      <c r="S131" s="184">
        <v>1.174934725848565E-2</v>
      </c>
      <c r="T131" s="183" t="s">
        <v>484</v>
      </c>
      <c r="U131" s="183" t="s">
        <v>426</v>
      </c>
      <c r="V131" s="183"/>
      <c r="W131" s="189">
        <v>1</v>
      </c>
      <c r="X131" s="183" t="s">
        <v>243</v>
      </c>
    </row>
    <row r="132" spans="2:24">
      <c r="B132" s="589"/>
      <c r="C132" s="591"/>
      <c r="D132" s="209">
        <v>6</v>
      </c>
      <c r="E132" s="183" t="s">
        <v>553</v>
      </c>
      <c r="F132" s="184">
        <v>238.08999999999995</v>
      </c>
      <c r="G132" s="183">
        <v>0.21790000000000001</v>
      </c>
      <c r="H132" s="183">
        <v>0.3</v>
      </c>
      <c r="I132" s="192">
        <f t="shared" si="15"/>
        <v>1.3767783386874712</v>
      </c>
      <c r="J132" s="183">
        <v>0</v>
      </c>
      <c r="K132" s="192">
        <f t="shared" si="16"/>
        <v>0</v>
      </c>
      <c r="L132" s="184">
        <v>2900</v>
      </c>
      <c r="M132" s="192">
        <f t="shared" si="17"/>
        <v>1.3767783386874712</v>
      </c>
      <c r="N132" s="184">
        <v>238.08999999999995</v>
      </c>
      <c r="O132" s="183">
        <v>0</v>
      </c>
      <c r="P132" s="185">
        <v>0</v>
      </c>
      <c r="Q132" s="322">
        <v>0</v>
      </c>
      <c r="R132" s="311">
        <v>8.2099999999999979E-2</v>
      </c>
      <c r="S132" s="184">
        <v>0.37677833868747118</v>
      </c>
      <c r="T132" s="183" t="s">
        <v>484</v>
      </c>
      <c r="U132" s="183" t="s">
        <v>426</v>
      </c>
      <c r="V132" s="183"/>
      <c r="W132" s="189">
        <v>1</v>
      </c>
      <c r="X132" s="183" t="s">
        <v>309</v>
      </c>
    </row>
    <row r="133" spans="2:24">
      <c r="B133" s="589"/>
      <c r="C133" s="591"/>
      <c r="D133" s="209">
        <v>7</v>
      </c>
      <c r="E133" s="183" t="s">
        <v>429</v>
      </c>
      <c r="F133" s="184">
        <v>237.24180000000007</v>
      </c>
      <c r="G133" s="183">
        <v>12.045</v>
      </c>
      <c r="H133" s="183">
        <v>12.5</v>
      </c>
      <c r="I133" s="192">
        <f t="shared" si="15"/>
        <v>1.0377750103777501</v>
      </c>
      <c r="J133" s="183">
        <v>0</v>
      </c>
      <c r="K133" s="192">
        <f t="shared" si="16"/>
        <v>0</v>
      </c>
      <c r="L133" s="184">
        <v>930.36</v>
      </c>
      <c r="M133" s="192">
        <f t="shared" si="17"/>
        <v>1.0377750103777501</v>
      </c>
      <c r="N133" s="184">
        <v>423.31380000000007</v>
      </c>
      <c r="O133" s="183">
        <v>0.2</v>
      </c>
      <c r="P133" s="185">
        <v>1.6604400166044003E-2</v>
      </c>
      <c r="Q133" s="322">
        <v>186.072</v>
      </c>
      <c r="R133" s="311">
        <v>0.25500000000000006</v>
      </c>
      <c r="S133" s="184">
        <v>2.1170610211706107E-2</v>
      </c>
      <c r="T133" s="183" t="s">
        <v>484</v>
      </c>
      <c r="U133" s="183" t="s">
        <v>426</v>
      </c>
      <c r="V133" s="183"/>
      <c r="W133" s="189">
        <v>1</v>
      </c>
      <c r="X133" s="183" t="s">
        <v>279</v>
      </c>
    </row>
    <row r="134" spans="2:24">
      <c r="B134" s="589"/>
      <c r="C134" s="591"/>
      <c r="D134" s="209">
        <v>8</v>
      </c>
      <c r="E134" s="183" t="s">
        <v>561</v>
      </c>
      <c r="F134" s="184">
        <v>216.00000000000017</v>
      </c>
      <c r="G134" s="183">
        <v>5.08</v>
      </c>
      <c r="H134" s="183">
        <v>5.2</v>
      </c>
      <c r="I134" s="192">
        <f t="shared" si="15"/>
        <v>1.0236220472440944</v>
      </c>
      <c r="J134" s="183">
        <v>0</v>
      </c>
      <c r="K134" s="192">
        <f t="shared" si="16"/>
        <v>0</v>
      </c>
      <c r="L134" s="184">
        <v>1800</v>
      </c>
      <c r="M134" s="192">
        <f t="shared" si="17"/>
        <v>1.0236220472440944</v>
      </c>
      <c r="N134" s="184">
        <v>216.00000000000017</v>
      </c>
      <c r="O134" s="183">
        <v>0</v>
      </c>
      <c r="P134" s="185">
        <v>0</v>
      </c>
      <c r="Q134" s="322">
        <v>0</v>
      </c>
      <c r="R134" s="311">
        <v>0.12000000000000011</v>
      </c>
      <c r="S134" s="184">
        <v>2.3622047244094509E-2</v>
      </c>
      <c r="T134" s="183" t="s">
        <v>484</v>
      </c>
      <c r="U134" s="183" t="s">
        <v>426</v>
      </c>
      <c r="V134" s="183"/>
      <c r="W134" s="189">
        <v>1</v>
      </c>
      <c r="X134" s="183" t="s">
        <v>226</v>
      </c>
    </row>
    <row r="135" spans="2:24">
      <c r="B135" s="589"/>
      <c r="C135" s="591"/>
      <c r="D135" s="209">
        <v>9</v>
      </c>
      <c r="E135" s="183" t="s">
        <v>519</v>
      </c>
      <c r="F135" s="184">
        <v>208.06335000000547</v>
      </c>
      <c r="G135" s="183">
        <v>78.504999999999995</v>
      </c>
      <c r="H135" s="183">
        <v>78.7</v>
      </c>
      <c r="I135" s="192">
        <f t="shared" ref="I135:I156" si="18">H135/G135</f>
        <v>1.0024839182217693</v>
      </c>
      <c r="J135" s="183">
        <v>0.4</v>
      </c>
      <c r="K135" s="192">
        <f t="shared" ref="K135:K156" si="19">J135/G135</f>
        <v>5.0952168651678242E-3</v>
      </c>
      <c r="L135" s="184">
        <v>420.33</v>
      </c>
      <c r="M135" s="192">
        <f t="shared" ref="M135:M156" si="20">(H135+J135)/G135</f>
        <v>1.0075791350869372</v>
      </c>
      <c r="N135" s="184">
        <v>250.09635000000549</v>
      </c>
      <c r="O135" s="183">
        <v>0.1</v>
      </c>
      <c r="P135" s="185">
        <v>1.273804216291956E-3</v>
      </c>
      <c r="Q135" s="322">
        <v>42.033000000000001</v>
      </c>
      <c r="R135" s="311">
        <v>0.4950000000000131</v>
      </c>
      <c r="S135" s="184">
        <v>6.3053308706453488E-3</v>
      </c>
      <c r="T135" s="183" t="s">
        <v>484</v>
      </c>
      <c r="U135" s="183" t="s">
        <v>426</v>
      </c>
      <c r="V135" s="183"/>
      <c r="W135" s="189">
        <v>1</v>
      </c>
      <c r="X135" s="183" t="s">
        <v>301</v>
      </c>
    </row>
    <row r="136" spans="2:24">
      <c r="B136" s="589"/>
      <c r="C136" s="591"/>
      <c r="D136" s="209">
        <v>10</v>
      </c>
      <c r="E136" s="183" t="s">
        <v>554</v>
      </c>
      <c r="F136" s="184">
        <v>178.14240000000041</v>
      </c>
      <c r="G136" s="183">
        <v>63.42</v>
      </c>
      <c r="H136" s="183">
        <v>64.2</v>
      </c>
      <c r="I136" s="192">
        <f t="shared" si="18"/>
        <v>1.012298959318827</v>
      </c>
      <c r="J136" s="183">
        <v>0</v>
      </c>
      <c r="K136" s="192">
        <f t="shared" si="19"/>
        <v>0</v>
      </c>
      <c r="L136" s="184">
        <v>371.13</v>
      </c>
      <c r="M136" s="192">
        <f t="shared" si="20"/>
        <v>1.012298959318827</v>
      </c>
      <c r="N136" s="184">
        <v>289.48140000000041</v>
      </c>
      <c r="O136" s="183">
        <v>0.3</v>
      </c>
      <c r="P136" s="185">
        <v>4.7303689687795648E-3</v>
      </c>
      <c r="Q136" s="322">
        <v>111.339</v>
      </c>
      <c r="R136" s="311">
        <v>0.48000000000000115</v>
      </c>
      <c r="S136" s="184">
        <v>7.5685903500473219E-3</v>
      </c>
      <c r="T136" s="183" t="s">
        <v>481</v>
      </c>
      <c r="U136" s="183" t="s">
        <v>419</v>
      </c>
      <c r="V136" s="183"/>
      <c r="W136" s="189">
        <v>1</v>
      </c>
      <c r="X136" s="183" t="s">
        <v>314</v>
      </c>
    </row>
    <row r="137" spans="2:24">
      <c r="B137" s="588">
        <v>45914</v>
      </c>
      <c r="C137" s="590" t="s">
        <v>157</v>
      </c>
      <c r="D137" s="209">
        <v>1</v>
      </c>
      <c r="E137" s="183" t="s">
        <v>511</v>
      </c>
      <c r="F137" s="184">
        <v>1866.8143999999988</v>
      </c>
      <c r="G137" s="183">
        <v>121.57599999999999</v>
      </c>
      <c r="H137" s="183">
        <v>124.5</v>
      </c>
      <c r="I137" s="192">
        <f t="shared" si="18"/>
        <v>1.0240507994999013</v>
      </c>
      <c r="J137" s="183">
        <v>3.7</v>
      </c>
      <c r="K137" s="192">
        <f t="shared" si="19"/>
        <v>3.043363821806936E-2</v>
      </c>
      <c r="L137" s="184">
        <v>290.60000000000002</v>
      </c>
      <c r="M137" s="192">
        <f t="shared" si="20"/>
        <v>1.0544844377179705</v>
      </c>
      <c r="N137" s="184">
        <v>1924.9343999999987</v>
      </c>
      <c r="O137" s="183">
        <v>0.2</v>
      </c>
      <c r="P137" s="185">
        <v>1.6450615253010465E-3</v>
      </c>
      <c r="Q137" s="322">
        <v>58.120000000000005</v>
      </c>
      <c r="R137" s="311">
        <v>6.423999999999995</v>
      </c>
      <c r="S137" s="184">
        <v>5.2839376192669568E-2</v>
      </c>
      <c r="T137" s="183" t="s">
        <v>484</v>
      </c>
      <c r="U137" s="183" t="s">
        <v>426</v>
      </c>
      <c r="V137" s="183"/>
      <c r="W137" s="189">
        <v>1</v>
      </c>
      <c r="X137" s="183" t="s">
        <v>311</v>
      </c>
    </row>
    <row r="138" spans="2:24">
      <c r="B138" s="589"/>
      <c r="C138" s="591"/>
      <c r="D138" s="209">
        <v>2</v>
      </c>
      <c r="E138" s="183" t="s">
        <v>505</v>
      </c>
      <c r="F138" s="184">
        <v>340.21002000000954</v>
      </c>
      <c r="G138" s="183">
        <v>132.93299999999999</v>
      </c>
      <c r="H138" s="183">
        <v>133.80000000000001</v>
      </c>
      <c r="I138" s="192">
        <f t="shared" si="18"/>
        <v>1.0065220825528651</v>
      </c>
      <c r="J138" s="183">
        <v>0</v>
      </c>
      <c r="K138" s="192">
        <f t="shared" si="19"/>
        <v>0</v>
      </c>
      <c r="L138" s="184">
        <v>510.06</v>
      </c>
      <c r="M138" s="192">
        <f t="shared" si="20"/>
        <v>1.0065220825528651</v>
      </c>
      <c r="N138" s="184">
        <v>442.22202000000954</v>
      </c>
      <c r="O138" s="183">
        <v>0.2</v>
      </c>
      <c r="P138" s="185">
        <v>1.5045173132329822E-3</v>
      </c>
      <c r="Q138" s="322">
        <v>102.012</v>
      </c>
      <c r="R138" s="311">
        <v>0.66700000000001869</v>
      </c>
      <c r="S138" s="184">
        <v>5.0175652396321361E-3</v>
      </c>
      <c r="T138" s="183" t="s">
        <v>484</v>
      </c>
      <c r="U138" s="183" t="s">
        <v>436</v>
      </c>
      <c r="V138" s="183"/>
      <c r="W138" s="189">
        <v>1</v>
      </c>
      <c r="X138" s="183" t="s">
        <v>420</v>
      </c>
    </row>
    <row r="139" spans="2:24">
      <c r="B139" s="589"/>
      <c r="C139" s="591"/>
      <c r="D139" s="209">
        <v>3</v>
      </c>
      <c r="E139" s="183" t="s">
        <v>519</v>
      </c>
      <c r="F139" s="184">
        <v>300.53594999999547</v>
      </c>
      <c r="G139" s="183">
        <v>105.38500000000001</v>
      </c>
      <c r="H139" s="183">
        <v>105.8</v>
      </c>
      <c r="I139" s="192">
        <f t="shared" si="18"/>
        <v>1.0039379418323291</v>
      </c>
      <c r="J139" s="183">
        <v>0.3</v>
      </c>
      <c r="K139" s="192">
        <f t="shared" si="19"/>
        <v>2.846704939033069E-3</v>
      </c>
      <c r="L139" s="184">
        <v>420.33</v>
      </c>
      <c r="M139" s="192">
        <f t="shared" si="20"/>
        <v>1.0067846467713621</v>
      </c>
      <c r="N139" s="184">
        <v>300.53594999999547</v>
      </c>
      <c r="O139" s="183">
        <v>0</v>
      </c>
      <c r="P139" s="185">
        <v>0</v>
      </c>
      <c r="Q139" s="322">
        <v>0</v>
      </c>
      <c r="R139" s="311">
        <v>0.7149999999999892</v>
      </c>
      <c r="S139" s="184">
        <v>6.7846467713620455E-3</v>
      </c>
      <c r="T139" s="183" t="s">
        <v>484</v>
      </c>
      <c r="U139" s="183" t="s">
        <v>426</v>
      </c>
      <c r="V139" s="183"/>
      <c r="W139" s="189">
        <v>1</v>
      </c>
      <c r="X139" s="183" t="s">
        <v>301</v>
      </c>
    </row>
    <row r="140" spans="2:24">
      <c r="B140" s="589"/>
      <c r="C140" s="591"/>
      <c r="D140" s="209">
        <v>4</v>
      </c>
      <c r="E140" s="183" t="s">
        <v>427</v>
      </c>
      <c r="F140" s="184">
        <v>264.26735999999437</v>
      </c>
      <c r="G140" s="183">
        <v>36.584000000000003</v>
      </c>
      <c r="H140" s="183">
        <v>36.799999999999997</v>
      </c>
      <c r="I140" s="192">
        <f t="shared" si="18"/>
        <v>1.005904220424229</v>
      </c>
      <c r="J140" s="183">
        <v>0.1</v>
      </c>
      <c r="K140" s="192">
        <f t="shared" si="19"/>
        <v>2.733435381587579E-3</v>
      </c>
      <c r="L140" s="184">
        <v>1223.46</v>
      </c>
      <c r="M140" s="192">
        <f t="shared" si="20"/>
        <v>1.0086376558058165</v>
      </c>
      <c r="N140" s="184">
        <v>386.61335999999437</v>
      </c>
      <c r="O140" s="183">
        <v>0.1</v>
      </c>
      <c r="P140" s="185">
        <v>2.733435381587579E-3</v>
      </c>
      <c r="Q140" s="322">
        <v>122.346</v>
      </c>
      <c r="R140" s="311">
        <v>0.21599999999999539</v>
      </c>
      <c r="S140" s="184">
        <v>5.9042204242290451E-3</v>
      </c>
      <c r="T140" s="183" t="s">
        <v>484</v>
      </c>
      <c r="U140" s="183" t="s">
        <v>426</v>
      </c>
      <c r="V140" s="183"/>
      <c r="W140" s="189">
        <v>1</v>
      </c>
      <c r="X140" s="183" t="s">
        <v>245</v>
      </c>
    </row>
    <row r="141" spans="2:24">
      <c r="B141" s="589"/>
      <c r="C141" s="591"/>
      <c r="D141" s="209">
        <v>5</v>
      </c>
      <c r="E141" s="183" t="s">
        <v>439</v>
      </c>
      <c r="F141" s="184">
        <v>212.39491999999885</v>
      </c>
      <c r="G141" s="183">
        <v>25.896000000000001</v>
      </c>
      <c r="H141" s="183">
        <v>26.4</v>
      </c>
      <c r="I141" s="192">
        <f t="shared" si="18"/>
        <v>1.0194624652455977</v>
      </c>
      <c r="J141" s="183">
        <v>0</v>
      </c>
      <c r="K141" s="192">
        <f t="shared" si="19"/>
        <v>0</v>
      </c>
      <c r="L141" s="184">
        <v>525.73</v>
      </c>
      <c r="M141" s="192">
        <f t="shared" si="20"/>
        <v>1.0194624652455977</v>
      </c>
      <c r="N141" s="184">
        <v>264.96791999999886</v>
      </c>
      <c r="O141" s="183">
        <v>0.1</v>
      </c>
      <c r="P141" s="185">
        <v>3.8616002471424161E-3</v>
      </c>
      <c r="Q141" s="322">
        <v>52.573000000000008</v>
      </c>
      <c r="R141" s="311">
        <v>0.40399999999999781</v>
      </c>
      <c r="S141" s="184">
        <v>1.5600864998455274E-2</v>
      </c>
      <c r="T141" s="183" t="s">
        <v>484</v>
      </c>
      <c r="U141" s="183" t="s">
        <v>436</v>
      </c>
      <c r="V141" s="183"/>
      <c r="W141" s="189">
        <v>1</v>
      </c>
      <c r="X141" s="183" t="s">
        <v>275</v>
      </c>
    </row>
    <row r="142" spans="2:24">
      <c r="B142" s="589"/>
      <c r="C142" s="591"/>
      <c r="D142" s="209">
        <v>6</v>
      </c>
      <c r="E142" s="183" t="s">
        <v>495</v>
      </c>
      <c r="F142" s="184">
        <v>202.8652800000001</v>
      </c>
      <c r="G142" s="183">
        <v>25.344000000000001</v>
      </c>
      <c r="H142" s="183">
        <v>26.1</v>
      </c>
      <c r="I142" s="192">
        <f t="shared" si="18"/>
        <v>1.0298295454545454</v>
      </c>
      <c r="J142" s="183">
        <v>0</v>
      </c>
      <c r="K142" s="192">
        <f t="shared" si="19"/>
        <v>0</v>
      </c>
      <c r="L142" s="184">
        <v>444.88</v>
      </c>
      <c r="M142" s="192">
        <f t="shared" si="20"/>
        <v>1.0298295454545454</v>
      </c>
      <c r="N142" s="184">
        <v>336.3292800000001</v>
      </c>
      <c r="O142" s="183">
        <v>0.3</v>
      </c>
      <c r="P142" s="185">
        <v>1.183712121212121E-2</v>
      </c>
      <c r="Q142" s="322">
        <v>133.464</v>
      </c>
      <c r="R142" s="311">
        <v>0.45600000000000024</v>
      </c>
      <c r="S142" s="184">
        <v>1.7992424242424251E-2</v>
      </c>
      <c r="T142" s="183" t="s">
        <v>484</v>
      </c>
      <c r="U142" s="183" t="s">
        <v>436</v>
      </c>
      <c r="V142" s="183"/>
      <c r="W142" s="189">
        <v>1</v>
      </c>
      <c r="X142" s="183" t="s">
        <v>496</v>
      </c>
    </row>
    <row r="143" spans="2:24">
      <c r="B143" s="589"/>
      <c r="C143" s="591"/>
      <c r="D143" s="209">
        <v>7</v>
      </c>
      <c r="E143" s="183" t="s">
        <v>557</v>
      </c>
      <c r="F143" s="184">
        <v>201.84599999999867</v>
      </c>
      <c r="G143" s="183">
        <v>15.88</v>
      </c>
      <c r="H143" s="183">
        <v>16</v>
      </c>
      <c r="I143" s="192">
        <f t="shared" si="18"/>
        <v>1.0075566750629723</v>
      </c>
      <c r="J143" s="183">
        <v>0</v>
      </c>
      <c r="K143" s="192">
        <f t="shared" si="19"/>
        <v>0</v>
      </c>
      <c r="L143" s="184">
        <v>1682.05</v>
      </c>
      <c r="M143" s="192">
        <f t="shared" si="20"/>
        <v>1.0075566750629723</v>
      </c>
      <c r="N143" s="184">
        <v>201.84599999999867</v>
      </c>
      <c r="O143" s="183">
        <v>0</v>
      </c>
      <c r="P143" s="185">
        <v>0</v>
      </c>
      <c r="Q143" s="322">
        <v>0</v>
      </c>
      <c r="R143" s="311">
        <v>0.11999999999999922</v>
      </c>
      <c r="S143" s="184">
        <v>7.5566750629722425E-3</v>
      </c>
      <c r="T143" s="183" t="s">
        <v>484</v>
      </c>
      <c r="U143" s="183" t="s">
        <v>426</v>
      </c>
      <c r="V143" s="183"/>
      <c r="W143" s="189">
        <v>1</v>
      </c>
      <c r="X143" s="183" t="s">
        <v>243</v>
      </c>
    </row>
    <row r="144" spans="2:24">
      <c r="B144" s="589"/>
      <c r="C144" s="591"/>
      <c r="D144" s="209">
        <v>8</v>
      </c>
      <c r="E144" s="183" t="s">
        <v>554</v>
      </c>
      <c r="F144" s="184">
        <v>198.92568000000261</v>
      </c>
      <c r="G144" s="183">
        <v>81.563999999999993</v>
      </c>
      <c r="H144" s="183">
        <v>82.5</v>
      </c>
      <c r="I144" s="192">
        <f t="shared" si="18"/>
        <v>1.01147565102251</v>
      </c>
      <c r="J144" s="183">
        <v>0</v>
      </c>
      <c r="K144" s="192">
        <f t="shared" si="19"/>
        <v>0</v>
      </c>
      <c r="L144" s="184">
        <v>371.13</v>
      </c>
      <c r="M144" s="192">
        <f t="shared" si="20"/>
        <v>1.01147565102251</v>
      </c>
      <c r="N144" s="184">
        <v>347.37768000000261</v>
      </c>
      <c r="O144" s="183">
        <v>0.4</v>
      </c>
      <c r="P144" s="185">
        <v>4.904124368593988E-3</v>
      </c>
      <c r="Q144" s="322">
        <v>148.452</v>
      </c>
      <c r="R144" s="311">
        <v>0.53600000000000703</v>
      </c>
      <c r="S144" s="184">
        <v>6.5715266539160301E-3</v>
      </c>
      <c r="T144" s="183" t="s">
        <v>481</v>
      </c>
      <c r="U144" s="183" t="s">
        <v>419</v>
      </c>
      <c r="V144" s="183"/>
      <c r="W144" s="189">
        <v>1</v>
      </c>
      <c r="X144" s="183" t="s">
        <v>314</v>
      </c>
    </row>
    <row r="145" spans="2:24">
      <c r="B145" s="589"/>
      <c r="C145" s="591"/>
      <c r="D145" s="209">
        <v>9</v>
      </c>
      <c r="E145" s="183" t="s">
        <v>563</v>
      </c>
      <c r="F145" s="184">
        <v>197.27072000000044</v>
      </c>
      <c r="G145" s="183">
        <v>49.856000000000002</v>
      </c>
      <c r="H145" s="183">
        <v>50.7</v>
      </c>
      <c r="I145" s="192">
        <f t="shared" si="18"/>
        <v>1.0169287548138639</v>
      </c>
      <c r="J145" s="183">
        <v>0</v>
      </c>
      <c r="K145" s="192">
        <f t="shared" si="19"/>
        <v>0</v>
      </c>
      <c r="L145" s="184">
        <v>362.63</v>
      </c>
      <c r="M145" s="192">
        <f t="shared" si="20"/>
        <v>1.0169287548138639</v>
      </c>
      <c r="N145" s="184">
        <v>306.05972000000042</v>
      </c>
      <c r="O145" s="183">
        <v>0.3</v>
      </c>
      <c r="P145" s="185">
        <v>6.0173299101412064E-3</v>
      </c>
      <c r="Q145" s="322">
        <v>108.789</v>
      </c>
      <c r="R145" s="311">
        <v>0.54400000000000115</v>
      </c>
      <c r="S145" s="184">
        <v>1.0911424903722744E-2</v>
      </c>
      <c r="T145" s="183" t="s">
        <v>481</v>
      </c>
      <c r="U145" s="183" t="s">
        <v>419</v>
      </c>
      <c r="V145" s="183"/>
      <c r="W145" s="189">
        <v>1</v>
      </c>
      <c r="X145" s="183" t="s">
        <v>564</v>
      </c>
    </row>
    <row r="146" spans="2:24">
      <c r="B146" s="589"/>
      <c r="C146" s="591"/>
      <c r="D146" s="209">
        <v>10</v>
      </c>
      <c r="E146" s="183" t="s">
        <v>565</v>
      </c>
      <c r="F146" s="184">
        <v>192.12600000000054</v>
      </c>
      <c r="G146" s="183">
        <v>20.173999999999999</v>
      </c>
      <c r="H146" s="183">
        <v>20.8</v>
      </c>
      <c r="I146" s="192">
        <f t="shared" si="18"/>
        <v>1.0310300386636264</v>
      </c>
      <c r="J146" s="183">
        <v>0</v>
      </c>
      <c r="K146" s="192">
        <f t="shared" si="19"/>
        <v>0</v>
      </c>
      <c r="L146" s="184">
        <v>451</v>
      </c>
      <c r="M146" s="192">
        <f t="shared" si="20"/>
        <v>1.0310300386636264</v>
      </c>
      <c r="N146" s="184">
        <v>282.32600000000053</v>
      </c>
      <c r="O146" s="183">
        <v>0.2</v>
      </c>
      <c r="P146" s="185">
        <v>9.9137503717656398E-3</v>
      </c>
      <c r="Q146" s="322">
        <v>90.2</v>
      </c>
      <c r="R146" s="311">
        <v>0.42600000000000121</v>
      </c>
      <c r="S146" s="184">
        <v>2.1116288291860873E-2</v>
      </c>
      <c r="T146" s="183" t="s">
        <v>487</v>
      </c>
      <c r="U146" s="183" t="s">
        <v>488</v>
      </c>
      <c r="V146" s="183"/>
      <c r="W146" s="189">
        <v>1</v>
      </c>
      <c r="X146" s="183" t="s">
        <v>284</v>
      </c>
    </row>
    <row r="147" spans="2:24">
      <c r="B147" s="588">
        <v>45915</v>
      </c>
      <c r="C147" s="590" t="s">
        <v>209</v>
      </c>
      <c r="D147" s="209">
        <v>1</v>
      </c>
      <c r="E147" s="183" t="s">
        <v>511</v>
      </c>
      <c r="F147" s="184">
        <v>1999.9092000000001</v>
      </c>
      <c r="G147" s="183">
        <v>115.518</v>
      </c>
      <c r="H147" s="183">
        <v>118.3</v>
      </c>
      <c r="I147" s="192">
        <f t="shared" si="18"/>
        <v>1.0240828269187485</v>
      </c>
      <c r="J147" s="183">
        <v>4.2</v>
      </c>
      <c r="K147" s="192">
        <f t="shared" si="19"/>
        <v>3.6357970186464451E-2</v>
      </c>
      <c r="L147" s="184">
        <v>290.60000000000002</v>
      </c>
      <c r="M147" s="192">
        <f t="shared" si="20"/>
        <v>1.060440797105213</v>
      </c>
      <c r="N147" s="184">
        <v>2028.9692</v>
      </c>
      <c r="O147" s="183">
        <v>0.1</v>
      </c>
      <c r="P147" s="185">
        <v>8.6566595682058213E-4</v>
      </c>
      <c r="Q147" s="322">
        <v>29.060000000000002</v>
      </c>
      <c r="R147" s="311">
        <v>6.8819999999999997</v>
      </c>
      <c r="S147" s="184">
        <v>5.9575131148392454E-2</v>
      </c>
      <c r="T147" s="183" t="s">
        <v>484</v>
      </c>
      <c r="U147" s="183" t="s">
        <v>426</v>
      </c>
      <c r="V147" s="183"/>
      <c r="W147" s="189">
        <v>1</v>
      </c>
      <c r="X147" s="183" t="s">
        <v>311</v>
      </c>
    </row>
    <row r="148" spans="2:24">
      <c r="B148" s="589"/>
      <c r="C148" s="591"/>
      <c r="D148" s="209">
        <v>2</v>
      </c>
      <c r="E148" s="183" t="s">
        <v>519</v>
      </c>
      <c r="F148" s="184">
        <v>445.54979999999972</v>
      </c>
      <c r="G148" s="183">
        <v>104.44</v>
      </c>
      <c r="H148" s="183">
        <v>105.8</v>
      </c>
      <c r="I148" s="192">
        <f t="shared" si="18"/>
        <v>1.0130218307162007</v>
      </c>
      <c r="J148" s="183">
        <v>0</v>
      </c>
      <c r="K148" s="192">
        <f t="shared" si="19"/>
        <v>0</v>
      </c>
      <c r="L148" s="184">
        <v>420.33</v>
      </c>
      <c r="M148" s="192">
        <f t="shared" si="20"/>
        <v>1.0130218307162007</v>
      </c>
      <c r="N148" s="184">
        <v>571.64879999999971</v>
      </c>
      <c r="O148" s="183">
        <v>0.3</v>
      </c>
      <c r="P148" s="185">
        <v>2.8724626579854462E-3</v>
      </c>
      <c r="Q148" s="322">
        <v>126.09899999999999</v>
      </c>
      <c r="R148" s="311">
        <v>1.0599999999999994</v>
      </c>
      <c r="S148" s="184">
        <v>1.0149368058215237E-2</v>
      </c>
      <c r="T148" s="183" t="s">
        <v>484</v>
      </c>
      <c r="U148" s="183" t="s">
        <v>426</v>
      </c>
      <c r="V148" s="183"/>
      <c r="W148" s="189">
        <v>1</v>
      </c>
      <c r="X148" s="183" t="s">
        <v>301</v>
      </c>
    </row>
    <row r="149" spans="2:24">
      <c r="B149" s="589"/>
      <c r="C149" s="591"/>
      <c r="D149" s="209">
        <v>3</v>
      </c>
      <c r="E149" s="183" t="s">
        <v>505</v>
      </c>
      <c r="F149" s="184">
        <v>356.02187999999512</v>
      </c>
      <c r="G149" s="183">
        <v>133.702</v>
      </c>
      <c r="H149" s="183">
        <v>134.69999999999999</v>
      </c>
      <c r="I149" s="192">
        <f t="shared" si="18"/>
        <v>1.0074643610417195</v>
      </c>
      <c r="J149" s="183">
        <v>0</v>
      </c>
      <c r="K149" s="192">
        <f t="shared" si="19"/>
        <v>0</v>
      </c>
      <c r="L149" s="184">
        <v>510.06</v>
      </c>
      <c r="M149" s="192">
        <f t="shared" si="20"/>
        <v>1.0074643610417195</v>
      </c>
      <c r="N149" s="184">
        <v>509.03987999999515</v>
      </c>
      <c r="O149" s="183">
        <v>0.3</v>
      </c>
      <c r="P149" s="185">
        <v>2.2437959043245426E-3</v>
      </c>
      <c r="Q149" s="322">
        <v>153.018</v>
      </c>
      <c r="R149" s="311">
        <v>0.69799999999999041</v>
      </c>
      <c r="S149" s="184">
        <v>5.220565137395031E-3</v>
      </c>
      <c r="T149" s="183" t="s">
        <v>484</v>
      </c>
      <c r="U149" s="183" t="s">
        <v>436</v>
      </c>
      <c r="V149" s="183"/>
      <c r="W149" s="189">
        <v>1</v>
      </c>
      <c r="X149" s="183" t="s">
        <v>420</v>
      </c>
    </row>
    <row r="150" spans="2:24">
      <c r="B150" s="589"/>
      <c r="C150" s="591"/>
      <c r="D150" s="209">
        <v>4</v>
      </c>
      <c r="E150" s="183" t="s">
        <v>495</v>
      </c>
      <c r="F150" s="184">
        <v>278.49488000000025</v>
      </c>
      <c r="G150" s="183">
        <v>25.974</v>
      </c>
      <c r="H150" s="183">
        <v>26.8</v>
      </c>
      <c r="I150" s="192">
        <f t="shared" si="18"/>
        <v>1.0318010318010318</v>
      </c>
      <c r="J150" s="183">
        <v>0</v>
      </c>
      <c r="K150" s="192">
        <f t="shared" si="19"/>
        <v>0</v>
      </c>
      <c r="L150" s="184">
        <v>444.88</v>
      </c>
      <c r="M150" s="192">
        <f t="shared" si="20"/>
        <v>1.0318010318010318</v>
      </c>
      <c r="N150" s="184">
        <v>367.47088000000025</v>
      </c>
      <c r="O150" s="183">
        <v>0.2</v>
      </c>
      <c r="P150" s="185">
        <v>7.7000077000077003E-3</v>
      </c>
      <c r="Q150" s="322">
        <v>88.975999999999999</v>
      </c>
      <c r="R150" s="311">
        <v>0.62600000000000056</v>
      </c>
      <c r="S150" s="184">
        <v>2.4101024101024122E-2</v>
      </c>
      <c r="T150" s="183" t="s">
        <v>484</v>
      </c>
      <c r="U150" s="183" t="s">
        <v>436</v>
      </c>
      <c r="V150" s="183"/>
      <c r="W150" s="189">
        <v>1</v>
      </c>
      <c r="X150" s="183" t="s">
        <v>496</v>
      </c>
    </row>
    <row r="151" spans="2:24">
      <c r="B151" s="589"/>
      <c r="C151" s="591"/>
      <c r="D151" s="209">
        <v>5</v>
      </c>
      <c r="E151" s="183" t="s">
        <v>557</v>
      </c>
      <c r="F151" s="184">
        <v>269.12800000000021</v>
      </c>
      <c r="G151" s="183">
        <v>15.44</v>
      </c>
      <c r="H151" s="183">
        <v>15.6</v>
      </c>
      <c r="I151" s="192">
        <f t="shared" si="18"/>
        <v>1.0103626943005182</v>
      </c>
      <c r="J151" s="183">
        <v>0</v>
      </c>
      <c r="K151" s="192">
        <f t="shared" si="19"/>
        <v>0</v>
      </c>
      <c r="L151" s="184">
        <v>1682.05</v>
      </c>
      <c r="M151" s="192">
        <f t="shared" si="20"/>
        <v>1.0103626943005182</v>
      </c>
      <c r="N151" s="184">
        <v>269.12800000000021</v>
      </c>
      <c r="O151" s="183">
        <v>0</v>
      </c>
      <c r="P151" s="185">
        <v>0</v>
      </c>
      <c r="Q151" s="322">
        <v>0</v>
      </c>
      <c r="R151" s="311">
        <v>0.16000000000000014</v>
      </c>
      <c r="S151" s="184">
        <v>1.0362694300518144E-2</v>
      </c>
      <c r="T151" s="183" t="s">
        <v>484</v>
      </c>
      <c r="U151" s="183" t="s">
        <v>426</v>
      </c>
      <c r="V151" s="183"/>
      <c r="W151" s="189">
        <v>1</v>
      </c>
      <c r="X151" s="183" t="s">
        <v>243</v>
      </c>
    </row>
    <row r="152" spans="2:24">
      <c r="B152" s="589"/>
      <c r="C152" s="591"/>
      <c r="D152" s="209">
        <v>6</v>
      </c>
      <c r="E152" s="183" t="s">
        <v>415</v>
      </c>
      <c r="F152" s="184">
        <v>266.05076000000292</v>
      </c>
      <c r="G152" s="183">
        <v>158.81299999999999</v>
      </c>
      <c r="H152" s="183">
        <v>162.30000000000001</v>
      </c>
      <c r="I152" s="192">
        <f t="shared" si="18"/>
        <v>1.0219566408291514</v>
      </c>
      <c r="J152" s="183">
        <v>0</v>
      </c>
      <c r="K152" s="192">
        <f t="shared" si="19"/>
        <v>0</v>
      </c>
      <c r="L152" s="184">
        <v>127.48</v>
      </c>
      <c r="M152" s="192">
        <f t="shared" si="20"/>
        <v>1.0219566408291514</v>
      </c>
      <c r="N152" s="184">
        <v>444.52276000000296</v>
      </c>
      <c r="O152" s="183">
        <v>1.4</v>
      </c>
      <c r="P152" s="185">
        <v>8.8153992431350085E-3</v>
      </c>
      <c r="Q152" s="322">
        <v>178.47200000000001</v>
      </c>
      <c r="R152" s="311">
        <v>2.0870000000000233</v>
      </c>
      <c r="S152" s="184">
        <v>1.3141241586016405E-2</v>
      </c>
      <c r="T152" s="183" t="s">
        <v>487</v>
      </c>
      <c r="U152" s="183" t="s">
        <v>488</v>
      </c>
      <c r="V152" s="183"/>
      <c r="W152" s="189">
        <v>1</v>
      </c>
      <c r="X152" s="183" t="s">
        <v>321</v>
      </c>
    </row>
    <row r="153" spans="2:24">
      <c r="B153" s="589"/>
      <c r="C153" s="591"/>
      <c r="D153" s="209">
        <v>7</v>
      </c>
      <c r="E153" s="183" t="s">
        <v>427</v>
      </c>
      <c r="F153" s="184">
        <v>264.26735999999875</v>
      </c>
      <c r="G153" s="183">
        <v>31.184000000000001</v>
      </c>
      <c r="H153" s="183">
        <v>31.5</v>
      </c>
      <c r="I153" s="192">
        <f t="shared" si="18"/>
        <v>1.0101334017444843</v>
      </c>
      <c r="J153" s="183">
        <v>0</v>
      </c>
      <c r="K153" s="192">
        <f t="shared" si="19"/>
        <v>0</v>
      </c>
      <c r="L153" s="184">
        <v>1223.46</v>
      </c>
      <c r="M153" s="192">
        <f t="shared" si="20"/>
        <v>1.0101334017444843</v>
      </c>
      <c r="N153" s="184">
        <v>386.61335999999875</v>
      </c>
      <c r="O153" s="183">
        <v>0.1</v>
      </c>
      <c r="P153" s="185">
        <v>3.2067727039507441E-3</v>
      </c>
      <c r="Q153" s="322">
        <v>122.346</v>
      </c>
      <c r="R153" s="311">
        <v>0.21599999999999894</v>
      </c>
      <c r="S153" s="184">
        <v>6.9266290405335731E-3</v>
      </c>
      <c r="T153" s="183" t="s">
        <v>484</v>
      </c>
      <c r="U153" s="183" t="s">
        <v>426</v>
      </c>
      <c r="V153" s="183"/>
      <c r="W153" s="189">
        <v>1</v>
      </c>
      <c r="X153" s="183" t="s">
        <v>245</v>
      </c>
    </row>
    <row r="154" spans="2:24">
      <c r="B154" s="589"/>
      <c r="C154" s="591"/>
      <c r="D154" s="209">
        <v>8</v>
      </c>
      <c r="E154" s="183" t="s">
        <v>499</v>
      </c>
      <c r="F154" s="184">
        <v>229.1395199999977</v>
      </c>
      <c r="G154" s="183">
        <v>79.712000000000003</v>
      </c>
      <c r="H154" s="183">
        <v>81.099999999999994</v>
      </c>
      <c r="I154" s="192">
        <f t="shared" si="18"/>
        <v>1.0174126856684063</v>
      </c>
      <c r="J154" s="183">
        <v>0</v>
      </c>
      <c r="K154" s="192">
        <f t="shared" si="19"/>
        <v>0</v>
      </c>
      <c r="L154" s="184">
        <v>258.04000000000002</v>
      </c>
      <c r="M154" s="192">
        <f t="shared" si="20"/>
        <v>1.0174126856684063</v>
      </c>
      <c r="N154" s="184">
        <v>358.15951999999771</v>
      </c>
      <c r="O154" s="183">
        <v>0.5</v>
      </c>
      <c r="P154" s="185">
        <v>6.2725812926535526E-3</v>
      </c>
      <c r="Q154" s="322">
        <v>129.02000000000001</v>
      </c>
      <c r="R154" s="311">
        <v>0.88799999999999102</v>
      </c>
      <c r="S154" s="184">
        <v>1.1140104375752597E-2</v>
      </c>
      <c r="T154" s="183" t="s">
        <v>484</v>
      </c>
      <c r="U154" s="183" t="s">
        <v>426</v>
      </c>
      <c r="V154" s="183"/>
      <c r="W154" s="189">
        <v>1</v>
      </c>
      <c r="X154" s="183" t="s">
        <v>309</v>
      </c>
    </row>
    <row r="155" spans="2:24">
      <c r="B155" s="589"/>
      <c r="C155" s="591"/>
      <c r="D155" s="209">
        <v>9</v>
      </c>
      <c r="E155" s="183" t="s">
        <v>556</v>
      </c>
      <c r="F155" s="184">
        <v>218.02577999999977</v>
      </c>
      <c r="G155" s="183">
        <v>23.163</v>
      </c>
      <c r="H155" s="183">
        <v>23.5</v>
      </c>
      <c r="I155" s="192">
        <f t="shared" si="18"/>
        <v>1.0145490653196909</v>
      </c>
      <c r="J155" s="183">
        <v>0</v>
      </c>
      <c r="K155" s="192">
        <f t="shared" si="19"/>
        <v>0</v>
      </c>
      <c r="L155" s="184">
        <v>919.94</v>
      </c>
      <c r="M155" s="192">
        <f t="shared" si="20"/>
        <v>1.0145490653196909</v>
      </c>
      <c r="N155" s="184">
        <v>310.0197799999998</v>
      </c>
      <c r="O155" s="183">
        <v>0.1</v>
      </c>
      <c r="P155" s="185">
        <v>4.3172300651901745E-3</v>
      </c>
      <c r="Q155" s="322">
        <v>91.994000000000014</v>
      </c>
      <c r="R155" s="311">
        <v>0.23699999999999974</v>
      </c>
      <c r="S155" s="184">
        <v>1.0231835254500702E-2</v>
      </c>
      <c r="T155" s="183" t="s">
        <v>484</v>
      </c>
      <c r="U155" s="183" t="s">
        <v>426</v>
      </c>
      <c r="V155" s="183"/>
      <c r="W155" s="189">
        <v>1</v>
      </c>
      <c r="X155" s="183" t="s">
        <v>244</v>
      </c>
    </row>
    <row r="156" spans="2:24">
      <c r="B156" s="589"/>
      <c r="C156" s="591"/>
      <c r="D156" s="209">
        <v>10</v>
      </c>
      <c r="E156" s="183" t="s">
        <v>554</v>
      </c>
      <c r="F156" s="184">
        <v>215.99765999999659</v>
      </c>
      <c r="G156" s="183">
        <v>85.218000000000004</v>
      </c>
      <c r="H156" s="183">
        <v>86.1</v>
      </c>
      <c r="I156" s="192">
        <f t="shared" si="18"/>
        <v>1.0103499260719566</v>
      </c>
      <c r="J156" s="183">
        <v>0</v>
      </c>
      <c r="K156" s="192">
        <f t="shared" si="19"/>
        <v>0</v>
      </c>
      <c r="L156" s="184">
        <v>371.13</v>
      </c>
      <c r="M156" s="192">
        <f t="shared" si="20"/>
        <v>1.0103499260719566</v>
      </c>
      <c r="N156" s="184">
        <v>327.33665999999658</v>
      </c>
      <c r="O156" s="183">
        <v>0.3</v>
      </c>
      <c r="P156" s="185">
        <v>3.5203830176723226E-3</v>
      </c>
      <c r="Q156" s="322">
        <v>111.339</v>
      </c>
      <c r="R156" s="311">
        <v>0.58199999999999075</v>
      </c>
      <c r="S156" s="184">
        <v>6.8295430542841973E-3</v>
      </c>
      <c r="T156" s="183" t="s">
        <v>487</v>
      </c>
      <c r="U156" s="183" t="s">
        <v>488</v>
      </c>
      <c r="V156" s="183"/>
      <c r="W156" s="189">
        <v>1</v>
      </c>
      <c r="X156" s="183" t="s">
        <v>314</v>
      </c>
    </row>
    <row r="157" spans="2:24">
      <c r="B157" s="581">
        <f>B147+1</f>
        <v>45916</v>
      </c>
      <c r="C157" s="590" t="s">
        <v>204</v>
      </c>
      <c r="D157" s="209">
        <v>1</v>
      </c>
      <c r="E157" s="183"/>
      <c r="F157" s="184"/>
      <c r="G157" s="183"/>
      <c r="H157" s="183"/>
      <c r="I157" s="192"/>
      <c r="J157" s="183"/>
      <c r="K157" s="192"/>
      <c r="L157" s="184"/>
      <c r="M157" s="192"/>
      <c r="N157" s="184"/>
      <c r="O157" s="183"/>
      <c r="P157" s="185"/>
      <c r="Q157" s="248"/>
      <c r="R157" s="183"/>
      <c r="S157" s="185"/>
      <c r="T157" s="183"/>
      <c r="U157" s="183"/>
      <c r="V157" s="183"/>
      <c r="W157" s="189"/>
      <c r="X157" s="183"/>
    </row>
    <row r="158" spans="2:24">
      <c r="B158" s="582"/>
      <c r="C158" s="591"/>
      <c r="D158" s="209">
        <v>2</v>
      </c>
      <c r="E158" s="183"/>
      <c r="F158" s="184"/>
      <c r="G158" s="183"/>
      <c r="H158" s="183"/>
      <c r="I158" s="192"/>
      <c r="J158" s="183"/>
      <c r="K158" s="192"/>
      <c r="L158" s="184"/>
      <c r="M158" s="192"/>
      <c r="N158" s="184"/>
      <c r="O158" s="183"/>
      <c r="P158" s="185"/>
      <c r="Q158" s="248"/>
      <c r="R158" s="183"/>
      <c r="S158" s="185"/>
      <c r="T158" s="183"/>
      <c r="U158" s="183"/>
      <c r="V158" s="183"/>
      <c r="W158" s="189"/>
      <c r="X158" s="183"/>
    </row>
    <row r="159" spans="2:24">
      <c r="B159" s="582"/>
      <c r="C159" s="591"/>
      <c r="D159" s="209">
        <v>3</v>
      </c>
      <c r="E159" s="183"/>
      <c r="F159" s="184"/>
      <c r="G159" s="183"/>
      <c r="H159" s="183"/>
      <c r="I159" s="192"/>
      <c r="J159" s="183"/>
      <c r="K159" s="192"/>
      <c r="L159" s="184"/>
      <c r="M159" s="192"/>
      <c r="N159" s="184"/>
      <c r="O159" s="183"/>
      <c r="P159" s="185"/>
      <c r="Q159" s="248"/>
      <c r="R159" s="183"/>
      <c r="S159" s="185"/>
      <c r="T159" s="183"/>
      <c r="U159" s="183"/>
      <c r="V159" s="183"/>
      <c r="W159" s="189"/>
      <c r="X159" s="183"/>
    </row>
    <row r="160" spans="2:24">
      <c r="B160" s="582"/>
      <c r="C160" s="591"/>
      <c r="D160" s="209">
        <v>4</v>
      </c>
      <c r="E160" s="183"/>
      <c r="F160" s="184"/>
      <c r="G160" s="183"/>
      <c r="H160" s="183"/>
      <c r="I160" s="192"/>
      <c r="J160" s="183"/>
      <c r="K160" s="192"/>
      <c r="L160" s="184"/>
      <c r="M160" s="192"/>
      <c r="N160" s="184"/>
      <c r="O160" s="183"/>
      <c r="P160" s="185"/>
      <c r="Q160" s="248"/>
      <c r="R160" s="183"/>
      <c r="S160" s="185"/>
      <c r="T160" s="183"/>
      <c r="U160" s="183"/>
      <c r="V160" s="183"/>
      <c r="W160" s="189"/>
      <c r="X160" s="183"/>
    </row>
    <row r="161" spans="2:24">
      <c r="B161" s="582"/>
      <c r="C161" s="591"/>
      <c r="D161" s="209">
        <v>5</v>
      </c>
      <c r="E161" s="183"/>
      <c r="F161" s="184"/>
      <c r="G161" s="183"/>
      <c r="H161" s="183"/>
      <c r="I161" s="192"/>
      <c r="J161" s="183"/>
      <c r="K161" s="192"/>
      <c r="L161" s="184"/>
      <c r="M161" s="192"/>
      <c r="N161" s="184"/>
      <c r="O161" s="183"/>
      <c r="P161" s="185"/>
      <c r="Q161" s="248"/>
      <c r="R161" s="183"/>
      <c r="S161" s="185"/>
      <c r="T161" s="183"/>
      <c r="U161" s="183"/>
      <c r="V161" s="183"/>
      <c r="W161" s="189"/>
      <c r="X161" s="183"/>
    </row>
    <row r="162" spans="2:24">
      <c r="B162" s="582"/>
      <c r="C162" s="591"/>
      <c r="D162" s="209">
        <v>6</v>
      </c>
      <c r="E162" s="183"/>
      <c r="F162" s="184"/>
      <c r="G162" s="183"/>
      <c r="H162" s="183"/>
      <c r="I162" s="192"/>
      <c r="J162" s="183"/>
      <c r="K162" s="192"/>
      <c r="L162" s="184"/>
      <c r="M162" s="192"/>
      <c r="N162" s="184"/>
      <c r="O162" s="183"/>
      <c r="P162" s="185"/>
      <c r="Q162" s="248"/>
      <c r="R162" s="183"/>
      <c r="S162" s="185"/>
      <c r="T162" s="183"/>
      <c r="U162" s="183"/>
      <c r="V162" s="183"/>
      <c r="W162" s="189"/>
      <c r="X162" s="183"/>
    </row>
    <row r="163" spans="2:24">
      <c r="B163" s="582"/>
      <c r="C163" s="591"/>
      <c r="D163" s="209">
        <v>7</v>
      </c>
      <c r="E163" s="183"/>
      <c r="F163" s="184"/>
      <c r="G163" s="183"/>
      <c r="H163" s="183"/>
      <c r="I163" s="192"/>
      <c r="J163" s="183"/>
      <c r="K163" s="192"/>
      <c r="L163" s="184"/>
      <c r="M163" s="192"/>
      <c r="N163" s="184"/>
      <c r="O163" s="183"/>
      <c r="P163" s="185"/>
      <c r="Q163" s="248"/>
      <c r="R163" s="183"/>
      <c r="S163" s="185"/>
      <c r="T163" s="183"/>
      <c r="U163" s="183"/>
      <c r="V163" s="183"/>
      <c r="W163" s="189"/>
      <c r="X163" s="183"/>
    </row>
    <row r="164" spans="2:24">
      <c r="B164" s="582"/>
      <c r="C164" s="591"/>
      <c r="D164" s="209">
        <v>8</v>
      </c>
      <c r="E164" s="183"/>
      <c r="F164" s="184"/>
      <c r="G164" s="183"/>
      <c r="H164" s="183"/>
      <c r="I164" s="192"/>
      <c r="J164" s="183"/>
      <c r="K164" s="192"/>
      <c r="L164" s="184"/>
      <c r="M164" s="192"/>
      <c r="N164" s="184"/>
      <c r="O164" s="183"/>
      <c r="P164" s="185"/>
      <c r="Q164" s="248"/>
      <c r="R164" s="183"/>
      <c r="S164" s="185"/>
      <c r="T164" s="183"/>
      <c r="U164" s="183"/>
      <c r="V164" s="183"/>
      <c r="W164" s="189"/>
      <c r="X164" s="183"/>
    </row>
    <row r="165" spans="2:24">
      <c r="B165" s="582"/>
      <c r="C165" s="591"/>
      <c r="D165" s="209">
        <v>9</v>
      </c>
      <c r="E165" s="183"/>
      <c r="F165" s="184"/>
      <c r="G165" s="183"/>
      <c r="H165" s="183"/>
      <c r="I165" s="192"/>
      <c r="J165" s="183"/>
      <c r="K165" s="192"/>
      <c r="L165" s="184"/>
      <c r="M165" s="192"/>
      <c r="N165" s="184"/>
      <c r="O165" s="183"/>
      <c r="P165" s="185"/>
      <c r="Q165" s="248"/>
      <c r="R165" s="183"/>
      <c r="S165" s="185"/>
      <c r="T165" s="183"/>
      <c r="U165" s="183"/>
      <c r="V165" s="183"/>
      <c r="W165" s="189"/>
      <c r="X165" s="183"/>
    </row>
    <row r="166" spans="2:24">
      <c r="B166" s="583"/>
      <c r="C166" s="591"/>
      <c r="D166" s="209">
        <v>10</v>
      </c>
      <c r="E166" s="183"/>
      <c r="F166" s="184"/>
      <c r="G166" s="183"/>
      <c r="H166" s="183"/>
      <c r="I166" s="192"/>
      <c r="J166" s="183"/>
      <c r="K166" s="192"/>
      <c r="L166" s="184"/>
      <c r="M166" s="192"/>
      <c r="N166" s="184"/>
      <c r="O166" s="183"/>
      <c r="P166" s="185"/>
      <c r="Q166" s="248"/>
      <c r="R166" s="183"/>
      <c r="S166" s="185"/>
      <c r="T166" s="183"/>
      <c r="U166" s="183"/>
      <c r="V166" s="183"/>
      <c r="W166" s="189"/>
      <c r="X166" s="183"/>
    </row>
    <row r="167" spans="2:24">
      <c r="B167" s="581">
        <f>B157+1</f>
        <v>45917</v>
      </c>
      <c r="C167" s="590" t="s">
        <v>205</v>
      </c>
      <c r="D167" s="209">
        <v>1</v>
      </c>
      <c r="E167" s="183"/>
      <c r="F167" s="184"/>
      <c r="G167" s="183"/>
      <c r="H167" s="183"/>
      <c r="I167" s="192"/>
      <c r="J167" s="183"/>
      <c r="K167" s="192"/>
      <c r="L167" s="184"/>
      <c r="M167" s="192"/>
      <c r="N167" s="184"/>
      <c r="O167" s="183"/>
      <c r="P167" s="185"/>
      <c r="Q167" s="248"/>
      <c r="R167" s="183"/>
      <c r="S167" s="185"/>
      <c r="T167" s="183"/>
      <c r="U167" s="183"/>
      <c r="V167" s="183"/>
      <c r="W167" s="189"/>
      <c r="X167" s="183"/>
    </row>
    <row r="168" spans="2:24">
      <c r="B168" s="582"/>
      <c r="C168" s="591"/>
      <c r="D168" s="209">
        <v>2</v>
      </c>
      <c r="E168" s="183"/>
      <c r="F168" s="184"/>
      <c r="G168" s="183"/>
      <c r="H168" s="183"/>
      <c r="I168" s="192"/>
      <c r="J168" s="183"/>
      <c r="K168" s="192"/>
      <c r="L168" s="184"/>
      <c r="M168" s="192"/>
      <c r="N168" s="184"/>
      <c r="O168" s="183"/>
      <c r="P168" s="185"/>
      <c r="Q168" s="248"/>
      <c r="R168" s="183"/>
      <c r="S168" s="185"/>
      <c r="T168" s="183"/>
      <c r="U168" s="183"/>
      <c r="V168" s="183"/>
      <c r="W168" s="189"/>
      <c r="X168" s="183"/>
    </row>
    <row r="169" spans="2:24">
      <c r="B169" s="582"/>
      <c r="C169" s="591"/>
      <c r="D169" s="209">
        <v>3</v>
      </c>
      <c r="E169" s="183"/>
      <c r="F169" s="184"/>
      <c r="G169" s="183"/>
      <c r="H169" s="183"/>
      <c r="I169" s="192"/>
      <c r="J169" s="183"/>
      <c r="K169" s="192"/>
      <c r="L169" s="184"/>
      <c r="M169" s="192"/>
      <c r="N169" s="184"/>
      <c r="O169" s="183"/>
      <c r="P169" s="185"/>
      <c r="Q169" s="248"/>
      <c r="R169" s="183"/>
      <c r="S169" s="185"/>
      <c r="T169" s="183"/>
      <c r="U169" s="183"/>
      <c r="V169" s="183"/>
      <c r="W169" s="189"/>
      <c r="X169" s="183"/>
    </row>
    <row r="170" spans="2:24">
      <c r="B170" s="582"/>
      <c r="C170" s="591"/>
      <c r="D170" s="209">
        <v>4</v>
      </c>
      <c r="E170" s="183"/>
      <c r="F170" s="184"/>
      <c r="G170" s="183"/>
      <c r="H170" s="183"/>
      <c r="I170" s="192"/>
      <c r="J170" s="183"/>
      <c r="K170" s="192"/>
      <c r="L170" s="184"/>
      <c r="M170" s="192"/>
      <c r="N170" s="184"/>
      <c r="O170" s="183"/>
      <c r="P170" s="185"/>
      <c r="Q170" s="248"/>
      <c r="R170" s="183"/>
      <c r="S170" s="185"/>
      <c r="T170" s="183"/>
      <c r="U170" s="183"/>
      <c r="V170" s="183"/>
      <c r="W170" s="189"/>
      <c r="X170" s="183"/>
    </row>
    <row r="171" spans="2:24">
      <c r="B171" s="582"/>
      <c r="C171" s="591"/>
      <c r="D171" s="209">
        <v>5</v>
      </c>
      <c r="E171" s="183"/>
      <c r="F171" s="184"/>
      <c r="G171" s="183"/>
      <c r="H171" s="183"/>
      <c r="I171" s="192"/>
      <c r="J171" s="183"/>
      <c r="K171" s="192"/>
      <c r="L171" s="184"/>
      <c r="M171" s="192"/>
      <c r="N171" s="184"/>
      <c r="O171" s="183"/>
      <c r="P171" s="185"/>
      <c r="Q171" s="248"/>
      <c r="R171" s="183"/>
      <c r="S171" s="185"/>
      <c r="T171" s="183"/>
      <c r="U171" s="183"/>
      <c r="V171" s="183"/>
      <c r="W171" s="189"/>
      <c r="X171" s="183"/>
    </row>
    <row r="172" spans="2:24">
      <c r="B172" s="582"/>
      <c r="C172" s="591"/>
      <c r="D172" s="209">
        <v>6</v>
      </c>
      <c r="E172" s="183"/>
      <c r="F172" s="184"/>
      <c r="G172" s="183"/>
      <c r="H172" s="183"/>
      <c r="I172" s="192"/>
      <c r="J172" s="183"/>
      <c r="K172" s="192"/>
      <c r="L172" s="184"/>
      <c r="M172" s="192"/>
      <c r="N172" s="184"/>
      <c r="O172" s="183"/>
      <c r="P172" s="185"/>
      <c r="Q172" s="248"/>
      <c r="R172" s="183"/>
      <c r="S172" s="185"/>
      <c r="T172" s="183"/>
      <c r="U172" s="183"/>
      <c r="V172" s="183"/>
      <c r="W172" s="189"/>
      <c r="X172" s="183"/>
    </row>
    <row r="173" spans="2:24">
      <c r="B173" s="582"/>
      <c r="C173" s="591"/>
      <c r="D173" s="209">
        <v>7</v>
      </c>
      <c r="E173" s="183"/>
      <c r="F173" s="184"/>
      <c r="G173" s="183"/>
      <c r="H173" s="183"/>
      <c r="I173" s="192"/>
      <c r="J173" s="183"/>
      <c r="K173" s="192"/>
      <c r="L173" s="184"/>
      <c r="M173" s="192"/>
      <c r="N173" s="184"/>
      <c r="O173" s="183"/>
      <c r="P173" s="185"/>
      <c r="Q173" s="248"/>
      <c r="R173" s="183"/>
      <c r="S173" s="185"/>
      <c r="T173" s="183"/>
      <c r="U173" s="183"/>
      <c r="V173" s="183"/>
      <c r="W173" s="189"/>
      <c r="X173" s="183"/>
    </row>
    <row r="174" spans="2:24">
      <c r="B174" s="582"/>
      <c r="C174" s="591"/>
      <c r="D174" s="209">
        <v>8</v>
      </c>
      <c r="E174" s="183"/>
      <c r="F174" s="184"/>
      <c r="G174" s="183"/>
      <c r="H174" s="183"/>
      <c r="I174" s="192"/>
      <c r="J174" s="183"/>
      <c r="K174" s="192"/>
      <c r="L174" s="184"/>
      <c r="M174" s="192"/>
      <c r="N174" s="184"/>
      <c r="O174" s="183"/>
      <c r="P174" s="185"/>
      <c r="Q174" s="248"/>
      <c r="R174" s="183"/>
      <c r="S174" s="185"/>
      <c r="T174" s="183"/>
      <c r="U174" s="183"/>
      <c r="V174" s="183"/>
      <c r="W174" s="189"/>
      <c r="X174" s="183"/>
    </row>
    <row r="175" spans="2:24">
      <c r="B175" s="582"/>
      <c r="C175" s="591"/>
      <c r="D175" s="209">
        <v>9</v>
      </c>
      <c r="E175" s="183"/>
      <c r="F175" s="184"/>
      <c r="G175" s="183"/>
      <c r="H175" s="183"/>
      <c r="I175" s="192"/>
      <c r="J175" s="183"/>
      <c r="K175" s="192"/>
      <c r="L175" s="184"/>
      <c r="M175" s="192"/>
      <c r="N175" s="184"/>
      <c r="O175" s="183"/>
      <c r="P175" s="185"/>
      <c r="Q175" s="248"/>
      <c r="R175" s="183"/>
      <c r="S175" s="185"/>
      <c r="T175" s="183"/>
      <c r="U175" s="183"/>
      <c r="V175" s="183"/>
      <c r="W175" s="189"/>
      <c r="X175" s="183"/>
    </row>
    <row r="176" spans="2:24">
      <c r="B176" s="583"/>
      <c r="C176" s="591"/>
      <c r="D176" s="209">
        <v>10</v>
      </c>
      <c r="E176" s="183"/>
      <c r="F176" s="184"/>
      <c r="G176" s="183"/>
      <c r="H176" s="183"/>
      <c r="I176" s="192"/>
      <c r="J176" s="183"/>
      <c r="K176" s="192"/>
      <c r="L176" s="184"/>
      <c r="M176" s="192"/>
      <c r="N176" s="184"/>
      <c r="O176" s="183"/>
      <c r="P176" s="185"/>
      <c r="Q176" s="248"/>
      <c r="R176" s="183"/>
      <c r="S176" s="185"/>
      <c r="T176" s="183"/>
      <c r="U176" s="183"/>
      <c r="V176" s="183"/>
      <c r="W176" s="189"/>
      <c r="X176" s="183"/>
    </row>
    <row r="177" spans="2:24">
      <c r="B177" s="581">
        <f t="shared" ref="B177" si="21">B167+1</f>
        <v>45918</v>
      </c>
      <c r="C177" s="590" t="s">
        <v>206</v>
      </c>
      <c r="D177" s="209">
        <v>1</v>
      </c>
      <c r="E177" s="183"/>
      <c r="F177" s="184"/>
      <c r="G177" s="183"/>
      <c r="H177" s="183"/>
      <c r="I177" s="192"/>
      <c r="J177" s="183"/>
      <c r="K177" s="192"/>
      <c r="L177" s="184"/>
      <c r="M177" s="192"/>
      <c r="N177" s="184"/>
      <c r="O177" s="183"/>
      <c r="P177" s="185"/>
      <c r="Q177" s="248"/>
      <c r="R177" s="183"/>
      <c r="S177" s="185"/>
      <c r="T177" s="183"/>
      <c r="U177" s="183"/>
      <c r="V177" s="183"/>
      <c r="W177" s="189"/>
      <c r="X177" s="183"/>
    </row>
    <row r="178" spans="2:24">
      <c r="B178" s="582"/>
      <c r="C178" s="591"/>
      <c r="D178" s="209">
        <v>2</v>
      </c>
      <c r="E178" s="183"/>
      <c r="F178" s="184"/>
      <c r="G178" s="183"/>
      <c r="H178" s="183"/>
      <c r="I178" s="192"/>
      <c r="J178" s="183"/>
      <c r="K178" s="192"/>
      <c r="L178" s="184"/>
      <c r="M178" s="192"/>
      <c r="N178" s="184"/>
      <c r="O178" s="183"/>
      <c r="P178" s="185"/>
      <c r="Q178" s="248"/>
      <c r="R178" s="183"/>
      <c r="S178" s="185"/>
      <c r="T178" s="183"/>
      <c r="U178" s="183"/>
      <c r="V178" s="183"/>
      <c r="W178" s="189"/>
      <c r="X178" s="183"/>
    </row>
    <row r="179" spans="2:24">
      <c r="B179" s="582"/>
      <c r="C179" s="591"/>
      <c r="D179" s="209">
        <v>3</v>
      </c>
      <c r="E179" s="183"/>
      <c r="F179" s="184"/>
      <c r="G179" s="183"/>
      <c r="H179" s="183"/>
      <c r="I179" s="192"/>
      <c r="J179" s="183"/>
      <c r="K179" s="192"/>
      <c r="L179" s="184"/>
      <c r="M179" s="192"/>
      <c r="N179" s="184"/>
      <c r="O179" s="183"/>
      <c r="P179" s="185"/>
      <c r="Q179" s="248"/>
      <c r="R179" s="183"/>
      <c r="S179" s="185"/>
      <c r="T179" s="183"/>
      <c r="U179" s="183"/>
      <c r="V179" s="183"/>
      <c r="W179" s="189"/>
      <c r="X179" s="183"/>
    </row>
    <row r="180" spans="2:24">
      <c r="B180" s="582"/>
      <c r="C180" s="591"/>
      <c r="D180" s="209">
        <v>4</v>
      </c>
      <c r="E180" s="183"/>
      <c r="F180" s="184"/>
      <c r="G180" s="183"/>
      <c r="H180" s="183"/>
      <c r="I180" s="192"/>
      <c r="J180" s="183"/>
      <c r="K180" s="192"/>
      <c r="L180" s="184"/>
      <c r="M180" s="192"/>
      <c r="N180" s="184"/>
      <c r="O180" s="183"/>
      <c r="P180" s="185"/>
      <c r="Q180" s="248"/>
      <c r="R180" s="183"/>
      <c r="S180" s="185"/>
      <c r="T180" s="183"/>
      <c r="U180" s="183"/>
      <c r="V180" s="183"/>
      <c r="W180" s="189"/>
      <c r="X180" s="183"/>
    </row>
    <row r="181" spans="2:24">
      <c r="B181" s="582"/>
      <c r="C181" s="591"/>
      <c r="D181" s="209">
        <v>5</v>
      </c>
      <c r="E181" s="183"/>
      <c r="F181" s="184"/>
      <c r="G181" s="183"/>
      <c r="H181" s="183"/>
      <c r="I181" s="192"/>
      <c r="J181" s="183"/>
      <c r="K181" s="192"/>
      <c r="L181" s="184"/>
      <c r="M181" s="192"/>
      <c r="N181" s="184"/>
      <c r="O181" s="183"/>
      <c r="P181" s="185"/>
      <c r="Q181" s="248"/>
      <c r="R181" s="183"/>
      <c r="S181" s="185"/>
      <c r="T181" s="183"/>
      <c r="U181" s="183"/>
      <c r="V181" s="183"/>
      <c r="W181" s="189"/>
      <c r="X181" s="183"/>
    </row>
    <row r="182" spans="2:24">
      <c r="B182" s="582"/>
      <c r="C182" s="591"/>
      <c r="D182" s="209">
        <v>6</v>
      </c>
      <c r="E182" s="183"/>
      <c r="F182" s="184"/>
      <c r="G182" s="183"/>
      <c r="H182" s="183"/>
      <c r="I182" s="192"/>
      <c r="J182" s="183"/>
      <c r="K182" s="192"/>
      <c r="L182" s="184"/>
      <c r="M182" s="192"/>
      <c r="N182" s="184"/>
      <c r="O182" s="183"/>
      <c r="P182" s="185"/>
      <c r="Q182" s="248"/>
      <c r="R182" s="183"/>
      <c r="S182" s="185"/>
      <c r="T182" s="183"/>
      <c r="U182" s="183"/>
      <c r="V182" s="183"/>
      <c r="W182" s="189"/>
      <c r="X182" s="183"/>
    </row>
    <row r="183" spans="2:24">
      <c r="B183" s="582"/>
      <c r="C183" s="591"/>
      <c r="D183" s="209">
        <v>7</v>
      </c>
      <c r="E183" s="183"/>
      <c r="F183" s="184"/>
      <c r="G183" s="183"/>
      <c r="H183" s="183"/>
      <c r="I183" s="192"/>
      <c r="J183" s="183"/>
      <c r="K183" s="192"/>
      <c r="L183" s="184"/>
      <c r="M183" s="192"/>
      <c r="N183" s="184"/>
      <c r="O183" s="183"/>
      <c r="P183" s="185"/>
      <c r="Q183" s="248"/>
      <c r="R183" s="183"/>
      <c r="S183" s="185"/>
      <c r="T183" s="183"/>
      <c r="U183" s="183"/>
      <c r="V183" s="183"/>
      <c r="W183" s="189"/>
      <c r="X183" s="183"/>
    </row>
    <row r="184" spans="2:24">
      <c r="B184" s="582"/>
      <c r="C184" s="591"/>
      <c r="D184" s="209">
        <v>8</v>
      </c>
      <c r="E184" s="183"/>
      <c r="F184" s="184"/>
      <c r="G184" s="183"/>
      <c r="H184" s="183"/>
      <c r="I184" s="192"/>
      <c r="J184" s="183"/>
      <c r="K184" s="192"/>
      <c r="L184" s="184"/>
      <c r="M184" s="192"/>
      <c r="N184" s="184"/>
      <c r="O184" s="183"/>
      <c r="P184" s="185"/>
      <c r="Q184" s="248"/>
      <c r="R184" s="183"/>
      <c r="S184" s="185"/>
      <c r="T184" s="183"/>
      <c r="U184" s="183"/>
      <c r="V184" s="183"/>
      <c r="W184" s="189"/>
      <c r="X184" s="183"/>
    </row>
    <row r="185" spans="2:24">
      <c r="B185" s="582"/>
      <c r="C185" s="591"/>
      <c r="D185" s="209">
        <v>9</v>
      </c>
      <c r="E185" s="183"/>
      <c r="F185" s="184"/>
      <c r="G185" s="183"/>
      <c r="H185" s="183"/>
      <c r="I185" s="192"/>
      <c r="J185" s="183"/>
      <c r="K185" s="192"/>
      <c r="L185" s="184"/>
      <c r="M185" s="192"/>
      <c r="N185" s="184"/>
      <c r="O185" s="183"/>
      <c r="P185" s="185"/>
      <c r="Q185" s="248"/>
      <c r="R185" s="183"/>
      <c r="S185" s="185"/>
      <c r="T185" s="183"/>
      <c r="U185" s="183"/>
      <c r="V185" s="183"/>
      <c r="W185" s="189"/>
      <c r="X185" s="183"/>
    </row>
    <row r="186" spans="2:24">
      <c r="B186" s="583"/>
      <c r="C186" s="591"/>
      <c r="D186" s="209">
        <v>10</v>
      </c>
      <c r="E186" s="183"/>
      <c r="F186" s="184"/>
      <c r="G186" s="183"/>
      <c r="H186" s="183"/>
      <c r="I186" s="192"/>
      <c r="J186" s="183"/>
      <c r="K186" s="192"/>
      <c r="L186" s="184"/>
      <c r="M186" s="192"/>
      <c r="N186" s="184"/>
      <c r="O186" s="183"/>
      <c r="P186" s="185"/>
      <c r="Q186" s="248"/>
      <c r="R186" s="183"/>
      <c r="S186" s="185"/>
      <c r="T186" s="183"/>
      <c r="U186" s="183"/>
      <c r="V186" s="183"/>
      <c r="W186" s="189"/>
      <c r="X186" s="183"/>
    </row>
    <row r="187" spans="2:24">
      <c r="B187" s="581">
        <f t="shared" ref="B187" si="22">B177+1</f>
        <v>45919</v>
      </c>
      <c r="C187" s="590" t="s">
        <v>207</v>
      </c>
      <c r="D187" s="209">
        <v>1</v>
      </c>
      <c r="E187" s="183"/>
      <c r="F187" s="184"/>
      <c r="G187" s="183"/>
      <c r="H187" s="183"/>
      <c r="I187" s="192"/>
      <c r="J187" s="183"/>
      <c r="K187" s="192"/>
      <c r="L187" s="184"/>
      <c r="M187" s="192"/>
      <c r="N187" s="184"/>
      <c r="O187" s="183"/>
      <c r="P187" s="185"/>
      <c r="Q187" s="248"/>
      <c r="R187" s="183"/>
      <c r="S187" s="185"/>
      <c r="T187" s="183"/>
      <c r="U187" s="183"/>
      <c r="V187" s="183"/>
      <c r="W187" s="189"/>
      <c r="X187" s="183"/>
    </row>
    <row r="188" spans="2:24">
      <c r="B188" s="582"/>
      <c r="C188" s="591"/>
      <c r="D188" s="209">
        <v>2</v>
      </c>
      <c r="E188" s="183"/>
      <c r="F188" s="184"/>
      <c r="G188" s="183"/>
      <c r="H188" s="183"/>
      <c r="I188" s="192"/>
      <c r="J188" s="183"/>
      <c r="K188" s="192"/>
      <c r="L188" s="184"/>
      <c r="M188" s="192"/>
      <c r="N188" s="184"/>
      <c r="O188" s="183"/>
      <c r="P188" s="185"/>
      <c r="Q188" s="248"/>
      <c r="R188" s="183"/>
      <c r="S188" s="185"/>
      <c r="T188" s="183"/>
      <c r="U188" s="183"/>
      <c r="V188" s="183"/>
      <c r="W188" s="189"/>
      <c r="X188" s="183"/>
    </row>
    <row r="189" spans="2:24">
      <c r="B189" s="582"/>
      <c r="C189" s="591"/>
      <c r="D189" s="209">
        <v>3</v>
      </c>
      <c r="E189" s="183"/>
      <c r="F189" s="184"/>
      <c r="G189" s="183"/>
      <c r="H189" s="183"/>
      <c r="I189" s="192"/>
      <c r="J189" s="183"/>
      <c r="K189" s="192"/>
      <c r="L189" s="184"/>
      <c r="M189" s="192"/>
      <c r="N189" s="184"/>
      <c r="O189" s="183"/>
      <c r="P189" s="185"/>
      <c r="Q189" s="248"/>
      <c r="R189" s="183"/>
      <c r="S189" s="185"/>
      <c r="T189" s="183"/>
      <c r="U189" s="183"/>
      <c r="V189" s="183"/>
      <c r="W189" s="189"/>
      <c r="X189" s="183"/>
    </row>
    <row r="190" spans="2:24">
      <c r="B190" s="582"/>
      <c r="C190" s="591"/>
      <c r="D190" s="209">
        <v>4</v>
      </c>
      <c r="E190" s="183"/>
      <c r="F190" s="184"/>
      <c r="G190" s="183"/>
      <c r="H190" s="183"/>
      <c r="I190" s="192"/>
      <c r="J190" s="183"/>
      <c r="K190" s="192"/>
      <c r="L190" s="184"/>
      <c r="M190" s="192"/>
      <c r="N190" s="184"/>
      <c r="O190" s="183"/>
      <c r="P190" s="185"/>
      <c r="Q190" s="248"/>
      <c r="R190" s="183"/>
      <c r="S190" s="185"/>
      <c r="T190" s="183"/>
      <c r="U190" s="183"/>
      <c r="V190" s="183"/>
      <c r="W190" s="189"/>
      <c r="X190" s="183"/>
    </row>
    <row r="191" spans="2:24">
      <c r="B191" s="582"/>
      <c r="C191" s="591"/>
      <c r="D191" s="209">
        <v>5</v>
      </c>
      <c r="E191" s="183"/>
      <c r="F191" s="184"/>
      <c r="G191" s="183"/>
      <c r="H191" s="183"/>
      <c r="I191" s="192"/>
      <c r="J191" s="183"/>
      <c r="K191" s="192"/>
      <c r="L191" s="184"/>
      <c r="M191" s="192"/>
      <c r="N191" s="184"/>
      <c r="O191" s="183"/>
      <c r="P191" s="185"/>
      <c r="Q191" s="248"/>
      <c r="R191" s="183"/>
      <c r="S191" s="185"/>
      <c r="T191" s="183"/>
      <c r="U191" s="183"/>
      <c r="V191" s="183"/>
      <c r="W191" s="189"/>
      <c r="X191" s="183"/>
    </row>
    <row r="192" spans="2:24">
      <c r="B192" s="582"/>
      <c r="C192" s="591"/>
      <c r="D192" s="209">
        <v>6</v>
      </c>
      <c r="E192" s="183"/>
      <c r="F192" s="184"/>
      <c r="G192" s="183"/>
      <c r="H192" s="183"/>
      <c r="I192" s="192"/>
      <c r="J192" s="183"/>
      <c r="K192" s="192"/>
      <c r="L192" s="184"/>
      <c r="M192" s="192"/>
      <c r="N192" s="184"/>
      <c r="O192" s="183"/>
      <c r="P192" s="185"/>
      <c r="Q192" s="248"/>
      <c r="R192" s="183"/>
      <c r="S192" s="185"/>
      <c r="T192" s="183"/>
      <c r="U192" s="183"/>
      <c r="V192" s="183"/>
      <c r="W192" s="189"/>
      <c r="X192" s="183"/>
    </row>
    <row r="193" spans="2:24">
      <c r="B193" s="582"/>
      <c r="C193" s="591"/>
      <c r="D193" s="209">
        <v>7</v>
      </c>
      <c r="E193" s="183"/>
      <c r="F193" s="184"/>
      <c r="G193" s="183"/>
      <c r="H193" s="183"/>
      <c r="I193" s="192"/>
      <c r="J193" s="183"/>
      <c r="K193" s="192"/>
      <c r="L193" s="184"/>
      <c r="M193" s="192"/>
      <c r="N193" s="184"/>
      <c r="O193" s="183"/>
      <c r="P193" s="185"/>
      <c r="Q193" s="248"/>
      <c r="R193" s="183"/>
      <c r="S193" s="185"/>
      <c r="T193" s="183"/>
      <c r="U193" s="183"/>
      <c r="V193" s="183"/>
      <c r="W193" s="189"/>
      <c r="X193" s="183"/>
    </row>
    <row r="194" spans="2:24">
      <c r="B194" s="582"/>
      <c r="C194" s="591"/>
      <c r="D194" s="209">
        <v>8</v>
      </c>
      <c r="E194" s="183"/>
      <c r="F194" s="184"/>
      <c r="G194" s="183"/>
      <c r="H194" s="183"/>
      <c r="I194" s="192"/>
      <c r="J194" s="183"/>
      <c r="K194" s="192"/>
      <c r="L194" s="184"/>
      <c r="M194" s="192"/>
      <c r="N194" s="184"/>
      <c r="O194" s="183"/>
      <c r="P194" s="185"/>
      <c r="Q194" s="248"/>
      <c r="R194" s="183"/>
      <c r="S194" s="185"/>
      <c r="T194" s="183"/>
      <c r="U194" s="183"/>
      <c r="V194" s="183"/>
      <c r="W194" s="189"/>
      <c r="X194" s="183"/>
    </row>
    <row r="195" spans="2:24">
      <c r="B195" s="582"/>
      <c r="C195" s="591"/>
      <c r="D195" s="209">
        <v>9</v>
      </c>
      <c r="E195" s="183"/>
      <c r="F195" s="184"/>
      <c r="G195" s="183"/>
      <c r="H195" s="183"/>
      <c r="I195" s="192"/>
      <c r="J195" s="183"/>
      <c r="K195" s="192"/>
      <c r="L195" s="184"/>
      <c r="M195" s="192"/>
      <c r="N195" s="184"/>
      <c r="O195" s="183"/>
      <c r="P195" s="185"/>
      <c r="Q195" s="248"/>
      <c r="R195" s="183"/>
      <c r="S195" s="185"/>
      <c r="T195" s="183"/>
      <c r="U195" s="183"/>
      <c r="V195" s="183"/>
      <c r="W195" s="189"/>
      <c r="X195" s="183"/>
    </row>
    <row r="196" spans="2:24">
      <c r="B196" s="583"/>
      <c r="C196" s="591"/>
      <c r="D196" s="209">
        <v>10</v>
      </c>
      <c r="E196" s="183"/>
      <c r="F196" s="184"/>
      <c r="G196" s="183"/>
      <c r="H196" s="183"/>
      <c r="I196" s="192"/>
      <c r="J196" s="183"/>
      <c r="K196" s="192"/>
      <c r="L196" s="184"/>
      <c r="M196" s="192"/>
      <c r="N196" s="184"/>
      <c r="O196" s="183"/>
      <c r="P196" s="185"/>
      <c r="Q196" s="248"/>
      <c r="R196" s="183"/>
      <c r="S196" s="185"/>
      <c r="T196" s="183"/>
      <c r="U196" s="183"/>
      <c r="V196" s="183"/>
      <c r="W196" s="189"/>
      <c r="X196" s="183"/>
    </row>
    <row r="197" spans="2:24">
      <c r="B197" s="581">
        <f t="shared" ref="B197" si="23">B187+1</f>
        <v>45920</v>
      </c>
      <c r="C197" s="590" t="s">
        <v>208</v>
      </c>
      <c r="D197" s="209">
        <v>1</v>
      </c>
      <c r="E197" s="183"/>
      <c r="F197" s="184"/>
      <c r="G197" s="183"/>
      <c r="H197" s="183"/>
      <c r="I197" s="192"/>
      <c r="J197" s="183"/>
      <c r="K197" s="192"/>
      <c r="L197" s="184"/>
      <c r="M197" s="192"/>
      <c r="N197" s="184"/>
      <c r="O197" s="183"/>
      <c r="P197" s="185"/>
      <c r="Q197" s="248"/>
      <c r="R197" s="183"/>
      <c r="S197" s="185"/>
      <c r="T197" s="183"/>
      <c r="U197" s="183"/>
      <c r="V197" s="183"/>
      <c r="W197" s="189"/>
      <c r="X197" s="183"/>
    </row>
    <row r="198" spans="2:24">
      <c r="B198" s="582"/>
      <c r="C198" s="591"/>
      <c r="D198" s="209">
        <v>2</v>
      </c>
      <c r="E198" s="183"/>
      <c r="F198" s="184"/>
      <c r="G198" s="183"/>
      <c r="H198" s="183"/>
      <c r="I198" s="192"/>
      <c r="J198" s="183"/>
      <c r="K198" s="192"/>
      <c r="L198" s="184"/>
      <c r="M198" s="192"/>
      <c r="N198" s="184"/>
      <c r="O198" s="183"/>
      <c r="P198" s="185"/>
      <c r="Q198" s="248"/>
      <c r="R198" s="183"/>
      <c r="S198" s="185"/>
      <c r="T198" s="183"/>
      <c r="U198" s="183"/>
      <c r="V198" s="183"/>
      <c r="W198" s="189"/>
      <c r="X198" s="183"/>
    </row>
    <row r="199" spans="2:24">
      <c r="B199" s="582"/>
      <c r="C199" s="591"/>
      <c r="D199" s="209">
        <v>3</v>
      </c>
      <c r="E199" s="183"/>
      <c r="F199" s="184"/>
      <c r="G199" s="183"/>
      <c r="H199" s="183"/>
      <c r="I199" s="192"/>
      <c r="J199" s="183"/>
      <c r="K199" s="192"/>
      <c r="L199" s="184"/>
      <c r="M199" s="192"/>
      <c r="N199" s="184"/>
      <c r="O199" s="183"/>
      <c r="P199" s="185"/>
      <c r="Q199" s="248"/>
      <c r="R199" s="183"/>
      <c r="S199" s="185"/>
      <c r="T199" s="183"/>
      <c r="U199" s="183"/>
      <c r="V199" s="183"/>
      <c r="W199" s="189"/>
      <c r="X199" s="183"/>
    </row>
    <row r="200" spans="2:24">
      <c r="B200" s="582"/>
      <c r="C200" s="591"/>
      <c r="D200" s="209">
        <v>4</v>
      </c>
      <c r="E200" s="183"/>
      <c r="F200" s="184"/>
      <c r="G200" s="183"/>
      <c r="H200" s="183"/>
      <c r="I200" s="192"/>
      <c r="J200" s="183"/>
      <c r="K200" s="192"/>
      <c r="L200" s="184"/>
      <c r="M200" s="192"/>
      <c r="N200" s="184"/>
      <c r="O200" s="183"/>
      <c r="P200" s="185"/>
      <c r="Q200" s="248"/>
      <c r="R200" s="183"/>
      <c r="S200" s="185"/>
      <c r="T200" s="183"/>
      <c r="U200" s="183"/>
      <c r="V200" s="183"/>
      <c r="W200" s="189"/>
      <c r="X200" s="183"/>
    </row>
    <row r="201" spans="2:24">
      <c r="B201" s="582"/>
      <c r="C201" s="591"/>
      <c r="D201" s="209">
        <v>5</v>
      </c>
      <c r="E201" s="183"/>
      <c r="F201" s="184"/>
      <c r="G201" s="183"/>
      <c r="H201" s="183"/>
      <c r="I201" s="192"/>
      <c r="J201" s="183"/>
      <c r="K201" s="192"/>
      <c r="L201" s="184"/>
      <c r="M201" s="192"/>
      <c r="N201" s="184"/>
      <c r="O201" s="183"/>
      <c r="P201" s="185"/>
      <c r="Q201" s="248"/>
      <c r="R201" s="183"/>
      <c r="S201" s="185"/>
      <c r="T201" s="183"/>
      <c r="U201" s="183"/>
      <c r="V201" s="183"/>
      <c r="W201" s="189"/>
      <c r="X201" s="183"/>
    </row>
    <row r="202" spans="2:24">
      <c r="B202" s="582"/>
      <c r="C202" s="591"/>
      <c r="D202" s="209">
        <v>6</v>
      </c>
      <c r="E202" s="183"/>
      <c r="F202" s="184"/>
      <c r="G202" s="183"/>
      <c r="H202" s="183"/>
      <c r="I202" s="192"/>
      <c r="J202" s="183"/>
      <c r="K202" s="192"/>
      <c r="L202" s="184"/>
      <c r="M202" s="192"/>
      <c r="N202" s="184"/>
      <c r="O202" s="183"/>
      <c r="P202" s="185"/>
      <c r="Q202" s="248"/>
      <c r="R202" s="183"/>
      <c r="S202" s="185"/>
      <c r="T202" s="183"/>
      <c r="U202" s="183"/>
      <c r="V202" s="183"/>
      <c r="W202" s="189"/>
      <c r="X202" s="183"/>
    </row>
    <row r="203" spans="2:24">
      <c r="B203" s="582"/>
      <c r="C203" s="591"/>
      <c r="D203" s="209">
        <v>7</v>
      </c>
      <c r="E203" s="183"/>
      <c r="F203" s="184"/>
      <c r="G203" s="183"/>
      <c r="H203" s="183"/>
      <c r="I203" s="192"/>
      <c r="J203" s="183"/>
      <c r="K203" s="192"/>
      <c r="L203" s="184"/>
      <c r="M203" s="192"/>
      <c r="N203" s="184"/>
      <c r="O203" s="183"/>
      <c r="P203" s="185"/>
      <c r="Q203" s="248"/>
      <c r="R203" s="183"/>
      <c r="S203" s="185"/>
      <c r="T203" s="183"/>
      <c r="U203" s="183"/>
      <c r="V203" s="183"/>
      <c r="W203" s="189"/>
      <c r="X203" s="183"/>
    </row>
    <row r="204" spans="2:24">
      <c r="B204" s="582"/>
      <c r="C204" s="591"/>
      <c r="D204" s="209">
        <v>8</v>
      </c>
      <c r="E204" s="183"/>
      <c r="F204" s="184"/>
      <c r="G204" s="183"/>
      <c r="H204" s="183"/>
      <c r="I204" s="192"/>
      <c r="J204" s="183"/>
      <c r="K204" s="192"/>
      <c r="L204" s="184"/>
      <c r="M204" s="192"/>
      <c r="N204" s="184"/>
      <c r="O204" s="183"/>
      <c r="P204" s="185"/>
      <c r="Q204" s="248"/>
      <c r="R204" s="183"/>
      <c r="S204" s="185"/>
      <c r="T204" s="183"/>
      <c r="U204" s="183"/>
      <c r="V204" s="183"/>
      <c r="W204" s="189"/>
      <c r="X204" s="183"/>
    </row>
    <row r="205" spans="2:24">
      <c r="B205" s="582"/>
      <c r="C205" s="591"/>
      <c r="D205" s="209">
        <v>9</v>
      </c>
      <c r="E205" s="183"/>
      <c r="F205" s="184"/>
      <c r="G205" s="183"/>
      <c r="H205" s="183"/>
      <c r="I205" s="192"/>
      <c r="J205" s="183"/>
      <c r="K205" s="192"/>
      <c r="L205" s="184"/>
      <c r="M205" s="192"/>
      <c r="N205" s="184"/>
      <c r="O205" s="183"/>
      <c r="P205" s="185"/>
      <c r="Q205" s="248"/>
      <c r="R205" s="183"/>
      <c r="S205" s="185"/>
      <c r="T205" s="183"/>
      <c r="U205" s="183"/>
      <c r="V205" s="183"/>
      <c r="W205" s="189"/>
      <c r="X205" s="183"/>
    </row>
    <row r="206" spans="2:24">
      <c r="B206" s="583"/>
      <c r="C206" s="591"/>
      <c r="D206" s="209">
        <v>10</v>
      </c>
      <c r="E206" s="183"/>
      <c r="F206" s="184"/>
      <c r="G206" s="183"/>
      <c r="H206" s="183"/>
      <c r="I206" s="192"/>
      <c r="J206" s="183"/>
      <c r="K206" s="192"/>
      <c r="L206" s="184"/>
      <c r="M206" s="192"/>
      <c r="N206" s="184"/>
      <c r="O206" s="183"/>
      <c r="P206" s="185"/>
      <c r="Q206" s="248"/>
      <c r="R206" s="183"/>
      <c r="S206" s="185"/>
      <c r="T206" s="183"/>
      <c r="U206" s="183"/>
      <c r="V206" s="183"/>
      <c r="W206" s="189"/>
      <c r="X206" s="183"/>
    </row>
    <row r="207" spans="2:24">
      <c r="B207" s="581">
        <f t="shared" ref="B207" si="24">B197+1</f>
        <v>45921</v>
      </c>
      <c r="C207" s="590" t="s">
        <v>157</v>
      </c>
      <c r="D207" s="209">
        <v>1</v>
      </c>
      <c r="E207" s="183"/>
      <c r="F207" s="184"/>
      <c r="G207" s="183"/>
      <c r="H207" s="183"/>
      <c r="I207" s="192"/>
      <c r="J207" s="183"/>
      <c r="K207" s="192"/>
      <c r="L207" s="184"/>
      <c r="M207" s="192"/>
      <c r="N207" s="184"/>
      <c r="O207" s="183"/>
      <c r="P207" s="185"/>
      <c r="Q207" s="248"/>
      <c r="R207" s="183"/>
      <c r="S207" s="185"/>
      <c r="T207" s="183"/>
      <c r="U207" s="183"/>
      <c r="V207" s="183"/>
      <c r="W207" s="189"/>
      <c r="X207" s="183"/>
    </row>
    <row r="208" spans="2:24">
      <c r="B208" s="582"/>
      <c r="C208" s="591"/>
      <c r="D208" s="209">
        <v>2</v>
      </c>
      <c r="E208" s="183"/>
      <c r="F208" s="184"/>
      <c r="G208" s="183"/>
      <c r="H208" s="183"/>
      <c r="I208" s="192"/>
      <c r="J208" s="183"/>
      <c r="K208" s="192"/>
      <c r="L208" s="184"/>
      <c r="M208" s="192"/>
      <c r="N208" s="184"/>
      <c r="O208" s="183"/>
      <c r="P208" s="185"/>
      <c r="Q208" s="248"/>
      <c r="R208" s="183"/>
      <c r="S208" s="185"/>
      <c r="T208" s="183"/>
      <c r="U208" s="183"/>
      <c r="V208" s="183"/>
      <c r="W208" s="189"/>
      <c r="X208" s="183"/>
    </row>
    <row r="209" spans="2:24">
      <c r="B209" s="582"/>
      <c r="C209" s="591"/>
      <c r="D209" s="209">
        <v>3</v>
      </c>
      <c r="E209" s="183"/>
      <c r="F209" s="184"/>
      <c r="G209" s="183"/>
      <c r="H209" s="183"/>
      <c r="I209" s="192"/>
      <c r="J209" s="183"/>
      <c r="K209" s="192"/>
      <c r="L209" s="184"/>
      <c r="M209" s="192"/>
      <c r="N209" s="184"/>
      <c r="O209" s="183"/>
      <c r="P209" s="185"/>
      <c r="Q209" s="248"/>
      <c r="R209" s="183"/>
      <c r="S209" s="185"/>
      <c r="T209" s="183"/>
      <c r="U209" s="183"/>
      <c r="V209" s="183"/>
      <c r="W209" s="189"/>
      <c r="X209" s="183"/>
    </row>
    <row r="210" spans="2:24">
      <c r="B210" s="582"/>
      <c r="C210" s="591"/>
      <c r="D210" s="209">
        <v>4</v>
      </c>
      <c r="E210" s="183"/>
      <c r="F210" s="184"/>
      <c r="G210" s="183"/>
      <c r="H210" s="183"/>
      <c r="I210" s="192"/>
      <c r="J210" s="183"/>
      <c r="K210" s="192"/>
      <c r="L210" s="184"/>
      <c r="M210" s="192"/>
      <c r="N210" s="184"/>
      <c r="O210" s="183"/>
      <c r="P210" s="185"/>
      <c r="Q210" s="248"/>
      <c r="R210" s="183"/>
      <c r="S210" s="185"/>
      <c r="T210" s="183"/>
      <c r="U210" s="183"/>
      <c r="V210" s="183"/>
      <c r="W210" s="189"/>
      <c r="X210" s="183"/>
    </row>
    <row r="211" spans="2:24">
      <c r="B211" s="582"/>
      <c r="C211" s="591"/>
      <c r="D211" s="209">
        <v>5</v>
      </c>
      <c r="E211" s="183"/>
      <c r="F211" s="184"/>
      <c r="G211" s="183"/>
      <c r="H211" s="183"/>
      <c r="I211" s="192"/>
      <c r="J211" s="183"/>
      <c r="K211" s="192"/>
      <c r="L211" s="184"/>
      <c r="M211" s="192"/>
      <c r="N211" s="184"/>
      <c r="O211" s="183"/>
      <c r="P211" s="185"/>
      <c r="Q211" s="248"/>
      <c r="R211" s="183"/>
      <c r="S211" s="185"/>
      <c r="T211" s="183"/>
      <c r="U211" s="183"/>
      <c r="V211" s="183"/>
      <c r="W211" s="189"/>
      <c r="X211" s="183"/>
    </row>
    <row r="212" spans="2:24">
      <c r="B212" s="582"/>
      <c r="C212" s="591"/>
      <c r="D212" s="209">
        <v>6</v>
      </c>
      <c r="E212" s="183"/>
      <c r="F212" s="184"/>
      <c r="G212" s="183"/>
      <c r="H212" s="183"/>
      <c r="I212" s="192"/>
      <c r="J212" s="183"/>
      <c r="K212" s="192"/>
      <c r="L212" s="184"/>
      <c r="M212" s="192"/>
      <c r="N212" s="184"/>
      <c r="O212" s="183"/>
      <c r="P212" s="185"/>
      <c r="Q212" s="248"/>
      <c r="R212" s="183"/>
      <c r="S212" s="185"/>
      <c r="T212" s="183"/>
      <c r="U212" s="183"/>
      <c r="V212" s="183"/>
      <c r="W212" s="189"/>
      <c r="X212" s="183"/>
    </row>
    <row r="213" spans="2:24">
      <c r="B213" s="582"/>
      <c r="C213" s="591"/>
      <c r="D213" s="209">
        <v>7</v>
      </c>
      <c r="E213" s="183"/>
      <c r="F213" s="184"/>
      <c r="G213" s="183"/>
      <c r="H213" s="183"/>
      <c r="I213" s="192"/>
      <c r="J213" s="183"/>
      <c r="K213" s="192"/>
      <c r="L213" s="184"/>
      <c r="M213" s="192"/>
      <c r="N213" s="184"/>
      <c r="O213" s="183"/>
      <c r="P213" s="185"/>
      <c r="Q213" s="248"/>
      <c r="R213" s="183"/>
      <c r="S213" s="185"/>
      <c r="T213" s="183"/>
      <c r="U213" s="183"/>
      <c r="V213" s="183"/>
      <c r="W213" s="189"/>
      <c r="X213" s="183"/>
    </row>
    <row r="214" spans="2:24">
      <c r="B214" s="582"/>
      <c r="C214" s="591"/>
      <c r="D214" s="209">
        <v>8</v>
      </c>
      <c r="E214" s="183"/>
      <c r="F214" s="184"/>
      <c r="G214" s="183"/>
      <c r="H214" s="183"/>
      <c r="I214" s="192"/>
      <c r="J214" s="183"/>
      <c r="K214" s="192"/>
      <c r="L214" s="184"/>
      <c r="M214" s="192"/>
      <c r="N214" s="184"/>
      <c r="O214" s="183"/>
      <c r="P214" s="185"/>
      <c r="Q214" s="248"/>
      <c r="R214" s="183"/>
      <c r="S214" s="185"/>
      <c r="T214" s="183"/>
      <c r="U214" s="183"/>
      <c r="V214" s="183"/>
      <c r="W214" s="189"/>
      <c r="X214" s="183"/>
    </row>
    <row r="215" spans="2:24">
      <c r="B215" s="582"/>
      <c r="C215" s="591"/>
      <c r="D215" s="209">
        <v>9</v>
      </c>
      <c r="E215" s="183"/>
      <c r="F215" s="184"/>
      <c r="G215" s="183"/>
      <c r="H215" s="183"/>
      <c r="I215" s="192"/>
      <c r="J215" s="183"/>
      <c r="K215" s="192"/>
      <c r="L215" s="184"/>
      <c r="M215" s="192"/>
      <c r="N215" s="184"/>
      <c r="O215" s="183"/>
      <c r="P215" s="185"/>
      <c r="Q215" s="248"/>
      <c r="R215" s="183"/>
      <c r="S215" s="185"/>
      <c r="T215" s="183"/>
      <c r="U215" s="183"/>
      <c r="V215" s="183"/>
      <c r="W215" s="189"/>
      <c r="X215" s="183"/>
    </row>
    <row r="216" spans="2:24">
      <c r="B216" s="583"/>
      <c r="C216" s="591"/>
      <c r="D216" s="209">
        <v>10</v>
      </c>
      <c r="E216" s="183"/>
      <c r="F216" s="184"/>
      <c r="G216" s="183"/>
      <c r="H216" s="183"/>
      <c r="I216" s="192"/>
      <c r="J216" s="183"/>
      <c r="K216" s="192"/>
      <c r="L216" s="184"/>
      <c r="M216" s="192"/>
      <c r="N216" s="184"/>
      <c r="O216" s="183"/>
      <c r="P216" s="185"/>
      <c r="Q216" s="248"/>
      <c r="R216" s="183"/>
      <c r="S216" s="185"/>
      <c r="T216" s="183"/>
      <c r="U216" s="183"/>
      <c r="V216" s="183"/>
      <c r="W216" s="189"/>
      <c r="X216" s="183"/>
    </row>
    <row r="217" spans="2:24">
      <c r="B217" s="581">
        <f t="shared" ref="B217" si="25">B207+1</f>
        <v>45922</v>
      </c>
      <c r="C217" s="590" t="s">
        <v>209</v>
      </c>
      <c r="D217" s="209">
        <v>1</v>
      </c>
      <c r="E217" s="183"/>
      <c r="F217" s="184"/>
      <c r="G217" s="183"/>
      <c r="H217" s="183"/>
      <c r="I217" s="192"/>
      <c r="J217" s="183"/>
      <c r="K217" s="192"/>
      <c r="L217" s="184"/>
      <c r="M217" s="192"/>
      <c r="N217" s="184"/>
      <c r="O217" s="183"/>
      <c r="P217" s="185"/>
      <c r="Q217" s="248"/>
      <c r="R217" s="183"/>
      <c r="S217" s="185"/>
      <c r="T217" s="183"/>
      <c r="U217" s="183"/>
      <c r="V217" s="183"/>
      <c r="W217" s="189"/>
      <c r="X217" s="183"/>
    </row>
    <row r="218" spans="2:24">
      <c r="B218" s="582"/>
      <c r="C218" s="591"/>
      <c r="D218" s="209">
        <v>2</v>
      </c>
      <c r="E218" s="183"/>
      <c r="F218" s="184"/>
      <c r="G218" s="183"/>
      <c r="H218" s="183"/>
      <c r="I218" s="192"/>
      <c r="J218" s="183"/>
      <c r="K218" s="192"/>
      <c r="L218" s="184"/>
      <c r="M218" s="192"/>
      <c r="N218" s="184"/>
      <c r="O218" s="183"/>
      <c r="P218" s="185"/>
      <c r="Q218" s="248"/>
      <c r="R218" s="183"/>
      <c r="S218" s="185"/>
      <c r="T218" s="183"/>
      <c r="U218" s="183"/>
      <c r="V218" s="183"/>
      <c r="W218" s="189"/>
      <c r="X218" s="183"/>
    </row>
    <row r="219" spans="2:24">
      <c r="B219" s="582"/>
      <c r="C219" s="591"/>
      <c r="D219" s="209">
        <v>3</v>
      </c>
      <c r="E219" s="183"/>
      <c r="F219" s="184"/>
      <c r="G219" s="183"/>
      <c r="H219" s="183"/>
      <c r="I219" s="192"/>
      <c r="J219" s="183"/>
      <c r="K219" s="192"/>
      <c r="L219" s="184"/>
      <c r="M219" s="192"/>
      <c r="N219" s="184"/>
      <c r="O219" s="183"/>
      <c r="P219" s="185"/>
      <c r="Q219" s="248"/>
      <c r="R219" s="183"/>
      <c r="S219" s="185"/>
      <c r="T219" s="183"/>
      <c r="U219" s="183"/>
      <c r="V219" s="183"/>
      <c r="W219" s="189"/>
      <c r="X219" s="183"/>
    </row>
    <row r="220" spans="2:24">
      <c r="B220" s="582"/>
      <c r="C220" s="591"/>
      <c r="D220" s="209">
        <v>4</v>
      </c>
      <c r="E220" s="183"/>
      <c r="F220" s="184"/>
      <c r="G220" s="183"/>
      <c r="H220" s="183"/>
      <c r="I220" s="192"/>
      <c r="J220" s="183"/>
      <c r="K220" s="192"/>
      <c r="L220" s="184"/>
      <c r="M220" s="192"/>
      <c r="N220" s="184"/>
      <c r="O220" s="183"/>
      <c r="P220" s="185"/>
      <c r="Q220" s="248"/>
      <c r="R220" s="183"/>
      <c r="S220" s="185"/>
      <c r="T220" s="183"/>
      <c r="U220" s="183"/>
      <c r="V220" s="183"/>
      <c r="W220" s="189"/>
      <c r="X220" s="183"/>
    </row>
    <row r="221" spans="2:24">
      <c r="B221" s="582"/>
      <c r="C221" s="591"/>
      <c r="D221" s="209">
        <v>5</v>
      </c>
      <c r="E221" s="183"/>
      <c r="F221" s="184"/>
      <c r="G221" s="183"/>
      <c r="H221" s="183"/>
      <c r="I221" s="192"/>
      <c r="J221" s="183"/>
      <c r="K221" s="192"/>
      <c r="L221" s="184"/>
      <c r="M221" s="192"/>
      <c r="N221" s="184"/>
      <c r="O221" s="183"/>
      <c r="P221" s="185"/>
      <c r="Q221" s="248"/>
      <c r="R221" s="183"/>
      <c r="S221" s="185"/>
      <c r="T221" s="183"/>
      <c r="U221" s="183"/>
      <c r="V221" s="183"/>
      <c r="W221" s="189"/>
      <c r="X221" s="183"/>
    </row>
    <row r="222" spans="2:24">
      <c r="B222" s="582"/>
      <c r="C222" s="591"/>
      <c r="D222" s="209">
        <v>6</v>
      </c>
      <c r="E222" s="183"/>
      <c r="F222" s="184"/>
      <c r="G222" s="183"/>
      <c r="H222" s="183"/>
      <c r="I222" s="192"/>
      <c r="J222" s="183"/>
      <c r="K222" s="192"/>
      <c r="L222" s="184"/>
      <c r="M222" s="192"/>
      <c r="N222" s="184"/>
      <c r="O222" s="183"/>
      <c r="P222" s="185"/>
      <c r="Q222" s="248"/>
      <c r="R222" s="183"/>
      <c r="S222" s="185"/>
      <c r="T222" s="183"/>
      <c r="U222" s="183"/>
      <c r="V222" s="183"/>
      <c r="W222" s="189"/>
      <c r="X222" s="183"/>
    </row>
    <row r="223" spans="2:24">
      <c r="B223" s="582"/>
      <c r="C223" s="591"/>
      <c r="D223" s="209">
        <v>7</v>
      </c>
      <c r="E223" s="183"/>
      <c r="F223" s="184"/>
      <c r="G223" s="183"/>
      <c r="H223" s="183"/>
      <c r="I223" s="192"/>
      <c r="J223" s="183"/>
      <c r="K223" s="192"/>
      <c r="L223" s="184"/>
      <c r="M223" s="192"/>
      <c r="N223" s="184"/>
      <c r="O223" s="183"/>
      <c r="P223" s="185"/>
      <c r="Q223" s="248"/>
      <c r="R223" s="183"/>
      <c r="S223" s="185"/>
      <c r="T223" s="183"/>
      <c r="U223" s="183"/>
      <c r="V223" s="183"/>
      <c r="W223" s="189"/>
      <c r="X223" s="183"/>
    </row>
    <row r="224" spans="2:24">
      <c r="B224" s="582"/>
      <c r="C224" s="591"/>
      <c r="D224" s="209">
        <v>8</v>
      </c>
      <c r="E224" s="183"/>
      <c r="F224" s="184"/>
      <c r="G224" s="183"/>
      <c r="H224" s="183"/>
      <c r="I224" s="192"/>
      <c r="J224" s="183"/>
      <c r="K224" s="192"/>
      <c r="L224" s="184"/>
      <c r="M224" s="192"/>
      <c r="N224" s="184"/>
      <c r="O224" s="183"/>
      <c r="P224" s="185"/>
      <c r="Q224" s="248"/>
      <c r="R224" s="183"/>
      <c r="S224" s="185"/>
      <c r="T224" s="183"/>
      <c r="U224" s="183"/>
      <c r="V224" s="183"/>
      <c r="W224" s="189"/>
      <c r="X224" s="183"/>
    </row>
    <row r="225" spans="2:24">
      <c r="B225" s="582"/>
      <c r="C225" s="591"/>
      <c r="D225" s="209">
        <v>9</v>
      </c>
      <c r="E225" s="183"/>
      <c r="F225" s="184"/>
      <c r="G225" s="183"/>
      <c r="H225" s="183"/>
      <c r="I225" s="192"/>
      <c r="J225" s="183"/>
      <c r="K225" s="192"/>
      <c r="L225" s="184"/>
      <c r="M225" s="192"/>
      <c r="N225" s="184"/>
      <c r="O225" s="183"/>
      <c r="P225" s="185"/>
      <c r="Q225" s="248"/>
      <c r="R225" s="183"/>
      <c r="S225" s="185"/>
      <c r="T225" s="183"/>
      <c r="U225" s="183"/>
      <c r="V225" s="183"/>
      <c r="W225" s="189"/>
      <c r="X225" s="183"/>
    </row>
    <row r="226" spans="2:24">
      <c r="B226" s="583"/>
      <c r="C226" s="591"/>
      <c r="D226" s="209">
        <v>10</v>
      </c>
      <c r="E226" s="183"/>
      <c r="F226" s="184"/>
      <c r="G226" s="183"/>
      <c r="H226" s="183"/>
      <c r="I226" s="192"/>
      <c r="J226" s="183"/>
      <c r="K226" s="192"/>
      <c r="L226" s="184"/>
      <c r="M226" s="192"/>
      <c r="N226" s="184"/>
      <c r="O226" s="183"/>
      <c r="P226" s="185"/>
      <c r="Q226" s="248"/>
      <c r="R226" s="183"/>
      <c r="S226" s="185"/>
      <c r="T226" s="183"/>
      <c r="U226" s="183"/>
      <c r="V226" s="183"/>
      <c r="W226" s="189"/>
      <c r="X226" s="183"/>
    </row>
    <row r="227" spans="2:24">
      <c r="B227" s="581">
        <f t="shared" ref="B227" si="26">B217+1</f>
        <v>45923</v>
      </c>
      <c r="C227" s="590" t="s">
        <v>204</v>
      </c>
      <c r="D227" s="209">
        <v>1</v>
      </c>
      <c r="E227" s="183"/>
      <c r="F227" s="184"/>
      <c r="G227" s="183"/>
      <c r="H227" s="183"/>
      <c r="I227" s="192"/>
      <c r="J227" s="183"/>
      <c r="K227" s="192"/>
      <c r="L227" s="184"/>
      <c r="M227" s="192"/>
      <c r="N227" s="184"/>
      <c r="O227" s="183"/>
      <c r="P227" s="185"/>
      <c r="Q227" s="248"/>
      <c r="R227" s="183"/>
      <c r="S227" s="185"/>
      <c r="T227" s="183"/>
      <c r="U227" s="183"/>
      <c r="V227" s="183"/>
      <c r="W227" s="189"/>
      <c r="X227" s="183"/>
    </row>
    <row r="228" spans="2:24">
      <c r="B228" s="582"/>
      <c r="C228" s="591"/>
      <c r="D228" s="209">
        <v>2</v>
      </c>
      <c r="E228" s="183"/>
      <c r="F228" s="184"/>
      <c r="G228" s="183"/>
      <c r="H228" s="183"/>
      <c r="I228" s="192"/>
      <c r="J228" s="183"/>
      <c r="K228" s="192"/>
      <c r="L228" s="184"/>
      <c r="M228" s="192"/>
      <c r="N228" s="184"/>
      <c r="O228" s="183"/>
      <c r="P228" s="185"/>
      <c r="Q228" s="248"/>
      <c r="R228" s="183"/>
      <c r="S228" s="185"/>
      <c r="T228" s="183"/>
      <c r="U228" s="183"/>
      <c r="V228" s="183"/>
      <c r="W228" s="189"/>
      <c r="X228" s="183"/>
    </row>
    <row r="229" spans="2:24">
      <c r="B229" s="582"/>
      <c r="C229" s="591"/>
      <c r="D229" s="209">
        <v>3</v>
      </c>
      <c r="E229" s="183"/>
      <c r="F229" s="184"/>
      <c r="G229" s="183"/>
      <c r="H229" s="183"/>
      <c r="I229" s="192"/>
      <c r="J229" s="183"/>
      <c r="K229" s="192"/>
      <c r="L229" s="184"/>
      <c r="M229" s="192"/>
      <c r="N229" s="184"/>
      <c r="O229" s="183"/>
      <c r="P229" s="185"/>
      <c r="Q229" s="248"/>
      <c r="R229" s="183"/>
      <c r="S229" s="185"/>
      <c r="T229" s="183"/>
      <c r="U229" s="183"/>
      <c r="V229" s="183"/>
      <c r="W229" s="189"/>
      <c r="X229" s="183"/>
    </row>
    <row r="230" spans="2:24">
      <c r="B230" s="582"/>
      <c r="C230" s="591"/>
      <c r="D230" s="209">
        <v>4</v>
      </c>
      <c r="E230" s="183"/>
      <c r="F230" s="184"/>
      <c r="G230" s="183"/>
      <c r="H230" s="183"/>
      <c r="I230" s="192"/>
      <c r="J230" s="183"/>
      <c r="K230" s="192"/>
      <c r="L230" s="184"/>
      <c r="M230" s="192"/>
      <c r="N230" s="184"/>
      <c r="O230" s="183"/>
      <c r="P230" s="185"/>
      <c r="Q230" s="248"/>
      <c r="R230" s="183"/>
      <c r="S230" s="185"/>
      <c r="T230" s="183"/>
      <c r="U230" s="183"/>
      <c r="V230" s="183"/>
      <c r="W230" s="189"/>
      <c r="X230" s="183"/>
    </row>
    <row r="231" spans="2:24">
      <c r="B231" s="582"/>
      <c r="C231" s="591"/>
      <c r="D231" s="209">
        <v>5</v>
      </c>
      <c r="E231" s="183"/>
      <c r="F231" s="184"/>
      <c r="G231" s="183"/>
      <c r="H231" s="183"/>
      <c r="I231" s="192"/>
      <c r="J231" s="183"/>
      <c r="K231" s="192"/>
      <c r="L231" s="184"/>
      <c r="M231" s="192"/>
      <c r="N231" s="184"/>
      <c r="O231" s="183"/>
      <c r="P231" s="185"/>
      <c r="Q231" s="248"/>
      <c r="R231" s="183"/>
      <c r="S231" s="185"/>
      <c r="T231" s="183"/>
      <c r="U231" s="183"/>
      <c r="V231" s="183"/>
      <c r="W231" s="189"/>
      <c r="X231" s="183"/>
    </row>
    <row r="232" spans="2:24">
      <c r="B232" s="582"/>
      <c r="C232" s="591"/>
      <c r="D232" s="209">
        <v>6</v>
      </c>
      <c r="E232" s="183"/>
      <c r="F232" s="184"/>
      <c r="G232" s="183"/>
      <c r="H232" s="183"/>
      <c r="I232" s="192"/>
      <c r="J232" s="183"/>
      <c r="K232" s="192"/>
      <c r="L232" s="184"/>
      <c r="M232" s="192"/>
      <c r="N232" s="184"/>
      <c r="O232" s="183"/>
      <c r="P232" s="185"/>
      <c r="Q232" s="248"/>
      <c r="R232" s="183"/>
      <c r="S232" s="185"/>
      <c r="T232" s="183"/>
      <c r="U232" s="183"/>
      <c r="V232" s="183"/>
      <c r="W232" s="189"/>
      <c r="X232" s="183"/>
    </row>
    <row r="233" spans="2:24">
      <c r="B233" s="582"/>
      <c r="C233" s="591"/>
      <c r="D233" s="209">
        <v>7</v>
      </c>
      <c r="E233" s="183"/>
      <c r="F233" s="184"/>
      <c r="G233" s="183"/>
      <c r="H233" s="183"/>
      <c r="I233" s="192"/>
      <c r="J233" s="183"/>
      <c r="K233" s="192"/>
      <c r="L233" s="184"/>
      <c r="M233" s="192"/>
      <c r="N233" s="184"/>
      <c r="O233" s="183"/>
      <c r="P233" s="185"/>
      <c r="Q233" s="248"/>
      <c r="R233" s="183"/>
      <c r="S233" s="185"/>
      <c r="T233" s="183"/>
      <c r="U233" s="183"/>
      <c r="V233" s="183"/>
      <c r="W233" s="189"/>
      <c r="X233" s="183"/>
    </row>
    <row r="234" spans="2:24">
      <c r="B234" s="582"/>
      <c r="C234" s="591"/>
      <c r="D234" s="209">
        <v>8</v>
      </c>
      <c r="E234" s="183"/>
      <c r="F234" s="184"/>
      <c r="G234" s="183"/>
      <c r="H234" s="183"/>
      <c r="I234" s="192"/>
      <c r="J234" s="183"/>
      <c r="K234" s="192"/>
      <c r="L234" s="184"/>
      <c r="M234" s="192"/>
      <c r="N234" s="184"/>
      <c r="O234" s="183"/>
      <c r="P234" s="185"/>
      <c r="Q234" s="248"/>
      <c r="R234" s="183"/>
      <c r="S234" s="185"/>
      <c r="T234" s="183"/>
      <c r="U234" s="183"/>
      <c r="V234" s="183"/>
      <c r="W234" s="189"/>
      <c r="X234" s="183"/>
    </row>
    <row r="235" spans="2:24">
      <c r="B235" s="582"/>
      <c r="C235" s="591"/>
      <c r="D235" s="209">
        <v>9</v>
      </c>
      <c r="E235" s="183"/>
      <c r="F235" s="184"/>
      <c r="G235" s="183"/>
      <c r="H235" s="183"/>
      <c r="I235" s="192"/>
      <c r="J235" s="183"/>
      <c r="K235" s="192"/>
      <c r="L235" s="184"/>
      <c r="M235" s="192"/>
      <c r="N235" s="184"/>
      <c r="O235" s="183"/>
      <c r="P235" s="185"/>
      <c r="Q235" s="248"/>
      <c r="R235" s="183"/>
      <c r="S235" s="185"/>
      <c r="T235" s="183"/>
      <c r="U235" s="183"/>
      <c r="V235" s="183"/>
      <c r="W235" s="189"/>
      <c r="X235" s="183"/>
    </row>
    <row r="236" spans="2:24">
      <c r="B236" s="583"/>
      <c r="C236" s="591"/>
      <c r="D236" s="209">
        <v>10</v>
      </c>
      <c r="E236" s="183"/>
      <c r="F236" s="184"/>
      <c r="G236" s="183"/>
      <c r="H236" s="183"/>
      <c r="I236" s="192"/>
      <c r="J236" s="183"/>
      <c r="K236" s="192"/>
      <c r="L236" s="184"/>
      <c r="M236" s="192"/>
      <c r="N236" s="184"/>
      <c r="O236" s="183"/>
      <c r="P236" s="185"/>
      <c r="Q236" s="248"/>
      <c r="R236" s="183"/>
      <c r="S236" s="185"/>
      <c r="T236" s="183"/>
      <c r="U236" s="183"/>
      <c r="V236" s="183"/>
      <c r="W236" s="189"/>
      <c r="X236" s="183"/>
    </row>
    <row r="237" spans="2:24">
      <c r="B237" s="581">
        <f t="shared" ref="B237" si="27">B227+1</f>
        <v>45924</v>
      </c>
      <c r="C237" s="590" t="s">
        <v>205</v>
      </c>
      <c r="D237" s="209">
        <v>1</v>
      </c>
      <c r="E237" s="183"/>
      <c r="F237" s="184"/>
      <c r="G237" s="183"/>
      <c r="H237" s="183"/>
      <c r="I237" s="192"/>
      <c r="J237" s="183"/>
      <c r="K237" s="192"/>
      <c r="L237" s="184"/>
      <c r="M237" s="192"/>
      <c r="N237" s="184"/>
      <c r="O237" s="183"/>
      <c r="P237" s="185"/>
      <c r="Q237" s="248"/>
      <c r="R237" s="183"/>
      <c r="S237" s="185"/>
      <c r="T237" s="183"/>
      <c r="U237" s="183"/>
      <c r="V237" s="183"/>
      <c r="W237" s="189"/>
      <c r="X237" s="183"/>
    </row>
    <row r="238" spans="2:24">
      <c r="B238" s="582"/>
      <c r="C238" s="591"/>
      <c r="D238" s="209">
        <v>2</v>
      </c>
      <c r="E238" s="183"/>
      <c r="F238" s="184"/>
      <c r="G238" s="183"/>
      <c r="H238" s="183"/>
      <c r="I238" s="192"/>
      <c r="J238" s="183"/>
      <c r="K238" s="192"/>
      <c r="L238" s="184"/>
      <c r="M238" s="192"/>
      <c r="N238" s="184"/>
      <c r="O238" s="183"/>
      <c r="P238" s="185"/>
      <c r="Q238" s="248"/>
      <c r="R238" s="183"/>
      <c r="S238" s="185"/>
      <c r="T238" s="183"/>
      <c r="U238" s="183"/>
      <c r="V238" s="183"/>
      <c r="W238" s="189"/>
      <c r="X238" s="183"/>
    </row>
    <row r="239" spans="2:24">
      <c r="B239" s="582"/>
      <c r="C239" s="591"/>
      <c r="D239" s="209">
        <v>3</v>
      </c>
      <c r="E239" s="183"/>
      <c r="F239" s="184"/>
      <c r="G239" s="183"/>
      <c r="H239" s="183"/>
      <c r="I239" s="192"/>
      <c r="J239" s="183"/>
      <c r="K239" s="192"/>
      <c r="L239" s="184"/>
      <c r="M239" s="192"/>
      <c r="N239" s="184"/>
      <c r="O239" s="183"/>
      <c r="P239" s="185"/>
      <c r="Q239" s="248"/>
      <c r="R239" s="183"/>
      <c r="S239" s="185"/>
      <c r="T239" s="183"/>
      <c r="U239" s="183"/>
      <c r="V239" s="183"/>
      <c r="W239" s="189"/>
      <c r="X239" s="183"/>
    </row>
    <row r="240" spans="2:24">
      <c r="B240" s="582"/>
      <c r="C240" s="591"/>
      <c r="D240" s="209">
        <v>4</v>
      </c>
      <c r="E240" s="183"/>
      <c r="F240" s="184"/>
      <c r="G240" s="183"/>
      <c r="H240" s="183"/>
      <c r="I240" s="192"/>
      <c r="J240" s="183"/>
      <c r="K240" s="192"/>
      <c r="L240" s="184"/>
      <c r="M240" s="192"/>
      <c r="N240" s="184"/>
      <c r="O240" s="183"/>
      <c r="P240" s="185"/>
      <c r="Q240" s="248"/>
      <c r="R240" s="183"/>
      <c r="S240" s="185"/>
      <c r="T240" s="183"/>
      <c r="U240" s="183"/>
      <c r="V240" s="183"/>
      <c r="W240" s="189"/>
      <c r="X240" s="183"/>
    </row>
    <row r="241" spans="2:24">
      <c r="B241" s="582"/>
      <c r="C241" s="591"/>
      <c r="D241" s="209">
        <v>5</v>
      </c>
      <c r="E241" s="183"/>
      <c r="F241" s="184"/>
      <c r="G241" s="183"/>
      <c r="H241" s="183"/>
      <c r="I241" s="192"/>
      <c r="J241" s="183"/>
      <c r="K241" s="192"/>
      <c r="L241" s="184"/>
      <c r="M241" s="192"/>
      <c r="N241" s="184"/>
      <c r="O241" s="183"/>
      <c r="P241" s="185"/>
      <c r="Q241" s="248"/>
      <c r="R241" s="183"/>
      <c r="S241" s="185"/>
      <c r="T241" s="183"/>
      <c r="U241" s="183"/>
      <c r="V241" s="183"/>
      <c r="W241" s="189"/>
      <c r="X241" s="183"/>
    </row>
    <row r="242" spans="2:24">
      <c r="B242" s="582"/>
      <c r="C242" s="591"/>
      <c r="D242" s="209">
        <v>6</v>
      </c>
      <c r="E242" s="183"/>
      <c r="F242" s="184"/>
      <c r="G242" s="183"/>
      <c r="H242" s="183"/>
      <c r="I242" s="192"/>
      <c r="J242" s="183"/>
      <c r="K242" s="192"/>
      <c r="L242" s="184"/>
      <c r="M242" s="192"/>
      <c r="N242" s="184"/>
      <c r="O242" s="183"/>
      <c r="P242" s="185"/>
      <c r="Q242" s="248"/>
      <c r="R242" s="183"/>
      <c r="S242" s="185"/>
      <c r="T242" s="183"/>
      <c r="U242" s="183"/>
      <c r="V242" s="183"/>
      <c r="W242" s="189"/>
      <c r="X242" s="183"/>
    </row>
    <row r="243" spans="2:24">
      <c r="B243" s="582"/>
      <c r="C243" s="591"/>
      <c r="D243" s="209">
        <v>7</v>
      </c>
      <c r="E243" s="183"/>
      <c r="F243" s="184"/>
      <c r="G243" s="183"/>
      <c r="H243" s="183"/>
      <c r="I243" s="192"/>
      <c r="J243" s="183"/>
      <c r="K243" s="192"/>
      <c r="L243" s="184"/>
      <c r="M243" s="192"/>
      <c r="N243" s="184"/>
      <c r="O243" s="183"/>
      <c r="P243" s="185"/>
      <c r="Q243" s="248"/>
      <c r="R243" s="183"/>
      <c r="S243" s="185"/>
      <c r="T243" s="183"/>
      <c r="U243" s="183"/>
      <c r="V243" s="183"/>
      <c r="W243" s="189"/>
      <c r="X243" s="183"/>
    </row>
    <row r="244" spans="2:24">
      <c r="B244" s="582"/>
      <c r="C244" s="591"/>
      <c r="D244" s="209">
        <v>8</v>
      </c>
      <c r="E244" s="183"/>
      <c r="F244" s="184"/>
      <c r="G244" s="183"/>
      <c r="H244" s="183"/>
      <c r="I244" s="192"/>
      <c r="J244" s="183"/>
      <c r="K244" s="192"/>
      <c r="L244" s="184"/>
      <c r="M244" s="192"/>
      <c r="N244" s="184"/>
      <c r="O244" s="183"/>
      <c r="P244" s="185"/>
      <c r="Q244" s="248"/>
      <c r="R244" s="183"/>
      <c r="S244" s="185"/>
      <c r="T244" s="183"/>
      <c r="U244" s="183"/>
      <c r="V244" s="183"/>
      <c r="W244" s="189"/>
      <c r="X244" s="183"/>
    </row>
    <row r="245" spans="2:24">
      <c r="B245" s="582"/>
      <c r="C245" s="591"/>
      <c r="D245" s="209">
        <v>9</v>
      </c>
      <c r="E245" s="183"/>
      <c r="F245" s="184"/>
      <c r="G245" s="183"/>
      <c r="H245" s="183"/>
      <c r="I245" s="192"/>
      <c r="J245" s="183"/>
      <c r="K245" s="192"/>
      <c r="L245" s="184"/>
      <c r="M245" s="192"/>
      <c r="N245" s="184"/>
      <c r="O245" s="183"/>
      <c r="P245" s="185"/>
      <c r="Q245" s="248"/>
      <c r="R245" s="183"/>
      <c r="S245" s="185"/>
      <c r="T245" s="183"/>
      <c r="U245" s="183"/>
      <c r="V245" s="183"/>
      <c r="W245" s="189"/>
      <c r="X245" s="183"/>
    </row>
    <row r="246" spans="2:24">
      <c r="B246" s="583"/>
      <c r="C246" s="591"/>
      <c r="D246" s="209">
        <v>10</v>
      </c>
      <c r="E246" s="183"/>
      <c r="F246" s="184"/>
      <c r="G246" s="183"/>
      <c r="H246" s="183"/>
      <c r="I246" s="192"/>
      <c r="J246" s="183"/>
      <c r="K246" s="192"/>
      <c r="L246" s="184"/>
      <c r="M246" s="192"/>
      <c r="N246" s="184"/>
      <c r="O246" s="183"/>
      <c r="P246" s="185"/>
      <c r="Q246" s="248"/>
      <c r="R246" s="183"/>
      <c r="S246" s="185"/>
      <c r="T246" s="183"/>
      <c r="U246" s="183"/>
      <c r="V246" s="183"/>
      <c r="W246" s="189"/>
      <c r="X246" s="183"/>
    </row>
    <row r="247" spans="2:24">
      <c r="B247" s="581">
        <f t="shared" ref="B247" si="28">B237+1</f>
        <v>45925</v>
      </c>
      <c r="C247" s="590" t="s">
        <v>206</v>
      </c>
      <c r="D247" s="209">
        <v>1</v>
      </c>
      <c r="E247" s="183"/>
      <c r="F247" s="184"/>
      <c r="G247" s="183"/>
      <c r="H247" s="183"/>
      <c r="I247" s="192"/>
      <c r="J247" s="183"/>
      <c r="K247" s="192"/>
      <c r="L247" s="184"/>
      <c r="M247" s="192"/>
      <c r="N247" s="184"/>
      <c r="O247" s="183"/>
      <c r="P247" s="185"/>
      <c r="Q247" s="248"/>
      <c r="R247" s="183"/>
      <c r="S247" s="185"/>
      <c r="T247" s="183"/>
      <c r="U247" s="183"/>
      <c r="V247" s="183"/>
      <c r="W247" s="189"/>
      <c r="X247" s="183"/>
    </row>
    <row r="248" spans="2:24">
      <c r="B248" s="582"/>
      <c r="C248" s="591"/>
      <c r="D248" s="209">
        <v>2</v>
      </c>
      <c r="E248" s="183"/>
      <c r="F248" s="184"/>
      <c r="G248" s="183"/>
      <c r="H248" s="183"/>
      <c r="I248" s="192"/>
      <c r="J248" s="183"/>
      <c r="K248" s="192"/>
      <c r="L248" s="184"/>
      <c r="M248" s="192"/>
      <c r="N248" s="184"/>
      <c r="O248" s="183"/>
      <c r="P248" s="185"/>
      <c r="Q248" s="248"/>
      <c r="R248" s="183"/>
      <c r="S248" s="185"/>
      <c r="T248" s="183"/>
      <c r="U248" s="183"/>
      <c r="V248" s="183"/>
      <c r="W248" s="189"/>
      <c r="X248" s="183"/>
    </row>
    <row r="249" spans="2:24">
      <c r="B249" s="582"/>
      <c r="C249" s="591"/>
      <c r="D249" s="209">
        <v>3</v>
      </c>
      <c r="E249" s="183"/>
      <c r="F249" s="184"/>
      <c r="G249" s="183"/>
      <c r="H249" s="183"/>
      <c r="I249" s="192"/>
      <c r="J249" s="183"/>
      <c r="K249" s="192"/>
      <c r="L249" s="184"/>
      <c r="M249" s="192"/>
      <c r="N249" s="184"/>
      <c r="O249" s="183"/>
      <c r="P249" s="185"/>
      <c r="Q249" s="248"/>
      <c r="R249" s="183"/>
      <c r="S249" s="185"/>
      <c r="T249" s="183"/>
      <c r="U249" s="183"/>
      <c r="V249" s="183"/>
      <c r="W249" s="189"/>
      <c r="X249" s="183"/>
    </row>
    <row r="250" spans="2:24">
      <c r="B250" s="582"/>
      <c r="C250" s="591"/>
      <c r="D250" s="209">
        <v>4</v>
      </c>
      <c r="E250" s="183"/>
      <c r="F250" s="184"/>
      <c r="G250" s="183"/>
      <c r="H250" s="183"/>
      <c r="I250" s="192"/>
      <c r="J250" s="183"/>
      <c r="K250" s="192"/>
      <c r="L250" s="184"/>
      <c r="M250" s="192"/>
      <c r="N250" s="184"/>
      <c r="O250" s="183"/>
      <c r="P250" s="185"/>
      <c r="Q250" s="248"/>
      <c r="R250" s="183"/>
      <c r="S250" s="185"/>
      <c r="T250" s="183"/>
      <c r="U250" s="183"/>
      <c r="V250" s="183"/>
      <c r="W250" s="189"/>
      <c r="X250" s="183"/>
    </row>
    <row r="251" spans="2:24">
      <c r="B251" s="582"/>
      <c r="C251" s="591"/>
      <c r="D251" s="209">
        <v>5</v>
      </c>
      <c r="E251" s="183"/>
      <c r="F251" s="184"/>
      <c r="G251" s="183"/>
      <c r="H251" s="183"/>
      <c r="I251" s="192"/>
      <c r="J251" s="183"/>
      <c r="K251" s="192"/>
      <c r="L251" s="184"/>
      <c r="M251" s="192"/>
      <c r="N251" s="184"/>
      <c r="O251" s="183"/>
      <c r="P251" s="185"/>
      <c r="Q251" s="248"/>
      <c r="R251" s="183"/>
      <c r="S251" s="185"/>
      <c r="T251" s="183"/>
      <c r="U251" s="183"/>
      <c r="V251" s="183"/>
      <c r="W251" s="189"/>
      <c r="X251" s="183"/>
    </row>
    <row r="252" spans="2:24">
      <c r="B252" s="582"/>
      <c r="C252" s="591"/>
      <c r="D252" s="209">
        <v>6</v>
      </c>
      <c r="E252" s="183"/>
      <c r="F252" s="184"/>
      <c r="G252" s="183"/>
      <c r="H252" s="183"/>
      <c r="I252" s="192"/>
      <c r="J252" s="183"/>
      <c r="K252" s="192"/>
      <c r="L252" s="184"/>
      <c r="M252" s="192"/>
      <c r="N252" s="184"/>
      <c r="O252" s="183"/>
      <c r="P252" s="185"/>
      <c r="Q252" s="248"/>
      <c r="R252" s="183"/>
      <c r="S252" s="185"/>
      <c r="T252" s="183"/>
      <c r="U252" s="183"/>
      <c r="V252" s="183"/>
      <c r="W252" s="189"/>
      <c r="X252" s="183"/>
    </row>
    <row r="253" spans="2:24">
      <c r="B253" s="582"/>
      <c r="C253" s="591"/>
      <c r="D253" s="209">
        <v>7</v>
      </c>
      <c r="E253" s="183"/>
      <c r="F253" s="184"/>
      <c r="G253" s="183"/>
      <c r="H253" s="183"/>
      <c r="I253" s="192"/>
      <c r="J253" s="183"/>
      <c r="K253" s="192"/>
      <c r="L253" s="184"/>
      <c r="M253" s="192"/>
      <c r="N253" s="184"/>
      <c r="O253" s="183"/>
      <c r="P253" s="185"/>
      <c r="Q253" s="248"/>
      <c r="R253" s="183"/>
      <c r="S253" s="185"/>
      <c r="T253" s="183"/>
      <c r="U253" s="183"/>
      <c r="V253" s="183"/>
      <c r="W253" s="189"/>
      <c r="X253" s="183"/>
    </row>
    <row r="254" spans="2:24">
      <c r="B254" s="582"/>
      <c r="C254" s="591"/>
      <c r="D254" s="209">
        <v>8</v>
      </c>
      <c r="E254" s="183"/>
      <c r="F254" s="184"/>
      <c r="G254" s="183"/>
      <c r="H254" s="183"/>
      <c r="I254" s="192"/>
      <c r="J254" s="183"/>
      <c r="K254" s="192"/>
      <c r="L254" s="184"/>
      <c r="M254" s="192"/>
      <c r="N254" s="184"/>
      <c r="O254" s="183"/>
      <c r="P254" s="185"/>
      <c r="Q254" s="248"/>
      <c r="R254" s="183"/>
      <c r="S254" s="185"/>
      <c r="T254" s="183"/>
      <c r="U254" s="183"/>
      <c r="V254" s="183"/>
      <c r="W254" s="189"/>
      <c r="X254" s="183"/>
    </row>
    <row r="255" spans="2:24">
      <c r="B255" s="582"/>
      <c r="C255" s="591"/>
      <c r="D255" s="209">
        <v>9</v>
      </c>
      <c r="E255" s="183"/>
      <c r="F255" s="184"/>
      <c r="G255" s="183"/>
      <c r="H255" s="183"/>
      <c r="I255" s="192"/>
      <c r="J255" s="183"/>
      <c r="K255" s="192"/>
      <c r="L255" s="184"/>
      <c r="M255" s="192"/>
      <c r="N255" s="184"/>
      <c r="O255" s="183"/>
      <c r="P255" s="185"/>
      <c r="Q255" s="248"/>
      <c r="R255" s="183"/>
      <c r="S255" s="185"/>
      <c r="T255" s="183"/>
      <c r="U255" s="183"/>
      <c r="V255" s="183"/>
      <c r="W255" s="189"/>
      <c r="X255" s="183"/>
    </row>
    <row r="256" spans="2:24">
      <c r="B256" s="583"/>
      <c r="C256" s="591"/>
      <c r="D256" s="209">
        <v>10</v>
      </c>
      <c r="E256" s="183"/>
      <c r="F256" s="184"/>
      <c r="G256" s="183"/>
      <c r="H256" s="183"/>
      <c r="I256" s="192"/>
      <c r="J256" s="183"/>
      <c r="K256" s="192"/>
      <c r="L256" s="184"/>
      <c r="M256" s="192"/>
      <c r="N256" s="184"/>
      <c r="O256" s="183"/>
      <c r="P256" s="185"/>
      <c r="Q256" s="248"/>
      <c r="R256" s="183"/>
      <c r="S256" s="185"/>
      <c r="T256" s="183"/>
      <c r="U256" s="183"/>
      <c r="V256" s="183"/>
      <c r="W256" s="189"/>
      <c r="X256" s="183"/>
    </row>
    <row r="257" spans="2:24">
      <c r="B257" s="581">
        <f t="shared" ref="B257" si="29">B247+1</f>
        <v>45926</v>
      </c>
      <c r="C257" s="590" t="s">
        <v>207</v>
      </c>
      <c r="D257" s="209">
        <v>1</v>
      </c>
      <c r="E257" s="183"/>
      <c r="F257" s="184"/>
      <c r="G257" s="183"/>
      <c r="H257" s="183"/>
      <c r="I257" s="192"/>
      <c r="J257" s="183"/>
      <c r="K257" s="192"/>
      <c r="L257" s="184"/>
      <c r="M257" s="192"/>
      <c r="N257" s="184"/>
      <c r="O257" s="183"/>
      <c r="P257" s="185"/>
      <c r="Q257" s="248"/>
      <c r="R257" s="183"/>
      <c r="S257" s="185"/>
      <c r="T257" s="183"/>
      <c r="U257" s="183"/>
      <c r="V257" s="183"/>
      <c r="W257" s="189"/>
      <c r="X257" s="183"/>
    </row>
    <row r="258" spans="2:24">
      <c r="B258" s="582"/>
      <c r="C258" s="591"/>
      <c r="D258" s="209">
        <v>2</v>
      </c>
      <c r="E258" s="183"/>
      <c r="F258" s="184"/>
      <c r="G258" s="183"/>
      <c r="H258" s="183"/>
      <c r="I258" s="192"/>
      <c r="J258" s="183"/>
      <c r="K258" s="192"/>
      <c r="L258" s="184"/>
      <c r="M258" s="192"/>
      <c r="N258" s="184"/>
      <c r="O258" s="183"/>
      <c r="P258" s="185"/>
      <c r="Q258" s="248"/>
      <c r="R258" s="183"/>
      <c r="S258" s="185"/>
      <c r="T258" s="183"/>
      <c r="U258" s="183"/>
      <c r="V258" s="183"/>
      <c r="W258" s="189"/>
      <c r="X258" s="183"/>
    </row>
    <row r="259" spans="2:24">
      <c r="B259" s="582"/>
      <c r="C259" s="591"/>
      <c r="D259" s="209">
        <v>3</v>
      </c>
      <c r="E259" s="183"/>
      <c r="F259" s="184"/>
      <c r="G259" s="183"/>
      <c r="H259" s="183"/>
      <c r="I259" s="192"/>
      <c r="J259" s="183"/>
      <c r="K259" s="192"/>
      <c r="L259" s="184"/>
      <c r="M259" s="192"/>
      <c r="N259" s="184"/>
      <c r="O259" s="183"/>
      <c r="P259" s="185"/>
      <c r="Q259" s="248"/>
      <c r="R259" s="183"/>
      <c r="S259" s="185"/>
      <c r="T259" s="183"/>
      <c r="U259" s="183"/>
      <c r="V259" s="183"/>
      <c r="W259" s="189"/>
      <c r="X259" s="183"/>
    </row>
    <row r="260" spans="2:24">
      <c r="B260" s="582"/>
      <c r="C260" s="591"/>
      <c r="D260" s="209">
        <v>4</v>
      </c>
      <c r="E260" s="183"/>
      <c r="F260" s="184"/>
      <c r="G260" s="183"/>
      <c r="H260" s="183"/>
      <c r="I260" s="192"/>
      <c r="J260" s="183"/>
      <c r="K260" s="192"/>
      <c r="L260" s="184"/>
      <c r="M260" s="192"/>
      <c r="N260" s="184"/>
      <c r="O260" s="183"/>
      <c r="P260" s="185"/>
      <c r="Q260" s="248"/>
      <c r="R260" s="183"/>
      <c r="S260" s="185"/>
      <c r="T260" s="183"/>
      <c r="U260" s="183"/>
      <c r="V260" s="183"/>
      <c r="W260" s="189"/>
      <c r="X260" s="183"/>
    </row>
    <row r="261" spans="2:24">
      <c r="B261" s="582"/>
      <c r="C261" s="591"/>
      <c r="D261" s="209">
        <v>5</v>
      </c>
      <c r="E261" s="183"/>
      <c r="F261" s="184"/>
      <c r="G261" s="183"/>
      <c r="H261" s="183"/>
      <c r="I261" s="192"/>
      <c r="J261" s="183"/>
      <c r="K261" s="192"/>
      <c r="L261" s="184"/>
      <c r="M261" s="192"/>
      <c r="N261" s="184"/>
      <c r="O261" s="183"/>
      <c r="P261" s="185"/>
      <c r="Q261" s="248"/>
      <c r="R261" s="183"/>
      <c r="S261" s="185"/>
      <c r="T261" s="183"/>
      <c r="U261" s="183"/>
      <c r="V261" s="183"/>
      <c r="W261" s="189"/>
      <c r="X261" s="183"/>
    </row>
    <row r="262" spans="2:24">
      <c r="B262" s="582"/>
      <c r="C262" s="591"/>
      <c r="D262" s="209">
        <v>6</v>
      </c>
      <c r="E262" s="183"/>
      <c r="F262" s="184"/>
      <c r="G262" s="183"/>
      <c r="H262" s="183"/>
      <c r="I262" s="192"/>
      <c r="J262" s="183"/>
      <c r="K262" s="192"/>
      <c r="L262" s="184"/>
      <c r="M262" s="192"/>
      <c r="N262" s="184"/>
      <c r="O262" s="183"/>
      <c r="P262" s="185"/>
      <c r="Q262" s="248"/>
      <c r="R262" s="183"/>
      <c r="S262" s="185"/>
      <c r="T262" s="183"/>
      <c r="U262" s="183"/>
      <c r="V262" s="183"/>
      <c r="W262" s="189"/>
      <c r="X262" s="183"/>
    </row>
    <row r="263" spans="2:24">
      <c r="B263" s="582"/>
      <c r="C263" s="591"/>
      <c r="D263" s="209">
        <v>7</v>
      </c>
      <c r="E263" s="183"/>
      <c r="F263" s="184"/>
      <c r="G263" s="183"/>
      <c r="H263" s="183"/>
      <c r="I263" s="192"/>
      <c r="J263" s="183"/>
      <c r="K263" s="192"/>
      <c r="L263" s="184"/>
      <c r="M263" s="192"/>
      <c r="N263" s="184"/>
      <c r="O263" s="183"/>
      <c r="P263" s="185"/>
      <c r="Q263" s="248"/>
      <c r="R263" s="183"/>
      <c r="S263" s="185"/>
      <c r="T263" s="183"/>
      <c r="U263" s="183"/>
      <c r="V263" s="183"/>
      <c r="W263" s="189"/>
      <c r="X263" s="183"/>
    </row>
    <row r="264" spans="2:24">
      <c r="B264" s="582"/>
      <c r="C264" s="591"/>
      <c r="D264" s="209">
        <v>8</v>
      </c>
      <c r="E264" s="183"/>
      <c r="F264" s="184"/>
      <c r="G264" s="183"/>
      <c r="H264" s="183"/>
      <c r="I264" s="192"/>
      <c r="J264" s="183"/>
      <c r="K264" s="192"/>
      <c r="L264" s="184"/>
      <c r="M264" s="192"/>
      <c r="N264" s="184"/>
      <c r="O264" s="183"/>
      <c r="P264" s="185"/>
      <c r="Q264" s="248"/>
      <c r="R264" s="183"/>
      <c r="S264" s="185"/>
      <c r="T264" s="183"/>
      <c r="U264" s="183"/>
      <c r="V264" s="183"/>
      <c r="W264" s="189"/>
      <c r="X264" s="183"/>
    </row>
    <row r="265" spans="2:24">
      <c r="B265" s="582"/>
      <c r="C265" s="591"/>
      <c r="D265" s="209">
        <v>9</v>
      </c>
      <c r="E265" s="183"/>
      <c r="F265" s="184"/>
      <c r="G265" s="183"/>
      <c r="H265" s="183"/>
      <c r="I265" s="192"/>
      <c r="J265" s="183"/>
      <c r="K265" s="192"/>
      <c r="L265" s="184"/>
      <c r="M265" s="192"/>
      <c r="N265" s="184"/>
      <c r="O265" s="183"/>
      <c r="P265" s="185"/>
      <c r="Q265" s="248"/>
      <c r="R265" s="183"/>
      <c r="S265" s="185"/>
      <c r="T265" s="183"/>
      <c r="U265" s="183"/>
      <c r="V265" s="183"/>
      <c r="W265" s="189"/>
      <c r="X265" s="183"/>
    </row>
    <row r="266" spans="2:24">
      <c r="B266" s="583"/>
      <c r="C266" s="591"/>
      <c r="D266" s="209">
        <v>10</v>
      </c>
      <c r="E266" s="183"/>
      <c r="F266" s="184"/>
      <c r="G266" s="183"/>
      <c r="H266" s="183"/>
      <c r="I266" s="192"/>
      <c r="J266" s="183"/>
      <c r="K266" s="192"/>
      <c r="L266" s="184"/>
      <c r="M266" s="192"/>
      <c r="N266" s="184"/>
      <c r="O266" s="183"/>
      <c r="P266" s="185"/>
      <c r="Q266" s="248"/>
      <c r="R266" s="183"/>
      <c r="S266" s="185"/>
      <c r="T266" s="183"/>
      <c r="U266" s="183"/>
      <c r="V266" s="183"/>
      <c r="W266" s="189"/>
      <c r="X266" s="183"/>
    </row>
    <row r="267" spans="2:24">
      <c r="B267" s="581">
        <f t="shared" ref="B267" si="30">B257+1</f>
        <v>45927</v>
      </c>
      <c r="C267" s="590" t="s">
        <v>208</v>
      </c>
      <c r="D267" s="209">
        <v>1</v>
      </c>
      <c r="E267" s="183"/>
      <c r="F267" s="184"/>
      <c r="G267" s="183"/>
      <c r="H267" s="183"/>
      <c r="I267" s="192"/>
      <c r="J267" s="183"/>
      <c r="K267" s="192"/>
      <c r="L267" s="184"/>
      <c r="M267" s="192"/>
      <c r="N267" s="184"/>
      <c r="O267" s="183"/>
      <c r="P267" s="185"/>
      <c r="Q267" s="248"/>
      <c r="R267" s="183"/>
      <c r="S267" s="185"/>
      <c r="T267" s="183"/>
      <c r="U267" s="183"/>
      <c r="V267" s="183"/>
      <c r="W267" s="189"/>
      <c r="X267" s="183"/>
    </row>
    <row r="268" spans="2:24">
      <c r="B268" s="582"/>
      <c r="C268" s="591"/>
      <c r="D268" s="209">
        <v>2</v>
      </c>
      <c r="E268" s="183"/>
      <c r="F268" s="184"/>
      <c r="G268" s="183"/>
      <c r="H268" s="183"/>
      <c r="I268" s="192"/>
      <c r="J268" s="183"/>
      <c r="K268" s="192"/>
      <c r="L268" s="184"/>
      <c r="M268" s="192"/>
      <c r="N268" s="184"/>
      <c r="O268" s="183"/>
      <c r="P268" s="185"/>
      <c r="Q268" s="248"/>
      <c r="R268" s="183"/>
      <c r="S268" s="185"/>
      <c r="T268" s="183"/>
      <c r="U268" s="183"/>
      <c r="V268" s="183"/>
      <c r="W268" s="189"/>
      <c r="X268" s="183"/>
    </row>
    <row r="269" spans="2:24">
      <c r="B269" s="582"/>
      <c r="C269" s="591"/>
      <c r="D269" s="209">
        <v>3</v>
      </c>
      <c r="E269" s="183"/>
      <c r="F269" s="184"/>
      <c r="G269" s="183"/>
      <c r="H269" s="183"/>
      <c r="I269" s="192"/>
      <c r="J269" s="183"/>
      <c r="K269" s="192"/>
      <c r="L269" s="184"/>
      <c r="M269" s="192"/>
      <c r="N269" s="184"/>
      <c r="O269" s="183"/>
      <c r="P269" s="185"/>
      <c r="Q269" s="248"/>
      <c r="R269" s="183"/>
      <c r="S269" s="185"/>
      <c r="T269" s="183"/>
      <c r="U269" s="183"/>
      <c r="V269" s="183"/>
      <c r="W269" s="189"/>
      <c r="X269" s="183"/>
    </row>
    <row r="270" spans="2:24">
      <c r="B270" s="582"/>
      <c r="C270" s="591"/>
      <c r="D270" s="209">
        <v>4</v>
      </c>
      <c r="E270" s="183"/>
      <c r="F270" s="184"/>
      <c r="G270" s="183"/>
      <c r="H270" s="183"/>
      <c r="I270" s="192"/>
      <c r="J270" s="183"/>
      <c r="K270" s="192"/>
      <c r="L270" s="184"/>
      <c r="M270" s="192"/>
      <c r="N270" s="184"/>
      <c r="O270" s="183"/>
      <c r="P270" s="185"/>
      <c r="Q270" s="248"/>
      <c r="R270" s="183"/>
      <c r="S270" s="185"/>
      <c r="T270" s="183"/>
      <c r="U270" s="183"/>
      <c r="V270" s="183"/>
      <c r="W270" s="189"/>
      <c r="X270" s="183"/>
    </row>
    <row r="271" spans="2:24">
      <c r="B271" s="582"/>
      <c r="C271" s="591"/>
      <c r="D271" s="209">
        <v>5</v>
      </c>
      <c r="E271" s="183"/>
      <c r="F271" s="184"/>
      <c r="G271" s="183"/>
      <c r="H271" s="183"/>
      <c r="I271" s="192"/>
      <c r="J271" s="183"/>
      <c r="K271" s="192"/>
      <c r="L271" s="184"/>
      <c r="M271" s="192"/>
      <c r="N271" s="184"/>
      <c r="O271" s="183"/>
      <c r="P271" s="185"/>
      <c r="Q271" s="248"/>
      <c r="R271" s="183"/>
      <c r="S271" s="185"/>
      <c r="T271" s="183"/>
      <c r="U271" s="183"/>
      <c r="V271" s="183"/>
      <c r="W271" s="189"/>
      <c r="X271" s="183"/>
    </row>
    <row r="272" spans="2:24">
      <c r="B272" s="582"/>
      <c r="C272" s="591"/>
      <c r="D272" s="209">
        <v>6</v>
      </c>
      <c r="E272" s="183"/>
      <c r="F272" s="184"/>
      <c r="G272" s="183"/>
      <c r="H272" s="183"/>
      <c r="I272" s="192"/>
      <c r="J272" s="183"/>
      <c r="K272" s="192"/>
      <c r="L272" s="184"/>
      <c r="M272" s="192"/>
      <c r="N272" s="184"/>
      <c r="O272" s="183"/>
      <c r="P272" s="185"/>
      <c r="Q272" s="248"/>
      <c r="R272" s="183"/>
      <c r="S272" s="185"/>
      <c r="T272" s="183"/>
      <c r="U272" s="183"/>
      <c r="V272" s="183"/>
      <c r="W272" s="189"/>
      <c r="X272" s="183"/>
    </row>
    <row r="273" spans="2:24">
      <c r="B273" s="582"/>
      <c r="C273" s="591"/>
      <c r="D273" s="209">
        <v>7</v>
      </c>
      <c r="E273" s="183"/>
      <c r="F273" s="184"/>
      <c r="G273" s="183"/>
      <c r="H273" s="183"/>
      <c r="I273" s="192"/>
      <c r="J273" s="183"/>
      <c r="K273" s="192"/>
      <c r="L273" s="184"/>
      <c r="M273" s="192"/>
      <c r="N273" s="184"/>
      <c r="O273" s="183"/>
      <c r="P273" s="185"/>
      <c r="Q273" s="248"/>
      <c r="R273" s="183"/>
      <c r="S273" s="185"/>
      <c r="T273" s="183"/>
      <c r="U273" s="183"/>
      <c r="V273" s="183"/>
      <c r="W273" s="189"/>
      <c r="X273" s="183"/>
    </row>
    <row r="274" spans="2:24">
      <c r="B274" s="582"/>
      <c r="C274" s="591"/>
      <c r="D274" s="209">
        <v>8</v>
      </c>
      <c r="E274" s="183"/>
      <c r="F274" s="184"/>
      <c r="G274" s="183"/>
      <c r="H274" s="183"/>
      <c r="I274" s="192"/>
      <c r="J274" s="183"/>
      <c r="K274" s="192"/>
      <c r="L274" s="184"/>
      <c r="M274" s="192"/>
      <c r="N274" s="184"/>
      <c r="O274" s="183"/>
      <c r="P274" s="185"/>
      <c r="Q274" s="248"/>
      <c r="R274" s="183"/>
      <c r="S274" s="185"/>
      <c r="T274" s="183"/>
      <c r="U274" s="183"/>
      <c r="V274" s="183"/>
      <c r="W274" s="189"/>
      <c r="X274" s="183"/>
    </row>
    <row r="275" spans="2:24">
      <c r="B275" s="582"/>
      <c r="C275" s="591"/>
      <c r="D275" s="209">
        <v>9</v>
      </c>
      <c r="E275" s="183"/>
      <c r="F275" s="184"/>
      <c r="G275" s="183"/>
      <c r="H275" s="183"/>
      <c r="I275" s="192"/>
      <c r="J275" s="183"/>
      <c r="K275" s="192"/>
      <c r="L275" s="184"/>
      <c r="M275" s="192"/>
      <c r="N275" s="184"/>
      <c r="O275" s="183"/>
      <c r="P275" s="185"/>
      <c r="Q275" s="248"/>
      <c r="R275" s="183"/>
      <c r="S275" s="185"/>
      <c r="T275" s="183"/>
      <c r="U275" s="183"/>
      <c r="V275" s="183"/>
      <c r="W275" s="189"/>
      <c r="X275" s="183"/>
    </row>
    <row r="276" spans="2:24">
      <c r="B276" s="583"/>
      <c r="C276" s="591"/>
      <c r="D276" s="209">
        <v>10</v>
      </c>
      <c r="E276" s="183"/>
      <c r="F276" s="184"/>
      <c r="G276" s="183"/>
      <c r="H276" s="183"/>
      <c r="I276" s="192"/>
      <c r="J276" s="183"/>
      <c r="K276" s="192"/>
      <c r="L276" s="184"/>
      <c r="M276" s="192"/>
      <c r="N276" s="184"/>
      <c r="O276" s="183"/>
      <c r="P276" s="185"/>
      <c r="Q276" s="248"/>
      <c r="R276" s="183"/>
      <c r="S276" s="185"/>
      <c r="T276" s="183"/>
      <c r="U276" s="183"/>
      <c r="V276" s="183"/>
      <c r="W276" s="189"/>
      <c r="X276" s="183"/>
    </row>
    <row r="277" spans="2:24">
      <c r="B277" s="581">
        <f t="shared" ref="B277" si="31">B267+1</f>
        <v>45928</v>
      </c>
      <c r="C277" s="590" t="s">
        <v>157</v>
      </c>
      <c r="D277" s="209">
        <v>1</v>
      </c>
      <c r="E277" s="183"/>
      <c r="F277" s="184"/>
      <c r="G277" s="183"/>
      <c r="H277" s="183"/>
      <c r="I277" s="192"/>
      <c r="J277" s="183"/>
      <c r="K277" s="192"/>
      <c r="L277" s="184"/>
      <c r="M277" s="192"/>
      <c r="N277" s="184"/>
      <c r="O277" s="183"/>
      <c r="P277" s="185"/>
      <c r="Q277" s="248"/>
      <c r="R277" s="183"/>
      <c r="S277" s="185"/>
      <c r="T277" s="183"/>
      <c r="U277" s="183"/>
      <c r="V277" s="183"/>
      <c r="W277" s="189"/>
      <c r="X277" s="183"/>
    </row>
    <row r="278" spans="2:24">
      <c r="B278" s="582"/>
      <c r="C278" s="591"/>
      <c r="D278" s="209">
        <v>2</v>
      </c>
      <c r="E278" s="183"/>
      <c r="F278" s="184"/>
      <c r="G278" s="183"/>
      <c r="H278" s="183"/>
      <c r="I278" s="192"/>
      <c r="J278" s="183"/>
      <c r="K278" s="192"/>
      <c r="L278" s="184"/>
      <c r="M278" s="192"/>
      <c r="N278" s="184"/>
      <c r="O278" s="183"/>
      <c r="P278" s="185"/>
      <c r="Q278" s="248"/>
      <c r="R278" s="183"/>
      <c r="S278" s="185"/>
      <c r="T278" s="183"/>
      <c r="U278" s="183"/>
      <c r="V278" s="183"/>
      <c r="W278" s="189"/>
      <c r="X278" s="183"/>
    </row>
    <row r="279" spans="2:24">
      <c r="B279" s="582"/>
      <c r="C279" s="591"/>
      <c r="D279" s="209">
        <v>3</v>
      </c>
      <c r="E279" s="183"/>
      <c r="F279" s="184"/>
      <c r="G279" s="183"/>
      <c r="H279" s="183"/>
      <c r="I279" s="192"/>
      <c r="J279" s="183"/>
      <c r="K279" s="192"/>
      <c r="L279" s="184"/>
      <c r="M279" s="192"/>
      <c r="N279" s="184"/>
      <c r="O279" s="183"/>
      <c r="P279" s="185"/>
      <c r="Q279" s="248"/>
      <c r="R279" s="183"/>
      <c r="S279" s="185"/>
      <c r="T279" s="183"/>
      <c r="U279" s="183"/>
      <c r="V279" s="183"/>
      <c r="W279" s="189"/>
      <c r="X279" s="183"/>
    </row>
    <row r="280" spans="2:24">
      <c r="B280" s="582"/>
      <c r="C280" s="591"/>
      <c r="D280" s="209">
        <v>4</v>
      </c>
      <c r="E280" s="183"/>
      <c r="F280" s="184"/>
      <c r="G280" s="183"/>
      <c r="H280" s="183"/>
      <c r="I280" s="192"/>
      <c r="J280" s="183"/>
      <c r="K280" s="192"/>
      <c r="L280" s="184"/>
      <c r="M280" s="192"/>
      <c r="N280" s="184"/>
      <c r="O280" s="183"/>
      <c r="P280" s="185"/>
      <c r="Q280" s="248"/>
      <c r="R280" s="183"/>
      <c r="S280" s="185"/>
      <c r="T280" s="183"/>
      <c r="U280" s="183"/>
      <c r="V280" s="183"/>
      <c r="W280" s="189"/>
      <c r="X280" s="183"/>
    </row>
    <row r="281" spans="2:24">
      <c r="B281" s="582"/>
      <c r="C281" s="591"/>
      <c r="D281" s="209">
        <v>5</v>
      </c>
      <c r="E281" s="183"/>
      <c r="F281" s="184"/>
      <c r="G281" s="183"/>
      <c r="H281" s="183"/>
      <c r="I281" s="192"/>
      <c r="J281" s="183"/>
      <c r="K281" s="192"/>
      <c r="L281" s="184"/>
      <c r="M281" s="192"/>
      <c r="N281" s="184"/>
      <c r="O281" s="183"/>
      <c r="P281" s="185"/>
      <c r="Q281" s="248"/>
      <c r="R281" s="183"/>
      <c r="S281" s="185"/>
      <c r="T281" s="183"/>
      <c r="U281" s="183"/>
      <c r="V281" s="183"/>
      <c r="W281" s="189"/>
      <c r="X281" s="183"/>
    </row>
    <row r="282" spans="2:24">
      <c r="B282" s="582"/>
      <c r="C282" s="591"/>
      <c r="D282" s="209">
        <v>6</v>
      </c>
      <c r="E282" s="183"/>
      <c r="F282" s="184"/>
      <c r="G282" s="183"/>
      <c r="H282" s="183"/>
      <c r="I282" s="192"/>
      <c r="J282" s="183"/>
      <c r="K282" s="192"/>
      <c r="L282" s="184"/>
      <c r="M282" s="192"/>
      <c r="N282" s="184"/>
      <c r="O282" s="183"/>
      <c r="P282" s="185"/>
      <c r="Q282" s="248"/>
      <c r="R282" s="183"/>
      <c r="S282" s="185"/>
      <c r="T282" s="183"/>
      <c r="U282" s="183"/>
      <c r="V282" s="183"/>
      <c r="W282" s="189"/>
      <c r="X282" s="183"/>
    </row>
    <row r="283" spans="2:24">
      <c r="B283" s="582"/>
      <c r="C283" s="591"/>
      <c r="D283" s="209">
        <v>7</v>
      </c>
      <c r="E283" s="183"/>
      <c r="F283" s="184"/>
      <c r="G283" s="183"/>
      <c r="H283" s="183"/>
      <c r="I283" s="192"/>
      <c r="J283" s="183"/>
      <c r="K283" s="192"/>
      <c r="L283" s="184"/>
      <c r="M283" s="192"/>
      <c r="N283" s="184"/>
      <c r="O283" s="183"/>
      <c r="P283" s="185"/>
      <c r="Q283" s="248"/>
      <c r="R283" s="183"/>
      <c r="S283" s="185"/>
      <c r="T283" s="183"/>
      <c r="U283" s="183"/>
      <c r="V283" s="183"/>
      <c r="W283" s="189"/>
      <c r="X283" s="183"/>
    </row>
    <row r="284" spans="2:24">
      <c r="B284" s="582"/>
      <c r="C284" s="591"/>
      <c r="D284" s="209">
        <v>8</v>
      </c>
      <c r="E284" s="183"/>
      <c r="F284" s="184"/>
      <c r="G284" s="183"/>
      <c r="H284" s="183"/>
      <c r="I284" s="192"/>
      <c r="J284" s="183"/>
      <c r="K284" s="192"/>
      <c r="L284" s="184"/>
      <c r="M284" s="192"/>
      <c r="N284" s="184"/>
      <c r="O284" s="183"/>
      <c r="P284" s="185"/>
      <c r="Q284" s="248"/>
      <c r="R284" s="183"/>
      <c r="S284" s="185"/>
      <c r="T284" s="183"/>
      <c r="U284" s="183"/>
      <c r="V284" s="183"/>
      <c r="W284" s="189"/>
      <c r="X284" s="183"/>
    </row>
    <row r="285" spans="2:24">
      <c r="B285" s="582"/>
      <c r="C285" s="591"/>
      <c r="D285" s="209">
        <v>9</v>
      </c>
      <c r="E285" s="183"/>
      <c r="F285" s="184"/>
      <c r="G285" s="183"/>
      <c r="H285" s="183"/>
      <c r="I285" s="192"/>
      <c r="J285" s="183"/>
      <c r="K285" s="192"/>
      <c r="L285" s="184"/>
      <c r="M285" s="192"/>
      <c r="N285" s="184"/>
      <c r="O285" s="183"/>
      <c r="P285" s="185"/>
      <c r="Q285" s="248"/>
      <c r="R285" s="183"/>
      <c r="S285" s="185"/>
      <c r="T285" s="183"/>
      <c r="U285" s="183"/>
      <c r="V285" s="183"/>
      <c r="W285" s="189"/>
      <c r="X285" s="183"/>
    </row>
    <row r="286" spans="2:24">
      <c r="B286" s="583"/>
      <c r="C286" s="591"/>
      <c r="D286" s="209">
        <v>10</v>
      </c>
      <c r="E286" s="183"/>
      <c r="F286" s="184"/>
      <c r="G286" s="183"/>
      <c r="H286" s="183"/>
      <c r="I286" s="192"/>
      <c r="J286" s="183"/>
      <c r="K286" s="192"/>
      <c r="L286" s="184"/>
      <c r="M286" s="192"/>
      <c r="N286" s="184"/>
      <c r="O286" s="183"/>
      <c r="P286" s="185"/>
      <c r="Q286" s="248"/>
      <c r="R286" s="183"/>
      <c r="S286" s="185"/>
      <c r="T286" s="183"/>
      <c r="U286" s="183"/>
      <c r="V286" s="183"/>
      <c r="W286" s="189"/>
      <c r="X286" s="183"/>
    </row>
    <row r="287" spans="2:24">
      <c r="B287" s="581">
        <f t="shared" ref="B287" si="32">B277+1</f>
        <v>45929</v>
      </c>
      <c r="C287" s="590" t="s">
        <v>209</v>
      </c>
      <c r="D287" s="209">
        <v>1</v>
      </c>
      <c r="E287" s="183"/>
      <c r="F287" s="184"/>
      <c r="G287" s="183"/>
      <c r="H287" s="183"/>
      <c r="I287" s="192"/>
      <c r="J287" s="183"/>
      <c r="K287" s="192"/>
      <c r="L287" s="184"/>
      <c r="M287" s="192"/>
      <c r="N287" s="184"/>
      <c r="O287" s="183"/>
      <c r="P287" s="185"/>
      <c r="Q287" s="248"/>
      <c r="R287" s="183"/>
      <c r="S287" s="185"/>
      <c r="T287" s="183"/>
      <c r="U287" s="183"/>
      <c r="V287" s="183"/>
      <c r="W287" s="189"/>
      <c r="X287" s="183"/>
    </row>
    <row r="288" spans="2:24">
      <c r="B288" s="582"/>
      <c r="C288" s="591"/>
      <c r="D288" s="209">
        <v>2</v>
      </c>
      <c r="E288" s="183"/>
      <c r="F288" s="184"/>
      <c r="G288" s="183"/>
      <c r="H288" s="183"/>
      <c r="I288" s="192"/>
      <c r="J288" s="183"/>
      <c r="K288" s="192"/>
      <c r="L288" s="184"/>
      <c r="M288" s="192"/>
      <c r="N288" s="184"/>
      <c r="O288" s="183"/>
      <c r="P288" s="185"/>
      <c r="Q288" s="248"/>
      <c r="R288" s="183"/>
      <c r="S288" s="185"/>
      <c r="T288" s="183"/>
      <c r="U288" s="183"/>
      <c r="V288" s="183"/>
      <c r="W288" s="189"/>
      <c r="X288" s="183"/>
    </row>
    <row r="289" spans="2:24">
      <c r="B289" s="582"/>
      <c r="C289" s="591"/>
      <c r="D289" s="209">
        <v>3</v>
      </c>
      <c r="E289" s="183"/>
      <c r="F289" s="184"/>
      <c r="G289" s="183"/>
      <c r="H289" s="183"/>
      <c r="I289" s="192"/>
      <c r="J289" s="183"/>
      <c r="K289" s="192"/>
      <c r="L289" s="184"/>
      <c r="M289" s="192"/>
      <c r="N289" s="184"/>
      <c r="O289" s="183"/>
      <c r="P289" s="185"/>
      <c r="Q289" s="248"/>
      <c r="R289" s="183"/>
      <c r="S289" s="185"/>
      <c r="T289" s="183"/>
      <c r="U289" s="183"/>
      <c r="V289" s="183"/>
      <c r="W289" s="189"/>
      <c r="X289" s="183"/>
    </row>
    <row r="290" spans="2:24">
      <c r="B290" s="582"/>
      <c r="C290" s="591"/>
      <c r="D290" s="209">
        <v>4</v>
      </c>
      <c r="E290" s="183"/>
      <c r="F290" s="184"/>
      <c r="G290" s="183"/>
      <c r="H290" s="183"/>
      <c r="I290" s="192"/>
      <c r="J290" s="183"/>
      <c r="K290" s="192"/>
      <c r="L290" s="184"/>
      <c r="M290" s="192"/>
      <c r="N290" s="184"/>
      <c r="O290" s="183"/>
      <c r="P290" s="185"/>
      <c r="Q290" s="248"/>
      <c r="R290" s="183"/>
      <c r="S290" s="185"/>
      <c r="T290" s="183"/>
      <c r="U290" s="183"/>
      <c r="V290" s="183"/>
      <c r="W290" s="189"/>
      <c r="X290" s="183"/>
    </row>
    <row r="291" spans="2:24">
      <c r="B291" s="582"/>
      <c r="C291" s="591"/>
      <c r="D291" s="209">
        <v>5</v>
      </c>
      <c r="E291" s="183"/>
      <c r="F291" s="184"/>
      <c r="G291" s="183"/>
      <c r="H291" s="183"/>
      <c r="I291" s="192"/>
      <c r="J291" s="183"/>
      <c r="K291" s="192"/>
      <c r="L291" s="184"/>
      <c r="M291" s="192"/>
      <c r="N291" s="184"/>
      <c r="O291" s="183"/>
      <c r="P291" s="185"/>
      <c r="Q291" s="248"/>
      <c r="R291" s="183"/>
      <c r="S291" s="185"/>
      <c r="T291" s="183"/>
      <c r="U291" s="183"/>
      <c r="V291" s="183"/>
      <c r="W291" s="189"/>
      <c r="X291" s="183"/>
    </row>
    <row r="292" spans="2:24">
      <c r="B292" s="582"/>
      <c r="C292" s="591"/>
      <c r="D292" s="209">
        <v>6</v>
      </c>
      <c r="E292" s="183"/>
      <c r="F292" s="184"/>
      <c r="G292" s="183"/>
      <c r="H292" s="183"/>
      <c r="I292" s="192"/>
      <c r="J292" s="183"/>
      <c r="K292" s="192"/>
      <c r="L292" s="184"/>
      <c r="M292" s="192"/>
      <c r="N292" s="184"/>
      <c r="O292" s="183"/>
      <c r="P292" s="185"/>
      <c r="Q292" s="248"/>
      <c r="R292" s="183"/>
      <c r="S292" s="185"/>
      <c r="T292" s="183"/>
      <c r="U292" s="183"/>
      <c r="V292" s="183"/>
      <c r="W292" s="189"/>
      <c r="X292" s="183"/>
    </row>
    <row r="293" spans="2:24">
      <c r="B293" s="582"/>
      <c r="C293" s="591"/>
      <c r="D293" s="209">
        <v>7</v>
      </c>
      <c r="E293" s="183"/>
      <c r="F293" s="184"/>
      <c r="G293" s="183"/>
      <c r="H293" s="183"/>
      <c r="I293" s="192"/>
      <c r="J293" s="183"/>
      <c r="K293" s="192"/>
      <c r="L293" s="184"/>
      <c r="M293" s="192"/>
      <c r="N293" s="184"/>
      <c r="O293" s="183"/>
      <c r="P293" s="185"/>
      <c r="Q293" s="248"/>
      <c r="R293" s="183"/>
      <c r="S293" s="185"/>
      <c r="T293" s="183"/>
      <c r="U293" s="183"/>
      <c r="V293" s="183"/>
      <c r="W293" s="189"/>
      <c r="X293" s="183"/>
    </row>
    <row r="294" spans="2:24">
      <c r="B294" s="582"/>
      <c r="C294" s="591"/>
      <c r="D294" s="209">
        <v>8</v>
      </c>
      <c r="E294" s="183"/>
      <c r="F294" s="184"/>
      <c r="G294" s="183"/>
      <c r="H294" s="183"/>
      <c r="I294" s="192"/>
      <c r="J294" s="183"/>
      <c r="K294" s="192"/>
      <c r="L294" s="184"/>
      <c r="M294" s="192"/>
      <c r="N294" s="184"/>
      <c r="O294" s="183"/>
      <c r="P294" s="185"/>
      <c r="Q294" s="248"/>
      <c r="R294" s="183"/>
      <c r="S294" s="185"/>
      <c r="T294" s="183"/>
      <c r="U294" s="183"/>
      <c r="V294" s="183"/>
      <c r="W294" s="189"/>
      <c r="X294" s="183"/>
    </row>
    <row r="295" spans="2:24">
      <c r="B295" s="582"/>
      <c r="C295" s="591"/>
      <c r="D295" s="209">
        <v>9</v>
      </c>
      <c r="E295" s="183"/>
      <c r="F295" s="184"/>
      <c r="G295" s="183"/>
      <c r="H295" s="183"/>
      <c r="I295" s="192"/>
      <c r="J295" s="183"/>
      <c r="K295" s="192"/>
      <c r="L295" s="184"/>
      <c r="M295" s="192"/>
      <c r="N295" s="184"/>
      <c r="O295" s="183"/>
      <c r="P295" s="185"/>
      <c r="Q295" s="248"/>
      <c r="R295" s="183"/>
      <c r="S295" s="185"/>
      <c r="T295" s="183"/>
      <c r="U295" s="183"/>
      <c r="V295" s="183"/>
      <c r="W295" s="189"/>
      <c r="X295" s="183"/>
    </row>
    <row r="296" spans="2:24">
      <c r="B296" s="583"/>
      <c r="C296" s="591"/>
      <c r="D296" s="209">
        <v>10</v>
      </c>
      <c r="E296" s="183"/>
      <c r="F296" s="184"/>
      <c r="G296" s="183"/>
      <c r="H296" s="183"/>
      <c r="I296" s="192"/>
      <c r="J296" s="183"/>
      <c r="K296" s="192"/>
      <c r="L296" s="184"/>
      <c r="M296" s="192"/>
      <c r="N296" s="184"/>
      <c r="O296" s="183"/>
      <c r="P296" s="185"/>
      <c r="Q296" s="248"/>
      <c r="R296" s="183"/>
      <c r="S296" s="185"/>
      <c r="T296" s="183"/>
      <c r="U296" s="183"/>
      <c r="V296" s="183"/>
      <c r="W296" s="189"/>
      <c r="X296" s="183"/>
    </row>
    <row r="297" spans="2:24">
      <c r="B297" s="581">
        <f t="shared" ref="B297" si="33">B287+1</f>
        <v>45930</v>
      </c>
      <c r="C297" s="590" t="s">
        <v>204</v>
      </c>
      <c r="D297" s="209">
        <v>1</v>
      </c>
      <c r="E297" s="183"/>
      <c r="F297" s="184"/>
      <c r="G297" s="183"/>
      <c r="H297" s="183"/>
      <c r="I297" s="192"/>
      <c r="J297" s="183"/>
      <c r="K297" s="192"/>
      <c r="L297" s="184"/>
      <c r="M297" s="192"/>
      <c r="N297" s="184"/>
      <c r="O297" s="183"/>
      <c r="P297" s="185"/>
      <c r="Q297" s="248"/>
      <c r="R297" s="183"/>
      <c r="S297" s="185"/>
      <c r="T297" s="183"/>
      <c r="U297" s="183"/>
      <c r="V297" s="183"/>
      <c r="W297" s="189"/>
      <c r="X297" s="183"/>
    </row>
    <row r="298" spans="2:24">
      <c r="B298" s="582"/>
      <c r="C298" s="591"/>
      <c r="D298" s="209">
        <v>2</v>
      </c>
      <c r="E298" s="183"/>
      <c r="F298" s="184"/>
      <c r="G298" s="183"/>
      <c r="H298" s="183"/>
      <c r="I298" s="192"/>
      <c r="J298" s="183"/>
      <c r="K298" s="192"/>
      <c r="L298" s="184"/>
      <c r="M298" s="192"/>
      <c r="N298" s="184"/>
      <c r="O298" s="183"/>
      <c r="P298" s="185"/>
      <c r="Q298" s="248"/>
      <c r="R298" s="183"/>
      <c r="S298" s="185"/>
      <c r="T298" s="183"/>
      <c r="U298" s="183"/>
      <c r="V298" s="183"/>
      <c r="W298" s="189"/>
      <c r="X298" s="183"/>
    </row>
    <row r="299" spans="2:24">
      <c r="B299" s="582"/>
      <c r="C299" s="591"/>
      <c r="D299" s="209">
        <v>3</v>
      </c>
      <c r="E299" s="183"/>
      <c r="F299" s="184"/>
      <c r="G299" s="183"/>
      <c r="H299" s="183"/>
      <c r="I299" s="192"/>
      <c r="J299" s="183"/>
      <c r="K299" s="192"/>
      <c r="L299" s="184"/>
      <c r="M299" s="192"/>
      <c r="N299" s="184"/>
      <c r="O299" s="183"/>
      <c r="P299" s="185"/>
      <c r="Q299" s="248"/>
      <c r="R299" s="183"/>
      <c r="S299" s="185"/>
      <c r="T299" s="183"/>
      <c r="U299" s="183"/>
      <c r="V299" s="183"/>
      <c r="W299" s="189"/>
      <c r="X299" s="183"/>
    </row>
    <row r="300" spans="2:24">
      <c r="B300" s="582"/>
      <c r="C300" s="591"/>
      <c r="D300" s="209">
        <v>4</v>
      </c>
      <c r="E300" s="183"/>
      <c r="F300" s="184"/>
      <c r="G300" s="183"/>
      <c r="H300" s="183"/>
      <c r="I300" s="192"/>
      <c r="J300" s="183"/>
      <c r="K300" s="192"/>
      <c r="L300" s="184"/>
      <c r="M300" s="192"/>
      <c r="N300" s="184"/>
      <c r="O300" s="183"/>
      <c r="P300" s="185"/>
      <c r="Q300" s="248"/>
      <c r="R300" s="183"/>
      <c r="S300" s="185"/>
      <c r="T300" s="183"/>
      <c r="U300" s="183"/>
      <c r="V300" s="183"/>
      <c r="W300" s="189"/>
      <c r="X300" s="183"/>
    </row>
    <row r="301" spans="2:24">
      <c r="B301" s="582"/>
      <c r="C301" s="591"/>
      <c r="D301" s="209">
        <v>5</v>
      </c>
      <c r="E301" s="183"/>
      <c r="F301" s="184"/>
      <c r="G301" s="183"/>
      <c r="H301" s="183"/>
      <c r="I301" s="192"/>
      <c r="J301" s="183"/>
      <c r="K301" s="192"/>
      <c r="L301" s="184"/>
      <c r="M301" s="192"/>
      <c r="N301" s="184"/>
      <c r="O301" s="183"/>
      <c r="P301" s="185"/>
      <c r="Q301" s="248"/>
      <c r="R301" s="183"/>
      <c r="S301" s="185"/>
      <c r="T301" s="183"/>
      <c r="U301" s="183"/>
      <c r="V301" s="183"/>
      <c r="W301" s="189"/>
      <c r="X301" s="183"/>
    </row>
    <row r="302" spans="2:24">
      <c r="B302" s="582"/>
      <c r="C302" s="591"/>
      <c r="D302" s="209">
        <v>6</v>
      </c>
      <c r="E302" s="183"/>
      <c r="F302" s="184"/>
      <c r="G302" s="183"/>
      <c r="H302" s="183"/>
      <c r="I302" s="192"/>
      <c r="J302" s="183"/>
      <c r="K302" s="192"/>
      <c r="L302" s="184"/>
      <c r="M302" s="192"/>
      <c r="N302" s="184"/>
      <c r="O302" s="183"/>
      <c r="P302" s="185"/>
      <c r="Q302" s="248"/>
      <c r="R302" s="183"/>
      <c r="S302" s="185"/>
      <c r="T302" s="183"/>
      <c r="U302" s="183"/>
      <c r="V302" s="183"/>
      <c r="W302" s="189"/>
      <c r="X302" s="183"/>
    </row>
    <row r="303" spans="2:24">
      <c r="B303" s="582"/>
      <c r="C303" s="591"/>
      <c r="D303" s="209">
        <v>7</v>
      </c>
      <c r="E303" s="183"/>
      <c r="F303" s="184"/>
      <c r="G303" s="183"/>
      <c r="H303" s="183"/>
      <c r="I303" s="192"/>
      <c r="J303" s="183"/>
      <c r="K303" s="192"/>
      <c r="L303" s="184"/>
      <c r="M303" s="192"/>
      <c r="N303" s="184"/>
      <c r="O303" s="183"/>
      <c r="P303" s="185"/>
      <c r="Q303" s="248"/>
      <c r="R303" s="183"/>
      <c r="S303" s="185"/>
      <c r="T303" s="183"/>
      <c r="U303" s="183"/>
      <c r="V303" s="183"/>
      <c r="W303" s="189"/>
      <c r="X303" s="183"/>
    </row>
    <row r="304" spans="2:24">
      <c r="B304" s="582"/>
      <c r="C304" s="591"/>
      <c r="D304" s="209">
        <v>8</v>
      </c>
      <c r="E304" s="183"/>
      <c r="F304" s="184"/>
      <c r="G304" s="183"/>
      <c r="H304" s="183"/>
      <c r="I304" s="192"/>
      <c r="J304" s="183"/>
      <c r="K304" s="192"/>
      <c r="L304" s="184"/>
      <c r="M304" s="192"/>
      <c r="N304" s="184"/>
      <c r="O304" s="183"/>
      <c r="P304" s="185"/>
      <c r="Q304" s="248"/>
      <c r="R304" s="183"/>
      <c r="S304" s="185"/>
      <c r="T304" s="183"/>
      <c r="U304" s="183"/>
      <c r="V304" s="183"/>
      <c r="W304" s="189"/>
      <c r="X304" s="183"/>
    </row>
    <row r="305" spans="2:24">
      <c r="B305" s="582"/>
      <c r="C305" s="591"/>
      <c r="D305" s="209">
        <v>9</v>
      </c>
      <c r="E305" s="183"/>
      <c r="F305" s="184"/>
      <c r="G305" s="183"/>
      <c r="H305" s="183"/>
      <c r="I305" s="192"/>
      <c r="J305" s="183"/>
      <c r="K305" s="192"/>
      <c r="L305" s="184"/>
      <c r="M305" s="192"/>
      <c r="N305" s="184"/>
      <c r="O305" s="183"/>
      <c r="P305" s="185"/>
      <c r="Q305" s="248"/>
      <c r="R305" s="183"/>
      <c r="S305" s="185"/>
      <c r="T305" s="183"/>
      <c r="U305" s="183"/>
      <c r="V305" s="183"/>
      <c r="W305" s="189"/>
      <c r="X305" s="183"/>
    </row>
    <row r="306" spans="2:24">
      <c r="B306" s="583"/>
      <c r="C306" s="591"/>
      <c r="D306" s="209">
        <v>10</v>
      </c>
      <c r="E306" s="183"/>
      <c r="F306" s="184"/>
      <c r="G306" s="183"/>
      <c r="H306" s="183"/>
      <c r="I306" s="192"/>
      <c r="J306" s="183"/>
      <c r="K306" s="192"/>
      <c r="L306" s="184"/>
      <c r="M306" s="192"/>
      <c r="N306" s="184"/>
      <c r="O306" s="183"/>
      <c r="P306" s="185"/>
      <c r="Q306" s="248"/>
      <c r="R306" s="183"/>
      <c r="S306" s="185"/>
      <c r="T306" s="183"/>
      <c r="U306" s="183"/>
      <c r="V306" s="183"/>
      <c r="W306" s="189"/>
      <c r="X306" s="183"/>
    </row>
    <row r="307" spans="2:24">
      <c r="B307" s="581">
        <f t="shared" ref="B307:B357" si="34">B297+1</f>
        <v>45931</v>
      </c>
      <c r="C307" s="584" t="s">
        <v>205</v>
      </c>
      <c r="D307" s="209">
        <v>1</v>
      </c>
      <c r="E307" s="183"/>
      <c r="F307" s="184"/>
      <c r="G307" s="183"/>
      <c r="H307" s="183"/>
      <c r="I307" s="192"/>
      <c r="J307" s="183"/>
      <c r="K307" s="192"/>
      <c r="L307" s="184"/>
      <c r="M307" s="192"/>
      <c r="N307" s="184"/>
      <c r="O307" s="183"/>
      <c r="P307" s="185"/>
      <c r="Q307" s="248"/>
      <c r="R307" s="183"/>
      <c r="S307" s="185"/>
      <c r="T307" s="183"/>
      <c r="U307" s="183"/>
      <c r="V307" s="183"/>
      <c r="W307" s="189"/>
      <c r="X307" s="183"/>
    </row>
    <row r="308" spans="2:24">
      <c r="B308" s="582"/>
      <c r="C308" s="585"/>
      <c r="D308" s="209">
        <v>2</v>
      </c>
      <c r="E308" s="183"/>
      <c r="F308" s="184"/>
      <c r="G308" s="183"/>
      <c r="H308" s="183"/>
      <c r="I308" s="192"/>
      <c r="J308" s="183"/>
      <c r="K308" s="192"/>
      <c r="L308" s="184"/>
      <c r="M308" s="192"/>
      <c r="N308" s="184"/>
      <c r="O308" s="183"/>
      <c r="P308" s="185"/>
      <c r="Q308" s="248"/>
      <c r="R308" s="183"/>
      <c r="S308" s="185"/>
      <c r="T308" s="183"/>
      <c r="U308" s="183"/>
      <c r="V308" s="183"/>
      <c r="W308" s="189"/>
      <c r="X308" s="183"/>
    </row>
    <row r="309" spans="2:24">
      <c r="B309" s="582"/>
      <c r="C309" s="585"/>
      <c r="D309" s="209">
        <v>3</v>
      </c>
      <c r="E309" s="183"/>
      <c r="F309" s="184"/>
      <c r="G309" s="183"/>
      <c r="H309" s="183"/>
      <c r="I309" s="192"/>
      <c r="J309" s="183"/>
      <c r="K309" s="192"/>
      <c r="L309" s="184"/>
      <c r="M309" s="192"/>
      <c r="N309" s="184"/>
      <c r="O309" s="183"/>
      <c r="P309" s="185"/>
      <c r="Q309" s="248"/>
      <c r="R309" s="183"/>
      <c r="S309" s="185"/>
      <c r="T309" s="183"/>
      <c r="U309" s="183"/>
      <c r="V309" s="183"/>
      <c r="W309" s="189"/>
      <c r="X309" s="183"/>
    </row>
    <row r="310" spans="2:24">
      <c r="B310" s="582"/>
      <c r="C310" s="585"/>
      <c r="D310" s="209">
        <v>4</v>
      </c>
      <c r="E310" s="183"/>
      <c r="F310" s="184"/>
      <c r="G310" s="183"/>
      <c r="H310" s="183"/>
      <c r="I310" s="192"/>
      <c r="J310" s="183"/>
      <c r="K310" s="192"/>
      <c r="L310" s="184"/>
      <c r="M310" s="192"/>
      <c r="N310" s="184"/>
      <c r="O310" s="183"/>
      <c r="P310" s="185"/>
      <c r="Q310" s="248"/>
      <c r="R310" s="183"/>
      <c r="S310" s="185"/>
      <c r="T310" s="183"/>
      <c r="U310" s="183"/>
      <c r="V310" s="183"/>
      <c r="W310" s="189"/>
      <c r="X310" s="183"/>
    </row>
    <row r="311" spans="2:24">
      <c r="B311" s="582"/>
      <c r="C311" s="585"/>
      <c r="D311" s="209">
        <v>5</v>
      </c>
      <c r="E311" s="183"/>
      <c r="F311" s="184"/>
      <c r="G311" s="183"/>
      <c r="H311" s="183"/>
      <c r="I311" s="192"/>
      <c r="J311" s="183"/>
      <c r="K311" s="192"/>
      <c r="L311" s="184"/>
      <c r="M311" s="192"/>
      <c r="N311" s="184"/>
      <c r="O311" s="183"/>
      <c r="P311" s="185"/>
      <c r="Q311" s="248"/>
      <c r="R311" s="183"/>
      <c r="S311" s="185"/>
      <c r="T311" s="183"/>
      <c r="U311" s="183"/>
      <c r="V311" s="183"/>
      <c r="W311" s="189"/>
      <c r="X311" s="183"/>
    </row>
    <row r="312" spans="2:24">
      <c r="B312" s="582"/>
      <c r="C312" s="585"/>
      <c r="D312" s="209">
        <v>6</v>
      </c>
      <c r="E312" s="183"/>
      <c r="F312" s="184"/>
      <c r="G312" s="183"/>
      <c r="H312" s="183"/>
      <c r="I312" s="192"/>
      <c r="J312" s="183"/>
      <c r="K312" s="192"/>
      <c r="L312" s="184"/>
      <c r="M312" s="192"/>
      <c r="N312" s="184"/>
      <c r="O312" s="183"/>
      <c r="P312" s="185"/>
      <c r="Q312" s="248"/>
      <c r="R312" s="183"/>
      <c r="S312" s="185"/>
      <c r="T312" s="183"/>
      <c r="U312" s="183"/>
      <c r="V312" s="183"/>
      <c r="W312" s="189"/>
      <c r="X312" s="183"/>
    </row>
    <row r="313" spans="2:24">
      <c r="B313" s="582"/>
      <c r="C313" s="585"/>
      <c r="D313" s="209">
        <v>7</v>
      </c>
      <c r="E313" s="183"/>
      <c r="F313" s="184"/>
      <c r="G313" s="183"/>
      <c r="H313" s="183"/>
      <c r="I313" s="192"/>
      <c r="J313" s="183"/>
      <c r="K313" s="192"/>
      <c r="L313" s="184"/>
      <c r="M313" s="192"/>
      <c r="N313" s="184"/>
      <c r="O313" s="183"/>
      <c r="P313" s="185"/>
      <c r="Q313" s="248"/>
      <c r="R313" s="183"/>
      <c r="S313" s="185"/>
      <c r="T313" s="183"/>
      <c r="U313" s="183"/>
      <c r="V313" s="183"/>
      <c r="W313" s="189"/>
      <c r="X313" s="183"/>
    </row>
    <row r="314" spans="2:24">
      <c r="B314" s="582"/>
      <c r="C314" s="585"/>
      <c r="D314" s="209">
        <v>8</v>
      </c>
      <c r="E314" s="183"/>
      <c r="F314" s="184"/>
      <c r="G314" s="183"/>
      <c r="H314" s="183"/>
      <c r="I314" s="192"/>
      <c r="J314" s="183"/>
      <c r="K314" s="192"/>
      <c r="L314" s="184"/>
      <c r="M314" s="192"/>
      <c r="N314" s="184"/>
      <c r="O314" s="183"/>
      <c r="P314" s="185"/>
      <c r="Q314" s="248"/>
      <c r="R314" s="183"/>
      <c r="S314" s="185"/>
      <c r="T314" s="183"/>
      <c r="U314" s="183"/>
      <c r="V314" s="183"/>
      <c r="W314" s="189"/>
      <c r="X314" s="183"/>
    </row>
    <row r="315" spans="2:24">
      <c r="B315" s="582"/>
      <c r="C315" s="585"/>
      <c r="D315" s="209">
        <v>9</v>
      </c>
      <c r="E315" s="183"/>
      <c r="F315" s="184"/>
      <c r="G315" s="183"/>
      <c r="H315" s="183"/>
      <c r="I315" s="192"/>
      <c r="J315" s="183"/>
      <c r="K315" s="192"/>
      <c r="L315" s="184"/>
      <c r="M315" s="192"/>
      <c r="N315" s="184"/>
      <c r="O315" s="183"/>
      <c r="P315" s="185"/>
      <c r="Q315" s="248"/>
      <c r="R315" s="183"/>
      <c r="S315" s="185"/>
      <c r="T315" s="183"/>
      <c r="U315" s="183"/>
      <c r="V315" s="183"/>
      <c r="W315" s="189"/>
      <c r="X315" s="183"/>
    </row>
    <row r="316" spans="2:24">
      <c r="B316" s="583"/>
      <c r="C316" s="586"/>
      <c r="D316" s="209">
        <v>10</v>
      </c>
      <c r="E316" s="183"/>
      <c r="F316" s="184"/>
      <c r="G316" s="183"/>
      <c r="H316" s="183"/>
      <c r="I316" s="192"/>
      <c r="J316" s="183"/>
      <c r="K316" s="192"/>
      <c r="L316" s="184"/>
      <c r="M316" s="192"/>
      <c r="N316" s="184"/>
      <c r="O316" s="183"/>
      <c r="P316" s="185"/>
      <c r="Q316" s="248"/>
      <c r="R316" s="183"/>
      <c r="S316" s="185"/>
      <c r="T316" s="183"/>
      <c r="U316" s="183"/>
      <c r="V316" s="183"/>
      <c r="W316" s="189"/>
      <c r="X316" s="183"/>
    </row>
    <row r="317" spans="2:24">
      <c r="B317" s="581">
        <f t="shared" si="34"/>
        <v>45932</v>
      </c>
      <c r="C317" s="584" t="s">
        <v>206</v>
      </c>
      <c r="D317" s="209">
        <v>1</v>
      </c>
      <c r="E317" s="183"/>
      <c r="F317" s="184"/>
      <c r="G317" s="183"/>
      <c r="H317" s="183"/>
      <c r="I317" s="192"/>
      <c r="J317" s="183"/>
      <c r="K317" s="192"/>
      <c r="L317" s="184"/>
      <c r="M317" s="192"/>
      <c r="N317" s="184"/>
      <c r="O317" s="183"/>
      <c r="P317" s="185"/>
      <c r="Q317" s="183"/>
      <c r="R317" s="311"/>
      <c r="S317" s="184"/>
      <c r="T317" s="183"/>
      <c r="U317" s="183"/>
      <c r="V317" s="183"/>
      <c r="W317" s="189"/>
      <c r="X317" s="183"/>
    </row>
    <row r="318" spans="2:24">
      <c r="B318" s="582"/>
      <c r="C318" s="585"/>
      <c r="D318" s="209">
        <v>2</v>
      </c>
      <c r="E318" s="183"/>
      <c r="F318" s="184"/>
      <c r="G318" s="183"/>
      <c r="H318" s="183"/>
      <c r="I318" s="192"/>
      <c r="J318" s="183"/>
      <c r="K318" s="192"/>
      <c r="L318" s="184"/>
      <c r="M318" s="192"/>
      <c r="N318" s="184"/>
      <c r="O318" s="183"/>
      <c r="P318" s="185"/>
      <c r="Q318" s="183"/>
      <c r="R318" s="311"/>
      <c r="S318" s="184"/>
      <c r="T318" s="183"/>
      <c r="U318" s="183"/>
      <c r="V318" s="183"/>
      <c r="W318" s="189"/>
      <c r="X318" s="183"/>
    </row>
    <row r="319" spans="2:24">
      <c r="B319" s="582"/>
      <c r="C319" s="585"/>
      <c r="D319" s="209">
        <v>3</v>
      </c>
      <c r="E319" s="183"/>
      <c r="F319" s="184"/>
      <c r="G319" s="183"/>
      <c r="H319" s="183"/>
      <c r="I319" s="192"/>
      <c r="J319" s="183"/>
      <c r="K319" s="192"/>
      <c r="L319" s="184"/>
      <c r="M319" s="192"/>
      <c r="N319" s="184"/>
      <c r="O319" s="183"/>
      <c r="P319" s="185"/>
      <c r="Q319" s="183"/>
      <c r="R319" s="311"/>
      <c r="S319" s="184"/>
      <c r="T319" s="183"/>
      <c r="U319" s="183"/>
      <c r="V319" s="183"/>
      <c r="W319" s="189"/>
      <c r="X319" s="183"/>
    </row>
    <row r="320" spans="2:24">
      <c r="B320" s="582"/>
      <c r="C320" s="585"/>
      <c r="D320" s="209">
        <v>4</v>
      </c>
      <c r="E320" s="183"/>
      <c r="F320" s="184"/>
      <c r="G320" s="183"/>
      <c r="H320" s="183"/>
      <c r="I320" s="192"/>
      <c r="J320" s="183"/>
      <c r="K320" s="192"/>
      <c r="L320" s="184"/>
      <c r="M320" s="192"/>
      <c r="N320" s="184"/>
      <c r="O320" s="183"/>
      <c r="P320" s="185"/>
      <c r="Q320" s="183"/>
      <c r="R320" s="311"/>
      <c r="S320" s="184"/>
      <c r="T320" s="183"/>
      <c r="U320" s="183"/>
      <c r="V320" s="183"/>
      <c r="W320" s="189"/>
      <c r="X320" s="183"/>
    </row>
    <row r="321" spans="2:24">
      <c r="B321" s="582"/>
      <c r="C321" s="585"/>
      <c r="D321" s="209">
        <v>5</v>
      </c>
      <c r="E321" s="183"/>
      <c r="F321" s="184"/>
      <c r="G321" s="183"/>
      <c r="H321" s="183"/>
      <c r="I321" s="192"/>
      <c r="J321" s="183"/>
      <c r="K321" s="192"/>
      <c r="L321" s="184"/>
      <c r="M321" s="192"/>
      <c r="N321" s="184"/>
      <c r="O321" s="183"/>
      <c r="P321" s="185"/>
      <c r="Q321" s="183"/>
      <c r="R321" s="311"/>
      <c r="S321" s="184"/>
      <c r="T321" s="183"/>
      <c r="U321" s="183"/>
      <c r="V321" s="183"/>
      <c r="W321" s="189"/>
      <c r="X321" s="183"/>
    </row>
    <row r="322" spans="2:24">
      <c r="B322" s="582"/>
      <c r="C322" s="585"/>
      <c r="D322" s="209">
        <v>6</v>
      </c>
      <c r="E322" s="183"/>
      <c r="F322" s="184"/>
      <c r="G322" s="183"/>
      <c r="H322" s="183"/>
      <c r="I322" s="192"/>
      <c r="J322" s="183"/>
      <c r="K322" s="192"/>
      <c r="L322" s="184"/>
      <c r="M322" s="192"/>
      <c r="N322" s="184"/>
      <c r="O322" s="183"/>
      <c r="P322" s="185"/>
      <c r="Q322" s="183"/>
      <c r="R322" s="311"/>
      <c r="S322" s="184"/>
      <c r="T322" s="183"/>
      <c r="U322" s="183"/>
      <c r="V322" s="183"/>
      <c r="W322" s="189"/>
      <c r="X322" s="183"/>
    </row>
    <row r="323" spans="2:24">
      <c r="B323" s="582"/>
      <c r="C323" s="585"/>
      <c r="D323" s="209">
        <v>7</v>
      </c>
      <c r="E323" s="183"/>
      <c r="F323" s="184"/>
      <c r="G323" s="183"/>
      <c r="H323" s="183"/>
      <c r="I323" s="192"/>
      <c r="J323" s="183"/>
      <c r="K323" s="192"/>
      <c r="L323" s="184"/>
      <c r="M323" s="192"/>
      <c r="N323" s="184"/>
      <c r="O323" s="183"/>
      <c r="P323" s="185"/>
      <c r="Q323" s="183"/>
      <c r="R323" s="311"/>
      <c r="S323" s="184"/>
      <c r="T323" s="183"/>
      <c r="U323" s="183"/>
      <c r="V323" s="183"/>
      <c r="W323" s="189"/>
      <c r="X323" s="183"/>
    </row>
    <row r="324" spans="2:24">
      <c r="B324" s="582"/>
      <c r="C324" s="585"/>
      <c r="D324" s="209">
        <v>8</v>
      </c>
      <c r="E324" s="183"/>
      <c r="F324" s="184"/>
      <c r="G324" s="183"/>
      <c r="H324" s="183"/>
      <c r="I324" s="192"/>
      <c r="J324" s="183"/>
      <c r="K324" s="192"/>
      <c r="L324" s="184"/>
      <c r="M324" s="192"/>
      <c r="N324" s="184"/>
      <c r="O324" s="183"/>
      <c r="P324" s="185"/>
      <c r="Q324" s="183"/>
      <c r="R324" s="311"/>
      <c r="S324" s="184"/>
      <c r="T324" s="183"/>
      <c r="U324" s="183"/>
      <c r="V324" s="183"/>
      <c r="W324" s="189"/>
      <c r="X324" s="183"/>
    </row>
    <row r="325" spans="2:24">
      <c r="B325" s="582"/>
      <c r="C325" s="585"/>
      <c r="D325" s="209">
        <v>9</v>
      </c>
      <c r="E325" s="183"/>
      <c r="F325" s="184"/>
      <c r="G325" s="183"/>
      <c r="H325" s="183"/>
      <c r="I325" s="192"/>
      <c r="J325" s="183"/>
      <c r="K325" s="192"/>
      <c r="L325" s="184"/>
      <c r="M325" s="192"/>
      <c r="N325" s="184"/>
      <c r="O325" s="183"/>
      <c r="P325" s="185"/>
      <c r="Q325" s="183"/>
      <c r="R325" s="311"/>
      <c r="S325" s="184"/>
      <c r="T325" s="183"/>
      <c r="U325" s="183"/>
      <c r="V325" s="183"/>
      <c r="W325" s="189"/>
      <c r="X325" s="183"/>
    </row>
    <row r="326" spans="2:24">
      <c r="B326" s="583"/>
      <c r="C326" s="586"/>
      <c r="D326" s="209">
        <v>10</v>
      </c>
      <c r="E326" s="183"/>
      <c r="F326" s="184"/>
      <c r="G326" s="183"/>
      <c r="H326" s="183"/>
      <c r="I326" s="192"/>
      <c r="J326" s="183"/>
      <c r="K326" s="192"/>
      <c r="L326" s="184"/>
      <c r="M326" s="192"/>
      <c r="N326" s="184"/>
      <c r="O326" s="183"/>
      <c r="P326" s="185"/>
      <c r="Q326" s="183"/>
      <c r="R326" s="311"/>
      <c r="S326" s="184"/>
      <c r="T326" s="183"/>
      <c r="U326" s="183"/>
      <c r="V326" s="183"/>
      <c r="W326" s="189"/>
      <c r="X326" s="183"/>
    </row>
    <row r="327" spans="2:24">
      <c r="B327" s="581">
        <f t="shared" si="34"/>
        <v>45933</v>
      </c>
      <c r="C327" s="584" t="s">
        <v>207</v>
      </c>
      <c r="D327" s="209">
        <v>1</v>
      </c>
      <c r="E327" s="183"/>
      <c r="F327" s="184"/>
      <c r="G327" s="183"/>
      <c r="H327" s="183"/>
      <c r="I327" s="192"/>
      <c r="J327" s="183"/>
      <c r="K327" s="192"/>
      <c r="L327" s="184"/>
      <c r="M327" s="192"/>
      <c r="N327" s="184"/>
      <c r="O327" s="183"/>
      <c r="P327" s="185"/>
      <c r="Q327" s="183"/>
      <c r="R327" s="311"/>
      <c r="S327" s="184"/>
      <c r="T327" s="183"/>
      <c r="U327" s="183"/>
      <c r="V327" s="183"/>
      <c r="W327" s="189"/>
      <c r="X327" s="183"/>
    </row>
    <row r="328" spans="2:24">
      <c r="B328" s="582"/>
      <c r="C328" s="585"/>
      <c r="D328" s="209">
        <v>2</v>
      </c>
      <c r="E328" s="183"/>
      <c r="F328" s="184"/>
      <c r="G328" s="183"/>
      <c r="H328" s="183"/>
      <c r="I328" s="192"/>
      <c r="J328" s="183"/>
      <c r="K328" s="192"/>
      <c r="L328" s="184"/>
      <c r="M328" s="192"/>
      <c r="N328" s="184"/>
      <c r="O328" s="183"/>
      <c r="P328" s="185"/>
      <c r="Q328" s="183"/>
      <c r="R328" s="311"/>
      <c r="S328" s="184"/>
      <c r="T328" s="183"/>
      <c r="U328" s="183"/>
      <c r="V328" s="183"/>
      <c r="W328" s="189"/>
      <c r="X328" s="183"/>
    </row>
    <row r="329" spans="2:24">
      <c r="B329" s="582"/>
      <c r="C329" s="585"/>
      <c r="D329" s="209">
        <v>3</v>
      </c>
      <c r="E329" s="183"/>
      <c r="F329" s="184"/>
      <c r="G329" s="183"/>
      <c r="H329" s="183"/>
      <c r="I329" s="192"/>
      <c r="J329" s="183"/>
      <c r="K329" s="192"/>
      <c r="L329" s="184"/>
      <c r="M329" s="192"/>
      <c r="N329" s="184"/>
      <c r="O329" s="183"/>
      <c r="P329" s="185"/>
      <c r="Q329" s="183"/>
      <c r="R329" s="311"/>
      <c r="S329" s="184"/>
      <c r="T329" s="183"/>
      <c r="U329" s="183"/>
      <c r="V329" s="183"/>
      <c r="W329" s="189"/>
      <c r="X329" s="183"/>
    </row>
    <row r="330" spans="2:24">
      <c r="B330" s="582"/>
      <c r="C330" s="585"/>
      <c r="D330" s="209">
        <v>4</v>
      </c>
      <c r="E330" s="183"/>
      <c r="F330" s="184"/>
      <c r="G330" s="183"/>
      <c r="H330" s="183"/>
      <c r="I330" s="192"/>
      <c r="J330" s="183"/>
      <c r="K330" s="192"/>
      <c r="L330" s="184"/>
      <c r="M330" s="192"/>
      <c r="N330" s="184"/>
      <c r="O330" s="183"/>
      <c r="P330" s="185"/>
      <c r="Q330" s="183"/>
      <c r="R330" s="311"/>
      <c r="S330" s="184"/>
      <c r="T330" s="183"/>
      <c r="U330" s="183"/>
      <c r="V330" s="183"/>
      <c r="W330" s="189"/>
      <c r="X330" s="183"/>
    </row>
    <row r="331" spans="2:24">
      <c r="B331" s="582"/>
      <c r="C331" s="585"/>
      <c r="D331" s="209">
        <v>5</v>
      </c>
      <c r="E331" s="183"/>
      <c r="F331" s="184"/>
      <c r="G331" s="183"/>
      <c r="H331" s="183"/>
      <c r="I331" s="192"/>
      <c r="J331" s="183"/>
      <c r="K331" s="192"/>
      <c r="L331" s="184"/>
      <c r="M331" s="192"/>
      <c r="N331" s="184"/>
      <c r="O331" s="183"/>
      <c r="P331" s="185"/>
      <c r="Q331" s="183"/>
      <c r="R331" s="311"/>
      <c r="S331" s="184"/>
      <c r="T331" s="183"/>
      <c r="U331" s="183"/>
      <c r="V331" s="183"/>
      <c r="W331" s="189"/>
      <c r="X331" s="183"/>
    </row>
    <row r="332" spans="2:24">
      <c r="B332" s="582"/>
      <c r="C332" s="585"/>
      <c r="D332" s="209">
        <v>6</v>
      </c>
      <c r="E332" s="183"/>
      <c r="F332" s="184"/>
      <c r="G332" s="183"/>
      <c r="H332" s="183"/>
      <c r="I332" s="192"/>
      <c r="J332" s="183"/>
      <c r="K332" s="192"/>
      <c r="L332" s="184"/>
      <c r="M332" s="192"/>
      <c r="N332" s="184"/>
      <c r="O332" s="183"/>
      <c r="P332" s="185"/>
      <c r="Q332" s="183"/>
      <c r="R332" s="311"/>
      <c r="S332" s="184"/>
      <c r="T332" s="183"/>
      <c r="U332" s="183"/>
      <c r="V332" s="183"/>
      <c r="W332" s="189"/>
      <c r="X332" s="183"/>
    </row>
    <row r="333" spans="2:24">
      <c r="B333" s="582"/>
      <c r="C333" s="585"/>
      <c r="D333" s="209">
        <v>7</v>
      </c>
      <c r="E333" s="183"/>
      <c r="F333" s="184"/>
      <c r="G333" s="183"/>
      <c r="H333" s="183"/>
      <c r="I333" s="192"/>
      <c r="J333" s="183"/>
      <c r="K333" s="192"/>
      <c r="L333" s="184"/>
      <c r="M333" s="192"/>
      <c r="N333" s="184"/>
      <c r="O333" s="183"/>
      <c r="P333" s="185"/>
      <c r="Q333" s="183"/>
      <c r="R333" s="311"/>
      <c r="S333" s="184"/>
      <c r="T333" s="183"/>
      <c r="U333" s="183"/>
      <c r="V333" s="183"/>
      <c r="W333" s="189"/>
      <c r="X333" s="183"/>
    </row>
    <row r="334" spans="2:24">
      <c r="B334" s="582"/>
      <c r="C334" s="585"/>
      <c r="D334" s="209">
        <v>8</v>
      </c>
      <c r="E334" s="183"/>
      <c r="F334" s="184"/>
      <c r="G334" s="183"/>
      <c r="H334" s="183"/>
      <c r="I334" s="192"/>
      <c r="J334" s="183"/>
      <c r="K334" s="192"/>
      <c r="L334" s="184"/>
      <c r="M334" s="192"/>
      <c r="N334" s="184"/>
      <c r="O334" s="183"/>
      <c r="P334" s="185"/>
      <c r="Q334" s="183"/>
      <c r="R334" s="311"/>
      <c r="S334" s="184"/>
      <c r="T334" s="183"/>
      <c r="U334" s="183"/>
      <c r="V334" s="183"/>
      <c r="W334" s="189"/>
      <c r="X334" s="183"/>
    </row>
    <row r="335" spans="2:24">
      <c r="B335" s="582"/>
      <c r="C335" s="585"/>
      <c r="D335" s="209">
        <v>9</v>
      </c>
      <c r="E335" s="183"/>
      <c r="F335" s="184"/>
      <c r="G335" s="183"/>
      <c r="H335" s="183"/>
      <c r="I335" s="192"/>
      <c r="J335" s="183"/>
      <c r="K335" s="192"/>
      <c r="L335" s="184"/>
      <c r="M335" s="192"/>
      <c r="N335" s="184"/>
      <c r="O335" s="183"/>
      <c r="P335" s="185"/>
      <c r="Q335" s="183"/>
      <c r="R335" s="311"/>
      <c r="S335" s="184"/>
      <c r="T335" s="183"/>
      <c r="U335" s="183"/>
      <c r="V335" s="183"/>
      <c r="W335" s="189"/>
      <c r="X335" s="183"/>
    </row>
    <row r="336" spans="2:24">
      <c r="B336" s="583"/>
      <c r="C336" s="586"/>
      <c r="D336" s="209">
        <v>10</v>
      </c>
      <c r="E336" s="183"/>
      <c r="F336" s="184"/>
      <c r="G336" s="183"/>
      <c r="H336" s="183"/>
      <c r="I336" s="192"/>
      <c r="J336" s="183"/>
      <c r="K336" s="192"/>
      <c r="L336" s="184"/>
      <c r="M336" s="192"/>
      <c r="N336" s="184"/>
      <c r="O336" s="183"/>
      <c r="P336" s="185"/>
      <c r="Q336" s="183"/>
      <c r="R336" s="311"/>
      <c r="S336" s="184"/>
      <c r="T336" s="183"/>
      <c r="U336" s="183"/>
      <c r="V336" s="183"/>
      <c r="W336" s="189"/>
      <c r="X336" s="183"/>
    </row>
    <row r="337" spans="2:24">
      <c r="B337" s="581">
        <f t="shared" si="34"/>
        <v>45934</v>
      </c>
      <c r="C337" s="584" t="s">
        <v>208</v>
      </c>
      <c r="D337" s="209">
        <v>1</v>
      </c>
      <c r="E337" s="183"/>
      <c r="F337" s="184"/>
      <c r="G337" s="183"/>
      <c r="H337" s="183"/>
      <c r="I337" s="192"/>
      <c r="J337" s="183"/>
      <c r="K337" s="192"/>
      <c r="L337" s="184"/>
      <c r="M337" s="192"/>
      <c r="N337" s="184"/>
      <c r="O337" s="183"/>
      <c r="P337" s="185"/>
      <c r="Q337" s="183"/>
      <c r="R337" s="311"/>
      <c r="S337" s="184"/>
      <c r="T337" s="183"/>
      <c r="U337" s="183"/>
      <c r="V337" s="183"/>
      <c r="W337" s="189"/>
      <c r="X337" s="183"/>
    </row>
    <row r="338" spans="2:24">
      <c r="B338" s="582"/>
      <c r="C338" s="585"/>
      <c r="D338" s="209">
        <v>2</v>
      </c>
      <c r="E338" s="183"/>
      <c r="F338" s="184"/>
      <c r="G338" s="183"/>
      <c r="H338" s="183"/>
      <c r="I338" s="192"/>
      <c r="J338" s="183"/>
      <c r="K338" s="192"/>
      <c r="L338" s="184"/>
      <c r="M338" s="192"/>
      <c r="N338" s="184"/>
      <c r="O338" s="183"/>
      <c r="P338" s="185"/>
      <c r="Q338" s="183"/>
      <c r="R338" s="311"/>
      <c r="S338" s="184"/>
      <c r="T338" s="183"/>
      <c r="U338" s="183"/>
      <c r="V338" s="183"/>
      <c r="W338" s="189"/>
      <c r="X338" s="183"/>
    </row>
    <row r="339" spans="2:24">
      <c r="B339" s="582"/>
      <c r="C339" s="585"/>
      <c r="D339" s="209">
        <v>3</v>
      </c>
      <c r="E339" s="183"/>
      <c r="F339" s="184"/>
      <c r="G339" s="183"/>
      <c r="H339" s="183"/>
      <c r="I339" s="192"/>
      <c r="J339" s="183"/>
      <c r="K339" s="192"/>
      <c r="L339" s="184"/>
      <c r="M339" s="192"/>
      <c r="N339" s="184"/>
      <c r="O339" s="183"/>
      <c r="P339" s="185"/>
      <c r="Q339" s="183"/>
      <c r="R339" s="311"/>
      <c r="S339" s="184"/>
      <c r="T339" s="183"/>
      <c r="U339" s="183"/>
      <c r="V339" s="183"/>
      <c r="W339" s="189"/>
      <c r="X339" s="183"/>
    </row>
    <row r="340" spans="2:24">
      <c r="B340" s="582"/>
      <c r="C340" s="585"/>
      <c r="D340" s="209">
        <v>4</v>
      </c>
      <c r="E340" s="183"/>
      <c r="F340" s="184"/>
      <c r="G340" s="183"/>
      <c r="H340" s="183"/>
      <c r="I340" s="192"/>
      <c r="J340" s="183"/>
      <c r="K340" s="192"/>
      <c r="L340" s="184"/>
      <c r="M340" s="192"/>
      <c r="N340" s="184"/>
      <c r="O340" s="183"/>
      <c r="P340" s="185"/>
      <c r="Q340" s="183"/>
      <c r="R340" s="311"/>
      <c r="S340" s="184"/>
      <c r="T340" s="183"/>
      <c r="U340" s="183"/>
      <c r="V340" s="183"/>
      <c r="W340" s="189"/>
      <c r="X340" s="183"/>
    </row>
    <row r="341" spans="2:24">
      <c r="B341" s="582"/>
      <c r="C341" s="585"/>
      <c r="D341" s="209">
        <v>5</v>
      </c>
      <c r="E341" s="183"/>
      <c r="F341" s="184"/>
      <c r="G341" s="183"/>
      <c r="H341" s="183"/>
      <c r="I341" s="192"/>
      <c r="J341" s="183"/>
      <c r="K341" s="192"/>
      <c r="L341" s="184"/>
      <c r="M341" s="192"/>
      <c r="N341" s="184"/>
      <c r="O341" s="183"/>
      <c r="P341" s="185"/>
      <c r="Q341" s="183"/>
      <c r="R341" s="311"/>
      <c r="S341" s="184"/>
      <c r="T341" s="183"/>
      <c r="U341" s="183"/>
      <c r="V341" s="183"/>
      <c r="W341" s="189"/>
      <c r="X341" s="183"/>
    </row>
    <row r="342" spans="2:24">
      <c r="B342" s="582"/>
      <c r="C342" s="585"/>
      <c r="D342" s="209">
        <v>6</v>
      </c>
      <c r="E342" s="183"/>
      <c r="F342" s="184"/>
      <c r="G342" s="183"/>
      <c r="H342" s="183"/>
      <c r="I342" s="192"/>
      <c r="J342" s="183"/>
      <c r="K342" s="192"/>
      <c r="L342" s="184"/>
      <c r="M342" s="192"/>
      <c r="N342" s="184"/>
      <c r="O342" s="183"/>
      <c r="P342" s="185"/>
      <c r="Q342" s="183"/>
      <c r="R342" s="311"/>
      <c r="S342" s="184"/>
      <c r="T342" s="183"/>
      <c r="U342" s="183"/>
      <c r="V342" s="183"/>
      <c r="W342" s="189"/>
      <c r="X342" s="183"/>
    </row>
    <row r="343" spans="2:24">
      <c r="B343" s="582"/>
      <c r="C343" s="585"/>
      <c r="D343" s="209">
        <v>7</v>
      </c>
      <c r="E343" s="183"/>
      <c r="F343" s="184"/>
      <c r="G343" s="183"/>
      <c r="H343" s="183"/>
      <c r="I343" s="192"/>
      <c r="J343" s="183"/>
      <c r="K343" s="192"/>
      <c r="L343" s="184"/>
      <c r="M343" s="192"/>
      <c r="N343" s="184"/>
      <c r="O343" s="183"/>
      <c r="P343" s="185"/>
      <c r="Q343" s="183"/>
      <c r="R343" s="311"/>
      <c r="S343" s="184"/>
      <c r="T343" s="183"/>
      <c r="U343" s="183"/>
      <c r="V343" s="183"/>
      <c r="W343" s="189"/>
      <c r="X343" s="183"/>
    </row>
    <row r="344" spans="2:24">
      <c r="B344" s="582"/>
      <c r="C344" s="585"/>
      <c r="D344" s="209">
        <v>8</v>
      </c>
      <c r="E344" s="183"/>
      <c r="F344" s="184"/>
      <c r="G344" s="183"/>
      <c r="H344" s="183"/>
      <c r="I344" s="192"/>
      <c r="J344" s="183"/>
      <c r="K344" s="192"/>
      <c r="L344" s="184"/>
      <c r="M344" s="192"/>
      <c r="N344" s="184"/>
      <c r="O344" s="183"/>
      <c r="P344" s="185"/>
      <c r="Q344" s="183"/>
      <c r="R344" s="311"/>
      <c r="S344" s="184"/>
      <c r="T344" s="183"/>
      <c r="U344" s="183"/>
      <c r="V344" s="183"/>
      <c r="W344" s="189"/>
      <c r="X344" s="183"/>
    </row>
    <row r="345" spans="2:24">
      <c r="B345" s="582"/>
      <c r="C345" s="585"/>
      <c r="D345" s="209">
        <v>9</v>
      </c>
      <c r="E345" s="183"/>
      <c r="F345" s="184"/>
      <c r="G345" s="183"/>
      <c r="H345" s="183"/>
      <c r="I345" s="192"/>
      <c r="J345" s="183"/>
      <c r="K345" s="192"/>
      <c r="L345" s="184"/>
      <c r="M345" s="192"/>
      <c r="N345" s="184"/>
      <c r="O345" s="183"/>
      <c r="P345" s="185"/>
      <c r="Q345" s="183"/>
      <c r="R345" s="311"/>
      <c r="S345" s="184"/>
      <c r="T345" s="183"/>
      <c r="U345" s="183"/>
      <c r="V345" s="183"/>
      <c r="W345" s="189"/>
      <c r="X345" s="183"/>
    </row>
    <row r="346" spans="2:24">
      <c r="B346" s="583"/>
      <c r="C346" s="586"/>
      <c r="D346" s="209">
        <v>10</v>
      </c>
      <c r="E346" s="183"/>
      <c r="F346" s="184"/>
      <c r="G346" s="183"/>
      <c r="H346" s="183"/>
      <c r="I346" s="192"/>
      <c r="J346" s="183"/>
      <c r="K346" s="192"/>
      <c r="L346" s="184"/>
      <c r="M346" s="192"/>
      <c r="N346" s="184"/>
      <c r="O346" s="183"/>
      <c r="P346" s="185"/>
      <c r="Q346" s="183"/>
      <c r="R346" s="311"/>
      <c r="S346" s="184"/>
      <c r="T346" s="183"/>
      <c r="U346" s="183"/>
      <c r="V346" s="183"/>
      <c r="W346" s="189"/>
      <c r="X346" s="183"/>
    </row>
    <row r="347" spans="2:24">
      <c r="B347" s="581">
        <f t="shared" si="34"/>
        <v>45935</v>
      </c>
      <c r="C347" s="584" t="s">
        <v>157</v>
      </c>
      <c r="D347" s="209">
        <v>1</v>
      </c>
      <c r="E347" s="183"/>
      <c r="F347" s="184"/>
      <c r="G347" s="183"/>
      <c r="H347" s="183"/>
      <c r="I347" s="192"/>
      <c r="J347" s="183"/>
      <c r="K347" s="192"/>
      <c r="L347" s="184"/>
      <c r="M347" s="192"/>
      <c r="N347" s="184"/>
      <c r="O347" s="183"/>
      <c r="P347" s="185"/>
      <c r="Q347" s="183"/>
      <c r="R347" s="311"/>
      <c r="S347" s="184"/>
      <c r="T347" s="183"/>
      <c r="U347" s="183"/>
      <c r="V347" s="183"/>
      <c r="W347" s="189"/>
      <c r="X347" s="183"/>
    </row>
    <row r="348" spans="2:24">
      <c r="B348" s="582"/>
      <c r="C348" s="585"/>
      <c r="D348" s="209">
        <v>2</v>
      </c>
      <c r="E348" s="183"/>
      <c r="F348" s="184"/>
      <c r="G348" s="183"/>
      <c r="H348" s="183"/>
      <c r="I348" s="192"/>
      <c r="J348" s="183"/>
      <c r="K348" s="192"/>
      <c r="L348" s="184"/>
      <c r="M348" s="192"/>
      <c r="N348" s="184"/>
      <c r="O348" s="183"/>
      <c r="P348" s="185"/>
      <c r="Q348" s="183"/>
      <c r="R348" s="311"/>
      <c r="S348" s="184"/>
      <c r="T348" s="183"/>
      <c r="U348" s="183"/>
      <c r="V348" s="183"/>
      <c r="W348" s="189"/>
      <c r="X348" s="183"/>
    </row>
    <row r="349" spans="2:24">
      <c r="B349" s="582"/>
      <c r="C349" s="585"/>
      <c r="D349" s="209">
        <v>3</v>
      </c>
      <c r="E349" s="183"/>
      <c r="F349" s="184"/>
      <c r="G349" s="183"/>
      <c r="H349" s="183"/>
      <c r="I349" s="192"/>
      <c r="J349" s="183"/>
      <c r="K349" s="192"/>
      <c r="L349" s="184"/>
      <c r="M349" s="192"/>
      <c r="N349" s="184"/>
      <c r="O349" s="183"/>
      <c r="P349" s="185"/>
      <c r="Q349" s="183"/>
      <c r="R349" s="311"/>
      <c r="S349" s="184"/>
      <c r="T349" s="183"/>
      <c r="U349" s="183"/>
      <c r="V349" s="183"/>
      <c r="W349" s="189"/>
      <c r="X349" s="183"/>
    </row>
    <row r="350" spans="2:24">
      <c r="B350" s="582"/>
      <c r="C350" s="585"/>
      <c r="D350" s="209">
        <v>4</v>
      </c>
      <c r="E350" s="183"/>
      <c r="F350" s="184"/>
      <c r="G350" s="183"/>
      <c r="H350" s="183"/>
      <c r="I350" s="192"/>
      <c r="J350" s="183"/>
      <c r="K350" s="192"/>
      <c r="L350" s="184"/>
      <c r="M350" s="192"/>
      <c r="N350" s="184"/>
      <c r="O350" s="183"/>
      <c r="P350" s="185"/>
      <c r="Q350" s="183"/>
      <c r="R350" s="311"/>
      <c r="S350" s="184"/>
      <c r="T350" s="183"/>
      <c r="U350" s="183"/>
      <c r="V350" s="183"/>
      <c r="W350" s="189"/>
      <c r="X350" s="183"/>
    </row>
    <row r="351" spans="2:24">
      <c r="B351" s="582"/>
      <c r="C351" s="585"/>
      <c r="D351" s="209">
        <v>5</v>
      </c>
      <c r="E351" s="183"/>
      <c r="F351" s="184"/>
      <c r="G351" s="183"/>
      <c r="H351" s="183"/>
      <c r="I351" s="192"/>
      <c r="J351" s="183"/>
      <c r="K351" s="192"/>
      <c r="L351" s="184"/>
      <c r="M351" s="192"/>
      <c r="N351" s="184"/>
      <c r="O351" s="183"/>
      <c r="P351" s="185"/>
      <c r="Q351" s="183"/>
      <c r="R351" s="311"/>
      <c r="S351" s="184"/>
      <c r="T351" s="183"/>
      <c r="U351" s="183"/>
      <c r="V351" s="183"/>
      <c r="W351" s="189"/>
      <c r="X351" s="183"/>
    </row>
    <row r="352" spans="2:24">
      <c r="B352" s="582"/>
      <c r="C352" s="585"/>
      <c r="D352" s="209">
        <v>6</v>
      </c>
      <c r="E352" s="183"/>
      <c r="F352" s="184"/>
      <c r="G352" s="183"/>
      <c r="H352" s="183"/>
      <c r="I352" s="192"/>
      <c r="J352" s="183"/>
      <c r="K352" s="192"/>
      <c r="L352" s="184"/>
      <c r="M352" s="192"/>
      <c r="N352" s="184"/>
      <c r="O352" s="183"/>
      <c r="P352" s="185"/>
      <c r="Q352" s="183"/>
      <c r="R352" s="311"/>
      <c r="S352" s="184"/>
      <c r="T352" s="183"/>
      <c r="U352" s="183"/>
      <c r="V352" s="183"/>
      <c r="W352" s="189"/>
      <c r="X352" s="183"/>
    </row>
    <row r="353" spans="2:24">
      <c r="B353" s="582"/>
      <c r="C353" s="585"/>
      <c r="D353" s="209">
        <v>7</v>
      </c>
      <c r="E353" s="183"/>
      <c r="F353" s="184"/>
      <c r="G353" s="183"/>
      <c r="H353" s="183"/>
      <c r="I353" s="192"/>
      <c r="J353" s="183"/>
      <c r="K353" s="192"/>
      <c r="L353" s="184"/>
      <c r="M353" s="192"/>
      <c r="N353" s="184"/>
      <c r="O353" s="183"/>
      <c r="P353" s="185"/>
      <c r="Q353" s="183"/>
      <c r="R353" s="311"/>
      <c r="S353" s="184"/>
      <c r="T353" s="183"/>
      <c r="U353" s="183"/>
      <c r="V353" s="183"/>
      <c r="W353" s="189"/>
      <c r="X353" s="183"/>
    </row>
    <row r="354" spans="2:24">
      <c r="B354" s="582"/>
      <c r="C354" s="585"/>
      <c r="D354" s="209">
        <v>8</v>
      </c>
      <c r="E354" s="183"/>
      <c r="F354" s="184"/>
      <c r="G354" s="183"/>
      <c r="H354" s="183"/>
      <c r="I354" s="192"/>
      <c r="J354" s="183"/>
      <c r="K354" s="192"/>
      <c r="L354" s="184"/>
      <c r="M354" s="192"/>
      <c r="N354" s="184"/>
      <c r="O354" s="183"/>
      <c r="P354" s="185"/>
      <c r="Q354" s="183"/>
      <c r="R354" s="311"/>
      <c r="S354" s="184"/>
      <c r="T354" s="183"/>
      <c r="U354" s="183"/>
      <c r="V354" s="183"/>
      <c r="W354" s="189"/>
      <c r="X354" s="183"/>
    </row>
    <row r="355" spans="2:24">
      <c r="B355" s="582"/>
      <c r="C355" s="585"/>
      <c r="D355" s="209">
        <v>9</v>
      </c>
      <c r="E355" s="183"/>
      <c r="F355" s="184"/>
      <c r="G355" s="183"/>
      <c r="H355" s="183"/>
      <c r="I355" s="192"/>
      <c r="J355" s="183"/>
      <c r="K355" s="192"/>
      <c r="L355" s="184"/>
      <c r="M355" s="192"/>
      <c r="N355" s="184"/>
      <c r="O355" s="183"/>
      <c r="P355" s="185"/>
      <c r="Q355" s="183"/>
      <c r="R355" s="311"/>
      <c r="S355" s="184"/>
      <c r="T355" s="183"/>
      <c r="U355" s="183"/>
      <c r="V355" s="183"/>
      <c r="W355" s="189"/>
      <c r="X355" s="183"/>
    </row>
    <row r="356" spans="2:24">
      <c r="B356" s="583"/>
      <c r="C356" s="586"/>
      <c r="D356" s="209">
        <v>10</v>
      </c>
      <c r="E356" s="183"/>
      <c r="F356" s="184"/>
      <c r="G356" s="183"/>
      <c r="H356" s="183"/>
      <c r="I356" s="192"/>
      <c r="J356" s="183"/>
      <c r="K356" s="192"/>
      <c r="L356" s="184"/>
      <c r="M356" s="192"/>
      <c r="N356" s="184"/>
      <c r="O356" s="183"/>
      <c r="P356" s="185"/>
      <c r="Q356" s="183"/>
      <c r="R356" s="311"/>
      <c r="S356" s="184"/>
      <c r="T356" s="183"/>
      <c r="U356" s="183"/>
      <c r="V356" s="183"/>
      <c r="W356" s="189"/>
      <c r="X356" s="183"/>
    </row>
    <row r="357" spans="2:24">
      <c r="B357" s="581">
        <f t="shared" si="34"/>
        <v>45936</v>
      </c>
      <c r="C357" s="584" t="s">
        <v>209</v>
      </c>
      <c r="D357" s="209">
        <v>1</v>
      </c>
      <c r="E357" s="183"/>
      <c r="F357" s="184"/>
      <c r="G357" s="183"/>
      <c r="H357" s="183"/>
      <c r="I357" s="192"/>
      <c r="J357" s="183"/>
      <c r="K357" s="192"/>
      <c r="L357" s="184"/>
      <c r="M357" s="192"/>
      <c r="N357" s="184"/>
      <c r="O357" s="183"/>
      <c r="P357" s="185"/>
      <c r="Q357" s="183"/>
      <c r="R357" s="311"/>
      <c r="S357" s="184"/>
      <c r="T357" s="183"/>
      <c r="U357" s="183"/>
      <c r="V357" s="183"/>
      <c r="W357" s="189"/>
      <c r="X357" s="183"/>
    </row>
    <row r="358" spans="2:24">
      <c r="B358" s="582"/>
      <c r="C358" s="585"/>
      <c r="D358" s="209">
        <v>2</v>
      </c>
      <c r="E358" s="183"/>
      <c r="F358" s="184"/>
      <c r="G358" s="183"/>
      <c r="H358" s="183"/>
      <c r="I358" s="192"/>
      <c r="J358" s="183"/>
      <c r="K358" s="192"/>
      <c r="L358" s="184"/>
      <c r="M358" s="192"/>
      <c r="N358" s="184"/>
      <c r="O358" s="183"/>
      <c r="P358" s="185"/>
      <c r="Q358" s="183"/>
      <c r="R358" s="311"/>
      <c r="S358" s="184"/>
      <c r="T358" s="183"/>
      <c r="U358" s="183"/>
      <c r="V358" s="183"/>
      <c r="W358" s="189"/>
      <c r="X358" s="183"/>
    </row>
    <row r="359" spans="2:24">
      <c r="B359" s="582"/>
      <c r="C359" s="585"/>
      <c r="D359" s="209">
        <v>3</v>
      </c>
      <c r="E359" s="183"/>
      <c r="F359" s="184"/>
      <c r="G359" s="183"/>
      <c r="H359" s="183"/>
      <c r="I359" s="192"/>
      <c r="J359" s="183"/>
      <c r="K359" s="192"/>
      <c r="L359" s="184"/>
      <c r="M359" s="192"/>
      <c r="N359" s="184"/>
      <c r="O359" s="183"/>
      <c r="P359" s="185"/>
      <c r="Q359" s="183"/>
      <c r="R359" s="311"/>
      <c r="S359" s="184"/>
      <c r="T359" s="183"/>
      <c r="U359" s="183"/>
      <c r="V359" s="183"/>
      <c r="W359" s="189"/>
      <c r="X359" s="183"/>
    </row>
    <row r="360" spans="2:24">
      <c r="B360" s="582"/>
      <c r="C360" s="585"/>
      <c r="D360" s="209">
        <v>4</v>
      </c>
      <c r="E360" s="183"/>
      <c r="F360" s="184"/>
      <c r="G360" s="183"/>
      <c r="H360" s="183"/>
      <c r="I360" s="192"/>
      <c r="J360" s="183"/>
      <c r="K360" s="192"/>
      <c r="L360" s="184"/>
      <c r="M360" s="192"/>
      <c r="N360" s="184"/>
      <c r="O360" s="183"/>
      <c r="P360" s="185"/>
      <c r="Q360" s="183"/>
      <c r="R360" s="311"/>
      <c r="S360" s="184"/>
      <c r="T360" s="183"/>
      <c r="U360" s="183"/>
      <c r="V360" s="183"/>
      <c r="W360" s="189"/>
      <c r="X360" s="183"/>
    </row>
    <row r="361" spans="2:24">
      <c r="B361" s="582"/>
      <c r="C361" s="585"/>
      <c r="D361" s="209">
        <v>5</v>
      </c>
      <c r="E361" s="183"/>
      <c r="F361" s="184"/>
      <c r="G361" s="183"/>
      <c r="H361" s="183"/>
      <c r="I361" s="192"/>
      <c r="J361" s="183"/>
      <c r="K361" s="192"/>
      <c r="L361" s="184"/>
      <c r="M361" s="192"/>
      <c r="N361" s="184"/>
      <c r="O361" s="183"/>
      <c r="P361" s="185"/>
      <c r="Q361" s="183"/>
      <c r="R361" s="311"/>
      <c r="S361" s="184"/>
      <c r="T361" s="183"/>
      <c r="U361" s="183"/>
      <c r="V361" s="183"/>
      <c r="W361" s="189"/>
      <c r="X361" s="183"/>
    </row>
    <row r="362" spans="2:24">
      <c r="B362" s="582"/>
      <c r="C362" s="585"/>
      <c r="D362" s="209">
        <v>6</v>
      </c>
      <c r="E362" s="183"/>
      <c r="F362" s="184"/>
      <c r="G362" s="183"/>
      <c r="H362" s="183"/>
      <c r="I362" s="192"/>
      <c r="J362" s="183"/>
      <c r="K362" s="192"/>
      <c r="L362" s="184"/>
      <c r="M362" s="192"/>
      <c r="N362" s="184"/>
      <c r="O362" s="183"/>
      <c r="P362" s="185"/>
      <c r="Q362" s="183"/>
      <c r="R362" s="311"/>
      <c r="S362" s="184"/>
      <c r="T362" s="183"/>
      <c r="U362" s="183"/>
      <c r="V362" s="183"/>
      <c r="W362" s="189"/>
      <c r="X362" s="183"/>
    </row>
    <row r="363" spans="2:24">
      <c r="B363" s="582"/>
      <c r="C363" s="585"/>
      <c r="D363" s="209">
        <v>7</v>
      </c>
      <c r="E363" s="183"/>
      <c r="F363" s="184"/>
      <c r="G363" s="183"/>
      <c r="H363" s="183"/>
      <c r="I363" s="192"/>
      <c r="J363" s="183"/>
      <c r="K363" s="192"/>
      <c r="L363" s="184"/>
      <c r="M363" s="192"/>
      <c r="N363" s="184"/>
      <c r="O363" s="183"/>
      <c r="P363" s="185"/>
      <c r="Q363" s="183"/>
      <c r="R363" s="311"/>
      <c r="S363" s="184"/>
      <c r="T363" s="183"/>
      <c r="U363" s="183"/>
      <c r="V363" s="183"/>
      <c r="W363" s="189"/>
      <c r="X363" s="183"/>
    </row>
    <row r="364" spans="2:24">
      <c r="B364" s="582"/>
      <c r="C364" s="585"/>
      <c r="D364" s="209">
        <v>8</v>
      </c>
      <c r="E364" s="183"/>
      <c r="F364" s="184"/>
      <c r="G364" s="183"/>
      <c r="H364" s="183"/>
      <c r="I364" s="192"/>
      <c r="J364" s="183"/>
      <c r="K364" s="192"/>
      <c r="L364" s="184"/>
      <c r="M364" s="192"/>
      <c r="N364" s="184"/>
      <c r="O364" s="183"/>
      <c r="P364" s="185"/>
      <c r="Q364" s="183"/>
      <c r="R364" s="311"/>
      <c r="S364" s="184"/>
      <c r="T364" s="183"/>
      <c r="U364" s="183"/>
      <c r="V364" s="183"/>
      <c r="W364" s="189"/>
      <c r="X364" s="183"/>
    </row>
    <row r="365" spans="2:24">
      <c r="B365" s="582"/>
      <c r="C365" s="585"/>
      <c r="D365" s="209">
        <v>9</v>
      </c>
      <c r="E365" s="183"/>
      <c r="F365" s="184"/>
      <c r="G365" s="183"/>
      <c r="H365" s="183"/>
      <c r="I365" s="192"/>
      <c r="J365" s="183"/>
      <c r="K365" s="192"/>
      <c r="L365" s="184"/>
      <c r="M365" s="192"/>
      <c r="N365" s="184"/>
      <c r="O365" s="183"/>
      <c r="P365" s="185"/>
      <c r="Q365" s="183"/>
      <c r="R365" s="311"/>
      <c r="S365" s="184"/>
      <c r="T365" s="183"/>
      <c r="U365" s="183"/>
      <c r="V365" s="183"/>
      <c r="W365" s="189"/>
      <c r="X365" s="183"/>
    </row>
    <row r="366" spans="2:24">
      <c r="B366" s="583"/>
      <c r="C366" s="586"/>
      <c r="D366" s="209">
        <v>10</v>
      </c>
      <c r="E366" s="183"/>
      <c r="F366" s="184"/>
      <c r="G366" s="183"/>
      <c r="H366" s="183"/>
      <c r="I366" s="192"/>
      <c r="J366" s="183"/>
      <c r="K366" s="192"/>
      <c r="L366" s="184"/>
      <c r="M366" s="192"/>
      <c r="N366" s="184"/>
      <c r="O366" s="183"/>
      <c r="P366" s="185"/>
      <c r="Q366" s="183"/>
      <c r="R366" s="311"/>
      <c r="S366" s="184"/>
      <c r="T366" s="183"/>
      <c r="U366" s="183"/>
      <c r="V366" s="183"/>
      <c r="W366" s="189"/>
      <c r="X366" s="183"/>
    </row>
  </sheetData>
  <mergeCells count="91"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307:B316"/>
    <mergeCell ref="C307:C316"/>
    <mergeCell ref="C317:C326"/>
    <mergeCell ref="O5:Q5"/>
    <mergeCell ref="B277:B286"/>
    <mergeCell ref="C277:C286"/>
    <mergeCell ref="B287:B296"/>
    <mergeCell ref="C287:C29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347:B356"/>
    <mergeCell ref="C347:C356"/>
    <mergeCell ref="B357:B366"/>
    <mergeCell ref="C357:C366"/>
    <mergeCell ref="B317:B326"/>
    <mergeCell ref="B327:B336"/>
    <mergeCell ref="C327:C336"/>
    <mergeCell ref="B337:B346"/>
    <mergeCell ref="C337:C346"/>
  </mergeCells>
  <phoneticPr fontId="9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2"/>
    <col min="3" max="3" width="14" style="202" bestFit="1" customWidth="1"/>
    <col min="4" max="4" width="0.28515625" style="202" customWidth="1"/>
    <col min="5" max="5" width="8.7109375" style="202"/>
    <col min="6" max="6" width="16.28515625" style="202" bestFit="1" customWidth="1"/>
    <col min="7" max="16384" width="8.7109375" style="202"/>
  </cols>
  <sheetData>
    <row r="2" spans="2:7" ht="15.75">
      <c r="B2" s="612" t="s">
        <v>566</v>
      </c>
      <c r="C2" s="612"/>
      <c r="D2" s="612"/>
      <c r="E2" s="612"/>
      <c r="F2" s="612"/>
    </row>
    <row r="3" spans="2:7" ht="15">
      <c r="B3" s="203" t="s">
        <v>567</v>
      </c>
      <c r="C3" s="203" t="s">
        <v>568</v>
      </c>
      <c r="D3" s="204"/>
      <c r="E3" s="203" t="s">
        <v>569</v>
      </c>
      <c r="F3" s="203" t="s">
        <v>570</v>
      </c>
      <c r="G3" s="204"/>
    </row>
    <row r="4" spans="2:7" ht="15">
      <c r="B4" s="205" t="s">
        <v>571</v>
      </c>
      <c r="C4" s="205" t="s">
        <v>572</v>
      </c>
      <c r="D4" s="204"/>
      <c r="E4" s="205" t="s">
        <v>573</v>
      </c>
      <c r="F4" s="205" t="s">
        <v>574</v>
      </c>
      <c r="G4" s="204"/>
    </row>
    <row r="5" spans="2:7" ht="15">
      <c r="B5" s="205" t="s">
        <v>575</v>
      </c>
      <c r="C5" s="205" t="s">
        <v>576</v>
      </c>
      <c r="D5" s="204"/>
      <c r="E5" s="205" t="s">
        <v>577</v>
      </c>
      <c r="F5" s="205" t="s">
        <v>578</v>
      </c>
      <c r="G5" s="204"/>
    </row>
    <row r="6" spans="2:7" ht="15">
      <c r="B6" s="205" t="s">
        <v>579</v>
      </c>
      <c r="C6" s="205" t="s">
        <v>580</v>
      </c>
      <c r="D6" s="204"/>
      <c r="E6" s="206" t="s">
        <v>581</v>
      </c>
      <c r="F6" s="206" t="s">
        <v>374</v>
      </c>
      <c r="G6" s="204"/>
    </row>
    <row r="7" spans="2:7" ht="15">
      <c r="B7" s="206" t="s">
        <v>582</v>
      </c>
      <c r="C7" s="206" t="s">
        <v>583</v>
      </c>
      <c r="D7" s="204"/>
      <c r="E7" s="205" t="s">
        <v>584</v>
      </c>
      <c r="F7" s="205" t="s">
        <v>585</v>
      </c>
      <c r="G7" s="204"/>
    </row>
    <row r="8" spans="2:7" ht="15">
      <c r="B8" s="205" t="s">
        <v>586</v>
      </c>
      <c r="C8" s="205" t="s">
        <v>587</v>
      </c>
      <c r="D8" s="204"/>
      <c r="E8" s="205" t="s">
        <v>588</v>
      </c>
      <c r="F8" s="205" t="s">
        <v>589</v>
      </c>
      <c r="G8" s="204"/>
    </row>
    <row r="9" spans="2:7" ht="15">
      <c r="B9" s="205" t="s">
        <v>590</v>
      </c>
      <c r="C9" s="205" t="s">
        <v>591</v>
      </c>
      <c r="D9" s="204"/>
      <c r="E9" s="206" t="s">
        <v>592</v>
      </c>
      <c r="F9" s="206" t="s">
        <v>371</v>
      </c>
      <c r="G9" s="204"/>
    </row>
    <row r="10" spans="2:7" ht="15">
      <c r="B10" s="205" t="s">
        <v>593</v>
      </c>
      <c r="C10" s="205" t="s">
        <v>594</v>
      </c>
      <c r="D10" s="204"/>
      <c r="E10" s="205" t="s">
        <v>595</v>
      </c>
      <c r="F10" s="205" t="s">
        <v>596</v>
      </c>
      <c r="G10" s="204"/>
    </row>
    <row r="11" spans="2:7" ht="15">
      <c r="B11" s="205" t="s">
        <v>597</v>
      </c>
      <c r="C11" s="205" t="s">
        <v>598</v>
      </c>
      <c r="D11" s="204"/>
      <c r="E11" s="205" t="s">
        <v>599</v>
      </c>
      <c r="F11" s="205" t="s">
        <v>589</v>
      </c>
      <c r="G11" s="204"/>
    </row>
    <row r="12" spans="2:7" ht="15">
      <c r="B12" s="205" t="s">
        <v>600</v>
      </c>
      <c r="C12" s="205" t="s">
        <v>601</v>
      </c>
      <c r="D12" s="204"/>
      <c r="E12" s="205" t="s">
        <v>602</v>
      </c>
      <c r="F12" s="205" t="s">
        <v>603</v>
      </c>
      <c r="G12" s="204"/>
    </row>
    <row r="13" spans="2:7" ht="15">
      <c r="B13" s="206" t="s">
        <v>604</v>
      </c>
      <c r="C13" s="206" t="s">
        <v>332</v>
      </c>
      <c r="D13" s="204"/>
      <c r="E13" s="205" t="s">
        <v>605</v>
      </c>
      <c r="F13" s="205" t="s">
        <v>606</v>
      </c>
      <c r="G13" s="204"/>
    </row>
    <row r="14" spans="2:7" ht="15">
      <c r="B14" s="205" t="s">
        <v>607</v>
      </c>
      <c r="C14" s="205" t="s">
        <v>608</v>
      </c>
      <c r="D14" s="204"/>
      <c r="E14" s="206" t="s">
        <v>609</v>
      </c>
      <c r="F14" s="206" t="s">
        <v>610</v>
      </c>
      <c r="G14" s="204"/>
    </row>
    <row r="15" spans="2:7" ht="15">
      <c r="B15" s="206" t="s">
        <v>611</v>
      </c>
      <c r="C15" s="206" t="s">
        <v>612</v>
      </c>
      <c r="D15" s="204"/>
      <c r="E15" s="205" t="s">
        <v>613</v>
      </c>
      <c r="F15" s="205" t="s">
        <v>610</v>
      </c>
      <c r="G15" s="204"/>
    </row>
    <row r="16" spans="2:7" ht="15">
      <c r="B16" s="205" t="s">
        <v>614</v>
      </c>
      <c r="C16" s="205" t="s">
        <v>615</v>
      </c>
      <c r="D16" s="204"/>
      <c r="E16" s="206" t="s">
        <v>616</v>
      </c>
      <c r="F16" s="206" t="s">
        <v>617</v>
      </c>
      <c r="G16" s="204"/>
    </row>
    <row r="17" spans="2:7" ht="15">
      <c r="B17" s="205" t="s">
        <v>618</v>
      </c>
      <c r="C17" s="205" t="s">
        <v>619</v>
      </c>
      <c r="D17" s="204"/>
      <c r="E17" s="205" t="s">
        <v>620</v>
      </c>
      <c r="F17" s="205" t="s">
        <v>621</v>
      </c>
      <c r="G17" s="204"/>
    </row>
    <row r="18" spans="2:7" ht="15">
      <c r="B18" s="205" t="s">
        <v>622</v>
      </c>
      <c r="C18" s="205" t="s">
        <v>623</v>
      </c>
      <c r="D18" s="204"/>
      <c r="E18" s="205" t="s">
        <v>624</v>
      </c>
      <c r="F18" s="205" t="s">
        <v>625</v>
      </c>
      <c r="G18" s="204"/>
    </row>
    <row r="19" spans="2:7" ht="15">
      <c r="B19" s="205" t="s">
        <v>626</v>
      </c>
      <c r="C19" s="205" t="s">
        <v>627</v>
      </c>
      <c r="D19" s="204"/>
      <c r="E19" s="205" t="s">
        <v>628</v>
      </c>
      <c r="F19" s="205" t="s">
        <v>629</v>
      </c>
      <c r="G19" s="204"/>
    </row>
    <row r="20" spans="2:7" ht="15">
      <c r="B20" s="205" t="s">
        <v>630</v>
      </c>
      <c r="C20" s="205" t="s">
        <v>631</v>
      </c>
      <c r="D20" s="204"/>
      <c r="G20" s="204"/>
    </row>
    <row r="21" spans="2:7" ht="15">
      <c r="D21" s="204"/>
      <c r="G21" s="204"/>
    </row>
    <row r="22" spans="2:7" ht="15">
      <c r="D22" s="204"/>
      <c r="G22" s="204"/>
    </row>
    <row r="23" spans="2:7" ht="15">
      <c r="D23" s="204"/>
      <c r="G23" s="204"/>
    </row>
  </sheetData>
  <mergeCells count="1">
    <mergeCell ref="B2:F2"/>
  </mergeCells>
  <phoneticPr fontId="9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1c1d4ea67cf6c3e805f348346c37c63e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ad19dceaaf0ea6267f87f4e2285393ad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17F233-ABDC-4FA3-810E-10D81FAAC2AB}"/>
</file>

<file path=customXml/itemProps2.xml><?xml version="1.0" encoding="utf-8"?>
<ds:datastoreItem xmlns:ds="http://schemas.openxmlformats.org/officeDocument/2006/customXml" ds:itemID="{6F307FF3-1D66-44D1-A1D2-96AE22F59C60}"/>
</file>

<file path=customXml/itemProps3.xml><?xml version="1.0" encoding="utf-8"?>
<ds:datastoreItem xmlns:ds="http://schemas.openxmlformats.org/officeDocument/2006/customXml" ds:itemID="{2CCEB6FC-E4E2-432B-9765-9CB258EF69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陳佳萱</cp:lastModifiedBy>
  <cp:revision/>
  <dcterms:created xsi:type="dcterms:W3CDTF">2025-07-03T16:36:59Z</dcterms:created>
  <dcterms:modified xsi:type="dcterms:W3CDTF">2025-09-18T01:20:17Z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