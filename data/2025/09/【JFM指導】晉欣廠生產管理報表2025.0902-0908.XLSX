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worksheets/sheet10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11.xml" ContentType="application/vnd.openxmlformats-officedocument.spreadsheetml.worksheet+xml"/>
  <Override PartName="/xl/worksheets/sheet15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"/>
    </mc:Choice>
  </mc:AlternateContent>
  <bookViews>
    <workbookView xWindow="0" yWindow="0" windowWidth="28800" windowHeight="12390" tabRatio="924" firstSheet="2" activeTab="7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" sheetId="19" r:id="rId24"/>
    <sheet name="生產管理報表 8-2" sheetId="20" r:id="rId25"/>
    <sheet name="生產管理報表 9" sheetId="21" r:id="rId26"/>
    <sheet name="報廢－原因別分析" sheetId="29" r:id="rId27"/>
    <sheet name="超用－原因別分析" sheetId="43" r:id="rId28"/>
    <sheet name="鮮食品群番" sheetId="38" state="hidden" r:id="rId29"/>
  </sheet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6" hidden="1">'報廢－原因別分析'!$U$7:$U$118</definedName>
    <definedName name="_xlnm._FilterDatabase" localSheetId="27" hidden="1">'超用－原因別分析'!$U$7:$U$118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28">鮮食品群番!$B$2:$F$20</definedName>
  </definedNames>
  <calcPr calcId="162913"/>
</workbook>
</file>

<file path=xl/calcChain.xml><?xml version="1.0" encoding="utf-8"?>
<calcChain xmlns="http://schemas.openxmlformats.org/spreadsheetml/2006/main">
  <c r="W5" i="5" l="1"/>
  <c r="Q5" i="5"/>
  <c r="N5" i="5"/>
  <c r="H5" i="5"/>
  <c r="H5" i="3"/>
  <c r="K5" i="3"/>
  <c r="N5" i="3"/>
  <c r="T5" i="3"/>
  <c r="M67" i="41" l="1"/>
  <c r="K67" i="41"/>
  <c r="I67" i="41"/>
  <c r="G67" i="41"/>
  <c r="M66" i="41"/>
  <c r="K66" i="41"/>
  <c r="I66" i="41"/>
  <c r="G66" i="41"/>
  <c r="M62" i="41"/>
  <c r="K62" i="41"/>
  <c r="I62" i="41"/>
  <c r="G62" i="41"/>
  <c r="M61" i="41"/>
  <c r="K61" i="41"/>
  <c r="I61" i="41"/>
  <c r="G61" i="41"/>
  <c r="M396" i="43" l="1"/>
  <c r="K396" i="43"/>
  <c r="I396" i="43"/>
  <c r="M395" i="43"/>
  <c r="K395" i="43"/>
  <c r="I395" i="43"/>
  <c r="M394" i="43"/>
  <c r="K394" i="43"/>
  <c r="I394" i="43"/>
  <c r="M393" i="43"/>
  <c r="K393" i="43"/>
  <c r="I393" i="43"/>
  <c r="M392" i="43"/>
  <c r="K392" i="43"/>
  <c r="I392" i="43"/>
  <c r="M391" i="43"/>
  <c r="K391" i="43"/>
  <c r="I391" i="43"/>
  <c r="M390" i="43"/>
  <c r="K390" i="43"/>
  <c r="I390" i="43"/>
  <c r="M389" i="43"/>
  <c r="K389" i="43"/>
  <c r="I389" i="43"/>
  <c r="M388" i="43"/>
  <c r="K388" i="43"/>
  <c r="I388" i="43"/>
  <c r="M387" i="43"/>
  <c r="K387" i="43"/>
  <c r="I387" i="43"/>
  <c r="M386" i="43"/>
  <c r="K386" i="43"/>
  <c r="I386" i="43"/>
  <c r="M385" i="43"/>
  <c r="K385" i="43"/>
  <c r="I385" i="43"/>
  <c r="M384" i="43"/>
  <c r="K384" i="43"/>
  <c r="I384" i="43"/>
  <c r="M383" i="43"/>
  <c r="K383" i="43"/>
  <c r="I383" i="43"/>
  <c r="M382" i="43"/>
  <c r="K382" i="43"/>
  <c r="I382" i="43"/>
  <c r="M381" i="43"/>
  <c r="K381" i="43"/>
  <c r="I381" i="43"/>
  <c r="M380" i="43"/>
  <c r="K380" i="43"/>
  <c r="I380" i="43"/>
  <c r="M379" i="43"/>
  <c r="K379" i="43"/>
  <c r="I379" i="43"/>
  <c r="M378" i="43"/>
  <c r="K378" i="43"/>
  <c r="I378" i="43"/>
  <c r="M377" i="43"/>
  <c r="K377" i="43"/>
  <c r="I377" i="43"/>
  <c r="M376" i="43"/>
  <c r="K376" i="43"/>
  <c r="I376" i="43"/>
  <c r="M375" i="43"/>
  <c r="K375" i="43"/>
  <c r="I375" i="43"/>
  <c r="M374" i="43"/>
  <c r="K374" i="43"/>
  <c r="I374" i="43"/>
  <c r="M373" i="43"/>
  <c r="K373" i="43"/>
  <c r="I373" i="43"/>
  <c r="M372" i="43"/>
  <c r="K372" i="43"/>
  <c r="I372" i="43"/>
  <c r="M371" i="43"/>
  <c r="K371" i="43"/>
  <c r="I371" i="43"/>
  <c r="M370" i="43"/>
  <c r="K370" i="43"/>
  <c r="I370" i="43"/>
  <c r="M369" i="43"/>
  <c r="K369" i="43"/>
  <c r="I369" i="43"/>
  <c r="M368" i="43"/>
  <c r="K368" i="43"/>
  <c r="I368" i="43"/>
  <c r="M367" i="43"/>
  <c r="K367" i="43"/>
  <c r="I367" i="43"/>
  <c r="M366" i="43"/>
  <c r="K366" i="43"/>
  <c r="I366" i="43"/>
  <c r="M365" i="43"/>
  <c r="K365" i="43"/>
  <c r="I365" i="43"/>
  <c r="M364" i="43"/>
  <c r="K364" i="43"/>
  <c r="I364" i="43"/>
  <c r="M363" i="43"/>
  <c r="K363" i="43"/>
  <c r="I363" i="43"/>
  <c r="M362" i="43"/>
  <c r="K362" i="43"/>
  <c r="I362" i="43"/>
  <c r="M361" i="43"/>
  <c r="K361" i="43"/>
  <c r="I361" i="43"/>
  <c r="M360" i="43"/>
  <c r="K360" i="43"/>
  <c r="I360" i="43"/>
  <c r="M359" i="43"/>
  <c r="K359" i="43"/>
  <c r="I359" i="43"/>
  <c r="M358" i="43"/>
  <c r="K358" i="43"/>
  <c r="I358" i="43"/>
  <c r="M357" i="43"/>
  <c r="K357" i="43"/>
  <c r="I357" i="43"/>
  <c r="M356" i="43"/>
  <c r="K356" i="43"/>
  <c r="I356" i="43"/>
  <c r="M355" i="43"/>
  <c r="K355" i="43"/>
  <c r="I355" i="43"/>
  <c r="M354" i="43"/>
  <c r="K354" i="43"/>
  <c r="I354" i="43"/>
  <c r="M353" i="43"/>
  <c r="K353" i="43"/>
  <c r="I353" i="43"/>
  <c r="M352" i="43"/>
  <c r="K352" i="43"/>
  <c r="I352" i="43"/>
  <c r="M351" i="43"/>
  <c r="K351" i="43"/>
  <c r="I351" i="43"/>
  <c r="M350" i="43"/>
  <c r="K350" i="43"/>
  <c r="I350" i="43"/>
  <c r="M349" i="43"/>
  <c r="K349" i="43"/>
  <c r="I349" i="43"/>
  <c r="M348" i="43"/>
  <c r="K348" i="43"/>
  <c r="I348" i="43"/>
  <c r="M347" i="43"/>
  <c r="K347" i="43"/>
  <c r="I347" i="43"/>
  <c r="M346" i="43"/>
  <c r="K346" i="43"/>
  <c r="I346" i="43"/>
  <c r="M345" i="43"/>
  <c r="K345" i="43"/>
  <c r="I345" i="43"/>
  <c r="M344" i="43"/>
  <c r="K344" i="43"/>
  <c r="I344" i="43"/>
  <c r="M343" i="43"/>
  <c r="K343" i="43"/>
  <c r="I343" i="43"/>
  <c r="M342" i="43"/>
  <c r="K342" i="43"/>
  <c r="I342" i="43"/>
  <c r="M341" i="43"/>
  <c r="K341" i="43"/>
  <c r="I341" i="43"/>
  <c r="M340" i="43"/>
  <c r="K340" i="43"/>
  <c r="I340" i="43"/>
  <c r="M339" i="43"/>
  <c r="K339" i="43"/>
  <c r="I339" i="43"/>
  <c r="M338" i="43"/>
  <c r="K338" i="43"/>
  <c r="I338" i="43"/>
  <c r="M337" i="43"/>
  <c r="K337" i="43"/>
  <c r="I337" i="43"/>
  <c r="M336" i="43"/>
  <c r="K336" i="43"/>
  <c r="I336" i="43"/>
  <c r="M335" i="43"/>
  <c r="K335" i="43"/>
  <c r="I335" i="43"/>
  <c r="M334" i="43"/>
  <c r="K334" i="43"/>
  <c r="I334" i="43"/>
  <c r="M333" i="43"/>
  <c r="K333" i="43"/>
  <c r="I333" i="43"/>
  <c r="M332" i="43"/>
  <c r="K332" i="43"/>
  <c r="I332" i="43"/>
  <c r="M331" i="43"/>
  <c r="K331" i="43"/>
  <c r="I331" i="43"/>
  <c r="M330" i="43"/>
  <c r="K330" i="43"/>
  <c r="I330" i="43"/>
  <c r="M329" i="43"/>
  <c r="K329" i="43"/>
  <c r="I329" i="43"/>
  <c r="M328" i="43"/>
  <c r="K328" i="43"/>
  <c r="I328" i="43"/>
  <c r="M327" i="43"/>
  <c r="K327" i="43"/>
  <c r="I327" i="43"/>
  <c r="M326" i="43"/>
  <c r="K326" i="43"/>
  <c r="I326" i="43"/>
  <c r="M325" i="43"/>
  <c r="K325" i="43"/>
  <c r="I325" i="43"/>
  <c r="M324" i="43"/>
  <c r="K324" i="43"/>
  <c r="I324" i="43"/>
  <c r="M323" i="43"/>
  <c r="K323" i="43"/>
  <c r="I323" i="43"/>
  <c r="M322" i="43"/>
  <c r="K322" i="43"/>
  <c r="I322" i="43"/>
  <c r="M321" i="43"/>
  <c r="K321" i="43"/>
  <c r="I321" i="43"/>
  <c r="M320" i="43"/>
  <c r="K320" i="43"/>
  <c r="I320" i="43"/>
  <c r="M319" i="43"/>
  <c r="K319" i="43"/>
  <c r="I319" i="43"/>
  <c r="M318" i="43"/>
  <c r="K318" i="43"/>
  <c r="I318" i="43"/>
  <c r="M317" i="43"/>
  <c r="K317" i="43"/>
  <c r="I317" i="43"/>
  <c r="M396" i="29"/>
  <c r="K396" i="29"/>
  <c r="I396" i="29"/>
  <c r="M395" i="29"/>
  <c r="K395" i="29"/>
  <c r="I395" i="29"/>
  <c r="M394" i="29"/>
  <c r="K394" i="29"/>
  <c r="I394" i="29"/>
  <c r="M393" i="29"/>
  <c r="K393" i="29"/>
  <c r="I393" i="29"/>
  <c r="M392" i="29"/>
  <c r="K392" i="29"/>
  <c r="I392" i="29"/>
  <c r="M391" i="29"/>
  <c r="K391" i="29"/>
  <c r="I391" i="29"/>
  <c r="M390" i="29"/>
  <c r="K390" i="29"/>
  <c r="I390" i="29"/>
  <c r="M389" i="29"/>
  <c r="K389" i="29"/>
  <c r="I389" i="29"/>
  <c r="M388" i="29"/>
  <c r="K388" i="29"/>
  <c r="I388" i="29"/>
  <c r="M387" i="29"/>
  <c r="K387" i="29"/>
  <c r="I387" i="29"/>
  <c r="M386" i="29"/>
  <c r="K386" i="29"/>
  <c r="I386" i="29"/>
  <c r="M385" i="29"/>
  <c r="K385" i="29"/>
  <c r="I385" i="29"/>
  <c r="M384" i="29"/>
  <c r="K384" i="29"/>
  <c r="I384" i="29"/>
  <c r="M383" i="29"/>
  <c r="K383" i="29"/>
  <c r="I383" i="29"/>
  <c r="M382" i="29"/>
  <c r="K382" i="29"/>
  <c r="I382" i="29"/>
  <c r="M381" i="29"/>
  <c r="K381" i="29"/>
  <c r="I381" i="29"/>
  <c r="M380" i="29"/>
  <c r="K380" i="29"/>
  <c r="I380" i="29"/>
  <c r="M379" i="29"/>
  <c r="K379" i="29"/>
  <c r="I379" i="29"/>
  <c r="M378" i="29"/>
  <c r="K378" i="29"/>
  <c r="I378" i="29"/>
  <c r="M377" i="29"/>
  <c r="K377" i="29"/>
  <c r="I377" i="29"/>
  <c r="M376" i="29"/>
  <c r="K376" i="29"/>
  <c r="I376" i="29"/>
  <c r="M375" i="29"/>
  <c r="K375" i="29"/>
  <c r="I375" i="29"/>
  <c r="M374" i="29"/>
  <c r="K374" i="29"/>
  <c r="I374" i="29"/>
  <c r="M373" i="29"/>
  <c r="K373" i="29"/>
  <c r="I373" i="29"/>
  <c r="M372" i="29"/>
  <c r="K372" i="29"/>
  <c r="I372" i="29"/>
  <c r="M371" i="29"/>
  <c r="K371" i="29"/>
  <c r="I371" i="29"/>
  <c r="M370" i="29"/>
  <c r="K370" i="29"/>
  <c r="I370" i="29"/>
  <c r="M369" i="29"/>
  <c r="K369" i="29"/>
  <c r="I369" i="29"/>
  <c r="M368" i="29"/>
  <c r="K368" i="29"/>
  <c r="I368" i="29"/>
  <c r="M367" i="29"/>
  <c r="K367" i="29"/>
  <c r="I367" i="29"/>
  <c r="M366" i="29"/>
  <c r="K366" i="29"/>
  <c r="I366" i="29"/>
  <c r="M365" i="29"/>
  <c r="K365" i="29"/>
  <c r="I365" i="29"/>
  <c r="M364" i="29"/>
  <c r="K364" i="29"/>
  <c r="I364" i="29"/>
  <c r="M363" i="29"/>
  <c r="K363" i="29"/>
  <c r="I363" i="29"/>
  <c r="M362" i="29"/>
  <c r="K362" i="29"/>
  <c r="I362" i="29"/>
  <c r="M361" i="29"/>
  <c r="K361" i="29"/>
  <c r="I361" i="29"/>
  <c r="M360" i="29"/>
  <c r="K360" i="29"/>
  <c r="I360" i="29"/>
  <c r="M359" i="29"/>
  <c r="K359" i="29"/>
  <c r="I359" i="29"/>
  <c r="M358" i="29"/>
  <c r="K358" i="29"/>
  <c r="I358" i="29"/>
  <c r="M357" i="29"/>
  <c r="K357" i="29"/>
  <c r="I357" i="29"/>
  <c r="M356" i="29"/>
  <c r="K356" i="29"/>
  <c r="I356" i="29"/>
  <c r="M355" i="29"/>
  <c r="K355" i="29"/>
  <c r="I355" i="29"/>
  <c r="M354" i="29"/>
  <c r="K354" i="29"/>
  <c r="I354" i="29"/>
  <c r="M353" i="29"/>
  <c r="K353" i="29"/>
  <c r="I353" i="29"/>
  <c r="M352" i="29"/>
  <c r="K352" i="29"/>
  <c r="I352" i="29"/>
  <c r="M351" i="29"/>
  <c r="K351" i="29"/>
  <c r="I351" i="29"/>
  <c r="M350" i="29"/>
  <c r="K350" i="29"/>
  <c r="I350" i="29"/>
  <c r="M349" i="29"/>
  <c r="K349" i="29"/>
  <c r="I349" i="29"/>
  <c r="M348" i="29"/>
  <c r="K348" i="29"/>
  <c r="I348" i="29"/>
  <c r="M347" i="29"/>
  <c r="K347" i="29"/>
  <c r="I347" i="29"/>
  <c r="M346" i="29"/>
  <c r="K346" i="29"/>
  <c r="I346" i="29"/>
  <c r="M345" i="29"/>
  <c r="K345" i="29"/>
  <c r="I345" i="29"/>
  <c r="M344" i="29"/>
  <c r="K344" i="29"/>
  <c r="I344" i="29"/>
  <c r="M343" i="29"/>
  <c r="K343" i="29"/>
  <c r="I343" i="29"/>
  <c r="M342" i="29"/>
  <c r="K342" i="29"/>
  <c r="I342" i="29"/>
  <c r="M341" i="29"/>
  <c r="K341" i="29"/>
  <c r="I341" i="29"/>
  <c r="M340" i="29"/>
  <c r="K340" i="29"/>
  <c r="I340" i="29"/>
  <c r="M339" i="29"/>
  <c r="K339" i="29"/>
  <c r="I339" i="29"/>
  <c r="M338" i="29"/>
  <c r="K338" i="29"/>
  <c r="I338" i="29"/>
  <c r="M337" i="29"/>
  <c r="K337" i="29"/>
  <c r="I337" i="29"/>
  <c r="M336" i="29"/>
  <c r="K336" i="29"/>
  <c r="I336" i="29"/>
  <c r="M335" i="29"/>
  <c r="K335" i="29"/>
  <c r="I335" i="29"/>
  <c r="M334" i="29"/>
  <c r="K334" i="29"/>
  <c r="I334" i="29"/>
  <c r="M333" i="29"/>
  <c r="K333" i="29"/>
  <c r="I333" i="29"/>
  <c r="M332" i="29"/>
  <c r="K332" i="29"/>
  <c r="I332" i="29"/>
  <c r="M331" i="29"/>
  <c r="K331" i="29"/>
  <c r="I331" i="29"/>
  <c r="M330" i="29"/>
  <c r="K330" i="29"/>
  <c r="I330" i="29"/>
  <c r="M329" i="29"/>
  <c r="K329" i="29"/>
  <c r="I329" i="29"/>
  <c r="M328" i="29"/>
  <c r="K328" i="29"/>
  <c r="I328" i="29"/>
  <c r="M327" i="29"/>
  <c r="K327" i="29"/>
  <c r="I327" i="29"/>
  <c r="M326" i="29"/>
  <c r="K326" i="29"/>
  <c r="I326" i="29"/>
  <c r="M325" i="29"/>
  <c r="K325" i="29"/>
  <c r="I325" i="29"/>
  <c r="M324" i="29"/>
  <c r="K324" i="29"/>
  <c r="I324" i="29"/>
  <c r="M323" i="29"/>
  <c r="K323" i="29"/>
  <c r="I323" i="29"/>
  <c r="M322" i="29"/>
  <c r="K322" i="29"/>
  <c r="I322" i="29"/>
  <c r="M321" i="29"/>
  <c r="K321" i="29"/>
  <c r="I321" i="29"/>
  <c r="M320" i="29"/>
  <c r="K320" i="29"/>
  <c r="I320" i="29"/>
  <c r="M319" i="29"/>
  <c r="K319" i="29"/>
  <c r="I319" i="29"/>
  <c r="M318" i="29"/>
  <c r="K318" i="29"/>
  <c r="I318" i="29"/>
  <c r="M317" i="29"/>
  <c r="K317" i="29"/>
  <c r="I317" i="29"/>
  <c r="C62" i="41"/>
  <c r="C61" i="41"/>
  <c r="I26" i="33" l="1"/>
  <c r="J26" i="33"/>
  <c r="K26" i="33"/>
  <c r="AW41" i="37" l="1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AW31" i="37"/>
  <c r="AR31" i="37"/>
  <c r="AM31" i="37"/>
  <c r="AH31" i="37"/>
  <c r="AC31" i="37"/>
  <c r="X31" i="37"/>
  <c r="S31" i="37"/>
  <c r="AW30" i="37"/>
  <c r="AR30" i="37"/>
  <c r="AM30" i="37"/>
  <c r="AH30" i="37"/>
  <c r="AC30" i="37"/>
  <c r="X30" i="37"/>
  <c r="S30" i="37"/>
  <c r="AW29" i="37"/>
  <c r="AR29" i="37"/>
  <c r="AM29" i="37"/>
  <c r="AH29" i="37"/>
  <c r="AC29" i="37"/>
  <c r="X29" i="37"/>
  <c r="S29" i="37"/>
  <c r="AW28" i="37"/>
  <c r="AR28" i="37"/>
  <c r="AM28" i="37"/>
  <c r="AH28" i="37"/>
  <c r="AC28" i="37"/>
  <c r="X28" i="37"/>
  <c r="S28" i="37"/>
  <c r="AW27" i="37"/>
  <c r="AR27" i="37"/>
  <c r="AM27" i="37"/>
  <c r="AH27" i="37"/>
  <c r="AC27" i="37"/>
  <c r="X27" i="37"/>
  <c r="S27" i="37"/>
  <c r="AW21" i="37"/>
  <c r="AR21" i="37"/>
  <c r="AM21" i="37"/>
  <c r="AH21" i="37"/>
  <c r="AC21" i="37"/>
  <c r="X21" i="37"/>
  <c r="S21" i="37"/>
  <c r="AW20" i="37"/>
  <c r="AR20" i="37"/>
  <c r="AM20" i="37"/>
  <c r="AH20" i="37"/>
  <c r="AC20" i="37"/>
  <c r="X20" i="37"/>
  <c r="S20" i="37"/>
  <c r="AW19" i="37"/>
  <c r="AR19" i="37"/>
  <c r="AM19" i="37"/>
  <c r="AH19" i="37"/>
  <c r="AC19" i="37"/>
  <c r="X19" i="37"/>
  <c r="S19" i="37"/>
  <c r="AW18" i="37"/>
  <c r="AR18" i="37"/>
  <c r="AM18" i="37"/>
  <c r="AH18" i="37"/>
  <c r="AC18" i="37"/>
  <c r="X18" i="37"/>
  <c r="S18" i="37"/>
  <c r="AW17" i="37"/>
  <c r="AR17" i="37"/>
  <c r="AM17" i="37"/>
  <c r="AH17" i="37"/>
  <c r="AC17" i="37"/>
  <c r="X17" i="37"/>
  <c r="S17" i="37"/>
  <c r="AW16" i="37"/>
  <c r="AR16" i="37"/>
  <c r="AM16" i="37"/>
  <c r="AH16" i="37"/>
  <c r="AC16" i="37"/>
  <c r="X16" i="37"/>
  <c r="S16" i="37"/>
  <c r="AW15" i="37"/>
  <c r="AR15" i="37"/>
  <c r="AM15" i="37"/>
  <c r="AH15" i="37"/>
  <c r="AC15" i="37"/>
  <c r="X15" i="37"/>
  <c r="S15" i="37"/>
  <c r="AW14" i="37"/>
  <c r="AR14" i="37"/>
  <c r="AM14" i="37"/>
  <c r="AH14" i="37"/>
  <c r="AC14" i="37"/>
  <c r="X14" i="37"/>
  <c r="S14" i="37"/>
  <c r="AW13" i="37"/>
  <c r="AR13" i="37"/>
  <c r="AM13" i="37"/>
  <c r="AH13" i="37"/>
  <c r="AC13" i="37"/>
  <c r="X13" i="37"/>
  <c r="S13" i="37"/>
  <c r="AW12" i="37"/>
  <c r="AR12" i="37"/>
  <c r="AM12" i="37"/>
  <c r="AH12" i="37"/>
  <c r="AC12" i="37"/>
  <c r="X12" i="37"/>
  <c r="S12" i="37"/>
  <c r="AW11" i="37"/>
  <c r="AR11" i="37"/>
  <c r="AM11" i="37"/>
  <c r="AH11" i="37"/>
  <c r="AC11" i="37"/>
  <c r="X11" i="37"/>
  <c r="S11" i="37"/>
  <c r="AW10" i="37"/>
  <c r="AR10" i="37"/>
  <c r="AM10" i="37"/>
  <c r="AH10" i="37"/>
  <c r="AC10" i="37"/>
  <c r="X10" i="37"/>
  <c r="S10" i="37"/>
  <c r="AW9" i="37"/>
  <c r="AR9" i="37"/>
  <c r="AM9" i="37"/>
  <c r="AH9" i="37"/>
  <c r="AC9" i="37"/>
  <c r="X9" i="37"/>
  <c r="S9" i="37"/>
  <c r="AW8" i="37"/>
  <c r="AR8" i="37"/>
  <c r="AM8" i="37"/>
  <c r="AH8" i="37"/>
  <c r="AC8" i="37"/>
  <c r="X8" i="37"/>
  <c r="S8" i="37"/>
  <c r="AW7" i="37"/>
  <c r="AR7" i="37"/>
  <c r="AM7" i="37"/>
  <c r="AH7" i="37"/>
  <c r="AC7" i="37"/>
  <c r="X7" i="37"/>
  <c r="S7" i="37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AW29" i="36"/>
  <c r="AR29" i="36"/>
  <c r="AM29" i="36"/>
  <c r="AH29" i="36"/>
  <c r="AC29" i="36"/>
  <c r="X29" i="36"/>
  <c r="S29" i="36"/>
  <c r="AW28" i="36"/>
  <c r="AR28" i="36"/>
  <c r="AM28" i="36"/>
  <c r="AH28" i="36"/>
  <c r="AC28" i="36"/>
  <c r="X28" i="36"/>
  <c r="S28" i="36"/>
  <c r="AW27" i="36"/>
  <c r="AR27" i="36"/>
  <c r="AM27" i="36"/>
  <c r="AH27" i="36"/>
  <c r="AC27" i="36"/>
  <c r="X27" i="36"/>
  <c r="S27" i="36"/>
  <c r="AW21" i="36"/>
  <c r="AR21" i="36"/>
  <c r="AM21" i="36"/>
  <c r="AH21" i="36"/>
  <c r="AC21" i="36"/>
  <c r="X21" i="36"/>
  <c r="S21" i="36"/>
  <c r="AW20" i="36"/>
  <c r="AR20" i="36"/>
  <c r="AM20" i="36"/>
  <c r="AH20" i="36"/>
  <c r="AC20" i="36"/>
  <c r="X20" i="36"/>
  <c r="S20" i="36"/>
  <c r="AW19" i="36"/>
  <c r="AR19" i="36"/>
  <c r="AM19" i="36"/>
  <c r="AH19" i="36"/>
  <c r="AC19" i="36"/>
  <c r="X19" i="36"/>
  <c r="S19" i="36"/>
  <c r="AW18" i="36"/>
  <c r="AR18" i="36"/>
  <c r="AM18" i="36"/>
  <c r="AH18" i="36"/>
  <c r="AC18" i="36"/>
  <c r="X18" i="36"/>
  <c r="S18" i="36"/>
  <c r="AW17" i="36"/>
  <c r="AR17" i="36"/>
  <c r="AM17" i="36"/>
  <c r="AH17" i="36"/>
  <c r="AC17" i="36"/>
  <c r="X17" i="36"/>
  <c r="S17" i="36"/>
  <c r="AW16" i="36"/>
  <c r="AR16" i="36"/>
  <c r="AM16" i="36"/>
  <c r="AH16" i="36"/>
  <c r="AC16" i="36"/>
  <c r="X16" i="36"/>
  <c r="S16" i="36"/>
  <c r="AW15" i="36"/>
  <c r="AR15" i="36"/>
  <c r="AM15" i="36"/>
  <c r="AH15" i="36"/>
  <c r="AC15" i="36"/>
  <c r="X15" i="36"/>
  <c r="S15" i="36"/>
  <c r="AW14" i="36"/>
  <c r="AR14" i="36"/>
  <c r="AM14" i="36"/>
  <c r="AH14" i="36"/>
  <c r="AC14" i="36"/>
  <c r="X14" i="36"/>
  <c r="S14" i="36"/>
  <c r="AW13" i="36"/>
  <c r="AR13" i="36"/>
  <c r="AM13" i="36"/>
  <c r="AH13" i="36"/>
  <c r="AC13" i="36"/>
  <c r="X13" i="36"/>
  <c r="S13" i="36"/>
  <c r="AW12" i="36"/>
  <c r="AR12" i="36"/>
  <c r="AM12" i="36"/>
  <c r="AH12" i="36"/>
  <c r="AC12" i="36"/>
  <c r="X12" i="36"/>
  <c r="S12" i="36"/>
  <c r="AW11" i="36"/>
  <c r="AR11" i="36"/>
  <c r="AM11" i="36"/>
  <c r="AH11" i="36"/>
  <c r="AC11" i="36"/>
  <c r="X11" i="36"/>
  <c r="S11" i="36"/>
  <c r="AW10" i="36"/>
  <c r="AR10" i="36"/>
  <c r="AM10" i="36"/>
  <c r="AH10" i="36"/>
  <c r="AC10" i="36"/>
  <c r="X10" i="36"/>
  <c r="S10" i="36"/>
  <c r="AW9" i="36"/>
  <c r="AR9" i="36"/>
  <c r="AM9" i="36"/>
  <c r="AH9" i="36"/>
  <c r="AC9" i="36"/>
  <c r="X9" i="36"/>
  <c r="S9" i="36"/>
  <c r="AW8" i="36"/>
  <c r="AR8" i="36"/>
  <c r="AM8" i="36"/>
  <c r="AH8" i="36"/>
  <c r="AC8" i="36"/>
  <c r="X8" i="36"/>
  <c r="S8" i="36"/>
  <c r="AW7" i="36"/>
  <c r="AR7" i="36"/>
  <c r="AM7" i="36"/>
  <c r="AH7" i="36"/>
  <c r="AC7" i="36"/>
  <c r="X7" i="36"/>
  <c r="S7" i="36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AW32" i="35"/>
  <c r="AR32" i="35"/>
  <c r="AM32" i="35"/>
  <c r="AH32" i="35"/>
  <c r="AC32" i="35"/>
  <c r="X32" i="35"/>
  <c r="S32" i="35"/>
  <c r="AW31" i="35"/>
  <c r="AR31" i="35"/>
  <c r="AM31" i="35"/>
  <c r="AH31" i="35"/>
  <c r="AC31" i="35"/>
  <c r="X31" i="35"/>
  <c r="S31" i="35"/>
  <c r="AW30" i="35"/>
  <c r="AR30" i="35"/>
  <c r="AM30" i="35"/>
  <c r="AH30" i="35"/>
  <c r="AC30" i="35"/>
  <c r="X30" i="35"/>
  <c r="S30" i="35"/>
  <c r="AW29" i="35"/>
  <c r="AR29" i="35"/>
  <c r="AM29" i="35"/>
  <c r="AH29" i="35"/>
  <c r="AC29" i="35"/>
  <c r="X29" i="35"/>
  <c r="S29" i="35"/>
  <c r="AW28" i="35"/>
  <c r="AR28" i="35"/>
  <c r="AM28" i="35"/>
  <c r="AH28" i="35"/>
  <c r="AC28" i="35"/>
  <c r="X28" i="35"/>
  <c r="S28" i="35"/>
  <c r="AW27" i="35"/>
  <c r="AR27" i="35"/>
  <c r="AM27" i="35"/>
  <c r="AH27" i="35"/>
  <c r="AC27" i="35"/>
  <c r="X27" i="35"/>
  <c r="S27" i="35"/>
  <c r="AW21" i="35"/>
  <c r="AR21" i="35"/>
  <c r="AM21" i="35"/>
  <c r="AH21" i="35"/>
  <c r="AC21" i="35"/>
  <c r="X21" i="35"/>
  <c r="S21" i="35"/>
  <c r="AW20" i="35"/>
  <c r="AR20" i="35"/>
  <c r="AM20" i="35"/>
  <c r="AH20" i="35"/>
  <c r="AC20" i="35"/>
  <c r="X20" i="35"/>
  <c r="S20" i="35"/>
  <c r="AW19" i="35"/>
  <c r="AR19" i="35"/>
  <c r="AM19" i="35"/>
  <c r="AH19" i="35"/>
  <c r="AC19" i="35"/>
  <c r="X19" i="35"/>
  <c r="S19" i="35"/>
  <c r="AW18" i="35"/>
  <c r="AR18" i="35"/>
  <c r="AM18" i="35"/>
  <c r="AH18" i="35"/>
  <c r="AC18" i="35"/>
  <c r="X18" i="35"/>
  <c r="S18" i="35"/>
  <c r="AW17" i="35"/>
  <c r="AR17" i="35"/>
  <c r="AM17" i="35"/>
  <c r="AH17" i="35"/>
  <c r="AC17" i="35"/>
  <c r="X17" i="35"/>
  <c r="S17" i="35"/>
  <c r="AW16" i="35"/>
  <c r="AR16" i="35"/>
  <c r="AM16" i="35"/>
  <c r="AH16" i="35"/>
  <c r="AC16" i="35"/>
  <c r="X16" i="35"/>
  <c r="S16" i="35"/>
  <c r="AW15" i="35"/>
  <c r="AR15" i="35"/>
  <c r="AM15" i="35"/>
  <c r="AH15" i="35"/>
  <c r="AC15" i="35"/>
  <c r="X15" i="35"/>
  <c r="S15" i="35"/>
  <c r="AW14" i="35"/>
  <c r="AR14" i="35"/>
  <c r="AM14" i="35"/>
  <c r="AH14" i="35"/>
  <c r="AC14" i="35"/>
  <c r="X14" i="35"/>
  <c r="S14" i="35"/>
  <c r="AW13" i="35"/>
  <c r="AR13" i="35"/>
  <c r="AM13" i="35"/>
  <c r="AH13" i="35"/>
  <c r="AC13" i="35"/>
  <c r="X13" i="35"/>
  <c r="S13" i="35"/>
  <c r="AW12" i="35"/>
  <c r="AR12" i="35"/>
  <c r="AM12" i="35"/>
  <c r="AH12" i="35"/>
  <c r="AC12" i="35"/>
  <c r="X12" i="35"/>
  <c r="S12" i="35"/>
  <c r="AW11" i="35"/>
  <c r="AR11" i="35"/>
  <c r="AM11" i="35"/>
  <c r="AH11" i="35"/>
  <c r="AC11" i="35"/>
  <c r="X11" i="35"/>
  <c r="S11" i="35"/>
  <c r="AW10" i="35"/>
  <c r="AR10" i="35"/>
  <c r="AM10" i="35"/>
  <c r="AH10" i="35"/>
  <c r="AC10" i="35"/>
  <c r="X10" i="35"/>
  <c r="S10" i="35"/>
  <c r="AW9" i="35"/>
  <c r="AR9" i="35"/>
  <c r="AM9" i="35"/>
  <c r="AH9" i="35"/>
  <c r="AC9" i="35"/>
  <c r="X9" i="35"/>
  <c r="S9" i="35"/>
  <c r="AW8" i="35"/>
  <c r="AR8" i="35"/>
  <c r="AM8" i="35"/>
  <c r="AH8" i="35"/>
  <c r="AC8" i="35"/>
  <c r="X8" i="35"/>
  <c r="S8" i="35"/>
  <c r="AW7" i="35"/>
  <c r="AR7" i="35"/>
  <c r="AM7" i="35"/>
  <c r="AH7" i="35"/>
  <c r="AC7" i="35"/>
  <c r="X7" i="35"/>
  <c r="S7" i="35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AW32" i="34"/>
  <c r="AR32" i="34"/>
  <c r="AM32" i="34"/>
  <c r="AH32" i="34"/>
  <c r="AC32" i="34"/>
  <c r="X32" i="34"/>
  <c r="S32" i="34"/>
  <c r="AW31" i="34"/>
  <c r="AR31" i="34"/>
  <c r="AM31" i="34"/>
  <c r="AH31" i="34"/>
  <c r="AC31" i="34"/>
  <c r="X31" i="34"/>
  <c r="S31" i="34"/>
  <c r="AW30" i="34"/>
  <c r="AR30" i="34"/>
  <c r="AM30" i="34"/>
  <c r="AH30" i="34"/>
  <c r="AC30" i="34"/>
  <c r="X30" i="34"/>
  <c r="S30" i="34"/>
  <c r="AW29" i="34"/>
  <c r="AR29" i="34"/>
  <c r="AM29" i="34"/>
  <c r="AH29" i="34"/>
  <c r="AC29" i="34"/>
  <c r="X29" i="34"/>
  <c r="S29" i="34"/>
  <c r="AW28" i="34"/>
  <c r="AR28" i="34"/>
  <c r="AM28" i="34"/>
  <c r="AH28" i="34"/>
  <c r="AC28" i="34"/>
  <c r="X28" i="34"/>
  <c r="S28" i="34"/>
  <c r="AW27" i="34"/>
  <c r="AR27" i="34"/>
  <c r="AM27" i="34"/>
  <c r="AH27" i="34"/>
  <c r="AC27" i="34"/>
  <c r="X27" i="34"/>
  <c r="S27" i="34"/>
  <c r="AW21" i="34"/>
  <c r="AR21" i="34"/>
  <c r="AM21" i="34"/>
  <c r="AH21" i="34"/>
  <c r="AC21" i="34"/>
  <c r="X21" i="34"/>
  <c r="S21" i="34"/>
  <c r="AW20" i="34"/>
  <c r="AR20" i="34"/>
  <c r="AM20" i="34"/>
  <c r="AH20" i="34"/>
  <c r="AC20" i="34"/>
  <c r="X20" i="34"/>
  <c r="S20" i="34"/>
  <c r="AW19" i="34"/>
  <c r="AR19" i="34"/>
  <c r="AM19" i="34"/>
  <c r="AH19" i="34"/>
  <c r="AC19" i="34"/>
  <c r="X19" i="34"/>
  <c r="S19" i="34"/>
  <c r="AW18" i="34"/>
  <c r="AR18" i="34"/>
  <c r="AM18" i="34"/>
  <c r="AH18" i="34"/>
  <c r="AC18" i="34"/>
  <c r="X18" i="34"/>
  <c r="S18" i="34"/>
  <c r="AW17" i="34"/>
  <c r="AR17" i="34"/>
  <c r="AM17" i="34"/>
  <c r="AH17" i="34"/>
  <c r="AC17" i="34"/>
  <c r="X17" i="34"/>
  <c r="S17" i="34"/>
  <c r="AW16" i="34"/>
  <c r="AR16" i="34"/>
  <c r="AM16" i="34"/>
  <c r="AH16" i="34"/>
  <c r="AC16" i="34"/>
  <c r="X16" i="34"/>
  <c r="S16" i="34"/>
  <c r="AW15" i="34"/>
  <c r="AR15" i="34"/>
  <c r="AM15" i="34"/>
  <c r="AH15" i="34"/>
  <c r="AC15" i="34"/>
  <c r="X15" i="34"/>
  <c r="S15" i="34"/>
  <c r="AW14" i="34"/>
  <c r="AR14" i="34"/>
  <c r="AM14" i="34"/>
  <c r="AH14" i="34"/>
  <c r="AC14" i="34"/>
  <c r="X14" i="34"/>
  <c r="S14" i="34"/>
  <c r="AW13" i="34"/>
  <c r="AR13" i="34"/>
  <c r="AM13" i="34"/>
  <c r="AH13" i="34"/>
  <c r="AC13" i="34"/>
  <c r="X13" i="34"/>
  <c r="S13" i="34"/>
  <c r="AW12" i="34"/>
  <c r="AR12" i="34"/>
  <c r="AM12" i="34"/>
  <c r="AH12" i="34"/>
  <c r="AC12" i="34"/>
  <c r="X12" i="34"/>
  <c r="S12" i="34"/>
  <c r="AW11" i="34"/>
  <c r="AR11" i="34"/>
  <c r="AM11" i="34"/>
  <c r="AH11" i="34"/>
  <c r="AC11" i="34"/>
  <c r="X11" i="34"/>
  <c r="S11" i="34"/>
  <c r="AW10" i="34"/>
  <c r="AR10" i="34"/>
  <c r="AM10" i="34"/>
  <c r="AH10" i="34"/>
  <c r="AC10" i="34"/>
  <c r="X10" i="34"/>
  <c r="S10" i="34"/>
  <c r="AW9" i="34"/>
  <c r="AR9" i="34"/>
  <c r="AM9" i="34"/>
  <c r="AH9" i="34"/>
  <c r="AC9" i="34"/>
  <c r="X9" i="34"/>
  <c r="S9" i="34"/>
  <c r="AW8" i="34"/>
  <c r="AR8" i="34"/>
  <c r="AM8" i="34"/>
  <c r="AH8" i="34"/>
  <c r="AC8" i="34"/>
  <c r="X8" i="34"/>
  <c r="S8" i="34"/>
  <c r="AW7" i="34"/>
  <c r="AR7" i="34"/>
  <c r="AM7" i="34"/>
  <c r="AH7" i="34"/>
  <c r="AC7" i="34"/>
  <c r="X7" i="34"/>
  <c r="S7" i="34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AW64" i="33"/>
  <c r="AR64" i="33"/>
  <c r="AM64" i="33"/>
  <c r="AH64" i="33"/>
  <c r="AC64" i="33"/>
  <c r="X64" i="33"/>
  <c r="S64" i="33"/>
  <c r="AW63" i="33"/>
  <c r="AR63" i="33"/>
  <c r="AM63" i="33"/>
  <c r="AH63" i="33"/>
  <c r="AC63" i="33"/>
  <c r="X63" i="33"/>
  <c r="S63" i="33"/>
  <c r="AW62" i="33"/>
  <c r="AR62" i="33"/>
  <c r="AM62" i="33"/>
  <c r="AH62" i="33"/>
  <c r="AC62" i="33"/>
  <c r="X62" i="33"/>
  <c r="S62" i="33"/>
  <c r="AW61" i="33"/>
  <c r="AR61" i="33"/>
  <c r="AM61" i="33"/>
  <c r="AH61" i="33"/>
  <c r="AC61" i="33"/>
  <c r="X61" i="33"/>
  <c r="S61" i="33"/>
  <c r="AW60" i="33"/>
  <c r="AR60" i="33"/>
  <c r="AM60" i="33"/>
  <c r="AH60" i="33"/>
  <c r="AC60" i="33"/>
  <c r="X60" i="33"/>
  <c r="S60" i="33"/>
  <c r="AW59" i="33"/>
  <c r="AR59" i="33"/>
  <c r="AM59" i="33"/>
  <c r="AH59" i="33"/>
  <c r="AC59" i="33"/>
  <c r="X59" i="33"/>
  <c r="S59" i="33"/>
  <c r="AW58" i="33"/>
  <c r="AR58" i="33"/>
  <c r="AM58" i="33"/>
  <c r="AH58" i="33"/>
  <c r="AC58" i="33"/>
  <c r="X58" i="33"/>
  <c r="S58" i="33"/>
  <c r="AW57" i="33"/>
  <c r="AR57" i="33"/>
  <c r="AM57" i="33"/>
  <c r="AH57" i="33"/>
  <c r="AC57" i="33"/>
  <c r="X57" i="33"/>
  <c r="S57" i="33"/>
  <c r="AW56" i="33"/>
  <c r="AR56" i="33"/>
  <c r="AM56" i="33"/>
  <c r="AH56" i="33"/>
  <c r="AC56" i="33"/>
  <c r="X56" i="33"/>
  <c r="S56" i="33"/>
  <c r="AW55" i="33"/>
  <c r="AR55" i="33"/>
  <c r="AM55" i="33"/>
  <c r="AH55" i="33"/>
  <c r="AC55" i="33"/>
  <c r="X55" i="33"/>
  <c r="S55" i="33"/>
  <c r="AW54" i="33"/>
  <c r="AR54" i="33"/>
  <c r="AM54" i="33"/>
  <c r="AH54" i="33"/>
  <c r="AC54" i="33"/>
  <c r="X54" i="33"/>
  <c r="S54" i="33"/>
  <c r="AW53" i="33"/>
  <c r="AR53" i="33"/>
  <c r="AM53" i="33"/>
  <c r="AH53" i="33"/>
  <c r="AC53" i="33"/>
  <c r="X53" i="33"/>
  <c r="S53" i="33"/>
  <c r="AW52" i="33"/>
  <c r="AR52" i="33"/>
  <c r="AM52" i="33"/>
  <c r="AH52" i="33"/>
  <c r="AC52" i="33"/>
  <c r="X52" i="33"/>
  <c r="S52" i="33"/>
  <c r="AW51" i="33"/>
  <c r="AR51" i="33"/>
  <c r="AM51" i="33"/>
  <c r="AH51" i="33"/>
  <c r="AC51" i="33"/>
  <c r="X51" i="33"/>
  <c r="S51" i="33"/>
  <c r="AW50" i="33"/>
  <c r="AR50" i="33"/>
  <c r="AM50" i="33"/>
  <c r="AH50" i="33"/>
  <c r="AC50" i="33"/>
  <c r="X50" i="33"/>
  <c r="S50" i="33"/>
  <c r="AW49" i="33"/>
  <c r="AR49" i="33"/>
  <c r="AM49" i="33"/>
  <c r="AH49" i="33"/>
  <c r="AC49" i="33"/>
  <c r="X49" i="33"/>
  <c r="S49" i="33"/>
  <c r="AW48" i="33"/>
  <c r="AR48" i="33"/>
  <c r="AM48" i="33"/>
  <c r="AH48" i="33"/>
  <c r="AC48" i="33"/>
  <c r="X48" i="33"/>
  <c r="S48" i="33"/>
  <c r="AW47" i="33"/>
  <c r="AR47" i="33"/>
  <c r="AM47" i="33"/>
  <c r="AH47" i="33"/>
  <c r="AC47" i="33"/>
  <c r="X47" i="33"/>
  <c r="S47" i="33"/>
  <c r="AW46" i="33"/>
  <c r="AR46" i="33"/>
  <c r="AM46" i="33"/>
  <c r="AH46" i="33"/>
  <c r="AC46" i="33"/>
  <c r="X46" i="33"/>
  <c r="S46" i="33"/>
  <c r="AW45" i="33"/>
  <c r="AR45" i="33"/>
  <c r="AM45" i="33"/>
  <c r="AH45" i="33"/>
  <c r="AC45" i="33"/>
  <c r="X45" i="33"/>
  <c r="S45" i="33"/>
  <c r="AW44" i="33"/>
  <c r="AR44" i="33"/>
  <c r="AM44" i="33"/>
  <c r="AH44" i="33"/>
  <c r="AC44" i="33"/>
  <c r="X44" i="33"/>
  <c r="S44" i="33"/>
  <c r="AW43" i="33"/>
  <c r="AR43" i="33"/>
  <c r="AM43" i="33"/>
  <c r="AH43" i="33"/>
  <c r="AC43" i="33"/>
  <c r="X43" i="33"/>
  <c r="S43" i="33"/>
  <c r="AW42" i="33"/>
  <c r="AR42" i="33"/>
  <c r="AM42" i="33"/>
  <c r="AH42" i="33"/>
  <c r="AC42" i="33"/>
  <c r="X42" i="33"/>
  <c r="S42" i="33"/>
  <c r="AW36" i="33"/>
  <c r="AR36" i="33"/>
  <c r="AM36" i="33"/>
  <c r="AH36" i="33"/>
  <c r="AC36" i="33"/>
  <c r="X36" i="33"/>
  <c r="S36" i="33"/>
  <c r="AW35" i="33"/>
  <c r="AR35" i="33"/>
  <c r="AM35" i="33"/>
  <c r="AH35" i="33"/>
  <c r="AC35" i="33"/>
  <c r="X35" i="33"/>
  <c r="S35" i="33"/>
  <c r="AW34" i="33"/>
  <c r="AR34" i="33"/>
  <c r="AM34" i="33"/>
  <c r="AH34" i="33"/>
  <c r="AC34" i="33"/>
  <c r="X34" i="33"/>
  <c r="S34" i="33"/>
  <c r="AW33" i="33"/>
  <c r="AR33" i="33"/>
  <c r="AM33" i="33"/>
  <c r="AH33" i="33"/>
  <c r="AC33" i="33"/>
  <c r="X33" i="33"/>
  <c r="S33" i="33"/>
  <c r="AW32" i="33"/>
  <c r="AR32" i="33"/>
  <c r="AM32" i="33"/>
  <c r="AH32" i="33"/>
  <c r="AC32" i="33"/>
  <c r="X32" i="33"/>
  <c r="S32" i="33"/>
  <c r="AW31" i="33"/>
  <c r="AR31" i="33"/>
  <c r="AM31" i="33"/>
  <c r="AH31" i="33"/>
  <c r="AC31" i="33"/>
  <c r="X31" i="33"/>
  <c r="S31" i="33"/>
  <c r="AW30" i="33"/>
  <c r="AR30" i="33"/>
  <c r="AM30" i="33"/>
  <c r="AH30" i="33"/>
  <c r="AC30" i="33"/>
  <c r="X30" i="33"/>
  <c r="S30" i="33"/>
  <c r="AW29" i="33"/>
  <c r="AR29" i="33"/>
  <c r="AM29" i="33"/>
  <c r="AH29" i="33"/>
  <c r="AC29" i="33"/>
  <c r="X29" i="33"/>
  <c r="S29" i="33"/>
  <c r="AW28" i="33"/>
  <c r="AR28" i="33"/>
  <c r="AM28" i="33"/>
  <c r="AH28" i="33"/>
  <c r="AC28" i="33"/>
  <c r="X28" i="33"/>
  <c r="S28" i="33"/>
  <c r="AW27" i="33"/>
  <c r="AR27" i="33"/>
  <c r="AM27" i="33"/>
  <c r="AH27" i="33"/>
  <c r="AC27" i="33"/>
  <c r="X27" i="33"/>
  <c r="S27" i="33"/>
  <c r="AW26" i="33"/>
  <c r="AR26" i="33"/>
  <c r="AM26" i="33"/>
  <c r="AH26" i="33"/>
  <c r="AC26" i="33"/>
  <c r="X26" i="33"/>
  <c r="S26" i="33"/>
  <c r="AW25" i="33"/>
  <c r="AR25" i="33"/>
  <c r="AM25" i="33"/>
  <c r="AH25" i="33"/>
  <c r="AC25" i="33"/>
  <c r="X25" i="33"/>
  <c r="S25" i="33"/>
  <c r="AW24" i="33"/>
  <c r="AR24" i="33"/>
  <c r="AM24" i="33"/>
  <c r="AH24" i="33"/>
  <c r="AC24" i="33"/>
  <c r="X24" i="33"/>
  <c r="S24" i="33"/>
  <c r="AW23" i="33"/>
  <c r="AR23" i="33"/>
  <c r="AM23" i="33"/>
  <c r="AH23" i="33"/>
  <c r="AC23" i="33"/>
  <c r="X23" i="33"/>
  <c r="S23" i="33"/>
  <c r="AW22" i="33"/>
  <c r="AR22" i="33"/>
  <c r="AM22" i="33"/>
  <c r="AH22" i="33"/>
  <c r="AC22" i="33"/>
  <c r="X22" i="33"/>
  <c r="S22" i="33"/>
  <c r="AW21" i="33"/>
  <c r="AR21" i="33"/>
  <c r="AM21" i="33"/>
  <c r="AH21" i="33"/>
  <c r="AC21" i="33"/>
  <c r="X21" i="33"/>
  <c r="S21" i="33"/>
  <c r="AW20" i="33"/>
  <c r="AR20" i="33"/>
  <c r="AM20" i="33"/>
  <c r="AH20" i="33"/>
  <c r="AC20" i="33"/>
  <c r="X20" i="33"/>
  <c r="S20" i="33"/>
  <c r="AW19" i="33"/>
  <c r="AR19" i="33"/>
  <c r="AM19" i="33"/>
  <c r="AH19" i="33"/>
  <c r="AC19" i="33"/>
  <c r="X19" i="33"/>
  <c r="S19" i="33"/>
  <c r="AW18" i="33"/>
  <c r="AR18" i="33"/>
  <c r="AM18" i="33"/>
  <c r="AH18" i="33"/>
  <c r="AC18" i="33"/>
  <c r="X18" i="33"/>
  <c r="S18" i="33"/>
  <c r="AW17" i="33"/>
  <c r="AR17" i="33"/>
  <c r="AM17" i="33"/>
  <c r="AH17" i="33"/>
  <c r="AC17" i="33"/>
  <c r="X17" i="33"/>
  <c r="S17" i="33"/>
  <c r="AW16" i="33"/>
  <c r="AR16" i="33"/>
  <c r="AM16" i="33"/>
  <c r="AH16" i="33"/>
  <c r="AC16" i="33"/>
  <c r="X16" i="33"/>
  <c r="S16" i="33"/>
  <c r="AW15" i="33"/>
  <c r="AR15" i="33"/>
  <c r="AM15" i="33"/>
  <c r="AH15" i="33"/>
  <c r="AC15" i="33"/>
  <c r="X15" i="33"/>
  <c r="S15" i="33"/>
  <c r="AW14" i="33"/>
  <c r="AR14" i="33"/>
  <c r="AM14" i="33"/>
  <c r="AH14" i="33"/>
  <c r="AC14" i="33"/>
  <c r="X14" i="33"/>
  <c r="S14" i="33"/>
  <c r="AW13" i="33"/>
  <c r="AR13" i="33"/>
  <c r="AM13" i="33"/>
  <c r="AH13" i="33"/>
  <c r="AC13" i="33"/>
  <c r="X13" i="33"/>
  <c r="S13" i="33"/>
  <c r="AW12" i="33"/>
  <c r="AR12" i="33"/>
  <c r="AM12" i="33"/>
  <c r="AH12" i="33"/>
  <c r="AC12" i="33"/>
  <c r="X12" i="33"/>
  <c r="S12" i="33"/>
  <c r="AW11" i="33"/>
  <c r="AR11" i="33"/>
  <c r="AM11" i="33"/>
  <c r="AH11" i="33"/>
  <c r="AC11" i="33"/>
  <c r="X11" i="33"/>
  <c r="S11" i="33"/>
  <c r="AW10" i="33"/>
  <c r="AR10" i="33"/>
  <c r="AM10" i="33"/>
  <c r="AH10" i="33"/>
  <c r="AC10" i="33"/>
  <c r="X10" i="33"/>
  <c r="S10" i="33"/>
  <c r="AW9" i="33"/>
  <c r="AR9" i="33"/>
  <c r="AM9" i="33"/>
  <c r="AH9" i="33"/>
  <c r="AC9" i="33"/>
  <c r="X9" i="33"/>
  <c r="S9" i="33"/>
  <c r="AW8" i="33"/>
  <c r="AR8" i="33"/>
  <c r="AM8" i="33"/>
  <c r="AH8" i="33"/>
  <c r="AC8" i="33"/>
  <c r="X8" i="33"/>
  <c r="S8" i="33"/>
  <c r="AW7" i="33"/>
  <c r="AR7" i="33"/>
  <c r="AM7" i="33"/>
  <c r="AH7" i="33"/>
  <c r="AC7" i="33"/>
  <c r="X7" i="33"/>
  <c r="S7" i="33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W27" i="31"/>
  <c r="AR27" i="31"/>
  <c r="AM27" i="31"/>
  <c r="AH27" i="31"/>
  <c r="AC27" i="31"/>
  <c r="X27" i="31"/>
  <c r="S27" i="31"/>
  <c r="AW21" i="31"/>
  <c r="AR21" i="31"/>
  <c r="AM21" i="31"/>
  <c r="AH21" i="31"/>
  <c r="AC21" i="31"/>
  <c r="X21" i="31"/>
  <c r="S21" i="31"/>
  <c r="AW20" i="31"/>
  <c r="AR20" i="31"/>
  <c r="AM20" i="31"/>
  <c r="AH20" i="31"/>
  <c r="AC20" i="31"/>
  <c r="X20" i="31"/>
  <c r="S20" i="31"/>
  <c r="AW19" i="31"/>
  <c r="AR19" i="31"/>
  <c r="AM19" i="31"/>
  <c r="AH19" i="31"/>
  <c r="AC19" i="31"/>
  <c r="X19" i="31"/>
  <c r="S19" i="31"/>
  <c r="AW18" i="31"/>
  <c r="AR18" i="31"/>
  <c r="AM18" i="31"/>
  <c r="AH18" i="31"/>
  <c r="AC18" i="31"/>
  <c r="X18" i="31"/>
  <c r="S18" i="31"/>
  <c r="AW17" i="31"/>
  <c r="AR17" i="31"/>
  <c r="AM17" i="31"/>
  <c r="AH17" i="31"/>
  <c r="AC17" i="31"/>
  <c r="X17" i="31"/>
  <c r="S17" i="31"/>
  <c r="AW16" i="31"/>
  <c r="AR16" i="31"/>
  <c r="AM16" i="31"/>
  <c r="AH16" i="31"/>
  <c r="AC16" i="31"/>
  <c r="X16" i="31"/>
  <c r="S16" i="31"/>
  <c r="AW15" i="31"/>
  <c r="AR15" i="31"/>
  <c r="AM15" i="31"/>
  <c r="AH15" i="31"/>
  <c r="AC15" i="31"/>
  <c r="X15" i="31"/>
  <c r="S15" i="31"/>
  <c r="AW14" i="31"/>
  <c r="AR14" i="31"/>
  <c r="AM14" i="31"/>
  <c r="AH14" i="31"/>
  <c r="AC14" i="31"/>
  <c r="X14" i="31"/>
  <c r="S14" i="31"/>
  <c r="AW13" i="31"/>
  <c r="AR13" i="31"/>
  <c r="AM13" i="31"/>
  <c r="AH13" i="31"/>
  <c r="AC13" i="31"/>
  <c r="X13" i="31"/>
  <c r="S13" i="31"/>
  <c r="AW12" i="31"/>
  <c r="AR12" i="31"/>
  <c r="AM12" i="31"/>
  <c r="AH12" i="31"/>
  <c r="AC12" i="31"/>
  <c r="X12" i="31"/>
  <c r="S12" i="31"/>
  <c r="AW11" i="31"/>
  <c r="AR11" i="31"/>
  <c r="AM11" i="31"/>
  <c r="AH11" i="31"/>
  <c r="AC11" i="31"/>
  <c r="X11" i="31"/>
  <c r="S11" i="31"/>
  <c r="AW10" i="31"/>
  <c r="AR10" i="31"/>
  <c r="AM10" i="31"/>
  <c r="AH10" i="31"/>
  <c r="AC10" i="31"/>
  <c r="X10" i="31"/>
  <c r="S10" i="31"/>
  <c r="AW9" i="31"/>
  <c r="AR9" i="31"/>
  <c r="AM9" i="31"/>
  <c r="AH9" i="31"/>
  <c r="AC9" i="31"/>
  <c r="X9" i="31"/>
  <c r="S9" i="31"/>
  <c r="AW8" i="31"/>
  <c r="AR8" i="31"/>
  <c r="AM8" i="31"/>
  <c r="AH8" i="31"/>
  <c r="AC8" i="31"/>
  <c r="X8" i="31"/>
  <c r="S8" i="31"/>
  <c r="AW7" i="31"/>
  <c r="AR7" i="31"/>
  <c r="AM7" i="31"/>
  <c r="AH7" i="31"/>
  <c r="AC7" i="31"/>
  <c r="X7" i="31"/>
  <c r="S7" i="31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AW35" i="32"/>
  <c r="AR35" i="32"/>
  <c r="AM35" i="32"/>
  <c r="AH35" i="32"/>
  <c r="AC35" i="32"/>
  <c r="X35" i="32"/>
  <c r="S35" i="32"/>
  <c r="AW34" i="32"/>
  <c r="AR34" i="32"/>
  <c r="AM34" i="32"/>
  <c r="AH34" i="32"/>
  <c r="AC34" i="32"/>
  <c r="X34" i="32"/>
  <c r="S34" i="32"/>
  <c r="AW33" i="32"/>
  <c r="AR33" i="32"/>
  <c r="AM33" i="32"/>
  <c r="AH33" i="32"/>
  <c r="AC33" i="32"/>
  <c r="X33" i="32"/>
  <c r="S33" i="32"/>
  <c r="AW32" i="32"/>
  <c r="AR32" i="32"/>
  <c r="AM32" i="32"/>
  <c r="AH32" i="32"/>
  <c r="AC32" i="32"/>
  <c r="X32" i="32"/>
  <c r="S32" i="32"/>
  <c r="AW31" i="32"/>
  <c r="AR31" i="32"/>
  <c r="AM31" i="32"/>
  <c r="AH31" i="32"/>
  <c r="AC31" i="32"/>
  <c r="X31" i="32"/>
  <c r="S31" i="32"/>
  <c r="AW30" i="32"/>
  <c r="AR30" i="32"/>
  <c r="AM30" i="32"/>
  <c r="AH30" i="32"/>
  <c r="AC30" i="32"/>
  <c r="X30" i="32"/>
  <c r="S30" i="32"/>
  <c r="AW29" i="32"/>
  <c r="AR29" i="32"/>
  <c r="AM29" i="32"/>
  <c r="AH29" i="32"/>
  <c r="AC29" i="32"/>
  <c r="X29" i="32"/>
  <c r="S29" i="32"/>
  <c r="AW28" i="32"/>
  <c r="AR28" i="32"/>
  <c r="AM28" i="32"/>
  <c r="AH28" i="32"/>
  <c r="AC28" i="32"/>
  <c r="X28" i="32"/>
  <c r="S28" i="32"/>
  <c r="AW27" i="32"/>
  <c r="AR27" i="32"/>
  <c r="AM27" i="32"/>
  <c r="AH27" i="32"/>
  <c r="AC27" i="32"/>
  <c r="X27" i="32"/>
  <c r="S27" i="32"/>
  <c r="AW21" i="32"/>
  <c r="AR21" i="32"/>
  <c r="AM21" i="32"/>
  <c r="AH21" i="32"/>
  <c r="AC21" i="32"/>
  <c r="X21" i="32"/>
  <c r="S21" i="32"/>
  <c r="AW20" i="32"/>
  <c r="AR20" i="32"/>
  <c r="AM20" i="32"/>
  <c r="AH20" i="32"/>
  <c r="AC20" i="32"/>
  <c r="X20" i="32"/>
  <c r="S20" i="32"/>
  <c r="AW19" i="32"/>
  <c r="AR19" i="32"/>
  <c r="AM19" i="32"/>
  <c r="AH19" i="32"/>
  <c r="AC19" i="32"/>
  <c r="X19" i="32"/>
  <c r="S19" i="32"/>
  <c r="AW18" i="32"/>
  <c r="AR18" i="32"/>
  <c r="AM18" i="32"/>
  <c r="AH18" i="32"/>
  <c r="AC18" i="32"/>
  <c r="X18" i="32"/>
  <c r="S18" i="32"/>
  <c r="AW17" i="32"/>
  <c r="AR17" i="32"/>
  <c r="AM17" i="32"/>
  <c r="AH17" i="32"/>
  <c r="AC17" i="32"/>
  <c r="X17" i="32"/>
  <c r="S17" i="32"/>
  <c r="AW16" i="32"/>
  <c r="AR16" i="32"/>
  <c r="AM16" i="32"/>
  <c r="AH16" i="32"/>
  <c r="AC16" i="32"/>
  <c r="X16" i="32"/>
  <c r="S16" i="32"/>
  <c r="AW15" i="32"/>
  <c r="AR15" i="32"/>
  <c r="AM15" i="32"/>
  <c r="AH15" i="32"/>
  <c r="AC15" i="32"/>
  <c r="X15" i="32"/>
  <c r="S15" i="32"/>
  <c r="AW14" i="32"/>
  <c r="AR14" i="32"/>
  <c r="AM14" i="32"/>
  <c r="AH14" i="32"/>
  <c r="AC14" i="32"/>
  <c r="X14" i="32"/>
  <c r="S14" i="32"/>
  <c r="AW13" i="32"/>
  <c r="AR13" i="32"/>
  <c r="AM13" i="32"/>
  <c r="AH13" i="32"/>
  <c r="AC13" i="32"/>
  <c r="X13" i="32"/>
  <c r="S13" i="32"/>
  <c r="AW12" i="32"/>
  <c r="AR12" i="32"/>
  <c r="AM12" i="32"/>
  <c r="AH12" i="32"/>
  <c r="AC12" i="32"/>
  <c r="X12" i="32"/>
  <c r="S12" i="32"/>
  <c r="AW11" i="32"/>
  <c r="AR11" i="32"/>
  <c r="AM11" i="32"/>
  <c r="AH11" i="32"/>
  <c r="AC11" i="32"/>
  <c r="X11" i="32"/>
  <c r="S11" i="32"/>
  <c r="AW10" i="32"/>
  <c r="AR10" i="32"/>
  <c r="AM10" i="32"/>
  <c r="AH10" i="32"/>
  <c r="AC10" i="32"/>
  <c r="X10" i="32"/>
  <c r="S10" i="32"/>
  <c r="AW9" i="32"/>
  <c r="AR9" i="32"/>
  <c r="AM9" i="32"/>
  <c r="AH9" i="32"/>
  <c r="AC9" i="32"/>
  <c r="X9" i="32"/>
  <c r="S9" i="32"/>
  <c r="AW8" i="32"/>
  <c r="AR8" i="32"/>
  <c r="AM8" i="32"/>
  <c r="AH8" i="32"/>
  <c r="AC8" i="32"/>
  <c r="X8" i="32"/>
  <c r="S8" i="32"/>
  <c r="AW7" i="32"/>
  <c r="AR7" i="32"/>
  <c r="AM7" i="32"/>
  <c r="AH7" i="32"/>
  <c r="AC7" i="32"/>
  <c r="X7" i="32"/>
  <c r="S7" i="32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AW31" i="30"/>
  <c r="AR31" i="30"/>
  <c r="AM31" i="30"/>
  <c r="AH31" i="30"/>
  <c r="AC31" i="30"/>
  <c r="X31" i="30"/>
  <c r="S31" i="30"/>
  <c r="AW30" i="30"/>
  <c r="AR30" i="30"/>
  <c r="AM30" i="30"/>
  <c r="AH30" i="30"/>
  <c r="AC30" i="30"/>
  <c r="X30" i="30"/>
  <c r="S30" i="30"/>
  <c r="AW29" i="30"/>
  <c r="AR29" i="30"/>
  <c r="AM29" i="30"/>
  <c r="AH29" i="30"/>
  <c r="AC29" i="30"/>
  <c r="X29" i="30"/>
  <c r="S29" i="30"/>
  <c r="AW28" i="30"/>
  <c r="AR28" i="30"/>
  <c r="AM28" i="30"/>
  <c r="AH28" i="30"/>
  <c r="AC28" i="30"/>
  <c r="X28" i="30"/>
  <c r="S28" i="30"/>
  <c r="AW27" i="30"/>
  <c r="AR27" i="30"/>
  <c r="AM27" i="30"/>
  <c r="AH27" i="30"/>
  <c r="AC27" i="30"/>
  <c r="X27" i="30"/>
  <c r="S27" i="30"/>
  <c r="AW21" i="30"/>
  <c r="AR21" i="30"/>
  <c r="AM21" i="30"/>
  <c r="AH21" i="30"/>
  <c r="AC21" i="30"/>
  <c r="X21" i="30"/>
  <c r="S21" i="30"/>
  <c r="AW20" i="30"/>
  <c r="AR20" i="30"/>
  <c r="AM20" i="30"/>
  <c r="AH20" i="30"/>
  <c r="AC20" i="30"/>
  <c r="X20" i="30"/>
  <c r="S20" i="30"/>
  <c r="AW19" i="30"/>
  <c r="AR19" i="30"/>
  <c r="AM19" i="30"/>
  <c r="AH19" i="30"/>
  <c r="AC19" i="30"/>
  <c r="X19" i="30"/>
  <c r="S19" i="30"/>
  <c r="AW18" i="30"/>
  <c r="AR18" i="30"/>
  <c r="AM18" i="30"/>
  <c r="AH18" i="30"/>
  <c r="AC18" i="30"/>
  <c r="X18" i="30"/>
  <c r="S18" i="30"/>
  <c r="AW17" i="30"/>
  <c r="AR17" i="30"/>
  <c r="AM17" i="30"/>
  <c r="AH17" i="30"/>
  <c r="AC17" i="30"/>
  <c r="X17" i="30"/>
  <c r="S17" i="30"/>
  <c r="AW16" i="30"/>
  <c r="AR16" i="30"/>
  <c r="AM16" i="30"/>
  <c r="AH16" i="30"/>
  <c r="AC16" i="30"/>
  <c r="X16" i="30"/>
  <c r="S16" i="30"/>
  <c r="AW15" i="30"/>
  <c r="AR15" i="30"/>
  <c r="AM15" i="30"/>
  <c r="AH15" i="30"/>
  <c r="AC15" i="30"/>
  <c r="X15" i="30"/>
  <c r="S15" i="30"/>
  <c r="AW14" i="30"/>
  <c r="AR14" i="30"/>
  <c r="AM14" i="30"/>
  <c r="AH14" i="30"/>
  <c r="AC14" i="30"/>
  <c r="X14" i="30"/>
  <c r="S14" i="30"/>
  <c r="AW13" i="30"/>
  <c r="AR13" i="30"/>
  <c r="AM13" i="30"/>
  <c r="AH13" i="30"/>
  <c r="AC13" i="30"/>
  <c r="X13" i="30"/>
  <c r="S13" i="30"/>
  <c r="AW12" i="30"/>
  <c r="AR12" i="30"/>
  <c r="AM12" i="30"/>
  <c r="AH12" i="30"/>
  <c r="AC12" i="30"/>
  <c r="X12" i="30"/>
  <c r="S12" i="30"/>
  <c r="AW11" i="30"/>
  <c r="AR11" i="30"/>
  <c r="AM11" i="30"/>
  <c r="AH11" i="30"/>
  <c r="AC11" i="30"/>
  <c r="X11" i="30"/>
  <c r="S11" i="30"/>
  <c r="AW10" i="30"/>
  <c r="AR10" i="30"/>
  <c r="AM10" i="30"/>
  <c r="AH10" i="30"/>
  <c r="AC10" i="30"/>
  <c r="X10" i="30"/>
  <c r="S10" i="30"/>
  <c r="AW9" i="30"/>
  <c r="AR9" i="30"/>
  <c r="AM9" i="30"/>
  <c r="AH9" i="30"/>
  <c r="AC9" i="30"/>
  <c r="X9" i="30"/>
  <c r="S9" i="30"/>
  <c r="AW8" i="30"/>
  <c r="AR8" i="30"/>
  <c r="AM8" i="30"/>
  <c r="AH8" i="30"/>
  <c r="AC8" i="30"/>
  <c r="X8" i="30"/>
  <c r="S8" i="30"/>
  <c r="AW7" i="30"/>
  <c r="AR7" i="30"/>
  <c r="AM7" i="30"/>
  <c r="AH7" i="30"/>
  <c r="AC7" i="30"/>
  <c r="X7" i="30"/>
  <c r="S7" i="30"/>
  <c r="AW71" i="8"/>
  <c r="AR71" i="8"/>
  <c r="AM71" i="8"/>
  <c r="AH71" i="8"/>
  <c r="AC71" i="8"/>
  <c r="X71" i="8"/>
  <c r="S71" i="8"/>
  <c r="AW70" i="8"/>
  <c r="AR70" i="8"/>
  <c r="AM70" i="8"/>
  <c r="AH70" i="8"/>
  <c r="AC70" i="8"/>
  <c r="X70" i="8"/>
  <c r="S70" i="8"/>
  <c r="AW69" i="8"/>
  <c r="AR69" i="8"/>
  <c r="AM69" i="8"/>
  <c r="AH69" i="8"/>
  <c r="AC69" i="8"/>
  <c r="X69" i="8"/>
  <c r="S69" i="8"/>
  <c r="AW68" i="8"/>
  <c r="AR68" i="8"/>
  <c r="AM68" i="8"/>
  <c r="AH68" i="8"/>
  <c r="AC68" i="8"/>
  <c r="X68" i="8"/>
  <c r="S68" i="8"/>
  <c r="AW67" i="8"/>
  <c r="AR67" i="8"/>
  <c r="AM67" i="8"/>
  <c r="AH67" i="8"/>
  <c r="AC67" i="8"/>
  <c r="X67" i="8"/>
  <c r="S67" i="8"/>
  <c r="AW66" i="8"/>
  <c r="AR66" i="8"/>
  <c r="AM66" i="8"/>
  <c r="AH66" i="8"/>
  <c r="AC66" i="8"/>
  <c r="X66" i="8"/>
  <c r="S66" i="8"/>
  <c r="AW65" i="8"/>
  <c r="AR65" i="8"/>
  <c r="AM65" i="8"/>
  <c r="AH65" i="8"/>
  <c r="AC65" i="8"/>
  <c r="X65" i="8"/>
  <c r="S65" i="8"/>
  <c r="AW64" i="8"/>
  <c r="AR64" i="8"/>
  <c r="AM64" i="8"/>
  <c r="AH64" i="8"/>
  <c r="AC64" i="8"/>
  <c r="X64" i="8"/>
  <c r="S64" i="8"/>
  <c r="AW63" i="8"/>
  <c r="AR63" i="8"/>
  <c r="AM63" i="8"/>
  <c r="AH63" i="8"/>
  <c r="AC63" i="8"/>
  <c r="X63" i="8"/>
  <c r="S63" i="8"/>
  <c r="AW62" i="8"/>
  <c r="AR62" i="8"/>
  <c r="AM62" i="8"/>
  <c r="AH62" i="8"/>
  <c r="AC62" i="8"/>
  <c r="X62" i="8"/>
  <c r="S62" i="8"/>
  <c r="AW61" i="8"/>
  <c r="AR61" i="8"/>
  <c r="AM61" i="8"/>
  <c r="AH61" i="8"/>
  <c r="AC61" i="8"/>
  <c r="X61" i="8"/>
  <c r="S61" i="8"/>
  <c r="AW60" i="8"/>
  <c r="AR60" i="8"/>
  <c r="AM60" i="8"/>
  <c r="AH60" i="8"/>
  <c r="AC60" i="8"/>
  <c r="X60" i="8"/>
  <c r="S60" i="8"/>
  <c r="AW59" i="8"/>
  <c r="AR59" i="8"/>
  <c r="AM59" i="8"/>
  <c r="AH59" i="8"/>
  <c r="AC59" i="8"/>
  <c r="X59" i="8"/>
  <c r="S59" i="8"/>
  <c r="AW58" i="8"/>
  <c r="AR58" i="8"/>
  <c r="AM58" i="8"/>
  <c r="AH58" i="8"/>
  <c r="AC58" i="8"/>
  <c r="X58" i="8"/>
  <c r="S58" i="8"/>
  <c r="AW57" i="8"/>
  <c r="AR57" i="8"/>
  <c r="AM57" i="8"/>
  <c r="AH57" i="8"/>
  <c r="AC57" i="8"/>
  <c r="X57" i="8"/>
  <c r="S57" i="8"/>
  <c r="AW56" i="8"/>
  <c r="AR56" i="8"/>
  <c r="AM56" i="8"/>
  <c r="AH56" i="8"/>
  <c r="AC56" i="8"/>
  <c r="X56" i="8"/>
  <c r="S56" i="8"/>
  <c r="AW55" i="8"/>
  <c r="AR55" i="8"/>
  <c r="AM55" i="8"/>
  <c r="AH55" i="8"/>
  <c r="AC55" i="8"/>
  <c r="X55" i="8"/>
  <c r="S55" i="8"/>
  <c r="AW54" i="8"/>
  <c r="AR54" i="8"/>
  <c r="AM54" i="8"/>
  <c r="AH54" i="8"/>
  <c r="AC54" i="8"/>
  <c r="X54" i="8"/>
  <c r="S54" i="8"/>
  <c r="AW53" i="8"/>
  <c r="AR53" i="8"/>
  <c r="AM53" i="8"/>
  <c r="AH53" i="8"/>
  <c r="AC53" i="8"/>
  <c r="X53" i="8"/>
  <c r="S53" i="8"/>
  <c r="AW52" i="8"/>
  <c r="AR52" i="8"/>
  <c r="AM52" i="8"/>
  <c r="AH52" i="8"/>
  <c r="AC52" i="8"/>
  <c r="X52" i="8"/>
  <c r="S52" i="8"/>
  <c r="AW51" i="8"/>
  <c r="AR51" i="8"/>
  <c r="AM51" i="8"/>
  <c r="AH51" i="8"/>
  <c r="AC51" i="8"/>
  <c r="X51" i="8"/>
  <c r="S51" i="8"/>
  <c r="AW50" i="8"/>
  <c r="AR50" i="8"/>
  <c r="AM50" i="8"/>
  <c r="AH50" i="8"/>
  <c r="AC50" i="8"/>
  <c r="X50" i="8"/>
  <c r="S50" i="8"/>
  <c r="AW49" i="8"/>
  <c r="AR49" i="8"/>
  <c r="AM49" i="8"/>
  <c r="AH49" i="8"/>
  <c r="AC49" i="8"/>
  <c r="X49" i="8"/>
  <c r="S49" i="8"/>
  <c r="AW48" i="8"/>
  <c r="AR48" i="8"/>
  <c r="AM48" i="8"/>
  <c r="AH48" i="8"/>
  <c r="AC48" i="8"/>
  <c r="X48" i="8"/>
  <c r="S48" i="8"/>
  <c r="AW47" i="8"/>
  <c r="AR47" i="8"/>
  <c r="AM47" i="8"/>
  <c r="AH47" i="8"/>
  <c r="AC47" i="8"/>
  <c r="X47" i="8"/>
  <c r="S47" i="8"/>
  <c r="AW46" i="8"/>
  <c r="AR46" i="8"/>
  <c r="AM46" i="8"/>
  <c r="AH46" i="8"/>
  <c r="AC46" i="8"/>
  <c r="X46" i="8"/>
  <c r="S46" i="8"/>
  <c r="AW45" i="8"/>
  <c r="AR45" i="8"/>
  <c r="AM45" i="8"/>
  <c r="AH45" i="8"/>
  <c r="AC45" i="8"/>
  <c r="X45" i="8"/>
  <c r="S45" i="8"/>
  <c r="AW44" i="8"/>
  <c r="AR44" i="8"/>
  <c r="AM44" i="8"/>
  <c r="AH44" i="8"/>
  <c r="AC44" i="8"/>
  <c r="X44" i="8"/>
  <c r="S44" i="8"/>
  <c r="AW43" i="8"/>
  <c r="AR43" i="8"/>
  <c r="AM43" i="8"/>
  <c r="AH43" i="8"/>
  <c r="AC43" i="8"/>
  <c r="X43" i="8"/>
  <c r="S43" i="8"/>
  <c r="AW42" i="8"/>
  <c r="AR42" i="8"/>
  <c r="AM42" i="8"/>
  <c r="AH42" i="8"/>
  <c r="AC42" i="8"/>
  <c r="X42" i="8"/>
  <c r="S42" i="8"/>
  <c r="AW36" i="8"/>
  <c r="AR36" i="8"/>
  <c r="AM36" i="8"/>
  <c r="AH36" i="8"/>
  <c r="AC36" i="8"/>
  <c r="X36" i="8"/>
  <c r="S36" i="8"/>
  <c r="AW35" i="8"/>
  <c r="AR35" i="8"/>
  <c r="AM35" i="8"/>
  <c r="AH35" i="8"/>
  <c r="AC35" i="8"/>
  <c r="X35" i="8"/>
  <c r="S35" i="8"/>
  <c r="AW34" i="8"/>
  <c r="AR34" i="8"/>
  <c r="AM34" i="8"/>
  <c r="AH34" i="8"/>
  <c r="AC34" i="8"/>
  <c r="X34" i="8"/>
  <c r="S34" i="8"/>
  <c r="AW33" i="8"/>
  <c r="AR33" i="8"/>
  <c r="AM33" i="8"/>
  <c r="AH33" i="8"/>
  <c r="AC33" i="8"/>
  <c r="X33" i="8"/>
  <c r="S33" i="8"/>
  <c r="AW32" i="8"/>
  <c r="AR32" i="8"/>
  <c r="AM32" i="8"/>
  <c r="AH32" i="8"/>
  <c r="AC32" i="8"/>
  <c r="X32" i="8"/>
  <c r="S32" i="8"/>
  <c r="AW31" i="8"/>
  <c r="AR31" i="8"/>
  <c r="AM31" i="8"/>
  <c r="AH31" i="8"/>
  <c r="AC31" i="8"/>
  <c r="X31" i="8"/>
  <c r="S31" i="8"/>
  <c r="AW30" i="8"/>
  <c r="AR30" i="8"/>
  <c r="AM30" i="8"/>
  <c r="AH30" i="8"/>
  <c r="AC30" i="8"/>
  <c r="X30" i="8"/>
  <c r="S30" i="8"/>
  <c r="AW29" i="8"/>
  <c r="AR29" i="8"/>
  <c r="AM29" i="8"/>
  <c r="AH29" i="8"/>
  <c r="AC29" i="8"/>
  <c r="X29" i="8"/>
  <c r="S29" i="8"/>
  <c r="AW28" i="8"/>
  <c r="AR28" i="8"/>
  <c r="AM28" i="8"/>
  <c r="AH28" i="8"/>
  <c r="AC28" i="8"/>
  <c r="X28" i="8"/>
  <c r="S28" i="8"/>
  <c r="AW27" i="8"/>
  <c r="AR27" i="8"/>
  <c r="AM27" i="8"/>
  <c r="AH27" i="8"/>
  <c r="AC27" i="8"/>
  <c r="X27" i="8"/>
  <c r="S27" i="8"/>
  <c r="AW26" i="8"/>
  <c r="AR26" i="8"/>
  <c r="AM26" i="8"/>
  <c r="AH26" i="8"/>
  <c r="AC26" i="8"/>
  <c r="X26" i="8"/>
  <c r="S26" i="8"/>
  <c r="AW25" i="8"/>
  <c r="AR25" i="8"/>
  <c r="AM25" i="8"/>
  <c r="AH25" i="8"/>
  <c r="AC25" i="8"/>
  <c r="X25" i="8"/>
  <c r="S25" i="8"/>
  <c r="AW24" i="8"/>
  <c r="AR24" i="8"/>
  <c r="AM24" i="8"/>
  <c r="AH24" i="8"/>
  <c r="AC24" i="8"/>
  <c r="X24" i="8"/>
  <c r="S24" i="8"/>
  <c r="AW23" i="8"/>
  <c r="AR23" i="8"/>
  <c r="AM23" i="8"/>
  <c r="AH23" i="8"/>
  <c r="AC23" i="8"/>
  <c r="X23" i="8"/>
  <c r="S23" i="8"/>
  <c r="AW22" i="8"/>
  <c r="AR22" i="8"/>
  <c r="AM22" i="8"/>
  <c r="AH22" i="8"/>
  <c r="AC22" i="8"/>
  <c r="X22" i="8"/>
  <c r="S22" i="8"/>
  <c r="AW21" i="8"/>
  <c r="AR21" i="8"/>
  <c r="AM21" i="8"/>
  <c r="AH21" i="8"/>
  <c r="AC21" i="8"/>
  <c r="X21" i="8"/>
  <c r="S21" i="8"/>
  <c r="AW20" i="8"/>
  <c r="AR20" i="8"/>
  <c r="AM20" i="8"/>
  <c r="AH20" i="8"/>
  <c r="AC20" i="8"/>
  <c r="X20" i="8"/>
  <c r="S20" i="8"/>
  <c r="AW19" i="8"/>
  <c r="AR19" i="8"/>
  <c r="AM19" i="8"/>
  <c r="AH19" i="8"/>
  <c r="AC19" i="8"/>
  <c r="X19" i="8"/>
  <c r="S19" i="8"/>
  <c r="AW18" i="8"/>
  <c r="AR18" i="8"/>
  <c r="AM18" i="8"/>
  <c r="AH18" i="8"/>
  <c r="AC18" i="8"/>
  <c r="X18" i="8"/>
  <c r="S18" i="8"/>
  <c r="AW17" i="8"/>
  <c r="AR17" i="8"/>
  <c r="AM17" i="8"/>
  <c r="AH17" i="8"/>
  <c r="AC17" i="8"/>
  <c r="X17" i="8"/>
  <c r="S17" i="8"/>
  <c r="AW16" i="8"/>
  <c r="AR16" i="8"/>
  <c r="AM16" i="8"/>
  <c r="AH16" i="8"/>
  <c r="AC16" i="8"/>
  <c r="X16" i="8"/>
  <c r="S16" i="8"/>
  <c r="AW15" i="8"/>
  <c r="AR15" i="8"/>
  <c r="AM15" i="8"/>
  <c r="AH15" i="8"/>
  <c r="AC15" i="8"/>
  <c r="X15" i="8"/>
  <c r="S15" i="8"/>
  <c r="AW14" i="8"/>
  <c r="AR14" i="8"/>
  <c r="AM14" i="8"/>
  <c r="AH14" i="8"/>
  <c r="AC14" i="8"/>
  <c r="X14" i="8"/>
  <c r="S14" i="8"/>
  <c r="AW13" i="8"/>
  <c r="AR13" i="8"/>
  <c r="AM13" i="8"/>
  <c r="AH13" i="8"/>
  <c r="AC13" i="8"/>
  <c r="X13" i="8"/>
  <c r="S13" i="8"/>
  <c r="AW12" i="8"/>
  <c r="AR12" i="8"/>
  <c r="AM12" i="8"/>
  <c r="AH12" i="8"/>
  <c r="AC12" i="8"/>
  <c r="X12" i="8"/>
  <c r="S12" i="8"/>
  <c r="AW11" i="8"/>
  <c r="AR11" i="8"/>
  <c r="AM11" i="8"/>
  <c r="AH11" i="8"/>
  <c r="AC11" i="8"/>
  <c r="X11" i="8"/>
  <c r="S11" i="8"/>
  <c r="AW10" i="8"/>
  <c r="AR10" i="8"/>
  <c r="AM10" i="8"/>
  <c r="AH10" i="8"/>
  <c r="AC10" i="8"/>
  <c r="X10" i="8"/>
  <c r="S10" i="8"/>
  <c r="AW9" i="8"/>
  <c r="AR9" i="8"/>
  <c r="AM9" i="8"/>
  <c r="AH9" i="8"/>
  <c r="AC9" i="8"/>
  <c r="X9" i="8"/>
  <c r="S9" i="8"/>
  <c r="AW8" i="8"/>
  <c r="AR8" i="8"/>
  <c r="AM8" i="8"/>
  <c r="AH8" i="8"/>
  <c r="AC8" i="8"/>
  <c r="X8" i="8"/>
  <c r="S8" i="8"/>
  <c r="AW7" i="8"/>
  <c r="AR7" i="8"/>
  <c r="AM7" i="8"/>
  <c r="AH7" i="8"/>
  <c r="AC7" i="8"/>
  <c r="X7" i="8"/>
  <c r="S7" i="8"/>
  <c r="K12" i="37"/>
  <c r="J12" i="37"/>
  <c r="I12" i="37"/>
  <c r="K11" i="37"/>
  <c r="J11" i="37"/>
  <c r="I11" i="37"/>
  <c r="K10" i="37"/>
  <c r="J10" i="37"/>
  <c r="I10" i="37"/>
  <c r="K9" i="37"/>
  <c r="J9" i="37"/>
  <c r="I9" i="37"/>
  <c r="K8" i="37"/>
  <c r="J8" i="37"/>
  <c r="I8" i="37"/>
  <c r="AX7" i="37"/>
  <c r="AS7" i="37"/>
  <c r="AN7" i="37"/>
  <c r="AI7" i="37"/>
  <c r="AD7" i="37"/>
  <c r="Y7" i="37"/>
  <c r="T7" i="37"/>
  <c r="K7" i="37"/>
  <c r="J7" i="37"/>
  <c r="I7" i="37"/>
  <c r="H7" i="37"/>
  <c r="K11" i="36"/>
  <c r="J11" i="36"/>
  <c r="I11" i="36"/>
  <c r="K10" i="36"/>
  <c r="J10" i="36"/>
  <c r="I10" i="36"/>
  <c r="K9" i="36"/>
  <c r="J9" i="36"/>
  <c r="I9" i="36"/>
  <c r="K8" i="36"/>
  <c r="J8" i="36"/>
  <c r="I8" i="36"/>
  <c r="AX7" i="36"/>
  <c r="AS7" i="36"/>
  <c r="AN7" i="36"/>
  <c r="AI7" i="36"/>
  <c r="AD7" i="36"/>
  <c r="Y7" i="36"/>
  <c r="T7" i="36"/>
  <c r="K7" i="36"/>
  <c r="J7" i="36"/>
  <c r="I7" i="36"/>
  <c r="H7" i="36"/>
  <c r="K13" i="35"/>
  <c r="J13" i="35"/>
  <c r="I13" i="35"/>
  <c r="K12" i="35"/>
  <c r="J12" i="35"/>
  <c r="I12" i="35"/>
  <c r="K11" i="35"/>
  <c r="J11" i="35"/>
  <c r="I11" i="35"/>
  <c r="K10" i="35"/>
  <c r="J10" i="35"/>
  <c r="I10" i="35"/>
  <c r="K9" i="35"/>
  <c r="J9" i="35"/>
  <c r="I9" i="35"/>
  <c r="K8" i="35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4" i="34"/>
  <c r="J14" i="34"/>
  <c r="I14" i="34"/>
  <c r="K13" i="34"/>
  <c r="J13" i="34"/>
  <c r="I13" i="34"/>
  <c r="K12" i="34"/>
  <c r="J12" i="34"/>
  <c r="I12" i="34"/>
  <c r="K11" i="34"/>
  <c r="J11" i="34"/>
  <c r="I11" i="34"/>
  <c r="K10" i="34"/>
  <c r="J10" i="34"/>
  <c r="I10" i="34"/>
  <c r="K9" i="34"/>
  <c r="J9" i="34"/>
  <c r="I9" i="34"/>
  <c r="K8" i="34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K30" i="33"/>
  <c r="J30" i="33"/>
  <c r="I30" i="33"/>
  <c r="K29" i="33"/>
  <c r="J29" i="33"/>
  <c r="I29" i="33"/>
  <c r="K28" i="33"/>
  <c r="J28" i="33"/>
  <c r="I28" i="33"/>
  <c r="K27" i="33"/>
  <c r="J27" i="33"/>
  <c r="I27" i="33"/>
  <c r="K25" i="33"/>
  <c r="J25" i="33"/>
  <c r="I25" i="33"/>
  <c r="K24" i="33"/>
  <c r="J24" i="33"/>
  <c r="I24" i="33"/>
  <c r="K23" i="33"/>
  <c r="J23" i="33"/>
  <c r="I23" i="33"/>
  <c r="K22" i="33"/>
  <c r="J22" i="33"/>
  <c r="I22" i="33"/>
  <c r="K21" i="33"/>
  <c r="J21" i="33"/>
  <c r="I21" i="33"/>
  <c r="K20" i="33"/>
  <c r="J20" i="33"/>
  <c r="I20" i="33"/>
  <c r="K19" i="33"/>
  <c r="J19" i="33"/>
  <c r="I19" i="33"/>
  <c r="K18" i="33"/>
  <c r="J18" i="33"/>
  <c r="I18" i="33"/>
  <c r="K17" i="33"/>
  <c r="J17" i="33"/>
  <c r="I17" i="33"/>
  <c r="K16" i="33"/>
  <c r="J16" i="33"/>
  <c r="I16" i="33"/>
  <c r="K15" i="33"/>
  <c r="J15" i="33"/>
  <c r="I15" i="33"/>
  <c r="K14" i="33"/>
  <c r="J14" i="33"/>
  <c r="I14" i="33"/>
  <c r="K13" i="33"/>
  <c r="J13" i="33"/>
  <c r="I13" i="33"/>
  <c r="K12" i="33"/>
  <c r="J12" i="33"/>
  <c r="I12" i="33"/>
  <c r="K11" i="33"/>
  <c r="J11" i="33"/>
  <c r="I11" i="33"/>
  <c r="K10" i="33"/>
  <c r="J10" i="33"/>
  <c r="I10" i="33"/>
  <c r="K9" i="33"/>
  <c r="J9" i="33"/>
  <c r="I9" i="33"/>
  <c r="K8" i="33"/>
  <c r="J8" i="33"/>
  <c r="I8" i="33"/>
  <c r="AX7" i="33"/>
  <c r="AS7" i="33"/>
  <c r="AN7" i="33"/>
  <c r="AI7" i="33"/>
  <c r="AD7" i="33"/>
  <c r="Y7" i="33"/>
  <c r="T7" i="33"/>
  <c r="K7" i="33"/>
  <c r="J7" i="33"/>
  <c r="I7" i="33"/>
  <c r="H7" i="33"/>
  <c r="AX7" i="31"/>
  <c r="AS7" i="31"/>
  <c r="AN7" i="31"/>
  <c r="AI7" i="31"/>
  <c r="AD7" i="31"/>
  <c r="Y7" i="31"/>
  <c r="T7" i="31"/>
  <c r="K7" i="31"/>
  <c r="M17" i="31" s="1"/>
  <c r="J7" i="31"/>
  <c r="I7" i="31"/>
  <c r="H7" i="31"/>
  <c r="K16" i="32"/>
  <c r="J16" i="32"/>
  <c r="I16" i="32"/>
  <c r="K15" i="32"/>
  <c r="J15" i="32"/>
  <c r="I15" i="32"/>
  <c r="K14" i="32"/>
  <c r="J14" i="32"/>
  <c r="I14" i="32"/>
  <c r="K13" i="32"/>
  <c r="J13" i="32"/>
  <c r="I13" i="32"/>
  <c r="K12" i="32"/>
  <c r="J12" i="32"/>
  <c r="I12" i="32"/>
  <c r="K11" i="32"/>
  <c r="J11" i="32"/>
  <c r="I11" i="32"/>
  <c r="K10" i="32"/>
  <c r="J10" i="32"/>
  <c r="I10" i="32"/>
  <c r="K9" i="32"/>
  <c r="J9" i="32"/>
  <c r="I9" i="32"/>
  <c r="K8" i="32"/>
  <c r="J8" i="32"/>
  <c r="I8" i="32"/>
  <c r="AX7" i="32"/>
  <c r="AS7" i="32"/>
  <c r="AN7" i="32"/>
  <c r="AI7" i="32"/>
  <c r="AD7" i="32"/>
  <c r="Y7" i="32"/>
  <c r="T7" i="32"/>
  <c r="K7" i="32"/>
  <c r="J7" i="32"/>
  <c r="I7" i="32"/>
  <c r="H7" i="32"/>
  <c r="K13" i="30"/>
  <c r="J13" i="30"/>
  <c r="I13" i="30"/>
  <c r="K12" i="30"/>
  <c r="J12" i="30"/>
  <c r="I12" i="30"/>
  <c r="K11" i="30"/>
  <c r="J11" i="30"/>
  <c r="I11" i="30"/>
  <c r="K10" i="30"/>
  <c r="J10" i="30"/>
  <c r="I10" i="30"/>
  <c r="K9" i="30"/>
  <c r="J9" i="30"/>
  <c r="I9" i="30"/>
  <c r="K8" i="30"/>
  <c r="J8" i="30"/>
  <c r="I8" i="30"/>
  <c r="AX7" i="30"/>
  <c r="AS7" i="30"/>
  <c r="AN7" i="30"/>
  <c r="AI7" i="30"/>
  <c r="AD7" i="30"/>
  <c r="Y7" i="30"/>
  <c r="T7" i="30"/>
  <c r="K7" i="30"/>
  <c r="J7" i="30"/>
  <c r="I7" i="30"/>
  <c r="H7" i="30"/>
  <c r="M11" i="37" l="1"/>
  <c r="M8" i="37"/>
  <c r="M12" i="37"/>
  <c r="M18" i="37"/>
  <c r="M9" i="37"/>
  <c r="M15" i="37"/>
  <c r="M8" i="36"/>
  <c r="M9" i="36"/>
  <c r="M11" i="36"/>
  <c r="M17" i="36"/>
  <c r="M20" i="36"/>
  <c r="M18" i="35"/>
  <c r="M8" i="35"/>
  <c r="M9" i="35"/>
  <c r="M10" i="35"/>
  <c r="M14" i="35"/>
  <c r="M11" i="35"/>
  <c r="M12" i="35"/>
  <c r="M8" i="34"/>
  <c r="L7" i="34"/>
  <c r="M12" i="34"/>
  <c r="M9" i="34"/>
  <c r="M13" i="34"/>
  <c r="M14" i="34"/>
  <c r="M11" i="34"/>
  <c r="M8" i="33"/>
  <c r="M12" i="33"/>
  <c r="M16" i="33"/>
  <c r="M20" i="33"/>
  <c r="M24" i="33"/>
  <c r="M21" i="33"/>
  <c r="M35" i="33"/>
  <c r="M17" i="33"/>
  <c r="M29" i="33"/>
  <c r="M9" i="33"/>
  <c r="M18" i="33"/>
  <c r="M26" i="33"/>
  <c r="M30" i="33"/>
  <c r="M14" i="33"/>
  <c r="M15" i="33"/>
  <c r="M23" i="33"/>
  <c r="M27" i="33"/>
  <c r="M32" i="33"/>
  <c r="M11" i="33"/>
  <c r="M15" i="31"/>
  <c r="M11" i="32"/>
  <c r="M9" i="32"/>
  <c r="L7" i="32"/>
  <c r="M14" i="32"/>
  <c r="M15" i="32"/>
  <c r="M12" i="32"/>
  <c r="M8" i="30"/>
  <c r="M10" i="30"/>
  <c r="M11" i="30"/>
  <c r="M12" i="30"/>
  <c r="M13" i="30"/>
  <c r="M9" i="30"/>
  <c r="M20" i="30"/>
  <c r="M19" i="34"/>
  <c r="M16" i="34"/>
  <c r="M7" i="34"/>
  <c r="M18" i="31"/>
  <c r="M17" i="35"/>
  <c r="M12" i="36"/>
  <c r="M17" i="32"/>
  <c r="M12" i="31"/>
  <c r="M19" i="36"/>
  <c r="M16" i="36"/>
  <c r="M13" i="36"/>
  <c r="M7" i="36"/>
  <c r="M19" i="37"/>
  <c r="M16" i="37"/>
  <c r="M13" i="37"/>
  <c r="M7" i="37"/>
  <c r="M7" i="30"/>
  <c r="M16" i="30"/>
  <c r="M19" i="30"/>
  <c r="M9" i="31"/>
  <c r="M20" i="31"/>
  <c r="M14" i="36"/>
  <c r="M20" i="37"/>
  <c r="M20" i="32"/>
  <c r="M13" i="32"/>
  <c r="L7" i="33"/>
  <c r="M34" i="33"/>
  <c r="M31" i="33"/>
  <c r="M7" i="33"/>
  <c r="L7" i="36"/>
  <c r="L7" i="37"/>
  <c r="M17" i="37"/>
  <c r="M16" i="32"/>
  <c r="M28" i="33"/>
  <c r="M19" i="31"/>
  <c r="M16" i="31"/>
  <c r="M13" i="31"/>
  <c r="M10" i="31"/>
  <c r="M7" i="31"/>
  <c r="M13" i="33"/>
  <c r="M25" i="33"/>
  <c r="M10" i="34"/>
  <c r="M8" i="32"/>
  <c r="M14" i="31"/>
  <c r="M21" i="34"/>
  <c r="M14" i="37"/>
  <c r="M11" i="31"/>
  <c r="M18" i="34"/>
  <c r="M10" i="32"/>
  <c r="M15" i="30"/>
  <c r="M18" i="30"/>
  <c r="M21" i="30"/>
  <c r="M8" i="31"/>
  <c r="M15" i="34"/>
  <c r="M21" i="35"/>
  <c r="M10" i="33"/>
  <c r="M22" i="33"/>
  <c r="M10" i="36"/>
  <c r="M10" i="37"/>
  <c r="M36" i="33"/>
  <c r="M19" i="32"/>
  <c r="M7" i="32"/>
  <c r="M19" i="35"/>
  <c r="M16" i="35"/>
  <c r="M7" i="35"/>
  <c r="M21" i="32"/>
  <c r="M33" i="33"/>
  <c r="M20" i="34"/>
  <c r="M15" i="35"/>
  <c r="M21" i="36"/>
  <c r="M18" i="32"/>
  <c r="M17" i="34"/>
  <c r="M18" i="36"/>
  <c r="L7" i="35"/>
  <c r="M19" i="33"/>
  <c r="M13" i="35"/>
  <c r="M14" i="30"/>
  <c r="M17" i="30"/>
  <c r="M21" i="31"/>
  <c r="M20" i="35"/>
  <c r="M15" i="36"/>
  <c r="M21" i="37"/>
  <c r="L7" i="31"/>
  <c r="L7" i="30"/>
  <c r="C36" i="39" l="1"/>
  <c r="C35" i="39"/>
  <c r="C33" i="39"/>
  <c r="C31" i="39"/>
  <c r="C30" i="39"/>
  <c r="C29" i="39"/>
  <c r="C32" i="39" l="1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K32" i="37" l="1"/>
  <c r="J32" i="37"/>
  <c r="I32" i="37"/>
  <c r="K31" i="37"/>
  <c r="J31" i="37"/>
  <c r="I31" i="37"/>
  <c r="K30" i="37"/>
  <c r="J30" i="37"/>
  <c r="I30" i="37"/>
  <c r="K29" i="37"/>
  <c r="J29" i="37"/>
  <c r="I29" i="37"/>
  <c r="K28" i="37"/>
  <c r="J28" i="37"/>
  <c r="I28" i="37"/>
  <c r="AX27" i="37"/>
  <c r="AS27" i="37"/>
  <c r="AN27" i="37"/>
  <c r="AI27" i="37"/>
  <c r="AD27" i="37"/>
  <c r="Y27" i="37"/>
  <c r="T27" i="37"/>
  <c r="K27" i="37"/>
  <c r="J27" i="37"/>
  <c r="I27" i="37"/>
  <c r="H27" i="37"/>
  <c r="AW61" i="37"/>
  <c r="AR61" i="37"/>
  <c r="AM61" i="37"/>
  <c r="AH61" i="37"/>
  <c r="AC61" i="37"/>
  <c r="X61" i="37"/>
  <c r="S61" i="37"/>
  <c r="AW60" i="37"/>
  <c r="AR60" i="37"/>
  <c r="AM60" i="37"/>
  <c r="AH60" i="37"/>
  <c r="AC60" i="37"/>
  <c r="X60" i="37"/>
  <c r="S60" i="37"/>
  <c r="AW59" i="37"/>
  <c r="AR59" i="37"/>
  <c r="AM59" i="37"/>
  <c r="AH59" i="37"/>
  <c r="AC59" i="37"/>
  <c r="X59" i="37"/>
  <c r="S59" i="37"/>
  <c r="AW58" i="37"/>
  <c r="AR58" i="37"/>
  <c r="AM58" i="37"/>
  <c r="AH58" i="37"/>
  <c r="AC58" i="37"/>
  <c r="X58" i="37"/>
  <c r="S58" i="37"/>
  <c r="AW57" i="37"/>
  <c r="AR57" i="37"/>
  <c r="AM57" i="37"/>
  <c r="AH57" i="37"/>
  <c r="AC57" i="37"/>
  <c r="X57" i="37"/>
  <c r="S57" i="37"/>
  <c r="AW56" i="37"/>
  <c r="AR56" i="37"/>
  <c r="AM56" i="37"/>
  <c r="AH56" i="37"/>
  <c r="AC56" i="37"/>
  <c r="X56" i="37"/>
  <c r="S56" i="37"/>
  <c r="AW55" i="37"/>
  <c r="AR55" i="37"/>
  <c r="AM55" i="37"/>
  <c r="AH55" i="37"/>
  <c r="AC55" i="37"/>
  <c r="X55" i="37"/>
  <c r="S55" i="37"/>
  <c r="AW54" i="37"/>
  <c r="AR54" i="37"/>
  <c r="AM54" i="37"/>
  <c r="AH54" i="37"/>
  <c r="AC54" i="37"/>
  <c r="X54" i="37"/>
  <c r="S54" i="37"/>
  <c r="AW53" i="37"/>
  <c r="AR53" i="37"/>
  <c r="AM53" i="37"/>
  <c r="AH53" i="37"/>
  <c r="AC53" i="37"/>
  <c r="X53" i="37"/>
  <c r="S53" i="37"/>
  <c r="AW52" i="37"/>
  <c r="AR52" i="37"/>
  <c r="AM52" i="37"/>
  <c r="AH52" i="37"/>
  <c r="AC52" i="37"/>
  <c r="X52" i="37"/>
  <c r="S52" i="37"/>
  <c r="K52" i="37"/>
  <c r="M52" i="37" s="1"/>
  <c r="J52" i="37"/>
  <c r="I52" i="37"/>
  <c r="AW51" i="37"/>
  <c r="AR51" i="37"/>
  <c r="AM51" i="37"/>
  <c r="AH51" i="37"/>
  <c r="AC51" i="37"/>
  <c r="X51" i="37"/>
  <c r="S51" i="37"/>
  <c r="K51" i="37"/>
  <c r="M51" i="37" s="1"/>
  <c r="J51" i="37"/>
  <c r="I51" i="37"/>
  <c r="AW50" i="37"/>
  <c r="AR50" i="37"/>
  <c r="AM50" i="37"/>
  <c r="AH50" i="37"/>
  <c r="AC50" i="37"/>
  <c r="X50" i="37"/>
  <c r="S50" i="37"/>
  <c r="K50" i="37"/>
  <c r="M50" i="37" s="1"/>
  <c r="J50" i="37"/>
  <c r="I50" i="37"/>
  <c r="AW49" i="37"/>
  <c r="AR49" i="37"/>
  <c r="AM49" i="37"/>
  <c r="AH49" i="37"/>
  <c r="AC49" i="37"/>
  <c r="X49" i="37"/>
  <c r="S49" i="37"/>
  <c r="K49" i="37"/>
  <c r="M49" i="37" s="1"/>
  <c r="J49" i="37"/>
  <c r="I49" i="37"/>
  <c r="AW48" i="37"/>
  <c r="AR48" i="37"/>
  <c r="AM48" i="37"/>
  <c r="AH48" i="37"/>
  <c r="AC48" i="37"/>
  <c r="X48" i="37"/>
  <c r="S48" i="37"/>
  <c r="K48" i="37"/>
  <c r="M48" i="37" s="1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T47" i="37"/>
  <c r="S47" i="37"/>
  <c r="K47" i="37"/>
  <c r="M47" i="37" s="1"/>
  <c r="J47" i="37"/>
  <c r="I47" i="37"/>
  <c r="H4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M72" i="37" s="1"/>
  <c r="J72" i="37"/>
  <c r="I72" i="37"/>
  <c r="AW71" i="37"/>
  <c r="AR71" i="37"/>
  <c r="AM71" i="37"/>
  <c r="AH71" i="37"/>
  <c r="AC71" i="37"/>
  <c r="X71" i="37"/>
  <c r="S71" i="37"/>
  <c r="K71" i="37"/>
  <c r="M71" i="37" s="1"/>
  <c r="J71" i="37"/>
  <c r="I71" i="37"/>
  <c r="AW70" i="37"/>
  <c r="AR70" i="37"/>
  <c r="AM70" i="37"/>
  <c r="AH70" i="37"/>
  <c r="AC70" i="37"/>
  <c r="X70" i="37"/>
  <c r="S70" i="37"/>
  <c r="K70" i="37"/>
  <c r="M70" i="37" s="1"/>
  <c r="J70" i="37"/>
  <c r="I70" i="37"/>
  <c r="AW69" i="37"/>
  <c r="AR69" i="37"/>
  <c r="AM69" i="37"/>
  <c r="AH69" i="37"/>
  <c r="AC69" i="37"/>
  <c r="X69" i="37"/>
  <c r="S69" i="37"/>
  <c r="M69" i="37"/>
  <c r="K69" i="37"/>
  <c r="J69" i="37"/>
  <c r="I69" i="37"/>
  <c r="AW68" i="37"/>
  <c r="AR68" i="37"/>
  <c r="AM68" i="37"/>
  <c r="AH68" i="37"/>
  <c r="AC68" i="37"/>
  <c r="X68" i="37"/>
  <c r="S68" i="37"/>
  <c r="K68" i="37"/>
  <c r="M68" i="37" s="1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M67" i="37" s="1"/>
  <c r="J67" i="37"/>
  <c r="I67" i="37"/>
  <c r="H67" i="37"/>
  <c r="K31" i="36"/>
  <c r="J31" i="36"/>
  <c r="I31" i="36"/>
  <c r="K30" i="36"/>
  <c r="J30" i="36"/>
  <c r="I30" i="36"/>
  <c r="K29" i="36"/>
  <c r="J29" i="36"/>
  <c r="I29" i="36"/>
  <c r="K28" i="36"/>
  <c r="J28" i="36"/>
  <c r="I28" i="36"/>
  <c r="AX27" i="36"/>
  <c r="AS27" i="36"/>
  <c r="AN27" i="36"/>
  <c r="AI27" i="36"/>
  <c r="AD27" i="36"/>
  <c r="Y27" i="36"/>
  <c r="T27" i="36"/>
  <c r="K27" i="36"/>
  <c r="J27" i="36"/>
  <c r="I27" i="36"/>
  <c r="H2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K51" i="36"/>
  <c r="M51" i="36" s="1"/>
  <c r="J51" i="36"/>
  <c r="I51" i="36"/>
  <c r="AW50" i="36"/>
  <c r="AR50" i="36"/>
  <c r="AM50" i="36"/>
  <c r="AH50" i="36"/>
  <c r="AC50" i="36"/>
  <c r="X50" i="36"/>
  <c r="S50" i="36"/>
  <c r="K50" i="36"/>
  <c r="M50" i="36" s="1"/>
  <c r="J50" i="36"/>
  <c r="I50" i="36"/>
  <c r="AW49" i="36"/>
  <c r="AR49" i="36"/>
  <c r="AM49" i="36"/>
  <c r="AH49" i="36"/>
  <c r="AC49" i="36"/>
  <c r="X49" i="36"/>
  <c r="S49" i="36"/>
  <c r="K49" i="36"/>
  <c r="M49" i="36" s="1"/>
  <c r="J49" i="36"/>
  <c r="I49" i="36"/>
  <c r="AW48" i="36"/>
  <c r="AR48" i="36"/>
  <c r="AM48" i="36"/>
  <c r="AH48" i="36"/>
  <c r="AC48" i="36"/>
  <c r="X48" i="36"/>
  <c r="S48" i="36"/>
  <c r="K48" i="36"/>
  <c r="M48" i="36" s="1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K47" i="36"/>
  <c r="M47" i="36" s="1"/>
  <c r="J47" i="36"/>
  <c r="I47" i="36"/>
  <c r="H4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K71" i="36"/>
  <c r="M71" i="36" s="1"/>
  <c r="J71" i="36"/>
  <c r="I71" i="36"/>
  <c r="AW70" i="36"/>
  <c r="AR70" i="36"/>
  <c r="AM70" i="36"/>
  <c r="AH70" i="36"/>
  <c r="AC70" i="36"/>
  <c r="X70" i="36"/>
  <c r="S70" i="36"/>
  <c r="M70" i="36"/>
  <c r="K70" i="36"/>
  <c r="J70" i="36"/>
  <c r="I70" i="36"/>
  <c r="AW69" i="36"/>
  <c r="AR69" i="36"/>
  <c r="AM69" i="36"/>
  <c r="AH69" i="36"/>
  <c r="AC69" i="36"/>
  <c r="X69" i="36"/>
  <c r="S69" i="36"/>
  <c r="K69" i="36"/>
  <c r="M69" i="36" s="1"/>
  <c r="J69" i="36"/>
  <c r="I69" i="36"/>
  <c r="AW68" i="36"/>
  <c r="AR68" i="36"/>
  <c r="AM68" i="36"/>
  <c r="AH68" i="36"/>
  <c r="AC68" i="36"/>
  <c r="X68" i="36"/>
  <c r="S68" i="36"/>
  <c r="K68" i="36"/>
  <c r="M68" i="36" s="1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M67" i="36"/>
  <c r="K67" i="36"/>
  <c r="L67" i="36" s="1"/>
  <c r="J67" i="36"/>
  <c r="I67" i="36"/>
  <c r="H67" i="36"/>
  <c r="K33" i="35"/>
  <c r="J33" i="35"/>
  <c r="I33" i="35"/>
  <c r="K32" i="35"/>
  <c r="J32" i="35"/>
  <c r="I32" i="35"/>
  <c r="K31" i="35"/>
  <c r="J31" i="35"/>
  <c r="I31" i="35"/>
  <c r="K30" i="35"/>
  <c r="J30" i="35"/>
  <c r="I30" i="35"/>
  <c r="K29" i="35"/>
  <c r="J29" i="35"/>
  <c r="I29" i="35"/>
  <c r="K28" i="35"/>
  <c r="J28" i="35"/>
  <c r="I28" i="35"/>
  <c r="AX27" i="35"/>
  <c r="AS27" i="35"/>
  <c r="AN27" i="35"/>
  <c r="AI27" i="35"/>
  <c r="AD27" i="35"/>
  <c r="Y27" i="35"/>
  <c r="T27" i="35"/>
  <c r="K27" i="35"/>
  <c r="J27" i="35"/>
  <c r="I27" i="35"/>
  <c r="H2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M53" i="35" s="1"/>
  <c r="J53" i="35"/>
  <c r="I53" i="35"/>
  <c r="AW52" i="35"/>
  <c r="AR52" i="35"/>
  <c r="AM52" i="35"/>
  <c r="AH52" i="35"/>
  <c r="AC52" i="35"/>
  <c r="X52" i="35"/>
  <c r="S52" i="35"/>
  <c r="K52" i="35"/>
  <c r="M52" i="35" s="1"/>
  <c r="J52" i="35"/>
  <c r="I52" i="35"/>
  <c r="AW51" i="35"/>
  <c r="AR51" i="35"/>
  <c r="AM51" i="35"/>
  <c r="AH51" i="35"/>
  <c r="AC51" i="35"/>
  <c r="X51" i="35"/>
  <c r="S51" i="35"/>
  <c r="K51" i="35"/>
  <c r="M51" i="35" s="1"/>
  <c r="J51" i="35"/>
  <c r="I51" i="35"/>
  <c r="AW50" i="35"/>
  <c r="AR50" i="35"/>
  <c r="AM50" i="35"/>
  <c r="AH50" i="35"/>
  <c r="AC50" i="35"/>
  <c r="X50" i="35"/>
  <c r="S50" i="35"/>
  <c r="K50" i="35"/>
  <c r="M50" i="35" s="1"/>
  <c r="J50" i="35"/>
  <c r="I50" i="35"/>
  <c r="AW49" i="35"/>
  <c r="AR49" i="35"/>
  <c r="AM49" i="35"/>
  <c r="AH49" i="35"/>
  <c r="AC49" i="35"/>
  <c r="X49" i="35"/>
  <c r="S49" i="35"/>
  <c r="K49" i="35"/>
  <c r="M49" i="35" s="1"/>
  <c r="J49" i="35"/>
  <c r="I49" i="35"/>
  <c r="AW48" i="35"/>
  <c r="AR48" i="35"/>
  <c r="AM48" i="35"/>
  <c r="AH48" i="35"/>
  <c r="AC48" i="35"/>
  <c r="X48" i="35"/>
  <c r="S48" i="35"/>
  <c r="K48" i="35"/>
  <c r="M48" i="35" s="1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K47" i="35"/>
  <c r="M47" i="35" s="1"/>
  <c r="J47" i="35"/>
  <c r="I47" i="35"/>
  <c r="H4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AW75" i="35"/>
  <c r="AR75" i="35"/>
  <c r="AM75" i="35"/>
  <c r="AH75" i="35"/>
  <c r="AC75" i="35"/>
  <c r="X75" i="35"/>
  <c r="S75" i="35"/>
  <c r="AW74" i="35"/>
  <c r="AR74" i="35"/>
  <c r="AM74" i="35"/>
  <c r="AH74" i="35"/>
  <c r="AC74" i="35"/>
  <c r="X74" i="35"/>
  <c r="S74" i="35"/>
  <c r="AW73" i="35"/>
  <c r="AR73" i="35"/>
  <c r="AM73" i="35"/>
  <c r="AH73" i="35"/>
  <c r="AC73" i="35"/>
  <c r="X73" i="35"/>
  <c r="S73" i="35"/>
  <c r="K73" i="35"/>
  <c r="M73" i="35" s="1"/>
  <c r="J73" i="35"/>
  <c r="I73" i="35"/>
  <c r="AW72" i="35"/>
  <c r="AR72" i="35"/>
  <c r="AM72" i="35"/>
  <c r="AH72" i="35"/>
  <c r="AC72" i="35"/>
  <c r="X72" i="35"/>
  <c r="S72" i="35"/>
  <c r="M72" i="35"/>
  <c r="K72" i="35"/>
  <c r="J72" i="35"/>
  <c r="I72" i="35"/>
  <c r="AW71" i="35"/>
  <c r="AR71" i="35"/>
  <c r="AM71" i="35"/>
  <c r="AH71" i="35"/>
  <c r="AC71" i="35"/>
  <c r="X71" i="35"/>
  <c r="S71" i="35"/>
  <c r="K71" i="35"/>
  <c r="M71" i="35" s="1"/>
  <c r="J71" i="35"/>
  <c r="I71" i="35"/>
  <c r="AW70" i="35"/>
  <c r="AR70" i="35"/>
  <c r="AM70" i="35"/>
  <c r="AH70" i="35"/>
  <c r="AC70" i="35"/>
  <c r="X70" i="35"/>
  <c r="S70" i="35"/>
  <c r="K70" i="35"/>
  <c r="M70" i="35" s="1"/>
  <c r="J70" i="35"/>
  <c r="I70" i="35"/>
  <c r="AW69" i="35"/>
  <c r="AR69" i="35"/>
  <c r="AM69" i="35"/>
  <c r="AH69" i="35"/>
  <c r="AC69" i="35"/>
  <c r="X69" i="35"/>
  <c r="S69" i="35"/>
  <c r="K69" i="35"/>
  <c r="M69" i="35" s="1"/>
  <c r="J69" i="35"/>
  <c r="I69" i="35"/>
  <c r="AW68" i="35"/>
  <c r="AR68" i="35"/>
  <c r="AM68" i="35"/>
  <c r="AH68" i="35"/>
  <c r="AC68" i="35"/>
  <c r="X68" i="35"/>
  <c r="S68" i="35"/>
  <c r="K68" i="35"/>
  <c r="M68" i="35" s="1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M67" i="35" s="1"/>
  <c r="J67" i="35"/>
  <c r="I67" i="35"/>
  <c r="H67" i="35"/>
  <c r="K33" i="34"/>
  <c r="J33" i="34"/>
  <c r="I33" i="34"/>
  <c r="K32" i="34"/>
  <c r="J32" i="34"/>
  <c r="I32" i="34"/>
  <c r="K31" i="34"/>
  <c r="J31" i="34"/>
  <c r="I31" i="34"/>
  <c r="K30" i="34"/>
  <c r="J30" i="34"/>
  <c r="I30" i="34"/>
  <c r="K29" i="34"/>
  <c r="J29" i="34"/>
  <c r="I29" i="34"/>
  <c r="K28" i="34"/>
  <c r="J28" i="34"/>
  <c r="I28" i="34"/>
  <c r="AX27" i="34"/>
  <c r="AS27" i="34"/>
  <c r="AN27" i="34"/>
  <c r="AI27" i="34"/>
  <c r="AD27" i="34"/>
  <c r="Y27" i="34"/>
  <c r="T27" i="34"/>
  <c r="K27" i="34"/>
  <c r="J27" i="34"/>
  <c r="I27" i="34"/>
  <c r="H2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K54" i="34"/>
  <c r="M54" i="34" s="1"/>
  <c r="J54" i="34"/>
  <c r="I54" i="34"/>
  <c r="AW53" i="34"/>
  <c r="AR53" i="34"/>
  <c r="AM53" i="34"/>
  <c r="AH53" i="34"/>
  <c r="AC53" i="34"/>
  <c r="X53" i="34"/>
  <c r="S53" i="34"/>
  <c r="K53" i="34"/>
  <c r="M53" i="34" s="1"/>
  <c r="J53" i="34"/>
  <c r="I53" i="34"/>
  <c r="AW52" i="34"/>
  <c r="AR52" i="34"/>
  <c r="AM52" i="34"/>
  <c r="AH52" i="34"/>
  <c r="AC52" i="34"/>
  <c r="X52" i="34"/>
  <c r="S52" i="34"/>
  <c r="K52" i="34"/>
  <c r="M52" i="34" s="1"/>
  <c r="J52" i="34"/>
  <c r="I52" i="34"/>
  <c r="AW51" i="34"/>
  <c r="AR51" i="34"/>
  <c r="AM51" i="34"/>
  <c r="AH51" i="34"/>
  <c r="AC51" i="34"/>
  <c r="X51" i="34"/>
  <c r="S51" i="34"/>
  <c r="K51" i="34"/>
  <c r="M51" i="34" s="1"/>
  <c r="J51" i="34"/>
  <c r="I51" i="34"/>
  <c r="AW50" i="34"/>
  <c r="AR50" i="34"/>
  <c r="AM50" i="34"/>
  <c r="AH50" i="34"/>
  <c r="AC50" i="34"/>
  <c r="X50" i="34"/>
  <c r="S50" i="34"/>
  <c r="K50" i="34"/>
  <c r="M50" i="34" s="1"/>
  <c r="J50" i="34"/>
  <c r="I50" i="34"/>
  <c r="AW49" i="34"/>
  <c r="AR49" i="34"/>
  <c r="AM49" i="34"/>
  <c r="AH49" i="34"/>
  <c r="AC49" i="34"/>
  <c r="X49" i="34"/>
  <c r="S49" i="34"/>
  <c r="K49" i="34"/>
  <c r="M49" i="34" s="1"/>
  <c r="J49" i="34"/>
  <c r="I49" i="34"/>
  <c r="AW48" i="34"/>
  <c r="AR48" i="34"/>
  <c r="AM48" i="34"/>
  <c r="AH48" i="34"/>
  <c r="AC48" i="34"/>
  <c r="X48" i="34"/>
  <c r="S48" i="34"/>
  <c r="K48" i="34"/>
  <c r="M48" i="34" s="1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M47" i="34" s="1"/>
  <c r="J47" i="34"/>
  <c r="I47" i="34"/>
  <c r="H4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S76" i="34"/>
  <c r="AW75" i="34"/>
  <c r="AR75" i="34"/>
  <c r="AM75" i="34"/>
  <c r="AH75" i="34"/>
  <c r="AC75" i="34"/>
  <c r="X75" i="34"/>
  <c r="S75" i="34"/>
  <c r="AW74" i="34"/>
  <c r="AR74" i="34"/>
  <c r="AM74" i="34"/>
  <c r="AH74" i="34"/>
  <c r="AC74" i="34"/>
  <c r="X74" i="34"/>
  <c r="S74" i="34"/>
  <c r="K74" i="34"/>
  <c r="M74" i="34" s="1"/>
  <c r="J74" i="34"/>
  <c r="I74" i="34"/>
  <c r="AW73" i="34"/>
  <c r="AR73" i="34"/>
  <c r="AM73" i="34"/>
  <c r="AH73" i="34"/>
  <c r="AC73" i="34"/>
  <c r="X73" i="34"/>
  <c r="S73" i="34"/>
  <c r="K73" i="34"/>
  <c r="M73" i="34" s="1"/>
  <c r="J73" i="34"/>
  <c r="I73" i="34"/>
  <c r="AW72" i="34"/>
  <c r="AR72" i="34"/>
  <c r="AM72" i="34"/>
  <c r="AH72" i="34"/>
  <c r="AC72" i="34"/>
  <c r="X72" i="34"/>
  <c r="S72" i="34"/>
  <c r="K72" i="34"/>
  <c r="M72" i="34" s="1"/>
  <c r="J72" i="34"/>
  <c r="I72" i="34"/>
  <c r="AW71" i="34"/>
  <c r="AR71" i="34"/>
  <c r="AM71" i="34"/>
  <c r="AH71" i="34"/>
  <c r="AC71" i="34"/>
  <c r="X71" i="34"/>
  <c r="S71" i="34"/>
  <c r="K71" i="34"/>
  <c r="M71" i="34" s="1"/>
  <c r="J71" i="34"/>
  <c r="I71" i="34"/>
  <c r="AW70" i="34"/>
  <c r="AR70" i="34"/>
  <c r="AM70" i="34"/>
  <c r="AH70" i="34"/>
  <c r="AC70" i="34"/>
  <c r="X70" i="34"/>
  <c r="S70" i="34"/>
  <c r="K70" i="34"/>
  <c r="M70" i="34" s="1"/>
  <c r="J70" i="34"/>
  <c r="I70" i="34"/>
  <c r="AW69" i="34"/>
  <c r="AR69" i="34"/>
  <c r="AM69" i="34"/>
  <c r="AH69" i="34"/>
  <c r="AC69" i="34"/>
  <c r="X69" i="34"/>
  <c r="S69" i="34"/>
  <c r="K69" i="34"/>
  <c r="M69" i="34" s="1"/>
  <c r="J69" i="34"/>
  <c r="I69" i="34"/>
  <c r="AW68" i="34"/>
  <c r="AR68" i="34"/>
  <c r="AM68" i="34"/>
  <c r="AH68" i="34"/>
  <c r="AC68" i="34"/>
  <c r="X68" i="34"/>
  <c r="S68" i="34"/>
  <c r="K68" i="34"/>
  <c r="M68" i="34" s="1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K67" i="34"/>
  <c r="L67" i="34" s="1"/>
  <c r="J67" i="34"/>
  <c r="I67" i="34"/>
  <c r="H67" i="34"/>
  <c r="K65" i="33"/>
  <c r="J65" i="33"/>
  <c r="I65" i="33"/>
  <c r="K64" i="33"/>
  <c r="J64" i="33"/>
  <c r="I64" i="33"/>
  <c r="K63" i="33"/>
  <c r="J63" i="33"/>
  <c r="I63" i="33"/>
  <c r="K62" i="33"/>
  <c r="J62" i="33"/>
  <c r="I62" i="33"/>
  <c r="K61" i="33"/>
  <c r="J61" i="33"/>
  <c r="I61" i="33"/>
  <c r="K60" i="33"/>
  <c r="J60" i="33"/>
  <c r="I60" i="33"/>
  <c r="K59" i="33"/>
  <c r="J59" i="33"/>
  <c r="I59" i="33"/>
  <c r="K58" i="33"/>
  <c r="J58" i="33"/>
  <c r="I58" i="33"/>
  <c r="K57" i="33"/>
  <c r="J57" i="33"/>
  <c r="I57" i="33"/>
  <c r="K56" i="33"/>
  <c r="J56" i="33"/>
  <c r="I56" i="33"/>
  <c r="K55" i="33"/>
  <c r="J55" i="33"/>
  <c r="I55" i="33"/>
  <c r="K54" i="33"/>
  <c r="J54" i="33"/>
  <c r="I54" i="33"/>
  <c r="K53" i="33"/>
  <c r="J53" i="33"/>
  <c r="I53" i="33"/>
  <c r="K52" i="33"/>
  <c r="J52" i="33"/>
  <c r="I52" i="33"/>
  <c r="K51" i="33"/>
  <c r="J51" i="33"/>
  <c r="I51" i="33"/>
  <c r="K50" i="33"/>
  <c r="J50" i="33"/>
  <c r="I50" i="33"/>
  <c r="K49" i="33"/>
  <c r="J49" i="33"/>
  <c r="I49" i="33"/>
  <c r="K48" i="33"/>
  <c r="J48" i="33"/>
  <c r="I48" i="33"/>
  <c r="K47" i="33"/>
  <c r="J47" i="33"/>
  <c r="I47" i="33"/>
  <c r="K46" i="33"/>
  <c r="J46" i="33"/>
  <c r="I46" i="33"/>
  <c r="K45" i="33"/>
  <c r="J45" i="33"/>
  <c r="I45" i="33"/>
  <c r="K44" i="33"/>
  <c r="J44" i="33"/>
  <c r="I44" i="33"/>
  <c r="K43" i="33"/>
  <c r="J43" i="33"/>
  <c r="I43" i="33"/>
  <c r="AX42" i="33"/>
  <c r="AS42" i="33"/>
  <c r="AN42" i="33"/>
  <c r="AI42" i="33"/>
  <c r="AD42" i="33"/>
  <c r="Y42" i="33"/>
  <c r="T42" i="33"/>
  <c r="K42" i="33"/>
  <c r="J42" i="33"/>
  <c r="I42" i="33"/>
  <c r="H4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AW100" i="33"/>
  <c r="AR100" i="33"/>
  <c r="AM100" i="33"/>
  <c r="AH100" i="33"/>
  <c r="AC100" i="33"/>
  <c r="X100" i="33"/>
  <c r="S100" i="33"/>
  <c r="K100" i="33"/>
  <c r="M100" i="33" s="1"/>
  <c r="J100" i="33"/>
  <c r="I100" i="33"/>
  <c r="AW99" i="33"/>
  <c r="AR99" i="33"/>
  <c r="AM99" i="33"/>
  <c r="AH99" i="33"/>
  <c r="AC99" i="33"/>
  <c r="X99" i="33"/>
  <c r="S99" i="33"/>
  <c r="K99" i="33"/>
  <c r="M99" i="33" s="1"/>
  <c r="J99" i="33"/>
  <c r="I99" i="33"/>
  <c r="AW98" i="33"/>
  <c r="AR98" i="33"/>
  <c r="AM98" i="33"/>
  <c r="AH98" i="33"/>
  <c r="AC98" i="33"/>
  <c r="X98" i="33"/>
  <c r="S98" i="33"/>
  <c r="K98" i="33"/>
  <c r="M98" i="33" s="1"/>
  <c r="J98" i="33"/>
  <c r="I98" i="33"/>
  <c r="AW97" i="33"/>
  <c r="AR97" i="33"/>
  <c r="AM97" i="33"/>
  <c r="AH97" i="33"/>
  <c r="AC97" i="33"/>
  <c r="X97" i="33"/>
  <c r="S97" i="33"/>
  <c r="M97" i="33"/>
  <c r="K97" i="33"/>
  <c r="J97" i="33"/>
  <c r="I97" i="33"/>
  <c r="AW96" i="33"/>
  <c r="AR96" i="33"/>
  <c r="AM96" i="33"/>
  <c r="AH96" i="33"/>
  <c r="AC96" i="33"/>
  <c r="X96" i="33"/>
  <c r="S96" i="33"/>
  <c r="K96" i="33"/>
  <c r="M96" i="33" s="1"/>
  <c r="J96" i="33"/>
  <c r="I96" i="33"/>
  <c r="AW95" i="33"/>
  <c r="AR95" i="33"/>
  <c r="AM95" i="33"/>
  <c r="AH95" i="33"/>
  <c r="AC95" i="33"/>
  <c r="X95" i="33"/>
  <c r="S95" i="33"/>
  <c r="K95" i="33"/>
  <c r="M95" i="33" s="1"/>
  <c r="J95" i="33"/>
  <c r="I95" i="33"/>
  <c r="AW94" i="33"/>
  <c r="AR94" i="33"/>
  <c r="AM94" i="33"/>
  <c r="AH94" i="33"/>
  <c r="AC94" i="33"/>
  <c r="X94" i="33"/>
  <c r="S94" i="33"/>
  <c r="K94" i="33"/>
  <c r="M94" i="33" s="1"/>
  <c r="J94" i="33"/>
  <c r="I94" i="33"/>
  <c r="AW93" i="33"/>
  <c r="AR93" i="33"/>
  <c r="AM93" i="33"/>
  <c r="AH93" i="33"/>
  <c r="AC93" i="33"/>
  <c r="X93" i="33"/>
  <c r="S93" i="33"/>
  <c r="K93" i="33"/>
  <c r="M93" i="33" s="1"/>
  <c r="J93" i="33"/>
  <c r="I93" i="33"/>
  <c r="AW92" i="33"/>
  <c r="AR92" i="33"/>
  <c r="AM92" i="33"/>
  <c r="AH92" i="33"/>
  <c r="AC92" i="33"/>
  <c r="X92" i="33"/>
  <c r="S92" i="33"/>
  <c r="K92" i="33"/>
  <c r="M92" i="33" s="1"/>
  <c r="J92" i="33"/>
  <c r="I92" i="33"/>
  <c r="AW91" i="33"/>
  <c r="AR91" i="33"/>
  <c r="AM91" i="33"/>
  <c r="AH91" i="33"/>
  <c r="AC91" i="33"/>
  <c r="X91" i="33"/>
  <c r="S91" i="33"/>
  <c r="K91" i="33"/>
  <c r="M91" i="33" s="1"/>
  <c r="J91" i="33"/>
  <c r="I91" i="33"/>
  <c r="AW90" i="33"/>
  <c r="AR90" i="33"/>
  <c r="AM90" i="33"/>
  <c r="AH90" i="33"/>
  <c r="AC90" i="33"/>
  <c r="X90" i="33"/>
  <c r="S90" i="33"/>
  <c r="K90" i="33"/>
  <c r="M90" i="33" s="1"/>
  <c r="J90" i="33"/>
  <c r="I90" i="33"/>
  <c r="AW89" i="33"/>
  <c r="AR89" i="33"/>
  <c r="AM89" i="33"/>
  <c r="AH89" i="33"/>
  <c r="AC89" i="33"/>
  <c r="X89" i="33"/>
  <c r="S89" i="33"/>
  <c r="K89" i="33"/>
  <c r="M89" i="33" s="1"/>
  <c r="J89" i="33"/>
  <c r="I89" i="33"/>
  <c r="AW88" i="33"/>
  <c r="AR88" i="33"/>
  <c r="AM88" i="33"/>
  <c r="AH88" i="33"/>
  <c r="AC88" i="33"/>
  <c r="X88" i="33"/>
  <c r="S88" i="33"/>
  <c r="K88" i="33"/>
  <c r="M88" i="33" s="1"/>
  <c r="J88" i="33"/>
  <c r="I88" i="33"/>
  <c r="AW87" i="33"/>
  <c r="AR87" i="33"/>
  <c r="AM87" i="33"/>
  <c r="AH87" i="33"/>
  <c r="AC87" i="33"/>
  <c r="X87" i="33"/>
  <c r="S87" i="33"/>
  <c r="K87" i="33"/>
  <c r="M87" i="33" s="1"/>
  <c r="J87" i="33"/>
  <c r="I87" i="33"/>
  <c r="AW86" i="33"/>
  <c r="AR86" i="33"/>
  <c r="AM86" i="33"/>
  <c r="AH86" i="33"/>
  <c r="AC86" i="33"/>
  <c r="X86" i="33"/>
  <c r="S86" i="33"/>
  <c r="K86" i="33"/>
  <c r="M86" i="33" s="1"/>
  <c r="J86" i="33"/>
  <c r="I86" i="33"/>
  <c r="AW85" i="33"/>
  <c r="AR85" i="33"/>
  <c r="AM85" i="33"/>
  <c r="AH85" i="33"/>
  <c r="AC85" i="33"/>
  <c r="X85" i="33"/>
  <c r="S85" i="33"/>
  <c r="K85" i="33"/>
  <c r="M85" i="33" s="1"/>
  <c r="J85" i="33"/>
  <c r="I85" i="33"/>
  <c r="AW84" i="33"/>
  <c r="AR84" i="33"/>
  <c r="AM84" i="33"/>
  <c r="AH84" i="33"/>
  <c r="AC84" i="33"/>
  <c r="X84" i="33"/>
  <c r="S84" i="33"/>
  <c r="K84" i="33"/>
  <c r="M84" i="33" s="1"/>
  <c r="J84" i="33"/>
  <c r="I84" i="33"/>
  <c r="AW83" i="33"/>
  <c r="AR83" i="33"/>
  <c r="AM83" i="33"/>
  <c r="AH83" i="33"/>
  <c r="AC83" i="33"/>
  <c r="X83" i="33"/>
  <c r="S83" i="33"/>
  <c r="K83" i="33"/>
  <c r="M83" i="33" s="1"/>
  <c r="J83" i="33"/>
  <c r="I83" i="33"/>
  <c r="AW82" i="33"/>
  <c r="AR82" i="33"/>
  <c r="AM82" i="33"/>
  <c r="AH82" i="33"/>
  <c r="AC82" i="33"/>
  <c r="X82" i="33"/>
  <c r="S82" i="33"/>
  <c r="K82" i="33"/>
  <c r="M82" i="33" s="1"/>
  <c r="J82" i="33"/>
  <c r="I82" i="33"/>
  <c r="AW81" i="33"/>
  <c r="AR81" i="33"/>
  <c r="AM81" i="33"/>
  <c r="AH81" i="33"/>
  <c r="AC81" i="33"/>
  <c r="X81" i="33"/>
  <c r="S81" i="33"/>
  <c r="M81" i="33"/>
  <c r="K81" i="33"/>
  <c r="J81" i="33"/>
  <c r="I81" i="33"/>
  <c r="AW80" i="33"/>
  <c r="AR80" i="33"/>
  <c r="AM80" i="33"/>
  <c r="AH80" i="33"/>
  <c r="AC80" i="33"/>
  <c r="X80" i="33"/>
  <c r="S80" i="33"/>
  <c r="K80" i="33"/>
  <c r="M80" i="33" s="1"/>
  <c r="J80" i="33"/>
  <c r="I80" i="33"/>
  <c r="AW79" i="33"/>
  <c r="AR79" i="33"/>
  <c r="AM79" i="33"/>
  <c r="AH79" i="33"/>
  <c r="AC79" i="33"/>
  <c r="X79" i="33"/>
  <c r="S79" i="33"/>
  <c r="K79" i="33"/>
  <c r="M79" i="33" s="1"/>
  <c r="J79" i="33"/>
  <c r="I79" i="33"/>
  <c r="AW78" i="33"/>
  <c r="AR78" i="33"/>
  <c r="AM78" i="33"/>
  <c r="AH78" i="33"/>
  <c r="AC78" i="33"/>
  <c r="X78" i="33"/>
  <c r="S78" i="33"/>
  <c r="K78" i="33"/>
  <c r="M78" i="33" s="1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L77" i="33" s="1"/>
  <c r="J77" i="33"/>
  <c r="I77" i="33"/>
  <c r="H7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K135" i="33"/>
  <c r="M135" i="33" s="1"/>
  <c r="J135" i="33"/>
  <c r="I135" i="33"/>
  <c r="AW134" i="33"/>
  <c r="AR134" i="33"/>
  <c r="AM134" i="33"/>
  <c r="AH134" i="33"/>
  <c r="AC134" i="33"/>
  <c r="X134" i="33"/>
  <c r="S134" i="33"/>
  <c r="K134" i="33"/>
  <c r="M134" i="33" s="1"/>
  <c r="J134" i="33"/>
  <c r="I134" i="33"/>
  <c r="AW133" i="33"/>
  <c r="AR133" i="33"/>
  <c r="AM133" i="33"/>
  <c r="AH133" i="33"/>
  <c r="AC133" i="33"/>
  <c r="X133" i="33"/>
  <c r="S133" i="33"/>
  <c r="K133" i="33"/>
  <c r="M133" i="33" s="1"/>
  <c r="J133" i="33"/>
  <c r="I133" i="33"/>
  <c r="AW132" i="33"/>
  <c r="AR132" i="33"/>
  <c r="AM132" i="33"/>
  <c r="AH132" i="33"/>
  <c r="AC132" i="33"/>
  <c r="X132" i="33"/>
  <c r="S132" i="33"/>
  <c r="K132" i="33"/>
  <c r="M132" i="33" s="1"/>
  <c r="J132" i="33"/>
  <c r="I132" i="33"/>
  <c r="AW131" i="33"/>
  <c r="AR131" i="33"/>
  <c r="AM131" i="33"/>
  <c r="AH131" i="33"/>
  <c r="AC131" i="33"/>
  <c r="X131" i="33"/>
  <c r="S131" i="33"/>
  <c r="K131" i="33"/>
  <c r="M131" i="33" s="1"/>
  <c r="J131" i="33"/>
  <c r="I131" i="33"/>
  <c r="AW130" i="33"/>
  <c r="AR130" i="33"/>
  <c r="AM130" i="33"/>
  <c r="AH130" i="33"/>
  <c r="AC130" i="33"/>
  <c r="X130" i="33"/>
  <c r="S130" i="33"/>
  <c r="K130" i="33"/>
  <c r="M130" i="33" s="1"/>
  <c r="J130" i="33"/>
  <c r="I130" i="33"/>
  <c r="AW129" i="33"/>
  <c r="AR129" i="33"/>
  <c r="AM129" i="33"/>
  <c r="AH129" i="33"/>
  <c r="AC129" i="33"/>
  <c r="X129" i="33"/>
  <c r="S129" i="33"/>
  <c r="K129" i="33"/>
  <c r="M129" i="33" s="1"/>
  <c r="J129" i="33"/>
  <c r="I129" i="33"/>
  <c r="AW128" i="33"/>
  <c r="AR128" i="33"/>
  <c r="AM128" i="33"/>
  <c r="AH128" i="33"/>
  <c r="AC128" i="33"/>
  <c r="X128" i="33"/>
  <c r="S128" i="33"/>
  <c r="K128" i="33"/>
  <c r="M128" i="33" s="1"/>
  <c r="J128" i="33"/>
  <c r="I128" i="33"/>
  <c r="AW127" i="33"/>
  <c r="AR127" i="33"/>
  <c r="AM127" i="33"/>
  <c r="AH127" i="33"/>
  <c r="AC127" i="33"/>
  <c r="X127" i="33"/>
  <c r="S127" i="33"/>
  <c r="K127" i="33"/>
  <c r="M127" i="33" s="1"/>
  <c r="J127" i="33"/>
  <c r="I127" i="33"/>
  <c r="AW126" i="33"/>
  <c r="AR126" i="33"/>
  <c r="AM126" i="33"/>
  <c r="AH126" i="33"/>
  <c r="AC126" i="33"/>
  <c r="X126" i="33"/>
  <c r="S126" i="33"/>
  <c r="K126" i="33"/>
  <c r="M126" i="33" s="1"/>
  <c r="J126" i="33"/>
  <c r="I126" i="33"/>
  <c r="AW125" i="33"/>
  <c r="AR125" i="33"/>
  <c r="AM125" i="33"/>
  <c r="AH125" i="33"/>
  <c r="AC125" i="33"/>
  <c r="X125" i="33"/>
  <c r="S125" i="33"/>
  <c r="K125" i="33"/>
  <c r="M125" i="33" s="1"/>
  <c r="J125" i="33"/>
  <c r="I125" i="33"/>
  <c r="AW124" i="33"/>
  <c r="AR124" i="33"/>
  <c r="AM124" i="33"/>
  <c r="AH124" i="33"/>
  <c r="AC124" i="33"/>
  <c r="X124" i="33"/>
  <c r="S124" i="33"/>
  <c r="K124" i="33"/>
  <c r="M124" i="33" s="1"/>
  <c r="J124" i="33"/>
  <c r="I124" i="33"/>
  <c r="AW123" i="33"/>
  <c r="AR123" i="33"/>
  <c r="AM123" i="33"/>
  <c r="AH123" i="33"/>
  <c r="AC123" i="33"/>
  <c r="X123" i="33"/>
  <c r="S123" i="33"/>
  <c r="K123" i="33"/>
  <c r="M123" i="33" s="1"/>
  <c r="J123" i="33"/>
  <c r="I123" i="33"/>
  <c r="AW122" i="33"/>
  <c r="AR122" i="33"/>
  <c r="AM122" i="33"/>
  <c r="AH122" i="33"/>
  <c r="AC122" i="33"/>
  <c r="X122" i="33"/>
  <c r="S122" i="33"/>
  <c r="K122" i="33"/>
  <c r="M122" i="33" s="1"/>
  <c r="J122" i="33"/>
  <c r="I122" i="33"/>
  <c r="AW121" i="33"/>
  <c r="AR121" i="33"/>
  <c r="AM121" i="33"/>
  <c r="AH121" i="33"/>
  <c r="AC121" i="33"/>
  <c r="X121" i="33"/>
  <c r="S121" i="33"/>
  <c r="K121" i="33"/>
  <c r="M121" i="33" s="1"/>
  <c r="J121" i="33"/>
  <c r="I121" i="33"/>
  <c r="AW120" i="33"/>
  <c r="AR120" i="33"/>
  <c r="AM120" i="33"/>
  <c r="AH120" i="33"/>
  <c r="AC120" i="33"/>
  <c r="X120" i="33"/>
  <c r="S120" i="33"/>
  <c r="K120" i="33"/>
  <c r="M120" i="33" s="1"/>
  <c r="J120" i="33"/>
  <c r="I120" i="33"/>
  <c r="AW119" i="33"/>
  <c r="AR119" i="33"/>
  <c r="AM119" i="33"/>
  <c r="AH119" i="33"/>
  <c r="AC119" i="33"/>
  <c r="X119" i="33"/>
  <c r="S119" i="33"/>
  <c r="K119" i="33"/>
  <c r="M119" i="33" s="1"/>
  <c r="J119" i="33"/>
  <c r="I119" i="33"/>
  <c r="AW118" i="33"/>
  <c r="AR118" i="33"/>
  <c r="AM118" i="33"/>
  <c r="AH118" i="33"/>
  <c r="AC118" i="33"/>
  <c r="X118" i="33"/>
  <c r="S118" i="33"/>
  <c r="K118" i="33"/>
  <c r="M118" i="33" s="1"/>
  <c r="J118" i="33"/>
  <c r="I118" i="33"/>
  <c r="AW117" i="33"/>
  <c r="AR117" i="33"/>
  <c r="AM117" i="33"/>
  <c r="AH117" i="33"/>
  <c r="AC117" i="33"/>
  <c r="X117" i="33"/>
  <c r="S117" i="33"/>
  <c r="M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M116" i="33" s="1"/>
  <c r="J116" i="33"/>
  <c r="I116" i="33"/>
  <c r="AW115" i="33"/>
  <c r="AR115" i="33"/>
  <c r="AM115" i="33"/>
  <c r="AH115" i="33"/>
  <c r="AC115" i="33"/>
  <c r="X115" i="33"/>
  <c r="S115" i="33"/>
  <c r="K115" i="33"/>
  <c r="M115" i="33" s="1"/>
  <c r="J115" i="33"/>
  <c r="I115" i="33"/>
  <c r="AW114" i="33"/>
  <c r="AR114" i="33"/>
  <c r="AM114" i="33"/>
  <c r="AH114" i="33"/>
  <c r="AC114" i="33"/>
  <c r="X114" i="33"/>
  <c r="S114" i="33"/>
  <c r="K114" i="33"/>
  <c r="M114" i="33" s="1"/>
  <c r="J114" i="33"/>
  <c r="I114" i="33"/>
  <c r="AW113" i="33"/>
  <c r="AR113" i="33"/>
  <c r="AM113" i="33"/>
  <c r="AH113" i="33"/>
  <c r="AC113" i="33"/>
  <c r="X113" i="33"/>
  <c r="S113" i="33"/>
  <c r="K113" i="33"/>
  <c r="M113" i="33" s="1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M112" i="33"/>
  <c r="K112" i="33"/>
  <c r="L112" i="33" s="1"/>
  <c r="J112" i="33"/>
  <c r="I112" i="33"/>
  <c r="H112" i="33"/>
  <c r="AX27" i="31"/>
  <c r="AS27" i="31"/>
  <c r="AN27" i="31"/>
  <c r="AI27" i="31"/>
  <c r="AD27" i="31"/>
  <c r="Y27" i="31"/>
  <c r="T27" i="31"/>
  <c r="K27" i="31"/>
  <c r="J27" i="31"/>
  <c r="I27" i="31"/>
  <c r="H27" i="31"/>
  <c r="AW61" i="31"/>
  <c r="AR61" i="31"/>
  <c r="AM61" i="31"/>
  <c r="AH61" i="31"/>
  <c r="AC61" i="31"/>
  <c r="X61" i="31"/>
  <c r="S61" i="31"/>
  <c r="AW60" i="31"/>
  <c r="AR60" i="31"/>
  <c r="AM60" i="31"/>
  <c r="AH60" i="31"/>
  <c r="AC60" i="31"/>
  <c r="X60" i="31"/>
  <c r="S60" i="31"/>
  <c r="AW59" i="31"/>
  <c r="AR59" i="31"/>
  <c r="AM59" i="31"/>
  <c r="AH59" i="31"/>
  <c r="AC59" i="31"/>
  <c r="X59" i="31"/>
  <c r="S59" i="31"/>
  <c r="AW58" i="31"/>
  <c r="AR58" i="31"/>
  <c r="AM58" i="31"/>
  <c r="AH58" i="31"/>
  <c r="AC58" i="31"/>
  <c r="X58" i="31"/>
  <c r="S58" i="31"/>
  <c r="AW57" i="31"/>
  <c r="AR57" i="31"/>
  <c r="AM57" i="31"/>
  <c r="AH57" i="31"/>
  <c r="AC57" i="31"/>
  <c r="X57" i="31"/>
  <c r="S57" i="31"/>
  <c r="AW56" i="31"/>
  <c r="AR56" i="31"/>
  <c r="AM56" i="31"/>
  <c r="AH56" i="31"/>
  <c r="AC56" i="31"/>
  <c r="X56" i="31"/>
  <c r="S56" i="31"/>
  <c r="AW55" i="31"/>
  <c r="AR55" i="31"/>
  <c r="AM55" i="31"/>
  <c r="AH55" i="31"/>
  <c r="AC55" i="31"/>
  <c r="X55" i="31"/>
  <c r="S55" i="31"/>
  <c r="AW54" i="31"/>
  <c r="AR54" i="31"/>
  <c r="AM54" i="31"/>
  <c r="AH54" i="31"/>
  <c r="AC54" i="31"/>
  <c r="X54" i="31"/>
  <c r="S54" i="31"/>
  <c r="AW53" i="31"/>
  <c r="AR53" i="31"/>
  <c r="AM53" i="31"/>
  <c r="AH53" i="31"/>
  <c r="AC53" i="31"/>
  <c r="X53" i="31"/>
  <c r="S53" i="31"/>
  <c r="AW52" i="31"/>
  <c r="AR52" i="31"/>
  <c r="AM52" i="31"/>
  <c r="AH52" i="31"/>
  <c r="AC52" i="31"/>
  <c r="X52" i="31"/>
  <c r="S52" i="31"/>
  <c r="AW51" i="31"/>
  <c r="AR51" i="31"/>
  <c r="AM51" i="31"/>
  <c r="AH51" i="31"/>
  <c r="AC51" i="31"/>
  <c r="X51" i="31"/>
  <c r="S51" i="31"/>
  <c r="AW50" i="31"/>
  <c r="AR50" i="31"/>
  <c r="AM50" i="31"/>
  <c r="AH50" i="31"/>
  <c r="AC50" i="31"/>
  <c r="X50" i="31"/>
  <c r="S50" i="31"/>
  <c r="AW49" i="31"/>
  <c r="AR49" i="31"/>
  <c r="AM49" i="31"/>
  <c r="AH49" i="31"/>
  <c r="AC49" i="31"/>
  <c r="X49" i="31"/>
  <c r="S49" i="31"/>
  <c r="AW48" i="31"/>
  <c r="AR48" i="31"/>
  <c r="AM48" i="31"/>
  <c r="AH48" i="31"/>
  <c r="AC48" i="31"/>
  <c r="X48" i="31"/>
  <c r="S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T47" i="31"/>
  <c r="S47" i="31"/>
  <c r="K47" i="31"/>
  <c r="M47" i="31" s="1"/>
  <c r="J47" i="31"/>
  <c r="I47" i="31"/>
  <c r="H4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K36" i="32"/>
  <c r="J36" i="32"/>
  <c r="I36" i="32"/>
  <c r="K35" i="32"/>
  <c r="J35" i="32"/>
  <c r="I35" i="32"/>
  <c r="K34" i="32"/>
  <c r="J34" i="32"/>
  <c r="I34" i="32"/>
  <c r="K33" i="32"/>
  <c r="J33" i="32"/>
  <c r="I33" i="32"/>
  <c r="K32" i="32"/>
  <c r="J32" i="32"/>
  <c r="I32" i="32"/>
  <c r="K31" i="32"/>
  <c r="J31" i="32"/>
  <c r="I31" i="32"/>
  <c r="K30" i="32"/>
  <c r="J30" i="32"/>
  <c r="I30" i="32"/>
  <c r="K29" i="32"/>
  <c r="J29" i="32"/>
  <c r="I29" i="32"/>
  <c r="K28" i="32"/>
  <c r="J28" i="32"/>
  <c r="I28" i="32"/>
  <c r="AX27" i="32"/>
  <c r="AS27" i="32"/>
  <c r="AN27" i="32"/>
  <c r="AI27" i="32"/>
  <c r="AD27" i="32"/>
  <c r="Y27" i="32"/>
  <c r="T27" i="32"/>
  <c r="K27" i="32"/>
  <c r="J27" i="32"/>
  <c r="I27" i="32"/>
  <c r="H2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M56" i="32" s="1"/>
  <c r="J56" i="32"/>
  <c r="I56" i="32"/>
  <c r="AW55" i="32"/>
  <c r="AR55" i="32"/>
  <c r="AM55" i="32"/>
  <c r="AH55" i="32"/>
  <c r="AC55" i="32"/>
  <c r="X55" i="32"/>
  <c r="S55" i="32"/>
  <c r="K55" i="32"/>
  <c r="M55" i="32" s="1"/>
  <c r="J55" i="32"/>
  <c r="I55" i="32"/>
  <c r="AW54" i="32"/>
  <c r="AR54" i="32"/>
  <c r="AM54" i="32"/>
  <c r="AH54" i="32"/>
  <c r="AC54" i="32"/>
  <c r="X54" i="32"/>
  <c r="S54" i="32"/>
  <c r="K54" i="32"/>
  <c r="M54" i="32" s="1"/>
  <c r="J54" i="32"/>
  <c r="I54" i="32"/>
  <c r="AW53" i="32"/>
  <c r="AR53" i="32"/>
  <c r="AM53" i="32"/>
  <c r="AH53" i="32"/>
  <c r="AC53" i="32"/>
  <c r="X53" i="32"/>
  <c r="S53" i="32"/>
  <c r="K53" i="32"/>
  <c r="M53" i="32" s="1"/>
  <c r="J53" i="32"/>
  <c r="I53" i="32"/>
  <c r="AW52" i="32"/>
  <c r="AR52" i="32"/>
  <c r="AM52" i="32"/>
  <c r="AH52" i="32"/>
  <c r="AC52" i="32"/>
  <c r="X52" i="32"/>
  <c r="S52" i="32"/>
  <c r="K52" i="32"/>
  <c r="M52" i="32" s="1"/>
  <c r="J52" i="32"/>
  <c r="I52" i="32"/>
  <c r="AW51" i="32"/>
  <c r="AR51" i="32"/>
  <c r="AM51" i="32"/>
  <c r="AH51" i="32"/>
  <c r="AC51" i="32"/>
  <c r="X51" i="32"/>
  <c r="S51" i="32"/>
  <c r="K51" i="32"/>
  <c r="M51" i="32" s="1"/>
  <c r="J51" i="32"/>
  <c r="I51" i="32"/>
  <c r="AW50" i="32"/>
  <c r="AR50" i="32"/>
  <c r="AM50" i="32"/>
  <c r="AH50" i="32"/>
  <c r="AC50" i="32"/>
  <c r="X50" i="32"/>
  <c r="S50" i="32"/>
  <c r="K50" i="32"/>
  <c r="M50" i="32" s="1"/>
  <c r="J50" i="32"/>
  <c r="I50" i="32"/>
  <c r="AW49" i="32"/>
  <c r="AR49" i="32"/>
  <c r="AM49" i="32"/>
  <c r="AH49" i="32"/>
  <c r="AC49" i="32"/>
  <c r="X49" i="32"/>
  <c r="S49" i="32"/>
  <c r="M49" i="32"/>
  <c r="K49" i="32"/>
  <c r="J49" i="32"/>
  <c r="I49" i="32"/>
  <c r="AW48" i="32"/>
  <c r="AR48" i="32"/>
  <c r="AM48" i="32"/>
  <c r="AH48" i="32"/>
  <c r="AC48" i="32"/>
  <c r="X48" i="32"/>
  <c r="S48" i="32"/>
  <c r="K48" i="32"/>
  <c r="M48" i="32" s="1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M47" i="32" s="1"/>
  <c r="J47" i="32"/>
  <c r="I47" i="32"/>
  <c r="H4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AW76" i="32"/>
  <c r="AR76" i="32"/>
  <c r="AM76" i="32"/>
  <c r="AH76" i="32"/>
  <c r="AC76" i="32"/>
  <c r="X76" i="32"/>
  <c r="S76" i="32"/>
  <c r="K76" i="32"/>
  <c r="M76" i="32" s="1"/>
  <c r="J76" i="32"/>
  <c r="I76" i="32"/>
  <c r="AW75" i="32"/>
  <c r="AR75" i="32"/>
  <c r="AM75" i="32"/>
  <c r="AH75" i="32"/>
  <c r="AC75" i="32"/>
  <c r="X75" i="32"/>
  <c r="S75" i="32"/>
  <c r="K75" i="32"/>
  <c r="M75" i="32" s="1"/>
  <c r="J75" i="32"/>
  <c r="I75" i="32"/>
  <c r="AW74" i="32"/>
  <c r="AR74" i="32"/>
  <c r="AM74" i="32"/>
  <c r="AH74" i="32"/>
  <c r="AC74" i="32"/>
  <c r="X74" i="32"/>
  <c r="S74" i="32"/>
  <c r="K74" i="32"/>
  <c r="M74" i="32" s="1"/>
  <c r="J74" i="32"/>
  <c r="I74" i="32"/>
  <c r="AW73" i="32"/>
  <c r="AR73" i="32"/>
  <c r="AM73" i="32"/>
  <c r="AH73" i="32"/>
  <c r="AC73" i="32"/>
  <c r="X73" i="32"/>
  <c r="S73" i="32"/>
  <c r="K73" i="32"/>
  <c r="M73" i="32" s="1"/>
  <c r="J73" i="32"/>
  <c r="I73" i="32"/>
  <c r="AW72" i="32"/>
  <c r="AR72" i="32"/>
  <c r="AM72" i="32"/>
  <c r="AH72" i="32"/>
  <c r="AC72" i="32"/>
  <c r="X72" i="32"/>
  <c r="S72" i="32"/>
  <c r="K72" i="32"/>
  <c r="M72" i="32" s="1"/>
  <c r="J72" i="32"/>
  <c r="I72" i="32"/>
  <c r="AW71" i="32"/>
  <c r="AR71" i="32"/>
  <c r="AM71" i="32"/>
  <c r="AH71" i="32"/>
  <c r="AC71" i="32"/>
  <c r="X71" i="32"/>
  <c r="S71" i="32"/>
  <c r="K71" i="32"/>
  <c r="M71" i="32" s="1"/>
  <c r="J71" i="32"/>
  <c r="I71" i="32"/>
  <c r="AW70" i="32"/>
  <c r="AR70" i="32"/>
  <c r="AM70" i="32"/>
  <c r="AH70" i="32"/>
  <c r="AC70" i="32"/>
  <c r="X70" i="32"/>
  <c r="S70" i="32"/>
  <c r="K70" i="32"/>
  <c r="M70" i="32" s="1"/>
  <c r="J70" i="32"/>
  <c r="I70" i="32"/>
  <c r="AW69" i="32"/>
  <c r="AR69" i="32"/>
  <c r="AM69" i="32"/>
  <c r="AH69" i="32"/>
  <c r="AC69" i="32"/>
  <c r="X69" i="32"/>
  <c r="S69" i="32"/>
  <c r="K69" i="32"/>
  <c r="M69" i="32" s="1"/>
  <c r="J69" i="32"/>
  <c r="I69" i="32"/>
  <c r="AW68" i="32"/>
  <c r="AR68" i="32"/>
  <c r="AM68" i="32"/>
  <c r="AH68" i="32"/>
  <c r="AC68" i="32"/>
  <c r="X68" i="32"/>
  <c r="S68" i="32"/>
  <c r="K68" i="32"/>
  <c r="M68" i="32" s="1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K67" i="32"/>
  <c r="M67" i="32" s="1"/>
  <c r="J67" i="32"/>
  <c r="I67" i="32"/>
  <c r="H67" i="32"/>
  <c r="K33" i="30"/>
  <c r="J33" i="30"/>
  <c r="I33" i="30"/>
  <c r="K32" i="30"/>
  <c r="J32" i="30"/>
  <c r="I32" i="30"/>
  <c r="K31" i="30"/>
  <c r="J31" i="30"/>
  <c r="I31" i="30"/>
  <c r="K30" i="30"/>
  <c r="J30" i="30"/>
  <c r="I30" i="30"/>
  <c r="K29" i="30"/>
  <c r="J29" i="30"/>
  <c r="I29" i="30"/>
  <c r="K28" i="30"/>
  <c r="J28" i="30"/>
  <c r="I28" i="30"/>
  <c r="AX27" i="30"/>
  <c r="AS27" i="30"/>
  <c r="AN27" i="30"/>
  <c r="AI27" i="30"/>
  <c r="AD27" i="30"/>
  <c r="Y27" i="30"/>
  <c r="T27" i="30"/>
  <c r="K27" i="30"/>
  <c r="J27" i="30"/>
  <c r="I27" i="30"/>
  <c r="H2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M53" i="30" s="1"/>
  <c r="J53" i="30"/>
  <c r="I53" i="30"/>
  <c r="AW52" i="30"/>
  <c r="AR52" i="30"/>
  <c r="AM52" i="30"/>
  <c r="AH52" i="30"/>
  <c r="AC52" i="30"/>
  <c r="X52" i="30"/>
  <c r="S52" i="30"/>
  <c r="K52" i="30"/>
  <c r="M52" i="30" s="1"/>
  <c r="J52" i="30"/>
  <c r="I52" i="30"/>
  <c r="AW51" i="30"/>
  <c r="AR51" i="30"/>
  <c r="AM51" i="30"/>
  <c r="AH51" i="30"/>
  <c r="AC51" i="30"/>
  <c r="X51" i="30"/>
  <c r="S51" i="30"/>
  <c r="K51" i="30"/>
  <c r="M51" i="30" s="1"/>
  <c r="J51" i="30"/>
  <c r="I51" i="30"/>
  <c r="AW50" i="30"/>
  <c r="AR50" i="30"/>
  <c r="AM50" i="30"/>
  <c r="AH50" i="30"/>
  <c r="AC50" i="30"/>
  <c r="X50" i="30"/>
  <c r="S50" i="30"/>
  <c r="K50" i="30"/>
  <c r="M50" i="30" s="1"/>
  <c r="J50" i="30"/>
  <c r="I50" i="30"/>
  <c r="AW49" i="30"/>
  <c r="AR49" i="30"/>
  <c r="AM49" i="30"/>
  <c r="AH49" i="30"/>
  <c r="AC49" i="30"/>
  <c r="X49" i="30"/>
  <c r="S49" i="30"/>
  <c r="K49" i="30"/>
  <c r="M49" i="30" s="1"/>
  <c r="J49" i="30"/>
  <c r="I49" i="30"/>
  <c r="AW48" i="30"/>
  <c r="AR48" i="30"/>
  <c r="AM48" i="30"/>
  <c r="AH48" i="30"/>
  <c r="AC48" i="30"/>
  <c r="X48" i="30"/>
  <c r="S48" i="30"/>
  <c r="K48" i="30"/>
  <c r="M48" i="30" s="1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L47" i="30"/>
  <c r="K47" i="30"/>
  <c r="M47" i="30" s="1"/>
  <c r="J47" i="30"/>
  <c r="I47" i="30"/>
  <c r="H47" i="30"/>
  <c r="AW81" i="30"/>
  <c r="AR81" i="30"/>
  <c r="AM81" i="30"/>
  <c r="AH81" i="30"/>
  <c r="AC81" i="30"/>
  <c r="X81" i="30"/>
  <c r="S81" i="30"/>
  <c r="AW80" i="30"/>
  <c r="AR80" i="30"/>
  <c r="AM80" i="30"/>
  <c r="AH80" i="30"/>
  <c r="AC80" i="30"/>
  <c r="X80" i="30"/>
  <c r="S80" i="30"/>
  <c r="AW79" i="30"/>
  <c r="AR79" i="30"/>
  <c r="AM79" i="30"/>
  <c r="AH79" i="30"/>
  <c r="AC79" i="30"/>
  <c r="X79" i="30"/>
  <c r="S79" i="30"/>
  <c r="AW78" i="30"/>
  <c r="AR78" i="30"/>
  <c r="AM78" i="30"/>
  <c r="AH78" i="30"/>
  <c r="AC78" i="30"/>
  <c r="X78" i="30"/>
  <c r="S78" i="30"/>
  <c r="AW77" i="30"/>
  <c r="AR77" i="30"/>
  <c r="AM77" i="30"/>
  <c r="AH77" i="30"/>
  <c r="AC77" i="30"/>
  <c r="X77" i="30"/>
  <c r="S77" i="30"/>
  <c r="AW76" i="30"/>
  <c r="AR76" i="30"/>
  <c r="AM76" i="30"/>
  <c r="AH76" i="30"/>
  <c r="AC76" i="30"/>
  <c r="X76" i="30"/>
  <c r="S76" i="30"/>
  <c r="AW75" i="30"/>
  <c r="AR75" i="30"/>
  <c r="AM75" i="30"/>
  <c r="AH75" i="30"/>
  <c r="AC75" i="30"/>
  <c r="X75" i="30"/>
  <c r="S75" i="30"/>
  <c r="AW74" i="30"/>
  <c r="AR74" i="30"/>
  <c r="AM74" i="30"/>
  <c r="AH74" i="30"/>
  <c r="AC74" i="30"/>
  <c r="X74" i="30"/>
  <c r="S74" i="30"/>
  <c r="AW73" i="30"/>
  <c r="AR73" i="30"/>
  <c r="AM73" i="30"/>
  <c r="AH73" i="30"/>
  <c r="AC73" i="30"/>
  <c r="X73" i="30"/>
  <c r="S73" i="30"/>
  <c r="K73" i="30"/>
  <c r="M73" i="30" s="1"/>
  <c r="J73" i="30"/>
  <c r="I73" i="30"/>
  <c r="AW72" i="30"/>
  <c r="AR72" i="30"/>
  <c r="AM72" i="30"/>
  <c r="AH72" i="30"/>
  <c r="AC72" i="30"/>
  <c r="X72" i="30"/>
  <c r="S72" i="30"/>
  <c r="K72" i="30"/>
  <c r="M72" i="30" s="1"/>
  <c r="J72" i="30"/>
  <c r="I72" i="30"/>
  <c r="AW71" i="30"/>
  <c r="AR71" i="30"/>
  <c r="AM71" i="30"/>
  <c r="AH71" i="30"/>
  <c r="AC71" i="30"/>
  <c r="X71" i="30"/>
  <c r="S71" i="30"/>
  <c r="K71" i="30"/>
  <c r="M71" i="30" s="1"/>
  <c r="J71" i="30"/>
  <c r="I71" i="30"/>
  <c r="AW70" i="30"/>
  <c r="AR70" i="30"/>
  <c r="AM70" i="30"/>
  <c r="AH70" i="30"/>
  <c r="AC70" i="30"/>
  <c r="X70" i="30"/>
  <c r="S70" i="30"/>
  <c r="K70" i="30"/>
  <c r="M70" i="30" s="1"/>
  <c r="J70" i="30"/>
  <c r="I70" i="30"/>
  <c r="AW69" i="30"/>
  <c r="AR69" i="30"/>
  <c r="AM69" i="30"/>
  <c r="AH69" i="30"/>
  <c r="AC69" i="30"/>
  <c r="X69" i="30"/>
  <c r="S69" i="30"/>
  <c r="K69" i="30"/>
  <c r="M69" i="30" s="1"/>
  <c r="J69" i="30"/>
  <c r="I69" i="30"/>
  <c r="AW68" i="30"/>
  <c r="AR68" i="30"/>
  <c r="AM68" i="30"/>
  <c r="AH68" i="30"/>
  <c r="AC68" i="30"/>
  <c r="X68" i="30"/>
  <c r="S68" i="30"/>
  <c r="K68" i="30"/>
  <c r="M68" i="30" s="1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K67" i="30"/>
  <c r="M67" i="30" s="1"/>
  <c r="J67" i="30"/>
  <c r="I67" i="30"/>
  <c r="H67" i="30"/>
  <c r="K60" i="8"/>
  <c r="J60" i="8"/>
  <c r="I60" i="8"/>
  <c r="K59" i="8"/>
  <c r="J59" i="8"/>
  <c r="I59" i="8"/>
  <c r="K58" i="8"/>
  <c r="J58" i="8"/>
  <c r="I58" i="8"/>
  <c r="K57" i="8"/>
  <c r="J57" i="8"/>
  <c r="I57" i="8"/>
  <c r="K56" i="8"/>
  <c r="J56" i="8"/>
  <c r="I56" i="8"/>
  <c r="K55" i="8"/>
  <c r="J55" i="8"/>
  <c r="I55" i="8"/>
  <c r="K54" i="8"/>
  <c r="J54" i="8"/>
  <c r="I54" i="8"/>
  <c r="K53" i="8"/>
  <c r="J53" i="8"/>
  <c r="I53" i="8"/>
  <c r="K52" i="8"/>
  <c r="J52" i="8"/>
  <c r="I52" i="8"/>
  <c r="K51" i="8"/>
  <c r="J51" i="8"/>
  <c r="I51" i="8"/>
  <c r="K50" i="8"/>
  <c r="J50" i="8"/>
  <c r="I50" i="8"/>
  <c r="K49" i="8"/>
  <c r="J49" i="8"/>
  <c r="I49" i="8"/>
  <c r="K48" i="8"/>
  <c r="J48" i="8"/>
  <c r="I48" i="8"/>
  <c r="K47" i="8"/>
  <c r="J47" i="8"/>
  <c r="I47" i="8"/>
  <c r="K46" i="8"/>
  <c r="J46" i="8"/>
  <c r="I46" i="8"/>
  <c r="K45" i="8"/>
  <c r="J45" i="8"/>
  <c r="I45" i="8"/>
  <c r="K44" i="8"/>
  <c r="J44" i="8"/>
  <c r="I44" i="8"/>
  <c r="K43" i="8"/>
  <c r="J43" i="8"/>
  <c r="I43" i="8"/>
  <c r="AX42" i="8"/>
  <c r="AS42" i="8"/>
  <c r="AN42" i="8"/>
  <c r="AI42" i="8"/>
  <c r="AD42" i="8"/>
  <c r="Y42" i="8"/>
  <c r="T42" i="8"/>
  <c r="K42" i="8"/>
  <c r="J42" i="8"/>
  <c r="I42" i="8"/>
  <c r="H4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AW97" i="8"/>
  <c r="AR97" i="8"/>
  <c r="AM97" i="8"/>
  <c r="AH97" i="8"/>
  <c r="AC97" i="8"/>
  <c r="X97" i="8"/>
  <c r="S97" i="8"/>
  <c r="AW96" i="8"/>
  <c r="AR96" i="8"/>
  <c r="AM96" i="8"/>
  <c r="AH96" i="8"/>
  <c r="AC96" i="8"/>
  <c r="X96" i="8"/>
  <c r="S96" i="8"/>
  <c r="K96" i="8"/>
  <c r="M96" i="8" s="1"/>
  <c r="J96" i="8"/>
  <c r="I96" i="8"/>
  <c r="AW95" i="8"/>
  <c r="AR95" i="8"/>
  <c r="AM95" i="8"/>
  <c r="AH95" i="8"/>
  <c r="AC95" i="8"/>
  <c r="X95" i="8"/>
  <c r="S95" i="8"/>
  <c r="K95" i="8"/>
  <c r="M95" i="8" s="1"/>
  <c r="J95" i="8"/>
  <c r="I95" i="8"/>
  <c r="AW94" i="8"/>
  <c r="AR94" i="8"/>
  <c r="AM94" i="8"/>
  <c r="AH94" i="8"/>
  <c r="AC94" i="8"/>
  <c r="X94" i="8"/>
  <c r="S94" i="8"/>
  <c r="K94" i="8"/>
  <c r="M94" i="8" s="1"/>
  <c r="J94" i="8"/>
  <c r="I94" i="8"/>
  <c r="AW93" i="8"/>
  <c r="AR93" i="8"/>
  <c r="AM93" i="8"/>
  <c r="AH93" i="8"/>
  <c r="AC93" i="8"/>
  <c r="X93" i="8"/>
  <c r="S93" i="8"/>
  <c r="K93" i="8"/>
  <c r="M93" i="8" s="1"/>
  <c r="J93" i="8"/>
  <c r="I93" i="8"/>
  <c r="AW92" i="8"/>
  <c r="AR92" i="8"/>
  <c r="AM92" i="8"/>
  <c r="AH92" i="8"/>
  <c r="AC92" i="8"/>
  <c r="X92" i="8"/>
  <c r="S92" i="8"/>
  <c r="K92" i="8"/>
  <c r="M92" i="8" s="1"/>
  <c r="J92" i="8"/>
  <c r="I92" i="8"/>
  <c r="AW91" i="8"/>
  <c r="AR91" i="8"/>
  <c r="AM91" i="8"/>
  <c r="AH91" i="8"/>
  <c r="AC91" i="8"/>
  <c r="X91" i="8"/>
  <c r="S91" i="8"/>
  <c r="K91" i="8"/>
  <c r="M91" i="8" s="1"/>
  <c r="J91" i="8"/>
  <c r="I91" i="8"/>
  <c r="AW90" i="8"/>
  <c r="AR90" i="8"/>
  <c r="AM90" i="8"/>
  <c r="AH90" i="8"/>
  <c r="AC90" i="8"/>
  <c r="X90" i="8"/>
  <c r="S90" i="8"/>
  <c r="K90" i="8"/>
  <c r="M90" i="8" s="1"/>
  <c r="J90" i="8"/>
  <c r="I90" i="8"/>
  <c r="AW89" i="8"/>
  <c r="AR89" i="8"/>
  <c r="AM89" i="8"/>
  <c r="AH89" i="8"/>
  <c r="AC89" i="8"/>
  <c r="X89" i="8"/>
  <c r="S89" i="8"/>
  <c r="K89" i="8"/>
  <c r="M89" i="8" s="1"/>
  <c r="J89" i="8"/>
  <c r="I89" i="8"/>
  <c r="AW88" i="8"/>
  <c r="AR88" i="8"/>
  <c r="AM88" i="8"/>
  <c r="AH88" i="8"/>
  <c r="AC88" i="8"/>
  <c r="X88" i="8"/>
  <c r="S88" i="8"/>
  <c r="K88" i="8"/>
  <c r="M88" i="8" s="1"/>
  <c r="J88" i="8"/>
  <c r="I88" i="8"/>
  <c r="AW87" i="8"/>
  <c r="AR87" i="8"/>
  <c r="AM87" i="8"/>
  <c r="AH87" i="8"/>
  <c r="AC87" i="8"/>
  <c r="X87" i="8"/>
  <c r="S87" i="8"/>
  <c r="K87" i="8"/>
  <c r="M87" i="8" s="1"/>
  <c r="J87" i="8"/>
  <c r="I87" i="8"/>
  <c r="AW86" i="8"/>
  <c r="AR86" i="8"/>
  <c r="AM86" i="8"/>
  <c r="AH86" i="8"/>
  <c r="AC86" i="8"/>
  <c r="X86" i="8"/>
  <c r="S86" i="8"/>
  <c r="K86" i="8"/>
  <c r="M86" i="8" s="1"/>
  <c r="J86" i="8"/>
  <c r="I86" i="8"/>
  <c r="AW85" i="8"/>
  <c r="AR85" i="8"/>
  <c r="AM85" i="8"/>
  <c r="AH85" i="8"/>
  <c r="AC85" i="8"/>
  <c r="X85" i="8"/>
  <c r="S85" i="8"/>
  <c r="K85" i="8"/>
  <c r="M85" i="8" s="1"/>
  <c r="J85" i="8"/>
  <c r="I85" i="8"/>
  <c r="AW84" i="8"/>
  <c r="AR84" i="8"/>
  <c r="AM84" i="8"/>
  <c r="AH84" i="8"/>
  <c r="AC84" i="8"/>
  <c r="X84" i="8"/>
  <c r="S84" i="8"/>
  <c r="K84" i="8"/>
  <c r="M84" i="8" s="1"/>
  <c r="J84" i="8"/>
  <c r="I84" i="8"/>
  <c r="AW83" i="8"/>
  <c r="AR83" i="8"/>
  <c r="AM83" i="8"/>
  <c r="AH83" i="8"/>
  <c r="AC83" i="8"/>
  <c r="X83" i="8"/>
  <c r="S83" i="8"/>
  <c r="K83" i="8"/>
  <c r="M83" i="8" s="1"/>
  <c r="J83" i="8"/>
  <c r="I83" i="8"/>
  <c r="AW82" i="8"/>
  <c r="AR82" i="8"/>
  <c r="AM82" i="8"/>
  <c r="AH82" i="8"/>
  <c r="AC82" i="8"/>
  <c r="X82" i="8"/>
  <c r="S82" i="8"/>
  <c r="K82" i="8"/>
  <c r="M82" i="8" s="1"/>
  <c r="J82" i="8"/>
  <c r="I82" i="8"/>
  <c r="AW81" i="8"/>
  <c r="AR81" i="8"/>
  <c r="AM81" i="8"/>
  <c r="AH81" i="8"/>
  <c r="AC81" i="8"/>
  <c r="X81" i="8"/>
  <c r="S81" i="8"/>
  <c r="K81" i="8"/>
  <c r="M81" i="8" s="1"/>
  <c r="J81" i="8"/>
  <c r="I81" i="8"/>
  <c r="AW80" i="8"/>
  <c r="AR80" i="8"/>
  <c r="AM80" i="8"/>
  <c r="AH80" i="8"/>
  <c r="AC80" i="8"/>
  <c r="X80" i="8"/>
  <c r="S80" i="8"/>
  <c r="K80" i="8"/>
  <c r="M80" i="8" s="1"/>
  <c r="J80" i="8"/>
  <c r="I80" i="8"/>
  <c r="AW79" i="8"/>
  <c r="AR79" i="8"/>
  <c r="AM79" i="8"/>
  <c r="AH79" i="8"/>
  <c r="AC79" i="8"/>
  <c r="X79" i="8"/>
  <c r="S79" i="8"/>
  <c r="K79" i="8"/>
  <c r="M79" i="8" s="1"/>
  <c r="J79" i="8"/>
  <c r="I79" i="8"/>
  <c r="AW78" i="8"/>
  <c r="AR78" i="8"/>
  <c r="AM78" i="8"/>
  <c r="AH78" i="8"/>
  <c r="AC78" i="8"/>
  <c r="X78" i="8"/>
  <c r="S78" i="8"/>
  <c r="K78" i="8"/>
  <c r="M78" i="8" s="1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K77" i="8"/>
  <c r="L77" i="8" s="1"/>
  <c r="J77" i="8"/>
  <c r="I77" i="8"/>
  <c r="H7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AW133" i="8"/>
  <c r="AR133" i="8"/>
  <c r="AM133" i="8"/>
  <c r="AH133" i="8"/>
  <c r="AC133" i="8"/>
  <c r="X133" i="8"/>
  <c r="S133" i="8"/>
  <c r="AW132" i="8"/>
  <c r="AR132" i="8"/>
  <c r="AM132" i="8"/>
  <c r="AH132" i="8"/>
  <c r="AC132" i="8"/>
  <c r="X132" i="8"/>
  <c r="S132" i="8"/>
  <c r="M132" i="8"/>
  <c r="AW131" i="8"/>
  <c r="AR131" i="8"/>
  <c r="AM131" i="8"/>
  <c r="AH131" i="8"/>
  <c r="AC131" i="8"/>
  <c r="X131" i="8"/>
  <c r="S131" i="8"/>
  <c r="K131" i="8"/>
  <c r="M131" i="8" s="1"/>
  <c r="J131" i="8"/>
  <c r="I131" i="8"/>
  <c r="AW130" i="8"/>
  <c r="AR130" i="8"/>
  <c r="AM130" i="8"/>
  <c r="AH130" i="8"/>
  <c r="AC130" i="8"/>
  <c r="X130" i="8"/>
  <c r="S130" i="8"/>
  <c r="K130" i="8"/>
  <c r="M130" i="8" s="1"/>
  <c r="J130" i="8"/>
  <c r="I130" i="8"/>
  <c r="AW129" i="8"/>
  <c r="AR129" i="8"/>
  <c r="AM129" i="8"/>
  <c r="AH129" i="8"/>
  <c r="AC129" i="8"/>
  <c r="X129" i="8"/>
  <c r="S129" i="8"/>
  <c r="K129" i="8"/>
  <c r="M129" i="8" s="1"/>
  <c r="J129" i="8"/>
  <c r="I129" i="8"/>
  <c r="AW128" i="8"/>
  <c r="AR128" i="8"/>
  <c r="AM128" i="8"/>
  <c r="AH128" i="8"/>
  <c r="AC128" i="8"/>
  <c r="X128" i="8"/>
  <c r="S128" i="8"/>
  <c r="K128" i="8"/>
  <c r="M128" i="8" s="1"/>
  <c r="J128" i="8"/>
  <c r="I128" i="8"/>
  <c r="AW127" i="8"/>
  <c r="AR127" i="8"/>
  <c r="AM127" i="8"/>
  <c r="AH127" i="8"/>
  <c r="AC127" i="8"/>
  <c r="X127" i="8"/>
  <c r="S127" i="8"/>
  <c r="K127" i="8"/>
  <c r="M127" i="8" s="1"/>
  <c r="J127" i="8"/>
  <c r="I127" i="8"/>
  <c r="AW126" i="8"/>
  <c r="AR126" i="8"/>
  <c r="AM126" i="8"/>
  <c r="AH126" i="8"/>
  <c r="AC126" i="8"/>
  <c r="X126" i="8"/>
  <c r="S126" i="8"/>
  <c r="K126" i="8"/>
  <c r="M126" i="8" s="1"/>
  <c r="J126" i="8"/>
  <c r="I126" i="8"/>
  <c r="AW125" i="8"/>
  <c r="AR125" i="8"/>
  <c r="AM125" i="8"/>
  <c r="AH125" i="8"/>
  <c r="AC125" i="8"/>
  <c r="X125" i="8"/>
  <c r="S125" i="8"/>
  <c r="K125" i="8"/>
  <c r="M125" i="8" s="1"/>
  <c r="J125" i="8"/>
  <c r="I125" i="8"/>
  <c r="AW124" i="8"/>
  <c r="AR124" i="8"/>
  <c r="AM124" i="8"/>
  <c r="AH124" i="8"/>
  <c r="AC124" i="8"/>
  <c r="X124" i="8"/>
  <c r="S124" i="8"/>
  <c r="K124" i="8"/>
  <c r="M124" i="8" s="1"/>
  <c r="J124" i="8"/>
  <c r="I124" i="8"/>
  <c r="AW123" i="8"/>
  <c r="AR123" i="8"/>
  <c r="AM123" i="8"/>
  <c r="AH123" i="8"/>
  <c r="AC123" i="8"/>
  <c r="X123" i="8"/>
  <c r="S123" i="8"/>
  <c r="K123" i="8"/>
  <c r="M123" i="8" s="1"/>
  <c r="J123" i="8"/>
  <c r="I123" i="8"/>
  <c r="AW122" i="8"/>
  <c r="AR122" i="8"/>
  <c r="AM122" i="8"/>
  <c r="AH122" i="8"/>
  <c r="AC122" i="8"/>
  <c r="X122" i="8"/>
  <c r="S122" i="8"/>
  <c r="K122" i="8"/>
  <c r="M122" i="8" s="1"/>
  <c r="J122" i="8"/>
  <c r="I122" i="8"/>
  <c r="AW121" i="8"/>
  <c r="AR121" i="8"/>
  <c r="AM121" i="8"/>
  <c r="AH121" i="8"/>
  <c r="AC121" i="8"/>
  <c r="X121" i="8"/>
  <c r="S121" i="8"/>
  <c r="K121" i="8"/>
  <c r="M121" i="8" s="1"/>
  <c r="J121" i="8"/>
  <c r="I121" i="8"/>
  <c r="AW120" i="8"/>
  <c r="AR120" i="8"/>
  <c r="AM120" i="8"/>
  <c r="AH120" i="8"/>
  <c r="AC120" i="8"/>
  <c r="X120" i="8"/>
  <c r="S120" i="8"/>
  <c r="K120" i="8"/>
  <c r="M120" i="8" s="1"/>
  <c r="J120" i="8"/>
  <c r="I120" i="8"/>
  <c r="AW119" i="8"/>
  <c r="AR119" i="8"/>
  <c r="AM119" i="8"/>
  <c r="AH119" i="8"/>
  <c r="AC119" i="8"/>
  <c r="X119" i="8"/>
  <c r="S119" i="8"/>
  <c r="K119" i="8"/>
  <c r="M119" i="8" s="1"/>
  <c r="J119" i="8"/>
  <c r="I119" i="8"/>
  <c r="AW118" i="8"/>
  <c r="AR118" i="8"/>
  <c r="AM118" i="8"/>
  <c r="AH118" i="8"/>
  <c r="AC118" i="8"/>
  <c r="X118" i="8"/>
  <c r="S118" i="8"/>
  <c r="K118" i="8"/>
  <c r="M118" i="8" s="1"/>
  <c r="J118" i="8"/>
  <c r="I118" i="8"/>
  <c r="AW117" i="8"/>
  <c r="AR117" i="8"/>
  <c r="AM117" i="8"/>
  <c r="AH117" i="8"/>
  <c r="AC117" i="8"/>
  <c r="X117" i="8"/>
  <c r="S117" i="8"/>
  <c r="K117" i="8"/>
  <c r="M117" i="8" s="1"/>
  <c r="J117" i="8"/>
  <c r="I117" i="8"/>
  <c r="AW116" i="8"/>
  <c r="AR116" i="8"/>
  <c r="AM116" i="8"/>
  <c r="AH116" i="8"/>
  <c r="AC116" i="8"/>
  <c r="X116" i="8"/>
  <c r="S116" i="8"/>
  <c r="K116" i="8"/>
  <c r="M116" i="8" s="1"/>
  <c r="J116" i="8"/>
  <c r="I116" i="8"/>
  <c r="AW115" i="8"/>
  <c r="AR115" i="8"/>
  <c r="AM115" i="8"/>
  <c r="AH115" i="8"/>
  <c r="AC115" i="8"/>
  <c r="X115" i="8"/>
  <c r="S115" i="8"/>
  <c r="K115" i="8"/>
  <c r="M115" i="8" s="1"/>
  <c r="J115" i="8"/>
  <c r="I115" i="8"/>
  <c r="AW114" i="8"/>
  <c r="AR114" i="8"/>
  <c r="AM114" i="8"/>
  <c r="AH114" i="8"/>
  <c r="AC114" i="8"/>
  <c r="X114" i="8"/>
  <c r="S114" i="8"/>
  <c r="K114" i="8"/>
  <c r="M114" i="8" s="1"/>
  <c r="J114" i="8"/>
  <c r="I114" i="8"/>
  <c r="AW113" i="8"/>
  <c r="AR113" i="8"/>
  <c r="AM113" i="8"/>
  <c r="AH113" i="8"/>
  <c r="AC113" i="8"/>
  <c r="X113" i="8"/>
  <c r="S113" i="8"/>
  <c r="K113" i="8"/>
  <c r="M113" i="8" s="1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M112" i="8" s="1"/>
  <c r="J112" i="8"/>
  <c r="I112" i="8"/>
  <c r="H112" i="8"/>
  <c r="I147" i="8"/>
  <c r="J147" i="8"/>
  <c r="K147" i="8"/>
  <c r="M105" i="8" s="1"/>
  <c r="I148" i="8"/>
  <c r="J148" i="8"/>
  <c r="K148" i="8"/>
  <c r="I149" i="8"/>
  <c r="J149" i="8"/>
  <c r="K149" i="8"/>
  <c r="I150" i="8"/>
  <c r="J150" i="8"/>
  <c r="K150" i="8"/>
  <c r="I151" i="8"/>
  <c r="J151" i="8"/>
  <c r="K151" i="8"/>
  <c r="I152" i="8"/>
  <c r="J152" i="8"/>
  <c r="K152" i="8"/>
  <c r="I153" i="8"/>
  <c r="J153" i="8"/>
  <c r="K153" i="8"/>
  <c r="I154" i="8"/>
  <c r="J154" i="8"/>
  <c r="K154" i="8"/>
  <c r="I155" i="8"/>
  <c r="J155" i="8"/>
  <c r="K155" i="8"/>
  <c r="I156" i="8"/>
  <c r="J156" i="8"/>
  <c r="K156" i="8"/>
  <c r="I157" i="8"/>
  <c r="J157" i="8"/>
  <c r="K157" i="8"/>
  <c r="I158" i="8"/>
  <c r="J158" i="8"/>
  <c r="K158" i="8"/>
  <c r="I159" i="8"/>
  <c r="J159" i="8"/>
  <c r="K159" i="8"/>
  <c r="I160" i="8"/>
  <c r="J160" i="8"/>
  <c r="K160" i="8"/>
  <c r="I161" i="8"/>
  <c r="J161" i="8"/>
  <c r="K161" i="8"/>
  <c r="I162" i="8"/>
  <c r="J162" i="8"/>
  <c r="K162" i="8"/>
  <c r="I163" i="8"/>
  <c r="J163" i="8"/>
  <c r="K163" i="8"/>
  <c r="I164" i="8"/>
  <c r="J164" i="8"/>
  <c r="K164" i="8"/>
  <c r="I165" i="8"/>
  <c r="J165" i="8"/>
  <c r="K165" i="8"/>
  <c r="I166" i="8"/>
  <c r="J166" i="8"/>
  <c r="K166" i="8"/>
  <c r="Z2" i="32"/>
  <c r="AE2" i="32" s="1"/>
  <c r="AJ2" i="32" s="1"/>
  <c r="AO2" i="32" s="1"/>
  <c r="AT2" i="32" s="1"/>
  <c r="P22" i="32" s="1"/>
  <c r="U2" i="32"/>
  <c r="U2" i="31"/>
  <c r="Z2" i="31" s="1"/>
  <c r="AE2" i="31" s="1"/>
  <c r="AJ2" i="31" s="1"/>
  <c r="AO2" i="31" s="1"/>
  <c r="AT2" i="31" s="1"/>
  <c r="P22" i="31" s="1"/>
  <c r="U2" i="33"/>
  <c r="Z2" i="33" s="1"/>
  <c r="AE2" i="33" s="1"/>
  <c r="AJ2" i="33" s="1"/>
  <c r="AO2" i="33" s="1"/>
  <c r="AT2" i="33" s="1"/>
  <c r="P37" i="33" s="1"/>
  <c r="U2" i="34"/>
  <c r="Z2" i="34" s="1"/>
  <c r="AE2" i="34" s="1"/>
  <c r="AJ2" i="34" s="1"/>
  <c r="AO2" i="34" s="1"/>
  <c r="AT2" i="34" s="1"/>
  <c r="P22" i="34" s="1"/>
  <c r="U2" i="35"/>
  <c r="Z2" i="35" s="1"/>
  <c r="AE2" i="35" s="1"/>
  <c r="AJ2" i="35" s="1"/>
  <c r="AO2" i="35" s="1"/>
  <c r="AT2" i="35" s="1"/>
  <c r="P22" i="35" s="1"/>
  <c r="U2" i="36"/>
  <c r="Z2" i="36" s="1"/>
  <c r="AE2" i="36" s="1"/>
  <c r="AJ2" i="36" s="1"/>
  <c r="AO2" i="36" s="1"/>
  <c r="AT2" i="36" s="1"/>
  <c r="P22" i="36" s="1"/>
  <c r="U2" i="37"/>
  <c r="Z2" i="37" s="1"/>
  <c r="AE2" i="37" s="1"/>
  <c r="AJ2" i="37" s="1"/>
  <c r="AO2" i="37" s="1"/>
  <c r="AT2" i="37" s="1"/>
  <c r="P22" i="37" s="1"/>
  <c r="U2" i="30"/>
  <c r="Z2" i="30" s="1"/>
  <c r="AE2" i="30" s="1"/>
  <c r="AJ2" i="30" s="1"/>
  <c r="AO2" i="30" s="1"/>
  <c r="AT2" i="30" s="1"/>
  <c r="P22" i="30" s="1"/>
  <c r="AJ2" i="8"/>
  <c r="AO2" i="8" s="1"/>
  <c r="AT2" i="8" s="1"/>
  <c r="P37" i="8" s="1"/>
  <c r="U2" i="8"/>
  <c r="Z2" i="8" s="1"/>
  <c r="AE2" i="8" s="1"/>
  <c r="H7" i="8"/>
  <c r="I7" i="8"/>
  <c r="J7" i="8"/>
  <c r="K7" i="8"/>
  <c r="T7" i="8"/>
  <c r="Y7" i="8"/>
  <c r="AD7" i="8"/>
  <c r="AI7" i="8"/>
  <c r="AN7" i="8"/>
  <c r="AS7" i="8"/>
  <c r="AX7" i="8"/>
  <c r="I8" i="8"/>
  <c r="J8" i="8"/>
  <c r="K8" i="8"/>
  <c r="I9" i="8"/>
  <c r="J9" i="8"/>
  <c r="K9" i="8"/>
  <c r="I10" i="8"/>
  <c r="J10" i="8"/>
  <c r="K10" i="8"/>
  <c r="I11" i="8"/>
  <c r="J11" i="8"/>
  <c r="K11" i="8"/>
  <c r="I12" i="8"/>
  <c r="J12" i="8"/>
  <c r="K12" i="8"/>
  <c r="I13" i="8"/>
  <c r="J13" i="8"/>
  <c r="K13" i="8"/>
  <c r="I14" i="8"/>
  <c r="J14" i="8"/>
  <c r="K14" i="8"/>
  <c r="I15" i="8"/>
  <c r="J15" i="8"/>
  <c r="K15" i="8"/>
  <c r="I16" i="8"/>
  <c r="J16" i="8"/>
  <c r="K16" i="8"/>
  <c r="I17" i="8"/>
  <c r="J17" i="8"/>
  <c r="K17" i="8"/>
  <c r="I18" i="8"/>
  <c r="J18" i="8"/>
  <c r="K18" i="8"/>
  <c r="I19" i="8"/>
  <c r="J19" i="8"/>
  <c r="K19" i="8"/>
  <c r="I20" i="8"/>
  <c r="J20" i="8"/>
  <c r="K20" i="8"/>
  <c r="I21" i="8"/>
  <c r="J21" i="8"/>
  <c r="K21" i="8"/>
  <c r="I22" i="8"/>
  <c r="J22" i="8"/>
  <c r="K22" i="8"/>
  <c r="I23" i="8"/>
  <c r="J23" i="8"/>
  <c r="K23" i="8"/>
  <c r="I24" i="8"/>
  <c r="J24" i="8"/>
  <c r="K24" i="8"/>
  <c r="I25" i="8"/>
  <c r="J25" i="8"/>
  <c r="K25" i="8"/>
  <c r="I43" i="5"/>
  <c r="I42" i="5"/>
  <c r="I41" i="5"/>
  <c r="I40" i="5"/>
  <c r="I39" i="5"/>
  <c r="I38" i="5"/>
  <c r="I37" i="5"/>
  <c r="I36" i="5"/>
  <c r="U43" i="3"/>
  <c r="U42" i="3"/>
  <c r="U41" i="3"/>
  <c r="U40" i="3"/>
  <c r="U39" i="3"/>
  <c r="U38" i="3"/>
  <c r="U37" i="3"/>
  <c r="U36" i="3"/>
  <c r="L47" i="37" l="1"/>
  <c r="L67" i="37"/>
  <c r="L67" i="32"/>
  <c r="L67" i="30"/>
  <c r="M141" i="8"/>
  <c r="M20" i="8"/>
  <c r="M138" i="8"/>
  <c r="L47" i="34"/>
  <c r="M77" i="33"/>
  <c r="M135" i="8"/>
  <c r="M29" i="37"/>
  <c r="M30" i="37"/>
  <c r="M31" i="37"/>
  <c r="M28" i="37"/>
  <c r="M32" i="37"/>
  <c r="M28" i="36"/>
  <c r="M29" i="36"/>
  <c r="M30" i="36"/>
  <c r="M31" i="36"/>
  <c r="L27" i="35"/>
  <c r="B34" i="39" s="1"/>
  <c r="M28" i="35"/>
  <c r="M32" i="35"/>
  <c r="M29" i="35"/>
  <c r="M33" i="35"/>
  <c r="M30" i="35"/>
  <c r="M31" i="35"/>
  <c r="M30" i="34"/>
  <c r="M34" i="34"/>
  <c r="M31" i="34"/>
  <c r="M28" i="34"/>
  <c r="M32" i="34"/>
  <c r="M29" i="34"/>
  <c r="M33" i="34"/>
  <c r="M43" i="33"/>
  <c r="M47" i="33"/>
  <c r="M51" i="33"/>
  <c r="M55" i="33"/>
  <c r="M59" i="33"/>
  <c r="M63" i="33"/>
  <c r="M44" i="33"/>
  <c r="M48" i="33"/>
  <c r="M52" i="33"/>
  <c r="M56" i="33"/>
  <c r="M60" i="33"/>
  <c r="M64" i="33"/>
  <c r="M45" i="33"/>
  <c r="M49" i="33"/>
  <c r="M53" i="33"/>
  <c r="M57" i="33"/>
  <c r="M61" i="33"/>
  <c r="M65" i="33"/>
  <c r="M46" i="33"/>
  <c r="M50" i="33"/>
  <c r="M54" i="33"/>
  <c r="M58" i="33"/>
  <c r="M62" i="33"/>
  <c r="L27" i="32"/>
  <c r="B30" i="39" s="1"/>
  <c r="M28" i="32"/>
  <c r="M32" i="32"/>
  <c r="M36" i="32"/>
  <c r="M29" i="32"/>
  <c r="M33" i="32"/>
  <c r="M30" i="32"/>
  <c r="M34" i="32"/>
  <c r="M31" i="32"/>
  <c r="M35" i="32"/>
  <c r="M29" i="30"/>
  <c r="M31" i="30"/>
  <c r="M28" i="30"/>
  <c r="M32" i="30"/>
  <c r="M33" i="30"/>
  <c r="M30" i="30"/>
  <c r="M46" i="8"/>
  <c r="M50" i="8"/>
  <c r="M54" i="8"/>
  <c r="M16" i="8"/>
  <c r="L47" i="32"/>
  <c r="M12" i="8"/>
  <c r="L112" i="8"/>
  <c r="M98" i="8"/>
  <c r="M101" i="8"/>
  <c r="M104" i="8"/>
  <c r="M58" i="8"/>
  <c r="M23" i="8"/>
  <c r="M19" i="8"/>
  <c r="M15" i="8"/>
  <c r="M11" i="8"/>
  <c r="M43" i="8"/>
  <c r="M47" i="8"/>
  <c r="M51" i="8"/>
  <c r="M55" i="8"/>
  <c r="M59" i="8"/>
  <c r="M134" i="8"/>
  <c r="M137" i="8"/>
  <c r="M140" i="8"/>
  <c r="M40" i="37"/>
  <c r="M41" i="37"/>
  <c r="M39" i="37"/>
  <c r="M36" i="37"/>
  <c r="M33" i="37"/>
  <c r="M27" i="37"/>
  <c r="M37" i="37"/>
  <c r="M35" i="37"/>
  <c r="M38" i="37"/>
  <c r="M34" i="37"/>
  <c r="M24" i="8"/>
  <c r="M70" i="8"/>
  <c r="M67" i="8"/>
  <c r="M64" i="8"/>
  <c r="M71" i="8"/>
  <c r="M68" i="8"/>
  <c r="M65" i="8"/>
  <c r="M69" i="8"/>
  <c r="M66" i="8"/>
  <c r="M63" i="8"/>
  <c r="M42" i="8"/>
  <c r="M62" i="8"/>
  <c r="L27" i="37"/>
  <c r="B36" i="39" s="1"/>
  <c r="M18" i="8"/>
  <c r="M14" i="8"/>
  <c r="M10" i="8"/>
  <c r="M97" i="8"/>
  <c r="M100" i="8"/>
  <c r="M103" i="8"/>
  <c r="M106" i="8"/>
  <c r="M44" i="8"/>
  <c r="M48" i="8"/>
  <c r="M52" i="8"/>
  <c r="M56" i="8"/>
  <c r="M60" i="8"/>
  <c r="L42" i="33"/>
  <c r="B32" i="39" s="1"/>
  <c r="M69" i="33"/>
  <c r="M66" i="33"/>
  <c r="M42" i="33"/>
  <c r="M68" i="33"/>
  <c r="M71" i="33"/>
  <c r="M67" i="33"/>
  <c r="M70" i="33"/>
  <c r="M39" i="36"/>
  <c r="M36" i="36"/>
  <c r="M33" i="36"/>
  <c r="M27" i="36"/>
  <c r="M34" i="36"/>
  <c r="M37" i="36"/>
  <c r="M40" i="36"/>
  <c r="M32" i="36"/>
  <c r="M35" i="36"/>
  <c r="M38" i="36"/>
  <c r="M41" i="36"/>
  <c r="M22" i="8"/>
  <c r="M26" i="8"/>
  <c r="M133" i="8"/>
  <c r="M136" i="8"/>
  <c r="M139" i="8"/>
  <c r="M39" i="30"/>
  <c r="M36" i="30"/>
  <c r="M27" i="30"/>
  <c r="M34" i="30"/>
  <c r="M37" i="30"/>
  <c r="M40" i="30"/>
  <c r="M35" i="30"/>
  <c r="M38" i="30"/>
  <c r="M41" i="30"/>
  <c r="M39" i="35"/>
  <c r="M36" i="35"/>
  <c r="M27" i="35"/>
  <c r="M34" i="35"/>
  <c r="M37" i="35"/>
  <c r="M40" i="35"/>
  <c r="M35" i="35"/>
  <c r="M38" i="35"/>
  <c r="M41" i="35"/>
  <c r="M21" i="8"/>
  <c r="M17" i="8"/>
  <c r="M13" i="8"/>
  <c r="M9" i="8"/>
  <c r="M45" i="8"/>
  <c r="M49" i="8"/>
  <c r="M53" i="8"/>
  <c r="M57" i="8"/>
  <c r="M61" i="8"/>
  <c r="M39" i="31"/>
  <c r="M36" i="31"/>
  <c r="M33" i="31"/>
  <c r="M30" i="31"/>
  <c r="M27" i="31"/>
  <c r="M37" i="31"/>
  <c r="M40" i="31"/>
  <c r="M29" i="31"/>
  <c r="M32" i="31"/>
  <c r="M35" i="31"/>
  <c r="M38" i="31"/>
  <c r="M41" i="31"/>
  <c r="M31" i="31"/>
  <c r="M28" i="31"/>
  <c r="M34" i="31"/>
  <c r="M39" i="34"/>
  <c r="M36" i="34"/>
  <c r="M27" i="34"/>
  <c r="M38" i="34"/>
  <c r="M37" i="34"/>
  <c r="M40" i="34"/>
  <c r="M35" i="34"/>
  <c r="M41" i="34"/>
  <c r="M8" i="8"/>
  <c r="M25" i="8"/>
  <c r="M35" i="8"/>
  <c r="M32" i="8"/>
  <c r="M29" i="8"/>
  <c r="M36" i="8"/>
  <c r="M33" i="8"/>
  <c r="M30" i="8"/>
  <c r="M27" i="8"/>
  <c r="M34" i="8"/>
  <c r="M31" i="8"/>
  <c r="M28" i="8"/>
  <c r="M7" i="8"/>
  <c r="M99" i="8"/>
  <c r="M102" i="8"/>
  <c r="M39" i="32"/>
  <c r="M27" i="32"/>
  <c r="M37" i="32"/>
  <c r="M40" i="32"/>
  <c r="M38" i="32"/>
  <c r="M41" i="32"/>
  <c r="L27" i="34"/>
  <c r="B33" i="39" s="1"/>
  <c r="L42" i="8"/>
  <c r="B28" i="39" s="1"/>
  <c r="L7" i="8"/>
  <c r="C28" i="39" s="1"/>
  <c r="L27" i="36"/>
  <c r="B35" i="39" s="1"/>
  <c r="L47" i="36"/>
  <c r="L47" i="35"/>
  <c r="L67" i="35"/>
  <c r="M67" i="34"/>
  <c r="L27" i="31"/>
  <c r="B31" i="39" s="1"/>
  <c r="L47" i="31"/>
  <c r="L67" i="31"/>
  <c r="L27" i="30"/>
  <c r="B29" i="39" s="1"/>
  <c r="M77" i="8"/>
  <c r="K170" i="33"/>
  <c r="J170" i="33"/>
  <c r="I170" i="33"/>
  <c r="K169" i="33"/>
  <c r="J169" i="33"/>
  <c r="I169" i="33"/>
  <c r="K168" i="33"/>
  <c r="J168" i="33"/>
  <c r="I168" i="33"/>
  <c r="K167" i="33"/>
  <c r="J167" i="33"/>
  <c r="I167" i="33"/>
  <c r="K166" i="33"/>
  <c r="J166" i="33"/>
  <c r="I166" i="33"/>
  <c r="K165" i="33"/>
  <c r="J165" i="33"/>
  <c r="I165" i="33"/>
  <c r="K164" i="33"/>
  <c r="J164" i="33"/>
  <c r="I164" i="33"/>
  <c r="K163" i="33"/>
  <c r="J163" i="33"/>
  <c r="I163" i="33"/>
  <c r="K162" i="33"/>
  <c r="J162" i="33"/>
  <c r="I162" i="33"/>
  <c r="K161" i="33"/>
  <c r="J161" i="33"/>
  <c r="I161" i="33"/>
  <c r="K160" i="33"/>
  <c r="J160" i="33"/>
  <c r="I160" i="33"/>
  <c r="K159" i="33"/>
  <c r="J159" i="33"/>
  <c r="I159" i="33"/>
  <c r="K158" i="33"/>
  <c r="J158" i="33"/>
  <c r="I158" i="33"/>
  <c r="K157" i="33"/>
  <c r="J157" i="33"/>
  <c r="I157" i="33"/>
  <c r="K156" i="33"/>
  <c r="J156" i="33"/>
  <c r="I156" i="33"/>
  <c r="K155" i="33"/>
  <c r="J155" i="33"/>
  <c r="I155" i="33"/>
  <c r="K154" i="33"/>
  <c r="J154" i="33"/>
  <c r="I154" i="33"/>
  <c r="K153" i="33"/>
  <c r="J153" i="33"/>
  <c r="I153" i="33"/>
  <c r="K152" i="33"/>
  <c r="J152" i="33"/>
  <c r="I152" i="33"/>
  <c r="K151" i="33"/>
  <c r="J151" i="33"/>
  <c r="I151" i="33"/>
  <c r="K150" i="33"/>
  <c r="J150" i="33"/>
  <c r="I150" i="33"/>
  <c r="K149" i="33"/>
  <c r="J149" i="33"/>
  <c r="I149" i="33"/>
  <c r="K148" i="33"/>
  <c r="J148" i="33"/>
  <c r="I148" i="33"/>
  <c r="R35" i="5" l="1"/>
  <c r="R34" i="5"/>
  <c r="R33" i="5"/>
  <c r="R32" i="5"/>
  <c r="R31" i="5"/>
  <c r="R30" i="5"/>
  <c r="T5" i="5" l="1"/>
  <c r="M316" i="43"/>
  <c r="K316" i="43"/>
  <c r="I316" i="43"/>
  <c r="M315" i="43"/>
  <c r="K315" i="43"/>
  <c r="I315" i="43"/>
  <c r="M314" i="43"/>
  <c r="K314" i="43"/>
  <c r="I314" i="43"/>
  <c r="M313" i="43"/>
  <c r="K313" i="43"/>
  <c r="I313" i="43"/>
  <c r="M312" i="43"/>
  <c r="K312" i="43"/>
  <c r="I312" i="43"/>
  <c r="M311" i="43"/>
  <c r="K311" i="43"/>
  <c r="I311" i="43"/>
  <c r="M310" i="43"/>
  <c r="K310" i="43"/>
  <c r="I310" i="43"/>
  <c r="M309" i="43"/>
  <c r="K309" i="43"/>
  <c r="I309" i="43"/>
  <c r="M308" i="43"/>
  <c r="K308" i="43"/>
  <c r="I308" i="43"/>
  <c r="M307" i="43"/>
  <c r="K307" i="43"/>
  <c r="I307" i="43"/>
  <c r="M306" i="43"/>
  <c r="K306" i="43"/>
  <c r="I306" i="43"/>
  <c r="M305" i="43"/>
  <c r="K305" i="43"/>
  <c r="I305" i="43"/>
  <c r="M304" i="43"/>
  <c r="K304" i="43"/>
  <c r="I304" i="43"/>
  <c r="M303" i="43"/>
  <c r="K303" i="43"/>
  <c r="I303" i="43"/>
  <c r="M302" i="43"/>
  <c r="K302" i="43"/>
  <c r="I302" i="43"/>
  <c r="M301" i="43"/>
  <c r="K301" i="43"/>
  <c r="I301" i="43"/>
  <c r="M300" i="43"/>
  <c r="K300" i="43"/>
  <c r="I300" i="43"/>
  <c r="M299" i="43"/>
  <c r="K299" i="43"/>
  <c r="I299" i="43"/>
  <c r="M298" i="43"/>
  <c r="K298" i="43"/>
  <c r="I298" i="43"/>
  <c r="M297" i="43"/>
  <c r="K297" i="43"/>
  <c r="I297" i="43"/>
  <c r="M296" i="43"/>
  <c r="K296" i="43"/>
  <c r="I296" i="43"/>
  <c r="M295" i="43"/>
  <c r="K295" i="43"/>
  <c r="I295" i="43"/>
  <c r="M294" i="43"/>
  <c r="K294" i="43"/>
  <c r="I294" i="43"/>
  <c r="M293" i="43"/>
  <c r="K293" i="43"/>
  <c r="I293" i="43"/>
  <c r="M292" i="43"/>
  <c r="K292" i="43"/>
  <c r="I292" i="43"/>
  <c r="M291" i="43"/>
  <c r="K291" i="43"/>
  <c r="I291" i="43"/>
  <c r="M290" i="43"/>
  <c r="K290" i="43"/>
  <c r="I290" i="43"/>
  <c r="M289" i="43"/>
  <c r="K289" i="43"/>
  <c r="I289" i="43"/>
  <c r="M288" i="43"/>
  <c r="K288" i="43"/>
  <c r="I288" i="43"/>
  <c r="M287" i="43"/>
  <c r="K287" i="43"/>
  <c r="I287" i="43"/>
  <c r="M286" i="43"/>
  <c r="K286" i="43"/>
  <c r="I286" i="43"/>
  <c r="M285" i="43"/>
  <c r="K285" i="43"/>
  <c r="I285" i="43"/>
  <c r="M284" i="43"/>
  <c r="K284" i="43"/>
  <c r="I284" i="43"/>
  <c r="M283" i="43"/>
  <c r="K283" i="43"/>
  <c r="I283" i="43"/>
  <c r="M282" i="43"/>
  <c r="K282" i="43"/>
  <c r="I282" i="43"/>
  <c r="M281" i="43"/>
  <c r="K281" i="43"/>
  <c r="I281" i="43"/>
  <c r="M280" i="43"/>
  <c r="K280" i="43"/>
  <c r="I280" i="43"/>
  <c r="M279" i="43"/>
  <c r="K279" i="43"/>
  <c r="I279" i="43"/>
  <c r="M278" i="43"/>
  <c r="K278" i="43"/>
  <c r="I278" i="43"/>
  <c r="M277" i="43"/>
  <c r="K277" i="43"/>
  <c r="I277" i="43"/>
  <c r="M276" i="43"/>
  <c r="K276" i="43"/>
  <c r="I276" i="43"/>
  <c r="M275" i="43"/>
  <c r="K275" i="43"/>
  <c r="I275" i="43"/>
  <c r="M274" i="43"/>
  <c r="K274" i="43"/>
  <c r="I274" i="43"/>
  <c r="M273" i="43"/>
  <c r="K273" i="43"/>
  <c r="I273" i="43"/>
  <c r="M272" i="43"/>
  <c r="K272" i="43"/>
  <c r="I272" i="43"/>
  <c r="M271" i="43"/>
  <c r="K271" i="43"/>
  <c r="I271" i="43"/>
  <c r="M270" i="43"/>
  <c r="K270" i="43"/>
  <c r="I270" i="43"/>
  <c r="M269" i="43"/>
  <c r="K269" i="43"/>
  <c r="I269" i="43"/>
  <c r="M268" i="43"/>
  <c r="K268" i="43"/>
  <c r="I268" i="43"/>
  <c r="M267" i="43"/>
  <c r="K267" i="43"/>
  <c r="I267" i="43"/>
  <c r="M266" i="43"/>
  <c r="K266" i="43"/>
  <c r="I266" i="43"/>
  <c r="M265" i="43"/>
  <c r="K265" i="43"/>
  <c r="I265" i="43"/>
  <c r="M264" i="43"/>
  <c r="K264" i="43"/>
  <c r="I264" i="43"/>
  <c r="M263" i="43"/>
  <c r="K263" i="43"/>
  <c r="I263" i="43"/>
  <c r="M262" i="43"/>
  <c r="K262" i="43"/>
  <c r="I262" i="43"/>
  <c r="M261" i="43"/>
  <c r="K261" i="43"/>
  <c r="I261" i="43"/>
  <c r="M260" i="43"/>
  <c r="K260" i="43"/>
  <c r="I260" i="43"/>
  <c r="M259" i="43"/>
  <c r="K259" i="43"/>
  <c r="I259" i="43"/>
  <c r="M258" i="43"/>
  <c r="K258" i="43"/>
  <c r="I258" i="43"/>
  <c r="M257" i="43"/>
  <c r="K257" i="43"/>
  <c r="I257" i="43"/>
  <c r="M316" i="29"/>
  <c r="K316" i="29"/>
  <c r="I316" i="29"/>
  <c r="M315" i="29"/>
  <c r="K315" i="29"/>
  <c r="I315" i="29"/>
  <c r="M314" i="29"/>
  <c r="K314" i="29"/>
  <c r="I314" i="29"/>
  <c r="M313" i="29"/>
  <c r="K313" i="29"/>
  <c r="I313" i="29"/>
  <c r="M312" i="29"/>
  <c r="K312" i="29"/>
  <c r="I312" i="29"/>
  <c r="M311" i="29"/>
  <c r="K311" i="29"/>
  <c r="I311" i="29"/>
  <c r="M310" i="29"/>
  <c r="K310" i="29"/>
  <c r="I310" i="29"/>
  <c r="M309" i="29"/>
  <c r="K309" i="29"/>
  <c r="I309" i="29"/>
  <c r="M308" i="29"/>
  <c r="K308" i="29"/>
  <c r="I308" i="29"/>
  <c r="M307" i="29"/>
  <c r="K307" i="29"/>
  <c r="I307" i="29"/>
  <c r="M306" i="29"/>
  <c r="K306" i="29"/>
  <c r="I306" i="29"/>
  <c r="M305" i="29"/>
  <c r="K305" i="29"/>
  <c r="I305" i="29"/>
  <c r="M304" i="29"/>
  <c r="K304" i="29"/>
  <c r="I304" i="29"/>
  <c r="M303" i="29"/>
  <c r="K303" i="29"/>
  <c r="I303" i="29"/>
  <c r="M302" i="29"/>
  <c r="K302" i="29"/>
  <c r="I302" i="29"/>
  <c r="M301" i="29"/>
  <c r="K301" i="29"/>
  <c r="I301" i="29"/>
  <c r="M300" i="29"/>
  <c r="K300" i="29"/>
  <c r="I300" i="29"/>
  <c r="M299" i="29"/>
  <c r="K299" i="29"/>
  <c r="I299" i="29"/>
  <c r="M298" i="29"/>
  <c r="K298" i="29"/>
  <c r="I298" i="29"/>
  <c r="M297" i="29"/>
  <c r="K297" i="29"/>
  <c r="I297" i="29"/>
  <c r="M296" i="29"/>
  <c r="K296" i="29"/>
  <c r="I296" i="29"/>
  <c r="M295" i="29"/>
  <c r="K295" i="29"/>
  <c r="I295" i="29"/>
  <c r="M294" i="29"/>
  <c r="K294" i="29"/>
  <c r="I294" i="29"/>
  <c r="M293" i="29"/>
  <c r="K293" i="29"/>
  <c r="I293" i="29"/>
  <c r="M292" i="29"/>
  <c r="K292" i="29"/>
  <c r="I292" i="29"/>
  <c r="M291" i="29"/>
  <c r="K291" i="29"/>
  <c r="I291" i="29"/>
  <c r="M290" i="29"/>
  <c r="K290" i="29"/>
  <c r="I290" i="29"/>
  <c r="M289" i="29"/>
  <c r="K289" i="29"/>
  <c r="I289" i="29"/>
  <c r="M288" i="29"/>
  <c r="K288" i="29"/>
  <c r="I288" i="29"/>
  <c r="M287" i="29"/>
  <c r="K287" i="29"/>
  <c r="I287" i="29"/>
  <c r="M286" i="29"/>
  <c r="K286" i="29"/>
  <c r="I286" i="29"/>
  <c r="M285" i="29"/>
  <c r="K285" i="29"/>
  <c r="I285" i="29"/>
  <c r="M284" i="29"/>
  <c r="K284" i="29"/>
  <c r="I284" i="29"/>
  <c r="M283" i="29"/>
  <c r="K283" i="29"/>
  <c r="I283" i="29"/>
  <c r="M282" i="29"/>
  <c r="K282" i="29"/>
  <c r="I282" i="29"/>
  <c r="M281" i="29"/>
  <c r="K281" i="29"/>
  <c r="I281" i="29"/>
  <c r="M280" i="29"/>
  <c r="K280" i="29"/>
  <c r="I280" i="29"/>
  <c r="M279" i="29"/>
  <c r="K279" i="29"/>
  <c r="I279" i="29"/>
  <c r="M278" i="29"/>
  <c r="K278" i="29"/>
  <c r="I278" i="29"/>
  <c r="M277" i="29"/>
  <c r="K277" i="29"/>
  <c r="I277" i="29"/>
  <c r="M276" i="29"/>
  <c r="K276" i="29"/>
  <c r="I276" i="29"/>
  <c r="M275" i="29"/>
  <c r="K275" i="29"/>
  <c r="I275" i="29"/>
  <c r="M274" i="29"/>
  <c r="K274" i="29"/>
  <c r="I274" i="29"/>
  <c r="M273" i="29"/>
  <c r="K273" i="29"/>
  <c r="I273" i="29"/>
  <c r="M272" i="29"/>
  <c r="K272" i="29"/>
  <c r="I272" i="29"/>
  <c r="M271" i="29"/>
  <c r="K271" i="29"/>
  <c r="I271" i="29"/>
  <c r="M270" i="29"/>
  <c r="K270" i="29"/>
  <c r="I270" i="29"/>
  <c r="M269" i="29"/>
  <c r="K269" i="29"/>
  <c r="I269" i="29"/>
  <c r="M268" i="29"/>
  <c r="K268" i="29"/>
  <c r="I268" i="29"/>
  <c r="M267" i="29"/>
  <c r="K267" i="29"/>
  <c r="I267" i="29"/>
  <c r="M266" i="29"/>
  <c r="K266" i="29"/>
  <c r="I266" i="29"/>
  <c r="M265" i="29"/>
  <c r="K265" i="29"/>
  <c r="I265" i="29"/>
  <c r="M264" i="29"/>
  <c r="K264" i="29"/>
  <c r="I264" i="29"/>
  <c r="M263" i="29"/>
  <c r="K263" i="29"/>
  <c r="I263" i="29"/>
  <c r="M262" i="29"/>
  <c r="K262" i="29"/>
  <c r="I262" i="29"/>
  <c r="M261" i="29"/>
  <c r="K261" i="29"/>
  <c r="I261" i="29"/>
  <c r="M260" i="29"/>
  <c r="K260" i="29"/>
  <c r="I260" i="29"/>
  <c r="M259" i="29"/>
  <c r="K259" i="29"/>
  <c r="I259" i="29"/>
  <c r="M258" i="29"/>
  <c r="K258" i="29"/>
  <c r="I258" i="29"/>
  <c r="M257" i="29"/>
  <c r="K257" i="29"/>
  <c r="I257" i="29"/>
  <c r="I35" i="5" l="1"/>
  <c r="I34" i="5"/>
  <c r="I33" i="5"/>
  <c r="I32" i="5"/>
  <c r="I31" i="5"/>
  <c r="I30" i="5"/>
  <c r="K5" i="5" s="1"/>
  <c r="I29" i="5"/>
  <c r="I28" i="5"/>
  <c r="I27" i="5"/>
  <c r="I26" i="5"/>
  <c r="I25" i="5"/>
  <c r="I24" i="5"/>
  <c r="I23" i="5"/>
  <c r="R29" i="5"/>
  <c r="R28" i="5"/>
  <c r="R27" i="5"/>
  <c r="R26" i="5"/>
  <c r="R25" i="5"/>
  <c r="R24" i="5"/>
  <c r="R23" i="5"/>
  <c r="M41" i="41" l="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56" i="43" l="1"/>
  <c r="K256" i="43"/>
  <c r="I256" i="43"/>
  <c r="M255" i="43"/>
  <c r="K255" i="43"/>
  <c r="I255" i="43"/>
  <c r="M254" i="43"/>
  <c r="K254" i="43"/>
  <c r="I254" i="43"/>
  <c r="M253" i="43"/>
  <c r="K253" i="43"/>
  <c r="I253" i="43"/>
  <c r="M252" i="43"/>
  <c r="K252" i="43"/>
  <c r="I252" i="43"/>
  <c r="M251" i="43"/>
  <c r="K251" i="43"/>
  <c r="I251" i="43"/>
  <c r="M250" i="43"/>
  <c r="K250" i="43"/>
  <c r="I250" i="43"/>
  <c r="M249" i="43"/>
  <c r="K249" i="43"/>
  <c r="I249" i="43"/>
  <c r="M248" i="43"/>
  <c r="K248" i="43"/>
  <c r="I248" i="43"/>
  <c r="M247" i="43"/>
  <c r="K247" i="43"/>
  <c r="I247" i="43"/>
  <c r="M246" i="43"/>
  <c r="K246" i="43"/>
  <c r="I246" i="43"/>
  <c r="M245" i="43"/>
  <c r="K245" i="43"/>
  <c r="I245" i="43"/>
  <c r="M244" i="43"/>
  <c r="K244" i="43"/>
  <c r="I244" i="43"/>
  <c r="M243" i="43"/>
  <c r="K243" i="43"/>
  <c r="I243" i="43"/>
  <c r="M242" i="43"/>
  <c r="K242" i="43"/>
  <c r="I242" i="43"/>
  <c r="M241" i="43"/>
  <c r="K241" i="43"/>
  <c r="I241" i="43"/>
  <c r="M240" i="43"/>
  <c r="K240" i="43"/>
  <c r="I240" i="43"/>
  <c r="M239" i="43"/>
  <c r="K239" i="43"/>
  <c r="I239" i="43"/>
  <c r="M238" i="43"/>
  <c r="K238" i="43"/>
  <c r="I238" i="43"/>
  <c r="M237" i="43"/>
  <c r="K237" i="43"/>
  <c r="I237" i="43"/>
  <c r="M236" i="43"/>
  <c r="K236" i="43"/>
  <c r="I236" i="43"/>
  <c r="M235" i="43"/>
  <c r="K235" i="43"/>
  <c r="I235" i="43"/>
  <c r="M234" i="43"/>
  <c r="K234" i="43"/>
  <c r="I234" i="43"/>
  <c r="M233" i="43"/>
  <c r="K233" i="43"/>
  <c r="I233" i="43"/>
  <c r="M232" i="43"/>
  <c r="K232" i="43"/>
  <c r="I232" i="43"/>
  <c r="M231" i="43"/>
  <c r="K231" i="43"/>
  <c r="I231" i="43"/>
  <c r="M230" i="43"/>
  <c r="K230" i="43"/>
  <c r="I230" i="43"/>
  <c r="M229" i="43"/>
  <c r="K229" i="43"/>
  <c r="I229" i="43"/>
  <c r="M228" i="43"/>
  <c r="K228" i="43"/>
  <c r="I228" i="43"/>
  <c r="M227" i="43"/>
  <c r="K227" i="43"/>
  <c r="I227" i="43"/>
  <c r="M226" i="43"/>
  <c r="K226" i="43"/>
  <c r="I226" i="43"/>
  <c r="M225" i="43"/>
  <c r="K225" i="43"/>
  <c r="I225" i="43"/>
  <c r="M224" i="43"/>
  <c r="K224" i="43"/>
  <c r="I224" i="43"/>
  <c r="M223" i="43"/>
  <c r="K223" i="43"/>
  <c r="I223" i="43"/>
  <c r="M222" i="43"/>
  <c r="K222" i="43"/>
  <c r="I222" i="43"/>
  <c r="M221" i="43"/>
  <c r="K221" i="43"/>
  <c r="I221" i="43"/>
  <c r="M220" i="43"/>
  <c r="K220" i="43"/>
  <c r="I220" i="43"/>
  <c r="M219" i="43"/>
  <c r="K219" i="43"/>
  <c r="I219" i="43"/>
  <c r="M218" i="43"/>
  <c r="K218" i="43"/>
  <c r="I218" i="43"/>
  <c r="M217" i="43"/>
  <c r="K217" i="43"/>
  <c r="I217" i="43"/>
  <c r="M216" i="43"/>
  <c r="K216" i="43"/>
  <c r="I216" i="43"/>
  <c r="M215" i="43"/>
  <c r="K215" i="43"/>
  <c r="I215" i="43"/>
  <c r="M214" i="43"/>
  <c r="K214" i="43"/>
  <c r="I214" i="43"/>
  <c r="M213" i="43"/>
  <c r="K213" i="43"/>
  <c r="I213" i="43"/>
  <c r="M212" i="43"/>
  <c r="K212" i="43"/>
  <c r="I212" i="43"/>
  <c r="M211" i="43"/>
  <c r="K211" i="43"/>
  <c r="I211" i="43"/>
  <c r="M210" i="43"/>
  <c r="K210" i="43"/>
  <c r="I210" i="43"/>
  <c r="M209" i="43"/>
  <c r="K209" i="43"/>
  <c r="I209" i="43"/>
  <c r="M208" i="43"/>
  <c r="K208" i="43"/>
  <c r="I208" i="43"/>
  <c r="M207" i="43"/>
  <c r="K207" i="43"/>
  <c r="I207" i="43"/>
  <c r="M206" i="43"/>
  <c r="K206" i="43"/>
  <c r="I206" i="43"/>
  <c r="M205" i="43"/>
  <c r="K205" i="43"/>
  <c r="I205" i="43"/>
  <c r="M204" i="43"/>
  <c r="K204" i="43"/>
  <c r="I204" i="43"/>
  <c r="M203" i="43"/>
  <c r="K203" i="43"/>
  <c r="I203" i="43"/>
  <c r="M202" i="43"/>
  <c r="K202" i="43"/>
  <c r="I202" i="43"/>
  <c r="M201" i="43"/>
  <c r="K201" i="43"/>
  <c r="I201" i="43"/>
  <c r="M200" i="43"/>
  <c r="K200" i="43"/>
  <c r="I200" i="43"/>
  <c r="M199" i="43"/>
  <c r="K199" i="43"/>
  <c r="I199" i="43"/>
  <c r="M198" i="43"/>
  <c r="K198" i="43"/>
  <c r="I198" i="43"/>
  <c r="M197" i="43"/>
  <c r="K197" i="43"/>
  <c r="I197" i="43"/>
  <c r="M196" i="43"/>
  <c r="K196" i="43"/>
  <c r="I196" i="43"/>
  <c r="M195" i="43"/>
  <c r="K195" i="43"/>
  <c r="I195" i="43"/>
  <c r="M194" i="43"/>
  <c r="K194" i="43"/>
  <c r="I194" i="43"/>
  <c r="M193" i="43"/>
  <c r="K193" i="43"/>
  <c r="I193" i="43"/>
  <c r="M192" i="43"/>
  <c r="K192" i="43"/>
  <c r="I192" i="43"/>
  <c r="M191" i="43"/>
  <c r="K191" i="43"/>
  <c r="I191" i="43"/>
  <c r="M190" i="43"/>
  <c r="K190" i="43"/>
  <c r="I190" i="43"/>
  <c r="M189" i="43"/>
  <c r="K189" i="43"/>
  <c r="I189" i="43"/>
  <c r="M188" i="43"/>
  <c r="K188" i="43"/>
  <c r="I188" i="43"/>
  <c r="M187" i="43"/>
  <c r="K187" i="43"/>
  <c r="I187" i="43"/>
  <c r="M256" i="29"/>
  <c r="K256" i="29"/>
  <c r="I256" i="29"/>
  <c r="M255" i="29"/>
  <c r="K255" i="29"/>
  <c r="I255" i="29"/>
  <c r="M254" i="29"/>
  <c r="K254" i="29"/>
  <c r="I254" i="29"/>
  <c r="M253" i="29"/>
  <c r="K253" i="29"/>
  <c r="I253" i="29"/>
  <c r="M252" i="29"/>
  <c r="K252" i="29"/>
  <c r="I252" i="29"/>
  <c r="M251" i="29"/>
  <c r="K251" i="29"/>
  <c r="I251" i="29"/>
  <c r="M250" i="29"/>
  <c r="K250" i="29"/>
  <c r="I250" i="29"/>
  <c r="M249" i="29"/>
  <c r="K249" i="29"/>
  <c r="I249" i="29"/>
  <c r="M248" i="29"/>
  <c r="K248" i="29"/>
  <c r="I248" i="29"/>
  <c r="M247" i="29"/>
  <c r="K247" i="29"/>
  <c r="I247" i="29"/>
  <c r="M246" i="29"/>
  <c r="K246" i="29"/>
  <c r="I246" i="29"/>
  <c r="M245" i="29"/>
  <c r="K245" i="29"/>
  <c r="I245" i="29"/>
  <c r="M244" i="29"/>
  <c r="K244" i="29"/>
  <c r="I244" i="29"/>
  <c r="M243" i="29"/>
  <c r="K243" i="29"/>
  <c r="I243" i="29"/>
  <c r="M242" i="29"/>
  <c r="K242" i="29"/>
  <c r="I242" i="29"/>
  <c r="M241" i="29"/>
  <c r="K241" i="29"/>
  <c r="I241" i="29"/>
  <c r="M240" i="29"/>
  <c r="K240" i="29"/>
  <c r="I240" i="29"/>
  <c r="M239" i="29"/>
  <c r="K239" i="29"/>
  <c r="I239" i="29"/>
  <c r="M238" i="29"/>
  <c r="K238" i="29"/>
  <c r="I238" i="29"/>
  <c r="M237" i="29"/>
  <c r="K237" i="29"/>
  <c r="I237" i="29"/>
  <c r="M236" i="29"/>
  <c r="K236" i="29"/>
  <c r="I236" i="29"/>
  <c r="M235" i="29"/>
  <c r="K235" i="29"/>
  <c r="I235" i="29"/>
  <c r="M234" i="29"/>
  <c r="K234" i="29"/>
  <c r="I234" i="29"/>
  <c r="M233" i="29"/>
  <c r="K233" i="29"/>
  <c r="I233" i="29"/>
  <c r="M232" i="29"/>
  <c r="K232" i="29"/>
  <c r="I232" i="29"/>
  <c r="M231" i="29"/>
  <c r="K231" i="29"/>
  <c r="I231" i="29"/>
  <c r="M230" i="29"/>
  <c r="K230" i="29"/>
  <c r="I230" i="29"/>
  <c r="M229" i="29"/>
  <c r="K229" i="29"/>
  <c r="I229" i="29"/>
  <c r="M228" i="29"/>
  <c r="K228" i="29"/>
  <c r="I228" i="29"/>
  <c r="M227" i="29"/>
  <c r="K227" i="29"/>
  <c r="I227" i="29"/>
  <c r="M226" i="29"/>
  <c r="K226" i="29"/>
  <c r="I226" i="29"/>
  <c r="M225" i="29"/>
  <c r="K225" i="29"/>
  <c r="I225" i="29"/>
  <c r="M224" i="29"/>
  <c r="K224" i="29"/>
  <c r="I224" i="29"/>
  <c r="M223" i="29"/>
  <c r="K223" i="29"/>
  <c r="I223" i="29"/>
  <c r="M222" i="29"/>
  <c r="K222" i="29"/>
  <c r="I222" i="29"/>
  <c r="M221" i="29"/>
  <c r="K221" i="29"/>
  <c r="I221" i="29"/>
  <c r="M220" i="29"/>
  <c r="K220" i="29"/>
  <c r="I220" i="29"/>
  <c r="M219" i="29"/>
  <c r="K219" i="29"/>
  <c r="I219" i="29"/>
  <c r="M218" i="29"/>
  <c r="K218" i="29"/>
  <c r="I218" i="29"/>
  <c r="M217" i="29"/>
  <c r="K217" i="29"/>
  <c r="I217" i="29"/>
  <c r="M216" i="29"/>
  <c r="K216" i="29"/>
  <c r="I216" i="29"/>
  <c r="M215" i="29"/>
  <c r="K215" i="29"/>
  <c r="I215" i="29"/>
  <c r="M214" i="29"/>
  <c r="K214" i="29"/>
  <c r="I214" i="29"/>
  <c r="M213" i="29"/>
  <c r="K213" i="29"/>
  <c r="I213" i="29"/>
  <c r="M212" i="29"/>
  <c r="K212" i="29"/>
  <c r="I212" i="29"/>
  <c r="M211" i="29"/>
  <c r="K211" i="29"/>
  <c r="I211" i="29"/>
  <c r="M210" i="29"/>
  <c r="K210" i="29"/>
  <c r="I210" i="29"/>
  <c r="M209" i="29"/>
  <c r="K209" i="29"/>
  <c r="I209" i="29"/>
  <c r="M208" i="29"/>
  <c r="K208" i="29"/>
  <c r="I208" i="29"/>
  <c r="M207" i="29"/>
  <c r="K207" i="29"/>
  <c r="I207" i="29"/>
  <c r="M206" i="29"/>
  <c r="K206" i="29"/>
  <c r="I206" i="29"/>
  <c r="M205" i="29"/>
  <c r="K205" i="29"/>
  <c r="I205" i="29"/>
  <c r="M204" i="29"/>
  <c r="K204" i="29"/>
  <c r="I204" i="29"/>
  <c r="M203" i="29"/>
  <c r="K203" i="29"/>
  <c r="I203" i="29"/>
  <c r="M202" i="29"/>
  <c r="K202" i="29"/>
  <c r="I202" i="29"/>
  <c r="M201" i="29"/>
  <c r="K201" i="29"/>
  <c r="I201" i="29"/>
  <c r="M200" i="29"/>
  <c r="K200" i="29"/>
  <c r="I200" i="29"/>
  <c r="M199" i="29"/>
  <c r="K199" i="29"/>
  <c r="I199" i="29"/>
  <c r="M198" i="29"/>
  <c r="K198" i="29"/>
  <c r="I198" i="29"/>
  <c r="M197" i="29"/>
  <c r="K197" i="29"/>
  <c r="I197" i="29"/>
  <c r="M196" i="29"/>
  <c r="K196" i="29"/>
  <c r="I196" i="29"/>
  <c r="M195" i="29"/>
  <c r="K195" i="29"/>
  <c r="I195" i="29"/>
  <c r="M194" i="29"/>
  <c r="K194" i="29"/>
  <c r="I194" i="29"/>
  <c r="M193" i="29"/>
  <c r="K193" i="29"/>
  <c r="I193" i="29"/>
  <c r="M192" i="29"/>
  <c r="K192" i="29"/>
  <c r="I192" i="29"/>
  <c r="M191" i="29"/>
  <c r="K191" i="29"/>
  <c r="I191" i="29"/>
  <c r="M190" i="29"/>
  <c r="K190" i="29"/>
  <c r="I190" i="29"/>
  <c r="M189" i="29"/>
  <c r="K189" i="29"/>
  <c r="I189" i="29"/>
  <c r="M188" i="29"/>
  <c r="K188" i="29"/>
  <c r="I188" i="29"/>
  <c r="M187" i="29"/>
  <c r="K187" i="29"/>
  <c r="I187" i="29"/>
  <c r="B25" i="6" l="1"/>
  <c r="B25" i="7"/>
  <c r="B23" i="3"/>
  <c r="B23" i="5"/>
  <c r="B21" i="13" l="1"/>
  <c r="B18" i="13"/>
  <c r="B17" i="13"/>
  <c r="B23" i="13" l="1"/>
  <c r="B22" i="13"/>
  <c r="B20" i="13"/>
  <c r="H22" i="13"/>
  <c r="H18" i="13"/>
  <c r="H23" i="13" l="1"/>
  <c r="H21" i="13"/>
  <c r="H20" i="13"/>
  <c r="H17" i="13"/>
  <c r="K93" i="30" l="1"/>
  <c r="J93" i="30"/>
  <c r="I93" i="30"/>
  <c r="K92" i="30"/>
  <c r="J92" i="30"/>
  <c r="I92" i="30"/>
  <c r="K91" i="30"/>
  <c r="J91" i="30"/>
  <c r="I91" i="30"/>
  <c r="K90" i="30"/>
  <c r="J90" i="30"/>
  <c r="I90" i="30"/>
  <c r="K89" i="30"/>
  <c r="J89" i="30"/>
  <c r="I89" i="30"/>
  <c r="K88" i="30"/>
  <c r="J88" i="30"/>
  <c r="I88" i="30"/>
  <c r="K87" i="30"/>
  <c r="J87" i="30"/>
  <c r="I87" i="30"/>
  <c r="M80" i="30" l="1"/>
  <c r="M77" i="30"/>
  <c r="M74" i="30"/>
  <c r="M61" i="30"/>
  <c r="M58" i="30"/>
  <c r="M55" i="30"/>
  <c r="M81" i="30"/>
  <c r="M78" i="30"/>
  <c r="M75" i="30"/>
  <c r="M59" i="30"/>
  <c r="M56" i="30"/>
  <c r="M79" i="30"/>
  <c r="M76" i="30"/>
  <c r="M60" i="30"/>
  <c r="M57" i="30"/>
  <c r="M54" i="30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86" i="43"/>
  <c r="K186" i="43"/>
  <c r="I186" i="43"/>
  <c r="M185" i="43"/>
  <c r="K185" i="43"/>
  <c r="I185" i="43"/>
  <c r="M184" i="43"/>
  <c r="K184" i="43"/>
  <c r="I184" i="43"/>
  <c r="M183" i="43"/>
  <c r="K183" i="43"/>
  <c r="I183" i="43"/>
  <c r="M182" i="43"/>
  <c r="K182" i="43"/>
  <c r="I182" i="43"/>
  <c r="M181" i="43"/>
  <c r="K181" i="43"/>
  <c r="I181" i="43"/>
  <c r="M180" i="43"/>
  <c r="K180" i="43"/>
  <c r="I180" i="43"/>
  <c r="M179" i="43"/>
  <c r="K179" i="43"/>
  <c r="I179" i="43"/>
  <c r="M178" i="43"/>
  <c r="K178" i="43"/>
  <c r="I178" i="43"/>
  <c r="M177" i="43"/>
  <c r="K177" i="43"/>
  <c r="I177" i="43"/>
  <c r="M176" i="43"/>
  <c r="K176" i="43"/>
  <c r="I176" i="43"/>
  <c r="M175" i="43"/>
  <c r="K175" i="43"/>
  <c r="I175" i="43"/>
  <c r="M174" i="43"/>
  <c r="K174" i="43"/>
  <c r="I174" i="43"/>
  <c r="M173" i="43"/>
  <c r="K173" i="43"/>
  <c r="I173" i="43"/>
  <c r="M172" i="43"/>
  <c r="K172" i="43"/>
  <c r="I172" i="43"/>
  <c r="M171" i="43"/>
  <c r="K171" i="43"/>
  <c r="I171" i="43"/>
  <c r="M170" i="43"/>
  <c r="K170" i="43"/>
  <c r="I170" i="43"/>
  <c r="M169" i="43"/>
  <c r="K169" i="43"/>
  <c r="I169" i="43"/>
  <c r="M168" i="43"/>
  <c r="K168" i="43"/>
  <c r="I168" i="43"/>
  <c r="M167" i="43"/>
  <c r="K167" i="43"/>
  <c r="I167" i="43"/>
  <c r="M166" i="43"/>
  <c r="K166" i="43"/>
  <c r="I166" i="43"/>
  <c r="M165" i="43"/>
  <c r="K165" i="43"/>
  <c r="I165" i="43"/>
  <c r="M164" i="43"/>
  <c r="K164" i="43"/>
  <c r="I164" i="43"/>
  <c r="M163" i="43"/>
  <c r="K163" i="43"/>
  <c r="I163" i="43"/>
  <c r="M162" i="43"/>
  <c r="K162" i="43"/>
  <c r="I162" i="43"/>
  <c r="M161" i="43"/>
  <c r="K161" i="43"/>
  <c r="I161" i="43"/>
  <c r="M160" i="43"/>
  <c r="K160" i="43"/>
  <c r="I160" i="43"/>
  <c r="M159" i="43"/>
  <c r="K159" i="43"/>
  <c r="I159" i="43"/>
  <c r="M158" i="43"/>
  <c r="K158" i="43"/>
  <c r="I158" i="43"/>
  <c r="M157" i="43"/>
  <c r="K157" i="43"/>
  <c r="I157" i="43"/>
  <c r="M156" i="43"/>
  <c r="K156" i="43"/>
  <c r="I156" i="43"/>
  <c r="M155" i="43"/>
  <c r="K155" i="43"/>
  <c r="I155" i="43"/>
  <c r="M154" i="43"/>
  <c r="K154" i="43"/>
  <c r="I154" i="43"/>
  <c r="M153" i="43"/>
  <c r="K153" i="43"/>
  <c r="I153" i="43"/>
  <c r="M152" i="43"/>
  <c r="K152" i="43"/>
  <c r="I152" i="43"/>
  <c r="M151" i="43"/>
  <c r="K151" i="43"/>
  <c r="I151" i="43"/>
  <c r="M150" i="43"/>
  <c r="K150" i="43"/>
  <c r="I150" i="43"/>
  <c r="M149" i="43"/>
  <c r="K149" i="43"/>
  <c r="I149" i="43"/>
  <c r="M148" i="43"/>
  <c r="K148" i="43"/>
  <c r="I148" i="43"/>
  <c r="M147" i="43"/>
  <c r="K147" i="43"/>
  <c r="I147" i="43"/>
  <c r="M146" i="43"/>
  <c r="K146" i="43"/>
  <c r="I146" i="43"/>
  <c r="M145" i="43"/>
  <c r="K145" i="43"/>
  <c r="I145" i="43"/>
  <c r="M144" i="43"/>
  <c r="K144" i="43"/>
  <c r="I144" i="43"/>
  <c r="M143" i="43"/>
  <c r="K143" i="43"/>
  <c r="I143" i="43"/>
  <c r="M142" i="43"/>
  <c r="K142" i="43"/>
  <c r="I142" i="43"/>
  <c r="M141" i="43"/>
  <c r="K141" i="43"/>
  <c r="I141" i="43"/>
  <c r="M140" i="43"/>
  <c r="K140" i="43"/>
  <c r="I140" i="43"/>
  <c r="M139" i="43"/>
  <c r="K139" i="43"/>
  <c r="I139" i="43"/>
  <c r="M138" i="43"/>
  <c r="K138" i="43"/>
  <c r="I138" i="43"/>
  <c r="M137" i="43"/>
  <c r="K137" i="43"/>
  <c r="I137" i="43"/>
  <c r="M136" i="43"/>
  <c r="K136" i="43"/>
  <c r="I136" i="43"/>
  <c r="M135" i="43"/>
  <c r="K135" i="43"/>
  <c r="I135" i="43"/>
  <c r="M134" i="43"/>
  <c r="K134" i="43"/>
  <c r="I134" i="43"/>
  <c r="M133" i="43"/>
  <c r="K133" i="43"/>
  <c r="I133" i="43"/>
  <c r="M132" i="43"/>
  <c r="K132" i="43"/>
  <c r="I132" i="43"/>
  <c r="M131" i="43"/>
  <c r="K131" i="43"/>
  <c r="I131" i="43"/>
  <c r="M130" i="43"/>
  <c r="K130" i="43"/>
  <c r="I130" i="43"/>
  <c r="M129" i="43"/>
  <c r="K129" i="43"/>
  <c r="I129" i="43"/>
  <c r="M128" i="43"/>
  <c r="K128" i="43"/>
  <c r="I128" i="43"/>
  <c r="M127" i="43"/>
  <c r="K127" i="43"/>
  <c r="I127" i="43"/>
  <c r="M126" i="43"/>
  <c r="K126" i="43"/>
  <c r="I126" i="43"/>
  <c r="M125" i="43"/>
  <c r="K125" i="43"/>
  <c r="I125" i="43"/>
  <c r="M124" i="43"/>
  <c r="K124" i="43"/>
  <c r="I124" i="43"/>
  <c r="M123" i="43"/>
  <c r="K123" i="43"/>
  <c r="I123" i="43"/>
  <c r="M122" i="43"/>
  <c r="K122" i="43"/>
  <c r="I122" i="43"/>
  <c r="M121" i="43"/>
  <c r="K121" i="43"/>
  <c r="I121" i="43"/>
  <c r="M120" i="43"/>
  <c r="K120" i="43"/>
  <c r="I120" i="43"/>
  <c r="M119" i="43"/>
  <c r="K119" i="43"/>
  <c r="I119" i="43"/>
  <c r="M118" i="43"/>
  <c r="K118" i="43"/>
  <c r="I118" i="43"/>
  <c r="M117" i="43"/>
  <c r="K117" i="43"/>
  <c r="I117" i="43"/>
  <c r="M186" i="29"/>
  <c r="K186" i="29"/>
  <c r="I186" i="29"/>
  <c r="M185" i="29"/>
  <c r="K185" i="29"/>
  <c r="I185" i="29"/>
  <c r="M184" i="29"/>
  <c r="K184" i="29"/>
  <c r="I184" i="29"/>
  <c r="M183" i="29"/>
  <c r="K183" i="29"/>
  <c r="I183" i="29"/>
  <c r="M182" i="29"/>
  <c r="K182" i="29"/>
  <c r="I182" i="29"/>
  <c r="M181" i="29"/>
  <c r="K181" i="29"/>
  <c r="I181" i="29"/>
  <c r="M180" i="29"/>
  <c r="K180" i="29"/>
  <c r="I180" i="29"/>
  <c r="M179" i="29"/>
  <c r="K179" i="29"/>
  <c r="I179" i="29"/>
  <c r="M178" i="29"/>
  <c r="K178" i="29"/>
  <c r="I178" i="29"/>
  <c r="M177" i="29"/>
  <c r="K177" i="29"/>
  <c r="I177" i="29"/>
  <c r="M176" i="29"/>
  <c r="K176" i="29"/>
  <c r="I176" i="29"/>
  <c r="M175" i="29"/>
  <c r="K175" i="29"/>
  <c r="I175" i="29"/>
  <c r="M174" i="29"/>
  <c r="K174" i="29"/>
  <c r="I174" i="29"/>
  <c r="M173" i="29"/>
  <c r="K173" i="29"/>
  <c r="I173" i="29"/>
  <c r="M172" i="29"/>
  <c r="K172" i="29"/>
  <c r="I172" i="29"/>
  <c r="M171" i="29"/>
  <c r="K171" i="29"/>
  <c r="I171" i="29"/>
  <c r="M170" i="29"/>
  <c r="K170" i="29"/>
  <c r="I170" i="29"/>
  <c r="M169" i="29"/>
  <c r="K169" i="29"/>
  <c r="I169" i="29"/>
  <c r="M168" i="29"/>
  <c r="K168" i="29"/>
  <c r="I168" i="29"/>
  <c r="M167" i="29"/>
  <c r="K167" i="29"/>
  <c r="I167" i="29"/>
  <c r="M166" i="29"/>
  <c r="K166" i="29"/>
  <c r="I166" i="29"/>
  <c r="M165" i="29"/>
  <c r="K165" i="29"/>
  <c r="I165" i="29"/>
  <c r="M164" i="29"/>
  <c r="K164" i="29"/>
  <c r="I164" i="29"/>
  <c r="M163" i="29"/>
  <c r="K163" i="29"/>
  <c r="I163" i="29"/>
  <c r="M162" i="29"/>
  <c r="K162" i="29"/>
  <c r="I162" i="29"/>
  <c r="M161" i="29"/>
  <c r="K161" i="29"/>
  <c r="I161" i="29"/>
  <c r="M160" i="29"/>
  <c r="K160" i="29"/>
  <c r="I160" i="29"/>
  <c r="M159" i="29"/>
  <c r="K159" i="29"/>
  <c r="I159" i="29"/>
  <c r="M158" i="29"/>
  <c r="K158" i="29"/>
  <c r="I158" i="29"/>
  <c r="M157" i="29"/>
  <c r="K157" i="29"/>
  <c r="I157" i="29"/>
  <c r="M156" i="29"/>
  <c r="K156" i="29"/>
  <c r="I156" i="29"/>
  <c r="M155" i="29"/>
  <c r="K155" i="29"/>
  <c r="I155" i="29"/>
  <c r="M154" i="29"/>
  <c r="K154" i="29"/>
  <c r="I154" i="29"/>
  <c r="M153" i="29"/>
  <c r="K153" i="29"/>
  <c r="I153" i="29"/>
  <c r="M152" i="29"/>
  <c r="K152" i="29"/>
  <c r="I152" i="29"/>
  <c r="M151" i="29"/>
  <c r="K151" i="29"/>
  <c r="I151" i="29"/>
  <c r="M150" i="29"/>
  <c r="K150" i="29"/>
  <c r="I150" i="29"/>
  <c r="M149" i="29"/>
  <c r="K149" i="29"/>
  <c r="I149" i="29"/>
  <c r="M148" i="29"/>
  <c r="K148" i="29"/>
  <c r="I148" i="29"/>
  <c r="M147" i="29"/>
  <c r="K147" i="29"/>
  <c r="I147" i="29"/>
  <c r="M146" i="29"/>
  <c r="K146" i="29"/>
  <c r="I146" i="29"/>
  <c r="M145" i="29"/>
  <c r="K145" i="29"/>
  <c r="I145" i="29"/>
  <c r="M144" i="29"/>
  <c r="K144" i="29"/>
  <c r="I144" i="29"/>
  <c r="M143" i="29"/>
  <c r="K143" i="29"/>
  <c r="I143" i="29"/>
  <c r="M142" i="29"/>
  <c r="K142" i="29"/>
  <c r="I142" i="29"/>
  <c r="M141" i="29"/>
  <c r="K141" i="29"/>
  <c r="I141" i="29"/>
  <c r="M140" i="29"/>
  <c r="K140" i="29"/>
  <c r="I140" i="29"/>
  <c r="M139" i="29"/>
  <c r="K139" i="29"/>
  <c r="I139" i="29"/>
  <c r="M138" i="29"/>
  <c r="K138" i="29"/>
  <c r="I138" i="29"/>
  <c r="M137" i="29"/>
  <c r="K137" i="29"/>
  <c r="I137" i="29"/>
  <c r="M136" i="29"/>
  <c r="K136" i="29"/>
  <c r="I136" i="29"/>
  <c r="M135" i="29"/>
  <c r="K135" i="29"/>
  <c r="I135" i="29"/>
  <c r="M134" i="29"/>
  <c r="K134" i="29"/>
  <c r="I134" i="29"/>
  <c r="M133" i="29"/>
  <c r="K133" i="29"/>
  <c r="I133" i="29"/>
  <c r="M132" i="29"/>
  <c r="K132" i="29"/>
  <c r="I132" i="29"/>
  <c r="M131" i="29"/>
  <c r="K131" i="29"/>
  <c r="I131" i="29"/>
  <c r="M130" i="29"/>
  <c r="K130" i="29"/>
  <c r="I130" i="29"/>
  <c r="M129" i="29"/>
  <c r="K129" i="29"/>
  <c r="I129" i="29"/>
  <c r="M128" i="29"/>
  <c r="K128" i="29"/>
  <c r="I128" i="29"/>
  <c r="M127" i="29"/>
  <c r="K127" i="29"/>
  <c r="I127" i="29"/>
  <c r="M126" i="29"/>
  <c r="K126" i="29"/>
  <c r="I126" i="29"/>
  <c r="M125" i="29"/>
  <c r="K125" i="29"/>
  <c r="I125" i="29"/>
  <c r="M124" i="29"/>
  <c r="K124" i="29"/>
  <c r="I124" i="29"/>
  <c r="M123" i="29"/>
  <c r="K123" i="29"/>
  <c r="I123" i="29"/>
  <c r="M122" i="29"/>
  <c r="K122" i="29"/>
  <c r="I122" i="29"/>
  <c r="M121" i="29"/>
  <c r="K121" i="29"/>
  <c r="I121" i="29"/>
  <c r="M120" i="29"/>
  <c r="K120" i="29"/>
  <c r="I120" i="29"/>
  <c r="M119" i="29"/>
  <c r="K119" i="29"/>
  <c r="I119" i="29"/>
  <c r="M118" i="29"/>
  <c r="K118" i="29"/>
  <c r="I118" i="29"/>
  <c r="M117" i="29"/>
  <c r="K117" i="29"/>
  <c r="I117" i="29"/>
  <c r="R22" i="5"/>
  <c r="R21" i="5"/>
  <c r="R20" i="5"/>
  <c r="R19" i="5"/>
  <c r="R18" i="5"/>
  <c r="R17" i="5"/>
  <c r="R16" i="5"/>
  <c r="I16" i="5" l="1"/>
  <c r="I17" i="5"/>
  <c r="I18" i="5"/>
  <c r="I19" i="5"/>
  <c r="I20" i="5"/>
  <c r="I21" i="5"/>
  <c r="I22" i="5"/>
  <c r="M116" i="43" l="1"/>
  <c r="K116" i="43"/>
  <c r="I116" i="43"/>
  <c r="M115" i="43"/>
  <c r="K115" i="43"/>
  <c r="I115" i="43"/>
  <c r="M114" i="43"/>
  <c r="K114" i="43"/>
  <c r="I114" i="43"/>
  <c r="M113" i="43"/>
  <c r="K113" i="43"/>
  <c r="I113" i="43"/>
  <c r="M112" i="43"/>
  <c r="K112" i="43"/>
  <c r="I112" i="43"/>
  <c r="M111" i="43"/>
  <c r="K111" i="43"/>
  <c r="I111" i="43"/>
  <c r="M110" i="43"/>
  <c r="K110" i="43"/>
  <c r="I110" i="43"/>
  <c r="M109" i="43"/>
  <c r="K109" i="43"/>
  <c r="I109" i="43"/>
  <c r="M108" i="43"/>
  <c r="K108" i="43"/>
  <c r="I108" i="43"/>
  <c r="M107" i="43"/>
  <c r="K107" i="43"/>
  <c r="I107" i="43"/>
  <c r="M106" i="43"/>
  <c r="K106" i="43"/>
  <c r="I106" i="43"/>
  <c r="M105" i="43"/>
  <c r="K105" i="43"/>
  <c r="I105" i="43"/>
  <c r="M104" i="43"/>
  <c r="K104" i="43"/>
  <c r="I104" i="43"/>
  <c r="M103" i="43"/>
  <c r="K103" i="43"/>
  <c r="I103" i="43"/>
  <c r="M102" i="43"/>
  <c r="K102" i="43"/>
  <c r="I102" i="43"/>
  <c r="M101" i="43"/>
  <c r="K101" i="43"/>
  <c r="I101" i="43"/>
  <c r="M100" i="43"/>
  <c r="K100" i="43"/>
  <c r="I100" i="43"/>
  <c r="M99" i="43"/>
  <c r="K99" i="43"/>
  <c r="I99" i="43"/>
  <c r="M98" i="43"/>
  <c r="K98" i="43"/>
  <c r="I98" i="43"/>
  <c r="M97" i="43"/>
  <c r="K97" i="43"/>
  <c r="I97" i="43"/>
  <c r="M96" i="43"/>
  <c r="K96" i="43"/>
  <c r="I96" i="43"/>
  <c r="M95" i="43"/>
  <c r="K95" i="43"/>
  <c r="I95" i="43"/>
  <c r="M94" i="43"/>
  <c r="K94" i="43"/>
  <c r="I94" i="43"/>
  <c r="M93" i="43"/>
  <c r="K93" i="43"/>
  <c r="I93" i="43"/>
  <c r="M92" i="43"/>
  <c r="K92" i="43"/>
  <c r="I92" i="43"/>
  <c r="M91" i="43"/>
  <c r="K91" i="43"/>
  <c r="I91" i="43"/>
  <c r="M90" i="43"/>
  <c r="K90" i="43"/>
  <c r="I90" i="43"/>
  <c r="M89" i="43"/>
  <c r="K89" i="43"/>
  <c r="I89" i="43"/>
  <c r="M88" i="43"/>
  <c r="K88" i="43"/>
  <c r="I88" i="43"/>
  <c r="M87" i="43"/>
  <c r="K87" i="43"/>
  <c r="I87" i="43"/>
  <c r="M86" i="43"/>
  <c r="K86" i="43"/>
  <c r="I86" i="43"/>
  <c r="M85" i="43"/>
  <c r="K85" i="43"/>
  <c r="I85" i="43"/>
  <c r="M84" i="43"/>
  <c r="K84" i="43"/>
  <c r="I84" i="43"/>
  <c r="M83" i="43"/>
  <c r="K83" i="43"/>
  <c r="I83" i="43"/>
  <c r="M82" i="43"/>
  <c r="K82" i="43"/>
  <c r="I82" i="43"/>
  <c r="M81" i="43"/>
  <c r="K81" i="43"/>
  <c r="I81" i="43"/>
  <c r="M80" i="43"/>
  <c r="K80" i="43"/>
  <c r="I80" i="43"/>
  <c r="M79" i="43"/>
  <c r="K79" i="43"/>
  <c r="I79" i="43"/>
  <c r="M78" i="43"/>
  <c r="K78" i="43"/>
  <c r="I78" i="43"/>
  <c r="M77" i="43"/>
  <c r="K77" i="43"/>
  <c r="I77" i="43"/>
  <c r="M76" i="43"/>
  <c r="K76" i="43"/>
  <c r="I76" i="43"/>
  <c r="M75" i="43"/>
  <c r="K75" i="43"/>
  <c r="I75" i="43"/>
  <c r="M74" i="43"/>
  <c r="K74" i="43"/>
  <c r="I74" i="43"/>
  <c r="M73" i="43"/>
  <c r="K73" i="43"/>
  <c r="I73" i="43"/>
  <c r="M72" i="43"/>
  <c r="K72" i="43"/>
  <c r="I72" i="43"/>
  <c r="M71" i="43"/>
  <c r="K71" i="43"/>
  <c r="I71" i="43"/>
  <c r="M70" i="43"/>
  <c r="K70" i="43"/>
  <c r="I70" i="43"/>
  <c r="M69" i="43"/>
  <c r="K69" i="43"/>
  <c r="I69" i="43"/>
  <c r="M68" i="43"/>
  <c r="K68" i="43"/>
  <c r="I68" i="43"/>
  <c r="M67" i="43"/>
  <c r="K67" i="43"/>
  <c r="I67" i="43"/>
  <c r="M66" i="43"/>
  <c r="K66" i="43"/>
  <c r="I66" i="43"/>
  <c r="M65" i="43"/>
  <c r="K65" i="43"/>
  <c r="I65" i="43"/>
  <c r="M64" i="43"/>
  <c r="K64" i="43"/>
  <c r="I64" i="43"/>
  <c r="M63" i="43"/>
  <c r="K63" i="43"/>
  <c r="I63" i="43"/>
  <c r="M62" i="43"/>
  <c r="K62" i="43"/>
  <c r="I62" i="43"/>
  <c r="M61" i="43"/>
  <c r="K61" i="43"/>
  <c r="I61" i="43"/>
  <c r="M60" i="43"/>
  <c r="K60" i="43"/>
  <c r="I60" i="43"/>
  <c r="M59" i="43"/>
  <c r="K59" i="43"/>
  <c r="I59" i="43"/>
  <c r="M58" i="43"/>
  <c r="K58" i="43"/>
  <c r="I58" i="43"/>
  <c r="M57" i="43"/>
  <c r="K57" i="43"/>
  <c r="I57" i="43"/>
  <c r="M56" i="43"/>
  <c r="K56" i="43"/>
  <c r="I56" i="43"/>
  <c r="M55" i="43"/>
  <c r="K55" i="43"/>
  <c r="I55" i="43"/>
  <c r="M54" i="43"/>
  <c r="K54" i="43"/>
  <c r="I54" i="43"/>
  <c r="M53" i="43"/>
  <c r="K53" i="43"/>
  <c r="I53" i="43"/>
  <c r="M52" i="43"/>
  <c r="K52" i="43"/>
  <c r="I52" i="43"/>
  <c r="M51" i="43"/>
  <c r="K51" i="43"/>
  <c r="I51" i="43"/>
  <c r="M50" i="43"/>
  <c r="K50" i="43"/>
  <c r="I50" i="43"/>
  <c r="M49" i="43"/>
  <c r="K49" i="43"/>
  <c r="I49" i="43"/>
  <c r="M48" i="43"/>
  <c r="K48" i="43"/>
  <c r="I48" i="43"/>
  <c r="M47" i="43"/>
  <c r="K47" i="43"/>
  <c r="I47" i="43"/>
  <c r="M46" i="43"/>
  <c r="K46" i="43"/>
  <c r="I46" i="43"/>
  <c r="M45" i="43"/>
  <c r="K45" i="43"/>
  <c r="I45" i="43"/>
  <c r="M44" i="43"/>
  <c r="K44" i="43"/>
  <c r="I44" i="43"/>
  <c r="M43" i="43"/>
  <c r="K43" i="43"/>
  <c r="I43" i="43"/>
  <c r="M42" i="43"/>
  <c r="K42" i="43"/>
  <c r="I42" i="43"/>
  <c r="M41" i="43"/>
  <c r="K41" i="43"/>
  <c r="I41" i="43"/>
  <c r="M40" i="43"/>
  <c r="K40" i="43"/>
  <c r="I40" i="43"/>
  <c r="M39" i="43"/>
  <c r="K39" i="43"/>
  <c r="I39" i="43"/>
  <c r="M38" i="43"/>
  <c r="K38" i="43"/>
  <c r="I38" i="43"/>
  <c r="M37" i="43"/>
  <c r="K37" i="43"/>
  <c r="I37" i="43"/>
  <c r="M36" i="43"/>
  <c r="K36" i="43"/>
  <c r="I36" i="43"/>
  <c r="M35" i="43"/>
  <c r="K35" i="43"/>
  <c r="I35" i="43"/>
  <c r="M34" i="43"/>
  <c r="K34" i="43"/>
  <c r="I34" i="43"/>
  <c r="M33" i="43"/>
  <c r="K33" i="43"/>
  <c r="I33" i="43"/>
  <c r="M32" i="43"/>
  <c r="K32" i="43"/>
  <c r="I32" i="43"/>
  <c r="M31" i="43"/>
  <c r="K31" i="43"/>
  <c r="I31" i="43"/>
  <c r="M30" i="43"/>
  <c r="K30" i="43"/>
  <c r="I30" i="43"/>
  <c r="M29" i="43"/>
  <c r="K29" i="43"/>
  <c r="I29" i="43"/>
  <c r="M28" i="43"/>
  <c r="K28" i="43"/>
  <c r="I28" i="43"/>
  <c r="M27" i="43"/>
  <c r="K27" i="43"/>
  <c r="I27" i="43"/>
  <c r="M26" i="43"/>
  <c r="K26" i="43"/>
  <c r="I26" i="43"/>
  <c r="M25" i="43"/>
  <c r="K25" i="43"/>
  <c r="I25" i="43"/>
  <c r="M24" i="43"/>
  <c r="K24" i="43"/>
  <c r="I24" i="43"/>
  <c r="M23" i="43"/>
  <c r="K23" i="43"/>
  <c r="I23" i="43"/>
  <c r="M22" i="43"/>
  <c r="K22" i="43"/>
  <c r="I22" i="43"/>
  <c r="M21" i="43"/>
  <c r="K21" i="43"/>
  <c r="I21" i="43"/>
  <c r="M20" i="43"/>
  <c r="K20" i="43"/>
  <c r="I20" i="43"/>
  <c r="M19" i="43"/>
  <c r="K19" i="43"/>
  <c r="I19" i="43"/>
  <c r="M18" i="43"/>
  <c r="K18" i="43"/>
  <c r="I18" i="43"/>
  <c r="M17" i="43"/>
  <c r="K17" i="43"/>
  <c r="I17" i="43"/>
  <c r="M16" i="43"/>
  <c r="K16" i="43"/>
  <c r="I16" i="43"/>
  <c r="M15" i="43"/>
  <c r="K15" i="43"/>
  <c r="I15" i="43"/>
  <c r="M14" i="43"/>
  <c r="K14" i="43"/>
  <c r="I14" i="43"/>
  <c r="M13" i="43"/>
  <c r="K13" i="43"/>
  <c r="I13" i="43"/>
  <c r="M12" i="43"/>
  <c r="K12" i="43"/>
  <c r="I12" i="43"/>
  <c r="M11" i="43"/>
  <c r="K11" i="43"/>
  <c r="I11" i="43"/>
  <c r="M10" i="43"/>
  <c r="K10" i="43"/>
  <c r="I10" i="43"/>
  <c r="M9" i="43"/>
  <c r="K9" i="43"/>
  <c r="I9" i="43"/>
  <c r="M8" i="43"/>
  <c r="K8" i="43"/>
  <c r="I8" i="43"/>
  <c r="M7" i="43"/>
  <c r="K7" i="43"/>
  <c r="I7" i="43"/>
  <c r="M116" i="29"/>
  <c r="K116" i="29"/>
  <c r="I116" i="29"/>
  <c r="M115" i="29"/>
  <c r="K115" i="29"/>
  <c r="I115" i="29"/>
  <c r="M114" i="29"/>
  <c r="K114" i="29"/>
  <c r="I114" i="29"/>
  <c r="M113" i="29"/>
  <c r="K113" i="29"/>
  <c r="I113" i="29"/>
  <c r="M112" i="29"/>
  <c r="K112" i="29"/>
  <c r="I112" i="29"/>
  <c r="M111" i="29"/>
  <c r="K111" i="29"/>
  <c r="I111" i="29"/>
  <c r="M110" i="29"/>
  <c r="K110" i="29"/>
  <c r="I110" i="29"/>
  <c r="M109" i="29"/>
  <c r="K109" i="29"/>
  <c r="I109" i="29"/>
  <c r="M108" i="29"/>
  <c r="K108" i="29"/>
  <c r="I108" i="29"/>
  <c r="M107" i="29"/>
  <c r="K107" i="29"/>
  <c r="I107" i="29"/>
  <c r="M106" i="29"/>
  <c r="K106" i="29"/>
  <c r="I106" i="29"/>
  <c r="M105" i="29"/>
  <c r="K105" i="29"/>
  <c r="I105" i="29"/>
  <c r="M104" i="29"/>
  <c r="K104" i="29"/>
  <c r="I104" i="29"/>
  <c r="M103" i="29"/>
  <c r="K103" i="29"/>
  <c r="I103" i="29"/>
  <c r="M102" i="29"/>
  <c r="K102" i="29"/>
  <c r="I102" i="29"/>
  <c r="M101" i="29"/>
  <c r="K101" i="29"/>
  <c r="I101" i="29"/>
  <c r="M100" i="29"/>
  <c r="K100" i="29"/>
  <c r="I100" i="29"/>
  <c r="M99" i="29"/>
  <c r="K99" i="29"/>
  <c r="I99" i="29"/>
  <c r="M98" i="29"/>
  <c r="K98" i="29"/>
  <c r="I98" i="29"/>
  <c r="M97" i="29"/>
  <c r="K97" i="29"/>
  <c r="I97" i="29"/>
  <c r="M96" i="29"/>
  <c r="K96" i="29"/>
  <c r="I96" i="29"/>
  <c r="M95" i="29"/>
  <c r="K95" i="29"/>
  <c r="I95" i="29"/>
  <c r="M94" i="29"/>
  <c r="K94" i="29"/>
  <c r="I94" i="29"/>
  <c r="M93" i="29"/>
  <c r="K93" i="29"/>
  <c r="I93" i="29"/>
  <c r="M92" i="29"/>
  <c r="K92" i="29"/>
  <c r="I92" i="29"/>
  <c r="M91" i="29"/>
  <c r="K91" i="29"/>
  <c r="I91" i="29"/>
  <c r="M90" i="29"/>
  <c r="K90" i="29"/>
  <c r="I90" i="29"/>
  <c r="M89" i="29"/>
  <c r="K89" i="29"/>
  <c r="I89" i="29"/>
  <c r="M88" i="29"/>
  <c r="K88" i="29"/>
  <c r="I88" i="29"/>
  <c r="M87" i="29"/>
  <c r="K87" i="29"/>
  <c r="I87" i="29"/>
  <c r="M86" i="29"/>
  <c r="K86" i="29"/>
  <c r="I86" i="29"/>
  <c r="M85" i="29"/>
  <c r="K85" i="29"/>
  <c r="I85" i="29"/>
  <c r="M84" i="29"/>
  <c r="K84" i="29"/>
  <c r="I84" i="29"/>
  <c r="M83" i="29"/>
  <c r="K83" i="29"/>
  <c r="I83" i="29"/>
  <c r="M82" i="29"/>
  <c r="K82" i="29"/>
  <c r="I82" i="29"/>
  <c r="M81" i="29"/>
  <c r="K81" i="29"/>
  <c r="I81" i="29"/>
  <c r="M80" i="29"/>
  <c r="K80" i="29"/>
  <c r="I80" i="29"/>
  <c r="M79" i="29"/>
  <c r="K79" i="29"/>
  <c r="I79" i="29"/>
  <c r="M78" i="29"/>
  <c r="K78" i="29"/>
  <c r="I78" i="29"/>
  <c r="M77" i="29"/>
  <c r="K77" i="29"/>
  <c r="I77" i="29"/>
  <c r="M76" i="29"/>
  <c r="K76" i="29"/>
  <c r="I76" i="29"/>
  <c r="M75" i="29"/>
  <c r="K75" i="29"/>
  <c r="I75" i="29"/>
  <c r="M74" i="29"/>
  <c r="K74" i="29"/>
  <c r="I74" i="29"/>
  <c r="M73" i="29"/>
  <c r="K73" i="29"/>
  <c r="I73" i="29"/>
  <c r="M72" i="29"/>
  <c r="K72" i="29"/>
  <c r="I72" i="29"/>
  <c r="M71" i="29"/>
  <c r="K71" i="29"/>
  <c r="I71" i="29"/>
  <c r="M70" i="29"/>
  <c r="K70" i="29"/>
  <c r="I70" i="29"/>
  <c r="M69" i="29"/>
  <c r="K69" i="29"/>
  <c r="I69" i="29"/>
  <c r="M68" i="29"/>
  <c r="K68" i="29"/>
  <c r="I68" i="29"/>
  <c r="M67" i="29"/>
  <c r="K67" i="29"/>
  <c r="I67" i="29"/>
  <c r="M66" i="29"/>
  <c r="K66" i="29"/>
  <c r="I66" i="29"/>
  <c r="M65" i="29"/>
  <c r="K65" i="29"/>
  <c r="I65" i="29"/>
  <c r="M64" i="29"/>
  <c r="K64" i="29"/>
  <c r="I64" i="29"/>
  <c r="M63" i="29"/>
  <c r="K63" i="29"/>
  <c r="I63" i="29"/>
  <c r="M62" i="29"/>
  <c r="K62" i="29"/>
  <c r="I62" i="29"/>
  <c r="M61" i="29"/>
  <c r="K61" i="29"/>
  <c r="I61" i="29"/>
  <c r="M60" i="29"/>
  <c r="K60" i="29"/>
  <c r="I60" i="29"/>
  <c r="M59" i="29"/>
  <c r="K59" i="29"/>
  <c r="I59" i="29"/>
  <c r="M58" i="29"/>
  <c r="K58" i="29"/>
  <c r="I58" i="29"/>
  <c r="M57" i="29"/>
  <c r="K57" i="29"/>
  <c r="I57" i="29"/>
  <c r="M56" i="29"/>
  <c r="K56" i="29"/>
  <c r="I56" i="29"/>
  <c r="M55" i="29"/>
  <c r="K55" i="29"/>
  <c r="I55" i="29"/>
  <c r="M54" i="29"/>
  <c r="K54" i="29"/>
  <c r="I54" i="29"/>
  <c r="M53" i="29"/>
  <c r="K53" i="29"/>
  <c r="I53" i="29"/>
  <c r="M52" i="29"/>
  <c r="K52" i="29"/>
  <c r="I52" i="29"/>
  <c r="M51" i="29"/>
  <c r="K51" i="29"/>
  <c r="I51" i="29"/>
  <c r="M50" i="29"/>
  <c r="K50" i="29"/>
  <c r="I50" i="29"/>
  <c r="M49" i="29"/>
  <c r="K49" i="29"/>
  <c r="I49" i="29"/>
  <c r="M48" i="29"/>
  <c r="K48" i="29"/>
  <c r="I48" i="29"/>
  <c r="M47" i="29"/>
  <c r="K47" i="29"/>
  <c r="I47" i="29"/>
  <c r="M46" i="29"/>
  <c r="K46" i="29"/>
  <c r="I46" i="29"/>
  <c r="M45" i="29"/>
  <c r="K45" i="29"/>
  <c r="I45" i="29"/>
  <c r="M44" i="29"/>
  <c r="K44" i="29"/>
  <c r="I44" i="29"/>
  <c r="M43" i="29"/>
  <c r="K43" i="29"/>
  <c r="I43" i="29"/>
  <c r="M42" i="29"/>
  <c r="K42" i="29"/>
  <c r="I42" i="29"/>
  <c r="M41" i="29"/>
  <c r="K41" i="29"/>
  <c r="I41" i="29"/>
  <c r="M40" i="29"/>
  <c r="K40" i="29"/>
  <c r="I40" i="29"/>
  <c r="M39" i="29"/>
  <c r="K39" i="29"/>
  <c r="I39" i="29"/>
  <c r="M38" i="29"/>
  <c r="K38" i="29"/>
  <c r="I38" i="29"/>
  <c r="M37" i="29"/>
  <c r="K37" i="29"/>
  <c r="I37" i="29"/>
  <c r="M36" i="29"/>
  <c r="K36" i="29"/>
  <c r="I36" i="29"/>
  <c r="M35" i="29"/>
  <c r="K35" i="29"/>
  <c r="I35" i="29"/>
  <c r="M34" i="29"/>
  <c r="K34" i="29"/>
  <c r="I34" i="29"/>
  <c r="M33" i="29"/>
  <c r="K33" i="29"/>
  <c r="I33" i="29"/>
  <c r="M32" i="29"/>
  <c r="K32" i="29"/>
  <c r="I32" i="29"/>
  <c r="M31" i="29"/>
  <c r="K31" i="29"/>
  <c r="I31" i="29"/>
  <c r="M30" i="29"/>
  <c r="K30" i="29"/>
  <c r="I30" i="29"/>
  <c r="M29" i="29"/>
  <c r="K29" i="29"/>
  <c r="I29" i="29"/>
  <c r="M28" i="29"/>
  <c r="K28" i="29"/>
  <c r="I28" i="29"/>
  <c r="M27" i="29"/>
  <c r="K27" i="29"/>
  <c r="I27" i="29"/>
  <c r="M26" i="29"/>
  <c r="K26" i="29"/>
  <c r="I26" i="29"/>
  <c r="M25" i="29"/>
  <c r="K25" i="29"/>
  <c r="I25" i="29"/>
  <c r="M24" i="29"/>
  <c r="K24" i="29"/>
  <c r="I24" i="29"/>
  <c r="M23" i="29"/>
  <c r="K23" i="29"/>
  <c r="I23" i="29"/>
  <c r="M22" i="29"/>
  <c r="K22" i="29"/>
  <c r="I22" i="29"/>
  <c r="M21" i="29"/>
  <c r="K21" i="29"/>
  <c r="I21" i="29"/>
  <c r="M20" i="29"/>
  <c r="K20" i="29"/>
  <c r="I20" i="29"/>
  <c r="M19" i="29"/>
  <c r="K19" i="29"/>
  <c r="I19" i="29"/>
  <c r="M18" i="29"/>
  <c r="K18" i="29"/>
  <c r="I18" i="29"/>
  <c r="M17" i="29"/>
  <c r="K17" i="29"/>
  <c r="I17" i="29"/>
  <c r="M16" i="29"/>
  <c r="K16" i="29"/>
  <c r="I16" i="29"/>
  <c r="M15" i="29"/>
  <c r="K15" i="29"/>
  <c r="I15" i="29"/>
  <c r="M14" i="29"/>
  <c r="K14" i="29"/>
  <c r="I14" i="29"/>
  <c r="M13" i="29"/>
  <c r="K13" i="29"/>
  <c r="I13" i="29"/>
  <c r="M12" i="29"/>
  <c r="K12" i="29"/>
  <c r="I12" i="29"/>
  <c r="M11" i="29"/>
  <c r="K11" i="29"/>
  <c r="I11" i="29"/>
  <c r="M10" i="29"/>
  <c r="K10" i="29"/>
  <c r="I10" i="29"/>
  <c r="M9" i="29"/>
  <c r="K9" i="29"/>
  <c r="I9" i="29"/>
  <c r="M8" i="29"/>
  <c r="K8" i="29"/>
  <c r="I8" i="29"/>
  <c r="M7" i="29"/>
  <c r="K7" i="29"/>
  <c r="I7" i="29"/>
  <c r="R15" i="5" l="1"/>
  <c r="R14" i="5"/>
  <c r="R13" i="5"/>
  <c r="R12" i="5"/>
  <c r="R11" i="5"/>
  <c r="R10" i="5"/>
  <c r="R9" i="5"/>
  <c r="R8" i="5"/>
  <c r="R7" i="5"/>
  <c r="R6" i="5"/>
  <c r="AH8" i="43" l="1"/>
  <c r="AG8" i="43"/>
  <c r="AF8" i="43"/>
  <c r="AE8" i="43"/>
  <c r="AD8" i="43"/>
  <c r="AC8" i="43"/>
  <c r="AB8" i="43"/>
  <c r="AA8" i="43"/>
  <c r="AH8" i="29"/>
  <c r="AG8" i="29"/>
  <c r="AF8" i="29"/>
  <c r="AE8" i="29"/>
  <c r="AD8" i="29"/>
  <c r="AC8" i="29"/>
  <c r="AB8" i="29"/>
  <c r="AA8" i="29"/>
  <c r="AW175" i="8" l="1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AW165" i="8"/>
  <c r="AR165" i="8"/>
  <c r="AM165" i="8"/>
  <c r="AH165" i="8"/>
  <c r="AC165" i="8"/>
  <c r="X165" i="8"/>
  <c r="S165" i="8"/>
  <c r="AW164" i="8"/>
  <c r="AR164" i="8"/>
  <c r="AM164" i="8"/>
  <c r="AH164" i="8"/>
  <c r="AC164" i="8"/>
  <c r="X164" i="8"/>
  <c r="S164" i="8"/>
  <c r="AW163" i="8"/>
  <c r="AR163" i="8"/>
  <c r="AM163" i="8"/>
  <c r="AH163" i="8"/>
  <c r="AC163" i="8"/>
  <c r="X163" i="8"/>
  <c r="S163" i="8"/>
  <c r="AW162" i="8"/>
  <c r="AR162" i="8"/>
  <c r="AM162" i="8"/>
  <c r="AH162" i="8"/>
  <c r="AC162" i="8"/>
  <c r="X162" i="8"/>
  <c r="S162" i="8"/>
  <c r="AW161" i="8"/>
  <c r="AR161" i="8"/>
  <c r="AM161" i="8"/>
  <c r="AH161" i="8"/>
  <c r="AC161" i="8"/>
  <c r="X161" i="8"/>
  <c r="S161" i="8"/>
  <c r="R5" i="5" l="1"/>
  <c r="AW175" i="33" l="1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AW169" i="33"/>
  <c r="AR169" i="33"/>
  <c r="AM169" i="33"/>
  <c r="AH169" i="33"/>
  <c r="AC169" i="33"/>
  <c r="X169" i="33"/>
  <c r="S169" i="33"/>
  <c r="AW168" i="33"/>
  <c r="AR168" i="33"/>
  <c r="AM168" i="33"/>
  <c r="AH168" i="33"/>
  <c r="AC168" i="33"/>
  <c r="X168" i="33"/>
  <c r="S168" i="33"/>
  <c r="AW167" i="33"/>
  <c r="AR167" i="33"/>
  <c r="AM167" i="33"/>
  <c r="AH167" i="33"/>
  <c r="AC167" i="33"/>
  <c r="X167" i="33"/>
  <c r="S167" i="33"/>
  <c r="AW166" i="33"/>
  <c r="AR166" i="33"/>
  <c r="AM166" i="33"/>
  <c r="AH166" i="33"/>
  <c r="AC166" i="33"/>
  <c r="X166" i="33"/>
  <c r="S166" i="33"/>
  <c r="AW165" i="33"/>
  <c r="AR165" i="33"/>
  <c r="AM165" i="33"/>
  <c r="AH165" i="33"/>
  <c r="AC165" i="33"/>
  <c r="X165" i="33"/>
  <c r="S165" i="33"/>
  <c r="AW164" i="33"/>
  <c r="AR164" i="33"/>
  <c r="AM164" i="33"/>
  <c r="AH164" i="33"/>
  <c r="AC164" i="33"/>
  <c r="X164" i="33"/>
  <c r="S164" i="33"/>
  <c r="AW163" i="33"/>
  <c r="AR163" i="33"/>
  <c r="AM163" i="33"/>
  <c r="AH163" i="33"/>
  <c r="AC163" i="33"/>
  <c r="X163" i="33"/>
  <c r="S163" i="33"/>
  <c r="AW162" i="33"/>
  <c r="AR162" i="33"/>
  <c r="AM162" i="33"/>
  <c r="AH162" i="33"/>
  <c r="AC162" i="33"/>
  <c r="X162" i="33"/>
  <c r="S162" i="33"/>
  <c r="AW161" i="33"/>
  <c r="AR161" i="33"/>
  <c r="AM161" i="33"/>
  <c r="AH161" i="33"/>
  <c r="AC161" i="33"/>
  <c r="X161" i="33"/>
  <c r="S161" i="33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AW91" i="37"/>
  <c r="AR91" i="37"/>
  <c r="AM91" i="37"/>
  <c r="AH91" i="37"/>
  <c r="AC91" i="37"/>
  <c r="X91" i="37"/>
  <c r="S91" i="37"/>
  <c r="AW90" i="37"/>
  <c r="AR90" i="37"/>
  <c r="AM90" i="37"/>
  <c r="AH90" i="37"/>
  <c r="AC90" i="37"/>
  <c r="X90" i="37"/>
  <c r="S90" i="37"/>
  <c r="AW89" i="37"/>
  <c r="AR89" i="37"/>
  <c r="AM89" i="37"/>
  <c r="AH89" i="37"/>
  <c r="AC89" i="37"/>
  <c r="X89" i="37"/>
  <c r="S89" i="37"/>
  <c r="AW88" i="37"/>
  <c r="AR88" i="37"/>
  <c r="AM88" i="37"/>
  <c r="AH88" i="37"/>
  <c r="AC88" i="37"/>
  <c r="X88" i="37"/>
  <c r="S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P42" i="37"/>
  <c r="P62" i="37" s="1"/>
  <c r="U22" i="37"/>
  <c r="Z22" i="37" s="1"/>
  <c r="AE22" i="37" s="1"/>
  <c r="AJ22" i="37" s="1"/>
  <c r="AO22" i="37" s="1"/>
  <c r="AT22" i="37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AW92" i="35"/>
  <c r="AR92" i="35"/>
  <c r="AM92" i="35"/>
  <c r="AH92" i="35"/>
  <c r="AC92" i="35"/>
  <c r="X92" i="35"/>
  <c r="S92" i="35"/>
  <c r="AW91" i="35"/>
  <c r="AR91" i="35"/>
  <c r="AM91" i="35"/>
  <c r="AH91" i="35"/>
  <c r="AC91" i="35"/>
  <c r="X91" i="35"/>
  <c r="S91" i="35"/>
  <c r="AW90" i="35"/>
  <c r="AR90" i="35"/>
  <c r="AM90" i="35"/>
  <c r="AH90" i="35"/>
  <c r="AC90" i="35"/>
  <c r="X90" i="35"/>
  <c r="S90" i="35"/>
  <c r="AW89" i="35"/>
  <c r="AR89" i="35"/>
  <c r="AM89" i="35"/>
  <c r="AH89" i="35"/>
  <c r="AC89" i="35"/>
  <c r="X89" i="35"/>
  <c r="S89" i="35"/>
  <c r="AW88" i="35"/>
  <c r="AR88" i="35"/>
  <c r="AM88" i="35"/>
  <c r="AH88" i="35"/>
  <c r="AC88" i="35"/>
  <c r="X88" i="35"/>
  <c r="S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P42" i="35"/>
  <c r="P62" i="35" s="1"/>
  <c r="U22" i="35"/>
  <c r="Z22" i="35" s="1"/>
  <c r="AE22" i="35" s="1"/>
  <c r="AJ22" i="35" s="1"/>
  <c r="AO22" i="35" s="1"/>
  <c r="AT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AW93" i="34"/>
  <c r="AR93" i="34"/>
  <c r="AM93" i="34"/>
  <c r="AH93" i="34"/>
  <c r="AC93" i="34"/>
  <c r="X93" i="34"/>
  <c r="S93" i="34"/>
  <c r="AW92" i="34"/>
  <c r="AR92" i="34"/>
  <c r="AM92" i="34"/>
  <c r="AH92" i="34"/>
  <c r="AC92" i="34"/>
  <c r="X92" i="34"/>
  <c r="S92" i="34"/>
  <c r="AW91" i="34"/>
  <c r="AR91" i="34"/>
  <c r="AM91" i="34"/>
  <c r="AH91" i="34"/>
  <c r="AC91" i="34"/>
  <c r="X91" i="34"/>
  <c r="S91" i="34"/>
  <c r="AW90" i="34"/>
  <c r="AR90" i="34"/>
  <c r="AM90" i="34"/>
  <c r="AH90" i="34"/>
  <c r="AC90" i="34"/>
  <c r="X90" i="34"/>
  <c r="S90" i="34"/>
  <c r="AW89" i="34"/>
  <c r="AR89" i="34"/>
  <c r="AM89" i="34"/>
  <c r="AH89" i="34"/>
  <c r="AC89" i="34"/>
  <c r="X89" i="34"/>
  <c r="S89" i="34"/>
  <c r="AW88" i="34"/>
  <c r="AR88" i="34"/>
  <c r="AM88" i="34"/>
  <c r="AH88" i="34"/>
  <c r="AC88" i="34"/>
  <c r="X88" i="34"/>
  <c r="S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P42" i="34"/>
  <c r="P62" i="34" s="1"/>
  <c r="U22" i="34"/>
  <c r="Z22" i="34" s="1"/>
  <c r="AE22" i="34" s="1"/>
  <c r="AJ22" i="34" s="1"/>
  <c r="AO22" i="34" s="1"/>
  <c r="AT22" i="34" s="1"/>
  <c r="AW176" i="33"/>
  <c r="AR176" i="33"/>
  <c r="AM176" i="33"/>
  <c r="AH176" i="33"/>
  <c r="AC176" i="33"/>
  <c r="X176" i="33"/>
  <c r="S176" i="33"/>
  <c r="AW160" i="33"/>
  <c r="AR160" i="33"/>
  <c r="AM160" i="33"/>
  <c r="AH160" i="33"/>
  <c r="AC160" i="33"/>
  <c r="X160" i="33"/>
  <c r="S160" i="33"/>
  <c r="AW159" i="33"/>
  <c r="AR159" i="33"/>
  <c r="AM159" i="33"/>
  <c r="AH159" i="33"/>
  <c r="AC159" i="33"/>
  <c r="X159" i="33"/>
  <c r="S159" i="33"/>
  <c r="AW158" i="33"/>
  <c r="AR158" i="33"/>
  <c r="AM158" i="33"/>
  <c r="AH158" i="33"/>
  <c r="AC158" i="33"/>
  <c r="X158" i="33"/>
  <c r="S158" i="33"/>
  <c r="AW157" i="33"/>
  <c r="AR157" i="33"/>
  <c r="AM157" i="33"/>
  <c r="AH157" i="33"/>
  <c r="AC157" i="33"/>
  <c r="X157" i="33"/>
  <c r="S157" i="33"/>
  <c r="AW156" i="33"/>
  <c r="AR156" i="33"/>
  <c r="AM156" i="33"/>
  <c r="AH156" i="33"/>
  <c r="AC156" i="33"/>
  <c r="X156" i="33"/>
  <c r="S156" i="33"/>
  <c r="AW155" i="33"/>
  <c r="AR155" i="33"/>
  <c r="AM155" i="33"/>
  <c r="AH155" i="33"/>
  <c r="AC155" i="33"/>
  <c r="X155" i="33"/>
  <c r="S155" i="33"/>
  <c r="AW154" i="33"/>
  <c r="AR154" i="33"/>
  <c r="AM154" i="33"/>
  <c r="AH154" i="33"/>
  <c r="AC154" i="33"/>
  <c r="X154" i="33"/>
  <c r="S154" i="33"/>
  <c r="AW153" i="33"/>
  <c r="AR153" i="33"/>
  <c r="AM153" i="33"/>
  <c r="AH153" i="33"/>
  <c r="AC153" i="33"/>
  <c r="X153" i="33"/>
  <c r="S153" i="33"/>
  <c r="AW152" i="33"/>
  <c r="AR152" i="33"/>
  <c r="AM152" i="33"/>
  <c r="AH152" i="33"/>
  <c r="AC152" i="33"/>
  <c r="X152" i="33"/>
  <c r="S152" i="33"/>
  <c r="AW151" i="33"/>
  <c r="AR151" i="33"/>
  <c r="AM151" i="33"/>
  <c r="AH151" i="33"/>
  <c r="AC151" i="33"/>
  <c r="X151" i="33"/>
  <c r="S151" i="33"/>
  <c r="AW150" i="33"/>
  <c r="AR150" i="33"/>
  <c r="AM150" i="33"/>
  <c r="AH150" i="33"/>
  <c r="AC150" i="33"/>
  <c r="X150" i="33"/>
  <c r="S150" i="33"/>
  <c r="AW149" i="33"/>
  <c r="AR149" i="33"/>
  <c r="AM149" i="33"/>
  <c r="AH149" i="33"/>
  <c r="AC149" i="33"/>
  <c r="X149" i="33"/>
  <c r="S149" i="33"/>
  <c r="AW148" i="33"/>
  <c r="AR148" i="33"/>
  <c r="AM148" i="33"/>
  <c r="AH148" i="33"/>
  <c r="AC148" i="33"/>
  <c r="X148" i="33"/>
  <c r="S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P72" i="33"/>
  <c r="P107" i="33" s="1"/>
  <c r="U37" i="33"/>
  <c r="Z37" i="33" s="1"/>
  <c r="AE37" i="33" s="1"/>
  <c r="AJ37" i="33" s="1"/>
  <c r="AO37" i="33" s="1"/>
  <c r="AT37" i="33" s="1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P42" i="31"/>
  <c r="P62" i="31" s="1"/>
  <c r="U22" i="31"/>
  <c r="Z22" i="31" s="1"/>
  <c r="AE22" i="31" s="1"/>
  <c r="AJ22" i="31" s="1"/>
  <c r="AO22" i="31" s="1"/>
  <c r="AT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AW95" i="32"/>
  <c r="AR95" i="32"/>
  <c r="AM95" i="32"/>
  <c r="AH95" i="32"/>
  <c r="AC95" i="32"/>
  <c r="X95" i="32"/>
  <c r="S95" i="32"/>
  <c r="AW94" i="32"/>
  <c r="AR94" i="32"/>
  <c r="AM94" i="32"/>
  <c r="AH94" i="32"/>
  <c r="AC94" i="32"/>
  <c r="X94" i="32"/>
  <c r="S94" i="32"/>
  <c r="AW93" i="32"/>
  <c r="AR93" i="32"/>
  <c r="AM93" i="32"/>
  <c r="AH93" i="32"/>
  <c r="AC93" i="32"/>
  <c r="X93" i="32"/>
  <c r="S93" i="32"/>
  <c r="AW92" i="32"/>
  <c r="AR92" i="32"/>
  <c r="AM92" i="32"/>
  <c r="AH92" i="32"/>
  <c r="AC92" i="32"/>
  <c r="X92" i="32"/>
  <c r="S92" i="32"/>
  <c r="AW91" i="32"/>
  <c r="AR91" i="32"/>
  <c r="AM91" i="32"/>
  <c r="AH91" i="32"/>
  <c r="AC91" i="32"/>
  <c r="X91" i="32"/>
  <c r="S91" i="32"/>
  <c r="AW90" i="32"/>
  <c r="AR90" i="32"/>
  <c r="AM90" i="32"/>
  <c r="AH90" i="32"/>
  <c r="AC90" i="32"/>
  <c r="X90" i="32"/>
  <c r="S90" i="32"/>
  <c r="AW89" i="32"/>
  <c r="AR89" i="32"/>
  <c r="AM89" i="32"/>
  <c r="AH89" i="32"/>
  <c r="AC89" i="32"/>
  <c r="X89" i="32"/>
  <c r="S89" i="32"/>
  <c r="AW88" i="32"/>
  <c r="AR88" i="32"/>
  <c r="AM88" i="32"/>
  <c r="AH88" i="32"/>
  <c r="AC88" i="32"/>
  <c r="X88" i="32"/>
  <c r="S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P42" i="32"/>
  <c r="P62" i="32" s="1"/>
  <c r="U22" i="32"/>
  <c r="Z22" i="32" s="1"/>
  <c r="AE22" i="32" s="1"/>
  <c r="AJ22" i="32" s="1"/>
  <c r="AO22" i="32" s="1"/>
  <c r="AT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AW92" i="30"/>
  <c r="AR92" i="30"/>
  <c r="AM92" i="30"/>
  <c r="AH92" i="30"/>
  <c r="AC92" i="30"/>
  <c r="X92" i="30"/>
  <c r="S92" i="30"/>
  <c r="AW91" i="30"/>
  <c r="AR91" i="30"/>
  <c r="AM91" i="30"/>
  <c r="AH91" i="30"/>
  <c r="AC91" i="30"/>
  <c r="X91" i="30"/>
  <c r="S91" i="30"/>
  <c r="AW90" i="30"/>
  <c r="AR90" i="30"/>
  <c r="AM90" i="30"/>
  <c r="AH90" i="30"/>
  <c r="AC90" i="30"/>
  <c r="X90" i="30"/>
  <c r="S90" i="30"/>
  <c r="AW89" i="30"/>
  <c r="AR89" i="30"/>
  <c r="AM89" i="30"/>
  <c r="AH89" i="30"/>
  <c r="AC89" i="30"/>
  <c r="X89" i="30"/>
  <c r="S89" i="30"/>
  <c r="AW88" i="30"/>
  <c r="AR88" i="30"/>
  <c r="AM88" i="30"/>
  <c r="AH88" i="30"/>
  <c r="AC88" i="30"/>
  <c r="X88" i="30"/>
  <c r="S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P42" i="30"/>
  <c r="P62" i="30" s="1"/>
  <c r="U22" i="30"/>
  <c r="Z22" i="30" s="1"/>
  <c r="AE22" i="30" s="1"/>
  <c r="AJ22" i="30" s="1"/>
  <c r="AO22" i="30" s="1"/>
  <c r="AT22" i="30" s="1"/>
  <c r="AW176" i="8"/>
  <c r="AR176" i="8"/>
  <c r="AM176" i="8"/>
  <c r="AH176" i="8"/>
  <c r="AC176" i="8"/>
  <c r="X176" i="8"/>
  <c r="S176" i="8"/>
  <c r="AW160" i="8"/>
  <c r="AR160" i="8"/>
  <c r="AM160" i="8"/>
  <c r="AH160" i="8"/>
  <c r="AC160" i="8"/>
  <c r="X160" i="8"/>
  <c r="S160" i="8"/>
  <c r="AW159" i="8"/>
  <c r="AR159" i="8"/>
  <c r="AM159" i="8"/>
  <c r="AH159" i="8"/>
  <c r="AC159" i="8"/>
  <c r="X159" i="8"/>
  <c r="S159" i="8"/>
  <c r="AW158" i="8"/>
  <c r="AR158" i="8"/>
  <c r="AM158" i="8"/>
  <c r="AH158" i="8"/>
  <c r="AC158" i="8"/>
  <c r="X158" i="8"/>
  <c r="S158" i="8"/>
  <c r="AW157" i="8"/>
  <c r="AR157" i="8"/>
  <c r="AM157" i="8"/>
  <c r="AH157" i="8"/>
  <c r="AC157" i="8"/>
  <c r="X157" i="8"/>
  <c r="S157" i="8"/>
  <c r="AW156" i="8"/>
  <c r="AR156" i="8"/>
  <c r="AM156" i="8"/>
  <c r="AH156" i="8"/>
  <c r="AC156" i="8"/>
  <c r="X156" i="8"/>
  <c r="S156" i="8"/>
  <c r="AW155" i="8"/>
  <c r="AR155" i="8"/>
  <c r="AM155" i="8"/>
  <c r="AH155" i="8"/>
  <c r="AC155" i="8"/>
  <c r="X155" i="8"/>
  <c r="S155" i="8"/>
  <c r="AW154" i="8"/>
  <c r="AR154" i="8"/>
  <c r="AM154" i="8"/>
  <c r="AH154" i="8"/>
  <c r="AC154" i="8"/>
  <c r="X154" i="8"/>
  <c r="S154" i="8"/>
  <c r="AW153" i="8"/>
  <c r="AR153" i="8"/>
  <c r="AM153" i="8"/>
  <c r="AH153" i="8"/>
  <c r="AC153" i="8"/>
  <c r="X153" i="8"/>
  <c r="S153" i="8"/>
  <c r="AW152" i="8"/>
  <c r="AR152" i="8"/>
  <c r="AM152" i="8"/>
  <c r="AH152" i="8"/>
  <c r="AC152" i="8"/>
  <c r="X152" i="8"/>
  <c r="S152" i="8"/>
  <c r="AW151" i="8"/>
  <c r="AR151" i="8"/>
  <c r="AM151" i="8"/>
  <c r="AH151" i="8"/>
  <c r="AC151" i="8"/>
  <c r="X151" i="8"/>
  <c r="S151" i="8"/>
  <c r="AW150" i="8"/>
  <c r="AR150" i="8"/>
  <c r="AM150" i="8"/>
  <c r="AH150" i="8"/>
  <c r="AC150" i="8"/>
  <c r="X150" i="8"/>
  <c r="S150" i="8"/>
  <c r="AW149" i="8"/>
  <c r="AR149" i="8"/>
  <c r="AM149" i="8"/>
  <c r="AH149" i="8"/>
  <c r="AC149" i="8"/>
  <c r="X149" i="8"/>
  <c r="S149" i="8"/>
  <c r="AW148" i="8"/>
  <c r="AR148" i="8"/>
  <c r="AM148" i="8"/>
  <c r="AH148" i="8"/>
  <c r="AC148" i="8"/>
  <c r="X148" i="8"/>
  <c r="S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P72" i="8"/>
  <c r="P107" i="8" s="1"/>
  <c r="U37" i="8"/>
  <c r="Z37" i="8" s="1"/>
  <c r="AE37" i="8" s="1"/>
  <c r="AJ37" i="8" s="1"/>
  <c r="AO37" i="8" s="1"/>
  <c r="AT37" i="8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AW90" i="36"/>
  <c r="AR90" i="36"/>
  <c r="AM90" i="36"/>
  <c r="AH90" i="36"/>
  <c r="AC90" i="36"/>
  <c r="X90" i="36"/>
  <c r="S90" i="36"/>
  <c r="AW89" i="36"/>
  <c r="AR89" i="36"/>
  <c r="AM89" i="36"/>
  <c r="AH89" i="36"/>
  <c r="AC89" i="36"/>
  <c r="X89" i="36"/>
  <c r="S89" i="36"/>
  <c r="AW88" i="36"/>
  <c r="AR88" i="36"/>
  <c r="AM88" i="36"/>
  <c r="AH88" i="36"/>
  <c r="AC88" i="36"/>
  <c r="X88" i="36"/>
  <c r="S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P42" i="36"/>
  <c r="P62" i="36" s="1"/>
  <c r="U22" i="36"/>
  <c r="Z22" i="36" s="1"/>
  <c r="AE22" i="36" s="1"/>
  <c r="AJ22" i="36" s="1"/>
  <c r="AO22" i="36" s="1"/>
  <c r="AT22" i="36" s="1"/>
  <c r="U62" i="37" l="1"/>
  <c r="Z62" i="37" s="1"/>
  <c r="AE62" i="37" s="1"/>
  <c r="AJ62" i="37" s="1"/>
  <c r="AO62" i="37" s="1"/>
  <c r="AT62" i="37" s="1"/>
  <c r="P82" i="37"/>
  <c r="U82" i="37" s="1"/>
  <c r="Z82" i="37" s="1"/>
  <c r="AE82" i="37" s="1"/>
  <c r="AJ82" i="37" s="1"/>
  <c r="AO82" i="37" s="1"/>
  <c r="AT82" i="37" s="1"/>
  <c r="U42" i="37"/>
  <c r="Z42" i="37" s="1"/>
  <c r="AE42" i="37" s="1"/>
  <c r="AJ42" i="37" s="1"/>
  <c r="AO42" i="37" s="1"/>
  <c r="AT42" i="37" s="1"/>
  <c r="U62" i="35"/>
  <c r="Z62" i="35" s="1"/>
  <c r="AE62" i="35" s="1"/>
  <c r="AJ62" i="35" s="1"/>
  <c r="AO62" i="35" s="1"/>
  <c r="AT62" i="35" s="1"/>
  <c r="P82" i="35"/>
  <c r="U82" i="35" s="1"/>
  <c r="Z82" i="35" s="1"/>
  <c r="AE82" i="35" s="1"/>
  <c r="AJ82" i="35" s="1"/>
  <c r="AO82" i="35" s="1"/>
  <c r="AT82" i="35" s="1"/>
  <c r="U42" i="35"/>
  <c r="Z42" i="35" s="1"/>
  <c r="AE42" i="35" s="1"/>
  <c r="AJ42" i="35" s="1"/>
  <c r="AO42" i="35" s="1"/>
  <c r="AT42" i="35" s="1"/>
  <c r="U62" i="34"/>
  <c r="Z62" i="34" s="1"/>
  <c r="AE62" i="34" s="1"/>
  <c r="AJ62" i="34" s="1"/>
  <c r="AO62" i="34" s="1"/>
  <c r="AT62" i="34" s="1"/>
  <c r="P82" i="34"/>
  <c r="U82" i="34" s="1"/>
  <c r="Z82" i="34" s="1"/>
  <c r="AE82" i="34" s="1"/>
  <c r="AJ82" i="34" s="1"/>
  <c r="AO82" i="34" s="1"/>
  <c r="AT82" i="34" s="1"/>
  <c r="U42" i="34"/>
  <c r="Z42" i="34" s="1"/>
  <c r="AE42" i="34" s="1"/>
  <c r="AJ42" i="34" s="1"/>
  <c r="AO42" i="34" s="1"/>
  <c r="AT42" i="34" s="1"/>
  <c r="U107" i="33"/>
  <c r="Z107" i="33" s="1"/>
  <c r="AE107" i="33" s="1"/>
  <c r="AJ107" i="33" s="1"/>
  <c r="AO107" i="33" s="1"/>
  <c r="AT107" i="33" s="1"/>
  <c r="P142" i="33"/>
  <c r="U142" i="33" s="1"/>
  <c r="Z142" i="33" s="1"/>
  <c r="AE142" i="33" s="1"/>
  <c r="AJ142" i="33" s="1"/>
  <c r="AO142" i="33" s="1"/>
  <c r="AT142" i="33" s="1"/>
  <c r="U72" i="33"/>
  <c r="Z72" i="33" s="1"/>
  <c r="AE72" i="33" s="1"/>
  <c r="AJ72" i="33" s="1"/>
  <c r="AO72" i="33" s="1"/>
  <c r="AT72" i="33" s="1"/>
  <c r="U62" i="31"/>
  <c r="Z62" i="31" s="1"/>
  <c r="AE62" i="31" s="1"/>
  <c r="AJ62" i="31" s="1"/>
  <c r="AO62" i="31" s="1"/>
  <c r="AT62" i="31" s="1"/>
  <c r="P82" i="31"/>
  <c r="U82" i="31" s="1"/>
  <c r="Z82" i="31" s="1"/>
  <c r="AE82" i="31" s="1"/>
  <c r="AJ82" i="31" s="1"/>
  <c r="AO82" i="31" s="1"/>
  <c r="AT82" i="31" s="1"/>
  <c r="U42" i="31"/>
  <c r="Z42" i="31" s="1"/>
  <c r="AE42" i="31" s="1"/>
  <c r="AJ42" i="31" s="1"/>
  <c r="AO42" i="31" s="1"/>
  <c r="AT42" i="31" s="1"/>
  <c r="U62" i="32"/>
  <c r="Z62" i="32" s="1"/>
  <c r="AE62" i="32" s="1"/>
  <c r="AJ62" i="32" s="1"/>
  <c r="AO62" i="32" s="1"/>
  <c r="AT62" i="32" s="1"/>
  <c r="P82" i="32"/>
  <c r="U82" i="32" s="1"/>
  <c r="Z82" i="32" s="1"/>
  <c r="AE82" i="32" s="1"/>
  <c r="AJ82" i="32" s="1"/>
  <c r="AO82" i="32" s="1"/>
  <c r="AT82" i="32" s="1"/>
  <c r="U42" i="32"/>
  <c r="Z42" i="32" s="1"/>
  <c r="AE42" i="32" s="1"/>
  <c r="AJ42" i="32" s="1"/>
  <c r="AO42" i="32" s="1"/>
  <c r="AT42" i="32" s="1"/>
  <c r="U62" i="30"/>
  <c r="Z62" i="30" s="1"/>
  <c r="AE62" i="30" s="1"/>
  <c r="AJ62" i="30" s="1"/>
  <c r="AO62" i="30" s="1"/>
  <c r="AT62" i="30" s="1"/>
  <c r="P82" i="30"/>
  <c r="U82" i="30" s="1"/>
  <c r="Z82" i="30" s="1"/>
  <c r="AE82" i="30" s="1"/>
  <c r="AJ82" i="30" s="1"/>
  <c r="AO82" i="30" s="1"/>
  <c r="AT82" i="30" s="1"/>
  <c r="U42" i="30"/>
  <c r="Z42" i="30" s="1"/>
  <c r="AE42" i="30" s="1"/>
  <c r="AJ42" i="30" s="1"/>
  <c r="AO42" i="30" s="1"/>
  <c r="AT42" i="30" s="1"/>
  <c r="U107" i="8"/>
  <c r="Z107" i="8" s="1"/>
  <c r="AE107" i="8" s="1"/>
  <c r="AJ107" i="8" s="1"/>
  <c r="AO107" i="8" s="1"/>
  <c r="AT107" i="8" s="1"/>
  <c r="P142" i="8"/>
  <c r="U142" i="8" s="1"/>
  <c r="Z142" i="8" s="1"/>
  <c r="AE142" i="8" s="1"/>
  <c r="AJ142" i="8" s="1"/>
  <c r="AO142" i="8" s="1"/>
  <c r="AT142" i="8" s="1"/>
  <c r="U72" i="8"/>
  <c r="Z72" i="8" s="1"/>
  <c r="AE72" i="8" s="1"/>
  <c r="AJ72" i="8" s="1"/>
  <c r="AO72" i="8" s="1"/>
  <c r="AT72" i="8" s="1"/>
  <c r="U62" i="36"/>
  <c r="Z62" i="36" s="1"/>
  <c r="AE62" i="36" s="1"/>
  <c r="AJ62" i="36" s="1"/>
  <c r="AO62" i="36" s="1"/>
  <c r="AT62" i="36" s="1"/>
  <c r="P82" i="36"/>
  <c r="U82" i="36" s="1"/>
  <c r="Z82" i="36" s="1"/>
  <c r="AE82" i="36" s="1"/>
  <c r="AJ82" i="36" s="1"/>
  <c r="AO82" i="36" s="1"/>
  <c r="AT82" i="36" s="1"/>
  <c r="U42" i="36"/>
  <c r="Z42" i="36" s="1"/>
  <c r="AE42" i="36" s="1"/>
  <c r="AJ42" i="36" s="1"/>
  <c r="AO42" i="36" s="1"/>
  <c r="AT42" i="36" s="1"/>
  <c r="G14" i="40" l="1"/>
  <c r="AA7" i="43"/>
  <c r="AH23" i="43"/>
  <c r="AG23" i="43"/>
  <c r="AF23" i="43"/>
  <c r="AE23" i="43"/>
  <c r="AD23" i="43"/>
  <c r="AC23" i="43"/>
  <c r="AB23" i="43"/>
  <c r="AA23" i="43"/>
  <c r="AH22" i="43"/>
  <c r="AG22" i="43"/>
  <c r="AF22" i="43"/>
  <c r="AE22" i="43"/>
  <c r="AD22" i="43"/>
  <c r="AC22" i="43"/>
  <c r="AB22" i="43"/>
  <c r="AA22" i="43"/>
  <c r="Z22" i="43"/>
  <c r="AH19" i="43"/>
  <c r="AG19" i="43"/>
  <c r="AF19" i="43"/>
  <c r="AE19" i="43"/>
  <c r="AD19" i="43"/>
  <c r="AC19" i="43"/>
  <c r="AB19" i="43"/>
  <c r="AA19" i="43"/>
  <c r="AH18" i="43"/>
  <c r="AG18" i="43"/>
  <c r="AF18" i="43"/>
  <c r="AE18" i="43"/>
  <c r="AD18" i="43"/>
  <c r="AC18" i="43"/>
  <c r="AB18" i="43"/>
  <c r="AA18" i="43"/>
  <c r="Z18" i="43"/>
  <c r="AH16" i="43"/>
  <c r="AG16" i="43"/>
  <c r="AF16" i="43"/>
  <c r="AE16" i="43"/>
  <c r="AD16" i="43"/>
  <c r="AC16" i="43"/>
  <c r="AB16" i="43"/>
  <c r="AA16" i="43"/>
  <c r="AH15" i="43"/>
  <c r="AG15" i="43"/>
  <c r="AF15" i="43"/>
  <c r="AE15" i="43"/>
  <c r="AD15" i="43"/>
  <c r="AC15" i="43"/>
  <c r="AB15" i="43"/>
  <c r="AA15" i="43"/>
  <c r="Z15" i="43"/>
  <c r="AH13" i="43"/>
  <c r="AG13" i="43"/>
  <c r="AF13" i="43"/>
  <c r="AE13" i="43"/>
  <c r="AD13" i="43"/>
  <c r="AC13" i="43"/>
  <c r="AB13" i="43"/>
  <c r="AA13" i="43"/>
  <c r="AH12" i="43"/>
  <c r="AG12" i="43"/>
  <c r="AF12" i="43"/>
  <c r="AE12" i="43"/>
  <c r="AD12" i="43"/>
  <c r="AC12" i="43"/>
  <c r="AB12" i="43"/>
  <c r="AA12" i="43"/>
  <c r="Z12" i="43"/>
  <c r="AH10" i="43"/>
  <c r="AG10" i="43"/>
  <c r="AF10" i="43"/>
  <c r="AE10" i="43"/>
  <c r="AD10" i="43"/>
  <c r="AC10" i="43"/>
  <c r="AB10" i="43"/>
  <c r="AA10" i="43"/>
  <c r="AH9" i="43"/>
  <c r="AG9" i="43"/>
  <c r="AF9" i="43"/>
  <c r="AE9" i="43"/>
  <c r="AD9" i="43"/>
  <c r="AC9" i="43"/>
  <c r="AB9" i="43"/>
  <c r="AA9" i="43"/>
  <c r="Z9" i="43"/>
  <c r="AH7" i="43"/>
  <c r="AG7" i="43"/>
  <c r="AF7" i="43"/>
  <c r="AE7" i="43"/>
  <c r="AD7" i="43"/>
  <c r="AC7" i="43"/>
  <c r="AB7" i="43"/>
  <c r="Z7" i="43"/>
  <c r="AA23" i="29"/>
  <c r="AB13" i="29"/>
  <c r="Q19" i="1"/>
  <c r="AB19" i="29"/>
  <c r="AC19" i="29"/>
  <c r="AD19" i="29"/>
  <c r="AE19" i="29"/>
  <c r="AF19" i="29"/>
  <c r="AG19" i="29"/>
  <c r="AH19" i="29"/>
  <c r="AA19" i="29"/>
  <c r="AB16" i="29"/>
  <c r="AC16" i="29"/>
  <c r="AD16" i="29"/>
  <c r="AE16" i="29"/>
  <c r="AF16" i="29"/>
  <c r="AG16" i="29"/>
  <c r="AH16" i="29"/>
  <c r="AA16" i="29"/>
  <c r="AC13" i="29"/>
  <c r="AD13" i="29"/>
  <c r="AE13" i="29"/>
  <c r="AF13" i="29"/>
  <c r="AG13" i="29"/>
  <c r="AH13" i="29"/>
  <c r="AA13" i="29"/>
  <c r="AH10" i="29"/>
  <c r="AB10" i="29"/>
  <c r="AC10" i="29"/>
  <c r="AD10" i="29"/>
  <c r="AE10" i="29"/>
  <c r="AF10" i="29"/>
  <c r="AG10" i="29"/>
  <c r="AA10" i="29"/>
  <c r="Z22" i="29"/>
  <c r="AB18" i="29"/>
  <c r="AC18" i="29"/>
  <c r="AD18" i="29"/>
  <c r="AE18" i="29"/>
  <c r="AF18" i="29"/>
  <c r="AG18" i="29"/>
  <c r="AH18" i="29"/>
  <c r="AA18" i="29"/>
  <c r="AB15" i="29"/>
  <c r="AC15" i="29"/>
  <c r="AD15" i="29"/>
  <c r="AE15" i="29"/>
  <c r="AF15" i="29"/>
  <c r="AG15" i="29"/>
  <c r="AH15" i="29"/>
  <c r="AA15" i="29"/>
  <c r="AB12" i="29"/>
  <c r="AC12" i="29"/>
  <c r="AD12" i="29"/>
  <c r="AE12" i="29"/>
  <c r="AF12" i="29"/>
  <c r="AG12" i="29"/>
  <c r="AH12" i="29"/>
  <c r="AA12" i="29"/>
  <c r="AB9" i="29"/>
  <c r="AH9" i="29"/>
  <c r="AG9" i="29"/>
  <c r="AF9" i="29"/>
  <c r="AE9" i="29"/>
  <c r="AD9" i="29"/>
  <c r="AC9" i="29"/>
  <c r="AA9" i="29"/>
  <c r="AA7" i="29"/>
  <c r="Z18" i="29"/>
  <c r="Z15" i="29"/>
  <c r="Z12" i="29"/>
  <c r="Z9" i="29"/>
  <c r="AH7" i="29"/>
  <c r="AG7" i="29"/>
  <c r="AF7" i="29"/>
  <c r="AE7" i="29"/>
  <c r="AD7" i="29"/>
  <c r="AC7" i="29"/>
  <c r="AB7" i="29"/>
  <c r="Z7" i="29"/>
  <c r="C10" i="41"/>
  <c r="C9" i="41"/>
  <c r="AA22" i="29" l="1"/>
  <c r="C10" i="40"/>
  <c r="C9" i="40"/>
  <c r="J24" i="39"/>
  <c r="D24" i="39"/>
  <c r="G5" i="5" l="1"/>
  <c r="V5" i="5"/>
  <c r="S5" i="5"/>
  <c r="P5" i="5"/>
  <c r="M5" i="5"/>
  <c r="I6" i="5"/>
  <c r="I7" i="5"/>
  <c r="I8" i="5"/>
  <c r="I9" i="5"/>
  <c r="I10" i="5"/>
  <c r="I11" i="5"/>
  <c r="I12" i="5"/>
  <c r="I13" i="5"/>
  <c r="I14" i="5"/>
  <c r="I15" i="5"/>
  <c r="I5" i="5"/>
  <c r="J5" i="5" l="1"/>
  <c r="L20" i="21"/>
  <c r="AC7" i="6"/>
  <c r="S7" i="6"/>
  <c r="M7" i="6"/>
  <c r="F7" i="6" l="1"/>
  <c r="T7" i="6" l="1"/>
  <c r="L7" i="6"/>
  <c r="J7" i="6"/>
  <c r="AB22" i="29"/>
  <c r="B6" i="13" l="1"/>
  <c r="E6" i="13" s="1"/>
  <c r="E6" i="39"/>
  <c r="K92" i="37"/>
  <c r="J92" i="37"/>
  <c r="I92" i="37"/>
  <c r="K91" i="37"/>
  <c r="J91" i="37"/>
  <c r="I91" i="37"/>
  <c r="K90" i="37"/>
  <c r="J90" i="37"/>
  <c r="I90" i="37"/>
  <c r="K89" i="37"/>
  <c r="J89" i="37"/>
  <c r="I89" i="37"/>
  <c r="K88" i="37"/>
  <c r="J88" i="37"/>
  <c r="I88" i="37"/>
  <c r="K87" i="37"/>
  <c r="J87" i="37"/>
  <c r="I87" i="37"/>
  <c r="H87" i="37"/>
  <c r="K91" i="36"/>
  <c r="J91" i="36"/>
  <c r="I91" i="36"/>
  <c r="K90" i="36"/>
  <c r="J90" i="36"/>
  <c r="I90" i="36"/>
  <c r="K89" i="36"/>
  <c r="J89" i="36"/>
  <c r="I89" i="36"/>
  <c r="K88" i="36"/>
  <c r="J88" i="36"/>
  <c r="I88" i="36"/>
  <c r="K87" i="36"/>
  <c r="J87" i="36"/>
  <c r="I87" i="36"/>
  <c r="H87" i="36"/>
  <c r="K93" i="35"/>
  <c r="J93" i="35"/>
  <c r="I93" i="35"/>
  <c r="K92" i="35"/>
  <c r="J92" i="35"/>
  <c r="I92" i="35"/>
  <c r="K91" i="35"/>
  <c r="J91" i="35"/>
  <c r="I91" i="35"/>
  <c r="K90" i="35"/>
  <c r="J90" i="35"/>
  <c r="I90" i="35"/>
  <c r="K89" i="35"/>
  <c r="J89" i="35"/>
  <c r="I89" i="35"/>
  <c r="K88" i="35"/>
  <c r="J88" i="35"/>
  <c r="I88" i="35"/>
  <c r="K87" i="35"/>
  <c r="J87" i="35"/>
  <c r="I87" i="35"/>
  <c r="H87" i="35"/>
  <c r="K94" i="34"/>
  <c r="J94" i="34"/>
  <c r="I94" i="34"/>
  <c r="K93" i="34"/>
  <c r="J93" i="34"/>
  <c r="I93" i="34"/>
  <c r="K92" i="34"/>
  <c r="J92" i="34"/>
  <c r="I92" i="34"/>
  <c r="K91" i="34"/>
  <c r="J91" i="34"/>
  <c r="I91" i="34"/>
  <c r="K90" i="34"/>
  <c r="J90" i="34"/>
  <c r="I90" i="34"/>
  <c r="K89" i="34"/>
  <c r="J89" i="34"/>
  <c r="I89" i="34"/>
  <c r="K88" i="34"/>
  <c r="J88" i="34"/>
  <c r="I88" i="34"/>
  <c r="K87" i="34"/>
  <c r="J87" i="34"/>
  <c r="I87" i="34"/>
  <c r="H87" i="34"/>
  <c r="K147" i="33"/>
  <c r="J147" i="33"/>
  <c r="I147" i="33"/>
  <c r="H147" i="33"/>
  <c r="K96" i="32"/>
  <c r="J96" i="32"/>
  <c r="I96" i="32"/>
  <c r="K95" i="32"/>
  <c r="J95" i="32"/>
  <c r="I95" i="32"/>
  <c r="K94" i="32"/>
  <c r="J94" i="32"/>
  <c r="I94" i="32"/>
  <c r="K93" i="32"/>
  <c r="J93" i="32"/>
  <c r="I93" i="32"/>
  <c r="K92" i="32"/>
  <c r="J92" i="32"/>
  <c r="I92" i="32"/>
  <c r="K91" i="32"/>
  <c r="J91" i="32"/>
  <c r="I91" i="32"/>
  <c r="K90" i="32"/>
  <c r="J90" i="32"/>
  <c r="I90" i="32"/>
  <c r="K89" i="32"/>
  <c r="J89" i="32"/>
  <c r="I89" i="32"/>
  <c r="K88" i="32"/>
  <c r="J88" i="32"/>
  <c r="I88" i="32"/>
  <c r="K87" i="32"/>
  <c r="J87" i="32"/>
  <c r="I87" i="32"/>
  <c r="H87" i="32"/>
  <c r="K87" i="31"/>
  <c r="J87" i="31"/>
  <c r="I87" i="31"/>
  <c r="H87" i="31"/>
  <c r="M96" i="30"/>
  <c r="M95" i="30"/>
  <c r="M94" i="30"/>
  <c r="M93" i="30"/>
  <c r="M92" i="30"/>
  <c r="M91" i="30"/>
  <c r="M90" i="30"/>
  <c r="M89" i="30"/>
  <c r="M88" i="30"/>
  <c r="H87" i="30"/>
  <c r="M96" i="31" l="1"/>
  <c r="M61" i="31"/>
  <c r="M58" i="31"/>
  <c r="M55" i="31"/>
  <c r="M52" i="31"/>
  <c r="M49" i="31"/>
  <c r="M79" i="31"/>
  <c r="M76" i="31"/>
  <c r="M73" i="31"/>
  <c r="M70" i="31"/>
  <c r="M78" i="31"/>
  <c r="M59" i="31"/>
  <c r="M56" i="31"/>
  <c r="M53" i="31"/>
  <c r="M50" i="31"/>
  <c r="M80" i="31"/>
  <c r="M77" i="31"/>
  <c r="M74" i="31"/>
  <c r="M71" i="31"/>
  <c r="M68" i="31"/>
  <c r="M69" i="31"/>
  <c r="M72" i="31"/>
  <c r="M60" i="31"/>
  <c r="M57" i="31"/>
  <c r="M54" i="31"/>
  <c r="M51" i="31"/>
  <c r="M48" i="31"/>
  <c r="M75" i="31"/>
  <c r="M81" i="31"/>
  <c r="M61" i="35"/>
  <c r="M58" i="35"/>
  <c r="M55" i="35"/>
  <c r="M80" i="35"/>
  <c r="M81" i="35"/>
  <c r="M78" i="35"/>
  <c r="M75" i="35"/>
  <c r="M77" i="35"/>
  <c r="M59" i="35"/>
  <c r="M56" i="35"/>
  <c r="M79" i="35"/>
  <c r="M76" i="35"/>
  <c r="M60" i="35"/>
  <c r="M57" i="35"/>
  <c r="M54" i="35"/>
  <c r="M74" i="35"/>
  <c r="M61" i="36"/>
  <c r="M58" i="36"/>
  <c r="M55" i="36"/>
  <c r="M52" i="36"/>
  <c r="M79" i="36"/>
  <c r="M76" i="36"/>
  <c r="M73" i="36"/>
  <c r="M59" i="36"/>
  <c r="M56" i="36"/>
  <c r="M53" i="36"/>
  <c r="M80" i="36"/>
  <c r="M77" i="36"/>
  <c r="M74" i="36"/>
  <c r="M60" i="36"/>
  <c r="M57" i="36"/>
  <c r="M54" i="36"/>
  <c r="M81" i="36"/>
  <c r="M78" i="36"/>
  <c r="M75" i="36"/>
  <c r="M72" i="36"/>
  <c r="M61" i="34"/>
  <c r="M58" i="34"/>
  <c r="M55" i="34"/>
  <c r="M80" i="34"/>
  <c r="M77" i="34"/>
  <c r="M59" i="34"/>
  <c r="M56" i="34"/>
  <c r="M81" i="34"/>
  <c r="M78" i="34"/>
  <c r="M75" i="34"/>
  <c r="M60" i="34"/>
  <c r="M57" i="34"/>
  <c r="M79" i="34"/>
  <c r="M76" i="34"/>
  <c r="M79" i="32"/>
  <c r="M59" i="32"/>
  <c r="M80" i="32"/>
  <c r="M77" i="32"/>
  <c r="M60" i="32"/>
  <c r="M57" i="32"/>
  <c r="M81" i="32"/>
  <c r="M78" i="32"/>
  <c r="M61" i="32"/>
  <c r="M58" i="32"/>
  <c r="M80" i="37"/>
  <c r="M77" i="37"/>
  <c r="M74" i="37"/>
  <c r="M60" i="37"/>
  <c r="M57" i="37"/>
  <c r="M54" i="37"/>
  <c r="M81" i="37"/>
  <c r="M78" i="37"/>
  <c r="M75" i="37"/>
  <c r="M61" i="37"/>
  <c r="M58" i="37"/>
  <c r="M55" i="37"/>
  <c r="M79" i="37"/>
  <c r="M76" i="37"/>
  <c r="M73" i="37"/>
  <c r="M59" i="37"/>
  <c r="M56" i="37"/>
  <c r="M53" i="37"/>
  <c r="L147" i="33"/>
  <c r="M141" i="33"/>
  <c r="M138" i="33"/>
  <c r="M106" i="33"/>
  <c r="M103" i="33"/>
  <c r="M139" i="33"/>
  <c r="M136" i="33"/>
  <c r="M104" i="33"/>
  <c r="M101" i="33"/>
  <c r="M140" i="33"/>
  <c r="M137" i="33"/>
  <c r="M105" i="33"/>
  <c r="M102" i="33"/>
  <c r="M96" i="37"/>
  <c r="M95" i="37"/>
  <c r="M88" i="34"/>
  <c r="M151" i="33"/>
  <c r="M148" i="33"/>
  <c r="M152" i="33"/>
  <c r="M156" i="33"/>
  <c r="M153" i="33"/>
  <c r="M149" i="33"/>
  <c r="M150" i="33"/>
  <c r="M154" i="33"/>
  <c r="M155" i="33"/>
  <c r="M93" i="37"/>
  <c r="M94" i="37"/>
  <c r="M97" i="37"/>
  <c r="M88" i="37"/>
  <c r="M92" i="37"/>
  <c r="M91" i="37"/>
  <c r="M90" i="37"/>
  <c r="M89" i="37"/>
  <c r="M95" i="36"/>
  <c r="M90" i="36"/>
  <c r="M92" i="36"/>
  <c r="M96" i="36"/>
  <c r="M89" i="36"/>
  <c r="M93" i="36"/>
  <c r="M88" i="36"/>
  <c r="M94" i="36"/>
  <c r="M91" i="36"/>
  <c r="M95" i="35"/>
  <c r="M88" i="35"/>
  <c r="M94" i="35"/>
  <c r="M96" i="35"/>
  <c r="M91" i="35"/>
  <c r="M90" i="35"/>
  <c r="M89" i="35"/>
  <c r="M93" i="35"/>
  <c r="M92" i="35"/>
  <c r="M95" i="34"/>
  <c r="M96" i="34"/>
  <c r="M89" i="34"/>
  <c r="M93" i="34"/>
  <c r="M92" i="34"/>
  <c r="M91" i="34"/>
  <c r="M90" i="34"/>
  <c r="M94" i="34"/>
  <c r="M89" i="31"/>
  <c r="M93" i="31"/>
  <c r="M90" i="31"/>
  <c r="M94" i="31"/>
  <c r="M91" i="31"/>
  <c r="M95" i="31"/>
  <c r="M88" i="31"/>
  <c r="M92" i="31"/>
  <c r="M88" i="32"/>
  <c r="M92" i="32"/>
  <c r="M96" i="32"/>
  <c r="M91" i="32"/>
  <c r="M95" i="32"/>
  <c r="M90" i="32"/>
  <c r="M94" i="32"/>
  <c r="M89" i="32"/>
  <c r="M93" i="32"/>
  <c r="M150" i="8"/>
  <c r="M154" i="8"/>
  <c r="M149" i="8"/>
  <c r="M153" i="8"/>
  <c r="M148" i="8"/>
  <c r="M152" i="8"/>
  <c r="M156" i="8"/>
  <c r="M151" i="8"/>
  <c r="M155" i="8"/>
  <c r="M101" i="34"/>
  <c r="L87" i="34"/>
  <c r="M101" i="30"/>
  <c r="L87" i="30"/>
  <c r="M99" i="32"/>
  <c r="L87" i="32"/>
  <c r="D32" i="39"/>
  <c r="M101" i="36"/>
  <c r="L87" i="36"/>
  <c r="M98" i="31"/>
  <c r="L87" i="31"/>
  <c r="C34" i="39"/>
  <c r="M101" i="37"/>
  <c r="L87" i="37"/>
  <c r="M157" i="8"/>
  <c r="L147" i="8"/>
  <c r="M166" i="8"/>
  <c r="M175" i="8"/>
  <c r="M163" i="8"/>
  <c r="M174" i="8"/>
  <c r="M171" i="8"/>
  <c r="M168" i="8"/>
  <c r="M165" i="8"/>
  <c r="M162" i="8"/>
  <c r="M172" i="8"/>
  <c r="M169" i="8"/>
  <c r="M173" i="8"/>
  <c r="M170" i="8"/>
  <c r="M167" i="8"/>
  <c r="M164" i="8"/>
  <c r="M161" i="8"/>
  <c r="M101" i="35"/>
  <c r="L87" i="35"/>
  <c r="M98" i="30"/>
  <c r="M176" i="33"/>
  <c r="M174" i="33"/>
  <c r="M175" i="33"/>
  <c r="M172" i="33"/>
  <c r="M169" i="33"/>
  <c r="M166" i="33"/>
  <c r="M163" i="33"/>
  <c r="M173" i="33"/>
  <c r="M170" i="33"/>
  <c r="M167" i="33"/>
  <c r="M164" i="33"/>
  <c r="M161" i="33"/>
  <c r="M171" i="33"/>
  <c r="M168" i="33"/>
  <c r="M165" i="33"/>
  <c r="M162" i="33"/>
  <c r="M97" i="34"/>
  <c r="M100" i="34"/>
  <c r="M160" i="33"/>
  <c r="M158" i="33"/>
  <c r="M98" i="32"/>
  <c r="M97" i="30"/>
  <c r="M160" i="8"/>
  <c r="M159" i="8"/>
  <c r="M147" i="8"/>
  <c r="M158" i="8"/>
  <c r="M176" i="8"/>
  <c r="M98" i="37"/>
  <c r="M99" i="37"/>
  <c r="M100" i="37"/>
  <c r="M87" i="37"/>
  <c r="M97" i="36"/>
  <c r="M98" i="36"/>
  <c r="M99" i="36"/>
  <c r="M100" i="36"/>
  <c r="M87" i="36"/>
  <c r="M97" i="35"/>
  <c r="M98" i="35"/>
  <c r="M99" i="35"/>
  <c r="M100" i="35"/>
  <c r="M87" i="35"/>
  <c r="M98" i="34"/>
  <c r="M99" i="34"/>
  <c r="M87" i="34"/>
  <c r="M157" i="33"/>
  <c r="M159" i="33"/>
  <c r="M147" i="33"/>
  <c r="M100" i="32"/>
  <c r="M87" i="32"/>
  <c r="M101" i="32"/>
  <c r="M97" i="32"/>
  <c r="M101" i="31"/>
  <c r="M87" i="31"/>
  <c r="M100" i="31"/>
  <c r="M99" i="31"/>
  <c r="M97" i="31"/>
  <c r="M99" i="30"/>
  <c r="M100" i="30"/>
  <c r="M87" i="30"/>
  <c r="AH23" i="29"/>
  <c r="AH22" i="29"/>
  <c r="D29" i="39" l="1"/>
  <c r="D35" i="39"/>
  <c r="D30" i="39"/>
  <c r="D34" i="39"/>
  <c r="D33" i="39"/>
  <c r="D31" i="39"/>
  <c r="D28" i="39"/>
  <c r="C1" i="37"/>
  <c r="D36" i="39"/>
  <c r="C1" i="35"/>
  <c r="C1" i="33"/>
  <c r="C1" i="30"/>
  <c r="C1" i="31"/>
  <c r="C1" i="34"/>
  <c r="C1" i="36"/>
  <c r="C1" i="32"/>
  <c r="M14" i="40"/>
  <c r="M14" i="41"/>
  <c r="G9" i="40"/>
  <c r="G9" i="41"/>
  <c r="M15" i="41"/>
  <c r="M15" i="40"/>
  <c r="G10" i="41"/>
  <c r="G10" i="40"/>
  <c r="AG23" i="29"/>
  <c r="AF23" i="29"/>
  <c r="AE23" i="29"/>
  <c r="AD23" i="29"/>
  <c r="AC23" i="29"/>
  <c r="AB23" i="29"/>
  <c r="AG22" i="29"/>
  <c r="AF22" i="29"/>
  <c r="AE22" i="29"/>
  <c r="AD22" i="29"/>
  <c r="AC22" i="29"/>
  <c r="E36" i="39" l="1"/>
  <c r="B36" i="13"/>
  <c r="E35" i="39"/>
  <c r="B35" i="13"/>
  <c r="E34" i="39"/>
  <c r="B34" i="13"/>
  <c r="E33" i="39"/>
  <c r="B33" i="13"/>
  <c r="E32" i="39"/>
  <c r="B32" i="13"/>
  <c r="E31" i="39"/>
  <c r="B31" i="13"/>
  <c r="E30" i="39"/>
  <c r="B30" i="13"/>
  <c r="E29" i="39"/>
  <c r="B29" i="13"/>
  <c r="G14" i="41"/>
  <c r="I14" i="40"/>
  <c r="I14" i="41"/>
  <c r="I9" i="40"/>
  <c r="I9" i="41"/>
  <c r="K9" i="40"/>
  <c r="K9" i="41"/>
  <c r="K14" i="40"/>
  <c r="K14" i="41"/>
  <c r="M9" i="40"/>
  <c r="M9" i="41"/>
  <c r="K10" i="41"/>
  <c r="K10" i="40"/>
  <c r="I10" i="41"/>
  <c r="I10" i="40"/>
  <c r="K15" i="41"/>
  <c r="K15" i="40"/>
  <c r="G15" i="41"/>
  <c r="G15" i="40"/>
  <c r="M10" i="41"/>
  <c r="M10" i="40"/>
  <c r="I15" i="41"/>
  <c r="I15" i="40"/>
  <c r="N36" i="13" l="1"/>
  <c r="R36" i="13" s="1"/>
  <c r="E36" i="13" s="1"/>
  <c r="D36" i="13"/>
  <c r="D35" i="13"/>
  <c r="N35" i="13"/>
  <c r="R35" i="13" s="1"/>
  <c r="E35" i="13" s="1"/>
  <c r="N33" i="13"/>
  <c r="R33" i="13" s="1"/>
  <c r="E33" i="13" s="1"/>
  <c r="D33" i="13"/>
  <c r="D32" i="13"/>
  <c r="N32" i="13"/>
  <c r="R32" i="13" s="1"/>
  <c r="E32" i="13" s="1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34" i="13"/>
  <c r="R34" i="13" s="1"/>
  <c r="E34" i="13" s="1"/>
  <c r="D34" i="13"/>
  <c r="C1" i="8"/>
  <c r="E28" i="39" l="1"/>
  <c r="B28" i="13"/>
  <c r="S5" i="3"/>
  <c r="M5" i="3"/>
  <c r="J5" i="3"/>
  <c r="G5" i="3"/>
  <c r="N28" i="13" l="1"/>
  <c r="R28" i="13" s="1"/>
  <c r="E28" i="13" s="1"/>
  <c r="D28" i="13"/>
  <c r="V5" i="3"/>
  <c r="P5" i="3"/>
  <c r="B8" i="25"/>
  <c r="A8" i="25"/>
  <c r="C21" i="13"/>
  <c r="E21" i="13" s="1"/>
  <c r="L19" i="21" l="1"/>
  <c r="L18" i="21"/>
  <c r="L17" i="21"/>
  <c r="L16" i="21"/>
  <c r="L10" i="21"/>
  <c r="L11" i="21"/>
  <c r="L12" i="21"/>
  <c r="L13" i="21"/>
  <c r="L9" i="21"/>
  <c r="C17" i="13"/>
  <c r="E17" i="13" s="1"/>
  <c r="C18" i="13"/>
  <c r="E18" i="13" s="1"/>
  <c r="C20" i="13"/>
  <c r="E20" i="13" s="1"/>
  <c r="C22" i="13"/>
  <c r="E22" i="13" s="1"/>
  <c r="C23" i="13"/>
  <c r="E23" i="13" s="1"/>
  <c r="D24" i="13"/>
  <c r="J24" i="13"/>
  <c r="D6" i="13"/>
  <c r="H147" i="8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B32" i="7"/>
  <c r="AC31" i="7"/>
  <c r="S31" i="7"/>
  <c r="M31" i="7"/>
  <c r="AC30" i="7"/>
  <c r="S30" i="7"/>
  <c r="M30" i="7"/>
  <c r="AC29" i="7"/>
  <c r="S29" i="7"/>
  <c r="M29" i="7"/>
  <c r="AC28" i="7"/>
  <c r="S28" i="7"/>
  <c r="M28" i="7"/>
  <c r="AC27" i="7"/>
  <c r="S27" i="7"/>
  <c r="M27" i="7"/>
  <c r="AC26" i="7"/>
  <c r="S26" i="7"/>
  <c r="M26" i="7"/>
  <c r="F26" i="7" s="1"/>
  <c r="AC25" i="7"/>
  <c r="S25" i="7"/>
  <c r="M25" i="7"/>
  <c r="AC24" i="7"/>
  <c r="S24" i="7"/>
  <c r="M24" i="7"/>
  <c r="AC23" i="7"/>
  <c r="S23" i="7"/>
  <c r="M23" i="7"/>
  <c r="AC22" i="7"/>
  <c r="S22" i="7"/>
  <c r="M22" i="7"/>
  <c r="AC21" i="7"/>
  <c r="S21" i="7"/>
  <c r="M21" i="7"/>
  <c r="AC20" i="7"/>
  <c r="S20" i="7"/>
  <c r="M20" i="7"/>
  <c r="AC19" i="7"/>
  <c r="S19" i="7"/>
  <c r="M19" i="7"/>
  <c r="AC18" i="7"/>
  <c r="S18" i="7"/>
  <c r="M18" i="7"/>
  <c r="B18" i="7"/>
  <c r="AC17" i="7"/>
  <c r="S17" i="7"/>
  <c r="M17" i="7"/>
  <c r="AC16" i="7"/>
  <c r="S16" i="7"/>
  <c r="M16" i="7"/>
  <c r="AC15" i="7"/>
  <c r="S15" i="7"/>
  <c r="M15" i="7"/>
  <c r="AC14" i="7"/>
  <c r="S14" i="7"/>
  <c r="M14" i="7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B7" i="7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C33" i="6"/>
  <c r="AC34" i="6"/>
  <c r="AC35" i="6"/>
  <c r="AC36" i="6"/>
  <c r="AC37" i="6"/>
  <c r="AC38" i="6"/>
  <c r="AC39" i="6"/>
  <c r="AC40" i="6"/>
  <c r="AC41" i="6"/>
  <c r="AC42" i="6"/>
  <c r="AC43" i="6"/>
  <c r="AC44" i="6"/>
  <c r="AC45" i="6"/>
  <c r="AB45" i="6"/>
  <c r="AB44" i="6"/>
  <c r="AB43" i="6"/>
  <c r="AB42" i="6"/>
  <c r="AB41" i="6"/>
  <c r="AB40" i="6"/>
  <c r="AB39" i="6"/>
  <c r="AB38" i="6"/>
  <c r="AB37" i="6"/>
  <c r="AB36" i="6"/>
  <c r="AB35" i="6"/>
  <c r="AB34" i="6"/>
  <c r="AB33" i="6"/>
  <c r="AB32" i="6"/>
  <c r="AB31" i="6"/>
  <c r="AB30" i="6"/>
  <c r="AB29" i="6"/>
  <c r="AB28" i="6"/>
  <c r="AB27" i="6"/>
  <c r="AB26" i="6"/>
  <c r="AB25" i="6"/>
  <c r="AB24" i="6"/>
  <c r="AB23" i="6"/>
  <c r="AB22" i="6"/>
  <c r="AB21" i="6"/>
  <c r="AB20" i="6"/>
  <c r="AB19" i="6"/>
  <c r="AB18" i="6"/>
  <c r="AB17" i="6"/>
  <c r="AB16" i="6"/>
  <c r="AB15" i="6"/>
  <c r="AB14" i="6"/>
  <c r="AB13" i="6"/>
  <c r="AB12" i="6"/>
  <c r="AB11" i="6"/>
  <c r="AB10" i="6"/>
  <c r="AB9" i="6"/>
  <c r="AB8" i="6"/>
  <c r="AB7" i="6"/>
  <c r="S45" i="6"/>
  <c r="S44" i="6"/>
  <c r="S43" i="6"/>
  <c r="S42" i="6"/>
  <c r="S41" i="6"/>
  <c r="S40" i="6"/>
  <c r="S39" i="6"/>
  <c r="S38" i="6"/>
  <c r="S37" i="6"/>
  <c r="S36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R45" i="6"/>
  <c r="R44" i="6"/>
  <c r="R43" i="6"/>
  <c r="R42" i="6"/>
  <c r="R41" i="6"/>
  <c r="R40" i="6"/>
  <c r="R39" i="6"/>
  <c r="R38" i="6"/>
  <c r="R37" i="6"/>
  <c r="R36" i="6"/>
  <c r="R35" i="6"/>
  <c r="R34" i="6"/>
  <c r="R33" i="6"/>
  <c r="R32" i="6"/>
  <c r="R31" i="6"/>
  <c r="R30" i="6"/>
  <c r="R29" i="6"/>
  <c r="R28" i="6"/>
  <c r="R27" i="6"/>
  <c r="R26" i="6"/>
  <c r="R25" i="6"/>
  <c r="R24" i="6"/>
  <c r="R23" i="6"/>
  <c r="R22" i="6"/>
  <c r="R21" i="6"/>
  <c r="R20" i="6"/>
  <c r="R19" i="6"/>
  <c r="R18" i="6"/>
  <c r="R17" i="6"/>
  <c r="R16" i="6"/>
  <c r="R15" i="6"/>
  <c r="R14" i="6"/>
  <c r="R13" i="6"/>
  <c r="R12" i="6"/>
  <c r="R11" i="6"/>
  <c r="R10" i="6"/>
  <c r="R9" i="6"/>
  <c r="R8" i="6"/>
  <c r="R7" i="6"/>
  <c r="M8" i="6"/>
  <c r="F8" i="6" s="1"/>
  <c r="M9" i="6"/>
  <c r="M10" i="6"/>
  <c r="M11" i="6"/>
  <c r="M12" i="6"/>
  <c r="M13" i="6"/>
  <c r="M14" i="6"/>
  <c r="F14" i="6" s="1"/>
  <c r="M15" i="6"/>
  <c r="F15" i="6" s="1"/>
  <c r="M16" i="6"/>
  <c r="M17" i="6"/>
  <c r="F17" i="6" s="1"/>
  <c r="M18" i="6"/>
  <c r="F18" i="6" s="1"/>
  <c r="M19" i="6"/>
  <c r="F19" i="6" s="1"/>
  <c r="M20" i="6"/>
  <c r="F20" i="6" s="1"/>
  <c r="M21" i="6"/>
  <c r="M22" i="6"/>
  <c r="M23" i="6"/>
  <c r="F23" i="6" s="1"/>
  <c r="M24" i="6"/>
  <c r="M25" i="6"/>
  <c r="M26" i="6"/>
  <c r="F26" i="6" s="1"/>
  <c r="M27" i="6"/>
  <c r="F27" i="6" s="1"/>
  <c r="M28" i="6"/>
  <c r="M29" i="6"/>
  <c r="F29" i="6" s="1"/>
  <c r="M30" i="6"/>
  <c r="F30" i="6" s="1"/>
  <c r="M31" i="6"/>
  <c r="F31" i="6" s="1"/>
  <c r="M32" i="6"/>
  <c r="F32" i="6" s="1"/>
  <c r="M33" i="6"/>
  <c r="M34" i="6"/>
  <c r="M35" i="6"/>
  <c r="F35" i="6" s="1"/>
  <c r="M36" i="6"/>
  <c r="M37" i="6"/>
  <c r="M38" i="6"/>
  <c r="F38" i="6" s="1"/>
  <c r="M39" i="6"/>
  <c r="F39" i="6" s="1"/>
  <c r="M40" i="6"/>
  <c r="M41" i="6"/>
  <c r="M42" i="6"/>
  <c r="F42" i="6" s="1"/>
  <c r="M43" i="6"/>
  <c r="F43" i="6" s="1"/>
  <c r="M44" i="6"/>
  <c r="M45" i="6"/>
  <c r="B32" i="6"/>
  <c r="B18" i="6"/>
  <c r="B7" i="6"/>
  <c r="V37" i="5"/>
  <c r="I11" i="39" s="1"/>
  <c r="V30" i="5"/>
  <c r="V23" i="5"/>
  <c r="V16" i="5"/>
  <c r="V9" i="5"/>
  <c r="S37" i="5"/>
  <c r="S30" i="5"/>
  <c r="S23" i="5"/>
  <c r="S16" i="5"/>
  <c r="S9" i="5"/>
  <c r="I10" i="13"/>
  <c r="K10" i="13" s="1"/>
  <c r="P37" i="5"/>
  <c r="I9" i="39" s="1"/>
  <c r="P30" i="5"/>
  <c r="P23" i="5"/>
  <c r="P16" i="5"/>
  <c r="P9" i="5"/>
  <c r="M37" i="5"/>
  <c r="I8" i="39" s="1"/>
  <c r="M30" i="5"/>
  <c r="M23" i="5"/>
  <c r="M16" i="5"/>
  <c r="M9" i="5"/>
  <c r="J37" i="5"/>
  <c r="I7" i="39" s="1"/>
  <c r="J30" i="5"/>
  <c r="J23" i="5"/>
  <c r="J16" i="5"/>
  <c r="J9" i="5"/>
  <c r="G9" i="5"/>
  <c r="G16" i="5"/>
  <c r="G23" i="5"/>
  <c r="G30" i="5"/>
  <c r="G37" i="5"/>
  <c r="I6" i="39" s="1"/>
  <c r="B30" i="5"/>
  <c r="B16" i="5"/>
  <c r="B5" i="5"/>
  <c r="B10" i="13"/>
  <c r="S37" i="3"/>
  <c r="S30" i="3"/>
  <c r="S23" i="3"/>
  <c r="S16" i="3"/>
  <c r="S9" i="3"/>
  <c r="O43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M37" i="3"/>
  <c r="B8" i="39" s="1"/>
  <c r="M30" i="3"/>
  <c r="M23" i="3"/>
  <c r="M16" i="3"/>
  <c r="M9" i="3"/>
  <c r="B8" i="13"/>
  <c r="J37" i="3"/>
  <c r="B7" i="39" s="1"/>
  <c r="J30" i="3"/>
  <c r="J23" i="3"/>
  <c r="J16" i="3"/>
  <c r="J9" i="3"/>
  <c r="E7" i="39"/>
  <c r="G9" i="3"/>
  <c r="G16" i="3"/>
  <c r="G23" i="3"/>
  <c r="G30" i="3"/>
  <c r="G37" i="3"/>
  <c r="B6" i="39" s="1"/>
  <c r="B30" i="3"/>
  <c r="B16" i="3"/>
  <c r="B5" i="3"/>
  <c r="B10" i="39" l="1"/>
  <c r="V37" i="3"/>
  <c r="B11" i="39" s="1"/>
  <c r="F37" i="6"/>
  <c r="F13" i="6"/>
  <c r="F11" i="6"/>
  <c r="F33" i="6"/>
  <c r="F21" i="6"/>
  <c r="T21" i="6" s="1"/>
  <c r="F9" i="6"/>
  <c r="F28" i="6"/>
  <c r="F16" i="6"/>
  <c r="F36" i="6"/>
  <c r="AD36" i="6" s="1"/>
  <c r="F24" i="6"/>
  <c r="N24" i="6" s="1"/>
  <c r="F12" i="6"/>
  <c r="T12" i="6" s="1"/>
  <c r="F34" i="6"/>
  <c r="F22" i="6"/>
  <c r="F10" i="6"/>
  <c r="F44" i="6"/>
  <c r="T44" i="6" s="1"/>
  <c r="F40" i="6"/>
  <c r="F41" i="6"/>
  <c r="T41" i="6" s="1"/>
  <c r="F45" i="6"/>
  <c r="N45" i="6" s="1"/>
  <c r="K7" i="39"/>
  <c r="I7" i="13"/>
  <c r="K7" i="13" s="1"/>
  <c r="K6" i="39"/>
  <c r="I6" i="13"/>
  <c r="K6" i="13" s="1"/>
  <c r="K11" i="39"/>
  <c r="I11" i="13"/>
  <c r="K11" i="13" s="1"/>
  <c r="K9" i="39"/>
  <c r="I9" i="13"/>
  <c r="K9" i="13" s="1"/>
  <c r="K8" i="39"/>
  <c r="I8" i="13"/>
  <c r="K8" i="13" s="1"/>
  <c r="H16" i="13"/>
  <c r="D10" i="13"/>
  <c r="E10" i="13"/>
  <c r="D8" i="13"/>
  <c r="E8" i="13"/>
  <c r="D8" i="39"/>
  <c r="P23" i="3"/>
  <c r="C16" i="39"/>
  <c r="E16" i="39" s="1"/>
  <c r="AH26" i="7"/>
  <c r="AB26" i="7"/>
  <c r="R26" i="7"/>
  <c r="F25" i="6"/>
  <c r="T25" i="6" s="1"/>
  <c r="C20" i="39"/>
  <c r="E20" i="39" s="1"/>
  <c r="I21" i="39"/>
  <c r="K21" i="39" s="1"/>
  <c r="I19" i="39"/>
  <c r="K19" i="39" s="1"/>
  <c r="I15" i="39"/>
  <c r="I16" i="39"/>
  <c r="K16" i="39" s="1"/>
  <c r="D7" i="39"/>
  <c r="I23" i="39"/>
  <c r="K23" i="39" s="1"/>
  <c r="I17" i="39"/>
  <c r="K17" i="39" s="1"/>
  <c r="I20" i="39"/>
  <c r="K20" i="39" s="1"/>
  <c r="I18" i="39"/>
  <c r="K18" i="39" s="1"/>
  <c r="I22" i="39"/>
  <c r="K22" i="39" s="1"/>
  <c r="D10" i="39"/>
  <c r="Q5" i="3"/>
  <c r="E8" i="39"/>
  <c r="W5" i="3"/>
  <c r="E10" i="39"/>
  <c r="P37" i="3"/>
  <c r="B9" i="39" s="1"/>
  <c r="P16" i="3"/>
  <c r="P9" i="3"/>
  <c r="P30" i="3"/>
  <c r="T20" i="6"/>
  <c r="N8" i="6"/>
  <c r="T17" i="6"/>
  <c r="T40" i="6"/>
  <c r="AD28" i="6"/>
  <c r="AD16" i="6"/>
  <c r="F41" i="7"/>
  <c r="F44" i="7"/>
  <c r="V9" i="3"/>
  <c r="T39" i="6"/>
  <c r="T27" i="6"/>
  <c r="AD15" i="6"/>
  <c r="F38" i="7"/>
  <c r="F45" i="7"/>
  <c r="V16" i="3"/>
  <c r="AD38" i="6"/>
  <c r="AD26" i="6"/>
  <c r="F40" i="7"/>
  <c r="V23" i="3"/>
  <c r="T13" i="6"/>
  <c r="F42" i="7"/>
  <c r="V30" i="3"/>
  <c r="N31" i="6"/>
  <c r="T35" i="6"/>
  <c r="T23" i="6"/>
  <c r="T11" i="6"/>
  <c r="T37" i="6"/>
  <c r="AD43" i="6"/>
  <c r="T42" i="6"/>
  <c r="AD34" i="6"/>
  <c r="N10" i="6"/>
  <c r="T26" i="6"/>
  <c r="F16" i="7"/>
  <c r="X16" i="7" s="1"/>
  <c r="F39" i="7"/>
  <c r="F43" i="7"/>
  <c r="T30" i="6"/>
  <c r="T9" i="6"/>
  <c r="F9" i="7"/>
  <c r="F8" i="7"/>
  <c r="F10" i="7"/>
  <c r="F11" i="7"/>
  <c r="F15" i="7"/>
  <c r="F17" i="7"/>
  <c r="F19" i="7"/>
  <c r="F23" i="7"/>
  <c r="F25" i="7"/>
  <c r="T26" i="7"/>
  <c r="AJ26" i="7"/>
  <c r="F27" i="7"/>
  <c r="F34" i="7"/>
  <c r="T34" i="7" s="1"/>
  <c r="F14" i="7"/>
  <c r="F18" i="7"/>
  <c r="F22" i="7"/>
  <c r="N26" i="7"/>
  <c r="V26" i="7"/>
  <c r="AD26" i="7"/>
  <c r="AL26" i="7"/>
  <c r="F30" i="7"/>
  <c r="F31" i="7"/>
  <c r="F33" i="7"/>
  <c r="F37" i="7"/>
  <c r="F13" i="7"/>
  <c r="F21" i="7"/>
  <c r="J26" i="7"/>
  <c r="P26" i="7"/>
  <c r="X26" i="7"/>
  <c r="AF26" i="7"/>
  <c r="F29" i="7"/>
  <c r="F32" i="7"/>
  <c r="F36" i="7"/>
  <c r="F12" i="7"/>
  <c r="F20" i="7"/>
  <c r="F24" i="7"/>
  <c r="L26" i="7"/>
  <c r="Z26" i="7"/>
  <c r="F28" i="7"/>
  <c r="F35" i="7"/>
  <c r="F7" i="7"/>
  <c r="AD7" i="6"/>
  <c r="B19" i="13" l="1"/>
  <c r="C19" i="13" s="1"/>
  <c r="E19" i="13" s="1"/>
  <c r="R44" i="7"/>
  <c r="AB44" i="7"/>
  <c r="AD43" i="7"/>
  <c r="R43" i="7"/>
  <c r="AB43" i="7"/>
  <c r="T41" i="7"/>
  <c r="R41" i="7"/>
  <c r="AB41" i="7"/>
  <c r="R39" i="7"/>
  <c r="AB39" i="7"/>
  <c r="AD42" i="7"/>
  <c r="R42" i="7"/>
  <c r="AB42" i="7"/>
  <c r="R40" i="7"/>
  <c r="AB40" i="7"/>
  <c r="AD45" i="7"/>
  <c r="R45" i="7"/>
  <c r="AB45" i="7"/>
  <c r="N38" i="7"/>
  <c r="R38" i="7"/>
  <c r="AB38" i="7"/>
  <c r="T33" i="7"/>
  <c r="AB33" i="7"/>
  <c r="R33" i="7"/>
  <c r="N35" i="7"/>
  <c r="R35" i="7"/>
  <c r="AB35" i="7"/>
  <c r="AD36" i="7"/>
  <c r="R36" i="7"/>
  <c r="AB36" i="7"/>
  <c r="R32" i="7"/>
  <c r="AB32" i="7"/>
  <c r="N34" i="7"/>
  <c r="AB34" i="7"/>
  <c r="R34" i="7"/>
  <c r="AB37" i="7"/>
  <c r="R37" i="7"/>
  <c r="B16" i="13"/>
  <c r="C16" i="13" s="1"/>
  <c r="E16" i="13" s="1"/>
  <c r="AB12" i="7"/>
  <c r="R12" i="7"/>
  <c r="T21" i="7"/>
  <c r="AB21" i="7"/>
  <c r="R21" i="7"/>
  <c r="R18" i="7"/>
  <c r="AB18" i="7"/>
  <c r="N19" i="7"/>
  <c r="AB19" i="7"/>
  <c r="R19" i="7"/>
  <c r="AD10" i="7"/>
  <c r="R10" i="7"/>
  <c r="AB10" i="7"/>
  <c r="T14" i="7"/>
  <c r="R14" i="7"/>
  <c r="AB14" i="7"/>
  <c r="AD17" i="7"/>
  <c r="AB17" i="7"/>
  <c r="R17" i="7"/>
  <c r="AD8" i="7"/>
  <c r="AB8" i="7"/>
  <c r="R8" i="7"/>
  <c r="AH16" i="7"/>
  <c r="AB16" i="7"/>
  <c r="R16" i="7"/>
  <c r="T13" i="7"/>
  <c r="AB13" i="7"/>
  <c r="R13" i="7"/>
  <c r="T24" i="7"/>
  <c r="AB24" i="7"/>
  <c r="R24" i="7"/>
  <c r="AD15" i="7"/>
  <c r="R15" i="7"/>
  <c r="AB15" i="7"/>
  <c r="AD9" i="7"/>
  <c r="AB9" i="7"/>
  <c r="R9" i="7"/>
  <c r="AB20" i="7"/>
  <c r="R20" i="7"/>
  <c r="R22" i="7"/>
  <c r="AB22" i="7"/>
  <c r="N23" i="7"/>
  <c r="R23" i="7"/>
  <c r="AB23" i="7"/>
  <c r="T11" i="7"/>
  <c r="AB11" i="7"/>
  <c r="R11" i="7"/>
  <c r="C17" i="39"/>
  <c r="E17" i="39" s="1"/>
  <c r="C19" i="39"/>
  <c r="E19" i="39" s="1"/>
  <c r="D6" i="39"/>
  <c r="C22" i="39"/>
  <c r="E22" i="39" s="1"/>
  <c r="C18" i="39"/>
  <c r="E18" i="39" s="1"/>
  <c r="C23" i="39"/>
  <c r="E23" i="39" s="1"/>
  <c r="C21" i="39"/>
  <c r="E21" i="39" s="1"/>
  <c r="C15" i="39"/>
  <c r="E15" i="39" s="1"/>
  <c r="B9" i="13"/>
  <c r="E9" i="39"/>
  <c r="E11" i="39"/>
  <c r="B11" i="13"/>
  <c r="AD30" i="7"/>
  <c r="R30" i="7"/>
  <c r="AB30" i="7"/>
  <c r="T25" i="7"/>
  <c r="R25" i="7"/>
  <c r="AB25" i="7"/>
  <c r="N28" i="7"/>
  <c r="AB28" i="7"/>
  <c r="R28" i="7"/>
  <c r="AD29" i="7"/>
  <c r="R29" i="7"/>
  <c r="AB29" i="7"/>
  <c r="AB27" i="7"/>
  <c r="R27" i="7"/>
  <c r="B15" i="13"/>
  <c r="C15" i="13" s="1"/>
  <c r="AD31" i="7"/>
  <c r="AB31" i="7"/>
  <c r="R31" i="7"/>
  <c r="H19" i="13"/>
  <c r="H15" i="13"/>
  <c r="AD21" i="7"/>
  <c r="T45" i="7"/>
  <c r="T17" i="7"/>
  <c r="AD24" i="6"/>
  <c r="N23" i="6"/>
  <c r="D9" i="39"/>
  <c r="K15" i="39"/>
  <c r="I24" i="39"/>
  <c r="D11" i="39"/>
  <c r="T38" i="6"/>
  <c r="T34" i="6"/>
  <c r="AD44" i="6"/>
  <c r="AD19" i="7"/>
  <c r="N40" i="6"/>
  <c r="T24" i="6"/>
  <c r="N25" i="6"/>
  <c r="AD40" i="6"/>
  <c r="T19" i="7"/>
  <c r="AD17" i="6"/>
  <c r="T15" i="6"/>
  <c r="AD12" i="6"/>
  <c r="AD8" i="6"/>
  <c r="T10" i="6"/>
  <c r="T8" i="6"/>
  <c r="AD10" i="6"/>
  <c r="J16" i="7"/>
  <c r="AL16" i="7"/>
  <c r="AD16" i="7"/>
  <c r="V16" i="7"/>
  <c r="AJ16" i="7"/>
  <c r="N16" i="7"/>
  <c r="AD41" i="7"/>
  <c r="N45" i="7"/>
  <c r="T43" i="7"/>
  <c r="P16" i="7"/>
  <c r="Z16" i="7"/>
  <c r="L16" i="7"/>
  <c r="N43" i="7"/>
  <c r="T15" i="7"/>
  <c r="AF16" i="7"/>
  <c r="T42" i="7"/>
  <c r="AL29" i="6"/>
  <c r="AH29" i="6"/>
  <c r="L29" i="6"/>
  <c r="AF29" i="6"/>
  <c r="J29" i="6"/>
  <c r="V29" i="6"/>
  <c r="Z29" i="6"/>
  <c r="X29" i="6"/>
  <c r="AJ29" i="6"/>
  <c r="P29" i="6"/>
  <c r="X22" i="6"/>
  <c r="Z22" i="6"/>
  <c r="V22" i="6"/>
  <c r="AL22" i="6"/>
  <c r="AJ22" i="6"/>
  <c r="P22" i="6"/>
  <c r="AH22" i="6"/>
  <c r="L22" i="6"/>
  <c r="AF22" i="6"/>
  <c r="J22" i="6"/>
  <c r="T22" i="6"/>
  <c r="N21" i="7"/>
  <c r="V33" i="6"/>
  <c r="AL33" i="6"/>
  <c r="AJ33" i="6"/>
  <c r="P33" i="6"/>
  <c r="AH33" i="6"/>
  <c r="L33" i="6"/>
  <c r="AF33" i="6"/>
  <c r="J33" i="6"/>
  <c r="Z33" i="6"/>
  <c r="X33" i="6"/>
  <c r="P39" i="7"/>
  <c r="AL39" i="7"/>
  <c r="AJ39" i="7"/>
  <c r="L39" i="7"/>
  <c r="AH39" i="7"/>
  <c r="J39" i="7"/>
  <c r="AF39" i="7"/>
  <c r="G39" i="7"/>
  <c r="V39" i="7"/>
  <c r="Z39" i="7"/>
  <c r="X39" i="7"/>
  <c r="N22" i="6"/>
  <c r="Z12" i="6"/>
  <c r="X12" i="6"/>
  <c r="AF12" i="6"/>
  <c r="V12" i="6"/>
  <c r="AL12" i="6"/>
  <c r="AJ12" i="6"/>
  <c r="P12" i="6"/>
  <c r="AH12" i="6"/>
  <c r="L12" i="6"/>
  <c r="J12" i="6"/>
  <c r="AH40" i="7"/>
  <c r="J40" i="7"/>
  <c r="AF40" i="7"/>
  <c r="Z40" i="7"/>
  <c r="AL40" i="7"/>
  <c r="X40" i="7"/>
  <c r="V40" i="7"/>
  <c r="AJ40" i="7"/>
  <c r="L40" i="7"/>
  <c r="P40" i="7"/>
  <c r="AF39" i="6"/>
  <c r="J39" i="6"/>
  <c r="Z39" i="6"/>
  <c r="AJ39" i="6"/>
  <c r="X39" i="6"/>
  <c r="P39" i="6"/>
  <c r="V39" i="6"/>
  <c r="AL39" i="6"/>
  <c r="G39" i="6"/>
  <c r="AH39" i="6"/>
  <c r="L39" i="6"/>
  <c r="AD39" i="6"/>
  <c r="AH41" i="6"/>
  <c r="L41" i="6"/>
  <c r="V41" i="6"/>
  <c r="AF41" i="6"/>
  <c r="J41" i="6"/>
  <c r="Z41" i="6"/>
  <c r="X41" i="6"/>
  <c r="AL41" i="6"/>
  <c r="AJ41" i="6"/>
  <c r="P41" i="6"/>
  <c r="N20" i="6"/>
  <c r="AJ18" i="6"/>
  <c r="P18" i="6"/>
  <c r="AH18" i="6"/>
  <c r="L18" i="6"/>
  <c r="AF18" i="6"/>
  <c r="J18" i="6"/>
  <c r="Z18" i="6"/>
  <c r="V18" i="6"/>
  <c r="X18" i="6"/>
  <c r="AL18" i="6"/>
  <c r="G18" i="6"/>
  <c r="AD29" i="6"/>
  <c r="N33" i="6"/>
  <c r="N39" i="7"/>
  <c r="X34" i="6"/>
  <c r="V34" i="6"/>
  <c r="AL34" i="6"/>
  <c r="AJ34" i="6"/>
  <c r="P34" i="6"/>
  <c r="Z34" i="6"/>
  <c r="AH34" i="6"/>
  <c r="L34" i="6"/>
  <c r="AF34" i="6"/>
  <c r="J34" i="6"/>
  <c r="N12" i="6"/>
  <c r="N40" i="7"/>
  <c r="AF14" i="6"/>
  <c r="J14" i="6"/>
  <c r="L14" i="6"/>
  <c r="Z14" i="6"/>
  <c r="X14" i="6"/>
  <c r="AH14" i="6"/>
  <c r="V14" i="6"/>
  <c r="AL14" i="6"/>
  <c r="AJ14" i="6"/>
  <c r="P14" i="6"/>
  <c r="AD14" i="6"/>
  <c r="N39" i="6"/>
  <c r="N41" i="6"/>
  <c r="V32" i="6"/>
  <c r="AL32" i="6"/>
  <c r="AJ32" i="6"/>
  <c r="P32" i="6"/>
  <c r="AH32" i="6"/>
  <c r="L32" i="6"/>
  <c r="AF32" i="6"/>
  <c r="J32" i="6"/>
  <c r="G32" i="6"/>
  <c r="X32" i="6"/>
  <c r="Z32" i="6"/>
  <c r="AD32" i="6"/>
  <c r="Z38" i="7"/>
  <c r="X38" i="7"/>
  <c r="V38" i="7"/>
  <c r="AL38" i="7"/>
  <c r="P38" i="7"/>
  <c r="AJ38" i="7"/>
  <c r="AH38" i="7"/>
  <c r="L38" i="7"/>
  <c r="AF38" i="7"/>
  <c r="J38" i="7"/>
  <c r="AD23" i="7"/>
  <c r="AL45" i="6"/>
  <c r="V45" i="6"/>
  <c r="Z45" i="6"/>
  <c r="AJ45" i="6"/>
  <c r="P45" i="6"/>
  <c r="AH45" i="6"/>
  <c r="L45" i="6"/>
  <c r="AF45" i="6"/>
  <c r="J45" i="6"/>
  <c r="X45" i="6"/>
  <c r="N34" i="6"/>
  <c r="AL31" i="6"/>
  <c r="AJ31" i="6"/>
  <c r="P31" i="6"/>
  <c r="AH31" i="6"/>
  <c r="L31" i="6"/>
  <c r="AF31" i="6"/>
  <c r="J31" i="6"/>
  <c r="X31" i="6"/>
  <c r="Z31" i="6"/>
  <c r="V31" i="6"/>
  <c r="Z24" i="6"/>
  <c r="X24" i="6"/>
  <c r="J24" i="6"/>
  <c r="V24" i="6"/>
  <c r="AL24" i="6"/>
  <c r="AJ24" i="6"/>
  <c r="P24" i="6"/>
  <c r="AH24" i="6"/>
  <c r="L24" i="6"/>
  <c r="AF24" i="6"/>
  <c r="T29" i="6"/>
  <c r="N14" i="6"/>
  <c r="T32" i="6"/>
  <c r="AD18" i="6"/>
  <c r="N32" i="6"/>
  <c r="N21" i="6"/>
  <c r="N27" i="6"/>
  <c r="AD20" i="6"/>
  <c r="AD21" i="6"/>
  <c r="AL19" i="6"/>
  <c r="AJ19" i="6"/>
  <c r="P19" i="6"/>
  <c r="AH19" i="6"/>
  <c r="L19" i="6"/>
  <c r="AF19" i="6"/>
  <c r="J19" i="6"/>
  <c r="Z19" i="6"/>
  <c r="X19" i="6"/>
  <c r="V19" i="6"/>
  <c r="AF26" i="6"/>
  <c r="J26" i="6"/>
  <c r="AH26" i="6"/>
  <c r="Z26" i="6"/>
  <c r="X26" i="6"/>
  <c r="V26" i="6"/>
  <c r="L26" i="6"/>
  <c r="AL26" i="6"/>
  <c r="AJ26" i="6"/>
  <c r="P26" i="6"/>
  <c r="AF44" i="7"/>
  <c r="J44" i="7"/>
  <c r="Z44" i="7"/>
  <c r="X44" i="7"/>
  <c r="AL44" i="7"/>
  <c r="AJ44" i="7"/>
  <c r="V44" i="7"/>
  <c r="AH44" i="7"/>
  <c r="L44" i="7"/>
  <c r="P44" i="7"/>
  <c r="AL44" i="6"/>
  <c r="V44" i="6"/>
  <c r="AJ44" i="6"/>
  <c r="P44" i="6"/>
  <c r="AH44" i="6"/>
  <c r="L44" i="6"/>
  <c r="AF44" i="6"/>
  <c r="J44" i="6"/>
  <c r="Z44" i="6"/>
  <c r="X44" i="6"/>
  <c r="AD27" i="6"/>
  <c r="AJ30" i="6"/>
  <c r="P30" i="6"/>
  <c r="AH30" i="6"/>
  <c r="L30" i="6"/>
  <c r="V30" i="6"/>
  <c r="AF30" i="6"/>
  <c r="J30" i="6"/>
  <c r="Z30" i="6"/>
  <c r="X30" i="6"/>
  <c r="AL30" i="6"/>
  <c r="AD33" i="6"/>
  <c r="G11" i="6"/>
  <c r="X11" i="6"/>
  <c r="J11" i="6"/>
  <c r="V11" i="6"/>
  <c r="AL11" i="6"/>
  <c r="AJ11" i="6"/>
  <c r="P11" i="6"/>
  <c r="AF11" i="6"/>
  <c r="AH11" i="6"/>
  <c r="L11" i="6"/>
  <c r="Z11" i="6"/>
  <c r="Z36" i="6"/>
  <c r="J36" i="6"/>
  <c r="X36" i="6"/>
  <c r="V36" i="6"/>
  <c r="AL36" i="6"/>
  <c r="AJ36" i="6"/>
  <c r="P36" i="6"/>
  <c r="AF36" i="6"/>
  <c r="AH36" i="6"/>
  <c r="L36" i="6"/>
  <c r="Z13" i="6"/>
  <c r="X13" i="6"/>
  <c r="V13" i="6"/>
  <c r="AL13" i="6"/>
  <c r="AJ13" i="6"/>
  <c r="P13" i="6"/>
  <c r="L13" i="6"/>
  <c r="AF13" i="6"/>
  <c r="J13" i="6"/>
  <c r="AH13" i="6"/>
  <c r="N19" i="6"/>
  <c r="N26" i="6"/>
  <c r="T45" i="6"/>
  <c r="N44" i="7"/>
  <c r="AD19" i="6"/>
  <c r="N44" i="6"/>
  <c r="N18" i="6"/>
  <c r="N30" i="6"/>
  <c r="AD45" i="6"/>
  <c r="AJ42" i="6"/>
  <c r="P42" i="6"/>
  <c r="V42" i="6"/>
  <c r="AH42" i="6"/>
  <c r="L42" i="6"/>
  <c r="AF42" i="6"/>
  <c r="J42" i="6"/>
  <c r="AL42" i="6"/>
  <c r="Z42" i="6"/>
  <c r="X42" i="6"/>
  <c r="N11" i="6"/>
  <c r="T38" i="7"/>
  <c r="N36" i="6"/>
  <c r="N13" i="6"/>
  <c r="AF38" i="6"/>
  <c r="J38" i="6"/>
  <c r="Z38" i="6"/>
  <c r="X38" i="6"/>
  <c r="V38" i="6"/>
  <c r="AL38" i="6"/>
  <c r="L38" i="6"/>
  <c r="AJ38" i="6"/>
  <c r="P38" i="6"/>
  <c r="AH38" i="6"/>
  <c r="T33" i="6"/>
  <c r="AD30" i="6"/>
  <c r="AH16" i="6"/>
  <c r="L16" i="6"/>
  <c r="AF16" i="6"/>
  <c r="J16" i="6"/>
  <c r="AJ16" i="6"/>
  <c r="Z16" i="6"/>
  <c r="P16" i="6"/>
  <c r="X16" i="6"/>
  <c r="AL16" i="6"/>
  <c r="V16" i="6"/>
  <c r="T43" i="6"/>
  <c r="AD31" i="6"/>
  <c r="T23" i="7"/>
  <c r="N42" i="6"/>
  <c r="X23" i="6"/>
  <c r="V23" i="6"/>
  <c r="J23" i="6"/>
  <c r="AL23" i="6"/>
  <c r="AJ23" i="6"/>
  <c r="P23" i="6"/>
  <c r="AF23" i="6"/>
  <c r="AH23" i="6"/>
  <c r="L23" i="6"/>
  <c r="Z23" i="6"/>
  <c r="AD11" i="6"/>
  <c r="Z25" i="6"/>
  <c r="AH25" i="6"/>
  <c r="X25" i="6"/>
  <c r="V25" i="6"/>
  <c r="G25" i="6"/>
  <c r="AL25" i="6"/>
  <c r="L25" i="6"/>
  <c r="AJ25" i="6"/>
  <c r="P25" i="6"/>
  <c r="AF25" i="6"/>
  <c r="J25" i="6"/>
  <c r="AD39" i="7"/>
  <c r="N38" i="6"/>
  <c r="T44" i="7"/>
  <c r="N16" i="6"/>
  <c r="T31" i="6"/>
  <c r="AD41" i="6"/>
  <c r="V21" i="6"/>
  <c r="AL21" i="6"/>
  <c r="AJ21" i="6"/>
  <c r="P21" i="6"/>
  <c r="AH21" i="6"/>
  <c r="L21" i="6"/>
  <c r="AF21" i="6"/>
  <c r="J21" i="6"/>
  <c r="X21" i="6"/>
  <c r="Z21" i="6"/>
  <c r="N29" i="6"/>
  <c r="T39" i="7"/>
  <c r="AJ43" i="6"/>
  <c r="P43" i="6"/>
  <c r="AH43" i="6"/>
  <c r="L43" i="6"/>
  <c r="AF43" i="6"/>
  <c r="J43" i="6"/>
  <c r="X43" i="6"/>
  <c r="Z43" i="6"/>
  <c r="AL43" i="6"/>
  <c r="V43" i="6"/>
  <c r="AD23" i="6"/>
  <c r="V42" i="7"/>
  <c r="P42" i="7"/>
  <c r="AL42" i="7"/>
  <c r="Z42" i="7"/>
  <c r="AJ42" i="7"/>
  <c r="L42" i="7"/>
  <c r="AH42" i="7"/>
  <c r="J42" i="7"/>
  <c r="AF42" i="7"/>
  <c r="X42" i="7"/>
  <c r="AD13" i="6"/>
  <c r="Z41" i="7"/>
  <c r="X41" i="7"/>
  <c r="AH41" i="7"/>
  <c r="J41" i="7"/>
  <c r="V41" i="7"/>
  <c r="AF41" i="7"/>
  <c r="P41" i="7"/>
  <c r="AL41" i="7"/>
  <c r="AJ41" i="7"/>
  <c r="L41" i="7"/>
  <c r="AH28" i="6"/>
  <c r="L28" i="6"/>
  <c r="AF28" i="6"/>
  <c r="J28" i="6"/>
  <c r="P28" i="6"/>
  <c r="Z28" i="6"/>
  <c r="X28" i="6"/>
  <c r="AJ28" i="6"/>
  <c r="V28" i="6"/>
  <c r="AL28" i="6"/>
  <c r="T19" i="6"/>
  <c r="AD38" i="7"/>
  <c r="AF27" i="6"/>
  <c r="J27" i="6"/>
  <c r="Z27" i="6"/>
  <c r="X27" i="6"/>
  <c r="AJ27" i="6"/>
  <c r="V27" i="6"/>
  <c r="P27" i="6"/>
  <c r="AL27" i="6"/>
  <c r="AH27" i="6"/>
  <c r="L27" i="6"/>
  <c r="AD22" i="6"/>
  <c r="T18" i="6"/>
  <c r="T16" i="7"/>
  <c r="V9" i="6"/>
  <c r="AL9" i="6"/>
  <c r="Z9" i="6"/>
  <c r="AJ9" i="6"/>
  <c r="P9" i="6"/>
  <c r="AH9" i="6"/>
  <c r="L9" i="6"/>
  <c r="AD9" i="6"/>
  <c r="AF9" i="6"/>
  <c r="J9" i="6"/>
  <c r="X9" i="6"/>
  <c r="AD42" i="6"/>
  <c r="T14" i="6"/>
  <c r="N43" i="6"/>
  <c r="J35" i="6"/>
  <c r="X35" i="6"/>
  <c r="V35" i="6"/>
  <c r="AF35" i="6"/>
  <c r="AL35" i="6"/>
  <c r="AJ35" i="6"/>
  <c r="P35" i="6"/>
  <c r="AH35" i="6"/>
  <c r="L35" i="6"/>
  <c r="Z35" i="6"/>
  <c r="AD35" i="6"/>
  <c r="N42" i="7"/>
  <c r="Z37" i="6"/>
  <c r="X37" i="6"/>
  <c r="V37" i="6"/>
  <c r="AL37" i="6"/>
  <c r="AJ37" i="6"/>
  <c r="P37" i="6"/>
  <c r="AH37" i="6"/>
  <c r="AF37" i="6"/>
  <c r="J37" i="6"/>
  <c r="L37" i="6"/>
  <c r="AD25" i="6"/>
  <c r="AF15" i="6"/>
  <c r="J15" i="6"/>
  <c r="P15" i="6"/>
  <c r="Z15" i="6"/>
  <c r="X15" i="6"/>
  <c r="AJ15" i="6"/>
  <c r="V15" i="6"/>
  <c r="AL15" i="6"/>
  <c r="AH15" i="6"/>
  <c r="L15" i="6"/>
  <c r="N41" i="7"/>
  <c r="N28" i="6"/>
  <c r="AH17" i="6"/>
  <c r="L17" i="6"/>
  <c r="AF17" i="6"/>
  <c r="J17" i="6"/>
  <c r="Z17" i="6"/>
  <c r="AL17" i="6"/>
  <c r="X17" i="6"/>
  <c r="AJ17" i="6"/>
  <c r="P17" i="6"/>
  <c r="V17" i="6"/>
  <c r="T16" i="6"/>
  <c r="T28" i="6"/>
  <c r="V20" i="6"/>
  <c r="AL20" i="6"/>
  <c r="X20" i="6"/>
  <c r="AJ20" i="6"/>
  <c r="P20" i="6"/>
  <c r="AH20" i="6"/>
  <c r="L20" i="6"/>
  <c r="AF20" i="6"/>
  <c r="J20" i="6"/>
  <c r="Z20" i="6"/>
  <c r="N9" i="6"/>
  <c r="P43" i="7"/>
  <c r="AL43" i="7"/>
  <c r="AJ43" i="7"/>
  <c r="L43" i="7"/>
  <c r="AH43" i="7"/>
  <c r="J43" i="7"/>
  <c r="AF43" i="7"/>
  <c r="V43" i="7"/>
  <c r="Z43" i="7"/>
  <c r="X43" i="7"/>
  <c r="X10" i="6"/>
  <c r="V10" i="6"/>
  <c r="AL10" i="6"/>
  <c r="Z10" i="6"/>
  <c r="AJ10" i="6"/>
  <c r="P10" i="6"/>
  <c r="AH10" i="6"/>
  <c r="L10" i="6"/>
  <c r="AF10" i="6"/>
  <c r="J10" i="6"/>
  <c r="AD40" i="7"/>
  <c r="N35" i="6"/>
  <c r="T36" i="6"/>
  <c r="N37" i="6"/>
  <c r="AD37" i="6"/>
  <c r="Z45" i="7"/>
  <c r="X45" i="7"/>
  <c r="AF45" i="7"/>
  <c r="V45" i="7"/>
  <c r="P45" i="7"/>
  <c r="AL45" i="7"/>
  <c r="AJ45" i="7"/>
  <c r="L45" i="7"/>
  <c r="AH45" i="7"/>
  <c r="J45" i="7"/>
  <c r="N15" i="6"/>
  <c r="T40" i="7"/>
  <c r="AH40" i="6"/>
  <c r="L40" i="6"/>
  <c r="AF40" i="6"/>
  <c r="J40" i="6"/>
  <c r="Z40" i="6"/>
  <c r="AJ40" i="6"/>
  <c r="P40" i="6"/>
  <c r="X40" i="6"/>
  <c r="V40" i="6"/>
  <c r="AL40" i="6"/>
  <c r="N17" i="6"/>
  <c r="V8" i="6"/>
  <c r="AL8" i="6"/>
  <c r="AJ8" i="6"/>
  <c r="P8" i="6"/>
  <c r="AH8" i="6"/>
  <c r="L8" i="6"/>
  <c r="X8" i="6"/>
  <c r="AF8" i="6"/>
  <c r="J8" i="6"/>
  <c r="Z8" i="6"/>
  <c r="AD44" i="7"/>
  <c r="AD35" i="7"/>
  <c r="AD28" i="7"/>
  <c r="T35" i="7"/>
  <c r="T28" i="7"/>
  <c r="AD13" i="7"/>
  <c r="N14" i="7"/>
  <c r="N17" i="7"/>
  <c r="N15" i="7"/>
  <c r="AD34" i="7"/>
  <c r="AD11" i="7"/>
  <c r="N13" i="7"/>
  <c r="AD14" i="7"/>
  <c r="N11" i="7"/>
  <c r="AL20" i="7"/>
  <c r="V20" i="7"/>
  <c r="AJ20" i="7"/>
  <c r="L20" i="7"/>
  <c r="AH20" i="7"/>
  <c r="Z20" i="7"/>
  <c r="J20" i="7"/>
  <c r="AF20" i="7"/>
  <c r="X20" i="7"/>
  <c r="P20" i="7"/>
  <c r="AL12" i="7"/>
  <c r="V12" i="7"/>
  <c r="AJ12" i="7"/>
  <c r="L12" i="7"/>
  <c r="AH12" i="7"/>
  <c r="Z12" i="7"/>
  <c r="J12" i="7"/>
  <c r="X12" i="7"/>
  <c r="AF12" i="7"/>
  <c r="P12" i="7"/>
  <c r="AF32" i="7"/>
  <c r="X32" i="7"/>
  <c r="P32" i="7"/>
  <c r="G32" i="7"/>
  <c r="AL32" i="7"/>
  <c r="V32" i="7"/>
  <c r="AJ32" i="7"/>
  <c r="L32" i="7"/>
  <c r="AH32" i="7"/>
  <c r="Z32" i="7"/>
  <c r="J32" i="7"/>
  <c r="AF37" i="7"/>
  <c r="X37" i="7"/>
  <c r="J37" i="7"/>
  <c r="AL37" i="7"/>
  <c r="V37" i="7"/>
  <c r="P37" i="7"/>
  <c r="AJ37" i="7"/>
  <c r="AH37" i="7"/>
  <c r="Z37" i="7"/>
  <c r="L37" i="7"/>
  <c r="AD37" i="7"/>
  <c r="T36" i="7"/>
  <c r="T32" i="7"/>
  <c r="AF30" i="7"/>
  <c r="X30" i="7"/>
  <c r="J30" i="7"/>
  <c r="AL30" i="7"/>
  <c r="V30" i="7"/>
  <c r="P30" i="7"/>
  <c r="AJ30" i="7"/>
  <c r="T30" i="7"/>
  <c r="AH30" i="7"/>
  <c r="Z30" i="7"/>
  <c r="L30" i="7"/>
  <c r="AH22" i="7"/>
  <c r="Z22" i="7"/>
  <c r="J22" i="7"/>
  <c r="AF22" i="7"/>
  <c r="X22" i="7"/>
  <c r="P22" i="7"/>
  <c r="AL22" i="7"/>
  <c r="V22" i="7"/>
  <c r="AJ22" i="7"/>
  <c r="L22" i="7"/>
  <c r="AH18" i="7"/>
  <c r="Z18" i="7"/>
  <c r="J18" i="7"/>
  <c r="AF18" i="7"/>
  <c r="X18" i="7"/>
  <c r="P18" i="7"/>
  <c r="G18" i="7"/>
  <c r="AL18" i="7"/>
  <c r="V18" i="7"/>
  <c r="AJ18" i="7"/>
  <c r="L18" i="7"/>
  <c r="AJ27" i="7"/>
  <c r="L27" i="7"/>
  <c r="AH27" i="7"/>
  <c r="Z27" i="7"/>
  <c r="J27" i="7"/>
  <c r="AF27" i="7"/>
  <c r="X27" i="7"/>
  <c r="P27" i="7"/>
  <c r="AL27" i="7"/>
  <c r="V27" i="7"/>
  <c r="AH25" i="7"/>
  <c r="L25" i="7"/>
  <c r="AF25" i="7"/>
  <c r="Z25" i="7"/>
  <c r="J25" i="7"/>
  <c r="AL25" i="7"/>
  <c r="X25" i="7"/>
  <c r="P25" i="7"/>
  <c r="G25" i="7"/>
  <c r="AJ25" i="7"/>
  <c r="V25" i="7"/>
  <c r="T9" i="7"/>
  <c r="T37" i="7"/>
  <c r="T8" i="7"/>
  <c r="T27" i="7"/>
  <c r="AD24" i="7"/>
  <c r="AD20" i="7"/>
  <c r="AD12" i="7"/>
  <c r="AD32" i="7"/>
  <c r="T20" i="7"/>
  <c r="T12" i="7"/>
  <c r="AD33" i="7"/>
  <c r="N30" i="7"/>
  <c r="N22" i="7"/>
  <c r="N18" i="7"/>
  <c r="N27" i="7"/>
  <c r="N25" i="7"/>
  <c r="T22" i="7"/>
  <c r="T18" i="7"/>
  <c r="AL24" i="7"/>
  <c r="V24" i="7"/>
  <c r="AJ24" i="7"/>
  <c r="L24" i="7"/>
  <c r="AH24" i="7"/>
  <c r="Z24" i="7"/>
  <c r="J24" i="7"/>
  <c r="AF24" i="7"/>
  <c r="X24" i="7"/>
  <c r="P24" i="7"/>
  <c r="AF36" i="7"/>
  <c r="X36" i="7"/>
  <c r="P36" i="7"/>
  <c r="AL36" i="7"/>
  <c r="V36" i="7"/>
  <c r="AJ36" i="7"/>
  <c r="L36" i="7"/>
  <c r="AH36" i="7"/>
  <c r="Z36" i="7"/>
  <c r="J36" i="7"/>
  <c r="AF29" i="7"/>
  <c r="X29" i="7"/>
  <c r="P29" i="7"/>
  <c r="AL29" i="7"/>
  <c r="V29" i="7"/>
  <c r="AJ29" i="7"/>
  <c r="L29" i="7"/>
  <c r="AH29" i="7"/>
  <c r="Z29" i="7"/>
  <c r="J29" i="7"/>
  <c r="AH33" i="7"/>
  <c r="Z33" i="7"/>
  <c r="J33" i="7"/>
  <c r="AF33" i="7"/>
  <c r="X33" i="7"/>
  <c r="P33" i="7"/>
  <c r="AL33" i="7"/>
  <c r="V33" i="7"/>
  <c r="AJ33" i="7"/>
  <c r="L33" i="7"/>
  <c r="AH31" i="7"/>
  <c r="Z31" i="7"/>
  <c r="J31" i="7"/>
  <c r="AF31" i="7"/>
  <c r="X31" i="7"/>
  <c r="P31" i="7"/>
  <c r="AL31" i="7"/>
  <c r="V31" i="7"/>
  <c r="AJ31" i="7"/>
  <c r="L31" i="7"/>
  <c r="T29" i="7"/>
  <c r="T31" i="7"/>
  <c r="AL10" i="7"/>
  <c r="V10" i="7"/>
  <c r="AJ10" i="7"/>
  <c r="L10" i="7"/>
  <c r="AH10" i="7"/>
  <c r="Z10" i="7"/>
  <c r="J10" i="7"/>
  <c r="AF10" i="7"/>
  <c r="X10" i="7"/>
  <c r="P10" i="7"/>
  <c r="T10" i="7"/>
  <c r="AH8" i="7"/>
  <c r="Z8" i="7"/>
  <c r="J8" i="7"/>
  <c r="AF8" i="7"/>
  <c r="X8" i="7"/>
  <c r="P8" i="7"/>
  <c r="AL8" i="7"/>
  <c r="V8" i="7"/>
  <c r="AJ8" i="7"/>
  <c r="L8" i="7"/>
  <c r="AJ9" i="7"/>
  <c r="L9" i="7"/>
  <c r="AH9" i="7"/>
  <c r="Z9" i="7"/>
  <c r="J9" i="7"/>
  <c r="AF9" i="7"/>
  <c r="X9" i="7"/>
  <c r="P9" i="7"/>
  <c r="AL9" i="7"/>
  <c r="V9" i="7"/>
  <c r="AL35" i="7"/>
  <c r="V35" i="7"/>
  <c r="AJ35" i="7"/>
  <c r="L35" i="7"/>
  <c r="AH35" i="7"/>
  <c r="Z35" i="7"/>
  <c r="J35" i="7"/>
  <c r="AF35" i="7"/>
  <c r="X35" i="7"/>
  <c r="P35" i="7"/>
  <c r="AL28" i="7"/>
  <c r="V28" i="7"/>
  <c r="AJ28" i="7"/>
  <c r="L28" i="7"/>
  <c r="AH28" i="7"/>
  <c r="Z28" i="7"/>
  <c r="J28" i="7"/>
  <c r="AF28" i="7"/>
  <c r="X28" i="7"/>
  <c r="P28" i="7"/>
  <c r="N24" i="7"/>
  <c r="N20" i="7"/>
  <c r="N12" i="7"/>
  <c r="N36" i="7"/>
  <c r="N32" i="7"/>
  <c r="N29" i="7"/>
  <c r="AF21" i="7"/>
  <c r="X21" i="7"/>
  <c r="P21" i="7"/>
  <c r="AL21" i="7"/>
  <c r="V21" i="7"/>
  <c r="AJ21" i="7"/>
  <c r="L21" i="7"/>
  <c r="AH21" i="7"/>
  <c r="Z21" i="7"/>
  <c r="J21" i="7"/>
  <c r="AF13" i="7"/>
  <c r="X13" i="7"/>
  <c r="P13" i="7"/>
  <c r="AL13" i="7"/>
  <c r="V13" i="7"/>
  <c r="AJ13" i="7"/>
  <c r="L13" i="7"/>
  <c r="AH13" i="7"/>
  <c r="Z13" i="7"/>
  <c r="J13" i="7"/>
  <c r="N37" i="7"/>
  <c r="N33" i="7"/>
  <c r="N31" i="7"/>
  <c r="AD22" i="7"/>
  <c r="AD18" i="7"/>
  <c r="AH14" i="7"/>
  <c r="Z14" i="7"/>
  <c r="J14" i="7"/>
  <c r="AF14" i="7"/>
  <c r="X14" i="7"/>
  <c r="P14" i="7"/>
  <c r="AL14" i="7"/>
  <c r="V14" i="7"/>
  <c r="AJ14" i="7"/>
  <c r="L14" i="7"/>
  <c r="AJ34" i="7"/>
  <c r="L34" i="7"/>
  <c r="AH34" i="7"/>
  <c r="Z34" i="7"/>
  <c r="J34" i="7"/>
  <c r="AF34" i="7"/>
  <c r="X34" i="7"/>
  <c r="P34" i="7"/>
  <c r="AL34" i="7"/>
  <c r="V34" i="7"/>
  <c r="AD27" i="7"/>
  <c r="AJ23" i="7"/>
  <c r="L23" i="7"/>
  <c r="AH23" i="7"/>
  <c r="Z23" i="7"/>
  <c r="J23" i="7"/>
  <c r="AF23" i="7"/>
  <c r="X23" i="7"/>
  <c r="P23" i="7"/>
  <c r="AL23" i="7"/>
  <c r="V23" i="7"/>
  <c r="AJ19" i="7"/>
  <c r="L19" i="7"/>
  <c r="AH19" i="7"/>
  <c r="Z19" i="7"/>
  <c r="J19" i="7"/>
  <c r="AF19" i="7"/>
  <c r="X19" i="7"/>
  <c r="P19" i="7"/>
  <c r="AL19" i="7"/>
  <c r="V19" i="7"/>
  <c r="AJ17" i="7"/>
  <c r="L17" i="7"/>
  <c r="AH17" i="7"/>
  <c r="Z17" i="7"/>
  <c r="J17" i="7"/>
  <c r="AF17" i="7"/>
  <c r="X17" i="7"/>
  <c r="P17" i="7"/>
  <c r="AL17" i="7"/>
  <c r="V17" i="7"/>
  <c r="AH15" i="7"/>
  <c r="L15" i="7"/>
  <c r="AF15" i="7"/>
  <c r="Z15" i="7"/>
  <c r="J15" i="7"/>
  <c r="AL15" i="7"/>
  <c r="X15" i="7"/>
  <c r="P15" i="7"/>
  <c r="AJ15" i="7"/>
  <c r="V15" i="7"/>
  <c r="AJ11" i="7"/>
  <c r="V11" i="7"/>
  <c r="AL11" i="7"/>
  <c r="L11" i="7"/>
  <c r="AH11" i="7"/>
  <c r="Z11" i="7"/>
  <c r="J11" i="7"/>
  <c r="AF11" i="7"/>
  <c r="X11" i="7"/>
  <c r="P11" i="7"/>
  <c r="G11" i="7"/>
  <c r="N10" i="7"/>
  <c r="AD25" i="7"/>
  <c r="N8" i="7"/>
  <c r="N9" i="7"/>
  <c r="AD7" i="7"/>
  <c r="V7" i="7"/>
  <c r="N7" i="7"/>
  <c r="T7" i="7"/>
  <c r="AB7" i="7"/>
  <c r="Z7" i="7"/>
  <c r="R7" i="7"/>
  <c r="X7" i="7"/>
  <c r="P7" i="7"/>
  <c r="L7" i="7"/>
  <c r="J7" i="7"/>
  <c r="G7" i="7"/>
  <c r="AL7" i="7"/>
  <c r="AJ7" i="7"/>
  <c r="AH7" i="7"/>
  <c r="AF7" i="7"/>
  <c r="H7" i="7"/>
  <c r="G7" i="6"/>
  <c r="AH7" i="6"/>
  <c r="V7" i="6"/>
  <c r="AF7" i="6"/>
  <c r="P7" i="6"/>
  <c r="AL7" i="6"/>
  <c r="Z7" i="6"/>
  <c r="H7" i="6"/>
  <c r="AJ7" i="6"/>
  <c r="X7" i="6"/>
  <c r="N7" i="6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D9" i="13" l="1"/>
  <c r="E9" i="13"/>
  <c r="D11" i="13"/>
  <c r="E11" i="13"/>
  <c r="C24" i="39"/>
  <c r="E15" i="13"/>
  <c r="C24" i="13"/>
  <c r="B7" i="13"/>
  <c r="E7" i="13" s="1"/>
  <c r="X55" i="1"/>
  <c r="X54" i="1"/>
  <c r="X53" i="1"/>
  <c r="X52" i="1"/>
  <c r="X47" i="1"/>
  <c r="X46" i="1"/>
  <c r="X45" i="1"/>
  <c r="X44" i="1"/>
  <c r="X43" i="1"/>
  <c r="X48" i="1" s="1"/>
  <c r="V48" i="1" s="1"/>
  <c r="X41" i="1"/>
  <c r="X40" i="1"/>
  <c r="X39" i="1"/>
  <c r="X38" i="1"/>
  <c r="X37" i="1"/>
  <c r="X33" i="1"/>
  <c r="X32" i="1"/>
  <c r="X31" i="1"/>
  <c r="X30" i="1"/>
  <c r="X29" i="1"/>
  <c r="X27" i="1"/>
  <c r="X26" i="1"/>
  <c r="X25" i="1"/>
  <c r="X24" i="1"/>
  <c r="X23" i="1"/>
  <c r="S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U11" i="1"/>
  <c r="W11" i="1" s="1"/>
  <c r="O11" i="1"/>
  <c r="Q11" i="1" s="1"/>
  <c r="C11" i="1"/>
  <c r="B11" i="1"/>
  <c r="E11" i="1" s="1"/>
  <c r="U10" i="1"/>
  <c r="W10" i="1" s="1"/>
  <c r="O10" i="1"/>
  <c r="Q10" i="1" s="1"/>
  <c r="E10" i="1"/>
  <c r="D10" i="1"/>
  <c r="U9" i="1"/>
  <c r="W9" i="1" s="1"/>
  <c r="O9" i="1"/>
  <c r="Q9" i="1" s="1"/>
  <c r="C9" i="1"/>
  <c r="B9" i="1"/>
  <c r="E9" i="1" s="1"/>
  <c r="U8" i="1"/>
  <c r="W8" i="1" s="1"/>
  <c r="O8" i="1"/>
  <c r="Q8" i="1" s="1"/>
  <c r="E8" i="1"/>
  <c r="D8" i="1"/>
  <c r="U7" i="1"/>
  <c r="W7" i="1" s="1"/>
  <c r="O7" i="1"/>
  <c r="Q7" i="1" s="1"/>
  <c r="E7" i="1"/>
  <c r="D7" i="1"/>
  <c r="U6" i="1"/>
  <c r="W6" i="1" s="1"/>
  <c r="O6" i="1"/>
  <c r="Q6" i="1" s="1"/>
  <c r="E6" i="1"/>
  <c r="D6" i="1"/>
  <c r="X34" i="1" l="1"/>
  <c r="V34" i="1" s="1"/>
  <c r="I21" i="13"/>
  <c r="K21" i="13" s="1"/>
  <c r="I18" i="13"/>
  <c r="K18" i="13" s="1"/>
  <c r="I15" i="13"/>
  <c r="I17" i="13"/>
  <c r="K17" i="13" s="1"/>
  <c r="I19" i="13"/>
  <c r="K19" i="13" s="1"/>
  <c r="I22" i="13"/>
  <c r="K22" i="13" s="1"/>
  <c r="I16" i="13"/>
  <c r="K16" i="13" s="1"/>
  <c r="D7" i="13"/>
  <c r="I20" i="13"/>
  <c r="K20" i="13" s="1"/>
  <c r="I23" i="13"/>
  <c r="K23" i="13" s="1"/>
  <c r="X28" i="1"/>
  <c r="V28" i="1" s="1"/>
  <c r="D9" i="1"/>
  <c r="D11" i="1"/>
  <c r="O14" i="1"/>
  <c r="X42" i="1"/>
  <c r="V42" i="1" s="1"/>
  <c r="U14" i="1"/>
  <c r="K15" i="13" l="1"/>
  <c r="I24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<sst xmlns="http://schemas.openxmlformats.org/spreadsheetml/2006/main" count="8487" uniqueCount="980">
  <si>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</si>
  <si>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</si>
  <si>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</si>
  <si>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</si>
  <si>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</si>
  <si>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</si>
  <si>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</si>
  <si>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</si>
  <si>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</si>
  <si>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</si>
  <si>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</si>
  <si>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</si>
  <si>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</si>
  <si>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</si>
  <si>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</si>
  <si>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</si>
  <si>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</si>
  <si>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</si>
  <si>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</si>
  <si>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</si>
  <si>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6"/>
  </si>
  <si>
    <t>（１）收支狀況</t>
    <phoneticPr fontId="6"/>
  </si>
  <si>
    <t>當月</t>
    <phoneticPr fontId="6"/>
  </si>
  <si>
    <t>※單位：千元</t>
    <phoneticPr fontId="6"/>
  </si>
  <si>
    <t>業績金額</t>
    <phoneticPr fontId="6"/>
  </si>
  <si>
    <t>訂單數量</t>
    <phoneticPr fontId="6"/>
  </si>
  <si>
    <t>半成品報廢</t>
    <phoneticPr fontId="6"/>
  </si>
  <si>
    <t>半成品超用</t>
    <phoneticPr fontId="6"/>
  </si>
  <si>
    <t>固定產線</t>
    <phoneticPr fontId="6"/>
  </si>
  <si>
    <t>教育訓練</t>
    <phoneticPr fontId="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</si>
  <si>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6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</si>
  <si>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6"/>
  </si>
  <si>
    <t>（３）業績構成比</t>
    <phoneticPr fontId="6"/>
  </si>
  <si>
    <t>（４）訂單數量構成比</t>
    <phoneticPr fontId="6"/>
  </si>
  <si>
    <t>飯糰</t>
    <phoneticPr fontId="6"/>
  </si>
  <si>
    <t>大口飯糰</t>
    <phoneticPr fontId="6"/>
  </si>
  <si>
    <t>便當</t>
    <phoneticPr fontId="6"/>
  </si>
  <si>
    <t>調理麵包</t>
    <phoneticPr fontId="6"/>
  </si>
  <si>
    <t>袋裝調理麵包</t>
    <phoneticPr fontId="6"/>
  </si>
  <si>
    <t>義大利麵</t>
    <phoneticPr fontId="6"/>
  </si>
  <si>
    <t>調理包</t>
    <phoneticPr fontId="6"/>
  </si>
  <si>
    <t>比例</t>
    <phoneticPr fontId="6"/>
  </si>
  <si>
    <t>作業原因</t>
    <phoneticPr fontId="6"/>
  </si>
  <si>
    <t>規格原因</t>
    <phoneticPr fontId="6"/>
  </si>
  <si>
    <t>調理麵</t>
    <phoneticPr fontId="6"/>
  </si>
  <si>
    <t>（６）人時生產性前幾名品項</t>
    <phoneticPr fontId="6"/>
  </si>
  <si>
    <t>人數</t>
    <phoneticPr fontId="6"/>
  </si>
  <si>
    <t>排名</t>
    <phoneticPr fontId="6"/>
  </si>
  <si>
    <t>產能</t>
    <phoneticPr fontId="6"/>
  </si>
  <si>
    <t>人時生產性</t>
    <phoneticPr fontId="6"/>
  </si>
  <si>
    <t>主要原因&amp;對策</t>
  </si>
  <si>
    <t>主要原因&amp;對策</t>
    <phoneticPr fontId="6"/>
  </si>
  <si>
    <t>（８）報廢原因別前幾名品項</t>
    <phoneticPr fontId="6"/>
  </si>
  <si>
    <t>半成品名</t>
    <phoneticPr fontId="6"/>
  </si>
  <si>
    <t>單價</t>
    <phoneticPr fontId="6"/>
  </si>
  <si>
    <t>報廢率</t>
    <phoneticPr fontId="6"/>
  </si>
  <si>
    <t>數量</t>
    <phoneticPr fontId="6"/>
  </si>
  <si>
    <t>實績</t>
    <phoneticPr fontId="6"/>
  </si>
  <si>
    <t>前幾名合計比例</t>
    <phoneticPr fontId="6"/>
  </si>
  <si>
    <t>前幾名合計金額</t>
    <phoneticPr fontId="6"/>
  </si>
  <si>
    <t>※補充</t>
    <phoneticPr fontId="6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</si>
  <si>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6"/>
  </si>
  <si>
    <t>實施率</t>
    <phoneticPr fontId="6"/>
  </si>
  <si>
    <t>（５）品群別人時生產性</t>
    <phoneticPr fontId="6"/>
  </si>
  <si>
    <t>勞務成本</t>
    <phoneticPr fontId="6"/>
  </si>
  <si>
    <t>勞務費率</t>
    <phoneticPr fontId="6"/>
  </si>
  <si>
    <t>比例</t>
    <phoneticPr fontId="6"/>
  </si>
  <si>
    <t>前月</t>
    <phoneticPr fontId="6"/>
  </si>
  <si>
    <t>差異</t>
    <phoneticPr fontId="6"/>
  </si>
  <si>
    <t>KPI</t>
    <phoneticPr fontId="6"/>
  </si>
  <si>
    <t>當月</t>
    <phoneticPr fontId="6"/>
  </si>
  <si>
    <t>（２）ＫＰＩ達成進度</t>
    <phoneticPr fontId="6"/>
  </si>
  <si>
    <t>（７）原因別分析</t>
    <phoneticPr fontId="6"/>
  </si>
  <si>
    <t>月別</t>
    <phoneticPr fontId="6"/>
  </si>
  <si>
    <t>工廠名</t>
    <phoneticPr fontId="6"/>
  </si>
  <si>
    <t>手巻卵黄雞絞肉</t>
    <phoneticPr fontId="6"/>
  </si>
  <si>
    <t>減少暫時停止生產,人時UP</t>
    <phoneticPr fontId="6"/>
  </si>
  <si>
    <t>因組裝2食材,人員增加,產速減少</t>
    <phoneticPr fontId="6"/>
  </si>
  <si>
    <t>透由調整速度提升。</t>
    <phoneticPr fontId="6"/>
  </si>
  <si>
    <t>直巻明太子美奶茲</t>
    <phoneticPr fontId="6"/>
  </si>
  <si>
    <t>大口飯糰燒肉美奶滋</t>
    <phoneticPr fontId="6"/>
  </si>
  <si>
    <t>因摺疊增員。實施教育訓練。</t>
    <phoneticPr fontId="6"/>
  </si>
  <si>
    <t>明太子海苔便當</t>
    <phoneticPr fontId="6"/>
  </si>
  <si>
    <t>指導鋪開炒柴魚片</t>
    <phoneticPr fontId="6"/>
  </si>
  <si>
    <t>肉狀態不良，已連動開發</t>
    <phoneticPr fontId="6"/>
  </si>
  <si>
    <t>油炸白身魚</t>
    <phoneticPr fontId="6"/>
  </si>
  <si>
    <t>油調過多報廢。變更條件。</t>
    <phoneticPr fontId="6"/>
  </si>
  <si>
    <t>川燙蝦子拌醬</t>
    <phoneticPr fontId="6"/>
  </si>
  <si>
    <t>蝦子入數不足</t>
    <phoneticPr fontId="6"/>
  </si>
  <si>
    <t>特製醬汁炙燒牛五花便當</t>
    <phoneticPr fontId="6"/>
  </si>
  <si>
    <t>牛五花醬汁</t>
    <phoneticPr fontId="6"/>
  </si>
  <si>
    <t>難度有差異。調理指導。</t>
    <phoneticPr fontId="6"/>
  </si>
  <si>
    <t>因原料變更。</t>
    <phoneticPr fontId="6"/>
  </si>
  <si>
    <t>牛五花燒成</t>
    <phoneticPr fontId="6"/>
  </si>
  <si>
    <t>大口飯糰三種起司午餐肉</t>
    <phoneticPr fontId="6"/>
  </si>
  <si>
    <t>３種起司燒成</t>
    <phoneticPr fontId="6"/>
  </si>
  <si>
    <t>與燒成範本不同。</t>
    <phoneticPr fontId="6"/>
  </si>
  <si>
    <t>燒成過多，調整調理條件。</t>
    <phoneticPr fontId="6"/>
  </si>
  <si>
    <t>超用率</t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</si>
  <si>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</si>
  <si>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</si>
  <si>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</si>
  <si>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6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</si>
  <si>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6"/>
  </si>
  <si>
    <t>超用率</t>
    <phoneticPr fontId="6"/>
  </si>
  <si>
    <t>日期</t>
    <phoneticPr fontId="9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</si>
  <si>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</si>
  <si>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</si>
  <si>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</si>
  <si>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</si>
  <si>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</si>
  <si>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9" type="noConversion"/>
  </si>
  <si>
    <t>業績(元)</t>
    <phoneticPr fontId="9" type="noConversion"/>
  </si>
  <si>
    <t>比例(%)</t>
    <phoneticPr fontId="9" type="noConversion"/>
  </si>
  <si>
    <t>三</t>
    <phoneticPr fontId="9" type="noConversion"/>
  </si>
  <si>
    <t>四</t>
    <phoneticPr fontId="9" type="noConversion"/>
  </si>
  <si>
    <t>五</t>
    <phoneticPr fontId="9" type="noConversion"/>
  </si>
  <si>
    <t>六</t>
    <phoneticPr fontId="9" type="noConversion"/>
  </si>
  <si>
    <t>日</t>
    <phoneticPr fontId="9" type="noConversion"/>
  </si>
  <si>
    <t>一</t>
    <phoneticPr fontId="9" type="noConversion"/>
  </si>
  <si>
    <t>二</t>
    <phoneticPr fontId="9" type="noConversion"/>
  </si>
  <si>
    <t>八</t>
    <phoneticPr fontId="9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</si>
  <si>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9" type="noConversion"/>
  </si>
  <si>
    <t>週累積</t>
    <phoneticPr fontId="9" type="noConversion"/>
  </si>
  <si>
    <t>月累積</t>
    <phoneticPr fontId="9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</si>
  <si>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9" type="noConversion"/>
  </si>
  <si>
    <t>訂單數量(個)</t>
    <phoneticPr fontId="9" type="noConversion"/>
  </si>
  <si>
    <t>材料費(元)</t>
    <phoneticPr fontId="9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</si>
  <si>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9" type="noConversion"/>
  </si>
  <si>
    <t>材料費率（材料費／營業額）</t>
    <phoneticPr fontId="9" type="noConversion"/>
  </si>
  <si>
    <t>勞務成本（全廠人事成本）</t>
    <phoneticPr fontId="9" type="noConversion"/>
  </si>
  <si>
    <t>勞務費率（勞務成本／營業額）</t>
    <phoneticPr fontId="9" type="noConversion"/>
  </si>
  <si>
    <t>（２）ＫＰＩ達成進度</t>
    <phoneticPr fontId="6"/>
  </si>
  <si>
    <t>（２）ＫＰＩ達成進度</t>
    <phoneticPr fontId="9" type="noConversion"/>
  </si>
  <si>
    <t>週平均</t>
    <phoneticPr fontId="9" type="noConversion"/>
  </si>
  <si>
    <t>月平均</t>
    <phoneticPr fontId="9" type="noConversion"/>
  </si>
  <si>
    <t>一配</t>
    <phoneticPr fontId="9" type="noConversion"/>
  </si>
  <si>
    <t>二配</t>
    <phoneticPr fontId="9" type="noConversion"/>
  </si>
  <si>
    <t>便當</t>
  </si>
  <si>
    <t>便當</t>
    <phoneticPr fontId="9" type="noConversion"/>
  </si>
  <si>
    <t>主食</t>
  </si>
  <si>
    <t>主食</t>
    <phoneticPr fontId="9" type="noConversion"/>
  </si>
  <si>
    <t>熱食義麵</t>
  </si>
  <si>
    <t>季節調理麵</t>
  </si>
  <si>
    <t>微波小吃</t>
  </si>
  <si>
    <t>微波小吃</t>
    <phoneticPr fontId="9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</si>
  <si>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9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</si>
  <si>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</si>
  <si>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</si>
  <si>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</si>
  <si>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9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</si>
  <si>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9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</si>
  <si>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9" type="noConversion"/>
  </si>
  <si>
    <r>
      <t>資料</t>
    </r>
    <r>
      <rPr>
        <sz val="10"/>
        <color theme="0"/>
        <rFont val="細明體"/>
        <family val="3"/>
        <charset val="136"/>
      </rPr>
      <t>繳</t>
    </r>
    <r>
      <rPr>
        <sz val="10"/>
        <color theme="0"/>
        <rFont val="Meiryo UI"/>
        <family val="2"/>
      </rPr>
      <t>交日</t>
    </r>
    <phoneticPr fontId="9" type="noConversion"/>
  </si>
  <si>
    <t>合計</t>
    <phoneticPr fontId="9" type="noConversion"/>
  </si>
  <si>
    <t>（４）訂單數量構成比</t>
    <phoneticPr fontId="6"/>
  </si>
  <si>
    <t>訂單量</t>
    <phoneticPr fontId="9" type="noConversion"/>
  </si>
  <si>
    <t>訂單數</t>
    <phoneticPr fontId="9" type="noConversion"/>
  </si>
  <si>
    <t>18℃-飯糰</t>
  </si>
  <si>
    <t>18℃-壽司手卷</t>
  </si>
  <si>
    <t>4℃-飯糰</t>
  </si>
  <si>
    <t>4℃-壽司手卷</t>
  </si>
  <si>
    <t>品群</t>
    <phoneticPr fontId="9" type="noConversion"/>
  </si>
  <si>
    <t>日期</t>
    <phoneticPr fontId="9" type="noConversion"/>
  </si>
  <si>
    <t>資料繳交</t>
    <phoneticPr fontId="9" type="noConversion"/>
  </si>
  <si>
    <t>五</t>
    <phoneticPr fontId="9" type="noConversion"/>
  </si>
  <si>
    <t>二</t>
    <phoneticPr fontId="9" type="noConversion"/>
  </si>
  <si>
    <t>三</t>
    <phoneticPr fontId="9" type="noConversion"/>
  </si>
  <si>
    <t>四</t>
    <phoneticPr fontId="9" type="noConversion"/>
  </si>
  <si>
    <t>六</t>
    <phoneticPr fontId="9" type="noConversion"/>
  </si>
  <si>
    <t>日</t>
    <phoneticPr fontId="9" type="noConversion"/>
  </si>
  <si>
    <t>一</t>
    <phoneticPr fontId="9" type="noConversion"/>
  </si>
  <si>
    <t>產線配置圖－每週更新</t>
    <phoneticPr fontId="9" type="noConversion"/>
  </si>
  <si>
    <t>製程不穩</t>
    <phoneticPr fontId="6"/>
  </si>
  <si>
    <t>研發設定</t>
    <phoneticPr fontId="6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</si>
  <si>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</si>
  <si>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</si>
  <si>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</si>
  <si>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</si>
  <si>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</si>
  <si>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</si>
  <si>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</si>
  <si>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</si>
  <si>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</si>
  <si>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</si>
  <si>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</si>
  <si>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</si>
  <si>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</si>
  <si>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</si>
  <si>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</si>
  <si>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</si>
  <si>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</si>
  <si>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</si>
  <si>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</si>
  <si>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</si>
  <si>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6"/>
  </si>
  <si>
    <t>品群</t>
    <phoneticPr fontId="6"/>
  </si>
  <si>
    <t>抓樣不穩</t>
    <phoneticPr fontId="6"/>
  </si>
  <si>
    <t>原物料規格</t>
    <phoneticPr fontId="6"/>
  </si>
  <si>
    <t>其他原因</t>
    <phoneticPr fontId="6"/>
  </si>
  <si>
    <t>類型</t>
    <phoneticPr fontId="9" type="noConversion"/>
  </si>
  <si>
    <t>作業原因</t>
    <phoneticPr fontId="6"/>
  </si>
  <si>
    <t>類型</t>
    <phoneticPr fontId="9" type="noConversion"/>
  </si>
  <si>
    <t>原料原因</t>
    <phoneticPr fontId="6"/>
  </si>
  <si>
    <t>個／MH</t>
    <phoneticPr fontId="6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</si>
  <si>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6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</si>
  <si>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6"/>
  </si>
  <si>
    <t>項目</t>
    <phoneticPr fontId="9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</si>
  <si>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6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</si>
  <si>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6"/>
  </si>
  <si>
    <t>半成品-報廢(%)</t>
    <phoneticPr fontId="6"/>
  </si>
  <si>
    <t>半成品-超用(%)</t>
    <phoneticPr fontId="6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</si>
  <si>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6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</si>
  <si>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6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</si>
  <si>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9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</si>
  <si>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9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</si>
  <si>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</si>
  <si>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</si>
  <si>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</si>
  <si>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</si>
  <si>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</si>
  <si>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6"/>
  </si>
  <si>
    <t>（８）報廢原因別前幾名品項</t>
    <phoneticPr fontId="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</si>
  <si>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6"/>
  </si>
  <si>
    <t>抓樣不穩</t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</si>
  <si>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</si>
  <si>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</si>
  <si>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6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</si>
  <si>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9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</si>
  <si>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6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</si>
  <si>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6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</si>
  <si>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9" type="noConversion"/>
  </si>
  <si>
    <t>4℃-壽司手卷(077)</t>
  </si>
  <si>
    <t>4℃-壽司手卷(077)</t>
    <phoneticPr fontId="9" type="noConversion"/>
  </si>
  <si>
    <t>18℃-壽司手卷(071,072,075,076)</t>
  </si>
  <si>
    <t>18℃-壽司手卷(071,072,075,076)</t>
    <phoneticPr fontId="9" type="noConversion"/>
  </si>
  <si>
    <t>主食(091,092,093,094,095)</t>
  </si>
  <si>
    <t>主食(091,092,093,094,095)</t>
    <phoneticPr fontId="9" type="noConversion"/>
  </si>
  <si>
    <t>便當(083)</t>
  </si>
  <si>
    <t>便當(083)</t>
    <phoneticPr fontId="9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</si>
  <si>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9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</si>
  <si>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9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</si>
  <si>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9" type="noConversion"/>
  </si>
  <si>
    <t>微波小吃(153,154,155)</t>
  </si>
  <si>
    <t>微波小吃(153,154,155)</t>
    <phoneticPr fontId="9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</si>
  <si>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</si>
  <si>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</si>
  <si>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</si>
  <si>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</si>
  <si>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</si>
  <si>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9" type="noConversion"/>
  </si>
  <si>
    <t>業績金額</t>
    <phoneticPr fontId="9" type="noConversion"/>
  </si>
  <si>
    <t>項目</t>
    <phoneticPr fontId="9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</si>
  <si>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</si>
  <si>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</si>
  <si>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抓樣不穩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</si>
  <si>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</si>
  <si>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</si>
  <si>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</si>
  <si>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</si>
  <si>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</si>
  <si>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</si>
  <si>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</si>
  <si>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總件數</t>
    <phoneticPr fontId="9" type="noConversion"/>
  </si>
  <si>
    <t>抓樣不穩</t>
    <phoneticPr fontId="9" type="noConversion"/>
  </si>
  <si>
    <t>原物料規格</t>
    <phoneticPr fontId="9" type="noConversion"/>
  </si>
  <si>
    <t>五</t>
    <phoneticPr fontId="9" type="noConversion"/>
  </si>
  <si>
    <t>日</t>
    <phoneticPr fontId="9" type="noConversion"/>
  </si>
  <si>
    <t>二</t>
    <phoneticPr fontId="9" type="noConversion"/>
  </si>
  <si>
    <t>四</t>
    <phoneticPr fontId="9" type="noConversion"/>
  </si>
  <si>
    <t>五</t>
    <phoneticPr fontId="9" type="noConversion"/>
  </si>
  <si>
    <t>六</t>
    <phoneticPr fontId="9" type="noConversion"/>
  </si>
  <si>
    <t>占比</t>
    <phoneticPr fontId="9" type="noConversion"/>
  </si>
  <si>
    <t>日期</t>
    <phoneticPr fontId="9" type="noConversion"/>
  </si>
  <si>
    <t>分析原因</t>
    <phoneticPr fontId="9" type="noConversion"/>
  </si>
  <si>
    <t>次數</t>
    <phoneticPr fontId="9" type="noConversion"/>
  </si>
  <si>
    <t>分析原因（件）</t>
    <phoneticPr fontId="9" type="noConversion"/>
  </si>
  <si>
    <t>報廢金額</t>
    <phoneticPr fontId="9" type="noConversion"/>
  </si>
  <si>
    <t>總件數</t>
    <phoneticPr fontId="9" type="noConversion"/>
  </si>
  <si>
    <t>抓樣不穩</t>
    <phoneticPr fontId="9" type="noConversion"/>
  </si>
  <si>
    <t>原物料規格</t>
    <phoneticPr fontId="9" type="noConversion"/>
  </si>
  <si>
    <t>研發設定</t>
    <phoneticPr fontId="9" type="noConversion"/>
  </si>
  <si>
    <t>其他原因</t>
    <phoneticPr fontId="9" type="noConversion"/>
  </si>
  <si>
    <t>五</t>
    <phoneticPr fontId="9" type="noConversion"/>
  </si>
  <si>
    <t>日</t>
    <phoneticPr fontId="9" type="noConversion"/>
  </si>
  <si>
    <t>一</t>
    <phoneticPr fontId="9" type="noConversion"/>
  </si>
  <si>
    <t>三</t>
    <phoneticPr fontId="9" type="noConversion"/>
  </si>
  <si>
    <t>四</t>
    <phoneticPr fontId="9" type="noConversion"/>
  </si>
  <si>
    <t>六</t>
    <phoneticPr fontId="9" type="noConversion"/>
  </si>
  <si>
    <t>金額</t>
    <phoneticPr fontId="9" type="noConversion"/>
  </si>
  <si>
    <t>補單占比</t>
    <phoneticPr fontId="9" type="noConversion"/>
  </si>
  <si>
    <t>展開量高於１０5％</t>
    <phoneticPr fontId="6"/>
  </si>
  <si>
    <t>展開量105%</t>
    <phoneticPr fontId="9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</si>
  <si>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留不足</t>
    </r>
    <phoneticPr fontId="9" type="noConversion"/>
  </si>
  <si>
    <r>
      <t>報廢前十名紀</t>
    </r>
    <r>
      <rPr>
        <b/>
        <sz val="16"/>
        <color rgb="FF000000"/>
        <rFont val="Arial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9" type="noConversion"/>
  </si>
  <si>
    <r>
      <t>其他原因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</rPr>
      <t>明</t>
    </r>
    <phoneticPr fontId="9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</si>
  <si>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9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</si>
  <si>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9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</si>
  <si>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9" type="noConversion"/>
  </si>
  <si>
    <t>製程不穩</t>
    <phoneticPr fontId="9" type="noConversion"/>
  </si>
  <si>
    <t>18℃-壽司手卷(071,072,075,076)</t>
    <phoneticPr fontId="9" type="noConversion"/>
  </si>
  <si>
    <t>鮮食品群番</t>
    <phoneticPr fontId="9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</si>
  <si>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</si>
  <si>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</si>
  <si>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</si>
  <si>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</si>
  <si>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</si>
  <si>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</si>
  <si>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</si>
  <si>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</si>
  <si>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</si>
  <si>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</si>
  <si>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</si>
  <si>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</si>
  <si>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</si>
  <si>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</si>
  <si>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</si>
  <si>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</si>
  <si>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</si>
  <si>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</si>
  <si>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</si>
  <si>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</si>
  <si>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</si>
  <si>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</si>
  <si>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</si>
  <si>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</si>
  <si>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</si>
  <si>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</si>
  <si>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</si>
  <si>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</si>
  <si>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</si>
  <si>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</si>
  <si>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</si>
  <si>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</si>
  <si>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</si>
  <si>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</si>
  <si>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</si>
  <si>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</si>
  <si>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</si>
  <si>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</si>
  <si>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</si>
  <si>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</si>
  <si>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</si>
  <si>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</si>
  <si>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</si>
  <si>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</si>
  <si>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</si>
  <si>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</si>
  <si>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</si>
  <si>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</si>
  <si>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</si>
  <si>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</si>
  <si>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</si>
  <si>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</si>
  <si>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</si>
  <si>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</si>
  <si>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</si>
  <si>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</si>
  <si>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</si>
  <si>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</si>
  <si>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</si>
  <si>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</si>
  <si>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</si>
  <si>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</si>
  <si>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</si>
  <si>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</si>
  <si>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</si>
  <si>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9" type="noConversion"/>
  </si>
  <si>
    <t>（3）業績構成比</t>
    <phoneticPr fontId="9" type="noConversion"/>
  </si>
  <si>
    <t>（4）訂單數量構成比</t>
    <phoneticPr fontId="9" type="noConversion"/>
  </si>
  <si>
    <t>展開量高於１０5％</t>
    <phoneticPr fontId="6"/>
  </si>
  <si>
    <t>展開量高於１０5％</t>
    <phoneticPr fontId="6"/>
  </si>
  <si>
    <t>展開量高於１０5％</t>
    <phoneticPr fontId="6"/>
  </si>
  <si>
    <t xml:space="preserve">半成品報廢(%) </t>
    <phoneticPr fontId="9" type="noConversion"/>
  </si>
  <si>
    <t>月別</t>
    <phoneticPr fontId="6"/>
  </si>
  <si>
    <t>週別</t>
    <phoneticPr fontId="9" type="noConversion"/>
  </si>
  <si>
    <t>當週</t>
  </si>
  <si>
    <t>當週</t>
    <phoneticPr fontId="6"/>
  </si>
  <si>
    <t>前週</t>
  </si>
  <si>
    <t>前週</t>
    <phoneticPr fontId="9" type="noConversion"/>
  </si>
  <si>
    <t>前週</t>
    <phoneticPr fontId="6"/>
  </si>
  <si>
    <t>月平均人時性</t>
  </si>
  <si>
    <t>月平均人時性</t>
    <phoneticPr fontId="9" type="noConversion"/>
  </si>
  <si>
    <t>前週比</t>
    <phoneticPr fontId="9" type="noConversion"/>
  </si>
  <si>
    <t>前週比</t>
  </si>
  <si>
    <t>w1</t>
    <phoneticPr fontId="9" type="noConversion"/>
  </si>
  <si>
    <t>w2</t>
  </si>
  <si>
    <t>w3</t>
  </si>
  <si>
    <t>w4</t>
  </si>
  <si>
    <t>w5</t>
  </si>
  <si>
    <t>月合計</t>
    <phoneticPr fontId="9" type="noConversion"/>
  </si>
  <si>
    <t>KPI</t>
    <phoneticPr fontId="9" type="noConversion"/>
  </si>
  <si>
    <t>18℃-飯糰(061,063)</t>
  </si>
  <si>
    <t>二</t>
    <phoneticPr fontId="9" type="noConversion"/>
  </si>
  <si>
    <t>三</t>
    <phoneticPr fontId="9" type="noConversion"/>
  </si>
  <si>
    <t>四</t>
    <phoneticPr fontId="9" type="noConversion"/>
  </si>
  <si>
    <t>五</t>
    <phoneticPr fontId="9" type="noConversion"/>
  </si>
  <si>
    <t>六</t>
    <phoneticPr fontId="9" type="noConversion"/>
  </si>
  <si>
    <t>日</t>
    <phoneticPr fontId="9" type="noConversion"/>
  </si>
  <si>
    <t>一</t>
    <phoneticPr fontId="9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</si>
  <si>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9" type="noConversion"/>
  </si>
  <si>
    <t>二配蒸海鮮醬(料)</t>
  </si>
  <si>
    <t>生產課</t>
  </si>
  <si>
    <t>二配香拌海鮮醬肉絲蛋炒飯</t>
  </si>
  <si>
    <t>炒辣腐乳五花肉片</t>
  </si>
  <si>
    <t>其他</t>
  </si>
  <si>
    <t>辣腐乳麻醬豬肉拌麵</t>
  </si>
  <si>
    <t>二配果香甘口咖哩腿丁</t>
  </si>
  <si>
    <t>二配金咖哩果香甘口咖哩飯</t>
  </si>
  <si>
    <t>113年拌鮭魚沙拉</t>
  </si>
  <si>
    <t>北海道秋鮭親子飯糰</t>
  </si>
  <si>
    <t>切蒸前腿肉</t>
  </si>
  <si>
    <t>其他原因</t>
  </si>
  <si>
    <t>府城鹽水意麵</t>
  </si>
  <si>
    <t>蒸手撕雞</t>
  </si>
  <si>
    <t>日式胡麻雞絲冷麵</t>
  </si>
  <si>
    <t>蒸鼎泰豐香辣醬</t>
  </si>
  <si>
    <t>香辣醬粉絲煲</t>
  </si>
  <si>
    <t>果香壹號醬</t>
  </si>
  <si>
    <t>調配課</t>
  </si>
  <si>
    <t>調理多產</t>
  </si>
  <si>
    <t>壹號醬醬燒蔥鹽雞豚飯</t>
  </si>
  <si>
    <t>川燙青花菜</t>
  </si>
  <si>
    <t>共用類</t>
  </si>
  <si>
    <t>炙烤雞腿丁(113年)</t>
  </si>
  <si>
    <t>極上炙烤親子丼</t>
  </si>
  <si>
    <t>切-炙燒炭火燒肉片</t>
  </si>
  <si>
    <t>蒜蒜燒豚飯</t>
  </si>
  <si>
    <t>清洗紅藻</t>
  </si>
  <si>
    <t>柚香海藻冷麵</t>
  </si>
  <si>
    <t>蒸-醬香雞肉絲CL(全)</t>
  </si>
  <si>
    <t>切-開丼碳香燒肉片</t>
  </si>
  <si>
    <t>柴魚片</t>
  </si>
  <si>
    <t>二配川燙醃嫩化淨零碳排牛肉片</t>
  </si>
  <si>
    <t>二配港式香滑嫩蛋牛肉燴飯</t>
  </si>
  <si>
    <t>切-蒸滷牛腱</t>
  </si>
  <si>
    <t>一口滷魂便當</t>
  </si>
  <si>
    <t>拌鮭魚碎肉</t>
  </si>
  <si>
    <t>鮭魚炙燒明太子烤飯糰</t>
  </si>
  <si>
    <t>營業額(元)</t>
    <phoneticPr fontId="9" type="noConversion"/>
  </si>
  <si>
    <t>營業額</t>
    <phoneticPr fontId="9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</si>
  <si>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</si>
  <si>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</si>
  <si>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</si>
  <si>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</si>
  <si>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</si>
  <si>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</si>
  <si>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</si>
  <si>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</si>
  <si>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香辣鹹水雞飯糰(區)</t>
  </si>
  <si>
    <t>三杯辣海瓜子飯糰</t>
  </si>
  <si>
    <t>雞肉飯飯糰</t>
  </si>
  <si>
    <t>碳烤燒肉飯飯糰(區)</t>
  </si>
  <si>
    <t>二配芝麻香鬆飯糰</t>
  </si>
  <si>
    <t>二配大飯糰韓式炸雞</t>
  </si>
  <si>
    <t>二配大飯糰春川風味辣炒雞</t>
  </si>
  <si>
    <t>二配油蔥G絲飯糰</t>
  </si>
  <si>
    <t>日式厚蛋脆卷</t>
  </si>
  <si>
    <t>長野稻荷壽司</t>
  </si>
  <si>
    <t>雙饗雙手卷</t>
  </si>
  <si>
    <t>海饌雙手卷</t>
  </si>
  <si>
    <t>芝麻海苔香鬆細卷</t>
  </si>
  <si>
    <t>鮪魚沙拉細卷</t>
  </si>
  <si>
    <t>炙烤焦糖鮭魚細卷</t>
  </si>
  <si>
    <t>日式明太子炙烤牛飯卷</t>
  </si>
  <si>
    <t>(隨)優質池上飯</t>
  </si>
  <si>
    <t>優質池上飯</t>
  </si>
  <si>
    <t>壽喜燒牛丼</t>
  </si>
  <si>
    <t>二配鐵板蘑菇肉醬起司焗飯</t>
  </si>
  <si>
    <t>二配粗飽系雞排炒飯</t>
  </si>
  <si>
    <t>二配三杯海瓜子好下飯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</si>
  <si>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</si>
  <si>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</si>
  <si>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</si>
  <si>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</si>
  <si>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</si>
  <si>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</si>
  <si>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二配黑胡椒素豬若飯</t>
  </si>
  <si>
    <t>二配金咖哩濃厚辛辣咖哩飯</t>
  </si>
  <si>
    <t>二配川味麻婆燒豆腐燴飯</t>
  </si>
  <si>
    <t>二配極旨黑咖哩漢堡排飯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</si>
  <si>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</si>
  <si>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</si>
  <si>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</si>
  <si>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</si>
  <si>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</si>
  <si>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</si>
  <si>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</si>
  <si>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</si>
  <si>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</si>
  <si>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秘傳醬汁日式炒麵</t>
  </si>
  <si>
    <t>青花椒麻雞肉拌麵</t>
  </si>
  <si>
    <t>滿滿杏鮑菇三杯拌麵</t>
  </si>
  <si>
    <t>老北京風味炸醬麵</t>
  </si>
  <si>
    <t>椒麻香蔥雞涼拌麵</t>
  </si>
  <si>
    <t>台式麻醬涼麵</t>
  </si>
  <si>
    <t>日式蕎麥沾麵</t>
  </si>
  <si>
    <t>大滿足香辣涼麵</t>
  </si>
  <si>
    <t>大滿足麻醬涼麵</t>
  </si>
  <si>
    <t>日式擔擔冷麵</t>
  </si>
  <si>
    <t>多穀紫米飯</t>
  </si>
  <si>
    <t>糖燻豬耳絲</t>
  </si>
  <si>
    <t>韓式蒜味炸雞</t>
  </si>
  <si>
    <t>摩登燒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</si>
  <si>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</si>
  <si>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</si>
  <si>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</si>
  <si>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</si>
  <si>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</si>
  <si>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</si>
  <si>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</si>
  <si>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</si>
  <si>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</si>
  <si>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晉欣廠</t>
    <phoneticPr fontId="9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</si>
  <si>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9" type="noConversion"/>
  </si>
  <si>
    <t>胡麻鮮蔬雞絲飯糰(區)</t>
  </si>
  <si>
    <t>柚見極炙烤牛</t>
  </si>
  <si>
    <t>姨次滿足熟成牛豚雙拼</t>
  </si>
  <si>
    <t>－</t>
  </si>
  <si>
    <t>▲</t>
  </si>
  <si>
    <t>累計</t>
    <phoneticPr fontId="9" type="noConversion"/>
  </si>
  <si>
    <t>二配三杯海瓜子</t>
  </si>
  <si>
    <t>製程不穩</t>
  </si>
  <si>
    <t>二配(V)炒素雞肉絲</t>
  </si>
  <si>
    <t>炒老北京風味肉燥</t>
  </si>
  <si>
    <t>二配蒸鼎泰豐香辣醬</t>
  </si>
  <si>
    <t>二配川燙辣椒圓片</t>
  </si>
  <si>
    <t>二配(V)川燙切片高麗菜</t>
  </si>
  <si>
    <t>切烤雞胸肉</t>
  </si>
  <si>
    <t>粉絲煲湯凍</t>
  </si>
  <si>
    <t>二配濃辛辣咖哩醬</t>
  </si>
  <si>
    <t>二配炒洋菇片</t>
  </si>
  <si>
    <t>二配烤鹹蛋黃碎</t>
  </si>
  <si>
    <t>二配油亮蒜味香腸片</t>
  </si>
  <si>
    <t>煮辣腐乳醬</t>
  </si>
  <si>
    <t>(V)川燙油菜(調理麵)</t>
  </si>
  <si>
    <t>二配拌海鮮總匯沙拉</t>
  </si>
  <si>
    <t>準備課</t>
  </si>
  <si>
    <t>展開量高於１０5％</t>
    <phoneticPr fontId="9" type="noConversion"/>
  </si>
  <si>
    <t>二配雙饗雙手卷</t>
  </si>
  <si>
    <t>(V)114蔬食鮪魚</t>
  </si>
  <si>
    <t>拌細卷鮪魚沙拉</t>
  </si>
  <si>
    <t>炒辣椒圓片(111)</t>
  </si>
  <si>
    <t>川味秋木耳</t>
  </si>
  <si>
    <t>(V)炒辣椒圓片</t>
  </si>
  <si>
    <t>切-烤台式肉片</t>
  </si>
  <si>
    <t>炒扁魚紅K白菜</t>
  </si>
  <si>
    <t>二配歐姆蛋(111年版)</t>
  </si>
  <si>
    <t>雞肉飯醬汁(113年)</t>
  </si>
  <si>
    <t>二配蘑菇湯凍</t>
  </si>
  <si>
    <t>二配鼎泰豐-煮麻婆豆腐(113年)</t>
  </si>
  <si>
    <t>二配(V)川燙油菜</t>
  </si>
  <si>
    <t>二配焗飯-奶香白醬(114年)</t>
  </si>
  <si>
    <t>二配歐姆蛋-黑咖哩醬</t>
  </si>
  <si>
    <t>薑炒筍尾</t>
  </si>
  <si>
    <t>小黃瓜絲</t>
  </si>
  <si>
    <t>二配180切-蒸家常豆腐</t>
  </si>
  <si>
    <t>清炒高麗菜</t>
  </si>
  <si>
    <t>烤和牛(飯糰)</t>
  </si>
  <si>
    <t>霜降和牛飯糰</t>
  </si>
  <si>
    <t>日式烤洋蔥絲(114年)</t>
  </si>
  <si>
    <t>(V)炒三杯杏鮑菇片</t>
  </si>
  <si>
    <t>炒秘傳油麵</t>
  </si>
  <si>
    <t>112年炒金鉤蝦肉燥</t>
  </si>
  <si>
    <t>哇沙米香鬆</t>
  </si>
  <si>
    <t>二配蒸-全熟雞肉絲CL(升)</t>
  </si>
  <si>
    <t>二配雞肉飯飯糰</t>
  </si>
  <si>
    <t>二配蒸蛤蜊-肉</t>
  </si>
  <si>
    <t>川燙小黃瓜絲</t>
  </si>
  <si>
    <t>切-鹽烤牛肉</t>
  </si>
  <si>
    <t>二配果香甘口咖哩醬</t>
  </si>
  <si>
    <t>炒秘傳前腿肉片</t>
  </si>
  <si>
    <t>炒擔擔肉燥</t>
  </si>
  <si>
    <t>拌紅蔥手撕雞</t>
  </si>
  <si>
    <t>二配洋蔥壹號醬</t>
  </si>
  <si>
    <t>二配壹號醬炙烤牛飯糰</t>
  </si>
  <si>
    <t>炙烤牛五花(飯卷)</t>
  </si>
  <si>
    <t>拌明太子醬</t>
  </si>
  <si>
    <t>炒沙茶醬</t>
  </si>
  <si>
    <t>二配蒸珍珍蟹味絲CL</t>
  </si>
  <si>
    <t>炙燒韓式牛五花</t>
  </si>
  <si>
    <t>解凍-醬油漬鮭魚卵</t>
  </si>
  <si>
    <t>二配解凍-醬油漬鮭魚卵</t>
  </si>
  <si>
    <t>二配北海道秋鮭親子飯糰</t>
  </si>
  <si>
    <t>日式牛培根</t>
  </si>
  <si>
    <t>二配炙燒韓式牛五花</t>
  </si>
  <si>
    <t>二配拌雙魚沙拉</t>
  </si>
  <si>
    <t>二配海饌雙手卷</t>
  </si>
  <si>
    <t>二配烤韓式雞肉</t>
  </si>
  <si>
    <t>二配112年拌鮪魚沙拉</t>
  </si>
  <si>
    <t>二配鮪魚飯糰</t>
  </si>
  <si>
    <t>二配油亮後腿肉絲</t>
  </si>
  <si>
    <t>川燙青紅辣椒圓片</t>
  </si>
  <si>
    <t>蒸珍珍蟹味絲CL</t>
  </si>
  <si>
    <t>二配辛口咖哩豬肉(112年)</t>
  </si>
  <si>
    <t>（７）原因別分析(8/1-8/11)</t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</si>
  <si>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9" type="noConversion"/>
  </si>
  <si>
    <t>二配炒解凍11N培根片</t>
  </si>
  <si>
    <t>壹號醬雞豚雙拼</t>
  </si>
  <si>
    <t>切-究極燒肉片</t>
  </si>
  <si>
    <t>炙烤燒肉拌麵</t>
  </si>
  <si>
    <t>二配經典肉鬆飯糰</t>
  </si>
  <si>
    <t>展開量高於１０5％</t>
  </si>
  <si>
    <t>炒韓式洋蔥高麗菜</t>
  </si>
  <si>
    <t>炙烤銀鮭魚肚</t>
  </si>
  <si>
    <t>烤BBQ雞丁(112年)</t>
  </si>
  <si>
    <t>二配112炒高級芝麻肉鬆</t>
  </si>
  <si>
    <t>二配川燙青紅辣椒圓片</t>
  </si>
  <si>
    <t>112年拌鹽烤豬肉片</t>
  </si>
  <si>
    <t>二配113年拌鮭魚沙拉</t>
  </si>
  <si>
    <t>展開量105%</t>
  </si>
  <si>
    <t>炒解凍11N培根片</t>
  </si>
  <si>
    <t>摩登燒(區)</t>
  </si>
  <si>
    <t>研發設定</t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</si>
  <si>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9" type="noConversion"/>
  </si>
  <si>
    <t>業績金額</t>
    <phoneticPr fontId="9" type="noConversion"/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</si>
  <si>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</si>
  <si>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</si>
  <si>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</si>
  <si>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</si>
  <si>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抓樣不穩</t>
    <phoneticPr fontId="6"/>
  </si>
  <si>
    <t>比例</t>
    <phoneticPr fontId="6"/>
  </si>
  <si>
    <t>報廢</t>
    <phoneticPr fontId="6"/>
  </si>
  <si>
    <t>報廢</t>
    <phoneticPr fontId="6"/>
  </si>
  <si>
    <t>超用</t>
    <phoneticPr fontId="6"/>
  </si>
  <si>
    <t>項目</t>
    <phoneticPr fontId="9" type="noConversion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</si>
  <si>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</si>
  <si>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</si>
  <si>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</si>
  <si>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</si>
  <si>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比例</t>
    <phoneticPr fontId="6"/>
  </si>
  <si>
    <t>平均人時性</t>
    <phoneticPr fontId="9" type="noConversion"/>
  </si>
  <si>
    <t>排名</t>
    <phoneticPr fontId="9" type="noConversion"/>
  </si>
  <si>
    <t>實際</t>
    <phoneticPr fontId="9" type="noConversion"/>
  </si>
  <si>
    <t>品群</t>
    <phoneticPr fontId="9" type="noConversion"/>
  </si>
  <si>
    <t>計畫</t>
    <phoneticPr fontId="9" type="noConversion"/>
  </si>
  <si>
    <t>實績</t>
    <phoneticPr fontId="9" type="noConversion"/>
  </si>
  <si>
    <t>日報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</si>
  <si>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</si>
  <si>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</si>
  <si>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</si>
  <si>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</si>
  <si>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</si>
  <si>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9" type="noConversion"/>
  </si>
  <si>
    <t>商品名稱</t>
    <phoneticPr fontId="9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</si>
  <si>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</si>
  <si>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熱食義麵</t>
    <phoneticPr fontId="9" type="noConversion"/>
  </si>
  <si>
    <t>人數</t>
    <phoneticPr fontId="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</si>
  <si>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</si>
  <si>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6"/>
  </si>
  <si>
    <t>前週比</t>
    <phoneticPr fontId="9" type="noConversion"/>
  </si>
  <si>
    <t>主要原因&amp;對策</t>
    <phoneticPr fontId="6"/>
  </si>
  <si>
    <t>排名</t>
    <phoneticPr fontId="6"/>
  </si>
  <si>
    <t>▼1</t>
    <phoneticPr fontId="6"/>
  </si>
  <si>
    <t>▼2</t>
    <phoneticPr fontId="6"/>
  </si>
  <si>
    <t>▼3</t>
    <phoneticPr fontId="6"/>
  </si>
  <si>
    <t>▼4</t>
    <phoneticPr fontId="6"/>
  </si>
  <si>
    <t>▼5</t>
    <phoneticPr fontId="6"/>
  </si>
  <si>
    <t>展開量高於１０5％</t>
    <phoneticPr fontId="9" type="noConversion"/>
  </si>
  <si>
    <t>炒咖哩腿肉丁</t>
  </si>
  <si>
    <t>春日部防衛隊的咖哩炒麵</t>
  </si>
  <si>
    <t>二配拌韓式炸雞</t>
  </si>
  <si>
    <t>清洗蔥花</t>
  </si>
  <si>
    <t>60切-烤蔬菜焗蛋</t>
  </si>
  <si>
    <t>113年炒沙茶豬肉片</t>
  </si>
  <si>
    <t>(V)煮素三杯湯凍</t>
  </si>
  <si>
    <t>蒸全熟雞肉片CL</t>
  </si>
  <si>
    <t>炒調味鮮蔬</t>
  </si>
  <si>
    <t>二配海鮮醬炒飯</t>
  </si>
  <si>
    <t>二配雞排蛋炒飯</t>
  </si>
  <si>
    <t>煮意麵肉燥</t>
  </si>
  <si>
    <t>煮老北京風味炸醬湯凍</t>
  </si>
  <si>
    <t>辣炒酸菜絲</t>
  </si>
  <si>
    <t>針辣椒絲</t>
  </si>
  <si>
    <t>拌胡麻雞絲</t>
  </si>
  <si>
    <t>拌魚卵沙拉</t>
  </si>
  <si>
    <t>哇沙米魚卵沙拉飯糰</t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</si>
  <si>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9" type="noConversion"/>
  </si>
  <si>
    <t>業績金額</t>
    <phoneticPr fontId="9" type="noConversion"/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</si>
  <si>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</si>
  <si>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</si>
  <si>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</si>
  <si>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</si>
  <si>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抓樣不穩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</si>
  <si>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</si>
  <si>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</si>
  <si>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</si>
  <si>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</si>
  <si>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</si>
  <si>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</si>
  <si>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</si>
  <si>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新之助の豆皮壽司喔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</si>
  <si>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</si>
  <si>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便當</t>
    <phoneticPr fontId="9" type="noConversion"/>
  </si>
  <si>
    <t>燻之味-糖燻雞胗</t>
  </si>
  <si>
    <t>炒咖哩洋蔥蕃茄丁</t>
  </si>
  <si>
    <t>18切烤千層麵</t>
  </si>
  <si>
    <t>蕃茄起司手工千層麵(區)</t>
  </si>
  <si>
    <t>自製蒜味奶油</t>
  </si>
  <si>
    <t>(V)川燙切片高麗菜</t>
  </si>
  <si>
    <t>煮浪花涼麵(112年)</t>
  </si>
  <si>
    <t>親子丼-滑蛋(114年)</t>
  </si>
  <si>
    <t>製程報廢</t>
    <phoneticPr fontId="9" type="noConversion"/>
  </si>
  <si>
    <t>113年煮義式洋蔥</t>
  </si>
  <si>
    <t>(SOHOT)蒜炒紅K高麗菜</t>
  </si>
  <si>
    <t>拌焦糖鮭魚沙拉</t>
  </si>
  <si>
    <t>川燙毛豆玉米</t>
  </si>
  <si>
    <t>品群</t>
    <phoneticPr fontId="9" type="noConversion"/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</si>
  <si>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</si>
  <si>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</si>
  <si>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</si>
  <si>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實績</t>
    <phoneticPr fontId="9" type="noConversion"/>
  </si>
  <si>
    <t>排名</t>
    <phoneticPr fontId="9" type="noConversion"/>
  </si>
  <si>
    <t>日報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</si>
  <si>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</si>
  <si>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</si>
  <si>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</si>
  <si>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</si>
  <si>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</si>
  <si>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</si>
  <si>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</si>
  <si>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9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</si>
  <si>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</si>
  <si>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便當</t>
    <phoneticPr fontId="9" type="noConversion"/>
  </si>
  <si>
    <t>熱食義麵</t>
    <phoneticPr fontId="9" type="noConversion"/>
  </si>
  <si>
    <t>確認備料是否正確，重新計算製成率範圍，調整出料率</t>
  </si>
  <si>
    <t>品群</t>
    <phoneticPr fontId="9" type="noConversion"/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</si>
  <si>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</si>
  <si>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</si>
  <si>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</si>
  <si>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實績</t>
    <phoneticPr fontId="9" type="noConversion"/>
  </si>
  <si>
    <t>排名</t>
    <phoneticPr fontId="9" type="noConversion"/>
  </si>
  <si>
    <t>日報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</si>
  <si>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</si>
  <si>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</si>
  <si>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</si>
  <si>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</si>
  <si>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</si>
  <si>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</si>
  <si>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t>主食</t>
    <phoneticPr fontId="9" type="noConversion"/>
  </si>
  <si>
    <t>微波小吃</t>
    <phoneticPr fontId="9" type="noConversion"/>
  </si>
  <si>
    <t>－</t>
    <phoneticPr fontId="9" type="noConversion"/>
  </si>
  <si>
    <t>▼1</t>
    <phoneticPr fontId="6"/>
  </si>
  <si>
    <t>▼2</t>
    <phoneticPr fontId="6"/>
  </si>
  <si>
    <t>▼3</t>
    <phoneticPr fontId="6"/>
  </si>
  <si>
    <t>雙料作業需較多人力，以致尾數幾名為雙料飯糰居多。</t>
    <phoneticPr fontId="9" type="noConversion"/>
  </si>
  <si>
    <t>▼4</t>
    <phoneticPr fontId="6"/>
  </si>
  <si>
    <t>▼5</t>
    <phoneticPr fontId="6"/>
  </si>
  <si>
    <t>排名</t>
    <phoneticPr fontId="6"/>
  </si>
  <si>
    <t>▼</t>
    <phoneticPr fontId="9" type="noConversion"/>
  </si>
  <si>
    <t>▲</t>
    <phoneticPr fontId="9" type="noConversion"/>
  </si>
  <si>
    <t>烤飯糰包裝作業產力/產能平均，差別在於訂單量，訂單量越少，人時生產性越低</t>
    <phoneticPr fontId="9" type="noConversion"/>
  </si>
  <si>
    <t>大口花椒香麻雞飯糰</t>
    <phoneticPr fontId="9" type="noConversion"/>
  </si>
  <si>
    <t>▼1</t>
    <phoneticPr fontId="6"/>
  </si>
  <si>
    <t>▼2</t>
    <phoneticPr fontId="6"/>
  </si>
  <si>
    <t>▼3</t>
    <phoneticPr fontId="6"/>
  </si>
  <si>
    <t>▼4</t>
    <phoneticPr fontId="6"/>
  </si>
  <si>
    <t>▼5</t>
    <phoneticPr fontId="6"/>
  </si>
  <si>
    <t>排名</t>
    <phoneticPr fontId="6"/>
  </si>
  <si>
    <t>季節調理麵</t>
    <phoneticPr fontId="9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</si>
  <si>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9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</si>
  <si>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9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</si>
  <si>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</si>
  <si>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</si>
  <si>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</si>
  <si>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W2</t>
    <phoneticPr fontId="9" type="noConversion"/>
  </si>
  <si>
    <t>品群</t>
    <phoneticPr fontId="9" type="noConversion"/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</si>
  <si>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</si>
  <si>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</si>
  <si>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</si>
  <si>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實績</t>
    <phoneticPr fontId="9" type="noConversion"/>
  </si>
  <si>
    <t>排名</t>
    <phoneticPr fontId="9" type="noConversion"/>
  </si>
  <si>
    <t>日報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</si>
  <si>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</si>
  <si>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</si>
  <si>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</si>
  <si>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</si>
  <si>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</si>
  <si>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</si>
  <si>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</si>
  <si>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9" type="noConversion"/>
  </si>
  <si>
    <t>糖燻野郎起司炙燒牛烤飯糰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</si>
  <si>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9" type="noConversion"/>
  </si>
  <si>
    <t>主食</t>
    <phoneticPr fontId="9" type="noConversion"/>
  </si>
  <si>
    <t>便當</t>
    <phoneticPr fontId="9" type="noConversion"/>
  </si>
  <si>
    <t>熱食義麵</t>
    <phoneticPr fontId="9" type="noConversion"/>
  </si>
  <si>
    <t>季節調理麵</t>
    <phoneticPr fontId="9" type="noConversion"/>
  </si>
  <si>
    <t>微波小吃</t>
    <phoneticPr fontId="9" type="noConversion"/>
  </si>
  <si>
    <t>品群</t>
    <phoneticPr fontId="9" type="noConversion"/>
  </si>
  <si>
    <t>商品名稱</t>
    <phoneticPr fontId="9" type="noConversion"/>
  </si>
  <si>
    <t>計畫</t>
    <phoneticPr fontId="9" type="noConversion"/>
  </si>
  <si>
    <t>日報</t>
    <phoneticPr fontId="9" type="noConversion"/>
  </si>
  <si>
    <t>實際</t>
    <phoneticPr fontId="9" type="noConversion"/>
  </si>
  <si>
    <t>平均人時性</t>
    <phoneticPr fontId="9" type="noConversion"/>
  </si>
  <si>
    <t>生產實績</t>
    <phoneticPr fontId="9" type="noConversion"/>
  </si>
  <si>
    <t>人時性</t>
    <phoneticPr fontId="9" type="noConversion"/>
  </si>
  <si>
    <t>產能／時</t>
    <phoneticPr fontId="9" type="noConversion"/>
  </si>
  <si>
    <t>排名</t>
    <phoneticPr fontId="9" type="noConversion"/>
  </si>
  <si>
    <t>人數</t>
    <phoneticPr fontId="9" type="noConversion"/>
  </si>
  <si>
    <t>品群</t>
    <phoneticPr fontId="9" type="noConversion"/>
  </si>
  <si>
    <t>日報</t>
    <phoneticPr fontId="9" type="noConversion"/>
  </si>
  <si>
    <t>實際</t>
    <phoneticPr fontId="9" type="noConversion"/>
  </si>
  <si>
    <t>平均人時性</t>
    <phoneticPr fontId="9" type="noConversion"/>
  </si>
  <si>
    <t>生產實績</t>
    <phoneticPr fontId="9" type="noConversion"/>
  </si>
  <si>
    <t>排名</t>
    <phoneticPr fontId="9" type="noConversion"/>
  </si>
  <si>
    <t>產能／時</t>
    <phoneticPr fontId="9" type="noConversion"/>
  </si>
  <si>
    <t>人時性</t>
    <phoneticPr fontId="9" type="noConversion"/>
  </si>
  <si>
    <t/>
  </si>
  <si>
    <t>生產實績</t>
    <phoneticPr fontId="9" type="noConversion"/>
  </si>
  <si>
    <t>排名</t>
    <phoneticPr fontId="9" type="noConversion"/>
  </si>
  <si>
    <t>人數</t>
    <phoneticPr fontId="9" type="noConversion"/>
  </si>
  <si>
    <t>人數</t>
    <phoneticPr fontId="9" type="noConversion"/>
  </si>
  <si>
    <t>產能／時</t>
    <phoneticPr fontId="9" type="noConversion"/>
  </si>
  <si>
    <t>二配乳酪燻腸紅醬焗飯</t>
  </si>
  <si>
    <t>計畫</t>
    <phoneticPr fontId="9" type="noConversion"/>
  </si>
  <si>
    <t>實績</t>
    <phoneticPr fontId="9" type="noConversion"/>
  </si>
  <si>
    <t>日報</t>
    <phoneticPr fontId="9" type="noConversion"/>
  </si>
  <si>
    <t>實際</t>
    <phoneticPr fontId="9" type="noConversion"/>
  </si>
  <si>
    <t>平均人時性</t>
    <phoneticPr fontId="9" type="noConversion"/>
  </si>
  <si>
    <t>平均人時性</t>
    <phoneticPr fontId="9" type="noConversion"/>
  </si>
  <si>
    <t>實際</t>
    <phoneticPr fontId="9" type="noConversion"/>
  </si>
  <si>
    <t>產線配置圖</t>
    <phoneticPr fontId="9" type="noConversion"/>
  </si>
  <si>
    <t>產線配置圖</t>
    <phoneticPr fontId="9" type="noConversion"/>
  </si>
  <si>
    <t>生產實績</t>
    <phoneticPr fontId="9" type="noConversion"/>
  </si>
  <si>
    <t>生產實績</t>
    <phoneticPr fontId="9" type="noConversion"/>
  </si>
  <si>
    <t>人數</t>
    <phoneticPr fontId="9" type="noConversion"/>
  </si>
  <si>
    <t>人時性</t>
    <phoneticPr fontId="9" type="noConversion"/>
  </si>
  <si>
    <t>人數</t>
    <phoneticPr fontId="9" type="noConversion"/>
  </si>
  <si>
    <t>人時性</t>
    <phoneticPr fontId="9" type="noConversion"/>
  </si>
  <si>
    <t>排名</t>
    <phoneticPr fontId="9" type="noConversion"/>
  </si>
  <si>
    <t>產能／時</t>
    <phoneticPr fontId="9" type="noConversion"/>
  </si>
  <si>
    <t>排名</t>
    <phoneticPr fontId="9" type="noConversion"/>
  </si>
  <si>
    <t>人數</t>
    <phoneticPr fontId="9" type="noConversion"/>
  </si>
  <si>
    <t>產能／時</t>
    <phoneticPr fontId="9" type="noConversion"/>
  </si>
  <si>
    <t>魚介雞叉燒辣拌麵</t>
  </si>
  <si>
    <t>商品名稱</t>
    <phoneticPr fontId="9" type="noConversion"/>
  </si>
  <si>
    <t>計畫</t>
    <phoneticPr fontId="9" type="noConversion"/>
  </si>
  <si>
    <t>平均人時性</t>
    <phoneticPr fontId="9" type="noConversion"/>
  </si>
  <si>
    <t>實際</t>
    <phoneticPr fontId="9" type="noConversion"/>
  </si>
  <si>
    <t>產線配置圖</t>
    <phoneticPr fontId="9" type="noConversion"/>
  </si>
  <si>
    <t>生產實績</t>
    <phoneticPr fontId="9" type="noConversion"/>
  </si>
  <si>
    <t>人數</t>
    <phoneticPr fontId="9" type="noConversion"/>
  </si>
  <si>
    <t>產能／時</t>
    <phoneticPr fontId="9" type="noConversion"/>
  </si>
  <si>
    <t>人時性</t>
    <phoneticPr fontId="9" type="noConversion"/>
  </si>
  <si>
    <t>產能／時</t>
    <phoneticPr fontId="9" type="noConversion"/>
  </si>
  <si>
    <t>排名</t>
    <phoneticPr fontId="9" type="noConversion"/>
  </si>
  <si>
    <t>季節調理麵</t>
    <phoneticPr fontId="9" type="noConversion"/>
  </si>
  <si>
    <t>品群</t>
    <phoneticPr fontId="9" type="noConversion"/>
  </si>
  <si>
    <t>商品名稱</t>
    <phoneticPr fontId="9" type="noConversion"/>
  </si>
  <si>
    <t>計畫</t>
    <phoneticPr fontId="9" type="noConversion"/>
  </si>
  <si>
    <t>排名</t>
    <phoneticPr fontId="9" type="noConversion"/>
  </si>
  <si>
    <t>日報</t>
    <phoneticPr fontId="9" type="noConversion"/>
  </si>
  <si>
    <t>產能／時</t>
    <phoneticPr fontId="9" type="noConversion"/>
  </si>
  <si>
    <t>微波小吃</t>
    <phoneticPr fontId="9" type="noConversion"/>
  </si>
  <si>
    <t>－</t>
    <phoneticPr fontId="9" type="noConversion"/>
  </si>
  <si>
    <t>－</t>
    <phoneticPr fontId="9" type="noConversion"/>
  </si>
  <si>
    <t>人數</t>
    <phoneticPr fontId="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</si>
  <si>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</si>
  <si>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6"/>
  </si>
  <si>
    <t>前週比</t>
    <phoneticPr fontId="9" type="noConversion"/>
  </si>
  <si>
    <t>主要原因&amp;對策</t>
    <phoneticPr fontId="6"/>
  </si>
  <si>
    <r>
      <rPr>
        <sz val="10"/>
        <color theme="1"/>
        <rFont val="細明體"/>
        <family val="3"/>
        <charset val="136"/>
      </rPr>
      <t>細捲商品產力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產能平均，差別在於訂單量，人時產力差異不大</t>
    </r>
    <phoneticPr fontId="9" type="noConversion"/>
  </si>
  <si>
    <t>▼</t>
    <phoneticPr fontId="9" type="noConversion"/>
  </si>
  <si>
    <t>手卷系列人時性差異不大，差異在人員作業順暢度</t>
    <phoneticPr fontId="9" type="noConversion"/>
  </si>
  <si>
    <t>已下架</t>
    <phoneticPr fontId="9" type="noConversion"/>
  </si>
  <si>
    <t>訂單量減少</t>
    <phoneticPr fontId="9" type="noConversion"/>
  </si>
  <si>
    <t>▲</t>
    <phoneticPr fontId="9" type="noConversion"/>
  </si>
  <si>
    <t>▼</t>
    <phoneticPr fontId="9" type="noConversion"/>
  </si>
  <si>
    <t>大口義式香草雞腿排飯糰</t>
    <phoneticPr fontId="9" type="noConversion"/>
  </si>
  <si>
    <t>麻油雞飯糰</t>
    <phoneticPr fontId="9" type="noConversion"/>
  </si>
  <si>
    <t>大口金黃薯牛堡飯糰</t>
    <phoneticPr fontId="9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</si>
  <si>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性與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力與上周差異小，差異在人員作業順暢度</t>
    </r>
    <phoneticPr fontId="9" type="noConversion"/>
  </si>
  <si>
    <t>▲</t>
    <phoneticPr fontId="9" type="noConversion"/>
  </si>
  <si>
    <t>針對該品項進行人員技能教育訓練，產能對比前週有提升。</t>
    <phoneticPr fontId="9" type="noConversion"/>
  </si>
  <si>
    <t>大口日式塔塔醬蝦排飯糰</t>
    <phoneticPr fontId="9" type="noConversion"/>
  </si>
  <si>
    <t>大口歐風焙煎咖哩漢堡排飯糰</t>
    <phoneticPr fontId="9" type="noConversion"/>
  </si>
  <si>
    <t>人數</t>
    <phoneticPr fontId="6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</si>
  <si>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</si>
  <si>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r>
      <t>日式明太子炙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牛飯卷</t>
    </r>
    <phoneticPr fontId="9" type="noConversion"/>
  </si>
  <si>
    <r>
      <t>二配乳酪燻腸紅</t>
    </r>
    <r>
      <rPr>
        <sz val="10"/>
        <rFont val="細明體"/>
        <family val="3"/>
        <charset val="136"/>
      </rPr>
      <t>醬焗</t>
    </r>
    <r>
      <rPr>
        <sz val="10"/>
        <rFont val="Meiryo UI"/>
        <family val="2"/>
      </rPr>
      <t>飯</t>
    </r>
    <phoneticPr fontId="9" type="noConversion"/>
  </si>
  <si>
    <t>新品組裝工序較簡單</t>
    <phoneticPr fontId="9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</si>
  <si>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性與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力與上</t>
    </r>
    <r>
      <rPr>
        <sz val="10"/>
        <color theme="1"/>
        <rFont val="細明體"/>
        <family val="3"/>
        <charset val="136"/>
      </rPr>
      <t>週</t>
    </r>
    <r>
      <rPr>
        <sz val="10"/>
        <color theme="1"/>
        <rFont val="Meiryo UI"/>
        <family val="2"/>
      </rPr>
      <t>差異小，</t>
    </r>
    <r>
      <rPr>
        <sz val="10"/>
        <color theme="1"/>
        <rFont val="細明體"/>
        <family val="3"/>
        <charset val="136"/>
      </rPr>
      <t>對比上週成長</t>
    </r>
    <phoneticPr fontId="9" type="noConversion"/>
  </si>
  <si>
    <r>
      <t>柚見極炙</t>
    </r>
    <r>
      <rPr>
        <sz val="10"/>
        <rFont val="細明體"/>
        <family val="3"/>
        <charset val="136"/>
      </rPr>
      <t>烤</t>
    </r>
    <r>
      <rPr>
        <sz val="10"/>
        <rFont val="Meiryo UI"/>
        <family val="2"/>
      </rPr>
      <t>牛</t>
    </r>
    <phoneticPr fontId="9" type="noConversion"/>
  </si>
  <si>
    <t>▼</t>
    <phoneticPr fontId="9" type="noConversion"/>
  </si>
  <si>
    <t>人時生產性與產力對比上週成長</t>
    <phoneticPr fontId="9" type="noConversion"/>
  </si>
  <si>
    <t>▲</t>
    <phoneticPr fontId="9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</si>
  <si>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</si>
  <si>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t>前週比</t>
    <phoneticPr fontId="9" type="noConversion"/>
  </si>
  <si>
    <t>主要原因&amp;對策</t>
    <phoneticPr fontId="6"/>
  </si>
  <si>
    <t>人時生產性與產力與上周差異小，差異在人員作業順暢度</t>
    <phoneticPr fontId="9" type="noConversion"/>
  </si>
  <si>
    <t>人時生產性與產力對比上週成長</t>
    <phoneticPr fontId="9" type="noConversion"/>
  </si>
  <si>
    <t>嫩烤香料雞胸排蔬滿盒</t>
    <phoneticPr fontId="9" type="noConversion"/>
  </si>
  <si>
    <t>烤蛋白餐盒</t>
    <phoneticPr fontId="9" type="noConversion"/>
  </si>
  <si>
    <t>▲</t>
    <phoneticPr fontId="9" type="noConversion"/>
  </si>
  <si>
    <t>▼</t>
    <phoneticPr fontId="9" type="noConversion"/>
  </si>
  <si>
    <t>人時生產性與產力對比上週成長</t>
    <phoneticPr fontId="9" type="noConversion"/>
  </si>
  <si>
    <r>
      <t>魚介</t>
    </r>
    <r>
      <rPr>
        <sz val="11"/>
        <color theme="1"/>
        <rFont val="細明體"/>
        <family val="3"/>
        <charset val="136"/>
      </rPr>
      <t>雞</t>
    </r>
    <r>
      <rPr>
        <sz val="11"/>
        <color theme="1"/>
        <rFont val="Meiryo UI"/>
        <family val="2"/>
      </rPr>
      <t>叉燒辣拌</t>
    </r>
    <r>
      <rPr>
        <sz val="11"/>
        <color theme="1"/>
        <rFont val="細明體"/>
        <family val="3"/>
        <charset val="136"/>
      </rPr>
      <t>麵</t>
    </r>
    <phoneticPr fontId="9" type="noConversion"/>
  </si>
  <si>
    <t>賣相要求，肉片擺放不易，人時性較低。</t>
    <phoneticPr fontId="9" type="noConversion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</si>
  <si>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6"/>
  </si>
  <si>
    <t>－</t>
    <phoneticPr fontId="9" type="noConversion"/>
  </si>
  <si>
    <t>古早味炒炊粉</t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</si>
  <si>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9" type="noConversion"/>
  </si>
  <si>
    <t>業績金額</t>
    <phoneticPr fontId="9" type="noConversion"/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</si>
  <si>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</si>
  <si>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</si>
  <si>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</si>
  <si>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</si>
  <si>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抓樣不穩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</si>
  <si>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</si>
  <si>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</si>
  <si>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</si>
  <si>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</si>
  <si>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</si>
  <si>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</si>
  <si>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</si>
  <si>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9" type="noConversion"/>
  </si>
  <si>
    <t>類型</t>
    <phoneticPr fontId="9" type="noConversion"/>
  </si>
  <si>
    <t>排名</t>
    <phoneticPr fontId="6"/>
  </si>
  <si>
    <t>半成品名</t>
    <phoneticPr fontId="6"/>
  </si>
  <si>
    <t>單價</t>
    <phoneticPr fontId="6"/>
  </si>
  <si>
    <t>報廢率</t>
    <phoneticPr fontId="6"/>
  </si>
  <si>
    <t>數量</t>
    <phoneticPr fontId="6"/>
  </si>
  <si>
    <t>主要原因&amp;對策</t>
    <phoneticPr fontId="6"/>
  </si>
  <si>
    <t>展開量高於１０5％</t>
    <phoneticPr fontId="9" type="noConversion"/>
  </si>
  <si>
    <t>前幾名合計比例</t>
    <phoneticPr fontId="6"/>
  </si>
  <si>
    <t>前幾名合計金額</t>
    <phoneticPr fontId="6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</si>
  <si>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9" type="noConversion"/>
  </si>
  <si>
    <t>反應調配課級，追蹤三天備料狀況</t>
    <phoneticPr fontId="9" type="noConversion"/>
  </si>
  <si>
    <t>製程不穩</t>
    <phoneticPr fontId="9" type="noConversion"/>
  </si>
  <si>
    <t>確認備料是否正確，重新計算製成率範圍，調整出料率</t>
    <phoneticPr fontId="9" type="noConversion"/>
  </si>
  <si>
    <t>二配清洗小黃瓜絲</t>
  </si>
  <si>
    <t>煮辣雞油</t>
  </si>
  <si>
    <t>拌燒肉片</t>
  </si>
  <si>
    <t>炒紅K碎蛋</t>
  </si>
  <si>
    <t>增加線上抽秤頻率</t>
    <phoneticPr fontId="9" type="noConversion"/>
  </si>
  <si>
    <t>增加線上抽秤頻率</t>
  </si>
  <si>
    <t>不拆包加熱</t>
    <phoneticPr fontId="9" type="noConversion"/>
  </si>
  <si>
    <t>切蒸新原味雞胸排CL</t>
  </si>
  <si>
    <t>分切規格及原物料大小厚度導致</t>
    <phoneticPr fontId="9" type="noConversion"/>
  </si>
  <si>
    <t>腿肉丁大小差異</t>
    <phoneticPr fontId="9" type="noConversion"/>
  </si>
  <si>
    <t>原物料青花菜大小差異</t>
    <phoneticPr fontId="9" type="noConversion"/>
  </si>
  <si>
    <t>製程報廢</t>
    <phoneticPr fontId="9" type="noConversion"/>
  </si>
  <si>
    <t>不拆包加熱</t>
  </si>
  <si>
    <t>烤60切豆腐蛋白丁</t>
  </si>
  <si>
    <t>其他原因</t>
    <phoneticPr fontId="9" type="noConversion"/>
  </si>
  <si>
    <t>一</t>
    <phoneticPr fontId="9" type="noConversion"/>
  </si>
  <si>
    <t>拌明太子沙拉</t>
  </si>
  <si>
    <t>二</t>
    <phoneticPr fontId="9" type="noConversion"/>
  </si>
  <si>
    <t>滷冬粉(112年)</t>
  </si>
  <si>
    <t>112年炒炊粉混蔬</t>
  </si>
  <si>
    <t>三</t>
    <phoneticPr fontId="9" type="noConversion"/>
  </si>
  <si>
    <t>丼飯-滑蛋(112年)</t>
  </si>
  <si>
    <t>煮燒肉拌麵湯凍</t>
  </si>
  <si>
    <t>韓式辣炒豆芽</t>
  </si>
  <si>
    <t>四</t>
    <phoneticPr fontId="9" type="noConversion"/>
  </si>
  <si>
    <t>五</t>
    <phoneticPr fontId="9" type="noConversion"/>
  </si>
  <si>
    <t>二配鼎泰豐-麻婆豆腐燴汁(113年)</t>
  </si>
  <si>
    <t>六</t>
    <phoneticPr fontId="9" type="noConversion"/>
  </si>
  <si>
    <t>日</t>
    <phoneticPr fontId="9" type="noConversion"/>
  </si>
  <si>
    <t>蒜炒紅K高麗菜(111年)</t>
  </si>
  <si>
    <t>二配川燙青花菜</t>
  </si>
  <si>
    <t>切博多明太子</t>
  </si>
  <si>
    <t>博多明太子奶油飯糰</t>
  </si>
  <si>
    <t>切筋子</t>
  </si>
  <si>
    <t>筋子銀鮭飯糰</t>
  </si>
  <si>
    <t>蒸-全熟雞肉絲CL(升)</t>
  </si>
  <si>
    <t>項目</t>
    <phoneticPr fontId="9" type="noConversion"/>
  </si>
  <si>
    <t>展開量高於１０5％</t>
    <phoneticPr fontId="6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</si>
  <si>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6"/>
  </si>
  <si>
    <t>製程不穩</t>
    <phoneticPr fontId="6"/>
  </si>
  <si>
    <t>抓樣不穩</t>
    <phoneticPr fontId="6"/>
  </si>
  <si>
    <t>比例</t>
    <phoneticPr fontId="6"/>
  </si>
  <si>
    <t>報廢</t>
    <phoneticPr fontId="6"/>
  </si>
  <si>
    <t>超用</t>
    <phoneticPr fontId="6"/>
  </si>
  <si>
    <t>原物料規格</t>
    <phoneticPr fontId="6"/>
  </si>
  <si>
    <t>研發設定</t>
    <phoneticPr fontId="6"/>
  </si>
  <si>
    <t>其他原因</t>
    <phoneticPr fontId="6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</si>
  <si>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9" type="noConversion"/>
  </si>
  <si>
    <t>一</t>
    <phoneticPr fontId="9" type="noConversion"/>
  </si>
  <si>
    <r>
      <rPr>
        <sz val="12"/>
        <color theme="1"/>
        <rFont val="細明體"/>
        <family val="3"/>
        <charset val="136"/>
      </rPr>
      <t>超用</t>
    </r>
    <r>
      <rPr>
        <sz val="12"/>
        <color theme="1"/>
        <rFont val="Meiryo UI"/>
        <family val="2"/>
      </rPr>
      <t>金額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</si>
</sst>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</numFmts>
  <fonts count="88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0"/>
      <color theme="0"/>
      <name val="Meiryo UI"/>
      <family val="2"/>
    </font>
    <font>
      <sz val="10"/>
      <color theme="0"/>
      <name val="細明體"/>
      <family val="3"/>
      <charset val="136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b/>
      <sz val="16"/>
      <color rgb="FF000000"/>
      <name val="Arial"/>
      <family val="3"/>
      <charset val="136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11"/>
      <color rgb="FF92D050"/>
      <name val="新細明體"/>
      <family val="1"/>
      <charset val="136"/>
    </font>
    <font>
      <sz val="7"/>
      <color theme="1"/>
      <name val="Meiryo UI"/>
      <family val="2"/>
    </font>
    <font>
      <sz val="8.5"/>
      <color theme="1"/>
      <name val="細明體"/>
      <family val="3"/>
      <charset val="136"/>
    </font>
    <font>
      <sz val="6"/>
      <color theme="1"/>
      <name val="Meiryo UI"/>
      <family val="2"/>
    </font>
    <font>
      <sz val="10"/>
      <color rgb="FF000000"/>
      <name val="細明體"/>
      <family val="3"/>
      <charset val="136"/>
    </font>
    <font>
      <sz val="8"/>
      <color theme="1"/>
      <name val="細明體"/>
      <family val="3"/>
      <charset val="136"/>
    </font>
    <font>
      <sz val="10"/>
      <name val="細明體"/>
      <family val="3"/>
      <charset val="136"/>
    </font>
  </fonts>
  <fills count="1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2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0" fillId="0" borderId="0"/>
    <xf numFmtId="0" fontId="1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43" fontId="76" fillId="0" borderId="0" applyFont="0" applyFill="0" applyBorder="0" applyAlignment="0" applyProtection="0">
      <alignment vertical="center"/>
    </xf>
  </cellStyleXfs>
  <cellXfs count="686">
    <xf numFmtId="0" fontId="0" fillId="0" borderId="0" xfId="0" applyFont="1" applyAlignment="1"/>
    <xf numFmtId="0" fontId="3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3" fillId="0" borderId="1" xfId="0" applyFont="1" applyBorder="1" applyAlignment="1">
      <alignment horizontal="right" shrinkToFit="1"/>
    </xf>
    <xf numFmtId="0" fontId="3" fillId="0" borderId="1" xfId="0" applyFont="1" applyBorder="1" applyAlignment="1">
      <alignment shrinkToFit="1"/>
    </xf>
    <xf numFmtId="0" fontId="3" fillId="0" borderId="2" xfId="0" applyFont="1" applyBorder="1" applyAlignment="1">
      <alignment shrinkToFit="1"/>
    </xf>
    <xf numFmtId="0" fontId="4" fillId="0" borderId="3" xfId="0" applyFont="1" applyBorder="1" applyAlignment="1">
      <alignment shrinkToFit="1"/>
    </xf>
    <xf numFmtId="0" fontId="4" fillId="2" borderId="1" xfId="0" applyFont="1" applyFill="1" applyBorder="1" applyAlignment="1">
      <alignment shrinkToFit="1"/>
    </xf>
    <xf numFmtId="0" fontId="3" fillId="2" borderId="1" xfId="0" applyFont="1" applyFill="1" applyBorder="1" applyAlignment="1">
      <alignment shrinkToFit="1"/>
    </xf>
    <xf numFmtId="3" fontId="3" fillId="0" borderId="1" xfId="0" applyNumberFormat="1" applyFont="1" applyBorder="1" applyAlignment="1">
      <alignment shrinkToFit="1"/>
    </xf>
    <xf numFmtId="3" fontId="3" fillId="3" borderId="1" xfId="0" applyNumberFormat="1" applyFont="1" applyFill="1" applyBorder="1" applyAlignment="1">
      <alignment shrinkToFit="1"/>
    </xf>
    <xf numFmtId="4" fontId="3" fillId="0" borderId="1" xfId="0" applyNumberFormat="1" applyFont="1" applyBorder="1" applyAlignment="1">
      <alignment horizontal="right" shrinkToFit="1"/>
    </xf>
    <xf numFmtId="10" fontId="3" fillId="2" borderId="1" xfId="0" applyNumberFormat="1" applyFont="1" applyFill="1" applyBorder="1" applyAlignment="1">
      <alignment horizontal="right" shrinkToFit="1"/>
    </xf>
    <xf numFmtId="10" fontId="3" fillId="3" borderId="1" xfId="0" applyNumberFormat="1" applyFont="1" applyFill="1" applyBorder="1" applyAlignment="1">
      <alignment shrinkToFit="1"/>
    </xf>
    <xf numFmtId="10" fontId="3" fillId="0" borderId="1" xfId="0" applyNumberFormat="1" applyFont="1" applyBorder="1" applyAlignment="1">
      <alignment shrinkToFit="1"/>
    </xf>
    <xf numFmtId="10" fontId="4" fillId="0" borderId="0" xfId="0" applyNumberFormat="1" applyFont="1" applyAlignment="1">
      <alignment shrinkToFit="1"/>
    </xf>
    <xf numFmtId="0" fontId="3" fillId="3" borderId="1" xfId="0" applyFont="1" applyFill="1" applyBorder="1" applyAlignment="1">
      <alignment shrinkToFit="1"/>
    </xf>
    <xf numFmtId="4" fontId="3" fillId="0" borderId="1" xfId="0" applyNumberFormat="1" applyFont="1" applyBorder="1" applyAlignment="1">
      <alignment shrinkToFit="1"/>
    </xf>
    <xf numFmtId="0" fontId="4" fillId="2" borderId="5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2" borderId="6" xfId="0" applyFont="1" applyFill="1" applyBorder="1" applyAlignment="1">
      <alignment shrinkToFit="1"/>
    </xf>
    <xf numFmtId="0" fontId="3" fillId="2" borderId="3" xfId="0" applyFont="1" applyFill="1" applyBorder="1" applyAlignment="1">
      <alignment shrinkToFit="1"/>
    </xf>
    <xf numFmtId="0" fontId="3" fillId="2" borderId="6" xfId="0" applyFont="1" applyFill="1" applyBorder="1" applyAlignment="1">
      <alignment shrinkToFit="1"/>
    </xf>
    <xf numFmtId="0" fontId="4" fillId="2" borderId="7" xfId="0" applyFont="1" applyFill="1" applyBorder="1" applyAlignment="1">
      <alignment shrinkToFit="1"/>
    </xf>
    <xf numFmtId="0" fontId="3" fillId="0" borderId="3" xfId="0" applyFont="1" applyBorder="1" applyAlignment="1">
      <alignment shrinkToFit="1"/>
    </xf>
    <xf numFmtId="0" fontId="3" fillId="2" borderId="7" xfId="0" applyFont="1" applyFill="1" applyBorder="1" applyAlignment="1">
      <alignment shrinkToFit="1"/>
    </xf>
    <xf numFmtId="0" fontId="4" fillId="0" borderId="8" xfId="0" applyFont="1" applyBorder="1" applyAlignment="1">
      <alignment shrinkToFit="1"/>
    </xf>
    <xf numFmtId="0" fontId="3" fillId="0" borderId="5" xfId="0" applyFont="1" applyBorder="1" applyAlignment="1">
      <alignment shrinkToFit="1"/>
    </xf>
    <xf numFmtId="0" fontId="3" fillId="0" borderId="14" xfId="0" applyFont="1" applyBorder="1" applyAlignment="1">
      <alignment shrinkToFit="1"/>
    </xf>
    <xf numFmtId="0" fontId="3" fillId="0" borderId="8" xfId="0" applyFont="1" applyBorder="1" applyAlignment="1">
      <alignment shrinkToFit="1"/>
    </xf>
    <xf numFmtId="10" fontId="3" fillId="0" borderId="5" xfId="0" applyNumberFormat="1" applyFont="1" applyBorder="1" applyAlignment="1">
      <alignment shrinkToFit="1"/>
    </xf>
    <xf numFmtId="0" fontId="3" fillId="3" borderId="5" xfId="0" applyFont="1" applyFill="1" applyBorder="1" applyAlignment="1">
      <alignment shrinkToFit="1"/>
    </xf>
    <xf numFmtId="0" fontId="3" fillId="2" borderId="15" xfId="0" applyFont="1" applyFill="1" applyBorder="1" applyAlignment="1">
      <alignment shrinkToFit="1"/>
    </xf>
    <xf numFmtId="10" fontId="3" fillId="3" borderId="17" xfId="0" applyNumberFormat="1" applyFont="1" applyFill="1" applyBorder="1" applyAlignment="1">
      <alignment shrinkToFit="1"/>
    </xf>
    <xf numFmtId="0" fontId="3" fillId="3" borderId="18" xfId="0" applyFont="1" applyFill="1" applyBorder="1" applyAlignment="1">
      <alignment shrinkToFit="1"/>
    </xf>
    <xf numFmtId="0" fontId="3" fillId="0" borderId="6" xfId="0" applyFont="1" applyBorder="1" applyAlignment="1">
      <alignment shrinkToFit="1"/>
    </xf>
    <xf numFmtId="10" fontId="3" fillId="0" borderId="6" xfId="0" applyNumberFormat="1" applyFont="1" applyBorder="1" applyAlignment="1">
      <alignment shrinkToFit="1"/>
    </xf>
    <xf numFmtId="0" fontId="3" fillId="3" borderId="6" xfId="0" applyFont="1" applyFill="1" applyBorder="1" applyAlignment="1">
      <alignment shrinkToFit="1"/>
    </xf>
    <xf numFmtId="10" fontId="3" fillId="0" borderId="0" xfId="0" applyNumberFormat="1" applyFont="1" applyAlignment="1">
      <alignment shrinkToFit="1"/>
    </xf>
    <xf numFmtId="10" fontId="3" fillId="2" borderId="1" xfId="0" applyNumberFormat="1" applyFont="1" applyFill="1" applyBorder="1" applyAlignment="1">
      <alignment shrinkToFit="1"/>
    </xf>
    <xf numFmtId="0" fontId="3" fillId="3" borderId="7" xfId="0" applyFont="1" applyFill="1" applyBorder="1" applyAlignment="1">
      <alignment shrinkToFit="1"/>
    </xf>
    <xf numFmtId="10" fontId="3" fillId="3" borderId="5" xfId="0" applyNumberFormat="1" applyFont="1" applyFill="1" applyBorder="1" applyAlignment="1">
      <alignment shrinkToFit="1"/>
    </xf>
    <xf numFmtId="0" fontId="3" fillId="0" borderId="11" xfId="0" applyFont="1" applyBorder="1" applyAlignment="1">
      <alignment shrinkToFit="1"/>
    </xf>
    <xf numFmtId="10" fontId="3" fillId="0" borderId="14" xfId="0" applyNumberFormat="1" applyFont="1" applyBorder="1" applyAlignment="1">
      <alignment shrinkToFit="1"/>
    </xf>
    <xf numFmtId="10" fontId="3" fillId="3" borderId="14" xfId="0" applyNumberFormat="1" applyFont="1" applyFill="1" applyBorder="1" applyAlignment="1">
      <alignment shrinkToFit="1"/>
    </xf>
    <xf numFmtId="0" fontId="3" fillId="2" borderId="2" xfId="0" applyFont="1" applyFill="1" applyBorder="1" applyAlignment="1">
      <alignment shrinkToFit="1"/>
    </xf>
    <xf numFmtId="0" fontId="3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7" fillId="0" borderId="1" xfId="0" applyFont="1" applyBorder="1" applyAlignment="1">
      <alignment shrinkToFit="1"/>
    </xf>
    <xf numFmtId="0" fontId="7" fillId="2" borderId="1" xfId="0" applyFont="1" applyFill="1" applyBorder="1" applyAlignment="1">
      <alignment horizontal="left" shrinkToFit="1"/>
    </xf>
    <xf numFmtId="0" fontId="8" fillId="2" borderId="1" xfId="0" applyFont="1" applyFill="1" applyBorder="1" applyAlignment="1">
      <alignment shrinkToFit="1"/>
    </xf>
    <xf numFmtId="0" fontId="7" fillId="2" borderId="6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8" fillId="2" borderId="5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3" fillId="2" borderId="22" xfId="0" applyFont="1" applyFill="1" applyBorder="1" applyAlignment="1">
      <alignment shrinkToFit="1"/>
    </xf>
    <xf numFmtId="0" fontId="3" fillId="2" borderId="23" xfId="0" applyFont="1" applyFill="1" applyBorder="1" applyAlignment="1">
      <alignment shrinkToFit="1"/>
    </xf>
    <xf numFmtId="0" fontId="7" fillId="2" borderId="22" xfId="0" applyFont="1" applyFill="1" applyBorder="1" applyAlignment="1">
      <alignment shrinkToFit="1"/>
    </xf>
    <xf numFmtId="0" fontId="7" fillId="2" borderId="1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16" xfId="0" applyFont="1" applyFill="1" applyBorder="1" applyAlignment="1">
      <alignment shrinkToFit="1"/>
    </xf>
    <xf numFmtId="0" fontId="7" fillId="4" borderId="0" xfId="0" applyFont="1" applyFill="1" applyAlignment="1"/>
    <xf numFmtId="0" fontId="8" fillId="4" borderId="0" xfId="0" applyFont="1" applyFill="1" applyAlignment="1">
      <alignment shrinkToFit="1"/>
    </xf>
    <xf numFmtId="0" fontId="7" fillId="4" borderId="0" xfId="0" applyFont="1" applyFill="1" applyAlignment="1">
      <alignment shrinkToFit="1"/>
    </xf>
    <xf numFmtId="0" fontId="4" fillId="4" borderId="0" xfId="0" applyFont="1" applyFill="1" applyAlignment="1">
      <alignment shrinkToFit="1"/>
    </xf>
    <xf numFmtId="0" fontId="3" fillId="4" borderId="0" xfId="0" applyFont="1" applyFill="1" applyAlignment="1"/>
    <xf numFmtId="10" fontId="3" fillId="4" borderId="0" xfId="0" applyNumberFormat="1" applyFont="1" applyFill="1" applyAlignment="1">
      <alignment shrinkToFit="1"/>
    </xf>
    <xf numFmtId="0" fontId="3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3" fillId="2" borderId="24" xfId="0" applyFont="1" applyFill="1" applyBorder="1" applyAlignment="1">
      <alignment shrinkToFit="1"/>
    </xf>
    <xf numFmtId="0" fontId="8" fillId="0" borderId="11" xfId="0" applyFont="1" applyBorder="1" applyAlignment="1">
      <alignment horizontal="right" shrinkToFit="1"/>
    </xf>
    <xf numFmtId="0" fontId="8" fillId="0" borderId="3" xfId="0" applyFont="1" applyBorder="1" applyAlignment="1">
      <alignment horizontal="right" shrinkToFit="1"/>
    </xf>
    <xf numFmtId="0" fontId="10" fillId="0" borderId="0" xfId="0" applyFont="1" applyAlignment="1">
      <alignment horizontal="center"/>
    </xf>
    <xf numFmtId="10" fontId="10" fillId="0" borderId="0" xfId="0" applyNumberFormat="1" applyFont="1" applyAlignment="1"/>
    <xf numFmtId="0" fontId="10" fillId="0" borderId="0" xfId="0" applyFont="1" applyAlignment="1"/>
    <xf numFmtId="0" fontId="14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2" fillId="0" borderId="0" xfId="0" applyFont="1" applyAlignment="1"/>
    <xf numFmtId="176" fontId="23" fillId="5" borderId="0" xfId="0" applyNumberFormat="1" applyFont="1" applyFill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vertical="center"/>
    </xf>
    <xf numFmtId="0" fontId="10" fillId="0" borderId="0" xfId="0" applyFont="1" applyFill="1" applyAlignment="1">
      <alignment vertical="center"/>
    </xf>
    <xf numFmtId="0" fontId="22" fillId="0" borderId="0" xfId="0" applyFont="1" applyFill="1" applyAlignment="1"/>
    <xf numFmtId="0" fontId="22" fillId="0" borderId="0" xfId="0" applyFont="1" applyFill="1" applyAlignment="1">
      <alignment horizontal="center"/>
    </xf>
    <xf numFmtId="176" fontId="23" fillId="0" borderId="0" xfId="0" applyNumberFormat="1" applyFont="1" applyFill="1" applyAlignment="1">
      <alignment horizontal="center" vertical="center"/>
    </xf>
    <xf numFmtId="179" fontId="22" fillId="0" borderId="0" xfId="0" applyNumberFormat="1" applyFont="1" applyFill="1" applyAlignment="1">
      <alignment horizontal="center"/>
    </xf>
    <xf numFmtId="176" fontId="22" fillId="0" borderId="0" xfId="0" applyNumberFormat="1" applyFont="1" applyFill="1" applyAlignment="1"/>
    <xf numFmtId="177" fontId="22" fillId="0" borderId="0" xfId="0" applyNumberFormat="1" applyFont="1" applyFill="1" applyAlignment="1"/>
    <xf numFmtId="178" fontId="22" fillId="0" borderId="0" xfId="0" applyNumberFormat="1" applyFont="1" applyFill="1" applyAlignment="1"/>
    <xf numFmtId="10" fontId="22" fillId="0" borderId="0" xfId="0" applyNumberFormat="1" applyFont="1" applyFill="1" applyAlignment="1"/>
    <xf numFmtId="176" fontId="23" fillId="6" borderId="0" xfId="0" applyNumberFormat="1" applyFont="1" applyFill="1" applyAlignment="1">
      <alignment horizontal="center" vertical="center"/>
    </xf>
    <xf numFmtId="176" fontId="23" fillId="8" borderId="0" xfId="0" applyNumberFormat="1" applyFont="1" applyFill="1" applyAlignment="1">
      <alignment horizontal="center" vertical="center"/>
    </xf>
    <xf numFmtId="180" fontId="22" fillId="0" borderId="0" xfId="0" applyNumberFormat="1" applyFont="1" applyFill="1" applyAlignment="1"/>
    <xf numFmtId="180" fontId="10" fillId="0" borderId="0" xfId="0" applyNumberFormat="1" applyFont="1" applyAlignment="1"/>
    <xf numFmtId="176" fontId="13" fillId="0" borderId="0" xfId="0" applyNumberFormat="1" applyFont="1" applyFill="1" applyAlignment="1">
      <alignment horizontal="center" vertical="center"/>
    </xf>
    <xf numFmtId="180" fontId="13" fillId="0" borderId="0" xfId="0" applyNumberFormat="1" applyFont="1" applyFill="1" applyAlignment="1">
      <alignment horizontal="center" vertical="center"/>
    </xf>
    <xf numFmtId="182" fontId="22" fillId="0" borderId="0" xfId="0" applyNumberFormat="1" applyFont="1" applyFill="1" applyAlignment="1"/>
    <xf numFmtId="0" fontId="22" fillId="0" borderId="0" xfId="0" applyFont="1" applyFill="1" applyAlignment="1">
      <alignment vertical="center"/>
    </xf>
    <xf numFmtId="182" fontId="23" fillId="0" borderId="22" xfId="0" applyNumberFormat="1" applyFont="1" applyFill="1" applyBorder="1" applyAlignment="1">
      <alignment horizontal="center" vertical="center"/>
    </xf>
    <xf numFmtId="10" fontId="23" fillId="0" borderId="22" xfId="0" applyNumberFormat="1" applyFont="1" applyFill="1" applyBorder="1" applyAlignment="1">
      <alignment horizontal="center" vertical="center"/>
    </xf>
    <xf numFmtId="10" fontId="22" fillId="0" borderId="22" xfId="0" applyNumberFormat="1" applyFont="1" applyFill="1" applyBorder="1" applyAlignment="1"/>
    <xf numFmtId="182" fontId="22" fillId="0" borderId="0" xfId="0" applyNumberFormat="1" applyFont="1" applyFill="1" applyAlignment="1">
      <alignment horizontal="center"/>
    </xf>
    <xf numFmtId="0" fontId="27" fillId="0" borderId="0" xfId="0" applyFont="1" applyFill="1" applyAlignment="1"/>
    <xf numFmtId="177" fontId="22" fillId="0" borderId="0" xfId="0" applyNumberFormat="1" applyFont="1" applyFill="1" applyAlignment="1">
      <alignment horizontal="center"/>
    </xf>
    <xf numFmtId="177" fontId="13" fillId="0" borderId="22" xfId="0" applyNumberFormat="1" applyFont="1" applyFill="1" applyBorder="1" applyAlignment="1">
      <alignment horizontal="center" vertical="center"/>
    </xf>
    <xf numFmtId="177" fontId="22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3" fillId="0" borderId="3" xfId="0" applyFont="1" applyBorder="1" applyAlignment="1">
      <alignment vertical="center" shrinkToFit="1"/>
    </xf>
    <xf numFmtId="0" fontId="3" fillId="0" borderId="8" xfId="0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2" borderId="16" xfId="0" applyFont="1" applyFill="1" applyBorder="1" applyAlignment="1">
      <alignment horizontal="center" shrinkToFit="1"/>
    </xf>
    <xf numFmtId="0" fontId="22" fillId="0" borderId="0" xfId="0" applyFont="1" applyAlignment="1">
      <alignment shrinkToFit="1"/>
    </xf>
    <xf numFmtId="0" fontId="22" fillId="4" borderId="0" xfId="0" applyFont="1" applyFill="1" applyAlignment="1">
      <alignment shrinkToFit="1"/>
    </xf>
    <xf numFmtId="0" fontId="22" fillId="0" borderId="0" xfId="0" applyFont="1" applyFill="1" applyAlignment="1">
      <alignment shrinkToFit="1"/>
    </xf>
    <xf numFmtId="0" fontId="24" fillId="0" borderId="0" xfId="0" applyFont="1" applyFill="1" applyAlignment="1">
      <alignment shrinkToFit="1"/>
    </xf>
    <xf numFmtId="0" fontId="45" fillId="0" borderId="0" xfId="0" applyFont="1" applyFill="1" applyBorder="1" applyAlignment="1">
      <alignment shrinkToFit="1"/>
    </xf>
    <xf numFmtId="0" fontId="22" fillId="0" borderId="22" xfId="0" applyFont="1" applyFill="1" applyBorder="1" applyAlignment="1">
      <alignment shrinkToFit="1"/>
    </xf>
    <xf numFmtId="0" fontId="22" fillId="0" borderId="0" xfId="0" applyFont="1" applyFill="1" applyAlignment="1">
      <alignment horizontal="center" shrinkToFit="1"/>
    </xf>
    <xf numFmtId="0" fontId="24" fillId="0" borderId="0" xfId="0" applyFont="1" applyFill="1" applyAlignment="1">
      <alignment horizontal="center" shrinkToFit="1"/>
    </xf>
    <xf numFmtId="0" fontId="22" fillId="0" borderId="0" xfId="0" applyFont="1" applyFill="1" applyAlignment="1">
      <alignment horizontal="center" vertical="center" shrinkToFit="1"/>
    </xf>
    <xf numFmtId="0" fontId="45" fillId="0" borderId="22" xfId="0" applyFont="1" applyFill="1" applyBorder="1" applyAlignment="1">
      <alignment shrinkToFit="1"/>
    </xf>
    <xf numFmtId="4" fontId="24" fillId="0" borderId="22" xfId="0" applyNumberFormat="1" applyFont="1" applyFill="1" applyBorder="1" applyAlignment="1">
      <alignment shrinkToFit="1"/>
    </xf>
    <xf numFmtId="0" fontId="22" fillId="4" borderId="0" xfId="0" applyFont="1" applyFill="1" applyBorder="1" applyAlignment="1">
      <alignment shrinkToFit="1"/>
    </xf>
    <xf numFmtId="0" fontId="24" fillId="4" borderId="0" xfId="0" applyFont="1" applyFill="1" applyBorder="1" applyAlignment="1">
      <alignment shrinkToFit="1"/>
    </xf>
    <xf numFmtId="0" fontId="49" fillId="0" borderId="0" xfId="0" applyFont="1" applyFill="1" applyBorder="1" applyAlignment="1"/>
    <xf numFmtId="0" fontId="22" fillId="0" borderId="0" xfId="0" applyFont="1" applyFill="1" applyBorder="1" applyAlignment="1">
      <alignment shrinkToFit="1"/>
    </xf>
    <xf numFmtId="0" fontId="51" fillId="0" borderId="0" xfId="0" applyFont="1" applyFill="1" applyBorder="1" applyAlignment="1"/>
    <xf numFmtId="0" fontId="22" fillId="0" borderId="0" xfId="0" applyFont="1" applyFill="1" applyBorder="1" applyAlignment="1">
      <alignment horizontal="center" shrinkToFit="1"/>
    </xf>
    <xf numFmtId="0" fontId="22" fillId="0" borderId="0" xfId="0" applyFont="1" applyFill="1" applyBorder="1" applyAlignment="1">
      <alignment horizontal="center" vertical="center" shrinkToFit="1"/>
    </xf>
    <xf numFmtId="10" fontId="45" fillId="0" borderId="0" xfId="0" applyNumberFormat="1" applyFont="1" applyFill="1" applyBorder="1" applyAlignment="1">
      <alignment shrinkToFit="1"/>
    </xf>
    <xf numFmtId="0" fontId="46" fillId="0" borderId="0" xfId="0" applyFont="1" applyFill="1" applyBorder="1" applyAlignment="1"/>
    <xf numFmtId="0" fontId="52" fillId="0" borderId="22" xfId="0" applyFont="1" applyFill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0" fontId="45" fillId="0" borderId="22" xfId="0" applyFont="1" applyFill="1" applyBorder="1" applyAlignment="1">
      <alignment horizontal="center" shrinkToFit="1"/>
    </xf>
    <xf numFmtId="3" fontId="24" fillId="0" borderId="22" xfId="0" applyNumberFormat="1" applyFont="1" applyFill="1" applyBorder="1" applyAlignment="1">
      <alignment shrinkToFit="1"/>
    </xf>
    <xf numFmtId="10" fontId="24" fillId="0" borderId="22" xfId="0" applyNumberFormat="1" applyFont="1" applyFill="1" applyBorder="1" applyAlignment="1">
      <alignment shrinkToFit="1"/>
    </xf>
    <xf numFmtId="4" fontId="24" fillId="0" borderId="22" xfId="0" applyNumberFormat="1" applyFont="1" applyFill="1" applyBorder="1" applyAlignment="1">
      <alignment horizontal="right" shrinkToFit="1"/>
    </xf>
    <xf numFmtId="0" fontId="45" fillId="0" borderId="22" xfId="0" applyFont="1" applyFill="1" applyBorder="1" applyAlignment="1">
      <alignment horizontal="center" vertical="center" shrinkToFit="1"/>
    </xf>
    <xf numFmtId="0" fontId="53" fillId="0" borderId="22" xfId="0" applyFont="1" applyFill="1" applyBorder="1" applyAlignment="1">
      <alignment horizontal="center" shrinkToFit="1"/>
    </xf>
    <xf numFmtId="0" fontId="3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3" fillId="0" borderId="0" xfId="0" applyFont="1" applyBorder="1" applyAlignment="1">
      <alignment horizontal="right" shrinkToFit="1"/>
    </xf>
    <xf numFmtId="0" fontId="7" fillId="0" borderId="0" xfId="0" applyFont="1" applyBorder="1" applyAlignment="1">
      <alignment shrinkToFit="1"/>
    </xf>
    <xf numFmtId="0" fontId="3" fillId="0" borderId="0" xfId="0" applyFont="1" applyBorder="1" applyAlignment="1">
      <alignment shrinkToFit="1"/>
    </xf>
    <xf numFmtId="0" fontId="4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3" fillId="4" borderId="0" xfId="0" applyFont="1" applyFill="1" applyBorder="1" applyAlignment="1">
      <alignment shrinkToFit="1"/>
    </xf>
    <xf numFmtId="0" fontId="22" fillId="0" borderId="0" xfId="0" applyFont="1" applyBorder="1" applyAlignment="1">
      <alignment shrinkToFit="1"/>
    </xf>
    <xf numFmtId="0" fontId="22" fillId="4" borderId="0" xfId="0" applyFont="1" applyFill="1" applyBorder="1" applyAlignment="1">
      <alignment horizontal="center" vertical="center" shrinkToFit="1"/>
    </xf>
    <xf numFmtId="0" fontId="22" fillId="0" borderId="0" xfId="0" applyFont="1" applyAlignment="1">
      <alignment horizontal="center" vertical="center" shrinkToFit="1"/>
    </xf>
    <xf numFmtId="0" fontId="22" fillId="4" borderId="0" xfId="0" applyFont="1" applyFill="1" applyBorder="1" applyAlignment="1">
      <alignment horizontal="center" shrinkToFit="1"/>
    </xf>
    <xf numFmtId="0" fontId="24" fillId="0" borderId="22" xfId="0" applyFont="1" applyBorder="1" applyAlignment="1">
      <alignment horizontal="center" vertical="center" shrinkToFit="1"/>
    </xf>
    <xf numFmtId="0" fontId="24" fillId="0" borderId="22" xfId="0" applyFont="1" applyBorder="1" applyAlignment="1">
      <alignment horizontal="center" shrinkToFit="1"/>
    </xf>
    <xf numFmtId="0" fontId="45" fillId="0" borderId="22" xfId="0" applyFont="1" applyBorder="1" applyAlignment="1">
      <alignment horizontal="center" shrinkToFit="1"/>
    </xf>
    <xf numFmtId="0" fontId="22" fillId="4" borderId="22" xfId="0" applyFont="1" applyFill="1" applyBorder="1" applyAlignment="1">
      <alignment horizontal="center" shrinkToFit="1"/>
    </xf>
    <xf numFmtId="0" fontId="24" fillId="4" borderId="22" xfId="0" applyFont="1" applyFill="1" applyBorder="1" applyAlignment="1">
      <alignment horizontal="center" shrinkToFit="1"/>
    </xf>
    <xf numFmtId="0" fontId="22" fillId="0" borderId="0" xfId="0" applyFont="1" applyAlignment="1">
      <alignment vertical="center" shrinkToFit="1"/>
    </xf>
    <xf numFmtId="0" fontId="22" fillId="0" borderId="0" xfId="0" applyFont="1" applyAlignment="1">
      <alignment horizontal="center" shrinkToFit="1"/>
    </xf>
    <xf numFmtId="0" fontId="45" fillId="2" borderId="22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vertical="center" shrinkToFit="1"/>
    </xf>
    <xf numFmtId="0" fontId="24" fillId="0" borderId="22" xfId="0" applyFont="1" applyBorder="1" applyAlignment="1">
      <alignment shrinkToFit="1"/>
    </xf>
    <xf numFmtId="0" fontId="45" fillId="0" borderId="22" xfId="0" applyFont="1" applyBorder="1" applyAlignment="1">
      <alignment horizontal="right" shrinkToFit="1"/>
    </xf>
    <xf numFmtId="0" fontId="24" fillId="5" borderId="22" xfId="0" applyFont="1" applyFill="1" applyBorder="1" applyAlignment="1">
      <alignment horizontal="center" vertical="center" shrinkToFit="1"/>
    </xf>
    <xf numFmtId="0" fontId="24" fillId="5" borderId="22" xfId="0" applyFont="1" applyFill="1" applyBorder="1" applyAlignment="1">
      <alignment horizontal="center" shrinkToFit="1"/>
    </xf>
    <xf numFmtId="0" fontId="45" fillId="5" borderId="22" xfId="0" applyFont="1" applyFill="1" applyBorder="1" applyAlignment="1">
      <alignment horizontal="center" shrinkToFit="1"/>
    </xf>
    <xf numFmtId="0" fontId="22" fillId="5" borderId="22" xfId="0" applyFont="1" applyFill="1" applyBorder="1" applyAlignment="1">
      <alignment horizontal="center" shrinkToFit="1"/>
    </xf>
    <xf numFmtId="0" fontId="24" fillId="2" borderId="1" xfId="0" applyFont="1" applyFill="1" applyBorder="1" applyAlignment="1">
      <alignment horizontal="center" vertical="center" shrinkToFit="1"/>
    </xf>
    <xf numFmtId="0" fontId="24" fillId="0" borderId="3" xfId="0" applyFont="1" applyBorder="1" applyAlignment="1">
      <alignment vertical="center" shrinkToFit="1"/>
    </xf>
    <xf numFmtId="0" fontId="24" fillId="0" borderId="1" xfId="0" applyFont="1" applyBorder="1" applyAlignment="1">
      <alignment shrinkToFit="1"/>
    </xf>
    <xf numFmtId="0" fontId="24" fillId="0" borderId="8" xfId="0" applyFont="1" applyBorder="1" applyAlignment="1">
      <alignment vertical="center" shrinkToFit="1"/>
    </xf>
    <xf numFmtId="0" fontId="24" fillId="0" borderId="5" xfId="0" applyFont="1" applyBorder="1" applyAlignment="1">
      <alignment shrinkToFit="1"/>
    </xf>
    <xf numFmtId="0" fontId="22" fillId="0" borderId="0" xfId="0" applyFont="1" applyAlignment="1">
      <alignment wrapText="1" shrinkToFit="1"/>
    </xf>
    <xf numFmtId="0" fontId="22" fillId="0" borderId="0" xfId="0" applyFont="1" applyAlignment="1">
      <alignment horizontal="center" vertical="center" wrapText="1" shrinkToFit="1"/>
    </xf>
    <xf numFmtId="10" fontId="24" fillId="2" borderId="22" xfId="0" applyNumberFormat="1" applyFont="1" applyFill="1" applyBorder="1" applyAlignment="1">
      <alignment horizontal="center" vertical="center" shrinkToFit="1"/>
    </xf>
    <xf numFmtId="10" fontId="24" fillId="0" borderId="22" xfId="0" applyNumberFormat="1" applyFont="1" applyBorder="1" applyAlignment="1">
      <alignment shrinkToFit="1"/>
    </xf>
    <xf numFmtId="10" fontId="24" fillId="3" borderId="22" xfId="0" applyNumberFormat="1" applyFont="1" applyFill="1" applyBorder="1" applyAlignment="1">
      <alignment shrinkToFit="1"/>
    </xf>
    <xf numFmtId="0" fontId="24" fillId="2" borderId="23" xfId="0" applyFont="1" applyFill="1" applyBorder="1" applyAlignment="1">
      <alignment horizontal="center" vertical="center" shrinkToFit="1"/>
    </xf>
    <xf numFmtId="10" fontId="24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2" fillId="0" borderId="0" xfId="11" applyFont="1" applyAlignment="1">
      <alignment shrinkToFit="1"/>
    </xf>
    <xf numFmtId="0" fontId="22" fillId="4" borderId="0" xfId="11" applyFont="1" applyFill="1" applyAlignment="1">
      <alignment shrinkToFit="1"/>
    </xf>
    <xf numFmtId="0" fontId="22" fillId="0" borderId="0" xfId="11" applyFont="1" applyBorder="1" applyAlignment="1">
      <alignment shrinkToFit="1"/>
    </xf>
    <xf numFmtId="0" fontId="22" fillId="4" borderId="0" xfId="11" applyFont="1" applyFill="1" applyBorder="1" applyAlignment="1">
      <alignment shrinkToFit="1"/>
    </xf>
    <xf numFmtId="0" fontId="46" fillId="0" borderId="0" xfId="11" applyFont="1" applyAlignment="1">
      <alignment shrinkToFit="1"/>
    </xf>
    <xf numFmtId="184" fontId="64" fillId="0" borderId="0" xfId="11" applyNumberFormat="1" applyFont="1" applyAlignment="1">
      <alignment shrinkToFit="1"/>
    </xf>
    <xf numFmtId="0" fontId="45" fillId="0" borderId="6" xfId="11" applyFont="1" applyFill="1" applyBorder="1" applyAlignment="1">
      <alignment horizontal="center" shrinkToFit="1"/>
    </xf>
    <xf numFmtId="3" fontId="34" fillId="0" borderId="6" xfId="11" applyNumberFormat="1" applyFont="1" applyFill="1" applyBorder="1" applyAlignment="1">
      <alignment shrinkToFit="1"/>
    </xf>
    <xf numFmtId="10" fontId="34" fillId="0" borderId="6" xfId="11" applyNumberFormat="1" applyFont="1" applyFill="1" applyBorder="1" applyAlignment="1">
      <alignment shrinkToFit="1"/>
    </xf>
    <xf numFmtId="3" fontId="24" fillId="0" borderId="22" xfId="11" applyNumberFormat="1" applyFont="1" applyFill="1" applyBorder="1" applyAlignment="1">
      <alignment shrinkToFit="1"/>
    </xf>
    <xf numFmtId="10" fontId="24" fillId="0" borderId="22" xfId="11" applyNumberFormat="1" applyFont="1" applyFill="1" applyBorder="1" applyAlignment="1">
      <alignment shrinkToFit="1"/>
    </xf>
    <xf numFmtId="0" fontId="22" fillId="0" borderId="0" xfId="11" applyFont="1" applyFill="1" applyAlignment="1">
      <alignment shrinkToFit="1"/>
    </xf>
    <xf numFmtId="0" fontId="45" fillId="0" borderId="1" xfId="11" applyFont="1" applyFill="1" applyBorder="1" applyAlignment="1">
      <alignment horizontal="center" shrinkToFit="1"/>
    </xf>
    <xf numFmtId="3" fontId="34" fillId="0" borderId="1" xfId="11" applyNumberFormat="1" applyFont="1" applyFill="1" applyBorder="1" applyAlignment="1">
      <alignment shrinkToFit="1"/>
    </xf>
    <xf numFmtId="0" fontId="27" fillId="0" borderId="0" xfId="11" applyFont="1" applyFill="1" applyAlignment="1"/>
    <xf numFmtId="0" fontId="27" fillId="0" borderId="0" xfId="11" applyFont="1" applyFill="1" applyAlignment="1">
      <alignment vertical="center"/>
    </xf>
    <xf numFmtId="0" fontId="27" fillId="0" borderId="22" xfId="11" applyFont="1" applyFill="1" applyBorder="1" applyAlignment="1"/>
    <xf numFmtId="1" fontId="27" fillId="0" borderId="22" xfId="11" applyNumberFormat="1" applyFont="1" applyFill="1" applyBorder="1" applyAlignment="1"/>
    <xf numFmtId="185" fontId="27" fillId="0" borderId="22" xfId="13" applyNumberFormat="1" applyFont="1" applyFill="1" applyBorder="1" applyAlignment="1"/>
    <xf numFmtId="0" fontId="27" fillId="0" borderId="0" xfId="11" applyFont="1" applyFill="1" applyAlignment="1">
      <alignment horizontal="center"/>
    </xf>
    <xf numFmtId="9" fontId="67" fillId="0" borderId="0" xfId="13" applyFont="1" applyFill="1" applyAlignment="1"/>
    <xf numFmtId="0" fontId="27" fillId="0" borderId="0" xfId="11" applyFont="1" applyFill="1" applyAlignment="1">
      <alignment horizontal="center" vertical="center"/>
    </xf>
    <xf numFmtId="1" fontId="34" fillId="0" borderId="22" xfId="11" applyNumberFormat="1" applyFont="1" applyFill="1" applyBorder="1" applyAlignment="1"/>
    <xf numFmtId="0" fontId="34" fillId="0" borderId="22" xfId="11" applyFont="1" applyFill="1" applyBorder="1" applyAlignment="1"/>
    <xf numFmtId="185" fontId="34" fillId="0" borderId="22" xfId="13" applyNumberFormat="1" applyFont="1" applyFill="1" applyBorder="1" applyAlignment="1"/>
    <xf numFmtId="0" fontId="34" fillId="5" borderId="22" xfId="12" applyFont="1" applyFill="1" applyBorder="1" applyAlignment="1">
      <alignment horizontal="center" vertical="center" wrapText="1"/>
    </xf>
    <xf numFmtId="0" fontId="34" fillId="5" borderId="22" xfId="12" applyFont="1" applyFill="1" applyBorder="1" applyAlignment="1">
      <alignment horizontal="center" vertical="center"/>
    </xf>
    <xf numFmtId="0" fontId="27" fillId="0" borderId="22" xfId="11" applyFont="1" applyFill="1" applyBorder="1" applyAlignment="1">
      <alignment horizontal="center"/>
    </xf>
    <xf numFmtId="185" fontId="34" fillId="9" borderId="22" xfId="13" applyNumberFormat="1" applyFont="1" applyFill="1" applyBorder="1" applyAlignment="1"/>
    <xf numFmtId="0" fontId="33" fillId="0" borderId="34" xfId="0" applyFont="1" applyBorder="1" applyAlignment="1">
      <alignment horizontal="left" vertical="center"/>
    </xf>
    <xf numFmtId="0" fontId="33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3" fillId="0" borderId="0" xfId="0" applyFont="1" applyFill="1" applyBorder="1" applyAlignment="1">
      <alignment horizontal="left" vertical="center"/>
    </xf>
    <xf numFmtId="0" fontId="33" fillId="0" borderId="34" xfId="0" applyFont="1" applyFill="1" applyBorder="1" applyAlignment="1">
      <alignment horizontal="left" vertical="center"/>
    </xf>
    <xf numFmtId="0" fontId="33" fillId="0" borderId="26" xfId="0" applyFont="1" applyFill="1" applyBorder="1" applyAlignment="1">
      <alignment horizontal="left" vertical="center"/>
    </xf>
    <xf numFmtId="0" fontId="33" fillId="0" borderId="36" xfId="0" applyFont="1" applyFill="1" applyBorder="1" applyAlignment="1">
      <alignment horizontal="left" vertical="center"/>
    </xf>
    <xf numFmtId="0" fontId="33" fillId="0" borderId="32" xfId="0" applyFont="1" applyFill="1" applyBorder="1" applyAlignment="1">
      <alignment horizontal="left" vertical="center"/>
    </xf>
    <xf numFmtId="0" fontId="33" fillId="0" borderId="37" xfId="0" applyFont="1" applyFill="1" applyBorder="1" applyAlignment="1">
      <alignment horizontal="left" vertical="center"/>
    </xf>
    <xf numFmtId="0" fontId="3" fillId="0" borderId="0" xfId="5"/>
    <xf numFmtId="0" fontId="69" fillId="9" borderId="30" xfId="5" applyFont="1" applyFill="1" applyBorder="1"/>
    <xf numFmtId="0" fontId="69" fillId="0" borderId="0" xfId="5" applyFont="1"/>
    <xf numFmtId="0" fontId="69" fillId="0" borderId="22" xfId="5" applyFont="1" applyBorder="1"/>
    <xf numFmtId="0" fontId="69" fillId="9" borderId="22" xfId="5" applyFont="1" applyFill="1" applyBorder="1"/>
    <xf numFmtId="185" fontId="22" fillId="0" borderId="0" xfId="0" applyNumberFormat="1" applyFont="1" applyFill="1" applyAlignment="1"/>
    <xf numFmtId="0" fontId="52" fillId="9" borderId="22" xfId="0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0" fontId="27" fillId="0" borderId="22" xfId="11" applyFont="1" applyFill="1" applyBorder="1" applyAlignment="1">
      <alignment horizontal="center"/>
    </xf>
    <xf numFmtId="0" fontId="24" fillId="0" borderId="22" xfId="11" applyFont="1" applyFill="1" applyBorder="1" applyAlignment="1">
      <alignment horizontal="center" vertical="center" shrinkToFit="1"/>
    </xf>
    <xf numFmtId="0" fontId="27" fillId="0" borderId="22" xfId="11" applyFont="1" applyFill="1" applyBorder="1" applyAlignment="1">
      <alignment horizontal="center"/>
    </xf>
    <xf numFmtId="0" fontId="34" fillId="5" borderId="22" xfId="12" applyFont="1" applyFill="1" applyBorder="1" applyAlignment="1">
      <alignment horizontal="center" vertical="center"/>
    </xf>
    <xf numFmtId="0" fontId="34" fillId="5" borderId="22" xfId="12" applyFont="1" applyFill="1" applyBorder="1" applyAlignment="1">
      <alignment horizontal="center" vertical="center" wrapText="1"/>
    </xf>
    <xf numFmtId="0" fontId="34" fillId="5" borderId="23" xfId="5" applyFont="1" applyFill="1" applyBorder="1" applyAlignment="1">
      <alignment horizontal="center" vertical="center"/>
    </xf>
    <xf numFmtId="0" fontId="70" fillId="0" borderId="22" xfId="0" applyFont="1" applyFill="1" applyBorder="1" applyAlignment="1">
      <alignment horizontal="center" vertical="center" shrinkToFit="1"/>
    </xf>
    <xf numFmtId="0" fontId="53" fillId="0" borderId="22" xfId="0" applyFont="1" applyFill="1" applyBorder="1" applyAlignment="1">
      <alignment horizontal="center" vertical="center" shrinkToFit="1"/>
    </xf>
    <xf numFmtId="0" fontId="53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71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63" fillId="2" borderId="22" xfId="0" applyFont="1" applyFill="1" applyBorder="1" applyAlignment="1">
      <alignment horizontal="center" vertical="center" shrinkToFit="1"/>
    </xf>
    <xf numFmtId="0" fontId="27" fillId="0" borderId="41" xfId="11" applyFont="1" applyFill="1" applyBorder="1" applyAlignment="1"/>
    <xf numFmtId="1" fontId="27" fillId="0" borderId="41" xfId="11" applyNumberFormat="1" applyFont="1" applyFill="1" applyBorder="1" applyAlignment="1"/>
    <xf numFmtId="0" fontId="72" fillId="0" borderId="0" xfId="11" applyFont="1" applyFill="1" applyAlignment="1"/>
    <xf numFmtId="1" fontId="67" fillId="0" borderId="41" xfId="11" applyNumberFormat="1" applyFont="1" applyFill="1" applyBorder="1" applyAlignment="1"/>
    <xf numFmtId="0" fontId="27" fillId="5" borderId="23" xfId="11" applyFont="1" applyFill="1" applyBorder="1" applyAlignment="1">
      <alignment horizontal="center" vertical="center"/>
    </xf>
    <xf numFmtId="3" fontId="24" fillId="5" borderId="22" xfId="0" applyNumberFormat="1" applyFont="1" applyFill="1" applyBorder="1" applyAlignment="1">
      <alignment shrinkToFit="1"/>
    </xf>
    <xf numFmtId="10" fontId="24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4" fillId="0" borderId="22" xfId="0" applyNumberFormat="1" applyFont="1" applyFill="1" applyBorder="1" applyAlignment="1"/>
    <xf numFmtId="186" fontId="22" fillId="0" borderId="0" xfId="0" applyNumberFormat="1" applyFont="1" applyFill="1" applyAlignment="1"/>
    <xf numFmtId="180" fontId="22" fillId="10" borderId="0" xfId="0" applyNumberFormat="1" applyFont="1" applyFill="1" applyAlignment="1"/>
    <xf numFmtId="187" fontId="22" fillId="10" borderId="0" xfId="0" applyNumberFormat="1" applyFont="1" applyFill="1" applyAlignment="1"/>
    <xf numFmtId="177" fontId="22" fillId="10" borderId="0" xfId="0" applyNumberFormat="1" applyFont="1" applyFill="1" applyAlignment="1"/>
    <xf numFmtId="186" fontId="22" fillId="10" borderId="0" xfId="0" applyNumberFormat="1" applyFont="1" applyFill="1" applyAlignment="1"/>
    <xf numFmtId="185" fontId="22" fillId="10" borderId="0" xfId="0" applyNumberFormat="1" applyFont="1" applyFill="1" applyAlignment="1"/>
    <xf numFmtId="186" fontId="74" fillId="10" borderId="22" xfId="0" applyNumberFormat="1" applyFont="1" applyFill="1" applyBorder="1" applyAlignment="1"/>
    <xf numFmtId="177" fontId="22" fillId="10" borderId="22" xfId="0" applyNumberFormat="1" applyFont="1" applyFill="1" applyBorder="1" applyAlignment="1"/>
    <xf numFmtId="188" fontId="24" fillId="0" borderId="22" xfId="14" applyNumberFormat="1" applyFont="1" applyFill="1" applyBorder="1" applyAlignment="1">
      <alignment shrinkToFit="1"/>
    </xf>
    <xf numFmtId="189" fontId="24" fillId="5" borderId="22" xfId="0" applyNumberFormat="1" applyFont="1" applyFill="1" applyBorder="1" applyAlignment="1">
      <alignment shrinkToFit="1"/>
    </xf>
    <xf numFmtId="3" fontId="24" fillId="5" borderId="22" xfId="0" applyNumberFormat="1" applyFont="1" applyFill="1" applyBorder="1" applyAlignment="1">
      <alignment horizontal="right" shrinkToFit="1"/>
    </xf>
    <xf numFmtId="188" fontId="24" fillId="5" borderId="22" xfId="14" applyNumberFormat="1" applyFont="1" applyFill="1" applyBorder="1" applyAlignment="1">
      <alignment shrinkToFit="1"/>
    </xf>
    <xf numFmtId="1" fontId="24" fillId="0" borderId="22" xfId="0" applyNumberFormat="1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vertical="center" shrinkToFit="1"/>
    </xf>
    <xf numFmtId="0" fontId="79" fillId="0" borderId="22" xfId="0" applyFont="1" applyBorder="1" applyAlignment="1">
      <alignment horizontal="center" vertical="center" shrinkToFit="1"/>
    </xf>
    <xf numFmtId="0" fontId="80" fillId="0" borderId="22" xfId="0" applyFont="1" applyBorder="1" applyAlignment="1">
      <alignment horizontal="center" shrinkToFit="1"/>
    </xf>
    <xf numFmtId="1" fontId="24" fillId="0" borderId="22" xfId="0" applyNumberFormat="1" applyFont="1" applyBorder="1" applyAlignment="1">
      <alignment horizontal="center" shrinkToFit="1"/>
    </xf>
    <xf numFmtId="0" fontId="81" fillId="0" borderId="22" xfId="0" applyFont="1" applyBorder="1" applyAlignment="1">
      <alignment horizontal="center" vertical="center" shrinkToFit="1"/>
    </xf>
    <xf numFmtId="190" fontId="24" fillId="5" borderId="22" xfId="14" applyNumberFormat="1" applyFont="1" applyFill="1" applyBorder="1" applyAlignment="1">
      <alignment shrinkToFit="1"/>
    </xf>
    <xf numFmtId="191" fontId="24" fillId="0" borderId="22" xfId="0" applyNumberFormat="1" applyFont="1" applyFill="1" applyBorder="1" applyAlignment="1">
      <alignment shrinkToFit="1"/>
    </xf>
    <xf numFmtId="1" fontId="34" fillId="0" borderId="22" xfId="13" applyNumberFormat="1" applyFont="1" applyFill="1" applyBorder="1" applyAlignment="1"/>
    <xf numFmtId="1" fontId="27" fillId="0" borderId="22" xfId="13" applyNumberFormat="1" applyFont="1" applyFill="1" applyBorder="1" applyAlignment="1"/>
    <xf numFmtId="10" fontId="24" fillId="3" borderId="22" xfId="0" applyNumberFormat="1" applyFont="1" applyFill="1" applyBorder="1" applyAlignment="1">
      <alignment horizontal="center" shrinkToFit="1"/>
    </xf>
    <xf numFmtId="0" fontId="7" fillId="2" borderId="22" xfId="0" applyFont="1" applyFill="1" applyBorder="1" applyAlignment="1">
      <alignment horizontal="center" shrinkToFit="1"/>
    </xf>
    <xf numFmtId="183" fontId="24" fillId="3" borderId="18" xfId="0" applyNumberFormat="1" applyFont="1" applyFill="1" applyBorder="1" applyAlignment="1">
      <alignment shrinkToFit="1"/>
    </xf>
    <xf numFmtId="189" fontId="22" fillId="10" borderId="0" xfId="0" applyNumberFormat="1" applyFont="1" applyFill="1" applyAlignment="1"/>
    <xf numFmtId="189" fontId="24" fillId="0" borderId="22" xfId="0" applyNumberFormat="1" applyFont="1" applyFill="1" applyBorder="1" applyAlignment="1">
      <alignment shrinkToFit="1"/>
    </xf>
    <xf numFmtId="185" fontId="24" fillId="5" borderId="22" xfId="0" applyNumberFormat="1" applyFont="1" applyFill="1" applyBorder="1" applyAlignment="1">
      <alignment shrinkToFit="1"/>
    </xf>
    <xf numFmtId="185" fontId="24" fillId="0" borderId="22" xfId="0" applyNumberFormat="1" applyFont="1" applyFill="1" applyBorder="1" applyAlignment="1">
      <alignment shrinkToFit="1"/>
    </xf>
    <xf numFmtId="183" fontId="34" fillId="0" borderId="22" xfId="11" applyNumberFormat="1" applyFont="1" applyFill="1" applyBorder="1" applyAlignment="1"/>
    <xf numFmtId="183" fontId="27" fillId="0" borderId="22" xfId="11" applyNumberFormat="1" applyFont="1" applyFill="1" applyBorder="1" applyAlignment="1"/>
    <xf numFmtId="183" fontId="22" fillId="0" borderId="0" xfId="0" applyNumberFormat="1" applyFont="1" applyAlignment="1">
      <alignment shrinkToFit="1"/>
    </xf>
    <xf numFmtId="9" fontId="24" fillId="5" borderId="22" xfId="0" applyNumberFormat="1" applyFont="1" applyFill="1" applyBorder="1" applyAlignment="1">
      <alignment shrinkToFit="1"/>
    </xf>
    <xf numFmtId="9" fontId="24" fillId="0" borderId="22" xfId="0" applyNumberFormat="1" applyFont="1" applyFill="1" applyBorder="1" applyAlignment="1">
      <alignment shrinkToFit="1"/>
    </xf>
    <xf numFmtId="3" fontId="46" fillId="5" borderId="22" xfId="0" applyNumberFormat="1" applyFont="1" applyFill="1" applyBorder="1" applyAlignment="1">
      <alignment shrinkToFit="1"/>
    </xf>
    <xf numFmtId="10" fontId="46" fillId="5" borderId="22" xfId="0" applyNumberFormat="1" applyFont="1" applyFill="1" applyBorder="1" applyAlignment="1">
      <alignment shrinkToFit="1"/>
    </xf>
    <xf numFmtId="9" fontId="46" fillId="5" borderId="22" xfId="0" applyNumberFormat="1" applyFont="1" applyFill="1" applyBorder="1" applyAlignment="1">
      <alignment shrinkToFit="1"/>
    </xf>
    <xf numFmtId="189" fontId="46" fillId="5" borderId="22" xfId="0" applyNumberFormat="1" applyFont="1" applyFill="1" applyBorder="1" applyAlignment="1">
      <alignment shrinkToFit="1"/>
    </xf>
    <xf numFmtId="185" fontId="46" fillId="5" borderId="22" xfId="0" applyNumberFormat="1" applyFont="1" applyFill="1" applyBorder="1" applyAlignment="1">
      <alignment shrinkToFit="1"/>
    </xf>
    <xf numFmtId="190" fontId="46" fillId="5" borderId="22" xfId="14" applyNumberFormat="1" applyFont="1" applyFill="1" applyBorder="1" applyAlignment="1">
      <alignment shrinkToFit="1"/>
    </xf>
    <xf numFmtId="191" fontId="24" fillId="0" borderId="22" xfId="0" applyNumberFormat="1" applyFont="1" applyFill="1" applyBorder="1" applyAlignment="1">
      <alignment horizontal="right" shrinkToFit="1"/>
    </xf>
    <xf numFmtId="191" fontId="46" fillId="5" borderId="22" xfId="0" applyNumberFormat="1" applyFont="1" applyFill="1" applyBorder="1" applyAlignment="1">
      <alignment horizontal="right" shrinkToFit="1"/>
    </xf>
    <xf numFmtId="190" fontId="24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4" fillId="0" borderId="22" xfId="11" applyFont="1" applyFill="1" applyBorder="1" applyAlignment="1">
      <alignment horizontal="center" vertical="center" shrinkToFit="1"/>
    </xf>
    <xf numFmtId="183" fontId="24" fillId="3" borderId="22" xfId="0" applyNumberFormat="1" applyFont="1" applyFill="1" applyBorder="1" applyAlignment="1">
      <alignment shrinkToFit="1"/>
    </xf>
    <xf numFmtId="0" fontId="46" fillId="0" borderId="45" xfId="11" applyFont="1" applyBorder="1" applyAlignment="1">
      <alignment shrinkToFit="1"/>
    </xf>
    <xf numFmtId="0" fontId="22" fillId="0" borderId="46" xfId="11" applyFont="1" applyBorder="1" applyAlignment="1">
      <alignment shrinkToFit="1"/>
    </xf>
    <xf numFmtId="0" fontId="24" fillId="0" borderId="48" xfId="11" applyFont="1" applyFill="1" applyBorder="1" applyAlignment="1">
      <alignment horizontal="center" vertical="center" shrinkToFit="1"/>
    </xf>
    <xf numFmtId="0" fontId="45" fillId="0" borderId="49" xfId="11" applyFont="1" applyFill="1" applyBorder="1" applyAlignment="1">
      <alignment horizontal="center" shrinkToFit="1"/>
    </xf>
    <xf numFmtId="3" fontId="34" fillId="8" borderId="6" xfId="11" applyNumberFormat="1" applyFont="1" applyFill="1" applyBorder="1" applyAlignment="1">
      <alignment shrinkToFit="1"/>
    </xf>
    <xf numFmtId="3" fontId="24" fillId="8" borderId="22" xfId="11" applyNumberFormat="1" applyFont="1" applyFill="1" applyBorder="1" applyAlignment="1">
      <alignment shrinkToFit="1"/>
    </xf>
    <xf numFmtId="10" fontId="24" fillId="0" borderId="48" xfId="11" applyNumberFormat="1" applyFont="1" applyFill="1" applyBorder="1" applyAlignment="1">
      <alignment shrinkToFit="1"/>
    </xf>
    <xf numFmtId="0" fontId="45" fillId="0" borderId="50" xfId="11" applyFont="1" applyFill="1" applyBorder="1" applyAlignment="1">
      <alignment horizontal="center" shrinkToFit="1"/>
    </xf>
    <xf numFmtId="3" fontId="34" fillId="8" borderId="1" xfId="11" applyNumberFormat="1" applyFont="1" applyFill="1" applyBorder="1" applyAlignment="1">
      <alignment shrinkToFit="1"/>
    </xf>
    <xf numFmtId="0" fontId="22" fillId="0" borderId="45" xfId="11" applyFont="1" applyBorder="1" applyAlignment="1">
      <alignment shrinkToFit="1"/>
    </xf>
    <xf numFmtId="0" fontId="22" fillId="0" borderId="45" xfId="11" applyFont="1" applyFill="1" applyBorder="1" applyAlignment="1">
      <alignment shrinkToFit="1"/>
    </xf>
    <xf numFmtId="0" fontId="22" fillId="0" borderId="0" xfId="11" applyFont="1" applyFill="1" applyBorder="1" applyAlignment="1">
      <alignment shrinkToFit="1"/>
    </xf>
    <xf numFmtId="0" fontId="22" fillId="0" borderId="51" xfId="11" applyFont="1" applyFill="1" applyBorder="1" applyAlignment="1">
      <alignment shrinkToFit="1"/>
    </xf>
    <xf numFmtId="0" fontId="22" fillId="0" borderId="52" xfId="11" applyFont="1" applyFill="1" applyBorder="1" applyAlignment="1">
      <alignment shrinkToFit="1"/>
    </xf>
    <xf numFmtId="0" fontId="45" fillId="0" borderId="53" xfId="11" applyFont="1" applyFill="1" applyBorder="1" applyAlignment="1">
      <alignment horizontal="center" shrinkToFit="1"/>
    </xf>
    <xf numFmtId="3" fontId="24" fillId="8" borderId="54" xfId="11" applyNumberFormat="1" applyFont="1" applyFill="1" applyBorder="1" applyAlignment="1">
      <alignment shrinkToFit="1"/>
    </xf>
    <xf numFmtId="10" fontId="24" fillId="0" borderId="54" xfId="11" applyNumberFormat="1" applyFont="1" applyFill="1" applyBorder="1" applyAlignment="1">
      <alignment shrinkToFit="1"/>
    </xf>
    <xf numFmtId="10" fontId="24" fillId="0" borderId="55" xfId="11" applyNumberFormat="1" applyFont="1" applyFill="1" applyBorder="1" applyAlignment="1">
      <alignment shrinkToFit="1"/>
    </xf>
    <xf numFmtId="184" fontId="64" fillId="0" borderId="0" xfId="11" applyNumberFormat="1" applyFont="1" applyFill="1" applyBorder="1" applyAlignment="1">
      <alignment shrinkToFit="1"/>
    </xf>
    <xf numFmtId="0" fontId="45" fillId="2" borderId="22" xfId="0" applyFont="1" applyFill="1" applyBorder="1" applyAlignment="1">
      <alignment horizontal="center" vertical="center" shrinkToFit="1"/>
    </xf>
    <xf numFmtId="0" fontId="24" fillId="0" borderId="22" xfId="0" applyFont="1" applyBorder="1" applyAlignment="1">
      <alignment shrinkToFit="1"/>
    </xf>
    <xf numFmtId="0" fontId="45" fillId="0" borderId="22" xfId="0" applyFont="1" applyBorder="1" applyAlignment="1">
      <alignment shrinkToFit="1"/>
    </xf>
    <xf numFmtId="0" fontId="45" fillId="2" borderId="22" xfId="0" applyFont="1" applyFill="1" applyBorder="1" applyAlignment="1">
      <alignment horizontal="center" shrinkToFit="1"/>
    </xf>
    <xf numFmtId="3" fontId="24" fillId="12" borderId="22" xfId="0" applyNumberFormat="1" applyFont="1" applyFill="1" applyBorder="1" applyAlignment="1">
      <alignment shrinkToFit="1"/>
    </xf>
    <xf numFmtId="10" fontId="24" fillId="12" borderId="22" xfId="0" applyNumberFormat="1" applyFont="1" applyFill="1" applyBorder="1" applyAlignment="1">
      <alignment shrinkToFit="1"/>
    </xf>
    <xf numFmtId="183" fontId="24" fillId="0" borderId="22" xfId="0" applyNumberFormat="1" applyFont="1" applyFill="1" applyBorder="1" applyAlignment="1">
      <alignment shrinkToFit="1"/>
    </xf>
    <xf numFmtId="3" fontId="24" fillId="0" borderId="22" xfId="0" applyNumberFormat="1" applyFont="1" applyFill="1" applyBorder="1" applyAlignment="1">
      <alignment horizontal="right" shrinkToFit="1"/>
    </xf>
    <xf numFmtId="0" fontId="24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72" fillId="0" borderId="22" xfId="11" applyFont="1" applyFill="1" applyBorder="1" applyAlignment="1"/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24" fillId="0" borderId="22" xfId="0" applyFont="1" applyBorder="1" applyAlignment="1">
      <alignment shrinkToFit="1"/>
    </xf>
    <xf numFmtId="0" fontId="45" fillId="0" borderId="22" xfId="0" applyFont="1" applyBorder="1" applyAlignment="1">
      <alignment shrinkToFit="1"/>
    </xf>
    <xf numFmtId="0" fontId="45" fillId="2" borderId="22" xfId="0" applyFont="1" applyFill="1" applyBorder="1" applyAlignment="1">
      <alignment horizontal="center" shrinkToFit="1"/>
    </xf>
    <xf numFmtId="0" fontId="56" fillId="0" borderId="27" xfId="0" applyFont="1" applyBorder="1" applyAlignment="1">
      <alignment horizontal="left" shrinkToFit="1"/>
    </xf>
    <xf numFmtId="0" fontId="56" fillId="0" borderId="28" xfId="0" applyFont="1" applyBorder="1" applyAlignment="1">
      <alignment horizontal="left" shrinkToFit="1"/>
    </xf>
    <xf numFmtId="0" fontId="56" fillId="0" borderId="25" xfId="0" applyFont="1" applyBorder="1" applyAlignment="1">
      <alignment horizontal="left" shrinkToFit="1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0" fontId="82" fillId="0" borderId="35" xfId="0" applyFont="1" applyBorder="1" applyAlignment="1">
      <alignment wrapText="1"/>
    </xf>
    <xf numFmtId="0" fontId="82" fillId="0" borderId="36" xfId="0" applyFont="1" applyBorder="1" applyAlignment="1">
      <alignment wrapText="1"/>
    </xf>
    <xf numFmtId="176" fontId="22" fillId="11" borderId="0" xfId="0" applyNumberFormat="1" applyFont="1" applyFill="1" applyAlignment="1"/>
    <xf numFmtId="180" fontId="22" fillId="11" borderId="0" xfId="0" applyNumberFormat="1" applyFont="1" applyFill="1" applyAlignment="1"/>
    <xf numFmtId="177" fontId="22" fillId="11" borderId="0" xfId="0" applyNumberFormat="1" applyFont="1" applyFill="1" applyAlignment="1"/>
    <xf numFmtId="187" fontId="22" fillId="11" borderId="0" xfId="0" applyNumberFormat="1" applyFont="1" applyFill="1" applyAlignment="1"/>
    <xf numFmtId="186" fontId="74" fillId="11" borderId="0" xfId="0" applyNumberFormat="1" applyFont="1" applyFill="1" applyAlignment="1"/>
    <xf numFmtId="4" fontId="24" fillId="12" borderId="22" xfId="0" applyNumberFormat="1" applyFont="1" applyFill="1" applyBorder="1" applyAlignment="1">
      <alignment horizontal="right" shrinkToFit="1"/>
    </xf>
    <xf numFmtId="189" fontId="24" fillId="12" borderId="22" xfId="0" applyNumberFormat="1" applyFont="1" applyFill="1" applyBorder="1" applyAlignment="1">
      <alignment shrinkToFit="1"/>
    </xf>
    <xf numFmtId="185" fontId="24" fillId="12" borderId="22" xfId="0" applyNumberFormat="1" applyFont="1" applyFill="1" applyBorder="1" applyAlignment="1">
      <alignment shrinkToFit="1"/>
    </xf>
    <xf numFmtId="183" fontId="3" fillId="0" borderId="0" xfId="0" applyNumberFormat="1" applyFont="1" applyBorder="1" applyAlignment="1">
      <alignment horizontal="right" vertical="center" shrinkToFit="1"/>
    </xf>
    <xf numFmtId="185" fontId="22" fillId="11" borderId="0" xfId="0" applyNumberFormat="1" applyFont="1" applyFill="1" applyAlignment="1"/>
    <xf numFmtId="189" fontId="22" fillId="11" borderId="0" xfId="0" applyNumberFormat="1" applyFont="1" applyFill="1" applyAlignment="1"/>
    <xf numFmtId="0" fontId="0" fillId="0" borderId="22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45" fillId="2" borderId="22" xfId="0" applyFont="1" applyFill="1" applyBorder="1" applyAlignment="1">
      <alignment horizontal="center" shrinkToFit="1"/>
    </xf>
    <xf numFmtId="0" fontId="24" fillId="0" borderId="22" xfId="0" applyFont="1" applyBorder="1" applyAlignment="1">
      <alignment shrinkToFit="1"/>
    </xf>
    <xf numFmtId="0" fontId="0" fillId="0" borderId="0" xfId="0" applyFont="1" applyAlignment="1">
      <alignment shrinkToFit="1"/>
    </xf>
    <xf numFmtId="0" fontId="24" fillId="0" borderId="22" xfId="11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shrinkToFit="1"/>
    </xf>
    <xf numFmtId="0" fontId="24" fillId="2" borderId="4" xfId="0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shrinkToFit="1"/>
    </xf>
    <xf numFmtId="0" fontId="24" fillId="0" borderId="22" xfId="11" applyFont="1" applyFill="1" applyBorder="1" applyAlignment="1">
      <alignment horizontal="center" vertical="center" shrinkToFit="1"/>
    </xf>
    <xf numFmtId="2" fontId="27" fillId="0" borderId="22" xfId="11" applyNumberFormat="1" applyFont="1" applyFill="1" applyBorder="1" applyAlignment="1"/>
    <xf numFmtId="0" fontId="3" fillId="0" borderId="4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3" fillId="0" borderId="9" xfId="0" applyFont="1" applyBorder="1" applyAlignment="1">
      <alignment shrinkToFit="1"/>
    </xf>
    <xf numFmtId="0" fontId="5" fillId="0" borderId="8" xfId="0" applyFont="1" applyBorder="1" applyAlignment="1">
      <alignment shrinkToFit="1"/>
    </xf>
    <xf numFmtId="0" fontId="3" fillId="2" borderId="2" xfId="0" applyFont="1" applyFill="1" applyBorder="1" applyAlignment="1">
      <alignment shrinkToFit="1"/>
    </xf>
    <xf numFmtId="0" fontId="7" fillId="0" borderId="19" xfId="0" applyFont="1" applyBorder="1" applyAlignment="1">
      <alignment shrinkToFit="1"/>
    </xf>
    <xf numFmtId="0" fontId="5" fillId="0" borderId="21" xfId="0" applyFont="1" applyBorder="1" applyAlignment="1">
      <alignment shrinkToFit="1"/>
    </xf>
    <xf numFmtId="0" fontId="7" fillId="0" borderId="4" xfId="0" applyFont="1" applyBorder="1" applyAlignment="1">
      <alignment shrinkToFit="1"/>
    </xf>
    <xf numFmtId="0" fontId="5" fillId="0" borderId="2" xfId="0" applyFont="1" applyBorder="1" applyAlignment="1">
      <alignment shrinkToFit="1"/>
    </xf>
    <xf numFmtId="0" fontId="5" fillId="0" borderId="10" xfId="0" applyFont="1" applyBorder="1" applyAlignment="1">
      <alignment shrinkToFit="1"/>
    </xf>
    <xf numFmtId="0" fontId="7" fillId="0" borderId="12" xfId="0" applyFont="1" applyBorder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1" xfId="0" applyFont="1" applyBorder="1" applyAlignment="1">
      <alignment shrinkToFit="1"/>
    </xf>
    <xf numFmtId="0" fontId="3" fillId="2" borderId="4" xfId="0" applyFont="1" applyFill="1" applyBorder="1" applyAlignment="1">
      <alignment shrinkToFit="1"/>
    </xf>
    <xf numFmtId="0" fontId="3" fillId="2" borderId="3" xfId="0" applyFont="1" applyFill="1" applyBorder="1" applyAlignment="1">
      <alignment shrinkToFit="1"/>
    </xf>
    <xf numFmtId="0" fontId="3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7" fillId="2" borderId="4" xfId="0" applyFont="1" applyFill="1" applyBorder="1" applyAlignment="1">
      <alignment shrinkToFit="1"/>
    </xf>
    <xf numFmtId="0" fontId="7" fillId="2" borderId="2" xfId="0" applyFont="1" applyFill="1" applyBorder="1" applyAlignment="1">
      <alignment shrinkToFit="1"/>
    </xf>
    <xf numFmtId="0" fontId="7" fillId="2" borderId="3" xfId="0" applyFont="1" applyFill="1" applyBorder="1" applyAlignment="1">
      <alignment shrinkToFit="1"/>
    </xf>
    <xf numFmtId="0" fontId="4" fillId="0" borderId="4" xfId="0" applyFont="1" applyBorder="1" applyAlignment="1">
      <alignment shrinkToFit="1"/>
    </xf>
    <xf numFmtId="0" fontId="3" fillId="0" borderId="19" xfId="0" applyFont="1" applyBorder="1" applyAlignment="1">
      <alignment shrinkToFit="1"/>
    </xf>
    <xf numFmtId="0" fontId="5" fillId="0" borderId="20" xfId="0" applyFont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4" fillId="0" borderId="9" xfId="0" applyFont="1" applyBorder="1" applyAlignment="1">
      <alignment shrinkToFit="1"/>
    </xf>
    <xf numFmtId="0" fontId="42" fillId="0" borderId="0" xfId="0" applyFont="1" applyBorder="1" applyAlignment="1">
      <alignment horizontal="center" vertical="center" shrinkToFit="1"/>
    </xf>
    <xf numFmtId="0" fontId="52" fillId="9" borderId="22" xfId="0" applyFont="1" applyFill="1" applyBorder="1" applyAlignment="1">
      <alignment horizontal="center" vertical="center" shrinkToFit="1"/>
    </xf>
    <xf numFmtId="187" fontId="22" fillId="0" borderId="0" xfId="0" applyNumberFormat="1" applyFont="1" applyFill="1" applyAlignment="1">
      <alignment horizontal="center"/>
    </xf>
    <xf numFmtId="10" fontId="22" fillId="0" borderId="0" xfId="0" applyNumberFormat="1" applyFont="1" applyFill="1" applyAlignment="1">
      <alignment horizontal="center"/>
    </xf>
    <xf numFmtId="10" fontId="22" fillId="0" borderId="0" xfId="0" applyNumberFormat="1" applyFont="1" applyFill="1" applyAlignment="1">
      <alignment horizontal="center" vertical="center"/>
    </xf>
    <xf numFmtId="187" fontId="22" fillId="0" borderId="0" xfId="0" applyNumberFormat="1" applyFont="1" applyFill="1" applyAlignment="1">
      <alignment horizontal="center" vertical="center"/>
    </xf>
    <xf numFmtId="177" fontId="22" fillId="0" borderId="0" xfId="0" applyNumberFormat="1" applyFont="1" applyFill="1" applyAlignment="1">
      <alignment horizontal="center"/>
    </xf>
    <xf numFmtId="10" fontId="23" fillId="0" borderId="0" xfId="0" applyNumberFormat="1" applyFont="1" applyFill="1" applyAlignment="1">
      <alignment horizontal="center" vertical="center"/>
    </xf>
    <xf numFmtId="179" fontId="22" fillId="0" borderId="0" xfId="0" applyNumberFormat="1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177" fontId="22" fillId="0" borderId="0" xfId="0" applyNumberFormat="1" applyFont="1" applyFill="1" applyAlignment="1">
      <alignment horizontal="center" vertical="center"/>
    </xf>
    <xf numFmtId="0" fontId="15" fillId="0" borderId="0" xfId="0" applyFont="1" applyFill="1" applyAlignment="1">
      <alignment horizontal="center" vertical="center"/>
    </xf>
    <xf numFmtId="177" fontId="23" fillId="8" borderId="0" xfId="0" applyNumberFormat="1" applyFont="1" applyFill="1" applyAlignment="1">
      <alignment horizontal="center" vertical="center"/>
    </xf>
    <xf numFmtId="178" fontId="23" fillId="6" borderId="0" xfId="0" applyNumberFormat="1" applyFont="1" applyFill="1" applyAlignment="1">
      <alignment horizontal="center" vertical="center"/>
    </xf>
    <xf numFmtId="176" fontId="23" fillId="5" borderId="0" xfId="0" applyNumberFormat="1" applyFont="1" applyFill="1" applyAlignment="1">
      <alignment horizontal="center" vertical="center"/>
    </xf>
    <xf numFmtId="0" fontId="25" fillId="7" borderId="0" xfId="0" applyFont="1" applyFill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Border="1" applyAlignment="1">
      <alignment horizontal="center" vertical="center" shrinkToFit="1"/>
    </xf>
    <xf numFmtId="178" fontId="23" fillId="0" borderId="0" xfId="0" applyNumberFormat="1" applyFont="1" applyFill="1" applyAlignment="1">
      <alignment horizontal="center" vertical="center"/>
    </xf>
    <xf numFmtId="185" fontId="22" fillId="0" borderId="0" xfId="0" applyNumberFormat="1" applyFont="1" applyFill="1" applyAlignment="1">
      <alignment horizontal="center"/>
    </xf>
    <xf numFmtId="10" fontId="11" fillId="5" borderId="0" xfId="0" applyNumberFormat="1" applyFont="1" applyFill="1" applyAlignment="1">
      <alignment horizontal="center" vertical="center"/>
    </xf>
    <xf numFmtId="189" fontId="22" fillId="0" borderId="0" xfId="0" applyNumberFormat="1" applyFont="1" applyFill="1" applyAlignment="1">
      <alignment horizontal="center"/>
    </xf>
    <xf numFmtId="0" fontId="21" fillId="0" borderId="0" xfId="0" applyFont="1" applyFill="1" applyAlignment="1">
      <alignment horizontal="center" vertical="center"/>
    </xf>
    <xf numFmtId="181" fontId="11" fillId="0" borderId="0" xfId="0" applyNumberFormat="1" applyFont="1" applyFill="1" applyAlignment="1">
      <alignment horizontal="center" vertical="center"/>
    </xf>
    <xf numFmtId="10" fontId="11" fillId="0" borderId="0" xfId="0" applyNumberFormat="1" applyFont="1" applyFill="1" applyAlignment="1">
      <alignment horizontal="center" vertical="center"/>
    </xf>
    <xf numFmtId="180" fontId="22" fillId="0" borderId="0" xfId="0" applyNumberFormat="1" applyFont="1" applyFill="1" applyAlignment="1">
      <alignment horizontal="center"/>
    </xf>
    <xf numFmtId="186" fontId="22" fillId="0" borderId="0" xfId="0" applyNumberFormat="1" applyFont="1" applyFill="1" applyAlignment="1">
      <alignment horizontal="right"/>
    </xf>
    <xf numFmtId="186" fontId="75" fillId="0" borderId="0" xfId="0" applyNumberFormat="1" applyFont="1" applyFill="1" applyAlignment="1">
      <alignment horizontal="center" vertical="center"/>
    </xf>
    <xf numFmtId="0" fontId="28" fillId="0" borderId="22" xfId="0" applyFont="1" applyFill="1" applyBorder="1" applyAlignment="1">
      <alignment horizontal="center" vertical="center"/>
    </xf>
    <xf numFmtId="0" fontId="19" fillId="0" borderId="22" xfId="0" applyFont="1" applyFill="1" applyBorder="1" applyAlignment="1">
      <alignment horizontal="center" vertical="center"/>
    </xf>
    <xf numFmtId="182" fontId="23" fillId="0" borderId="22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5" fillId="7" borderId="34" xfId="0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4" fillId="0" borderId="22" xfId="0" applyFont="1" applyFill="1" applyBorder="1" applyAlignment="1">
      <alignment horizontal="center" vertical="center" shrinkToFit="1"/>
    </xf>
    <xf numFmtId="182" fontId="24" fillId="0" borderId="22" xfId="0" applyNumberFormat="1" applyFont="1" applyFill="1" applyBorder="1" applyAlignment="1">
      <alignment horizontal="center" vertical="center" shrinkToFit="1"/>
    </xf>
    <xf numFmtId="0" fontId="14" fillId="0" borderId="22" xfId="0" applyFont="1" applyFill="1" applyBorder="1" applyAlignment="1">
      <alignment horizontal="center" vertical="center"/>
    </xf>
    <xf numFmtId="177" fontId="18" fillId="0" borderId="22" xfId="0" applyNumberFormat="1" applyFont="1" applyFill="1" applyBorder="1" applyAlignment="1">
      <alignment horizontal="center" vertical="center" shrinkToFit="1"/>
    </xf>
    <xf numFmtId="177" fontId="24" fillId="0" borderId="22" xfId="0" applyNumberFormat="1" applyFont="1" applyFill="1" applyBorder="1" applyAlignment="1">
      <alignment horizontal="center" vertical="center" shrinkToFit="1"/>
    </xf>
    <xf numFmtId="177" fontId="28" fillId="0" borderId="22" xfId="0" applyNumberFormat="1" applyFont="1" applyFill="1" applyBorder="1" applyAlignment="1">
      <alignment horizontal="center" vertical="center"/>
    </xf>
    <xf numFmtId="177" fontId="19" fillId="0" borderId="22" xfId="0" applyNumberFormat="1" applyFont="1" applyFill="1" applyBorder="1" applyAlignment="1">
      <alignment horizontal="center" vertical="center"/>
    </xf>
    <xf numFmtId="177" fontId="14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>
      <alignment horizontal="center" vertical="center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0" borderId="31" xfId="0" applyFont="1" applyFill="1" applyBorder="1" applyAlignment="1">
      <alignment horizontal="center" vertical="center"/>
    </xf>
    <xf numFmtId="0" fontId="31" fillId="0" borderId="33" xfId="0" applyFont="1" applyFill="1" applyBorder="1" applyAlignment="1">
      <alignment horizontal="center" vertical="center"/>
    </xf>
    <xf numFmtId="0" fontId="31" fillId="0" borderId="35" xfId="0" applyFont="1" applyFill="1" applyBorder="1" applyAlignment="1">
      <alignment horizontal="center" vertical="center"/>
    </xf>
    <xf numFmtId="0" fontId="31" fillId="0" borderId="27" xfId="0" applyFont="1" applyFill="1" applyBorder="1" applyAlignment="1">
      <alignment horizontal="center" vertical="center"/>
    </xf>
    <xf numFmtId="0" fontId="31" fillId="0" borderId="28" xfId="0" applyFont="1" applyFill="1" applyBorder="1" applyAlignment="1">
      <alignment horizontal="center" vertical="center"/>
    </xf>
    <xf numFmtId="0" fontId="31" fillId="0" borderId="25" xfId="0" applyFont="1" applyFill="1" applyBorder="1" applyAlignment="1">
      <alignment horizontal="center"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9" xfId="0" applyFont="1" applyFill="1" applyBorder="1" applyAlignment="1">
      <alignment horizontal="center" vertical="center"/>
    </xf>
    <xf numFmtId="0" fontId="31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1" fillId="0" borderId="27" xfId="0" applyFont="1" applyBorder="1" applyAlignment="1">
      <alignment horizontal="center" vertical="center"/>
    </xf>
    <xf numFmtId="0" fontId="31" fillId="0" borderId="28" xfId="0" applyFont="1" applyBorder="1" applyAlignment="1">
      <alignment horizontal="center" vertical="center"/>
    </xf>
    <xf numFmtId="0" fontId="31" fillId="0" borderId="25" xfId="0" applyFont="1" applyBorder="1" applyAlignment="1">
      <alignment horizontal="center" vertical="center"/>
    </xf>
    <xf numFmtId="0" fontId="31" fillId="0" borderId="22" xfId="0" applyFont="1" applyBorder="1" applyAlignment="1">
      <alignment horizontal="center" vertical="center"/>
    </xf>
    <xf numFmtId="0" fontId="31" fillId="0" borderId="23" xfId="0" applyFont="1" applyBorder="1" applyAlignment="1">
      <alignment horizontal="center" vertical="center"/>
    </xf>
    <xf numFmtId="0" fontId="31" fillId="0" borderId="29" xfId="0" applyFont="1" applyBorder="1" applyAlignment="1">
      <alignment horizontal="center" vertical="center"/>
    </xf>
    <xf numFmtId="0" fontId="31" fillId="0" borderId="30" xfId="0" applyFont="1" applyBorder="1" applyAlignment="1">
      <alignment horizontal="center" vertical="center"/>
    </xf>
    <xf numFmtId="179" fontId="31" fillId="0" borderId="27" xfId="0" applyNumberFormat="1" applyFont="1" applyBorder="1" applyAlignment="1">
      <alignment horizontal="center" vertical="center"/>
    </xf>
    <xf numFmtId="179" fontId="31" fillId="0" borderId="28" xfId="0" applyNumberFormat="1" applyFont="1" applyBorder="1" applyAlignment="1">
      <alignment horizontal="center" vertical="center"/>
    </xf>
    <xf numFmtId="179" fontId="31" fillId="0" borderId="25" xfId="0" applyNumberFormat="1" applyFont="1" applyBorder="1" applyAlignment="1">
      <alignment horizontal="center" vertical="center"/>
    </xf>
    <xf numFmtId="179" fontId="31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0" fontId="33" fillId="0" borderId="0" xfId="0" applyFont="1" applyBorder="1" applyAlignment="1">
      <alignment horizontal="left" vertical="center"/>
    </xf>
    <xf numFmtId="0" fontId="33" fillId="0" borderId="26" xfId="0" applyFont="1" applyBorder="1" applyAlignment="1">
      <alignment horizontal="left" vertical="center"/>
    </xf>
    <xf numFmtId="0" fontId="31" fillId="0" borderId="31" xfId="0" applyFont="1" applyBorder="1" applyAlignment="1">
      <alignment horizontal="center" vertical="center"/>
    </xf>
    <xf numFmtId="0" fontId="31" fillId="0" borderId="33" xfId="0" applyFont="1" applyBorder="1" applyAlignment="1">
      <alignment horizontal="center" vertical="center"/>
    </xf>
    <xf numFmtId="0" fontId="31" fillId="0" borderId="35" xfId="0" applyFont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0" fontId="31" fillId="0" borderId="34" xfId="0" applyFont="1" applyBorder="1" applyAlignment="1">
      <alignment horizontal="center" vertical="center"/>
    </xf>
    <xf numFmtId="0" fontId="31" fillId="0" borderId="3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2" fillId="0" borderId="37" xfId="0" applyFont="1" applyBorder="1" applyAlignment="1">
      <alignment horizontal="left" vertical="center"/>
    </xf>
    <xf numFmtId="0" fontId="33" fillId="0" borderId="37" xfId="0" applyFont="1" applyBorder="1" applyAlignment="1">
      <alignment horizontal="left" vertical="center"/>
    </xf>
    <xf numFmtId="179" fontId="73" fillId="5" borderId="22" xfId="0" applyNumberFormat="1" applyFont="1" applyFill="1" applyBorder="1" applyAlignment="1">
      <alignment horizontal="center" vertical="center"/>
    </xf>
    <xf numFmtId="0" fontId="73" fillId="5" borderId="22" xfId="0" applyFont="1" applyFill="1" applyBorder="1" applyAlignment="1">
      <alignment horizontal="center" vertical="center"/>
    </xf>
    <xf numFmtId="0" fontId="32" fillId="0" borderId="26" xfId="0" applyFont="1" applyBorder="1" applyAlignment="1">
      <alignment horizontal="left" vertical="center"/>
    </xf>
    <xf numFmtId="0" fontId="2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0" fontId="45" fillId="2" borderId="22" xfId="0" applyFont="1" applyFill="1" applyBorder="1" applyAlignment="1">
      <alignment horizontal="center" shrinkToFit="1"/>
    </xf>
    <xf numFmtId="0" fontId="56" fillId="0" borderId="22" xfId="0" applyFont="1" applyBorder="1" applyAlignment="1">
      <alignment horizontal="center" shrinkToFit="1"/>
    </xf>
    <xf numFmtId="0" fontId="22" fillId="0" borderId="22" xfId="0" applyFont="1" applyBorder="1" applyAlignment="1">
      <alignment horizontal="left" shrinkToFit="1"/>
    </xf>
    <xf numFmtId="0" fontId="22" fillId="0" borderId="22" xfId="0" applyFont="1" applyBorder="1" applyAlignment="1">
      <alignment horizontal="center" vertical="center" shrinkToFit="1"/>
    </xf>
    <xf numFmtId="0" fontId="45" fillId="2" borderId="22" xfId="0" applyFont="1" applyFill="1" applyBorder="1" applyAlignment="1">
      <alignment horizontal="center" vertical="center" shrinkToFit="1"/>
    </xf>
    <xf numFmtId="0" fontId="22" fillId="0" borderId="27" xfId="0" applyFont="1" applyBorder="1" applyAlignment="1">
      <alignment horizontal="left" shrinkToFit="1"/>
    </xf>
    <xf numFmtId="0" fontId="22" fillId="0" borderId="28" xfId="0" applyFont="1" applyBorder="1" applyAlignment="1">
      <alignment horizontal="left" shrinkToFit="1"/>
    </xf>
    <xf numFmtId="0" fontId="22" fillId="0" borderId="25" xfId="0" applyFont="1" applyBorder="1" applyAlignment="1">
      <alignment horizontal="left" shrinkToFit="1"/>
    </xf>
    <xf numFmtId="0" fontId="24" fillId="0" borderId="27" xfId="0" applyFont="1" applyBorder="1" applyAlignment="1">
      <alignment horizontal="left" shrinkToFit="1"/>
    </xf>
    <xf numFmtId="0" fontId="24" fillId="0" borderId="28" xfId="0" applyFont="1" applyBorder="1" applyAlignment="1">
      <alignment horizontal="left" shrinkToFit="1"/>
    </xf>
    <xf numFmtId="0" fontId="24" fillId="0" borderId="25" xfId="0" applyFont="1" applyBorder="1" applyAlignment="1">
      <alignment horizontal="left" shrinkToFit="1"/>
    </xf>
    <xf numFmtId="0" fontId="45" fillId="0" borderId="22" xfId="0" applyFont="1" applyBorder="1" applyAlignment="1">
      <alignment shrinkToFit="1"/>
    </xf>
    <xf numFmtId="0" fontId="56" fillId="0" borderId="22" xfId="0" applyFont="1" applyBorder="1" applyAlignment="1">
      <alignment shrinkToFit="1"/>
    </xf>
    <xf numFmtId="0" fontId="53" fillId="0" borderId="22" xfId="0" applyFont="1" applyBorder="1" applyAlignment="1">
      <alignment shrinkToFit="1"/>
    </xf>
    <xf numFmtId="0" fontId="22" fillId="0" borderId="27" xfId="0" applyFont="1" applyBorder="1" applyAlignment="1">
      <alignment horizontal="center" shrinkToFit="1"/>
    </xf>
    <xf numFmtId="0" fontId="22" fillId="0" borderId="25" xfId="0" applyFont="1" applyBorder="1" applyAlignment="1">
      <alignment horizontal="center" shrinkToFit="1"/>
    </xf>
    <xf numFmtId="0" fontId="86" fillId="0" borderId="31" xfId="0" applyFont="1" applyBorder="1" applyAlignment="1">
      <alignment horizontal="center" vertical="top" wrapText="1"/>
    </xf>
    <xf numFmtId="0" fontId="86" fillId="0" borderId="32" xfId="0" applyFont="1" applyBorder="1" applyAlignment="1">
      <alignment horizontal="center" vertical="top" wrapText="1"/>
    </xf>
    <xf numFmtId="0" fontId="86" fillId="0" borderId="35" xfId="0" applyFont="1" applyBorder="1" applyAlignment="1">
      <alignment horizontal="center" vertical="top" wrapText="1"/>
    </xf>
    <xf numFmtId="0" fontId="86" fillId="0" borderId="36" xfId="0" applyFont="1" applyBorder="1" applyAlignment="1">
      <alignment horizontal="center" vertical="top" wrapText="1"/>
    </xf>
    <xf numFmtId="0" fontId="83" fillId="0" borderId="35" xfId="0" applyFont="1" applyBorder="1" applyAlignment="1">
      <alignment horizontal="center" vertical="top" wrapText="1"/>
    </xf>
    <xf numFmtId="0" fontId="83" fillId="0" borderId="36" xfId="0" applyFont="1" applyBorder="1" applyAlignment="1">
      <alignment horizontal="center" vertical="top" wrapText="1"/>
    </xf>
    <xf numFmtId="0" fontId="53" fillId="0" borderId="31" xfId="0" applyFont="1" applyBorder="1" applyAlignment="1">
      <alignment horizontal="center" vertical="center" shrinkToFit="1"/>
    </xf>
    <xf numFmtId="0" fontId="53" fillId="0" borderId="32" xfId="0" applyFont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3" fillId="0" borderId="36" xfId="0" applyFont="1" applyBorder="1" applyAlignment="1">
      <alignment horizontal="center" vertical="center" shrinkToFit="1"/>
    </xf>
    <xf numFmtId="0" fontId="54" fillId="0" borderId="0" xfId="0" applyFont="1" applyBorder="1" applyAlignment="1">
      <alignment horizontal="left" vertical="center" shrinkToFit="1"/>
    </xf>
    <xf numFmtId="0" fontId="55" fillId="0" borderId="0" xfId="0" applyFont="1" applyBorder="1" applyAlignment="1">
      <alignment horizontal="left" vertical="center" shrinkToFit="1"/>
    </xf>
    <xf numFmtId="0" fontId="83" fillId="0" borderId="31" xfId="0" applyFont="1" applyBorder="1" applyAlignment="1">
      <alignment horizontal="left" vertical="top" wrapText="1"/>
    </xf>
    <xf numFmtId="0" fontId="83" fillId="0" borderId="32" xfId="0" applyFont="1" applyBorder="1" applyAlignment="1">
      <alignment horizontal="left" vertical="top" wrapText="1"/>
    </xf>
    <xf numFmtId="0" fontId="83" fillId="0" borderId="33" xfId="0" applyFont="1" applyBorder="1" applyAlignment="1">
      <alignment horizontal="left" vertical="top" wrapText="1"/>
    </xf>
    <xf numFmtId="0" fontId="83" fillId="0" borderId="34" xfId="0" applyFont="1" applyBorder="1" applyAlignment="1">
      <alignment horizontal="left" vertical="top" wrapText="1"/>
    </xf>
    <xf numFmtId="0" fontId="83" fillId="0" borderId="35" xfId="0" applyFont="1" applyBorder="1" applyAlignment="1">
      <alignment horizontal="left" vertical="top" wrapText="1"/>
    </xf>
    <xf numFmtId="0" fontId="83" fillId="0" borderId="36" xfId="0" applyFont="1" applyBorder="1" applyAlignment="1">
      <alignment horizontal="left" vertical="top" wrapText="1"/>
    </xf>
    <xf numFmtId="0" fontId="56" fillId="0" borderId="22" xfId="0" applyFont="1" applyBorder="1" applyAlignment="1">
      <alignment horizontal="center" vertical="center" shrinkToFit="1"/>
    </xf>
    <xf numFmtId="0" fontId="24" fillId="0" borderId="22" xfId="0" applyFont="1" applyBorder="1" applyAlignment="1">
      <alignment shrinkToFit="1"/>
    </xf>
    <xf numFmtId="0" fontId="45" fillId="0" borderId="27" xfId="0" applyFont="1" applyBorder="1" applyAlignment="1">
      <alignment shrinkToFit="1"/>
    </xf>
    <xf numFmtId="0" fontId="45" fillId="0" borderId="25" xfId="0" applyFont="1" applyBorder="1" applyAlignment="1">
      <alignment shrinkToFit="1"/>
    </xf>
    <xf numFmtId="0" fontId="24" fillId="0" borderId="27" xfId="0" applyFont="1" applyBorder="1" applyAlignment="1">
      <alignment shrinkToFit="1"/>
    </xf>
    <xf numFmtId="0" fontId="24" fillId="0" borderId="25" xfId="0" applyFont="1" applyBorder="1" applyAlignment="1">
      <alignment shrinkToFit="1"/>
    </xf>
    <xf numFmtId="0" fontId="18" fillId="0" borderId="22" xfId="0" applyFont="1" applyBorder="1" applyAlignment="1">
      <alignment shrinkToFit="1"/>
    </xf>
    <xf numFmtId="0" fontId="18" fillId="0" borderId="31" xfId="0" applyFont="1" applyBorder="1" applyAlignment="1">
      <alignment horizontal="left" wrapText="1"/>
    </xf>
    <xf numFmtId="0" fontId="18" fillId="0" borderId="32" xfId="0" applyFont="1" applyBorder="1" applyAlignment="1">
      <alignment horizontal="left" wrapText="1"/>
    </xf>
    <xf numFmtId="0" fontId="18" fillId="0" borderId="33" xfId="0" applyFont="1" applyBorder="1" applyAlignment="1">
      <alignment horizontal="left" wrapText="1"/>
    </xf>
    <xf numFmtId="0" fontId="18" fillId="0" borderId="34" xfId="0" applyFont="1" applyBorder="1" applyAlignment="1">
      <alignment horizontal="left" wrapText="1"/>
    </xf>
    <xf numFmtId="0" fontId="18" fillId="0" borderId="35" xfId="0" applyFont="1" applyBorder="1" applyAlignment="1">
      <alignment horizontal="left" wrapText="1"/>
    </xf>
    <xf numFmtId="0" fontId="18" fillId="0" borderId="36" xfId="0" applyFont="1" applyBorder="1" applyAlignment="1">
      <alignment horizontal="left" wrapText="1"/>
    </xf>
    <xf numFmtId="0" fontId="53" fillId="0" borderId="27" xfId="0" applyFont="1" applyBorder="1" applyAlignment="1">
      <alignment shrinkToFit="1"/>
    </xf>
    <xf numFmtId="0" fontId="53" fillId="0" borderId="25" xfId="0" applyFont="1" applyBorder="1" applyAlignment="1">
      <alignment shrinkToFit="1"/>
    </xf>
    <xf numFmtId="0" fontId="45" fillId="2" borderId="27" xfId="0" applyFont="1" applyFill="1" applyBorder="1" applyAlignment="1">
      <alignment horizontal="center" shrinkToFit="1"/>
    </xf>
    <xf numFmtId="0" fontId="45" fillId="2" borderId="28" xfId="0" applyFont="1" applyFill="1" applyBorder="1" applyAlignment="1">
      <alignment horizontal="center" shrinkToFit="1"/>
    </xf>
    <xf numFmtId="0" fontId="45" fillId="2" borderId="25" xfId="0" applyFont="1" applyFill="1" applyBorder="1" applyAlignment="1">
      <alignment horizontal="center" shrinkToFit="1"/>
    </xf>
    <xf numFmtId="0" fontId="24" fillId="0" borderId="28" xfId="0" applyFont="1" applyBorder="1" applyAlignment="1">
      <alignment shrinkToFit="1"/>
    </xf>
    <xf numFmtId="0" fontId="56" fillId="0" borderId="27" xfId="0" applyFont="1" applyBorder="1" applyAlignment="1">
      <alignment horizontal="left" shrinkToFit="1"/>
    </xf>
    <xf numFmtId="0" fontId="56" fillId="0" borderId="28" xfId="0" applyFont="1" applyBorder="1" applyAlignment="1">
      <alignment horizontal="left" shrinkToFit="1"/>
    </xf>
    <xf numFmtId="0" fontId="56" fillId="0" borderId="25" xfId="0" applyFont="1" applyBorder="1" applyAlignment="1">
      <alignment horizontal="left" shrinkToFit="1"/>
    </xf>
    <xf numFmtId="0" fontId="53" fillId="0" borderId="33" xfId="0" applyFont="1" applyBorder="1" applyAlignment="1">
      <alignment horizontal="center" vertical="center" shrinkToFit="1"/>
    </xf>
    <xf numFmtId="0" fontId="53" fillId="0" borderId="34" xfId="0" applyFont="1" applyBorder="1" applyAlignment="1">
      <alignment horizontal="center" vertical="center" shrinkToFit="1"/>
    </xf>
    <xf numFmtId="0" fontId="84" fillId="0" borderId="31" xfId="0" applyFont="1" applyBorder="1" applyAlignment="1">
      <alignment horizontal="center" vertical="center" wrapText="1" shrinkToFit="1"/>
    </xf>
    <xf numFmtId="0" fontId="84" fillId="0" borderId="32" xfId="0" applyFont="1" applyBorder="1" applyAlignment="1">
      <alignment horizontal="center" vertical="center" wrapText="1" shrinkToFit="1"/>
    </xf>
    <xf numFmtId="0" fontId="18" fillId="0" borderId="31" xfId="0" applyFont="1" applyBorder="1" applyAlignment="1">
      <alignment horizontal="center" vertical="center" shrinkToFit="1"/>
    </xf>
    <xf numFmtId="0" fontId="18" fillId="0" borderId="32" xfId="0" applyFont="1" applyBorder="1" applyAlignment="1">
      <alignment horizontal="center" vertical="center" shrinkToFit="1"/>
    </xf>
    <xf numFmtId="0" fontId="18" fillId="0" borderId="35" xfId="0" applyFont="1" applyBorder="1" applyAlignment="1">
      <alignment horizontal="center" vertical="center" shrinkToFit="1"/>
    </xf>
    <xf numFmtId="0" fontId="18" fillId="0" borderId="36" xfId="0" applyFont="1" applyBorder="1" applyAlignment="1">
      <alignment horizontal="center" vertical="center" shrinkToFit="1"/>
    </xf>
    <xf numFmtId="0" fontId="22" fillId="0" borderId="23" xfId="0" applyFont="1" applyBorder="1" applyAlignment="1">
      <alignment horizontal="center" vertical="center" shrinkToFit="1"/>
    </xf>
    <xf numFmtId="0" fontId="22" fillId="0" borderId="29" xfId="0" applyFont="1" applyBorder="1" applyAlignment="1">
      <alignment horizontal="center" vertical="center" shrinkToFit="1"/>
    </xf>
    <xf numFmtId="0" fontId="22" fillId="0" borderId="30" xfId="0" applyFont="1" applyBorder="1" applyAlignment="1">
      <alignment horizontal="center" vertical="center" shrinkToFit="1"/>
    </xf>
    <xf numFmtId="0" fontId="45" fillId="2" borderId="23" xfId="0" applyFont="1" applyFill="1" applyBorder="1" applyAlignment="1">
      <alignment horizontal="center" vertical="center" shrinkToFit="1"/>
    </xf>
    <xf numFmtId="0" fontId="45" fillId="2" borderId="29" xfId="0" applyFont="1" applyFill="1" applyBorder="1" applyAlignment="1">
      <alignment horizontal="center" vertical="center" shrinkToFit="1"/>
    </xf>
    <xf numFmtId="0" fontId="45" fillId="2" borderId="30" xfId="0" applyFont="1" applyFill="1" applyBorder="1" applyAlignment="1">
      <alignment horizontal="center" vertical="center" shrinkToFit="1"/>
    </xf>
    <xf numFmtId="0" fontId="18" fillId="0" borderId="27" xfId="0" applyFont="1" applyBorder="1" applyAlignment="1">
      <alignment shrinkToFit="1"/>
    </xf>
    <xf numFmtId="0" fontId="45" fillId="2" borderId="27" xfId="0" applyFont="1" applyFill="1" applyBorder="1" applyAlignment="1">
      <alignment horizontal="center" vertical="center" shrinkToFit="1"/>
    </xf>
    <xf numFmtId="0" fontId="45" fillId="2" borderId="25" xfId="0" applyFont="1" applyFill="1" applyBorder="1" applyAlignment="1">
      <alignment horizontal="center" vertical="center" shrinkToFit="1"/>
    </xf>
    <xf numFmtId="0" fontId="45" fillId="2" borderId="28" xfId="0" applyFont="1" applyFill="1" applyBorder="1" applyAlignment="1">
      <alignment horizontal="center" vertical="center" shrinkToFit="1"/>
    </xf>
    <xf numFmtId="0" fontId="53" fillId="0" borderId="27" xfId="0" applyFont="1" applyBorder="1" applyAlignment="1">
      <alignment vertical="center" shrinkToFit="1"/>
    </xf>
    <xf numFmtId="0" fontId="45" fillId="0" borderId="25" xfId="0" applyFont="1" applyBorder="1" applyAlignment="1">
      <alignment vertical="center" shrinkToFit="1"/>
    </xf>
    <xf numFmtId="0" fontId="45" fillId="0" borderId="28" xfId="0" applyFont="1" applyBorder="1" applyAlignment="1">
      <alignment shrinkToFit="1"/>
    </xf>
    <xf numFmtId="0" fontId="61" fillId="0" borderId="22" xfId="11" applyFont="1" applyFill="1" applyBorder="1" applyAlignment="1">
      <alignment horizontal="center" vertical="center" shrinkToFit="1"/>
    </xf>
    <xf numFmtId="0" fontId="28" fillId="0" borderId="22" xfId="11" applyFont="1" applyBorder="1" applyAlignment="1">
      <alignment horizontal="center" vertical="center" shrinkToFit="1"/>
    </xf>
    <xf numFmtId="0" fontId="42" fillId="0" borderId="0" xfId="11" applyFont="1" applyBorder="1" applyAlignment="1">
      <alignment horizontal="center" vertical="center" shrinkToFit="1"/>
    </xf>
    <xf numFmtId="0" fontId="54" fillId="0" borderId="0" xfId="11" applyFont="1" applyBorder="1" applyAlignment="1">
      <alignment horizontal="left" vertical="center" shrinkToFit="1"/>
    </xf>
    <xf numFmtId="0" fontId="46" fillId="0" borderId="22" xfId="11" applyFont="1" applyFill="1" applyBorder="1" applyAlignment="1">
      <alignment horizontal="center" vertical="center"/>
    </xf>
    <xf numFmtId="0" fontId="24" fillId="0" borderId="22" xfId="11" applyFont="1" applyFill="1" applyBorder="1" applyAlignment="1">
      <alignment horizontal="center" vertical="center" shrinkToFit="1"/>
    </xf>
    <xf numFmtId="0" fontId="24" fillId="0" borderId="37" xfId="11" applyFont="1" applyFill="1" applyBorder="1" applyAlignment="1">
      <alignment horizontal="center" vertical="center" shrinkToFit="1"/>
    </xf>
    <xf numFmtId="0" fontId="24" fillId="0" borderId="0" xfId="11" applyFont="1" applyFill="1" applyBorder="1" applyAlignment="1">
      <alignment horizontal="center" vertical="center" shrinkToFit="1"/>
    </xf>
    <xf numFmtId="0" fontId="22" fillId="0" borderId="22" xfId="11" applyFont="1" applyFill="1" applyBorder="1" applyAlignment="1">
      <alignment horizontal="center" vertical="center" shrinkToFit="1"/>
    </xf>
    <xf numFmtId="0" fontId="22" fillId="0" borderId="22" xfId="11" applyFont="1" applyBorder="1" applyAlignment="1">
      <alignment horizontal="center" shrinkToFit="1"/>
    </xf>
    <xf numFmtId="0" fontId="54" fillId="0" borderId="42" xfId="11" applyFont="1" applyBorder="1" applyAlignment="1">
      <alignment horizontal="left" vertical="center" shrinkToFit="1"/>
    </xf>
    <xf numFmtId="0" fontId="54" fillId="0" borderId="43" xfId="11" applyFont="1" applyBorder="1" applyAlignment="1">
      <alignment horizontal="left" vertical="center" shrinkToFit="1"/>
    </xf>
    <xf numFmtId="0" fontId="54" fillId="0" borderId="44" xfId="11" applyFont="1" applyBorder="1" applyAlignment="1">
      <alignment horizontal="left" vertical="center" shrinkToFit="1"/>
    </xf>
    <xf numFmtId="0" fontId="54" fillId="0" borderId="45" xfId="11" applyFont="1" applyBorder="1" applyAlignment="1">
      <alignment horizontal="left" vertical="center" shrinkToFit="1"/>
    </xf>
    <xf numFmtId="0" fontId="54" fillId="0" borderId="46" xfId="11" applyFont="1" applyBorder="1" applyAlignment="1">
      <alignment horizontal="left" vertical="center" shrinkToFit="1"/>
    </xf>
    <xf numFmtId="0" fontId="46" fillId="0" borderId="47" xfId="11" applyFont="1" applyFill="1" applyBorder="1" applyAlignment="1">
      <alignment horizontal="center" vertical="center"/>
    </xf>
    <xf numFmtId="0" fontId="24" fillId="0" borderId="52" xfId="11" applyFont="1" applyFill="1" applyBorder="1" applyAlignment="1">
      <alignment horizontal="center" vertical="center" shrinkToFit="1"/>
    </xf>
    <xf numFmtId="0" fontId="22" fillId="0" borderId="48" xfId="11" applyFont="1" applyFill="1" applyBorder="1" applyAlignment="1">
      <alignment horizontal="center" vertical="center" shrinkToFit="1"/>
    </xf>
    <xf numFmtId="0" fontId="61" fillId="0" borderId="48" xfId="11" applyFont="1" applyFill="1" applyBorder="1" applyAlignment="1">
      <alignment horizontal="center" vertical="center" shrinkToFit="1"/>
    </xf>
    <xf numFmtId="0" fontId="22" fillId="0" borderId="48" xfId="11" applyFont="1" applyBorder="1" applyAlignment="1">
      <alignment horizontal="center" shrinkToFit="1"/>
    </xf>
    <xf numFmtId="0" fontId="28" fillId="0" borderId="48" xfId="11" applyFont="1" applyBorder="1" applyAlignment="1">
      <alignment horizontal="center" vertical="center" shrinkToFit="1"/>
    </xf>
    <xf numFmtId="0" fontId="22" fillId="0" borderId="27" xfId="11" applyFont="1" applyFill="1" applyBorder="1" applyAlignment="1">
      <alignment horizontal="center" vertical="center" shrinkToFit="1"/>
    </xf>
    <xf numFmtId="0" fontId="22" fillId="0" borderId="25" xfId="11" applyFont="1" applyFill="1" applyBorder="1" applyAlignment="1">
      <alignment horizontal="center" vertical="center" shrinkToFit="1"/>
    </xf>
    <xf numFmtId="0" fontId="22" fillId="0" borderId="27" xfId="11" applyFont="1" applyBorder="1" applyAlignment="1">
      <alignment horizontal="center" shrinkToFit="1"/>
    </xf>
    <xf numFmtId="0" fontId="22" fillId="0" borderId="58" xfId="11" applyFont="1" applyBorder="1" applyAlignment="1">
      <alignment horizontal="center" shrinkToFit="1"/>
    </xf>
    <xf numFmtId="0" fontId="61" fillId="0" borderId="27" xfId="11" applyFont="1" applyFill="1" applyBorder="1" applyAlignment="1">
      <alignment horizontal="center" vertical="center" shrinkToFit="1"/>
    </xf>
    <xf numFmtId="0" fontId="61" fillId="0" borderId="25" xfId="11" applyFont="1" applyFill="1" applyBorder="1" applyAlignment="1">
      <alignment horizontal="center" vertical="center" shrinkToFit="1"/>
    </xf>
    <xf numFmtId="0" fontId="28" fillId="0" borderId="27" xfId="11" applyFont="1" applyBorder="1" applyAlignment="1">
      <alignment horizontal="center" vertical="center" shrinkToFit="1"/>
    </xf>
    <xf numFmtId="0" fontId="28" fillId="0" borderId="58" xfId="11" applyFont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vertical="center" shrinkToFit="1"/>
    </xf>
    <xf numFmtId="0" fontId="24" fillId="2" borderId="22" xfId="0" applyFont="1" applyFill="1" applyBorder="1" applyAlignment="1">
      <alignment horizontal="center" shrinkToFit="1"/>
    </xf>
    <xf numFmtId="0" fontId="22" fillId="0" borderId="22" xfId="0" applyFont="1" applyBorder="1" applyAlignment="1">
      <alignment horizontal="center" vertical="center" wrapText="1" shrinkToFit="1"/>
    </xf>
    <xf numFmtId="0" fontId="3" fillId="0" borderId="2" xfId="0" applyFont="1" applyBorder="1" applyAlignment="1">
      <alignment shrinkToFit="1"/>
    </xf>
    <xf numFmtId="0" fontId="3" fillId="0" borderId="3" xfId="0" applyFont="1" applyBorder="1" applyAlignment="1">
      <alignment shrinkToFit="1"/>
    </xf>
    <xf numFmtId="0" fontId="7" fillId="0" borderId="4" xfId="0" applyFont="1" applyBorder="1" applyAlignment="1">
      <alignment horizontal="center" shrinkToFit="1"/>
    </xf>
    <xf numFmtId="0" fontId="7" fillId="0" borderId="3" xfId="0" applyFont="1" applyBorder="1" applyAlignment="1">
      <alignment horizontal="center" shrinkToFit="1"/>
    </xf>
    <xf numFmtId="0" fontId="7" fillId="0" borderId="56" xfId="0" applyFont="1" applyBorder="1" applyAlignment="1">
      <alignment horizontal="center" shrinkToFit="1"/>
    </xf>
    <xf numFmtId="0" fontId="7" fillId="0" borderId="57" xfId="0" applyFont="1" applyBorder="1" applyAlignment="1">
      <alignment horizontal="center" shrinkToFit="1"/>
    </xf>
    <xf numFmtId="0" fontId="24" fillId="2" borderId="4" xfId="0" applyFont="1" applyFill="1" applyBorder="1" applyAlignment="1">
      <alignment horizontal="center" vertical="center" shrinkToFit="1"/>
    </xf>
    <xf numFmtId="0" fontId="24" fillId="2" borderId="2" xfId="0" applyFont="1" applyFill="1" applyBorder="1" applyAlignment="1">
      <alignment horizontal="center" vertical="center" shrinkToFit="1"/>
    </xf>
    <xf numFmtId="0" fontId="24" fillId="2" borderId="3" xfId="0" applyFont="1" applyFill="1" applyBorder="1" applyAlignment="1">
      <alignment horizontal="center" vertical="center" shrinkToFit="1"/>
    </xf>
    <xf numFmtId="0" fontId="45" fillId="2" borderId="4" xfId="0" applyFont="1" applyFill="1" applyBorder="1" applyAlignment="1">
      <alignment horizontal="center" vertical="center" shrinkToFit="1"/>
    </xf>
    <xf numFmtId="0" fontId="45" fillId="2" borderId="3" xfId="0" applyFont="1" applyFill="1" applyBorder="1" applyAlignment="1">
      <alignment horizontal="center" vertical="center" shrinkToFit="1"/>
    </xf>
    <xf numFmtId="0" fontId="22" fillId="0" borderId="22" xfId="0" applyFont="1" applyFill="1" applyBorder="1" applyAlignment="1">
      <alignment horizontal="center" vertical="center" shrinkToFit="1"/>
    </xf>
    <xf numFmtId="0" fontId="3" fillId="0" borderId="3" xfId="0" applyFont="1" applyBorder="1" applyAlignment="1">
      <alignment horizontal="center" shrinkToFit="1"/>
    </xf>
    <xf numFmtId="0" fontId="63" fillId="0" borderId="22" xfId="0" applyFont="1" applyFill="1" applyBorder="1" applyAlignment="1">
      <alignment horizontal="center" vertical="center" shrinkToFit="1"/>
    </xf>
    <xf numFmtId="0" fontId="22" fillId="9" borderId="22" xfId="0" applyFont="1" applyFill="1" applyBorder="1" applyAlignment="1">
      <alignment horizontal="center" vertical="center" shrinkToFit="1"/>
    </xf>
    <xf numFmtId="0" fontId="24" fillId="9" borderId="22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3" fillId="2" borderId="4" xfId="0" applyFont="1" applyFill="1" applyBorder="1" applyAlignment="1">
      <alignment horizontal="center" vertical="center" shrinkToFit="1"/>
    </xf>
    <xf numFmtId="0" fontId="3" fillId="2" borderId="2" xfId="0" applyFont="1" applyFill="1" applyBorder="1" applyAlignment="1">
      <alignment horizontal="center" vertical="center" shrinkToFit="1"/>
    </xf>
    <xf numFmtId="0" fontId="3" fillId="2" borderId="3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31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3" fillId="2" borderId="0" xfId="0" applyFont="1" applyFill="1" applyBorder="1" applyAlignment="1">
      <alignment horizontal="center" vertical="center" shrinkToFit="1"/>
    </xf>
    <xf numFmtId="0" fontId="3" fillId="2" borderId="40" xfId="0" applyFont="1" applyFill="1" applyBorder="1" applyAlignment="1">
      <alignment horizontal="center" vertical="center" shrinkToFit="1"/>
    </xf>
    <xf numFmtId="0" fontId="3" fillId="2" borderId="39" xfId="0" applyFont="1" applyFill="1" applyBorder="1" applyAlignment="1">
      <alignment horizontal="center" shrinkToFit="1"/>
    </xf>
    <xf numFmtId="0" fontId="3" fillId="2" borderId="2" xfId="0" applyFont="1" applyFill="1" applyBorder="1" applyAlignment="1">
      <alignment horizontal="center" shrinkToFit="1"/>
    </xf>
    <xf numFmtId="0" fontId="3" fillId="2" borderId="3" xfId="0" applyFont="1" applyFill="1" applyBorder="1" applyAlignment="1">
      <alignment horizontal="center" shrinkToFit="1"/>
    </xf>
    <xf numFmtId="0" fontId="3" fillId="2" borderId="22" xfId="0" applyFont="1" applyFill="1" applyBorder="1" applyAlignment="1">
      <alignment horizontal="center" shrinkToFit="1"/>
    </xf>
    <xf numFmtId="0" fontId="3" fillId="2" borderId="22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shrinkToFit="1"/>
    </xf>
    <xf numFmtId="0" fontId="24" fillId="0" borderId="0" xfId="0" applyFont="1" applyFill="1" applyBorder="1" applyAlignment="1">
      <alignment horizontal="center" shrinkToFit="1"/>
    </xf>
    <xf numFmtId="0" fontId="24" fillId="0" borderId="38" xfId="0" applyFont="1" applyFill="1" applyBorder="1" applyAlignment="1">
      <alignment horizontal="center" shrinkToFit="1"/>
    </xf>
    <xf numFmtId="0" fontId="24" fillId="2" borderId="23" xfId="0" applyFont="1" applyFill="1" applyBorder="1" applyAlignment="1">
      <alignment horizontal="center" vertical="center" shrinkToFit="1"/>
    </xf>
    <xf numFmtId="0" fontId="24" fillId="2" borderId="29" xfId="0" applyFont="1" applyFill="1" applyBorder="1" applyAlignment="1">
      <alignment horizontal="center" vertical="center" shrinkToFit="1"/>
    </xf>
    <xf numFmtId="0" fontId="54" fillId="0" borderId="26" xfId="0" applyFont="1" applyBorder="1" applyAlignment="1">
      <alignment horizontal="left" vertical="center" shrinkToFit="1"/>
    </xf>
    <xf numFmtId="0" fontId="24" fillId="2" borderId="33" xfId="0" applyFont="1" applyFill="1" applyBorder="1" applyAlignment="1">
      <alignment horizontal="center" vertical="center" shrinkToFit="1"/>
    </xf>
    <xf numFmtId="0" fontId="24" fillId="2" borderId="0" xfId="0" applyFont="1" applyFill="1" applyBorder="1" applyAlignment="1">
      <alignment horizontal="center" vertical="center" shrinkToFit="1"/>
    </xf>
    <xf numFmtId="0" fontId="27" fillId="0" borderId="22" xfId="11" applyFont="1" applyFill="1" applyBorder="1" applyAlignment="1">
      <alignment horizontal="center" vertical="center"/>
    </xf>
    <xf numFmtId="0" fontId="72" fillId="0" borderId="22" xfId="11" applyFont="1" applyFill="1" applyBorder="1" applyAlignment="1">
      <alignment horizontal="center" vertical="center"/>
    </xf>
    <xf numFmtId="179" fontId="27" fillId="0" borderId="22" xfId="11" applyNumberFormat="1" applyFont="1" applyFill="1" applyBorder="1" applyAlignment="1">
      <alignment horizontal="center" vertical="center"/>
    </xf>
    <xf numFmtId="179" fontId="27" fillId="0" borderId="27" xfId="11" applyNumberFormat="1" applyFont="1" applyFill="1" applyBorder="1" applyAlignment="1">
      <alignment horizontal="center" vertical="center"/>
    </xf>
    <xf numFmtId="0" fontId="27" fillId="0" borderId="27" xfId="11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 vertical="center"/>
    </xf>
    <xf numFmtId="0" fontId="38" fillId="0" borderId="26" xfId="11" applyFont="1" applyFill="1" applyBorder="1" applyAlignment="1">
      <alignment horizontal="center" vertical="center"/>
    </xf>
    <xf numFmtId="0" fontId="30" fillId="0" borderId="26" xfId="11" applyFont="1" applyFill="1" applyBorder="1" applyAlignment="1">
      <alignment horizontal="center" vertical="center"/>
    </xf>
    <xf numFmtId="0" fontId="27" fillId="5" borderId="31" xfId="11" applyFont="1" applyFill="1" applyBorder="1" applyAlignment="1">
      <alignment horizontal="center" vertical="center"/>
    </xf>
    <xf numFmtId="0" fontId="27" fillId="5" borderId="32" xfId="11" applyFont="1" applyFill="1" applyBorder="1" applyAlignment="1">
      <alignment horizontal="center" vertical="center"/>
    </xf>
    <xf numFmtId="0" fontId="27" fillId="5" borderId="33" xfId="11" applyFont="1" applyFill="1" applyBorder="1" applyAlignment="1">
      <alignment horizontal="center" vertical="center"/>
    </xf>
    <xf numFmtId="0" fontId="27" fillId="5" borderId="34" xfId="11" applyFont="1" applyFill="1" applyBorder="1" applyAlignment="1">
      <alignment horizontal="center" vertical="center"/>
    </xf>
    <xf numFmtId="0" fontId="27" fillId="5" borderId="35" xfId="11" applyFont="1" applyFill="1" applyBorder="1" applyAlignment="1">
      <alignment horizontal="center" vertical="center"/>
    </xf>
    <xf numFmtId="0" fontId="27" fillId="5" borderId="36" xfId="11" applyFont="1" applyFill="1" applyBorder="1" applyAlignment="1">
      <alignment horizontal="center" vertical="center"/>
    </xf>
    <xf numFmtId="0" fontId="34" fillId="5" borderId="31" xfId="5" applyFont="1" applyFill="1" applyBorder="1" applyAlignment="1">
      <alignment horizontal="center" vertical="center"/>
    </xf>
    <xf numFmtId="0" fontId="34" fillId="5" borderId="33" xfId="5" applyFont="1" applyFill="1" applyBorder="1" applyAlignment="1">
      <alignment horizontal="center" vertical="center"/>
    </xf>
    <xf numFmtId="0" fontId="34" fillId="5" borderId="35" xfId="5" applyFont="1" applyFill="1" applyBorder="1" applyAlignment="1">
      <alignment horizontal="center" vertical="center"/>
    </xf>
    <xf numFmtId="0" fontId="34" fillId="5" borderId="23" xfId="5" applyFont="1" applyFill="1" applyBorder="1" applyAlignment="1">
      <alignment horizontal="center" vertical="center"/>
    </xf>
    <xf numFmtId="0" fontId="34" fillId="5" borderId="29" xfId="5" applyFont="1" applyFill="1" applyBorder="1" applyAlignment="1">
      <alignment horizontal="center" vertical="center"/>
    </xf>
    <xf numFmtId="0" fontId="34" fillId="5" borderId="30" xfId="5" applyFont="1" applyFill="1" applyBorder="1" applyAlignment="1">
      <alignment horizontal="center" vertical="center"/>
    </xf>
    <xf numFmtId="0" fontId="34" fillId="5" borderId="22" xfId="12" applyFont="1" applyFill="1" applyBorder="1" applyAlignment="1">
      <alignment horizontal="center" vertical="center" wrapText="1"/>
    </xf>
    <xf numFmtId="0" fontId="34" fillId="5" borderId="22" xfId="12" applyFont="1" applyFill="1" applyBorder="1" applyAlignment="1">
      <alignment horizontal="center" vertical="center"/>
    </xf>
    <xf numFmtId="0" fontId="36" fillId="5" borderId="22" xfId="12" applyFont="1" applyFill="1" applyBorder="1" applyAlignment="1">
      <alignment horizontal="center"/>
    </xf>
    <xf numFmtId="0" fontId="36" fillId="5" borderId="27" xfId="12" applyFont="1" applyFill="1" applyBorder="1" applyAlignment="1">
      <alignment horizontal="center"/>
    </xf>
    <xf numFmtId="0" fontId="36" fillId="5" borderId="28" xfId="12" applyFont="1" applyFill="1" applyBorder="1" applyAlignment="1">
      <alignment horizontal="center"/>
    </xf>
    <xf numFmtId="0" fontId="36" fillId="5" borderId="25" xfId="12" applyFont="1" applyFill="1" applyBorder="1" applyAlignment="1">
      <alignment horizontal="center"/>
    </xf>
    <xf numFmtId="0" fontId="35" fillId="5" borderId="22" xfId="5" applyFont="1" applyFill="1" applyBorder="1" applyAlignment="1">
      <alignment horizontal="center"/>
    </xf>
  </cellXfs>
  <cellStyles count="15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3 2" xfId="6"/>
    <cellStyle name="一般 2 2 30 3 30" xfId="7"/>
    <cellStyle name="一般 3" xfId="11"/>
    <cellStyle name="一般 4" xfId="5"/>
    <cellStyle name="千分位" xfId="14" builtinId="3"/>
    <cellStyle name="千分位 2" xfId="2"/>
    <cellStyle name="百分比 2" xfId="8"/>
    <cellStyle name="百分比 2 2" xfId="10"/>
    <cellStyle name="百分比 3" xfId="3"/>
    <cellStyle name="百分比 4" xfId="13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35" Type="http://schemas.openxmlformats.org/officeDocument/2006/relationships/customXml" Target="../customXml/item2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 t="shared" ref="E6:E8" si="1"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2">IFERROR(N6/$B$6,"")</f>
        <v>0.3</v>
      </c>
      <c r="P6" s="14">
        <v>0.4</v>
      </c>
      <c r="Q6" s="13">
        <f t="shared" ref="Q6:Q13" si="3">IFERROR(O6-P6,"")</f>
        <v>-0.10000000000000003</v>
      </c>
      <c r="S6" s="50" t="s">
        <v>34</v>
      </c>
      <c r="T6" s="9">
        <v>35000</v>
      </c>
      <c r="U6" s="13">
        <f t="shared" ref="U6:U13" si="4">IFERROR(T6/$B$7,"")</f>
        <v>0.35</v>
      </c>
      <c r="V6" s="14">
        <v>0.3</v>
      </c>
      <c r="W6" s="13">
        <f t="shared" ref="W6:W13" si="5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 t="shared" si="1"/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2"/>
        <v>0.2</v>
      </c>
      <c r="P7" s="14">
        <v>0.15</v>
      </c>
      <c r="Q7" s="13">
        <f t="shared" si="3"/>
        <v>5.0000000000000017E-2</v>
      </c>
      <c r="S7" s="50" t="s">
        <v>35</v>
      </c>
      <c r="T7" s="9">
        <v>30000</v>
      </c>
      <c r="U7" s="13">
        <f t="shared" si="4"/>
        <v>0.3</v>
      </c>
      <c r="V7" s="14">
        <v>0.15</v>
      </c>
      <c r="W7" s="13">
        <f t="shared" si="5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 t="shared" si="1"/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2"/>
        <v>0.32</v>
      </c>
      <c r="P8" s="14">
        <v>0.28000000000000003</v>
      </c>
      <c r="Q8" s="13">
        <f t="shared" si="3"/>
        <v>3.999999999999998E-2</v>
      </c>
      <c r="S8" s="50" t="s">
        <v>36</v>
      </c>
      <c r="T8" s="9">
        <v>20000</v>
      </c>
      <c r="U8" s="13">
        <f t="shared" si="4"/>
        <v>0.2</v>
      </c>
      <c r="V8" s="14">
        <v>0.28000000000000003</v>
      </c>
      <c r="W8" s="13">
        <f t="shared" si="5"/>
        <v>-8.0000000000000016E-2</v>
      </c>
    </row>
    <row r="9" spans="1:23" ht="15.75" customHeight="1">
      <c r="A9" s="7" t="s">
        <v>6</v>
      </c>
      <c r="B9" s="14">
        <f t="shared" ref="B9:C9" si="6">B8/B6</f>
        <v>0.5</v>
      </c>
      <c r="C9" s="14">
        <f t="shared" si="6"/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2"/>
        <v>0.18</v>
      </c>
      <c r="P9" s="14">
        <v>0.17</v>
      </c>
      <c r="Q9" s="13">
        <f t="shared" si="3"/>
        <v>9.9999999999999811E-3</v>
      </c>
      <c r="S9" s="50" t="s">
        <v>44</v>
      </c>
      <c r="T9" s="9">
        <v>15000</v>
      </c>
      <c r="U9" s="13">
        <f t="shared" si="4"/>
        <v>0.15</v>
      </c>
      <c r="V9" s="14">
        <v>0.27</v>
      </c>
      <c r="W9" s="13">
        <f t="shared" si="5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2"/>
        <v/>
      </c>
      <c r="P10" s="4" t="s">
        <v>9</v>
      </c>
      <c r="Q10" s="13" t="str">
        <f t="shared" si="3"/>
        <v/>
      </c>
      <c r="S10" s="50" t="s">
        <v>37</v>
      </c>
      <c r="T10" s="9" t="s">
        <v>8</v>
      </c>
      <c r="U10" s="13" t="str">
        <f t="shared" si="4"/>
        <v/>
      </c>
      <c r="V10" s="4" t="s">
        <v>9</v>
      </c>
      <c r="W10" s="13" t="str">
        <f t="shared" si="5"/>
        <v/>
      </c>
    </row>
    <row r="11" spans="1:23" ht="15.75" customHeight="1">
      <c r="A11" s="50" t="s">
        <v>65</v>
      </c>
      <c r="B11" s="14">
        <f t="shared" ref="B11:C11" si="7">B10/B6</f>
        <v>0.2</v>
      </c>
      <c r="C11" s="14">
        <f t="shared" si="7"/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2"/>
        <v/>
      </c>
      <c r="P11" s="4" t="s">
        <v>9</v>
      </c>
      <c r="Q11" s="13" t="str">
        <f t="shared" si="3"/>
        <v/>
      </c>
      <c r="S11" s="50" t="s">
        <v>38</v>
      </c>
      <c r="T11" s="9" t="s">
        <v>8</v>
      </c>
      <c r="U11" s="13" t="str">
        <f t="shared" si="4"/>
        <v/>
      </c>
      <c r="V11" s="4" t="s">
        <v>9</v>
      </c>
      <c r="W11" s="13" t="str">
        <f t="shared" si="5"/>
        <v/>
      </c>
    </row>
    <row r="12" spans="1:23" ht="15.75" customHeight="1">
      <c r="M12" s="50" t="s">
        <v>39</v>
      </c>
      <c r="N12" s="9" t="s">
        <v>8</v>
      </c>
      <c r="O12" s="13" t="str">
        <f t="shared" si="2"/>
        <v/>
      </c>
      <c r="P12" s="4" t="s">
        <v>9</v>
      </c>
      <c r="Q12" s="13" t="str">
        <f t="shared" si="3"/>
        <v/>
      </c>
      <c r="S12" s="50" t="s">
        <v>39</v>
      </c>
      <c r="T12" s="9" t="s">
        <v>8</v>
      </c>
      <c r="U12" s="13" t="str">
        <f t="shared" si="4"/>
        <v/>
      </c>
      <c r="V12" s="4" t="s">
        <v>9</v>
      </c>
      <c r="W12" s="13" t="str">
        <f t="shared" si="5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2"/>
        <v/>
      </c>
      <c r="P13" s="4" t="s">
        <v>9</v>
      </c>
      <c r="Q13" s="13" t="str">
        <f t="shared" si="3"/>
        <v/>
      </c>
      <c r="S13" s="50" t="s">
        <v>40</v>
      </c>
      <c r="T13" s="9" t="s">
        <v>8</v>
      </c>
      <c r="U13" s="13" t="str">
        <f t="shared" si="4"/>
        <v/>
      </c>
      <c r="V13" s="4" t="s">
        <v>9</v>
      </c>
      <c r="W13" s="13" t="str">
        <f t="shared" si="5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 t="shared" ref="O14:P14" si="8">SUM(O6:O13)</f>
        <v>1</v>
      </c>
      <c r="P14" s="15">
        <f t="shared" si="8"/>
        <v>1</v>
      </c>
      <c r="U14" s="15">
        <f t="shared" ref="U14:V14" si="9">SUM(U6:U13)</f>
        <v>0.99999999999999989</v>
      </c>
      <c r="V14" s="15">
        <f t="shared" si="9"/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 t="shared" ref="D15:D18" si="10">B15-C15</f>
        <v>-60</v>
      </c>
      <c r="E15" s="17">
        <f t="shared" ref="E15:E18" si="11">(B15+C15)/2</f>
        <v>630</v>
      </c>
      <c r="G15" s="50" t="s">
        <v>37</v>
      </c>
      <c r="H15" s="4"/>
      <c r="I15" s="4"/>
      <c r="J15" s="16">
        <f t="shared" ref="J15:J18" si="12"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 t="shared" si="10"/>
        <v>20</v>
      </c>
      <c r="E16" s="17">
        <f t="shared" si="11"/>
        <v>790</v>
      </c>
      <c r="G16" s="50" t="s">
        <v>38</v>
      </c>
      <c r="H16" s="4"/>
      <c r="I16" s="4"/>
      <c r="J16" s="16">
        <f t="shared" si="12"/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 t="shared" si="10"/>
        <v>19</v>
      </c>
      <c r="E17" s="17">
        <f t="shared" si="11"/>
        <v>120.5</v>
      </c>
      <c r="G17" s="50" t="s">
        <v>39</v>
      </c>
      <c r="H17" s="4"/>
      <c r="I17" s="4"/>
      <c r="J17" s="16">
        <f t="shared" si="12"/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 t="shared" si="10"/>
        <v>-25</v>
      </c>
      <c r="E18" s="17">
        <f t="shared" si="11"/>
        <v>152.5</v>
      </c>
      <c r="G18" s="50" t="s">
        <v>40</v>
      </c>
      <c r="H18" s="4"/>
      <c r="I18" s="4"/>
      <c r="J18" s="16">
        <f t="shared" si="12"/>
        <v>0</v>
      </c>
      <c r="K18" s="17"/>
      <c r="M18" s="50" t="s">
        <v>26</v>
      </c>
      <c r="N18" s="9">
        <v>1200</v>
      </c>
      <c r="O18" s="13">
        <f t="shared" ref="O18:O19" si="13">N18/$B$6</f>
        <v>2.3999999999999998E-3</v>
      </c>
      <c r="P18" s="9">
        <v>900</v>
      </c>
      <c r="Q18" s="13">
        <f t="shared" ref="Q18" si="14">IFERROR(P18/$B$6,"")</f>
        <v>1.8E-3</v>
      </c>
      <c r="R18" s="9">
        <v>300</v>
      </c>
      <c r="S18" s="13">
        <f t="shared" ref="S18:S19" si="15"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 t="shared" si="13"/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 t="shared" si="15"/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411" t="s">
        <v>12</v>
      </c>
      <c r="D21" s="394"/>
      <c r="E21" s="387"/>
      <c r="F21" s="50" t="s">
        <v>46</v>
      </c>
      <c r="G21" s="50" t="s">
        <v>48</v>
      </c>
      <c r="H21" s="50" t="s">
        <v>49</v>
      </c>
      <c r="I21" s="8" t="s">
        <v>13</v>
      </c>
      <c r="J21" s="403" t="s">
        <v>51</v>
      </c>
      <c r="K21" s="387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386" t="s">
        <v>14</v>
      </c>
      <c r="D22" s="394"/>
      <c r="E22" s="387"/>
      <c r="F22" s="4">
        <v>3</v>
      </c>
      <c r="G22" s="4">
        <v>3000</v>
      </c>
      <c r="H22" s="4">
        <v>1000</v>
      </c>
      <c r="I22" s="4">
        <v>10</v>
      </c>
      <c r="J22" s="393" t="s">
        <v>76</v>
      </c>
      <c r="K22" s="387"/>
      <c r="M22" s="53" t="s">
        <v>26</v>
      </c>
      <c r="N22" s="58" t="s">
        <v>47</v>
      </c>
      <c r="O22" s="399" t="s">
        <v>12</v>
      </c>
      <c r="P22" s="394"/>
      <c r="Q22" s="387"/>
      <c r="R22" s="405" t="s">
        <v>53</v>
      </c>
      <c r="S22" s="394"/>
      <c r="T22" s="387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403" t="s">
        <v>51</v>
      </c>
      <c r="AA22" s="387"/>
    </row>
    <row r="23" spans="1:27" ht="15.75" customHeight="1">
      <c r="A23" s="23"/>
      <c r="B23" s="6">
        <v>2</v>
      </c>
      <c r="C23" s="408"/>
      <c r="D23" s="394"/>
      <c r="E23" s="387"/>
      <c r="F23" s="4"/>
      <c r="G23" s="4"/>
      <c r="H23" s="4"/>
      <c r="I23" s="4"/>
      <c r="J23" s="408"/>
      <c r="K23" s="387"/>
      <c r="M23" s="57" t="s">
        <v>42</v>
      </c>
      <c r="N23" s="24">
        <v>1</v>
      </c>
      <c r="O23" s="393" t="s">
        <v>82</v>
      </c>
      <c r="P23" s="394"/>
      <c r="Q23" s="387"/>
      <c r="R23" s="393" t="s">
        <v>85</v>
      </c>
      <c r="S23" s="394"/>
      <c r="T23" s="387"/>
      <c r="U23" s="4">
        <v>10</v>
      </c>
      <c r="V23" s="14">
        <v>0.15</v>
      </c>
      <c r="W23" s="4">
        <v>10</v>
      </c>
      <c r="X23" s="16">
        <f t="shared" ref="X23:X27" si="16">W23*U23</f>
        <v>100</v>
      </c>
      <c r="Y23" s="4">
        <v>80</v>
      </c>
      <c r="Z23" s="393" t="s">
        <v>86</v>
      </c>
      <c r="AA23" s="387"/>
    </row>
    <row r="24" spans="1:27" ht="15.75" customHeight="1">
      <c r="A24" s="23"/>
      <c r="B24" s="6">
        <v>3</v>
      </c>
      <c r="C24" s="408"/>
      <c r="D24" s="394"/>
      <c r="E24" s="387"/>
      <c r="F24" s="4"/>
      <c r="G24" s="4"/>
      <c r="H24" s="4"/>
      <c r="I24" s="4"/>
      <c r="J24" s="408"/>
      <c r="K24" s="387"/>
      <c r="M24" s="25"/>
      <c r="N24" s="24">
        <v>2</v>
      </c>
      <c r="O24" s="386"/>
      <c r="P24" s="394"/>
      <c r="Q24" s="387"/>
      <c r="R24" s="386"/>
      <c r="S24" s="394"/>
      <c r="T24" s="387"/>
      <c r="U24" s="4"/>
      <c r="V24" s="14"/>
      <c r="W24" s="4"/>
      <c r="X24" s="16">
        <f t="shared" si="16"/>
        <v>0</v>
      </c>
      <c r="Y24" s="4"/>
      <c r="Z24" s="386"/>
      <c r="AA24" s="387"/>
    </row>
    <row r="25" spans="1:27" ht="15.75" customHeight="1">
      <c r="A25" s="23"/>
      <c r="B25" s="6">
        <v>4</v>
      </c>
      <c r="C25" s="408"/>
      <c r="D25" s="394"/>
      <c r="E25" s="387"/>
      <c r="F25" s="4"/>
      <c r="G25" s="4"/>
      <c r="H25" s="4"/>
      <c r="I25" s="4"/>
      <c r="J25" s="408"/>
      <c r="K25" s="387"/>
      <c r="M25" s="25"/>
      <c r="N25" s="24">
        <v>3</v>
      </c>
      <c r="O25" s="386"/>
      <c r="P25" s="394"/>
      <c r="Q25" s="387"/>
      <c r="R25" s="386"/>
      <c r="S25" s="394"/>
      <c r="T25" s="387"/>
      <c r="U25" s="4"/>
      <c r="V25" s="14"/>
      <c r="W25" s="4"/>
      <c r="X25" s="16">
        <f t="shared" si="16"/>
        <v>0</v>
      </c>
      <c r="Y25" s="4"/>
      <c r="Z25" s="386"/>
      <c r="AA25" s="387"/>
    </row>
    <row r="26" spans="1:27" ht="15.75" customHeight="1">
      <c r="A26" s="23"/>
      <c r="B26" s="26">
        <v>5</v>
      </c>
      <c r="C26" s="412"/>
      <c r="D26" s="395"/>
      <c r="E26" s="389"/>
      <c r="F26" s="27"/>
      <c r="G26" s="27"/>
      <c r="H26" s="27"/>
      <c r="I26" s="27"/>
      <c r="J26" s="412"/>
      <c r="K26" s="389"/>
      <c r="M26" s="25"/>
      <c r="N26" s="24">
        <v>4</v>
      </c>
      <c r="O26" s="386"/>
      <c r="P26" s="394"/>
      <c r="Q26" s="387"/>
      <c r="R26" s="386"/>
      <c r="S26" s="394"/>
      <c r="T26" s="387"/>
      <c r="U26" s="4"/>
      <c r="V26" s="14"/>
      <c r="W26" s="4"/>
      <c r="X26" s="16">
        <f t="shared" si="16"/>
        <v>0</v>
      </c>
      <c r="Y26" s="4"/>
      <c r="Z26" s="386"/>
      <c r="AA26" s="387"/>
    </row>
    <row r="27" spans="1:27" ht="15.75" customHeight="1">
      <c r="A27" s="23"/>
      <c r="B27" s="70" t="s">
        <v>101</v>
      </c>
      <c r="C27" s="396" t="s">
        <v>75</v>
      </c>
      <c r="D27" s="397"/>
      <c r="E27" s="398"/>
      <c r="F27" s="28">
        <v>4</v>
      </c>
      <c r="G27" s="28">
        <v>2800</v>
      </c>
      <c r="H27" s="28">
        <v>700</v>
      </c>
      <c r="I27" s="28" t="s">
        <v>15</v>
      </c>
      <c r="J27" s="396" t="s">
        <v>77</v>
      </c>
      <c r="K27" s="398"/>
      <c r="M27" s="25"/>
      <c r="N27" s="29">
        <v>5</v>
      </c>
      <c r="O27" s="388"/>
      <c r="P27" s="395"/>
      <c r="Q27" s="389"/>
      <c r="R27" s="388"/>
      <c r="S27" s="395"/>
      <c r="T27" s="389"/>
      <c r="U27" s="27"/>
      <c r="V27" s="30"/>
      <c r="W27" s="27"/>
      <c r="X27" s="31">
        <f t="shared" si="16"/>
        <v>0</v>
      </c>
      <c r="Y27" s="4"/>
      <c r="Z27" s="388"/>
      <c r="AA27" s="389"/>
    </row>
    <row r="28" spans="1:27" ht="15.75" customHeight="1">
      <c r="A28" s="23"/>
      <c r="B28" s="71" t="s">
        <v>102</v>
      </c>
      <c r="C28" s="408"/>
      <c r="D28" s="394"/>
      <c r="E28" s="387"/>
      <c r="F28" s="4"/>
      <c r="G28" s="4"/>
      <c r="H28" s="4"/>
      <c r="I28" s="4"/>
      <c r="J28" s="408"/>
      <c r="K28" s="387"/>
      <c r="M28" s="32"/>
      <c r="N28" s="56"/>
      <c r="O28" s="390"/>
      <c r="P28" s="394"/>
      <c r="Q28" s="394"/>
      <c r="R28" s="390"/>
      <c r="S28" s="394"/>
      <c r="T28" s="394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390"/>
      <c r="AA28" s="387"/>
    </row>
    <row r="29" spans="1:27" ht="15.75" customHeight="1">
      <c r="A29" s="23"/>
      <c r="B29" s="71" t="s">
        <v>100</v>
      </c>
      <c r="C29" s="408"/>
      <c r="D29" s="394"/>
      <c r="E29" s="387"/>
      <c r="F29" s="4"/>
      <c r="G29" s="4"/>
      <c r="H29" s="4"/>
      <c r="I29" s="4"/>
      <c r="J29" s="408"/>
      <c r="K29" s="387"/>
      <c r="M29" s="57" t="s">
        <v>43</v>
      </c>
      <c r="N29" s="24">
        <v>1</v>
      </c>
      <c r="O29" s="409" t="s">
        <v>16</v>
      </c>
      <c r="P29" s="410"/>
      <c r="Q29" s="392"/>
      <c r="R29" s="391" t="s">
        <v>87</v>
      </c>
      <c r="S29" s="410"/>
      <c r="T29" s="392"/>
      <c r="U29" s="35">
        <v>5.55</v>
      </c>
      <c r="V29" s="36">
        <v>0.21</v>
      </c>
      <c r="W29" s="35">
        <v>50</v>
      </c>
      <c r="X29" s="37">
        <f t="shared" ref="X29:X33" si="17">W29*U29</f>
        <v>277.5</v>
      </c>
      <c r="Y29" s="4">
        <v>35</v>
      </c>
      <c r="Z29" s="391" t="s">
        <v>88</v>
      </c>
      <c r="AA29" s="392"/>
    </row>
    <row r="30" spans="1:27" ht="15.75" customHeight="1">
      <c r="A30" s="23"/>
      <c r="B30" s="71" t="s">
        <v>99</v>
      </c>
      <c r="C30" s="408"/>
      <c r="D30" s="394"/>
      <c r="E30" s="387"/>
      <c r="F30" s="4"/>
      <c r="G30" s="4"/>
      <c r="H30" s="4"/>
      <c r="I30" s="4"/>
      <c r="J30" s="408"/>
      <c r="K30" s="387"/>
      <c r="M30" s="25"/>
      <c r="N30" s="24">
        <v>2</v>
      </c>
      <c r="O30" s="386"/>
      <c r="P30" s="394"/>
      <c r="Q30" s="387"/>
      <c r="R30" s="386"/>
      <c r="S30" s="394"/>
      <c r="T30" s="387"/>
      <c r="U30" s="4"/>
      <c r="V30" s="14"/>
      <c r="W30" s="4"/>
      <c r="X30" s="16">
        <f t="shared" si="17"/>
        <v>0</v>
      </c>
      <c r="Y30" s="4"/>
      <c r="Z30" s="386"/>
      <c r="AA30" s="387"/>
    </row>
    <row r="31" spans="1:27" ht="15.75" customHeight="1">
      <c r="A31" s="20"/>
      <c r="B31" s="71" t="s">
        <v>103</v>
      </c>
      <c r="C31" s="408"/>
      <c r="D31" s="394"/>
      <c r="E31" s="387"/>
      <c r="F31" s="4"/>
      <c r="G31" s="4"/>
      <c r="H31" s="4"/>
      <c r="I31" s="4"/>
      <c r="J31" s="408"/>
      <c r="K31" s="387"/>
      <c r="M31" s="25"/>
      <c r="N31" s="24">
        <v>3</v>
      </c>
      <c r="O31" s="386"/>
      <c r="P31" s="394"/>
      <c r="Q31" s="387"/>
      <c r="R31" s="386"/>
      <c r="S31" s="394"/>
      <c r="T31" s="387"/>
      <c r="U31" s="4"/>
      <c r="V31" s="14"/>
      <c r="W31" s="4"/>
      <c r="X31" s="16">
        <f t="shared" si="17"/>
        <v>0</v>
      </c>
      <c r="Y31" s="4"/>
      <c r="Z31" s="386"/>
      <c r="AA31" s="387"/>
    </row>
    <row r="32" spans="1:27" ht="15.75" customHeight="1">
      <c r="A32" s="68"/>
      <c r="M32" s="25"/>
      <c r="N32" s="24">
        <v>4</v>
      </c>
      <c r="O32" s="386"/>
      <c r="P32" s="394"/>
      <c r="Q32" s="387"/>
      <c r="R32" s="386"/>
      <c r="S32" s="394"/>
      <c r="T32" s="387"/>
      <c r="U32" s="4"/>
      <c r="V32" s="14"/>
      <c r="W32" s="4"/>
      <c r="X32" s="16">
        <f t="shared" si="17"/>
        <v>0</v>
      </c>
      <c r="Y32" s="4"/>
      <c r="Z32" s="386"/>
      <c r="AA32" s="387"/>
    </row>
    <row r="33" spans="1:27" ht="15.75" customHeight="1">
      <c r="A33" s="18"/>
      <c r="B33" s="50" t="s">
        <v>47</v>
      </c>
      <c r="C33" s="411" t="s">
        <v>12</v>
      </c>
      <c r="D33" s="394"/>
      <c r="E33" s="387"/>
      <c r="F33" s="50" t="s">
        <v>46</v>
      </c>
      <c r="G33" s="50" t="s">
        <v>48</v>
      </c>
      <c r="H33" s="50" t="s">
        <v>49</v>
      </c>
      <c r="I33" s="8" t="s">
        <v>13</v>
      </c>
      <c r="J33" s="403" t="s">
        <v>51</v>
      </c>
      <c r="K33" s="387"/>
      <c r="M33" s="25"/>
      <c r="N33" s="29">
        <v>5</v>
      </c>
      <c r="O33" s="386"/>
      <c r="P33" s="394"/>
      <c r="Q33" s="387"/>
      <c r="R33" s="386"/>
      <c r="S33" s="394"/>
      <c r="T33" s="387"/>
      <c r="U33" s="27"/>
      <c r="V33" s="30"/>
      <c r="W33" s="27"/>
      <c r="X33" s="31">
        <f t="shared" si="17"/>
        <v>0</v>
      </c>
      <c r="Y33" s="4"/>
      <c r="Z33" s="386"/>
      <c r="AA33" s="387"/>
    </row>
    <row r="34" spans="1:27" ht="15.75" customHeight="1">
      <c r="A34" s="53" t="s">
        <v>35</v>
      </c>
      <c r="B34" s="6">
        <v>1</v>
      </c>
      <c r="C34" s="393" t="s">
        <v>79</v>
      </c>
      <c r="D34" s="394"/>
      <c r="E34" s="387"/>
      <c r="F34" s="4">
        <v>3</v>
      </c>
      <c r="G34" s="4">
        <v>2500</v>
      </c>
      <c r="H34" s="4">
        <v>833.33</v>
      </c>
      <c r="I34" s="4">
        <v>20</v>
      </c>
      <c r="J34" s="393" t="s">
        <v>78</v>
      </c>
      <c r="K34" s="387"/>
      <c r="M34" s="69"/>
      <c r="N34" s="45"/>
      <c r="O34" s="390"/>
      <c r="P34" s="394"/>
      <c r="Q34" s="394"/>
      <c r="R34" s="390"/>
      <c r="S34" s="394"/>
      <c r="T34" s="394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390"/>
      <c r="AA34" s="387"/>
    </row>
    <row r="35" spans="1:27" ht="15.75" customHeight="1">
      <c r="A35" s="23"/>
      <c r="B35" s="6">
        <v>2</v>
      </c>
      <c r="C35" s="386"/>
      <c r="D35" s="394"/>
      <c r="E35" s="387"/>
      <c r="F35" s="4"/>
      <c r="G35" s="4"/>
      <c r="H35" s="4"/>
      <c r="I35" s="4"/>
      <c r="J35" s="386"/>
      <c r="K35" s="387"/>
      <c r="M35" s="1"/>
      <c r="N35" s="1"/>
      <c r="O35" s="401"/>
      <c r="P35" s="402"/>
      <c r="Q35" s="402"/>
      <c r="R35" s="401"/>
      <c r="S35" s="402"/>
      <c r="T35" s="402"/>
      <c r="U35" s="1"/>
      <c r="V35" s="38"/>
      <c r="W35" s="1"/>
      <c r="X35" s="1"/>
      <c r="Y35" s="401"/>
      <c r="Z35" s="402"/>
      <c r="AA35" s="402"/>
    </row>
    <row r="36" spans="1:27" ht="15.75" customHeight="1">
      <c r="A36" s="23"/>
      <c r="B36" s="6">
        <v>3</v>
      </c>
      <c r="C36" s="386"/>
      <c r="D36" s="394"/>
      <c r="E36" s="387"/>
      <c r="F36" s="4"/>
      <c r="G36" s="4"/>
      <c r="H36" s="4"/>
      <c r="I36" s="4"/>
      <c r="J36" s="386"/>
      <c r="K36" s="387"/>
      <c r="M36" s="53" t="s">
        <v>27</v>
      </c>
      <c r="N36" s="58" t="s">
        <v>47</v>
      </c>
      <c r="O36" s="399" t="s">
        <v>12</v>
      </c>
      <c r="P36" s="390"/>
      <c r="Q36" s="400"/>
      <c r="R36" s="405" t="s">
        <v>53</v>
      </c>
      <c r="S36" s="406"/>
      <c r="T36" s="407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403" t="s">
        <v>51</v>
      </c>
      <c r="AA36" s="404"/>
    </row>
    <row r="37" spans="1:27" ht="15.75" customHeight="1">
      <c r="A37" s="23"/>
      <c r="B37" s="6">
        <v>4</v>
      </c>
      <c r="C37" s="386"/>
      <c r="D37" s="394"/>
      <c r="E37" s="387"/>
      <c r="F37" s="4"/>
      <c r="G37" s="4"/>
      <c r="H37" s="4"/>
      <c r="I37" s="4"/>
      <c r="J37" s="386"/>
      <c r="K37" s="387"/>
      <c r="M37" s="57" t="s">
        <v>42</v>
      </c>
      <c r="N37" s="24">
        <v>1</v>
      </c>
      <c r="O37" s="393" t="s">
        <v>89</v>
      </c>
      <c r="P37" s="394"/>
      <c r="Q37" s="387"/>
      <c r="R37" s="393" t="s">
        <v>90</v>
      </c>
      <c r="S37" s="394"/>
      <c r="T37" s="387"/>
      <c r="U37" s="4">
        <v>25</v>
      </c>
      <c r="V37" s="14">
        <v>0.25</v>
      </c>
      <c r="W37" s="4">
        <v>10</v>
      </c>
      <c r="X37" s="16">
        <f t="shared" ref="X37:X41" si="18">W37*U37</f>
        <v>250</v>
      </c>
      <c r="Y37" s="4">
        <v>150</v>
      </c>
      <c r="Z37" s="393" t="s">
        <v>91</v>
      </c>
      <c r="AA37" s="387"/>
    </row>
    <row r="38" spans="1:27" ht="15.75" customHeight="1">
      <c r="A38" s="23"/>
      <c r="B38" s="26">
        <v>5</v>
      </c>
      <c r="C38" s="388"/>
      <c r="D38" s="395"/>
      <c r="E38" s="389"/>
      <c r="F38" s="27"/>
      <c r="G38" s="27"/>
      <c r="H38" s="27"/>
      <c r="I38" s="27"/>
      <c r="J38" s="388"/>
      <c r="K38" s="389"/>
      <c r="M38" s="25"/>
      <c r="N38" s="24">
        <v>2</v>
      </c>
      <c r="O38" s="386"/>
      <c r="P38" s="394"/>
      <c r="Q38" s="387"/>
      <c r="R38" s="386"/>
      <c r="S38" s="394"/>
      <c r="T38" s="387"/>
      <c r="U38" s="4"/>
      <c r="V38" s="14"/>
      <c r="W38" s="4"/>
      <c r="X38" s="16">
        <f t="shared" si="18"/>
        <v>0</v>
      </c>
      <c r="Y38" s="4"/>
      <c r="Z38" s="386"/>
      <c r="AA38" s="387"/>
    </row>
    <row r="39" spans="1:27" ht="14.25">
      <c r="A39" s="23"/>
      <c r="B39" s="70" t="s">
        <v>101</v>
      </c>
      <c r="C39" s="396" t="s">
        <v>80</v>
      </c>
      <c r="D39" s="397"/>
      <c r="E39" s="398"/>
      <c r="F39" s="28">
        <v>7</v>
      </c>
      <c r="G39" s="28">
        <v>2200</v>
      </c>
      <c r="H39" s="28">
        <v>314.29000000000002</v>
      </c>
      <c r="I39" s="28">
        <v>-15</v>
      </c>
      <c r="J39" s="396" t="s">
        <v>81</v>
      </c>
      <c r="K39" s="398"/>
      <c r="M39" s="25"/>
      <c r="N39" s="24">
        <v>3</v>
      </c>
      <c r="O39" s="386"/>
      <c r="P39" s="394"/>
      <c r="Q39" s="387"/>
      <c r="R39" s="386"/>
      <c r="S39" s="394"/>
      <c r="T39" s="387"/>
      <c r="U39" s="4"/>
      <c r="V39" s="14"/>
      <c r="W39" s="4"/>
      <c r="X39" s="16">
        <f t="shared" si="18"/>
        <v>0</v>
      </c>
      <c r="Y39" s="4"/>
      <c r="Z39" s="386"/>
      <c r="AA39" s="387"/>
    </row>
    <row r="40" spans="1:27" ht="14.25">
      <c r="A40" s="23"/>
      <c r="B40" s="71" t="s">
        <v>102</v>
      </c>
      <c r="C40" s="386"/>
      <c r="D40" s="394"/>
      <c r="E40" s="387"/>
      <c r="F40" s="4"/>
      <c r="G40" s="4"/>
      <c r="H40" s="4"/>
      <c r="I40" s="4"/>
      <c r="J40" s="386"/>
      <c r="K40" s="387"/>
      <c r="M40" s="25"/>
      <c r="N40" s="24">
        <v>4</v>
      </c>
      <c r="O40" s="386"/>
      <c r="P40" s="394"/>
      <c r="Q40" s="387"/>
      <c r="R40" s="386"/>
      <c r="S40" s="394"/>
      <c r="T40" s="387"/>
      <c r="U40" s="4"/>
      <c r="V40" s="14"/>
      <c r="W40" s="4"/>
      <c r="X40" s="16">
        <f t="shared" si="18"/>
        <v>0</v>
      </c>
      <c r="Y40" s="4"/>
      <c r="Z40" s="386"/>
      <c r="AA40" s="387"/>
    </row>
    <row r="41" spans="1:27" ht="14.25">
      <c r="A41" s="23"/>
      <c r="B41" s="71" t="s">
        <v>100</v>
      </c>
      <c r="C41" s="386"/>
      <c r="D41" s="394"/>
      <c r="E41" s="387"/>
      <c r="F41" s="4"/>
      <c r="G41" s="4"/>
      <c r="H41" s="4"/>
      <c r="I41" s="4"/>
      <c r="J41" s="386"/>
      <c r="K41" s="387"/>
      <c r="M41" s="25"/>
      <c r="N41" s="29">
        <v>5</v>
      </c>
      <c r="O41" s="388"/>
      <c r="P41" s="395"/>
      <c r="Q41" s="389"/>
      <c r="R41" s="388"/>
      <c r="S41" s="395"/>
      <c r="T41" s="389"/>
      <c r="U41" s="27"/>
      <c r="V41" s="30"/>
      <c r="W41" s="27"/>
      <c r="X41" s="31">
        <f t="shared" si="18"/>
        <v>0</v>
      </c>
      <c r="Y41" s="4"/>
      <c r="Z41" s="386"/>
      <c r="AA41" s="387"/>
    </row>
    <row r="42" spans="1:27" ht="14.25">
      <c r="A42" s="23"/>
      <c r="B42" s="71" t="s">
        <v>99</v>
      </c>
      <c r="C42" s="386"/>
      <c r="D42" s="394"/>
      <c r="E42" s="387"/>
      <c r="F42" s="4"/>
      <c r="G42" s="4"/>
      <c r="H42" s="4"/>
      <c r="I42" s="4"/>
      <c r="J42" s="386"/>
      <c r="K42" s="387"/>
      <c r="M42" s="32"/>
      <c r="N42" s="55"/>
      <c r="O42" s="390"/>
      <c r="P42" s="394"/>
      <c r="Q42" s="394"/>
      <c r="R42" s="390"/>
      <c r="S42" s="394"/>
      <c r="T42" s="394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390"/>
      <c r="AA42" s="387"/>
    </row>
    <row r="43" spans="1:27" ht="14.25">
      <c r="A43" s="20"/>
      <c r="B43" s="71" t="s">
        <v>103</v>
      </c>
      <c r="C43" s="386"/>
      <c r="D43" s="394"/>
      <c r="E43" s="387"/>
      <c r="F43" s="4"/>
      <c r="G43" s="4"/>
      <c r="H43" s="4"/>
      <c r="I43" s="4"/>
      <c r="J43" s="386"/>
      <c r="K43" s="387"/>
      <c r="M43" s="57" t="s">
        <v>43</v>
      </c>
      <c r="N43" s="24">
        <v>1</v>
      </c>
      <c r="O43" s="393" t="s">
        <v>89</v>
      </c>
      <c r="P43" s="394"/>
      <c r="Q43" s="387"/>
      <c r="R43" s="391" t="s">
        <v>93</v>
      </c>
      <c r="S43" s="410"/>
      <c r="T43" s="392"/>
      <c r="U43" s="35">
        <v>30</v>
      </c>
      <c r="V43" s="36">
        <v>0.1</v>
      </c>
      <c r="W43" s="35">
        <v>20</v>
      </c>
      <c r="X43" s="37">
        <f t="shared" ref="X43:X47" si="19">W43*U43</f>
        <v>600</v>
      </c>
      <c r="Y43" s="4">
        <v>400</v>
      </c>
      <c r="Z43" s="393" t="s">
        <v>92</v>
      </c>
      <c r="AA43" s="387"/>
    </row>
    <row r="44" spans="1:27" ht="14.25">
      <c r="A44" s="68"/>
      <c r="M44" s="25"/>
      <c r="N44" s="24">
        <v>2</v>
      </c>
      <c r="O44" s="386"/>
      <c r="P44" s="394"/>
      <c r="Q44" s="387"/>
      <c r="R44" s="386"/>
      <c r="S44" s="394"/>
      <c r="T44" s="387"/>
      <c r="U44" s="4"/>
      <c r="V44" s="14"/>
      <c r="W44" s="4"/>
      <c r="X44" s="37">
        <f t="shared" si="19"/>
        <v>0</v>
      </c>
      <c r="Y44" s="4"/>
      <c r="Z44" s="386"/>
      <c r="AA44" s="387"/>
    </row>
    <row r="45" spans="1:27" ht="14.25">
      <c r="A45" s="18"/>
      <c r="B45" s="50" t="s">
        <v>47</v>
      </c>
      <c r="C45" s="411" t="s">
        <v>12</v>
      </c>
      <c r="D45" s="394"/>
      <c r="E45" s="387"/>
      <c r="F45" s="50" t="s">
        <v>46</v>
      </c>
      <c r="G45" s="50" t="s">
        <v>48</v>
      </c>
      <c r="H45" s="50" t="s">
        <v>49</v>
      </c>
      <c r="I45" s="8" t="s">
        <v>13</v>
      </c>
      <c r="J45" s="403" t="s">
        <v>51</v>
      </c>
      <c r="K45" s="387"/>
      <c r="M45" s="25"/>
      <c r="N45" s="24">
        <v>3</v>
      </c>
      <c r="O45" s="386"/>
      <c r="P45" s="394"/>
      <c r="Q45" s="387"/>
      <c r="R45" s="386"/>
      <c r="S45" s="394"/>
      <c r="T45" s="387"/>
      <c r="U45" s="4"/>
      <c r="V45" s="14"/>
      <c r="W45" s="4"/>
      <c r="X45" s="37">
        <f t="shared" si="19"/>
        <v>0</v>
      </c>
      <c r="Y45" s="4"/>
      <c r="Z45" s="386"/>
      <c r="AA45" s="387"/>
    </row>
    <row r="46" spans="1:27" ht="14.25">
      <c r="A46" s="53" t="s">
        <v>36</v>
      </c>
      <c r="B46" s="6">
        <v>1</v>
      </c>
      <c r="C46" s="393" t="s">
        <v>82</v>
      </c>
      <c r="D46" s="394"/>
      <c r="E46" s="387"/>
      <c r="F46" s="4">
        <v>15</v>
      </c>
      <c r="G46" s="4">
        <v>1200</v>
      </c>
      <c r="H46" s="4">
        <v>80</v>
      </c>
      <c r="I46" s="4">
        <v>5</v>
      </c>
      <c r="J46" s="393" t="s">
        <v>83</v>
      </c>
      <c r="K46" s="387"/>
      <c r="M46" s="25"/>
      <c r="N46" s="24">
        <v>4</v>
      </c>
      <c r="O46" s="386"/>
      <c r="P46" s="394"/>
      <c r="Q46" s="387"/>
      <c r="R46" s="386"/>
      <c r="S46" s="394"/>
      <c r="T46" s="387"/>
      <c r="U46" s="4"/>
      <c r="V46" s="14"/>
      <c r="W46" s="4"/>
      <c r="X46" s="37">
        <f t="shared" si="19"/>
        <v>0</v>
      </c>
      <c r="Y46" s="4"/>
      <c r="Z46" s="386"/>
      <c r="AA46" s="387"/>
    </row>
    <row r="47" spans="1:27" ht="14.25">
      <c r="A47" s="23"/>
      <c r="B47" s="6">
        <v>2</v>
      </c>
      <c r="C47" s="386"/>
      <c r="D47" s="394"/>
      <c r="E47" s="387"/>
      <c r="F47" s="4"/>
      <c r="G47" s="4"/>
      <c r="H47" s="4"/>
      <c r="I47" s="4"/>
      <c r="J47" s="386"/>
      <c r="K47" s="387"/>
      <c r="M47" s="25"/>
      <c r="N47" s="29">
        <v>5</v>
      </c>
      <c r="O47" s="386"/>
      <c r="P47" s="394"/>
      <c r="Q47" s="387"/>
      <c r="R47" s="386"/>
      <c r="S47" s="394"/>
      <c r="T47" s="387"/>
      <c r="U47" s="27"/>
      <c r="V47" s="30"/>
      <c r="W47" s="27"/>
      <c r="X47" s="40">
        <f t="shared" si="19"/>
        <v>0</v>
      </c>
      <c r="Y47" s="4"/>
      <c r="Z47" s="386"/>
      <c r="AA47" s="387"/>
    </row>
    <row r="48" spans="1:27" ht="14.25">
      <c r="A48" s="23"/>
      <c r="B48" s="6">
        <v>3</v>
      </c>
      <c r="C48" s="386"/>
      <c r="D48" s="394"/>
      <c r="E48" s="387"/>
      <c r="F48" s="4"/>
      <c r="G48" s="4"/>
      <c r="H48" s="4"/>
      <c r="I48" s="4"/>
      <c r="J48" s="386"/>
      <c r="K48" s="387"/>
      <c r="M48" s="69"/>
      <c r="N48" s="45"/>
      <c r="O48" s="390"/>
      <c r="P48" s="394"/>
      <c r="Q48" s="394"/>
      <c r="R48" s="390"/>
      <c r="S48" s="394"/>
      <c r="T48" s="394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390"/>
      <c r="AA48" s="387"/>
    </row>
    <row r="49" spans="1:27" ht="14.25">
      <c r="A49" s="23"/>
      <c r="B49" s="6">
        <v>4</v>
      </c>
      <c r="C49" s="386"/>
      <c r="D49" s="394"/>
      <c r="E49" s="387"/>
      <c r="F49" s="4"/>
      <c r="G49" s="4"/>
      <c r="H49" s="4"/>
      <c r="I49" s="4"/>
      <c r="J49" s="386"/>
      <c r="K49" s="387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388"/>
      <c r="D50" s="395"/>
      <c r="E50" s="389"/>
      <c r="F50" s="27"/>
      <c r="G50" s="27"/>
      <c r="H50" s="27"/>
      <c r="I50" s="27"/>
      <c r="J50" s="388"/>
      <c r="K50" s="389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396" t="s">
        <v>89</v>
      </c>
      <c r="D51" s="397"/>
      <c r="E51" s="398"/>
      <c r="F51" s="28">
        <v>18</v>
      </c>
      <c r="G51" s="28">
        <v>800</v>
      </c>
      <c r="H51" s="28">
        <v>44.44</v>
      </c>
      <c r="I51" s="28">
        <v>-15</v>
      </c>
      <c r="J51" s="396" t="s">
        <v>84</v>
      </c>
      <c r="K51" s="398"/>
      <c r="M51" s="8"/>
      <c r="N51" s="8" t="s">
        <v>18</v>
      </c>
      <c r="O51" s="399" t="s">
        <v>12</v>
      </c>
      <c r="P51" s="390"/>
      <c r="Q51" s="400"/>
      <c r="R51" s="405" t="s">
        <v>53</v>
      </c>
      <c r="S51" s="406"/>
      <c r="T51" s="407"/>
      <c r="U51" s="58" t="s">
        <v>54</v>
      </c>
      <c r="V51" s="39" t="s">
        <v>19</v>
      </c>
      <c r="W51" s="58" t="s">
        <v>57</v>
      </c>
      <c r="X51" s="8" t="s">
        <v>2</v>
      </c>
      <c r="Y51" s="399" t="s">
        <v>50</v>
      </c>
      <c r="Z51" s="390"/>
      <c r="AA51" s="400"/>
    </row>
    <row r="52" spans="1:27" ht="14.25">
      <c r="A52" s="23"/>
      <c r="B52" s="71" t="s">
        <v>102</v>
      </c>
      <c r="C52" s="386"/>
      <c r="D52" s="394"/>
      <c r="E52" s="387"/>
      <c r="F52" s="4"/>
      <c r="G52" s="4"/>
      <c r="H52" s="4"/>
      <c r="I52" s="4"/>
      <c r="J52" s="386"/>
      <c r="K52" s="387"/>
      <c r="M52" s="57" t="s">
        <v>42</v>
      </c>
      <c r="N52" s="24">
        <v>1</v>
      </c>
      <c r="O52" s="393" t="s">
        <v>89</v>
      </c>
      <c r="P52" s="394"/>
      <c r="Q52" s="387"/>
      <c r="R52" s="391" t="s">
        <v>93</v>
      </c>
      <c r="S52" s="410"/>
      <c r="T52" s="392"/>
      <c r="U52" s="4">
        <v>30</v>
      </c>
      <c r="V52" s="14">
        <v>0.62</v>
      </c>
      <c r="W52" s="14">
        <v>0.57999999999999996</v>
      </c>
      <c r="X52" s="13">
        <f t="shared" ref="X52:X55" si="20">W52-V52</f>
        <v>-4.0000000000000036E-2</v>
      </c>
      <c r="Y52" s="393" t="s">
        <v>97</v>
      </c>
      <c r="Z52" s="394"/>
      <c r="AA52" s="387"/>
    </row>
    <row r="53" spans="1:27" ht="14.25">
      <c r="A53" s="23"/>
      <c r="B53" s="71" t="s">
        <v>100</v>
      </c>
      <c r="C53" s="386"/>
      <c r="D53" s="394"/>
      <c r="E53" s="387"/>
      <c r="F53" s="4"/>
      <c r="G53" s="4"/>
      <c r="H53" s="4"/>
      <c r="I53" s="4"/>
      <c r="J53" s="386"/>
      <c r="K53" s="387"/>
      <c r="M53" s="25"/>
      <c r="N53" s="29">
        <v>2</v>
      </c>
      <c r="O53" s="388"/>
      <c r="P53" s="395"/>
      <c r="Q53" s="389"/>
      <c r="R53" s="388"/>
      <c r="S53" s="395"/>
      <c r="T53" s="389"/>
      <c r="U53" s="27"/>
      <c r="V53" s="30"/>
      <c r="W53" s="30"/>
      <c r="X53" s="41">
        <f t="shared" si="20"/>
        <v>0</v>
      </c>
      <c r="Y53" s="388"/>
      <c r="Z53" s="395"/>
      <c r="AA53" s="389"/>
    </row>
    <row r="54" spans="1:27" ht="14.25">
      <c r="A54" s="23"/>
      <c r="B54" s="71" t="s">
        <v>99</v>
      </c>
      <c r="C54" s="386"/>
      <c r="D54" s="394"/>
      <c r="E54" s="387"/>
      <c r="F54" s="4"/>
      <c r="G54" s="4"/>
      <c r="H54" s="4"/>
      <c r="I54" s="4"/>
      <c r="J54" s="386"/>
      <c r="K54" s="387"/>
      <c r="M54" s="57" t="s">
        <v>43</v>
      </c>
      <c r="N54" s="42">
        <v>1</v>
      </c>
      <c r="O54" s="396" t="s">
        <v>94</v>
      </c>
      <c r="P54" s="397"/>
      <c r="Q54" s="398"/>
      <c r="R54" s="396" t="s">
        <v>95</v>
      </c>
      <c r="S54" s="397"/>
      <c r="T54" s="398"/>
      <c r="U54" s="28">
        <v>20</v>
      </c>
      <c r="V54" s="43">
        <v>0.9</v>
      </c>
      <c r="W54" s="43">
        <v>0.82</v>
      </c>
      <c r="X54" s="44">
        <f t="shared" si="20"/>
        <v>-8.0000000000000071E-2</v>
      </c>
      <c r="Y54" s="396" t="s">
        <v>96</v>
      </c>
      <c r="Z54" s="397"/>
      <c r="AA54" s="398"/>
    </row>
    <row r="55" spans="1:27" ht="14.25">
      <c r="A55" s="20"/>
      <c r="B55" s="71" t="s">
        <v>103</v>
      </c>
      <c r="C55" s="386"/>
      <c r="D55" s="394"/>
      <c r="E55" s="387"/>
      <c r="F55" s="4"/>
      <c r="G55" s="4"/>
      <c r="H55" s="4"/>
      <c r="I55" s="4"/>
      <c r="J55" s="386"/>
      <c r="K55" s="387"/>
      <c r="M55" s="22"/>
      <c r="N55" s="24">
        <v>2</v>
      </c>
      <c r="O55" s="386"/>
      <c r="P55" s="394"/>
      <c r="Q55" s="387"/>
      <c r="R55" s="386"/>
      <c r="S55" s="394"/>
      <c r="T55" s="387"/>
      <c r="U55" s="4"/>
      <c r="V55" s="14"/>
      <c r="W55" s="14"/>
      <c r="X55" s="13">
        <f t="shared" si="20"/>
        <v>0</v>
      </c>
      <c r="Y55" s="386"/>
      <c r="Z55" s="394"/>
      <c r="AA55" s="387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6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G29" sqref="G29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413" t="s">
        <v>514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120"/>
    </row>
    <row r="2" spans="1:12" s="121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</row>
    <row r="3" spans="1:12" ht="21.6" customHeight="1">
      <c r="A3" s="140" t="s">
        <v>374</v>
      </c>
      <c r="B3" s="141">
        <v>9</v>
      </c>
      <c r="C3" s="140" t="s">
        <v>20</v>
      </c>
      <c r="D3" s="414" t="s">
        <v>513</v>
      </c>
      <c r="E3" s="414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205</v>
      </c>
      <c r="B4" s="134"/>
      <c r="C4" s="134"/>
      <c r="D4" s="134"/>
      <c r="E4" s="124" t="s">
        <v>23</v>
      </c>
      <c r="F4" s="134"/>
      <c r="G4" s="135" t="s">
        <v>132</v>
      </c>
      <c r="H4" s="134"/>
      <c r="I4" s="134"/>
      <c r="J4" s="134"/>
      <c r="K4" s="134"/>
    </row>
    <row r="5" spans="1:12" s="126" customFormat="1" ht="15.75" customHeight="1">
      <c r="A5" s="147" t="s">
        <v>207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207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'（１）收支狀況'!H5/1000</f>
        <v>94650.512000000002</v>
      </c>
      <c r="C6" s="329">
        <v>212376.15</v>
      </c>
      <c r="D6" s="143">
        <f t="shared" ref="D6:D11" si="0">B6-C6</f>
        <v>-117725.63799999999</v>
      </c>
      <c r="E6" s="143">
        <f>B6</f>
        <v>94650.512000000002</v>
      </c>
      <c r="F6" s="134"/>
      <c r="G6" s="129" t="s">
        <v>208</v>
      </c>
      <c r="H6" s="332">
        <v>266</v>
      </c>
      <c r="I6" s="145">
        <f>'（２）ＫＰＩ達成進度'!H5</f>
        <v>336.69624227210886</v>
      </c>
      <c r="J6" s="362">
        <v>331.32088360675885</v>
      </c>
      <c r="K6" s="145">
        <f>I6</f>
        <v>336.69624227210886</v>
      </c>
      <c r="L6" s="123" t="s">
        <v>204</v>
      </c>
    </row>
    <row r="7" spans="1:12" s="122" customFormat="1" ht="18" customHeight="1">
      <c r="A7" s="129" t="s">
        <v>25</v>
      </c>
      <c r="B7" s="143">
        <f>'（４）訂單數量構成比'!H7</f>
        <v>6558055</v>
      </c>
      <c r="C7" s="329">
        <v>6558055</v>
      </c>
      <c r="D7" s="143">
        <f t="shared" si="0"/>
        <v>0</v>
      </c>
      <c r="E7" s="143">
        <f t="shared" ref="E7:E11" si="1">B7</f>
        <v>6558055</v>
      </c>
      <c r="F7" s="134"/>
      <c r="G7" s="129" t="s">
        <v>209</v>
      </c>
      <c r="H7" s="293">
        <v>0.8</v>
      </c>
      <c r="I7" s="144">
        <f>'（２）ＫＰＩ達成進度'!K5</f>
        <v>0.91993508817516056</v>
      </c>
      <c r="J7" s="330">
        <v>0.90524831586546117</v>
      </c>
      <c r="K7" s="144">
        <f t="shared" ref="K7:K11" si="2">I7</f>
        <v>0.91993508817516056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'（１）收支狀況'!N5/1000</f>
        <v>62190.404999999999</v>
      </c>
      <c r="C8" s="329">
        <v>139088.163</v>
      </c>
      <c r="D8" s="143">
        <f>B8-C8</f>
        <v>-76897.758000000002</v>
      </c>
      <c r="E8" s="143">
        <f t="shared" si="1"/>
        <v>62190.404999999999</v>
      </c>
      <c r="F8" s="134"/>
      <c r="G8" s="129" t="s">
        <v>210</v>
      </c>
      <c r="H8" s="286">
        <v>2.5000000000000001E-3</v>
      </c>
      <c r="I8" s="286">
        <f>'（２）ＫＰＩ達成進度'!N5</f>
        <v>2.463089110792981E-3</v>
      </c>
      <c r="J8" s="363">
        <v>2.4946244239327812E-3</v>
      </c>
      <c r="K8" s="286">
        <f t="shared" si="2"/>
        <v>2.463089110792981E-3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'（１）收支狀況'!Q5</f>
        <v>0.65705302259748999</v>
      </c>
      <c r="C9" s="330">
        <v>0.6549142311883891</v>
      </c>
      <c r="D9" s="144">
        <f t="shared" si="0"/>
        <v>2.138791409100893E-3</v>
      </c>
      <c r="E9" s="144">
        <f t="shared" si="1"/>
        <v>0.65705302259748999</v>
      </c>
      <c r="F9" s="134"/>
      <c r="G9" s="129" t="s">
        <v>211</v>
      </c>
      <c r="H9" s="286">
        <v>2.5999999999999999E-3</v>
      </c>
      <c r="I9" s="286">
        <f>'（２）ＫＰＩ達成進度'!Q5</f>
        <v>2.5032418392086039E-3</v>
      </c>
      <c r="J9" s="363">
        <v>2.3789152192140828E-3</v>
      </c>
      <c r="K9" s="286">
        <f t="shared" si="2"/>
        <v>2.5032418392086039E-3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'（１）收支狀況'!T5/1000</f>
        <v>13405.609393387098</v>
      </c>
      <c r="C10" s="329">
        <v>30146.176500666668</v>
      </c>
      <c r="D10" s="143">
        <f t="shared" si="0"/>
        <v>-16740.56710727957</v>
      </c>
      <c r="E10" s="143">
        <f t="shared" si="1"/>
        <v>13405.609393387098</v>
      </c>
      <c r="F10" s="134"/>
      <c r="G10" s="129" t="s">
        <v>212</v>
      </c>
      <c r="H10" s="288">
        <v>0.8</v>
      </c>
      <c r="I10" s="288">
        <f>'（２）ＫＰＩ達成進度'!T5</f>
        <v>0.91666666666666641</v>
      </c>
      <c r="J10" s="364">
        <v>0.91666666666666707</v>
      </c>
      <c r="K10" s="288">
        <f t="shared" si="2"/>
        <v>0.91666666666666641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'（１）收支狀況'!W5</f>
        <v>0.14163271925446211</v>
      </c>
      <c r="C11" s="330">
        <v>0.14194709010718326</v>
      </c>
      <c r="D11" s="144">
        <f t="shared" si="0"/>
        <v>-3.1437085272115195E-4</v>
      </c>
      <c r="E11" s="144">
        <f t="shared" si="1"/>
        <v>0.14163271925446211</v>
      </c>
      <c r="F11" s="134"/>
      <c r="G11" s="129" t="s">
        <v>213</v>
      </c>
      <c r="H11" s="288">
        <v>1</v>
      </c>
      <c r="I11" s="144">
        <f>'（２）ＫＰＩ達成進度'!W5</f>
        <v>0.72278571428571425</v>
      </c>
      <c r="J11" s="330">
        <v>0.67912903225806442</v>
      </c>
      <c r="K11" s="144">
        <f t="shared" si="2"/>
        <v>0.72278571428571425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155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240</v>
      </c>
      <c r="B15" s="143" t="e">
        <f>'（３）業績構成比'!#REF!/1000</f>
        <v>#REF!</v>
      </c>
      <c r="C15" s="144" t="str">
        <f>IFERROR(B15/$B$6,"")</f>
        <v/>
      </c>
      <c r="D15" s="330">
        <v>0.19048549479871965</v>
      </c>
      <c r="E15" s="144" t="str">
        <f>IFERROR(C15-D15,"")</f>
        <v/>
      </c>
      <c r="F15" s="134"/>
      <c r="G15" s="129" t="s">
        <v>245</v>
      </c>
      <c r="H15" s="143" t="e">
        <f>'（４）訂單數量構成比'!#REF!</f>
        <v>#REF!</v>
      </c>
      <c r="I15" s="144" t="str">
        <f t="shared" ref="I15:I23" si="3">IFERROR(H15/$B$7,"")</f>
        <v/>
      </c>
      <c r="J15" s="330">
        <v>0.3319345446172684</v>
      </c>
      <c r="K15" s="144" t="str">
        <f t="shared" ref="K15:K23" si="4">IFERROR(I15-J15,"")</f>
        <v/>
      </c>
    </row>
    <row r="16" spans="1:12" s="122" customFormat="1" ht="18" customHeight="1">
      <c r="A16" s="129" t="s">
        <v>235</v>
      </c>
      <c r="B16" s="143" t="e">
        <f>'（３）業績構成比'!#REF!/1000</f>
        <v>#REF!</v>
      </c>
      <c r="C16" s="144" t="str">
        <f t="shared" ref="C16:C23" si="5">IFERROR(B16/$B$6,"")</f>
        <v/>
      </c>
      <c r="D16" s="330">
        <v>4.0020750239819727E-2</v>
      </c>
      <c r="E16" s="144" t="str">
        <f t="shared" ref="E16:E23" si="6">IFERROR(C16-D16,"")</f>
        <v/>
      </c>
      <c r="F16" s="134"/>
      <c r="G16" s="129" t="s">
        <v>300</v>
      </c>
      <c r="H16" s="143" t="e">
        <f>'（４）訂單數量構成比'!#REF!</f>
        <v>#REF!</v>
      </c>
      <c r="I16" s="144" t="str">
        <f t="shared" si="3"/>
        <v/>
      </c>
      <c r="J16" s="330">
        <v>5.0408543386720607E-2</v>
      </c>
      <c r="K16" s="144" t="str">
        <f t="shared" si="4"/>
        <v/>
      </c>
    </row>
    <row r="17" spans="1:18" s="122" customFormat="1" ht="18" customHeight="1">
      <c r="A17" s="129" t="s">
        <v>231</v>
      </c>
      <c r="B17" s="143" t="e">
        <f>'（３）業績構成比'!#REF!/1000</f>
        <v>#REF!</v>
      </c>
      <c r="C17" s="144" t="str">
        <f t="shared" si="5"/>
        <v/>
      </c>
      <c r="D17" s="330">
        <v>9.8025494354577192E-2</v>
      </c>
      <c r="E17" s="144" t="str">
        <f t="shared" si="6"/>
        <v/>
      </c>
      <c r="F17" s="134"/>
      <c r="G17" s="129" t="s">
        <v>246</v>
      </c>
      <c r="H17" s="143" t="e">
        <f>'（４）訂單數量構成比'!#REF!</f>
        <v>#REF!</v>
      </c>
      <c r="I17" s="144" t="str">
        <f t="shared" si="3"/>
        <v/>
      </c>
      <c r="J17" s="330">
        <v>9.7549349616616515E-2</v>
      </c>
      <c r="K17" s="144" t="str">
        <f t="shared" si="4"/>
        <v/>
      </c>
    </row>
    <row r="18" spans="1:18" s="122" customFormat="1" ht="18" customHeight="1">
      <c r="A18" s="129" t="s">
        <v>233</v>
      </c>
      <c r="B18" s="143" t="e">
        <f>'（３）業績構成比'!#REF!/1000</f>
        <v>#REF!</v>
      </c>
      <c r="C18" s="144" t="str">
        <f t="shared" si="5"/>
        <v/>
      </c>
      <c r="D18" s="330">
        <v>2.3157870783418926E-3</v>
      </c>
      <c r="E18" s="144" t="str">
        <f t="shared" si="6"/>
        <v/>
      </c>
      <c r="F18" s="134"/>
      <c r="G18" s="129" t="s">
        <v>232</v>
      </c>
      <c r="H18" s="143" t="e">
        <f>'（４）訂單數量構成比'!#REF!</f>
        <v>#REF!</v>
      </c>
      <c r="I18" s="144" t="str">
        <f t="shared" si="3"/>
        <v/>
      </c>
      <c r="J18" s="330">
        <v>2.7738407195426083E-3</v>
      </c>
      <c r="K18" s="144" t="str">
        <f t="shared" si="4"/>
        <v/>
      </c>
    </row>
    <row r="19" spans="1:18" s="122" customFormat="1" ht="18" customHeight="1">
      <c r="A19" s="129" t="s">
        <v>237</v>
      </c>
      <c r="B19" s="143" t="e">
        <f>'（３）業績構成比'!#REF!/1000</f>
        <v>#REF!</v>
      </c>
      <c r="C19" s="144" t="str">
        <f t="shared" si="5"/>
        <v/>
      </c>
      <c r="D19" s="330">
        <v>0.26645165188277636</v>
      </c>
      <c r="E19" s="144" t="str">
        <f t="shared" si="6"/>
        <v/>
      </c>
      <c r="F19" s="134"/>
      <c r="G19" s="129" t="s">
        <v>236</v>
      </c>
      <c r="H19" s="143" t="e">
        <f>'（４）訂單數量構成比'!#REF!</f>
        <v>#REF!</v>
      </c>
      <c r="I19" s="144" t="str">
        <f t="shared" si="3"/>
        <v/>
      </c>
      <c r="J19" s="330">
        <v>0.2096606387107153</v>
      </c>
      <c r="K19" s="144" t="str">
        <f t="shared" si="4"/>
        <v/>
      </c>
    </row>
    <row r="20" spans="1:18" s="122" customFormat="1" ht="18" customHeight="1">
      <c r="A20" s="129" t="s">
        <v>239</v>
      </c>
      <c r="B20" s="143" t="e">
        <f>'（３）業績構成比'!#REF!/1000</f>
        <v>#REF!</v>
      </c>
      <c r="C20" s="144" t="str">
        <f t="shared" si="5"/>
        <v/>
      </c>
      <c r="D20" s="330">
        <v>0.11880394760612771</v>
      </c>
      <c r="E20" s="144" t="str">
        <f t="shared" si="6"/>
        <v/>
      </c>
      <c r="F20" s="134"/>
      <c r="G20" s="129" t="s">
        <v>238</v>
      </c>
      <c r="H20" s="143" t="e">
        <f>'（４）訂單數量構成比'!#REF!</f>
        <v>#REF!</v>
      </c>
      <c r="I20" s="144" t="str">
        <f t="shared" si="3"/>
        <v/>
      </c>
      <c r="J20" s="330">
        <v>6.9473342324820386E-2</v>
      </c>
      <c r="K20" s="144" t="str">
        <f t="shared" si="4"/>
        <v/>
      </c>
    </row>
    <row r="21" spans="1:18" s="122" customFormat="1" ht="18" customHeight="1">
      <c r="A21" s="129" t="s">
        <v>241</v>
      </c>
      <c r="B21" s="143" t="e">
        <f>'（３）業績構成比'!#REF!/1000</f>
        <v>#REF!</v>
      </c>
      <c r="C21" s="144" t="str">
        <f t="shared" ref="C21" si="7">IFERROR(B21/$B$6,"")</f>
        <v/>
      </c>
      <c r="D21" s="330">
        <v>0.13107603010243102</v>
      </c>
      <c r="E21" s="144" t="str">
        <f t="shared" ref="E21" si="8">IFERROR(C21-D21,"")</f>
        <v/>
      </c>
      <c r="F21" s="134"/>
      <c r="G21" s="129" t="s">
        <v>247</v>
      </c>
      <c r="H21" s="143" t="e">
        <f>'（４）訂單數量構成比'!#REF!</f>
        <v>#REF!</v>
      </c>
      <c r="I21" s="144" t="str">
        <f t="shared" ref="I21" si="9">IFERROR(H21/$B$7,"")</f>
        <v/>
      </c>
      <c r="J21" s="330">
        <v>8.7948484726035392E-2</v>
      </c>
      <c r="K21" s="144" t="str">
        <f t="shared" ref="K21" si="10">IFERROR(I21-J21,"")</f>
        <v/>
      </c>
    </row>
    <row r="22" spans="1:18" s="122" customFormat="1" ht="18" customHeight="1">
      <c r="A22" s="129" t="s">
        <v>242</v>
      </c>
      <c r="B22" s="143" t="e">
        <f>'（３）業績構成比'!#REF!/1000</f>
        <v>#REF!</v>
      </c>
      <c r="C22" s="144" t="str">
        <f t="shared" si="5"/>
        <v/>
      </c>
      <c r="D22" s="330">
        <v>9.1535407774179067E-2</v>
      </c>
      <c r="E22" s="144" t="str">
        <f t="shared" si="6"/>
        <v/>
      </c>
      <c r="F22" s="134"/>
      <c r="G22" s="129" t="s">
        <v>248</v>
      </c>
      <c r="H22" s="143" t="e">
        <f>'（４）訂單數量構成比'!#REF!</f>
        <v>#REF!</v>
      </c>
      <c r="I22" s="144" t="str">
        <f t="shared" si="3"/>
        <v/>
      </c>
      <c r="J22" s="330">
        <v>7.9981640898101641E-2</v>
      </c>
      <c r="K22" s="144" t="str">
        <f t="shared" si="4"/>
        <v/>
      </c>
    </row>
    <row r="23" spans="1:18" s="122" customFormat="1" ht="18" customHeight="1">
      <c r="A23" s="129" t="s">
        <v>244</v>
      </c>
      <c r="B23" s="143" t="e">
        <f>'（３）業績構成比'!#REF!/1000</f>
        <v>#REF!</v>
      </c>
      <c r="C23" s="144" t="str">
        <f t="shared" si="5"/>
        <v/>
      </c>
      <c r="D23" s="330">
        <v>6.1285436163027458E-2</v>
      </c>
      <c r="E23" s="144" t="str">
        <f t="shared" si="6"/>
        <v/>
      </c>
      <c r="F23" s="134"/>
      <c r="G23" s="129" t="s">
        <v>243</v>
      </c>
      <c r="H23" s="143" t="e">
        <f>'（４）訂單數量構成比'!#REF!</f>
        <v>#REF!</v>
      </c>
      <c r="I23" s="144" t="str">
        <f t="shared" si="3"/>
        <v/>
      </c>
      <c r="J23" s="330">
        <v>7.026961500017917E-2</v>
      </c>
      <c r="K23" s="144" t="str">
        <f t="shared" si="4"/>
        <v/>
      </c>
    </row>
    <row r="24" spans="1:18" s="122" customFormat="1" ht="15.75" customHeight="1">
      <c r="A24" s="134"/>
      <c r="B24" s="134"/>
      <c r="C24" s="138">
        <f t="shared" ref="C24:D24" si="11">SUM(C15:C23)</f>
        <v>0</v>
      </c>
      <c r="D24" s="138">
        <f t="shared" si="11"/>
        <v>1</v>
      </c>
      <c r="E24" s="134"/>
      <c r="F24" s="134"/>
      <c r="G24" s="134"/>
      <c r="H24" s="134"/>
      <c r="I24" s="138">
        <f t="shared" ref="I24:J24" si="12">SUM(I15:I23)</f>
        <v>0</v>
      </c>
      <c r="J24" s="138">
        <f t="shared" si="12"/>
        <v>1.0000000000000002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206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195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760</v>
      </c>
      <c r="N27" s="136" t="s">
        <v>761</v>
      </c>
      <c r="O27" s="136" t="s">
        <v>762</v>
      </c>
      <c r="P27" s="136" t="s">
        <v>763</v>
      </c>
      <c r="Q27" s="136" t="s">
        <v>764</v>
      </c>
      <c r="R27" s="134"/>
    </row>
    <row r="28" spans="1:18" s="122" customFormat="1" ht="18" customHeight="1">
      <c r="A28" s="129" t="s">
        <v>245</v>
      </c>
      <c r="B28" s="331">
        <f>'（５-1）品群別人時生產性（18℃-飯糰）'!$C$1</f>
        <v>714.00069579528508</v>
      </c>
      <c r="C28" s="331">
        <v>717.52753492795955</v>
      </c>
      <c r="D28" s="279">
        <f t="shared" ref="D28:D36" si="13">B28-C28</f>
        <v>-3.5268391326744677</v>
      </c>
      <c r="E28" s="331">
        <f>R28</f>
        <v>715.76411536162232</v>
      </c>
      <c r="F28" s="134"/>
      <c r="G28" s="148"/>
      <c r="H28" s="148"/>
      <c r="I28" s="148"/>
      <c r="M28" s="331">
        <v>717.52753492795955</v>
      </c>
      <c r="N28" s="331">
        <f>B28</f>
        <v>714.00069579528508</v>
      </c>
      <c r="O28" s="331"/>
      <c r="P28" s="331"/>
      <c r="Q28" s="331"/>
      <c r="R28" s="365">
        <f>AVERAGE(M28:Q28)</f>
        <v>715.76411536162232</v>
      </c>
    </row>
    <row r="29" spans="1:18" s="122" customFormat="1" ht="18" customHeight="1">
      <c r="A29" s="129" t="s">
        <v>234</v>
      </c>
      <c r="B29" s="331">
        <f>'（５-2）品群別人時生產性（18-壽司手卷)'!$C$1</f>
        <v>203.29611575395774</v>
      </c>
      <c r="C29" s="331">
        <v>197.63271688630809</v>
      </c>
      <c r="D29" s="279">
        <f t="shared" si="13"/>
        <v>5.6633988676496472</v>
      </c>
      <c r="E29" s="331">
        <f t="shared" ref="E29:E36" si="14">R29</f>
        <v>200.4644163201329</v>
      </c>
      <c r="F29" s="134"/>
      <c r="G29" s="150"/>
      <c r="H29" s="150"/>
      <c r="I29" s="150"/>
      <c r="M29" s="331">
        <v>197.63271688630809</v>
      </c>
      <c r="N29" s="331">
        <f t="shared" ref="N29:N36" si="15">B29</f>
        <v>203.29611575395774</v>
      </c>
      <c r="O29" s="331"/>
      <c r="P29" s="331"/>
      <c r="Q29" s="331"/>
      <c r="R29" s="365">
        <f t="shared" ref="R29:R36" si="16">AVERAGE(M29:Q29)</f>
        <v>200.4644163201329</v>
      </c>
    </row>
    <row r="30" spans="1:18" s="122" customFormat="1" ht="18" customHeight="1">
      <c r="A30" s="129" t="s">
        <v>246</v>
      </c>
      <c r="B30" s="331">
        <f>'（５-3）品群別人時生產性（4℃-飯糰)'!$C$1</f>
        <v>254.18662941081439</v>
      </c>
      <c r="C30" s="331">
        <v>240.45857137830325</v>
      </c>
      <c r="D30" s="279">
        <f t="shared" si="13"/>
        <v>13.728058032511143</v>
      </c>
      <c r="E30" s="331">
        <f t="shared" si="14"/>
        <v>247.32260039455883</v>
      </c>
      <c r="F30" s="134"/>
      <c r="G30" s="134"/>
      <c r="H30" s="134"/>
      <c r="I30" s="134"/>
      <c r="M30" s="331">
        <v>240.45857137830325</v>
      </c>
      <c r="N30" s="331">
        <f t="shared" si="15"/>
        <v>254.18662941081439</v>
      </c>
      <c r="O30" s="331"/>
      <c r="P30" s="331"/>
      <c r="Q30" s="331"/>
      <c r="R30" s="365">
        <f t="shared" si="16"/>
        <v>247.32260039455883</v>
      </c>
    </row>
    <row r="31" spans="1:18" s="122" customFormat="1" ht="18" customHeight="1">
      <c r="A31" s="129" t="s">
        <v>232</v>
      </c>
      <c r="B31" s="331">
        <f>'（５-4）品群別人時生產性（4℃-壽司手卷)'!$C$1</f>
        <v>104.02417582417574</v>
      </c>
      <c r="C31" s="331">
        <v>106.86512290813759</v>
      </c>
      <c r="D31" s="279">
        <f t="shared" si="13"/>
        <v>-2.8409470839618507</v>
      </c>
      <c r="E31" s="331">
        <f t="shared" si="14"/>
        <v>105.44464936615667</v>
      </c>
      <c r="F31" s="134"/>
      <c r="G31" s="134"/>
      <c r="H31" s="134"/>
      <c r="I31" s="134"/>
      <c r="M31" s="331">
        <v>106.86512290813759</v>
      </c>
      <c r="N31" s="331">
        <f t="shared" si="15"/>
        <v>104.02417582417574</v>
      </c>
      <c r="O31" s="331"/>
      <c r="P31" s="331"/>
      <c r="Q31" s="331"/>
      <c r="R31" s="365">
        <f t="shared" si="16"/>
        <v>105.44464936615667</v>
      </c>
    </row>
    <row r="32" spans="1:18" s="122" customFormat="1" ht="18" customHeight="1">
      <c r="A32" s="129" t="s">
        <v>236</v>
      </c>
      <c r="B32" s="331">
        <f>'（５-5）品群別人時生產性(主食) '!$C$1</f>
        <v>92.295595674215804</v>
      </c>
      <c r="C32" s="331">
        <v>89.310428404733287</v>
      </c>
      <c r="D32" s="279">
        <f t="shared" si="13"/>
        <v>2.9851672694825169</v>
      </c>
      <c r="E32" s="331">
        <f t="shared" si="14"/>
        <v>90.803012039474538</v>
      </c>
      <c r="F32" s="134"/>
      <c r="G32" s="134"/>
      <c r="H32" s="134"/>
      <c r="I32" s="134"/>
      <c r="M32" s="331">
        <v>89.310428404733287</v>
      </c>
      <c r="N32" s="331">
        <f t="shared" si="15"/>
        <v>92.295595674215804</v>
      </c>
      <c r="O32" s="331"/>
      <c r="P32" s="331"/>
      <c r="Q32" s="331"/>
      <c r="R32" s="365">
        <f t="shared" si="16"/>
        <v>90.803012039474538</v>
      </c>
    </row>
    <row r="33" spans="1:18" s="122" customFormat="1" ht="18" customHeight="1">
      <c r="A33" s="129" t="s">
        <v>238</v>
      </c>
      <c r="B33" s="331">
        <f>'（５-6）品群別人時生產性(便當)'!$C$1</f>
        <v>66.363330795209265</v>
      </c>
      <c r="C33" s="331">
        <v>65.67274245927976</v>
      </c>
      <c r="D33" s="279">
        <f t="shared" si="13"/>
        <v>0.69058833592950464</v>
      </c>
      <c r="E33" s="331">
        <f t="shared" si="14"/>
        <v>66.018036627244513</v>
      </c>
      <c r="F33" s="134"/>
      <c r="G33" s="134"/>
      <c r="H33" s="134"/>
      <c r="I33" s="134"/>
      <c r="M33" s="331">
        <v>65.67274245927976</v>
      </c>
      <c r="N33" s="331">
        <f t="shared" si="15"/>
        <v>66.363330795209265</v>
      </c>
      <c r="O33" s="331"/>
      <c r="P33" s="331"/>
      <c r="Q33" s="331"/>
      <c r="R33" s="365">
        <f t="shared" si="16"/>
        <v>66.018036627244513</v>
      </c>
    </row>
    <row r="34" spans="1:18" s="122" customFormat="1" ht="18" customHeight="1">
      <c r="A34" s="129" t="s">
        <v>247</v>
      </c>
      <c r="B34" s="331">
        <f>'（５-7）品群別人時生產性(熱食義麵) '!$C$1</f>
        <v>87.692998777548084</v>
      </c>
      <c r="C34" s="331">
        <v>75.478569021952779</v>
      </c>
      <c r="D34" s="279">
        <f t="shared" si="13"/>
        <v>12.214429755595305</v>
      </c>
      <c r="E34" s="331">
        <f t="shared" si="14"/>
        <v>81.585783899750425</v>
      </c>
      <c r="F34" s="134"/>
      <c r="G34" s="134"/>
      <c r="H34" s="134"/>
      <c r="I34" s="134"/>
      <c r="M34" s="331">
        <v>75.478569021952779</v>
      </c>
      <c r="N34" s="331">
        <f t="shared" si="15"/>
        <v>87.692998777548084</v>
      </c>
      <c r="O34" s="331"/>
      <c r="P34" s="331"/>
      <c r="Q34" s="331"/>
      <c r="R34" s="365">
        <f t="shared" si="16"/>
        <v>81.585783899750425</v>
      </c>
    </row>
    <row r="35" spans="1:18" s="122" customFormat="1" ht="18" customHeight="1">
      <c r="A35" s="129" t="s">
        <v>248</v>
      </c>
      <c r="B35" s="331">
        <f>'（５-8）品群別人時生產性(季節調理麵) '!$C$1</f>
        <v>117.17190042663185</v>
      </c>
      <c r="C35" s="331">
        <v>114.50557202660302</v>
      </c>
      <c r="D35" s="279">
        <f t="shared" si="13"/>
        <v>2.6663284000288314</v>
      </c>
      <c r="E35" s="331">
        <f t="shared" si="14"/>
        <v>115.83873622661744</v>
      </c>
      <c r="F35" s="134"/>
      <c r="G35" s="134"/>
      <c r="H35" s="134"/>
      <c r="I35" s="134"/>
      <c r="M35" s="331">
        <v>114.50557202660302</v>
      </c>
      <c r="N35" s="331">
        <f t="shared" si="15"/>
        <v>117.17190042663185</v>
      </c>
      <c r="O35" s="331"/>
      <c r="P35" s="331"/>
      <c r="Q35" s="331"/>
      <c r="R35" s="365">
        <f t="shared" si="16"/>
        <v>115.83873622661744</v>
      </c>
    </row>
    <row r="36" spans="1:18" s="122" customFormat="1" ht="18" customHeight="1">
      <c r="A36" s="125" t="s">
        <v>243</v>
      </c>
      <c r="B36" s="331">
        <f>'（５-9）品群別人時生產性(微波小吃)'!$C$1</f>
        <v>108.43233157970261</v>
      </c>
      <c r="C36" s="331">
        <v>99.648342041865732</v>
      </c>
      <c r="D36" s="279">
        <f t="shared" si="13"/>
        <v>8.7839895378368738</v>
      </c>
      <c r="E36" s="331">
        <f t="shared" si="14"/>
        <v>104.04033681078417</v>
      </c>
      <c r="F36" s="134"/>
      <c r="G36" s="134"/>
      <c r="H36" s="134"/>
      <c r="I36" s="134"/>
      <c r="M36" s="331">
        <v>99.648342041865732</v>
      </c>
      <c r="N36" s="331">
        <f t="shared" si="15"/>
        <v>108.43233157970261</v>
      </c>
      <c r="O36" s="331"/>
      <c r="P36" s="331"/>
      <c r="Q36" s="331"/>
      <c r="R36" s="365">
        <f t="shared" si="16"/>
        <v>104.04033681078417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topLeftCell="A13" zoomScale="90" zoomScaleNormal="90" zoomScaleSheetLayoutView="100" workbookViewId="0">
      <selection activeCell="G27" sqref="G27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413" t="s">
        <v>514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120"/>
    </row>
    <row r="2" spans="1:18" s="121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</row>
    <row r="3" spans="1:18" ht="21.6" customHeight="1">
      <c r="A3" s="140" t="s">
        <v>374</v>
      </c>
      <c r="B3" s="235">
        <v>9</v>
      </c>
      <c r="C3" s="243" t="s">
        <v>375</v>
      </c>
      <c r="D3" s="235" t="s">
        <v>765</v>
      </c>
      <c r="E3" s="140" t="s">
        <v>20</v>
      </c>
      <c r="F3" s="414" t="s">
        <v>513</v>
      </c>
      <c r="G3" s="414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205</v>
      </c>
      <c r="B4" s="134"/>
      <c r="C4" s="134"/>
      <c r="D4" s="134"/>
      <c r="E4" s="124" t="s">
        <v>23</v>
      </c>
      <c r="F4" s="134"/>
      <c r="G4" s="135" t="s">
        <v>132</v>
      </c>
      <c r="H4" s="134"/>
      <c r="I4" s="134"/>
      <c r="J4" s="134"/>
      <c r="K4" s="134"/>
    </row>
    <row r="5" spans="1:18" s="126" customFormat="1" ht="15.75" customHeight="1">
      <c r="A5" s="147" t="s">
        <v>207</v>
      </c>
      <c r="B5" s="147" t="s">
        <v>377</v>
      </c>
      <c r="C5" s="147" t="s">
        <v>379</v>
      </c>
      <c r="D5" s="142" t="s">
        <v>2</v>
      </c>
      <c r="E5" s="142" t="s">
        <v>3</v>
      </c>
      <c r="F5" s="136"/>
      <c r="G5" s="147" t="s">
        <v>207</v>
      </c>
      <c r="H5" s="142" t="s">
        <v>69</v>
      </c>
      <c r="I5" s="142" t="s">
        <v>376</v>
      </c>
      <c r="J5" s="142" t="s">
        <v>378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55">
        <f>'（１）收支狀況'!G37/1000</f>
        <v>48362.934999999998</v>
      </c>
      <c r="C6" s="294">
        <v>46287.576999999997</v>
      </c>
      <c r="D6" s="143">
        <f t="shared" ref="D6:D11" si="0">B6-C6</f>
        <v>2075.3580000000002</v>
      </c>
      <c r="E6" s="267">
        <f>'（１）收支狀況'!H5/1000</f>
        <v>94650.512000000002</v>
      </c>
      <c r="F6" s="134"/>
      <c r="G6" s="129" t="s">
        <v>208</v>
      </c>
      <c r="H6" s="269">
        <v>266</v>
      </c>
      <c r="I6" s="300">
        <f>'（２）ＫＰＩ達成進度'!G37</f>
        <v>335.12857142857143</v>
      </c>
      <c r="J6" s="301">
        <v>338.34123196825385</v>
      </c>
      <c r="K6" s="302">
        <f>'（２）ＫＰＩ達成進度'!H5</f>
        <v>336.69624227210886</v>
      </c>
      <c r="L6" s="123" t="s">
        <v>204</v>
      </c>
    </row>
    <row r="7" spans="1:18" s="122" customFormat="1" ht="18" customHeight="1">
      <c r="A7" s="129" t="s">
        <v>25</v>
      </c>
      <c r="B7" s="255">
        <f>'（１）收支狀況'!J37</f>
        <v>1525242</v>
      </c>
      <c r="C7" s="294">
        <v>1456107</v>
      </c>
      <c r="D7" s="143">
        <f t="shared" si="0"/>
        <v>69135</v>
      </c>
      <c r="E7" s="267">
        <f>'（１）收支狀況'!K5</f>
        <v>2981349</v>
      </c>
      <c r="F7" s="134"/>
      <c r="G7" s="129" t="s">
        <v>209</v>
      </c>
      <c r="H7" s="292">
        <v>0.8</v>
      </c>
      <c r="I7" s="293">
        <f>'（２）ＫＰＩ達成進度'!J37</f>
        <v>0.91565183450429366</v>
      </c>
      <c r="J7" s="296">
        <v>0.9242183418460278</v>
      </c>
      <c r="K7" s="293">
        <f>'（２）ＫＰＩ達成進度'!K5</f>
        <v>0.91993508817516056</v>
      </c>
      <c r="L7" s="123" t="s">
        <v>4</v>
      </c>
    </row>
    <row r="8" spans="1:18" s="122" customFormat="1" ht="18" customHeight="1">
      <c r="A8" s="129" t="s">
        <v>5</v>
      </c>
      <c r="B8" s="255">
        <f>'（１）收支狀況'!M37/1000</f>
        <v>31940.881000000001</v>
      </c>
      <c r="C8" s="294">
        <v>30224.129000000001</v>
      </c>
      <c r="D8" s="143">
        <f>B8-C8</f>
        <v>1716.7520000000004</v>
      </c>
      <c r="E8" s="267">
        <f>'（１）收支狀況'!N5/1000</f>
        <v>62190.404999999999</v>
      </c>
      <c r="F8" s="134"/>
      <c r="G8" s="129" t="s">
        <v>210</v>
      </c>
      <c r="H8" s="268">
        <v>2.5000000000000001E-3</v>
      </c>
      <c r="I8" s="286">
        <f>'（２）ＫＰＩ達成進度'!M37</f>
        <v>2.4809019108133069E-3</v>
      </c>
      <c r="J8" s="297">
        <v>2.4445364989959702E-3</v>
      </c>
      <c r="K8" s="286">
        <f>'（２）ＫＰＩ達成進度'!N5</f>
        <v>2.463089110792981E-3</v>
      </c>
      <c r="L8" s="123" t="s">
        <v>55</v>
      </c>
    </row>
    <row r="9" spans="1:18" s="122" customFormat="1" ht="18" customHeight="1">
      <c r="A9" s="129" t="s">
        <v>6</v>
      </c>
      <c r="B9" s="256">
        <f>'（１）收支狀況'!P37</f>
        <v>0.66044132764068186</v>
      </c>
      <c r="C9" s="295">
        <v>0.65296416358108356</v>
      </c>
      <c r="D9" s="144">
        <f t="shared" si="0"/>
        <v>7.4771640595983069E-3</v>
      </c>
      <c r="E9" s="144">
        <f>'（１）收支狀況'!Q5</f>
        <v>0.65705302259748999</v>
      </c>
      <c r="F9" s="134"/>
      <c r="G9" s="129" t="s">
        <v>211</v>
      </c>
      <c r="H9" s="268">
        <v>2.5999999999999999E-3</v>
      </c>
      <c r="I9" s="286">
        <f>'（２）ＫＰＩ達成進度'!P37</f>
        <v>2.7407836426619979E-3</v>
      </c>
      <c r="J9" s="297">
        <v>2.2832747456027289E-3</v>
      </c>
      <c r="K9" s="286">
        <f>'（２）ＫＰＩ達成進度'!Q5</f>
        <v>2.5032418392086039E-3</v>
      </c>
      <c r="L9" s="123" t="s">
        <v>98</v>
      </c>
    </row>
    <row r="10" spans="1:18" s="122" customFormat="1" ht="18" customHeight="1">
      <c r="A10" s="129" t="s">
        <v>64</v>
      </c>
      <c r="B10" s="255">
        <f>'（１）收支狀況'!S37/1000</f>
        <v>6652.0225569354852</v>
      </c>
      <c r="C10" s="294">
        <v>6765.7642558064517</v>
      </c>
      <c r="D10" s="143">
        <f t="shared" si="0"/>
        <v>-113.7416988709665</v>
      </c>
      <c r="E10" s="267">
        <f>'（１）收支狀況'!T5/1000</f>
        <v>13405.609393387098</v>
      </c>
      <c r="F10" s="134"/>
      <c r="G10" s="129" t="s">
        <v>212</v>
      </c>
      <c r="H10" s="287">
        <v>0.8</v>
      </c>
      <c r="I10" s="288">
        <v>0.91700000000000004</v>
      </c>
      <c r="J10" s="298">
        <v>0.91700000000000004</v>
      </c>
      <c r="K10" s="288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56">
        <f>'（１）收支狀況'!V37</f>
        <v>0.13754381443011027</v>
      </c>
      <c r="C11" s="295">
        <v>0.14616803674572232</v>
      </c>
      <c r="D11" s="144">
        <f t="shared" si="0"/>
        <v>-8.6242223156120512E-3</v>
      </c>
      <c r="E11" s="144">
        <f>'（１）收支狀況'!W5</f>
        <v>0.14163271925446211</v>
      </c>
      <c r="F11" s="134"/>
      <c r="G11" s="129" t="s">
        <v>213</v>
      </c>
      <c r="H11" s="287">
        <v>1</v>
      </c>
      <c r="I11" s="288">
        <f>'（２）ＫＰＩ達成進度'!V37</f>
        <v>0.73357142857142854</v>
      </c>
      <c r="J11" s="298">
        <v>0.71199999999999997</v>
      </c>
      <c r="K11" s="288">
        <f>'（２）ＫＰＩ達成進度'!W5</f>
        <v>0.72278571428571425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155</v>
      </c>
      <c r="H13" s="134"/>
      <c r="I13" s="134"/>
      <c r="J13" s="134"/>
      <c r="K13" s="134"/>
    </row>
    <row r="14" spans="1:18" s="128" customFormat="1" ht="14.25">
      <c r="A14" s="146"/>
      <c r="B14" s="244" t="s">
        <v>377</v>
      </c>
      <c r="C14" s="146" t="s">
        <v>66</v>
      </c>
      <c r="D14" s="244" t="s">
        <v>380</v>
      </c>
      <c r="E14" s="146" t="s">
        <v>68</v>
      </c>
      <c r="F14" s="137"/>
      <c r="G14" s="146"/>
      <c r="H14" s="244" t="s">
        <v>377</v>
      </c>
      <c r="I14" s="146" t="s">
        <v>66</v>
      </c>
      <c r="J14" s="244" t="s">
        <v>380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392</v>
      </c>
      <c r="B15" s="270">
        <f>SUM('（３）業績構成比'!I39:I45,'（３）業績構成比'!K39:K45)/1000</f>
        <v>11347.534881363979</v>
      </c>
      <c r="C15" s="144">
        <f>IFERROR(B15/$B$6,"")</f>
        <v>0.23463288324755269</v>
      </c>
      <c r="D15" s="295">
        <v>0.1988979467396656</v>
      </c>
      <c r="E15" s="144">
        <f>IFERROR(C15-D15,"")</f>
        <v>3.5734936507887088E-2</v>
      </c>
      <c r="F15" s="134"/>
      <c r="G15" s="129" t="s">
        <v>392</v>
      </c>
      <c r="H15" s="270">
        <f>SUM(,'（４）訂單數量構成比'!I39:I45,'（４）訂單數量構成比'!K39:K45)</f>
        <v>583517</v>
      </c>
      <c r="I15" s="144">
        <f t="shared" ref="I15:I23" si="1">IFERROR(H15/$B$7,"")</f>
        <v>0.38257338835411037</v>
      </c>
      <c r="J15" s="295">
        <v>0.34512985652840072</v>
      </c>
      <c r="K15" s="144">
        <f t="shared" ref="K15:K23" si="2">IFERROR(I15-J15,"")</f>
        <v>3.7443531825709642E-2</v>
      </c>
    </row>
    <row r="16" spans="1:18" s="122" customFormat="1" ht="18" customHeight="1">
      <c r="A16" s="129" t="s">
        <v>235</v>
      </c>
      <c r="B16" s="270">
        <f>SUM('（３）業績構成比'!O39:O45,'（３）業績構成比'!Q39:Q45)/1000</f>
        <v>1816.7027408956551</v>
      </c>
      <c r="C16" s="144">
        <f t="shared" ref="C16:C23" si="3">IFERROR(B16/$B$6,"")</f>
        <v>3.7563947285160736E-2</v>
      </c>
      <c r="D16" s="295">
        <v>4.2338025276971766E-2</v>
      </c>
      <c r="E16" s="144">
        <f t="shared" ref="E16:E23" si="4">IFERROR(C16-D16,"")</f>
        <v>-4.7740779918110307E-3</v>
      </c>
      <c r="F16" s="134"/>
      <c r="G16" s="129" t="s">
        <v>300</v>
      </c>
      <c r="H16" s="270">
        <f>SUM('（４）訂單數量構成比'!O39:O45,'（４）訂單數量構成比'!Q39:Q45)</f>
        <v>69190</v>
      </c>
      <c r="I16" s="144">
        <f t="shared" si="1"/>
        <v>4.5363293169215113E-2</v>
      </c>
      <c r="J16" s="295">
        <v>5.2027083174519456E-2</v>
      </c>
      <c r="K16" s="144">
        <f t="shared" si="2"/>
        <v>-6.6637900053043431E-3</v>
      </c>
    </row>
    <row r="17" spans="1:17" s="122" customFormat="1" ht="18" customHeight="1">
      <c r="A17" s="129" t="s">
        <v>231</v>
      </c>
      <c r="B17" s="270">
        <f>SUM('（３）業績構成比'!U39:U45)/1000</f>
        <v>4214.4066083807948</v>
      </c>
      <c r="C17" s="144">
        <f t="shared" si="3"/>
        <v>8.7141249975436666E-2</v>
      </c>
      <c r="D17" s="295">
        <v>9.3807254662648928E-2</v>
      </c>
      <c r="E17" s="144">
        <f t="shared" si="4"/>
        <v>-6.6660046872122625E-3</v>
      </c>
      <c r="F17" s="134"/>
      <c r="G17" s="129" t="s">
        <v>246</v>
      </c>
      <c r="H17" s="270">
        <f>SUM('（４）訂單數量構成比'!U39:U45)</f>
        <v>126928</v>
      </c>
      <c r="I17" s="144">
        <f t="shared" si="1"/>
        <v>8.3218269625410263E-2</v>
      </c>
      <c r="J17" s="295">
        <v>9.0603918530712368E-2</v>
      </c>
      <c r="K17" s="144">
        <f t="shared" si="2"/>
        <v>-7.3856489053021057E-3</v>
      </c>
    </row>
    <row r="18" spans="1:17" s="122" customFormat="1" ht="18" customHeight="1">
      <c r="A18" s="129" t="s">
        <v>233</v>
      </c>
      <c r="B18" s="270">
        <f>SUM('（３）業績構成比'!W39:W45)/1000</f>
        <v>84.058315515255842</v>
      </c>
      <c r="C18" s="144">
        <f t="shared" si="3"/>
        <v>1.7380730825218909E-3</v>
      </c>
      <c r="D18" s="295">
        <v>1.7052624765419126E-3</v>
      </c>
      <c r="E18" s="144">
        <f t="shared" si="4"/>
        <v>3.2810605979978306E-5</v>
      </c>
      <c r="F18" s="134"/>
      <c r="G18" s="129" t="s">
        <v>232</v>
      </c>
      <c r="H18" s="270">
        <f>SUM('（４）訂單數量構成比'!W39:W45)</f>
        <v>3171</v>
      </c>
      <c r="I18" s="144">
        <f t="shared" si="1"/>
        <v>2.079014346575822E-3</v>
      </c>
      <c r="J18" s="295">
        <v>2.0458661348376184E-3</v>
      </c>
      <c r="K18" s="144">
        <f t="shared" si="2"/>
        <v>3.3148211738203565E-5</v>
      </c>
    </row>
    <row r="19" spans="1:17" s="122" customFormat="1" ht="18" customHeight="1">
      <c r="A19" s="129" t="s">
        <v>237</v>
      </c>
      <c r="B19" s="270">
        <f>SUM('（３）業績構成比'!Y39:Y45,'（３）業績構成比'!AA39:AA45)/1000</f>
        <v>12039.862558357352</v>
      </c>
      <c r="C19" s="144">
        <f t="shared" si="3"/>
        <v>0.24894813679850805</v>
      </c>
      <c r="D19" s="295">
        <v>0.26244676904976699</v>
      </c>
      <c r="E19" s="144">
        <f t="shared" si="4"/>
        <v>-1.3498632251258941E-2</v>
      </c>
      <c r="F19" s="134"/>
      <c r="G19" s="129" t="s">
        <v>236</v>
      </c>
      <c r="H19" s="270">
        <f>SUM('（４）訂單數量構成比'!Y39:Y45,'（４）訂單數量構成比'!AA39:AA45)</f>
        <v>295340</v>
      </c>
      <c r="I19" s="144">
        <f t="shared" si="1"/>
        <v>0.19363484614244822</v>
      </c>
      <c r="J19" s="295">
        <v>0.2049396095204542</v>
      </c>
      <c r="K19" s="144">
        <f t="shared" si="2"/>
        <v>-1.1304763378005983E-2</v>
      </c>
    </row>
    <row r="20" spans="1:17" s="122" customFormat="1" ht="18" customHeight="1">
      <c r="A20" s="129" t="s">
        <v>239</v>
      </c>
      <c r="B20" s="270">
        <f>SUM('（３）業績構成比'!AE39:AE45)/1000</f>
        <v>4974.280185621803</v>
      </c>
      <c r="C20" s="144">
        <f t="shared" si="3"/>
        <v>0.10285314953738443</v>
      </c>
      <c r="D20" s="295">
        <v>0.10895033153110963</v>
      </c>
      <c r="E20" s="144">
        <f t="shared" si="4"/>
        <v>-6.0971819937251925E-3</v>
      </c>
      <c r="F20" s="134"/>
      <c r="G20" s="129" t="s">
        <v>238</v>
      </c>
      <c r="H20" s="270">
        <f>SUM('（４）訂單數量構成比'!AE39:AE45)</f>
        <v>90746</v>
      </c>
      <c r="I20" s="144">
        <f t="shared" si="1"/>
        <v>5.9496132417019724E-2</v>
      </c>
      <c r="J20" s="295">
        <v>6.3493273502565409E-2</v>
      </c>
      <c r="K20" s="144">
        <f t="shared" si="2"/>
        <v>-3.9971410855456843E-3</v>
      </c>
    </row>
    <row r="21" spans="1:17" s="122" customFormat="1" ht="18" customHeight="1">
      <c r="A21" s="129" t="s">
        <v>241</v>
      </c>
      <c r="B21" s="270">
        <f>SUM('（３）業績構成比'!AG39:AG45)/1000</f>
        <v>7053.9366018081419</v>
      </c>
      <c r="C21" s="144">
        <f t="shared" si="3"/>
        <v>0.14585418775366182</v>
      </c>
      <c r="D21" s="295">
        <v>0.12954843623643525</v>
      </c>
      <c r="E21" s="144">
        <f t="shared" si="4"/>
        <v>1.6305751517226574E-2</v>
      </c>
      <c r="F21" s="134"/>
      <c r="G21" s="129" t="s">
        <v>247</v>
      </c>
      <c r="H21" s="270">
        <f>SUM('（４）訂單數量構成比'!AG39:AG45)</f>
        <v>143344</v>
      </c>
      <c r="I21" s="144">
        <f t="shared" si="1"/>
        <v>9.3981151843445174E-2</v>
      </c>
      <c r="J21" s="295">
        <v>8.2842813062501588E-2</v>
      </c>
      <c r="K21" s="144">
        <f t="shared" si="2"/>
        <v>1.1138338780943585E-2</v>
      </c>
    </row>
    <row r="22" spans="1:17" s="122" customFormat="1" ht="18" customHeight="1">
      <c r="A22" s="129" t="s">
        <v>242</v>
      </c>
      <c r="B22" s="270">
        <f>SUM('（３）業績構成比'!AI39:AI45)/1000</f>
        <v>3969.5267356170948</v>
      </c>
      <c r="C22" s="144">
        <f t="shared" si="3"/>
        <v>8.2077870907071609E-2</v>
      </c>
      <c r="D22" s="295">
        <v>9.2703991405061095E-2</v>
      </c>
      <c r="E22" s="144">
        <f t="shared" si="4"/>
        <v>-1.0626120497989486E-2</v>
      </c>
      <c r="F22" s="134"/>
      <c r="G22" s="129" t="s">
        <v>248</v>
      </c>
      <c r="H22" s="270">
        <f>SUM('（４）訂單數量構成比'!AI39:AI45)</f>
        <v>108232</v>
      </c>
      <c r="I22" s="144">
        <f t="shared" si="1"/>
        <v>7.0960542654870506E-2</v>
      </c>
      <c r="J22" s="295">
        <v>8.038626282271838E-2</v>
      </c>
      <c r="K22" s="144">
        <f t="shared" si="2"/>
        <v>-9.425720167847873E-3</v>
      </c>
    </row>
    <row r="23" spans="1:17" s="122" customFormat="1" ht="18" customHeight="1">
      <c r="A23" s="129" t="s">
        <v>244</v>
      </c>
      <c r="B23" s="270">
        <f>SUM('（３）業績構成比'!AK39:AK45)/1000</f>
        <v>2862.6263724399282</v>
      </c>
      <c r="C23" s="144">
        <f t="shared" si="3"/>
        <v>5.9190501412702275E-2</v>
      </c>
      <c r="D23" s="295">
        <v>6.9601982621799008E-2</v>
      </c>
      <c r="E23" s="144">
        <f t="shared" si="4"/>
        <v>-1.0411481209096733E-2</v>
      </c>
      <c r="F23" s="134"/>
      <c r="G23" s="129" t="s">
        <v>243</v>
      </c>
      <c r="H23" s="270">
        <f>SUM('（４）訂單數量構成比'!AK39:AK45)</f>
        <v>104774</v>
      </c>
      <c r="I23" s="144">
        <f t="shared" si="1"/>
        <v>6.8693361446904813E-2</v>
      </c>
      <c r="J23" s="295">
        <v>7.8531316723290251E-2</v>
      </c>
      <c r="K23" s="144">
        <f t="shared" si="2"/>
        <v>-9.8379552763854378E-3</v>
      </c>
    </row>
    <row r="24" spans="1:17" s="122" customFormat="1" ht="15.75" customHeight="1">
      <c r="A24" s="134"/>
      <c r="B24" s="134"/>
      <c r="C24" s="138">
        <f t="shared" ref="C24:D24" si="5">SUM(C15:C23)</f>
        <v>1.0000000000000002</v>
      </c>
      <c r="D24" s="138">
        <f t="shared" si="5"/>
        <v>1.0000000000000004</v>
      </c>
      <c r="E24" s="134"/>
      <c r="F24" s="134"/>
      <c r="G24" s="134"/>
      <c r="H24" s="134"/>
      <c r="I24" s="138">
        <f t="shared" ref="I24:J24" si="6">SUM(I15:I23)</f>
        <v>1</v>
      </c>
      <c r="J24" s="138">
        <f t="shared" si="6"/>
        <v>1</v>
      </c>
      <c r="K24" s="134"/>
    </row>
    <row r="25" spans="1:17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7" s="122" customFormat="1" ht="15.75" customHeight="1">
      <c r="A26" s="133" t="s">
        <v>206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7" s="122" customFormat="1" ht="15.75" customHeight="1">
      <c r="A27" s="129" t="s">
        <v>195</v>
      </c>
      <c r="B27" s="245" t="s">
        <v>377</v>
      </c>
      <c r="C27" s="245" t="s">
        <v>379</v>
      </c>
      <c r="D27" s="129" t="s">
        <v>2</v>
      </c>
      <c r="E27" s="129" t="s">
        <v>520</v>
      </c>
      <c r="F27" s="134"/>
      <c r="G27" s="134"/>
      <c r="H27" s="134"/>
      <c r="I27" s="134"/>
      <c r="J27" s="134"/>
      <c r="K27" s="134"/>
    </row>
    <row r="28" spans="1:17" s="122" customFormat="1" ht="18" customHeight="1">
      <c r="A28" s="129" t="s">
        <v>392</v>
      </c>
      <c r="B28" s="278">
        <f>'（５-1）品群別人時生產性（18℃-飯糰）'!L42</f>
        <v>714.86008071568097</v>
      </c>
      <c r="C28" s="299">
        <f>'（５-1）品群別人時生產性（18℃-飯糰）'!L7</f>
        <v>713.14131087488931</v>
      </c>
      <c r="D28" s="279">
        <f t="shared" ref="D28:D36" si="7">B28-C28</f>
        <v>1.7187698407916514</v>
      </c>
      <c r="E28" s="130">
        <f>'（５-1）品群別人時生產性（18℃-飯糰）'!C1</f>
        <v>714.00069579528508</v>
      </c>
      <c r="F28" s="134"/>
      <c r="G28" s="148"/>
      <c r="H28" s="148"/>
      <c r="I28" s="148"/>
      <c r="J28" s="148"/>
      <c r="K28" s="148"/>
      <c r="L28" s="148"/>
      <c r="M28" s="148"/>
      <c r="N28" s="148"/>
      <c r="O28" s="148"/>
      <c r="P28" s="149"/>
      <c r="Q28" s="149"/>
    </row>
    <row r="29" spans="1:17" s="122" customFormat="1" ht="18" customHeight="1">
      <c r="A29" s="129" t="s">
        <v>234</v>
      </c>
      <c r="B29" s="278">
        <f>'（５-2）品群別人時生產性（18-壽司手卷)'!L27</f>
        <v>202.12383857275614</v>
      </c>
      <c r="C29" s="299">
        <f>'（５-2）品群別人時生產性（18-壽司手卷)'!L7</f>
        <v>204.4683929351593</v>
      </c>
      <c r="D29" s="279">
        <f t="shared" si="7"/>
        <v>-2.3445543624031586</v>
      </c>
      <c r="E29" s="130">
        <f>'（５-2）品群別人時生產性（18-壽司手卷)'!C1</f>
        <v>203.29611575395774</v>
      </c>
      <c r="F29" s="134"/>
      <c r="G29" s="150"/>
      <c r="H29" s="150"/>
      <c r="I29" s="151"/>
      <c r="J29" s="152"/>
      <c r="K29" s="153"/>
      <c r="L29" s="154"/>
      <c r="M29" s="155"/>
      <c r="N29" s="154"/>
      <c r="O29" s="154"/>
      <c r="P29" s="154"/>
      <c r="Q29" s="154"/>
    </row>
    <row r="30" spans="1:17" s="122" customFormat="1" ht="18" customHeight="1">
      <c r="A30" s="129" t="s">
        <v>246</v>
      </c>
      <c r="B30" s="278">
        <f>'（５-3）品群別人時生產性（4℃-飯糰)'!L27</f>
        <v>259.10520310272989</v>
      </c>
      <c r="C30" s="299">
        <f>'（５-3）品群別人時生產性（4℃-飯糰)'!L7</f>
        <v>249.26805571889889</v>
      </c>
      <c r="D30" s="279">
        <f t="shared" si="7"/>
        <v>9.8371473838309953</v>
      </c>
      <c r="E30" s="130">
        <f>'（５-3）品群別人時生產性（4℃-飯糰)'!C1</f>
        <v>254.18662941081439</v>
      </c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</row>
    <row r="31" spans="1:17" s="122" customFormat="1" ht="18" customHeight="1">
      <c r="A31" s="129" t="s">
        <v>232</v>
      </c>
      <c r="B31" s="278">
        <f>'（５-4）品群別人時生產性（4℃-壽司手卷)'!L27</f>
        <v>105.24615384615387</v>
      </c>
      <c r="C31" s="299">
        <f>'（５-4）品群別人時生產性（4℃-壽司手卷)'!L7</f>
        <v>102.80219780219761</v>
      </c>
      <c r="D31" s="279">
        <f t="shared" si="7"/>
        <v>2.4439560439562626</v>
      </c>
      <c r="E31" s="130">
        <f>'（５-4）品群別人時生產性（4℃-壽司手卷)'!C1</f>
        <v>104.02417582417574</v>
      </c>
      <c r="F31" s="134"/>
      <c r="G31" s="134"/>
      <c r="H31" s="134"/>
      <c r="I31" s="134"/>
      <c r="J31" s="134"/>
      <c r="K31" s="134"/>
    </row>
    <row r="32" spans="1:17" s="122" customFormat="1" ht="18" customHeight="1">
      <c r="A32" s="129" t="s">
        <v>236</v>
      </c>
      <c r="B32" s="278">
        <f>'（５-5）品群別人時生產性(主食) '!L42</f>
        <v>92.221576332413861</v>
      </c>
      <c r="C32" s="299">
        <f>'（５-5）品群別人時生產性(主食) '!L7</f>
        <v>92.369615016017761</v>
      </c>
      <c r="D32" s="279">
        <f t="shared" si="7"/>
        <v>-0.14803868360390027</v>
      </c>
      <c r="E32" s="130">
        <f>'（５-5）品群別人時生產性(主食) '!C1</f>
        <v>92.295595674215804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238</v>
      </c>
      <c r="B33" s="278">
        <f>'（５-6）品群別人時生產性(便當)'!L27</f>
        <v>68.168322453709834</v>
      </c>
      <c r="C33" s="299">
        <f>'（５-6）品群別人時生產性(便當)'!L7</f>
        <v>64.558339136708696</v>
      </c>
      <c r="D33" s="279">
        <f t="shared" si="7"/>
        <v>3.6099833170011379</v>
      </c>
      <c r="E33" s="130">
        <f>'（５-6）品群別人時生產性(便當)'!C1</f>
        <v>66.363330795209265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247</v>
      </c>
      <c r="B34" s="278">
        <f>'（５-7）品群別人時生產性(熱食義麵) '!L27</f>
        <v>87.833649179499915</v>
      </c>
      <c r="C34" s="299">
        <f>'（５-7）品群別人時生產性(熱食義麵) '!L7</f>
        <v>87.552348375596253</v>
      </c>
      <c r="D34" s="279">
        <f t="shared" si="7"/>
        <v>0.28130080390366174</v>
      </c>
      <c r="E34" s="130">
        <f>'（５-7）品群別人時生產性(熱食義麵) '!C1</f>
        <v>87.692998777548084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248</v>
      </c>
      <c r="B35" s="278">
        <f>'（５-8）品群別人時生產性(季節調理麵) '!L27</f>
        <v>117.39386069342603</v>
      </c>
      <c r="C35" s="299">
        <f>'（５-8）品群別人時生產性(季節調理麵) '!L7</f>
        <v>116.94994015983767</v>
      </c>
      <c r="D35" s="279">
        <f t="shared" si="7"/>
        <v>0.44392053358836847</v>
      </c>
      <c r="E35" s="130">
        <f>'（５-8）品群別人時生產性(季節調理麵) '!C1</f>
        <v>117.17190042663185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243</v>
      </c>
      <c r="B36" s="278">
        <f>'（５-9）品群別人時生產性(微波小吃)'!L27</f>
        <v>111.59971562096058</v>
      </c>
      <c r="C36" s="299">
        <f>'（５-9）品群別人時生產性(微波小吃)'!L7</f>
        <v>105.26494753844464</v>
      </c>
      <c r="D36" s="279">
        <f t="shared" si="7"/>
        <v>6.3347680825159358</v>
      </c>
      <c r="E36" s="130">
        <f>'（５-9）品群別人時生產性(微波小吃)'!C1</f>
        <v>108.43233157970261</v>
      </c>
      <c r="F36" s="134"/>
      <c r="G36" s="134"/>
      <c r="H36" s="134"/>
      <c r="I36" s="134"/>
      <c r="J36" s="134"/>
      <c r="K36" s="134"/>
    </row>
    <row r="37" spans="1:11" s="122" customFormat="1" ht="15.75" customHeight="1"/>
    <row r="38" spans="1:11" s="122" customFormat="1" ht="15.75" customHeight="1"/>
  </sheetData>
  <mergeCells count="2">
    <mergeCell ref="A1:K2"/>
    <mergeCell ref="F3:G3"/>
  </mergeCells>
  <phoneticPr fontId="9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43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P9" sqref="P9:P15"/>
    </sheetView>
  </sheetViews>
  <sheetFormatPr defaultColWidth="8.85546875" defaultRowHeight="12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424" t="s">
        <v>128</v>
      </c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</row>
    <row r="3" spans="2:23" s="84" customFormat="1" ht="23.45" customHeight="1">
      <c r="B3" s="428" t="s">
        <v>125</v>
      </c>
      <c r="C3" s="429" t="s">
        <v>122</v>
      </c>
      <c r="D3" s="430" t="s">
        <v>105</v>
      </c>
      <c r="E3" s="430"/>
      <c r="F3" s="427" t="s">
        <v>439</v>
      </c>
      <c r="G3" s="427"/>
      <c r="H3" s="427"/>
      <c r="I3" s="425" t="s">
        <v>126</v>
      </c>
      <c r="J3" s="425"/>
      <c r="K3" s="425"/>
      <c r="L3" s="426" t="s">
        <v>127</v>
      </c>
      <c r="M3" s="426"/>
      <c r="N3" s="426"/>
      <c r="O3" s="420" t="s">
        <v>129</v>
      </c>
      <c r="P3" s="420"/>
      <c r="Q3" s="420"/>
      <c r="R3" s="431" t="s">
        <v>130</v>
      </c>
      <c r="S3" s="431"/>
      <c r="T3" s="431"/>
      <c r="U3" s="420" t="s">
        <v>131</v>
      </c>
      <c r="V3" s="420"/>
      <c r="W3" s="420"/>
    </row>
    <row r="4" spans="2:23" s="84" customFormat="1" ht="23.45" customHeight="1">
      <c r="B4" s="428"/>
      <c r="C4" s="429"/>
      <c r="D4" s="430"/>
      <c r="E4" s="430"/>
      <c r="F4" s="78" t="s">
        <v>118</v>
      </c>
      <c r="G4" s="78" t="s">
        <v>123</v>
      </c>
      <c r="H4" s="78" t="s">
        <v>124</v>
      </c>
      <c r="I4" s="92" t="s">
        <v>118</v>
      </c>
      <c r="J4" s="92" t="s">
        <v>123</v>
      </c>
      <c r="K4" s="92" t="s">
        <v>124</v>
      </c>
      <c r="L4" s="91" t="s">
        <v>118</v>
      </c>
      <c r="M4" s="91" t="s">
        <v>123</v>
      </c>
      <c r="N4" s="91" t="s">
        <v>124</v>
      </c>
      <c r="O4" s="85" t="s">
        <v>118</v>
      </c>
      <c r="P4" s="85" t="s">
        <v>123</v>
      </c>
      <c r="Q4" s="85" t="s">
        <v>124</v>
      </c>
      <c r="R4" s="85" t="s">
        <v>118</v>
      </c>
      <c r="S4" s="85" t="s">
        <v>123</v>
      </c>
      <c r="T4" s="85" t="s">
        <v>124</v>
      </c>
      <c r="U4" s="85" t="s">
        <v>118</v>
      </c>
      <c r="V4" s="85" t="s">
        <v>123</v>
      </c>
      <c r="W4" s="85" t="s">
        <v>124</v>
      </c>
    </row>
    <row r="5" spans="2:23">
      <c r="B5" s="421">
        <f>D17</f>
        <v>45882</v>
      </c>
      <c r="C5" s="422" t="s">
        <v>121</v>
      </c>
      <c r="D5" s="86">
        <v>45870</v>
      </c>
      <c r="E5" s="86" t="s">
        <v>116</v>
      </c>
      <c r="F5" s="261">
        <v>6238721</v>
      </c>
      <c r="G5" s="415">
        <f>SUM(F5:F8)</f>
        <v>27719634</v>
      </c>
      <c r="H5" s="418">
        <f>SUM(F30:F99)</f>
        <v>94650512</v>
      </c>
      <c r="I5" s="262">
        <v>189694</v>
      </c>
      <c r="J5" s="419">
        <f>SUM(I5:I8)</f>
        <v>835562</v>
      </c>
      <c r="K5" s="423">
        <f>SUM(I30:I99)</f>
        <v>2981349</v>
      </c>
      <c r="L5" s="261">
        <v>4328564</v>
      </c>
      <c r="M5" s="415">
        <f>SUM(L5:L8)</f>
        <v>18071368</v>
      </c>
      <c r="N5" s="418">
        <f>SUM(L30:L99)</f>
        <v>62190405</v>
      </c>
      <c r="O5" s="90">
        <f t="shared" ref="O5:O38" si="0">L5/F5</f>
        <v>0.69382233954683981</v>
      </c>
      <c r="P5" s="416">
        <f>M5/G5</f>
        <v>0.65193386030998823</v>
      </c>
      <c r="Q5" s="417">
        <f>N5/H5</f>
        <v>0.65705302259748999</v>
      </c>
      <c r="R5" s="263">
        <v>943023.34683870955</v>
      </c>
      <c r="S5" s="415">
        <f>SUM(R5:R8)</f>
        <v>3865161.5233548391</v>
      </c>
      <c r="T5" s="418">
        <f>SUM(R30:R99)</f>
        <v>13405609.393387098</v>
      </c>
      <c r="U5" s="90">
        <f t="shared" ref="U5:V43" si="1">R5/F5</f>
        <v>0.15115651859390883</v>
      </c>
      <c r="V5" s="416">
        <f>S5/G5</f>
        <v>0.13943768245117663</v>
      </c>
      <c r="W5" s="417">
        <f>T5/H5</f>
        <v>0.14163271925446211</v>
      </c>
    </row>
    <row r="6" spans="2:23">
      <c r="B6" s="422"/>
      <c r="C6" s="422"/>
      <c r="D6" s="86">
        <v>45871</v>
      </c>
      <c r="E6" s="86" t="s">
        <v>117</v>
      </c>
      <c r="F6" s="261">
        <v>6562252</v>
      </c>
      <c r="G6" s="415"/>
      <c r="H6" s="418"/>
      <c r="I6" s="262">
        <v>198615</v>
      </c>
      <c r="J6" s="419"/>
      <c r="K6" s="423"/>
      <c r="L6" s="261">
        <v>4232726</v>
      </c>
      <c r="M6" s="415"/>
      <c r="N6" s="418"/>
      <c r="O6" s="90">
        <f t="shared" si="0"/>
        <v>0.64501119432780085</v>
      </c>
      <c r="P6" s="416"/>
      <c r="Q6" s="417"/>
      <c r="R6" s="263">
        <v>938418.88283870963</v>
      </c>
      <c r="S6" s="415"/>
      <c r="T6" s="418"/>
      <c r="U6" s="90">
        <f t="shared" si="1"/>
        <v>0.14300256723434418</v>
      </c>
      <c r="V6" s="416"/>
      <c r="W6" s="417"/>
    </row>
    <row r="7" spans="2:23">
      <c r="B7" s="422"/>
      <c r="C7" s="422"/>
      <c r="D7" s="86">
        <v>45872</v>
      </c>
      <c r="E7" s="86" t="s">
        <v>118</v>
      </c>
      <c r="F7" s="261">
        <v>7531206</v>
      </c>
      <c r="G7" s="415"/>
      <c r="H7" s="418"/>
      <c r="I7" s="262">
        <v>226309</v>
      </c>
      <c r="J7" s="419"/>
      <c r="K7" s="423"/>
      <c r="L7" s="261">
        <v>4804413</v>
      </c>
      <c r="M7" s="415"/>
      <c r="N7" s="418"/>
      <c r="O7" s="90">
        <f t="shared" si="0"/>
        <v>0.6379340838638593</v>
      </c>
      <c r="P7" s="416"/>
      <c r="Q7" s="417"/>
      <c r="R7" s="263">
        <v>986964.21083870984</v>
      </c>
      <c r="S7" s="415"/>
      <c r="T7" s="418"/>
      <c r="U7" s="90">
        <f t="shared" si="1"/>
        <v>0.13104995545716183</v>
      </c>
      <c r="V7" s="416"/>
      <c r="W7" s="417"/>
    </row>
    <row r="8" spans="2:23">
      <c r="B8" s="422"/>
      <c r="C8" s="422"/>
      <c r="D8" s="86">
        <v>45873</v>
      </c>
      <c r="E8" s="86" t="s">
        <v>119</v>
      </c>
      <c r="F8" s="261">
        <v>7387455</v>
      </c>
      <c r="G8" s="415"/>
      <c r="H8" s="418"/>
      <c r="I8" s="262">
        <v>220944</v>
      </c>
      <c r="J8" s="419"/>
      <c r="K8" s="423"/>
      <c r="L8" s="261">
        <v>4705665</v>
      </c>
      <c r="M8" s="415"/>
      <c r="N8" s="418"/>
      <c r="O8" s="90">
        <f t="shared" si="0"/>
        <v>0.63698052983063858</v>
      </c>
      <c r="P8" s="416"/>
      <c r="Q8" s="417"/>
      <c r="R8" s="263">
        <v>996755.08283870993</v>
      </c>
      <c r="S8" s="415"/>
      <c r="T8" s="418"/>
      <c r="U8" s="90">
        <f t="shared" si="1"/>
        <v>0.13492536778074588</v>
      </c>
      <c r="V8" s="416"/>
      <c r="W8" s="417"/>
    </row>
    <row r="9" spans="2:23">
      <c r="B9" s="422"/>
      <c r="C9" s="422"/>
      <c r="D9" s="86">
        <v>45874</v>
      </c>
      <c r="E9" s="86" t="s">
        <v>120</v>
      </c>
      <c r="F9" s="261">
        <v>7967674</v>
      </c>
      <c r="G9" s="415">
        <f t="shared" ref="G9" si="2">SUM(F9:F15)</f>
        <v>48153352</v>
      </c>
      <c r="H9" s="418"/>
      <c r="I9" s="262">
        <v>237092</v>
      </c>
      <c r="J9" s="419">
        <f t="shared" ref="J9" si="3">SUM(I9:I15)</f>
        <v>1481597</v>
      </c>
      <c r="K9" s="423"/>
      <c r="L9" s="261">
        <v>5154252</v>
      </c>
      <c r="M9" s="415">
        <f t="shared" ref="M9" si="4">SUM(L9:L15)</f>
        <v>31832447</v>
      </c>
      <c r="N9" s="418"/>
      <c r="O9" s="90">
        <f t="shared" si="0"/>
        <v>0.64689544276033384</v>
      </c>
      <c r="P9" s="416">
        <f t="shared" ref="P9" si="5">M9/G9</f>
        <v>0.66106398989627968</v>
      </c>
      <c r="Q9" s="417"/>
      <c r="R9" s="263">
        <v>1013986.2188387095</v>
      </c>
      <c r="S9" s="415">
        <f t="shared" ref="S9" si="6">SUM(R9:R15)</f>
        <v>6693842.3798709679</v>
      </c>
      <c r="T9" s="418"/>
      <c r="U9" s="90">
        <f t="shared" si="1"/>
        <v>0.12726251335568065</v>
      </c>
      <c r="V9" s="416">
        <f t="shared" ref="V9" si="7">S9/G9</f>
        <v>0.13901093281877797</v>
      </c>
      <c r="W9" s="417"/>
    </row>
    <row r="10" spans="2:23">
      <c r="B10" s="422"/>
      <c r="C10" s="422"/>
      <c r="D10" s="86">
        <v>45875</v>
      </c>
      <c r="E10" s="86" t="s">
        <v>114</v>
      </c>
      <c r="F10" s="261">
        <v>7313533</v>
      </c>
      <c r="G10" s="415"/>
      <c r="H10" s="418"/>
      <c r="I10" s="262">
        <v>222453</v>
      </c>
      <c r="J10" s="419"/>
      <c r="K10" s="423"/>
      <c r="L10" s="261">
        <v>4928684</v>
      </c>
      <c r="M10" s="415"/>
      <c r="N10" s="418"/>
      <c r="O10" s="90">
        <f t="shared" si="0"/>
        <v>0.67391286810355544</v>
      </c>
      <c r="P10" s="416"/>
      <c r="Q10" s="417"/>
      <c r="R10" s="263">
        <v>978046.09083870996</v>
      </c>
      <c r="S10" s="415"/>
      <c r="T10" s="418"/>
      <c r="U10" s="90">
        <f t="shared" si="1"/>
        <v>0.13373100126009002</v>
      </c>
      <c r="V10" s="416"/>
      <c r="W10" s="417"/>
    </row>
    <row r="11" spans="2:23">
      <c r="B11" s="422"/>
      <c r="C11" s="422"/>
      <c r="D11" s="86">
        <v>45876</v>
      </c>
      <c r="E11" s="86" t="s">
        <v>115</v>
      </c>
      <c r="F11" s="261">
        <v>6849540</v>
      </c>
      <c r="G11" s="415"/>
      <c r="H11" s="418"/>
      <c r="I11" s="262">
        <v>211393</v>
      </c>
      <c r="J11" s="419"/>
      <c r="K11" s="423"/>
      <c r="L11" s="261">
        <v>4518685</v>
      </c>
      <c r="M11" s="415"/>
      <c r="N11" s="418"/>
      <c r="O11" s="90">
        <f t="shared" si="0"/>
        <v>0.65970634524362215</v>
      </c>
      <c r="P11" s="416"/>
      <c r="Q11" s="417"/>
      <c r="R11" s="263">
        <v>969314.05883870961</v>
      </c>
      <c r="S11" s="415"/>
      <c r="T11" s="418"/>
      <c r="U11" s="90">
        <f t="shared" si="1"/>
        <v>0.1415152052311118</v>
      </c>
      <c r="V11" s="416"/>
      <c r="W11" s="417"/>
    </row>
    <row r="12" spans="2:23">
      <c r="B12" s="422"/>
      <c r="C12" s="422"/>
      <c r="D12" s="86">
        <v>45877</v>
      </c>
      <c r="E12" s="86" t="s">
        <v>116</v>
      </c>
      <c r="F12" s="261">
        <v>6028491</v>
      </c>
      <c r="G12" s="415"/>
      <c r="H12" s="418"/>
      <c r="I12" s="262">
        <v>189264</v>
      </c>
      <c r="J12" s="419"/>
      <c r="K12" s="423"/>
      <c r="L12" s="261">
        <v>4132693</v>
      </c>
      <c r="M12" s="415"/>
      <c r="N12" s="418"/>
      <c r="O12" s="90">
        <f t="shared" si="0"/>
        <v>0.68552694198266195</v>
      </c>
      <c r="P12" s="416"/>
      <c r="Q12" s="417"/>
      <c r="R12" s="263">
        <v>928029.25883870968</v>
      </c>
      <c r="S12" s="415"/>
      <c r="T12" s="418"/>
      <c r="U12" s="90">
        <f t="shared" si="1"/>
        <v>0.15394055640768306</v>
      </c>
      <c r="V12" s="416"/>
      <c r="W12" s="417"/>
    </row>
    <row r="13" spans="2:23">
      <c r="B13" s="422"/>
      <c r="C13" s="422"/>
      <c r="D13" s="86">
        <v>45878</v>
      </c>
      <c r="E13" s="86" t="s">
        <v>117</v>
      </c>
      <c r="F13" s="261">
        <v>6203511</v>
      </c>
      <c r="G13" s="415"/>
      <c r="H13" s="418"/>
      <c r="I13" s="262">
        <v>192323</v>
      </c>
      <c r="J13" s="419"/>
      <c r="K13" s="423"/>
      <c r="L13" s="261">
        <v>4132318</v>
      </c>
      <c r="M13" s="415"/>
      <c r="N13" s="418"/>
      <c r="O13" s="90">
        <f t="shared" si="0"/>
        <v>0.66612568269807215</v>
      </c>
      <c r="P13" s="416"/>
      <c r="Q13" s="417"/>
      <c r="R13" s="263">
        <v>925688.34683870955</v>
      </c>
      <c r="S13" s="415"/>
      <c r="T13" s="418"/>
      <c r="U13" s="90">
        <f t="shared" si="1"/>
        <v>0.14922007018907674</v>
      </c>
      <c r="V13" s="416"/>
      <c r="W13" s="417"/>
    </row>
    <row r="14" spans="2:23">
      <c r="B14" s="422"/>
      <c r="C14" s="422"/>
      <c r="D14" s="86">
        <v>45879</v>
      </c>
      <c r="E14" s="86" t="s">
        <v>118</v>
      </c>
      <c r="F14" s="261">
        <v>6959932</v>
      </c>
      <c r="G14" s="415"/>
      <c r="H14" s="418"/>
      <c r="I14" s="262">
        <v>216752</v>
      </c>
      <c r="J14" s="419"/>
      <c r="K14" s="423"/>
      <c r="L14" s="261">
        <v>4477956</v>
      </c>
      <c r="M14" s="415"/>
      <c r="N14" s="418"/>
      <c r="O14" s="90">
        <f t="shared" si="0"/>
        <v>0.64339076876038448</v>
      </c>
      <c r="P14" s="416"/>
      <c r="Q14" s="417"/>
      <c r="R14" s="263">
        <v>940286.82683870941</v>
      </c>
      <c r="S14" s="415"/>
      <c r="T14" s="418"/>
      <c r="U14" s="90">
        <f t="shared" si="1"/>
        <v>0.13510000195960384</v>
      </c>
      <c r="V14" s="416"/>
      <c r="W14" s="417"/>
    </row>
    <row r="15" spans="2:23">
      <c r="B15" s="422"/>
      <c r="C15" s="422"/>
      <c r="D15" s="86">
        <v>45880</v>
      </c>
      <c r="E15" s="86" t="s">
        <v>119</v>
      </c>
      <c r="F15" s="261">
        <v>6830671</v>
      </c>
      <c r="G15" s="415"/>
      <c r="H15" s="418"/>
      <c r="I15" s="262">
        <v>212320</v>
      </c>
      <c r="J15" s="419"/>
      <c r="K15" s="423"/>
      <c r="L15" s="261">
        <v>4487859</v>
      </c>
      <c r="M15" s="415"/>
      <c r="N15" s="418"/>
      <c r="O15" s="90">
        <f t="shared" si="0"/>
        <v>0.65701583343715431</v>
      </c>
      <c r="P15" s="416"/>
      <c r="Q15" s="417"/>
      <c r="R15" s="263">
        <v>938491.57883870963</v>
      </c>
      <c r="S15" s="415"/>
      <c r="T15" s="418"/>
      <c r="U15" s="90">
        <f t="shared" si="1"/>
        <v>0.13739376099927952</v>
      </c>
      <c r="V15" s="416"/>
      <c r="W15" s="417"/>
    </row>
    <row r="16" spans="2:23">
      <c r="B16" s="421">
        <f>D24</f>
        <v>45889</v>
      </c>
      <c r="C16" s="422"/>
      <c r="D16" s="86">
        <v>45881</v>
      </c>
      <c r="E16" s="86" t="s">
        <v>120</v>
      </c>
      <c r="F16" s="261">
        <v>7487435</v>
      </c>
      <c r="G16" s="415">
        <f t="shared" ref="G16" si="8">SUM(F16:F22)</f>
        <v>48523585</v>
      </c>
      <c r="H16" s="418"/>
      <c r="I16" s="262">
        <v>224380</v>
      </c>
      <c r="J16" s="419">
        <f t="shared" ref="J16" si="9">SUM(I16:I22)</f>
        <v>1480470</v>
      </c>
      <c r="K16" s="423"/>
      <c r="L16" s="261">
        <v>4856053</v>
      </c>
      <c r="M16" s="415">
        <f t="shared" ref="M16" si="10">SUM(L16:L22)</f>
        <v>31535098</v>
      </c>
      <c r="N16" s="418"/>
      <c r="O16" s="90">
        <f t="shared" si="0"/>
        <v>0.64856028800250021</v>
      </c>
      <c r="P16" s="416">
        <f t="shared" ref="P16" si="11">M16/G16</f>
        <v>0.64989217099272445</v>
      </c>
      <c r="Q16" s="417"/>
      <c r="R16" s="263">
        <v>983069.17883870972</v>
      </c>
      <c r="S16" s="415">
        <f t="shared" ref="S16" si="12">SUM(R16:R22)</f>
        <v>6841610.1678709695</v>
      </c>
      <c r="T16" s="418"/>
      <c r="U16" s="90">
        <f t="shared" si="1"/>
        <v>0.13129585483395978</v>
      </c>
      <c r="V16" s="416">
        <f t="shared" ref="V16" si="13">S16/G16</f>
        <v>0.14099556262940938</v>
      </c>
      <c r="W16" s="417"/>
    </row>
    <row r="17" spans="2:23">
      <c r="B17" s="422"/>
      <c r="C17" s="422"/>
      <c r="D17" s="86">
        <v>45882</v>
      </c>
      <c r="E17" s="86" t="s">
        <v>114</v>
      </c>
      <c r="F17" s="261">
        <v>7231344</v>
      </c>
      <c r="G17" s="415"/>
      <c r="H17" s="418"/>
      <c r="I17" s="262">
        <v>220130</v>
      </c>
      <c r="J17" s="419"/>
      <c r="K17" s="423"/>
      <c r="L17" s="261">
        <v>4546524</v>
      </c>
      <c r="M17" s="415"/>
      <c r="N17" s="418"/>
      <c r="O17" s="90">
        <f t="shared" si="0"/>
        <v>0.62872461882604391</v>
      </c>
      <c r="P17" s="416"/>
      <c r="Q17" s="417"/>
      <c r="R17" s="263">
        <v>985534.25883870991</v>
      </c>
      <c r="S17" s="415"/>
      <c r="T17" s="418"/>
      <c r="U17" s="90">
        <f t="shared" si="1"/>
        <v>0.13628645779245324</v>
      </c>
      <c r="V17" s="416"/>
      <c r="W17" s="417"/>
    </row>
    <row r="18" spans="2:23">
      <c r="B18" s="422"/>
      <c r="C18" s="422"/>
      <c r="D18" s="86">
        <v>45883</v>
      </c>
      <c r="E18" s="86" t="s">
        <v>115</v>
      </c>
      <c r="F18" s="261">
        <v>7037093</v>
      </c>
      <c r="G18" s="415"/>
      <c r="H18" s="418"/>
      <c r="I18" s="262">
        <v>214387</v>
      </c>
      <c r="J18" s="419"/>
      <c r="K18" s="423"/>
      <c r="L18" s="261">
        <v>4629818</v>
      </c>
      <c r="M18" s="415"/>
      <c r="N18" s="418"/>
      <c r="O18" s="90">
        <f t="shared" si="0"/>
        <v>0.65791627309742817</v>
      </c>
      <c r="P18" s="416"/>
      <c r="Q18" s="417"/>
      <c r="R18" s="263">
        <v>991055.77083870978</v>
      </c>
      <c r="S18" s="415"/>
      <c r="T18" s="418"/>
      <c r="U18" s="90">
        <f t="shared" si="1"/>
        <v>0.14083312112525864</v>
      </c>
      <c r="V18" s="416"/>
      <c r="W18" s="417"/>
    </row>
    <row r="19" spans="2:23">
      <c r="B19" s="422"/>
      <c r="C19" s="422"/>
      <c r="D19" s="86">
        <v>45884</v>
      </c>
      <c r="E19" s="86" t="s">
        <v>116</v>
      </c>
      <c r="F19" s="261">
        <v>6388038</v>
      </c>
      <c r="G19" s="415"/>
      <c r="H19" s="418"/>
      <c r="I19" s="262">
        <v>194099</v>
      </c>
      <c r="J19" s="419"/>
      <c r="K19" s="423"/>
      <c r="L19" s="261">
        <v>4187375</v>
      </c>
      <c r="M19" s="415"/>
      <c r="N19" s="418"/>
      <c r="O19" s="90">
        <f t="shared" si="0"/>
        <v>0.65550251892678157</v>
      </c>
      <c r="P19" s="416"/>
      <c r="Q19" s="417"/>
      <c r="R19" s="263">
        <v>982289.15483870998</v>
      </c>
      <c r="S19" s="415"/>
      <c r="T19" s="418"/>
      <c r="U19" s="90">
        <f t="shared" si="1"/>
        <v>0.15377008634555869</v>
      </c>
      <c r="V19" s="416"/>
      <c r="W19" s="417"/>
    </row>
    <row r="20" spans="2:23">
      <c r="B20" s="422"/>
      <c r="C20" s="422"/>
      <c r="D20" s="86">
        <v>45885</v>
      </c>
      <c r="E20" s="86" t="s">
        <v>117</v>
      </c>
      <c r="F20" s="261">
        <v>6365900</v>
      </c>
      <c r="G20" s="415"/>
      <c r="H20" s="418"/>
      <c r="I20" s="262">
        <v>193782</v>
      </c>
      <c r="J20" s="419"/>
      <c r="K20" s="423"/>
      <c r="L20" s="261">
        <v>4221117</v>
      </c>
      <c r="M20" s="415"/>
      <c r="N20" s="418"/>
      <c r="O20" s="90">
        <f t="shared" si="0"/>
        <v>0.66308251779010041</v>
      </c>
      <c r="P20" s="416"/>
      <c r="Q20" s="417"/>
      <c r="R20" s="263">
        <v>964177.16483870975</v>
      </c>
      <c r="S20" s="415"/>
      <c r="T20" s="418"/>
      <c r="U20" s="90">
        <f t="shared" si="1"/>
        <v>0.1514596781034433</v>
      </c>
      <c r="V20" s="416"/>
      <c r="W20" s="417"/>
    </row>
    <row r="21" spans="2:23">
      <c r="B21" s="422"/>
      <c r="C21" s="422"/>
      <c r="D21" s="86">
        <v>45886</v>
      </c>
      <c r="E21" s="86" t="s">
        <v>118</v>
      </c>
      <c r="F21" s="261">
        <v>7153920</v>
      </c>
      <c r="G21" s="415"/>
      <c r="H21" s="418"/>
      <c r="I21" s="262">
        <v>218883</v>
      </c>
      <c r="J21" s="419"/>
      <c r="K21" s="423"/>
      <c r="L21" s="261">
        <v>4622586</v>
      </c>
      <c r="M21" s="415"/>
      <c r="N21" s="418"/>
      <c r="O21" s="90">
        <f t="shared" si="0"/>
        <v>0.64616126543209873</v>
      </c>
      <c r="P21" s="416"/>
      <c r="Q21" s="417"/>
      <c r="R21" s="263">
        <v>959179.65483870986</v>
      </c>
      <c r="S21" s="415"/>
      <c r="T21" s="418"/>
      <c r="U21" s="90">
        <f t="shared" si="1"/>
        <v>0.13407749245710182</v>
      </c>
      <c r="V21" s="416"/>
      <c r="W21" s="417"/>
    </row>
    <row r="22" spans="2:23">
      <c r="B22" s="422"/>
      <c r="C22" s="422"/>
      <c r="D22" s="86">
        <v>45887</v>
      </c>
      <c r="E22" s="86" t="s">
        <v>119</v>
      </c>
      <c r="F22" s="261">
        <v>6859855</v>
      </c>
      <c r="G22" s="415"/>
      <c r="H22" s="418"/>
      <c r="I22" s="262">
        <v>214809</v>
      </c>
      <c r="J22" s="419"/>
      <c r="K22" s="423"/>
      <c r="L22" s="261">
        <v>4471625</v>
      </c>
      <c r="M22" s="415"/>
      <c r="N22" s="418"/>
      <c r="O22" s="90">
        <f t="shared" si="0"/>
        <v>0.65185415726717255</v>
      </c>
      <c r="P22" s="416"/>
      <c r="Q22" s="417"/>
      <c r="R22" s="263">
        <v>976304.98483870982</v>
      </c>
      <c r="S22" s="415"/>
      <c r="T22" s="418"/>
      <c r="U22" s="90">
        <f t="shared" si="1"/>
        <v>0.14232151916311786</v>
      </c>
      <c r="V22" s="416"/>
      <c r="W22" s="417"/>
    </row>
    <row r="23" spans="2:23">
      <c r="B23" s="421">
        <f>D31</f>
        <v>45896</v>
      </c>
      <c r="C23" s="422"/>
      <c r="D23" s="86">
        <v>45888</v>
      </c>
      <c r="E23" s="86" t="s">
        <v>120</v>
      </c>
      <c r="F23" s="261">
        <v>7669791</v>
      </c>
      <c r="G23" s="415">
        <f t="shared" ref="G23" si="14">SUM(F23:F29)</f>
        <v>48798227</v>
      </c>
      <c r="H23" s="418"/>
      <c r="I23" s="262">
        <v>237868</v>
      </c>
      <c r="J23" s="419">
        <f t="shared" ref="J23" si="15">SUM(I23:I29)</f>
        <v>1526628</v>
      </c>
      <c r="K23" s="423"/>
      <c r="L23" s="261">
        <v>5123124</v>
      </c>
      <c r="M23" s="415">
        <f t="shared" ref="M23" si="16">SUM(L23:L29)</f>
        <v>32021656</v>
      </c>
      <c r="N23" s="418"/>
      <c r="O23" s="90">
        <f t="shared" si="0"/>
        <v>0.66796135644374144</v>
      </c>
      <c r="P23" s="416">
        <f t="shared" ref="P23" si="17">M23/G23</f>
        <v>0.65620531663988535</v>
      </c>
      <c r="Q23" s="417"/>
      <c r="R23" s="263">
        <v>986490.34483870957</v>
      </c>
      <c r="S23" s="415">
        <f t="shared" ref="S23" si="18">SUM(R23:R29)</f>
        <v>6898748.8155376352</v>
      </c>
      <c r="T23" s="418"/>
      <c r="U23" s="90">
        <f t="shared" si="1"/>
        <v>0.12862023813148357</v>
      </c>
      <c r="V23" s="416">
        <f t="shared" ref="V23" si="19">S23/G23</f>
        <v>0.14137293995410191</v>
      </c>
      <c r="W23" s="417"/>
    </row>
    <row r="24" spans="2:23">
      <c r="B24" s="422"/>
      <c r="C24" s="422"/>
      <c r="D24" s="86">
        <v>45889</v>
      </c>
      <c r="E24" s="86" t="s">
        <v>114</v>
      </c>
      <c r="F24" s="261">
        <v>7361858</v>
      </c>
      <c r="G24" s="415"/>
      <c r="H24" s="418"/>
      <c r="I24" s="262">
        <v>229442</v>
      </c>
      <c r="J24" s="419"/>
      <c r="K24" s="423"/>
      <c r="L24" s="261">
        <v>4636620</v>
      </c>
      <c r="M24" s="415"/>
      <c r="N24" s="418"/>
      <c r="O24" s="90">
        <f t="shared" si="0"/>
        <v>0.62981654902879136</v>
      </c>
      <c r="P24" s="416"/>
      <c r="Q24" s="417"/>
      <c r="R24" s="263">
        <v>983128.49483870983</v>
      </c>
      <c r="S24" s="415"/>
      <c r="T24" s="418"/>
      <c r="U24" s="90">
        <f t="shared" si="1"/>
        <v>0.13354352866337679</v>
      </c>
      <c r="V24" s="416"/>
      <c r="W24" s="417"/>
    </row>
    <row r="25" spans="2:23">
      <c r="B25" s="422"/>
      <c r="C25" s="422"/>
      <c r="D25" s="86">
        <v>45890</v>
      </c>
      <c r="E25" s="86" t="s">
        <v>115</v>
      </c>
      <c r="F25" s="261">
        <v>7002876</v>
      </c>
      <c r="G25" s="415"/>
      <c r="H25" s="418"/>
      <c r="I25" s="262">
        <v>218054</v>
      </c>
      <c r="J25" s="419"/>
      <c r="K25" s="423"/>
      <c r="L25" s="261">
        <v>4532763</v>
      </c>
      <c r="M25" s="415"/>
      <c r="N25" s="418"/>
      <c r="O25" s="90">
        <f t="shared" si="0"/>
        <v>0.64727163525385856</v>
      </c>
      <c r="P25" s="416"/>
      <c r="Q25" s="417"/>
      <c r="R25" s="263">
        <v>968897.68483870965</v>
      </c>
      <c r="S25" s="415"/>
      <c r="T25" s="418"/>
      <c r="U25" s="90">
        <f t="shared" si="1"/>
        <v>0.13835710997006226</v>
      </c>
      <c r="V25" s="416"/>
      <c r="W25" s="417"/>
    </row>
    <row r="26" spans="2:23">
      <c r="B26" s="422"/>
      <c r="C26" s="422"/>
      <c r="D26" s="86">
        <v>45891</v>
      </c>
      <c r="E26" s="86" t="s">
        <v>116</v>
      </c>
      <c r="F26" s="261">
        <v>6204031</v>
      </c>
      <c r="G26" s="415"/>
      <c r="H26" s="418"/>
      <c r="I26" s="262">
        <v>195390</v>
      </c>
      <c r="J26" s="419"/>
      <c r="K26" s="423"/>
      <c r="L26" s="261">
        <v>4156769</v>
      </c>
      <c r="M26" s="415"/>
      <c r="N26" s="418"/>
      <c r="O26" s="90">
        <f t="shared" si="0"/>
        <v>0.67001099768843841</v>
      </c>
      <c r="P26" s="416"/>
      <c r="Q26" s="417"/>
      <c r="R26" s="263">
        <v>992349.54317204293</v>
      </c>
      <c r="S26" s="415"/>
      <c r="T26" s="418"/>
      <c r="U26" s="90">
        <f t="shared" si="1"/>
        <v>0.15995238308319912</v>
      </c>
      <c r="V26" s="416"/>
      <c r="W26" s="417"/>
    </row>
    <row r="27" spans="2:23">
      <c r="B27" s="422"/>
      <c r="C27" s="422"/>
      <c r="D27" s="86">
        <v>45892</v>
      </c>
      <c r="E27" s="86" t="s">
        <v>117</v>
      </c>
      <c r="F27" s="261">
        <v>6323179</v>
      </c>
      <c r="G27" s="415"/>
      <c r="H27" s="418"/>
      <c r="I27" s="262">
        <v>198181</v>
      </c>
      <c r="J27" s="419"/>
      <c r="K27" s="423"/>
      <c r="L27" s="261">
        <v>4318835</v>
      </c>
      <c r="M27" s="415"/>
      <c r="N27" s="418"/>
      <c r="O27" s="90">
        <f t="shared" si="0"/>
        <v>0.68301640677893194</v>
      </c>
      <c r="P27" s="416"/>
      <c r="Q27" s="417"/>
      <c r="R27" s="263">
        <v>990699.65817204339</v>
      </c>
      <c r="S27" s="415"/>
      <c r="T27" s="418"/>
      <c r="U27" s="90">
        <f t="shared" si="1"/>
        <v>0.15667746527056142</v>
      </c>
      <c r="V27" s="416"/>
      <c r="W27" s="417"/>
    </row>
    <row r="28" spans="2:23">
      <c r="B28" s="422"/>
      <c r="C28" s="422"/>
      <c r="D28" s="86">
        <v>45893</v>
      </c>
      <c r="E28" s="86" t="s">
        <v>118</v>
      </c>
      <c r="F28" s="261">
        <v>7218612</v>
      </c>
      <c r="G28" s="415"/>
      <c r="H28" s="418"/>
      <c r="I28" s="262">
        <v>227099</v>
      </c>
      <c r="J28" s="419"/>
      <c r="K28" s="423"/>
      <c r="L28" s="261">
        <v>4527394</v>
      </c>
      <c r="M28" s="415"/>
      <c r="N28" s="418"/>
      <c r="O28" s="90">
        <f t="shared" si="0"/>
        <v>0.62718345299622702</v>
      </c>
      <c r="P28" s="416"/>
      <c r="Q28" s="417"/>
      <c r="R28" s="263">
        <v>988981.43983871001</v>
      </c>
      <c r="S28" s="415"/>
      <c r="T28" s="418"/>
      <c r="U28" s="90">
        <f t="shared" si="1"/>
        <v>0.13700437699639625</v>
      </c>
      <c r="V28" s="416"/>
      <c r="W28" s="417"/>
    </row>
    <row r="29" spans="2:23">
      <c r="B29" s="422"/>
      <c r="C29" s="422"/>
      <c r="D29" s="86">
        <v>45894</v>
      </c>
      <c r="E29" s="86" t="s">
        <v>119</v>
      </c>
      <c r="F29" s="261">
        <v>7017880</v>
      </c>
      <c r="G29" s="415"/>
      <c r="H29" s="418"/>
      <c r="I29" s="262">
        <v>220594</v>
      </c>
      <c r="J29" s="419"/>
      <c r="K29" s="423"/>
      <c r="L29" s="261">
        <v>4726151</v>
      </c>
      <c r="M29" s="415"/>
      <c r="N29" s="418"/>
      <c r="O29" s="90">
        <f t="shared" si="0"/>
        <v>0.673444259519969</v>
      </c>
      <c r="P29" s="416"/>
      <c r="Q29" s="417"/>
      <c r="R29" s="263">
        <v>988201.64983870974</v>
      </c>
      <c r="S29" s="415"/>
      <c r="T29" s="418"/>
      <c r="U29" s="90">
        <f t="shared" si="1"/>
        <v>0.1408119902076852</v>
      </c>
      <c r="V29" s="416"/>
      <c r="W29" s="417"/>
    </row>
    <row r="30" spans="2:23">
      <c r="B30" s="421">
        <f>D38</f>
        <v>45903</v>
      </c>
      <c r="C30" s="422"/>
      <c r="D30" s="86">
        <v>45895</v>
      </c>
      <c r="E30" s="86" t="s">
        <v>120</v>
      </c>
      <c r="F30" s="261">
        <v>6875105</v>
      </c>
      <c r="G30" s="415">
        <f t="shared" ref="G30" si="20">SUM(F30:F36)</f>
        <v>46287577</v>
      </c>
      <c r="H30" s="418"/>
      <c r="I30" s="262">
        <v>215808</v>
      </c>
      <c r="J30" s="419">
        <f t="shared" ref="J30" si="21">SUM(I30:I36)</f>
        <v>1456107</v>
      </c>
      <c r="K30" s="423"/>
      <c r="L30" s="261">
        <v>4445363</v>
      </c>
      <c r="M30" s="415">
        <f t="shared" ref="M30" si="22">SUM(L30:L36)</f>
        <v>30249524</v>
      </c>
      <c r="N30" s="418"/>
      <c r="O30" s="90">
        <f t="shared" si="0"/>
        <v>0.64658837937747859</v>
      </c>
      <c r="P30" s="416">
        <f t="shared" ref="P30" si="23">M30/G30</f>
        <v>0.65351279890930558</v>
      </c>
      <c r="Q30" s="417"/>
      <c r="R30" s="263">
        <v>993229.01483870973</v>
      </c>
      <c r="S30" s="415">
        <f t="shared" ref="S30" si="24">SUM(R30:R36)</f>
        <v>6753586.8364516133</v>
      </c>
      <c r="T30" s="418"/>
      <c r="U30" s="90">
        <f t="shared" si="1"/>
        <v>0.14446746847338474</v>
      </c>
      <c r="V30" s="416">
        <f t="shared" ref="V30" si="25">S30/G30</f>
        <v>0.14590495493967234</v>
      </c>
      <c r="W30" s="417"/>
    </row>
    <row r="31" spans="2:23">
      <c r="B31" s="422"/>
      <c r="C31" s="422"/>
      <c r="D31" s="86">
        <v>45896</v>
      </c>
      <c r="E31" s="86" t="s">
        <v>114</v>
      </c>
      <c r="F31" s="261">
        <v>6713523</v>
      </c>
      <c r="G31" s="415"/>
      <c r="H31" s="418"/>
      <c r="I31" s="262">
        <v>211789</v>
      </c>
      <c r="J31" s="419"/>
      <c r="K31" s="423"/>
      <c r="L31" s="261">
        <v>4375267</v>
      </c>
      <c r="M31" s="415"/>
      <c r="N31" s="418"/>
      <c r="O31" s="90">
        <f t="shared" si="0"/>
        <v>0.65170954206904486</v>
      </c>
      <c r="P31" s="416"/>
      <c r="Q31" s="417"/>
      <c r="R31" s="263">
        <v>975476.52650537645</v>
      </c>
      <c r="S31" s="415"/>
      <c r="T31" s="418"/>
      <c r="U31" s="90">
        <f t="shared" si="1"/>
        <v>0.14530024347952281</v>
      </c>
      <c r="V31" s="416"/>
      <c r="W31" s="417"/>
    </row>
    <row r="32" spans="2:23">
      <c r="B32" s="422"/>
      <c r="C32" s="422"/>
      <c r="D32" s="86">
        <v>45897</v>
      </c>
      <c r="E32" s="86" t="s">
        <v>115</v>
      </c>
      <c r="F32" s="261">
        <v>6453701</v>
      </c>
      <c r="G32" s="415"/>
      <c r="H32" s="418"/>
      <c r="I32" s="262">
        <v>204538</v>
      </c>
      <c r="J32" s="419"/>
      <c r="K32" s="423"/>
      <c r="L32" s="261">
        <v>4275402</v>
      </c>
      <c r="M32" s="415"/>
      <c r="N32" s="418"/>
      <c r="O32" s="90">
        <f t="shared" si="0"/>
        <v>0.66247289733441328</v>
      </c>
      <c r="P32" s="416"/>
      <c r="Q32" s="417"/>
      <c r="R32" s="263">
        <v>984413.34150537651</v>
      </c>
      <c r="S32" s="415"/>
      <c r="T32" s="418"/>
      <c r="U32" s="90">
        <f t="shared" si="1"/>
        <v>0.15253469931522648</v>
      </c>
      <c r="V32" s="416"/>
      <c r="W32" s="417"/>
    </row>
    <row r="33" spans="2:23">
      <c r="B33" s="422"/>
      <c r="C33" s="422"/>
      <c r="D33" s="86">
        <v>45898</v>
      </c>
      <c r="E33" s="86" t="s">
        <v>116</v>
      </c>
      <c r="F33" s="261">
        <v>5903385</v>
      </c>
      <c r="G33" s="415"/>
      <c r="H33" s="418"/>
      <c r="I33" s="262">
        <v>187591</v>
      </c>
      <c r="J33" s="419"/>
      <c r="K33" s="423"/>
      <c r="L33" s="261">
        <v>3865422</v>
      </c>
      <c r="M33" s="415"/>
      <c r="N33" s="418"/>
      <c r="O33" s="90">
        <f t="shared" si="0"/>
        <v>0.65478060468697197</v>
      </c>
      <c r="P33" s="416"/>
      <c r="Q33" s="417"/>
      <c r="R33" s="263">
        <v>962941.29317204305</v>
      </c>
      <c r="S33" s="415"/>
      <c r="T33" s="418"/>
      <c r="U33" s="90">
        <f t="shared" si="1"/>
        <v>0.1631168038628758</v>
      </c>
      <c r="V33" s="416"/>
      <c r="W33" s="417"/>
    </row>
    <row r="34" spans="2:23">
      <c r="B34" s="422"/>
      <c r="C34" s="422"/>
      <c r="D34" s="86">
        <v>45899</v>
      </c>
      <c r="E34" s="86" t="s">
        <v>117</v>
      </c>
      <c r="F34" s="261">
        <v>6221025</v>
      </c>
      <c r="G34" s="415"/>
      <c r="H34" s="418"/>
      <c r="I34" s="262">
        <v>193659</v>
      </c>
      <c r="J34" s="419"/>
      <c r="K34" s="423"/>
      <c r="L34" s="261">
        <v>4192354</v>
      </c>
      <c r="M34" s="415"/>
      <c r="N34" s="418"/>
      <c r="O34" s="90">
        <f t="shared" si="0"/>
        <v>0.6739008443142408</v>
      </c>
      <c r="P34" s="416"/>
      <c r="Q34" s="417"/>
      <c r="R34" s="263">
        <v>950874.71317204309</v>
      </c>
      <c r="S34" s="415"/>
      <c r="T34" s="418"/>
      <c r="U34" s="90">
        <f t="shared" si="1"/>
        <v>0.15284856003183447</v>
      </c>
      <c r="V34" s="416"/>
      <c r="W34" s="417"/>
    </row>
    <row r="35" spans="2:23">
      <c r="B35" s="422"/>
      <c r="C35" s="422"/>
      <c r="D35" s="86">
        <v>45900</v>
      </c>
      <c r="E35" s="86" t="s">
        <v>118</v>
      </c>
      <c r="F35" s="261">
        <v>7014613</v>
      </c>
      <c r="G35" s="415"/>
      <c r="H35" s="418"/>
      <c r="I35" s="262">
        <v>220413</v>
      </c>
      <c r="J35" s="419"/>
      <c r="K35" s="423"/>
      <c r="L35" s="261">
        <v>4473786</v>
      </c>
      <c r="M35" s="415"/>
      <c r="N35" s="418"/>
      <c r="O35" s="90">
        <f t="shared" si="0"/>
        <v>0.63778087258698379</v>
      </c>
      <c r="P35" s="416"/>
      <c r="Q35" s="417"/>
      <c r="R35" s="263">
        <v>979878.72483870981</v>
      </c>
      <c r="S35" s="415"/>
      <c r="T35" s="418"/>
      <c r="U35" s="90">
        <f t="shared" si="1"/>
        <v>0.13969105991146052</v>
      </c>
      <c r="V35" s="416"/>
      <c r="W35" s="417"/>
    </row>
    <row r="36" spans="2:23">
      <c r="B36" s="422"/>
      <c r="D36" s="86">
        <v>45901</v>
      </c>
      <c r="E36" s="86" t="s">
        <v>119</v>
      </c>
      <c r="F36" s="360">
        <v>7106225</v>
      </c>
      <c r="G36" s="415"/>
      <c r="I36" s="359">
        <v>222309</v>
      </c>
      <c r="J36" s="419"/>
      <c r="L36" s="360">
        <v>4621930</v>
      </c>
      <c r="M36" s="415"/>
      <c r="N36" s="87"/>
      <c r="O36" s="90">
        <f t="shared" si="0"/>
        <v>0.65040580617697863</v>
      </c>
      <c r="P36" s="416"/>
      <c r="Q36" s="87"/>
      <c r="R36" s="357">
        <v>906773.22241935483</v>
      </c>
      <c r="S36" s="415"/>
      <c r="T36" s="87"/>
      <c r="U36" s="90">
        <f t="shared" si="1"/>
        <v>0.12760266138763618</v>
      </c>
      <c r="V36" s="416"/>
      <c r="W36" s="87"/>
    </row>
    <row r="37" spans="2:23">
      <c r="B37" s="422"/>
      <c r="D37" s="86">
        <v>45902</v>
      </c>
      <c r="E37" s="86" t="s">
        <v>120</v>
      </c>
      <c r="F37" s="360">
        <v>7727458</v>
      </c>
      <c r="G37" s="415">
        <f t="shared" ref="G37" si="26">SUM(F37:F43)</f>
        <v>48362935</v>
      </c>
      <c r="I37" s="359">
        <v>240560</v>
      </c>
      <c r="J37" s="419">
        <f t="shared" ref="J37" si="27">SUM(I37:I43)</f>
        <v>1525242</v>
      </c>
      <c r="L37" s="360">
        <v>5060598</v>
      </c>
      <c r="M37" s="415">
        <f t="shared" ref="M37" si="28">SUM(L37:L43)</f>
        <v>31940881</v>
      </c>
      <c r="N37" s="87"/>
      <c r="O37" s="90">
        <f t="shared" si="0"/>
        <v>0.65488521581094328</v>
      </c>
      <c r="P37" s="416">
        <f t="shared" ref="P37" si="29">M37/G37</f>
        <v>0.66044132764068186</v>
      </c>
      <c r="Q37" s="87"/>
      <c r="R37" s="357">
        <v>979621.45241935481</v>
      </c>
      <c r="S37" s="415">
        <f t="shared" ref="S37" si="30">SUM(R37:R43)</f>
        <v>6652022.5569354855</v>
      </c>
      <c r="T37" s="87"/>
      <c r="U37" s="90">
        <f t="shared" si="1"/>
        <v>0.12677150136815429</v>
      </c>
      <c r="V37" s="416">
        <f t="shared" si="1"/>
        <v>0.13754381443011027</v>
      </c>
      <c r="W37" s="87"/>
    </row>
    <row r="38" spans="2:23">
      <c r="B38" s="422"/>
      <c r="D38" s="86">
        <v>45903</v>
      </c>
      <c r="E38" s="86" t="s">
        <v>114</v>
      </c>
      <c r="F38" s="360">
        <v>7254649</v>
      </c>
      <c r="G38" s="415"/>
      <c r="I38" s="359">
        <v>228856</v>
      </c>
      <c r="J38" s="419"/>
      <c r="L38" s="360">
        <v>4619747</v>
      </c>
      <c r="M38" s="415"/>
      <c r="N38" s="87"/>
      <c r="O38" s="90">
        <f t="shared" si="0"/>
        <v>0.63679814144006142</v>
      </c>
      <c r="P38" s="416"/>
      <c r="Q38" s="87"/>
      <c r="R38" s="357">
        <v>927369.8174193548</v>
      </c>
      <c r="S38" s="415"/>
      <c r="T38" s="87"/>
      <c r="U38" s="90">
        <f t="shared" si="1"/>
        <v>0.12783110766893818</v>
      </c>
      <c r="V38" s="416"/>
      <c r="W38" s="87"/>
    </row>
    <row r="39" spans="2:23">
      <c r="B39" s="422"/>
      <c r="D39" s="86">
        <v>45904</v>
      </c>
      <c r="E39" s="86" t="s">
        <v>115</v>
      </c>
      <c r="F39" s="360">
        <v>6602059</v>
      </c>
      <c r="G39" s="415"/>
      <c r="I39" s="359">
        <v>210018</v>
      </c>
      <c r="J39" s="419"/>
      <c r="L39" s="360">
        <v>4475566</v>
      </c>
      <c r="M39" s="415"/>
      <c r="N39" s="87"/>
      <c r="O39" s="90">
        <f t="shared" ref="O39:O42" si="31">L39/F39</f>
        <v>0.677904574921248</v>
      </c>
      <c r="P39" s="416"/>
      <c r="Q39" s="87"/>
      <c r="R39" s="357">
        <v>964337.56741935527</v>
      </c>
      <c r="S39" s="415"/>
      <c r="T39" s="87"/>
      <c r="U39" s="90">
        <f t="shared" si="1"/>
        <v>0.14606618441600647</v>
      </c>
      <c r="V39" s="416"/>
      <c r="W39" s="87"/>
    </row>
    <row r="40" spans="2:23">
      <c r="B40" s="422"/>
      <c r="D40" s="86">
        <v>45905</v>
      </c>
      <c r="E40" s="86" t="s">
        <v>116</v>
      </c>
      <c r="F40" s="360">
        <v>5807177</v>
      </c>
      <c r="G40" s="415"/>
      <c r="I40" s="359">
        <v>186157</v>
      </c>
      <c r="J40" s="419"/>
      <c r="L40" s="360">
        <v>3941615</v>
      </c>
      <c r="M40" s="415"/>
      <c r="N40" s="87"/>
      <c r="O40" s="90">
        <f t="shared" si="31"/>
        <v>0.67874889985271669</v>
      </c>
      <c r="P40" s="416"/>
      <c r="Q40" s="87"/>
      <c r="R40" s="357">
        <v>896979.55741935456</v>
      </c>
      <c r="S40" s="415"/>
      <c r="T40" s="87"/>
      <c r="U40" s="90">
        <f t="shared" si="1"/>
        <v>0.15446051625761614</v>
      </c>
      <c r="V40" s="416"/>
      <c r="W40" s="87"/>
    </row>
    <row r="41" spans="2:23">
      <c r="B41" s="422"/>
      <c r="D41" s="86">
        <v>45906</v>
      </c>
      <c r="E41" s="86" t="s">
        <v>117</v>
      </c>
      <c r="F41" s="360">
        <v>6167669</v>
      </c>
      <c r="G41" s="415"/>
      <c r="I41" s="359">
        <v>195008</v>
      </c>
      <c r="J41" s="419"/>
      <c r="L41" s="360">
        <v>4376939</v>
      </c>
      <c r="M41" s="415"/>
      <c r="N41" s="87"/>
      <c r="O41" s="90">
        <f t="shared" si="31"/>
        <v>0.70965854360861458</v>
      </c>
      <c r="P41" s="416"/>
      <c r="Q41" s="87"/>
      <c r="R41" s="357">
        <v>921397.82741935505</v>
      </c>
      <c r="S41" s="415"/>
      <c r="T41" s="87"/>
      <c r="U41" s="90">
        <f t="shared" si="1"/>
        <v>0.1493915817173968</v>
      </c>
      <c r="V41" s="416"/>
      <c r="W41" s="87"/>
    </row>
    <row r="42" spans="2:23">
      <c r="B42" s="422"/>
      <c r="D42" s="86">
        <v>45907</v>
      </c>
      <c r="E42" s="86" t="s">
        <v>118</v>
      </c>
      <c r="F42" s="360">
        <v>7394780</v>
      </c>
      <c r="G42" s="415"/>
      <c r="I42" s="359">
        <v>233163</v>
      </c>
      <c r="J42" s="419"/>
      <c r="L42" s="360">
        <v>4657028</v>
      </c>
      <c r="M42" s="415"/>
      <c r="N42" s="87"/>
      <c r="O42" s="90">
        <f t="shared" si="31"/>
        <v>0.62977235293003986</v>
      </c>
      <c r="P42" s="416"/>
      <c r="Q42" s="87"/>
      <c r="R42" s="357">
        <v>974400.3474193553</v>
      </c>
      <c r="S42" s="415"/>
      <c r="T42" s="87"/>
      <c r="U42" s="90">
        <f t="shared" si="1"/>
        <v>0.13176867295840516</v>
      </c>
      <c r="V42" s="416"/>
      <c r="W42" s="87"/>
    </row>
    <row r="43" spans="2:23">
      <c r="B43" s="422"/>
      <c r="D43" s="86">
        <v>45908</v>
      </c>
      <c r="E43" s="86" t="s">
        <v>119</v>
      </c>
      <c r="F43" s="360">
        <v>7409143</v>
      </c>
      <c r="G43" s="415"/>
      <c r="I43" s="359">
        <v>231480</v>
      </c>
      <c r="J43" s="419"/>
      <c r="L43" s="360">
        <v>4809388</v>
      </c>
      <c r="M43" s="415"/>
      <c r="N43" s="87"/>
      <c r="O43" s="90">
        <f>L43/F43</f>
        <v>0.64911528904220095</v>
      </c>
      <c r="P43" s="416"/>
      <c r="Q43" s="87"/>
      <c r="R43" s="357">
        <v>987915.9874193552</v>
      </c>
      <c r="S43" s="415"/>
      <c r="T43" s="87"/>
      <c r="U43" s="90">
        <f t="shared" si="1"/>
        <v>0.13333741667819818</v>
      </c>
      <c r="V43" s="416"/>
      <c r="W43" s="87"/>
    </row>
  </sheetData>
  <mergeCells count="58">
    <mergeCell ref="B2:W2"/>
    <mergeCell ref="I3:K3"/>
    <mergeCell ref="L3:N3"/>
    <mergeCell ref="F3:H3"/>
    <mergeCell ref="G5:G8"/>
    <mergeCell ref="B3:B4"/>
    <mergeCell ref="C3:C4"/>
    <mergeCell ref="D3:E4"/>
    <mergeCell ref="R3:T3"/>
    <mergeCell ref="U3:W3"/>
    <mergeCell ref="B30:B36"/>
    <mergeCell ref="H5:H35"/>
    <mergeCell ref="J5:J8"/>
    <mergeCell ref="K5:K35"/>
    <mergeCell ref="B37:B43"/>
    <mergeCell ref="B5:B15"/>
    <mergeCell ref="B16:B22"/>
    <mergeCell ref="B23:B29"/>
    <mergeCell ref="C5:C35"/>
    <mergeCell ref="J37:J43"/>
    <mergeCell ref="G9:G15"/>
    <mergeCell ref="G16:G22"/>
    <mergeCell ref="G23:G29"/>
    <mergeCell ref="G30:G36"/>
    <mergeCell ref="G37:G43"/>
    <mergeCell ref="J9:J15"/>
    <mergeCell ref="J16:J22"/>
    <mergeCell ref="J23:J29"/>
    <mergeCell ref="J30:J36"/>
    <mergeCell ref="M37:M43"/>
    <mergeCell ref="O3:Q3"/>
    <mergeCell ref="P5:P8"/>
    <mergeCell ref="Q5:Q35"/>
    <mergeCell ref="P9:P15"/>
    <mergeCell ref="P16:P22"/>
    <mergeCell ref="P23:P29"/>
    <mergeCell ref="P30:P36"/>
    <mergeCell ref="M5:M8"/>
    <mergeCell ref="N5:N35"/>
    <mergeCell ref="M9:M15"/>
    <mergeCell ref="M16:M22"/>
    <mergeCell ref="M23:M29"/>
    <mergeCell ref="M30:M36"/>
    <mergeCell ref="V37:V43"/>
    <mergeCell ref="V5:V8"/>
    <mergeCell ref="W5:W35"/>
    <mergeCell ref="V9:V15"/>
    <mergeCell ref="V16:V22"/>
    <mergeCell ref="V23:V29"/>
    <mergeCell ref="V30:V36"/>
    <mergeCell ref="P37:P43"/>
    <mergeCell ref="S5:S8"/>
    <mergeCell ref="T5:T35"/>
    <mergeCell ref="S9:S15"/>
    <mergeCell ref="S16:S22"/>
    <mergeCell ref="S23:S29"/>
    <mergeCell ref="S30:S36"/>
    <mergeCell ref="S37:S43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3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F44" sqref="F44"/>
    </sheetView>
  </sheetViews>
  <sheetFormatPr defaultColWidth="8.85546875" defaultRowHeight="12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391</v>
      </c>
      <c r="C1" s="83">
        <v>366</v>
      </c>
    </row>
    <row r="2" spans="2:23" ht="38.1" customHeight="1">
      <c r="B2" s="424" t="s">
        <v>133</v>
      </c>
      <c r="C2" s="435"/>
      <c r="D2" s="435"/>
      <c r="E2" s="435"/>
      <c r="F2" s="435"/>
      <c r="G2" s="435"/>
      <c r="H2" s="435"/>
      <c r="I2" s="435"/>
      <c r="J2" s="435"/>
      <c r="K2" s="435"/>
      <c r="L2" s="435"/>
      <c r="M2" s="435"/>
      <c r="N2" s="435"/>
      <c r="O2" s="435"/>
      <c r="P2" s="435"/>
      <c r="Q2" s="435"/>
      <c r="R2" s="435"/>
      <c r="S2" s="435"/>
      <c r="T2" s="435"/>
      <c r="U2" s="435"/>
    </row>
    <row r="3" spans="2:23" s="72" customFormat="1" ht="23.45" customHeight="1">
      <c r="B3" s="428" t="s">
        <v>125</v>
      </c>
      <c r="C3" s="429" t="s">
        <v>122</v>
      </c>
      <c r="D3" s="430" t="s">
        <v>105</v>
      </c>
      <c r="E3" s="430"/>
      <c r="F3" s="436" t="s">
        <v>107</v>
      </c>
      <c r="G3" s="436"/>
      <c r="H3" s="436"/>
      <c r="I3" s="437" t="s">
        <v>108</v>
      </c>
      <c r="J3" s="437"/>
      <c r="K3" s="437"/>
      <c r="L3" s="433" t="s">
        <v>373</v>
      </c>
      <c r="M3" s="433"/>
      <c r="N3" s="433"/>
      <c r="O3" s="433" t="s">
        <v>106</v>
      </c>
      <c r="P3" s="433"/>
      <c r="Q3" s="433"/>
      <c r="R3" s="433" t="s">
        <v>109</v>
      </c>
      <c r="S3" s="433"/>
      <c r="T3" s="433"/>
      <c r="U3" s="433" t="s">
        <v>110</v>
      </c>
      <c r="V3" s="433"/>
      <c r="W3" s="433"/>
    </row>
    <row r="4" spans="2:23" ht="15.75">
      <c r="B4" s="428"/>
      <c r="C4" s="429"/>
      <c r="D4" s="430"/>
      <c r="E4" s="430"/>
      <c r="F4" s="85" t="s">
        <v>118</v>
      </c>
      <c r="G4" s="96" t="s">
        <v>134</v>
      </c>
      <c r="H4" s="96" t="s">
        <v>135</v>
      </c>
      <c r="I4" s="85" t="s">
        <v>118</v>
      </c>
      <c r="J4" s="95" t="s">
        <v>134</v>
      </c>
      <c r="K4" s="95" t="s">
        <v>135</v>
      </c>
      <c r="L4" s="85" t="s">
        <v>118</v>
      </c>
      <c r="M4" s="95" t="s">
        <v>134</v>
      </c>
      <c r="N4" s="95" t="s">
        <v>135</v>
      </c>
      <c r="O4" s="85" t="s">
        <v>118</v>
      </c>
      <c r="P4" s="95" t="s">
        <v>134</v>
      </c>
      <c r="Q4" s="95" t="s">
        <v>135</v>
      </c>
      <c r="R4" s="85" t="s">
        <v>118</v>
      </c>
      <c r="S4" s="95" t="s">
        <v>134</v>
      </c>
      <c r="T4" s="95" t="s">
        <v>135</v>
      </c>
      <c r="U4" s="85" t="s">
        <v>118</v>
      </c>
      <c r="V4" s="95" t="s">
        <v>134</v>
      </c>
      <c r="W4" s="95" t="s">
        <v>135</v>
      </c>
    </row>
    <row r="5" spans="2:23" ht="14.45" customHeight="1">
      <c r="B5" s="421">
        <f>D17</f>
        <v>45882</v>
      </c>
      <c r="C5" s="422" t="s">
        <v>121</v>
      </c>
      <c r="D5" s="86">
        <v>45870</v>
      </c>
      <c r="E5" s="86" t="s">
        <v>116</v>
      </c>
      <c r="F5" s="260">
        <v>323.2</v>
      </c>
      <c r="G5" s="438">
        <f>AVERAGE(F5:F8)</f>
        <v>323.2</v>
      </c>
      <c r="H5" s="438">
        <f>AVERAGE(F30:F99)</f>
        <v>336.69624227210886</v>
      </c>
      <c r="I5" s="90">
        <f>F5/$C$1</f>
        <v>0.88306010928961742</v>
      </c>
      <c r="J5" s="432">
        <f>AVERAGE(I5:I8)</f>
        <v>0.88306010928961742</v>
      </c>
      <c r="K5" s="432">
        <f>AVERAGE(I30:I99)</f>
        <v>0.91993508817516056</v>
      </c>
      <c r="L5" s="285">
        <v>2.5117077271316081E-3</v>
      </c>
      <c r="M5" s="434">
        <f>AVERAGE(L5:L8)</f>
        <v>2.4983246640007005E-3</v>
      </c>
      <c r="N5" s="434">
        <f>AVERAGE(L30:L99)</f>
        <v>2.463089110792981E-3</v>
      </c>
      <c r="O5" s="285">
        <v>2.9999029555972303E-3</v>
      </c>
      <c r="P5" s="434">
        <f>AVERAGE(O5:O8)</f>
        <v>2.5091066956805623E-3</v>
      </c>
      <c r="Q5" s="434">
        <f>AVERAGE(O30:O99)</f>
        <v>2.5032418392086039E-3</v>
      </c>
      <c r="R5" s="264">
        <f>11/12</f>
        <v>0.91666666666666663</v>
      </c>
      <c r="S5" s="432">
        <f>AVERAGE(R5:R8)</f>
        <v>0.91666666666666663</v>
      </c>
      <c r="T5" s="432">
        <f>AVERAGE(R30:R99)</f>
        <v>0.91666666666666641</v>
      </c>
      <c r="U5" s="264">
        <v>0.62</v>
      </c>
      <c r="V5" s="432">
        <f>AVERAGE(U5:U8)</f>
        <v>0.625</v>
      </c>
      <c r="W5" s="432">
        <f>AVERAGE(U30:U99)</f>
        <v>0.72278571428571425</v>
      </c>
    </row>
    <row r="6" spans="2:23" ht="14.45" customHeight="1">
      <c r="B6" s="422"/>
      <c r="C6" s="422"/>
      <c r="D6" s="86">
        <v>45871</v>
      </c>
      <c r="E6" s="86" t="s">
        <v>117</v>
      </c>
      <c r="F6" s="260">
        <v>319.2</v>
      </c>
      <c r="G6" s="438"/>
      <c r="H6" s="438"/>
      <c r="I6" s="90">
        <f t="shared" ref="I6:I43" si="0">F6/$C$1</f>
        <v>0.87213114754098353</v>
      </c>
      <c r="J6" s="432"/>
      <c r="K6" s="432"/>
      <c r="L6" s="285">
        <v>2.4685920150571638E-3</v>
      </c>
      <c r="M6" s="434"/>
      <c r="N6" s="434"/>
      <c r="O6" s="285">
        <v>2.8443956385151106E-3</v>
      </c>
      <c r="P6" s="434"/>
      <c r="Q6" s="434"/>
      <c r="R6" s="264">
        <f t="shared" ref="R6:R35" si="1">11/12</f>
        <v>0.91666666666666663</v>
      </c>
      <c r="S6" s="432"/>
      <c r="T6" s="432"/>
      <c r="U6" s="264">
        <v>0.62</v>
      </c>
      <c r="V6" s="432"/>
      <c r="W6" s="432"/>
    </row>
    <row r="7" spans="2:23" ht="14.45" customHeight="1">
      <c r="B7" s="422"/>
      <c r="C7" s="422"/>
      <c r="D7" s="86">
        <v>45872</v>
      </c>
      <c r="E7" s="86" t="s">
        <v>118</v>
      </c>
      <c r="F7" s="260">
        <v>320.89999999999998</v>
      </c>
      <c r="G7" s="438"/>
      <c r="H7" s="438"/>
      <c r="I7" s="90">
        <f t="shared" si="0"/>
        <v>0.87677595628415295</v>
      </c>
      <c r="J7" s="432"/>
      <c r="K7" s="432"/>
      <c r="L7" s="285">
        <v>2.4820518218545804E-3</v>
      </c>
      <c r="M7" s="434"/>
      <c r="N7" s="434"/>
      <c r="O7" s="285">
        <v>2.1361567040387758E-3</v>
      </c>
      <c r="P7" s="434"/>
      <c r="Q7" s="434"/>
      <c r="R7" s="264">
        <f t="shared" si="1"/>
        <v>0.91666666666666663</v>
      </c>
      <c r="S7" s="432"/>
      <c r="T7" s="432"/>
      <c r="U7" s="264">
        <v>0.63</v>
      </c>
      <c r="V7" s="432"/>
      <c r="W7" s="432"/>
    </row>
    <row r="8" spans="2:23" ht="14.45" customHeight="1">
      <c r="B8" s="422"/>
      <c r="C8" s="422"/>
      <c r="D8" s="86">
        <v>45873</v>
      </c>
      <c r="E8" s="86" t="s">
        <v>119</v>
      </c>
      <c r="F8" s="260">
        <v>329.5</v>
      </c>
      <c r="G8" s="438"/>
      <c r="H8" s="438"/>
      <c r="I8" s="90">
        <f t="shared" si="0"/>
        <v>0.90027322404371579</v>
      </c>
      <c r="J8" s="432"/>
      <c r="K8" s="432"/>
      <c r="L8" s="285">
        <v>2.5309470919594487E-3</v>
      </c>
      <c r="M8" s="434"/>
      <c r="N8" s="434"/>
      <c r="O8" s="285">
        <v>2.0559714845711338E-3</v>
      </c>
      <c r="P8" s="434"/>
      <c r="Q8" s="434"/>
      <c r="R8" s="264">
        <f t="shared" si="1"/>
        <v>0.91666666666666663</v>
      </c>
      <c r="S8" s="432"/>
      <c r="T8" s="432"/>
      <c r="U8" s="264">
        <v>0.63</v>
      </c>
      <c r="V8" s="432"/>
      <c r="W8" s="432"/>
    </row>
    <row r="9" spans="2:23" ht="14.45" customHeight="1">
      <c r="B9" s="422"/>
      <c r="C9" s="422"/>
      <c r="D9" s="86">
        <v>45874</v>
      </c>
      <c r="E9" s="86" t="s">
        <v>120</v>
      </c>
      <c r="F9" s="260">
        <v>330.6</v>
      </c>
      <c r="G9" s="438">
        <f t="shared" ref="G9" si="2">AVERAGE(F9:F15)</f>
        <v>328.97142857142859</v>
      </c>
      <c r="H9" s="438"/>
      <c r="I9" s="90">
        <f t="shared" si="0"/>
        <v>0.90327868852459026</v>
      </c>
      <c r="J9" s="432">
        <f t="shared" ref="J9" si="3">AVERAGE(I9:I15)</f>
        <v>0.89882903981264639</v>
      </c>
      <c r="K9" s="432"/>
      <c r="L9" s="285">
        <v>2.4806625932654518E-3</v>
      </c>
      <c r="M9" s="434">
        <f t="shared" ref="M9" si="4">AVERAGE(L9:L15)</f>
        <v>2.5106738477247937E-3</v>
      </c>
      <c r="N9" s="434"/>
      <c r="O9" s="285">
        <v>2.0747828046030082E-3</v>
      </c>
      <c r="P9" s="434">
        <f t="shared" ref="P9" si="5">AVERAGE(O9:O15)</f>
        <v>2.4001339060407659E-3</v>
      </c>
      <c r="Q9" s="434"/>
      <c r="R9" s="264">
        <f t="shared" si="1"/>
        <v>0.91666666666666663</v>
      </c>
      <c r="S9" s="432">
        <f t="shared" ref="S9" si="6">AVERAGE(R9:R15)</f>
        <v>0.91666666666666674</v>
      </c>
      <c r="T9" s="432"/>
      <c r="U9" s="264">
        <v>0.63500000000000001</v>
      </c>
      <c r="V9" s="432">
        <f t="shared" ref="V9" si="7">AVERAGE(U9:U15)</f>
        <v>0.66</v>
      </c>
      <c r="W9" s="432"/>
    </row>
    <row r="10" spans="2:23" ht="14.45" customHeight="1">
      <c r="B10" s="422"/>
      <c r="C10" s="422"/>
      <c r="D10" s="86">
        <v>45875</v>
      </c>
      <c r="E10" s="86" t="s">
        <v>114</v>
      </c>
      <c r="F10" s="260">
        <v>329.4</v>
      </c>
      <c r="G10" s="438"/>
      <c r="H10" s="438"/>
      <c r="I10" s="90">
        <f t="shared" si="0"/>
        <v>0.89999999999999991</v>
      </c>
      <c r="J10" s="432"/>
      <c r="K10" s="432"/>
      <c r="L10" s="285">
        <v>2.4885302923924367E-3</v>
      </c>
      <c r="M10" s="434"/>
      <c r="N10" s="434"/>
      <c r="O10" s="285">
        <v>2.4893284580282398E-3</v>
      </c>
      <c r="P10" s="434"/>
      <c r="Q10" s="434"/>
      <c r="R10" s="264">
        <f t="shared" si="1"/>
        <v>0.91666666666666663</v>
      </c>
      <c r="S10" s="432"/>
      <c r="T10" s="432"/>
      <c r="U10" s="264">
        <v>0.65</v>
      </c>
      <c r="V10" s="432"/>
      <c r="W10" s="432"/>
    </row>
    <row r="11" spans="2:23" ht="14.45" customHeight="1">
      <c r="B11" s="422"/>
      <c r="C11" s="422"/>
      <c r="D11" s="86">
        <v>45876</v>
      </c>
      <c r="E11" s="86" t="s">
        <v>115</v>
      </c>
      <c r="F11" s="260">
        <v>331.8</v>
      </c>
      <c r="G11" s="438"/>
      <c r="H11" s="438"/>
      <c r="I11" s="90">
        <f t="shared" si="0"/>
        <v>0.90655737704918038</v>
      </c>
      <c r="J11" s="432"/>
      <c r="K11" s="432"/>
      <c r="L11" s="285">
        <v>2.5113289647596946E-3</v>
      </c>
      <c r="M11" s="434"/>
      <c r="N11" s="434"/>
      <c r="O11" s="285">
        <v>2.2021475903007178E-3</v>
      </c>
      <c r="P11" s="434"/>
      <c r="Q11" s="434"/>
      <c r="R11" s="264">
        <f t="shared" si="1"/>
        <v>0.91666666666666663</v>
      </c>
      <c r="S11" s="432"/>
      <c r="T11" s="432"/>
      <c r="U11" s="264">
        <v>0.66</v>
      </c>
      <c r="V11" s="432"/>
      <c r="W11" s="432"/>
    </row>
    <row r="12" spans="2:23" ht="14.45" customHeight="1">
      <c r="B12" s="422"/>
      <c r="C12" s="422"/>
      <c r="D12" s="86">
        <v>45877</v>
      </c>
      <c r="E12" s="86" t="s">
        <v>116</v>
      </c>
      <c r="F12" s="260">
        <v>327.60000000000002</v>
      </c>
      <c r="G12" s="438"/>
      <c r="H12" s="438"/>
      <c r="I12" s="90">
        <f t="shared" si="0"/>
        <v>0.89508196721311484</v>
      </c>
      <c r="J12" s="432"/>
      <c r="K12" s="432"/>
      <c r="L12" s="285">
        <v>2.5100673356218644E-3</v>
      </c>
      <c r="M12" s="434"/>
      <c r="N12" s="434"/>
      <c r="O12" s="285">
        <v>2.6764288757048409E-3</v>
      </c>
      <c r="P12" s="434"/>
      <c r="Q12" s="434"/>
      <c r="R12" s="264">
        <f t="shared" si="1"/>
        <v>0.91666666666666663</v>
      </c>
      <c r="S12" s="432"/>
      <c r="T12" s="432"/>
      <c r="U12" s="264">
        <v>0.66</v>
      </c>
      <c r="V12" s="432"/>
      <c r="W12" s="432"/>
    </row>
    <row r="13" spans="2:23" ht="14.45" customHeight="1">
      <c r="B13" s="422"/>
      <c r="C13" s="422"/>
      <c r="D13" s="86">
        <v>45878</v>
      </c>
      <c r="E13" s="86" t="s">
        <v>117</v>
      </c>
      <c r="F13" s="260">
        <v>327</v>
      </c>
      <c r="G13" s="438"/>
      <c r="H13" s="438"/>
      <c r="I13" s="90">
        <f t="shared" si="0"/>
        <v>0.89344262295081966</v>
      </c>
      <c r="J13" s="432"/>
      <c r="K13" s="432"/>
      <c r="L13" s="285">
        <v>2.5210535473312928E-3</v>
      </c>
      <c r="M13" s="434"/>
      <c r="N13" s="434"/>
      <c r="O13" s="285">
        <v>2.8191052502865941E-3</v>
      </c>
      <c r="P13" s="434"/>
      <c r="Q13" s="434"/>
      <c r="R13" s="264">
        <f t="shared" si="1"/>
        <v>0.91666666666666663</v>
      </c>
      <c r="S13" s="432"/>
      <c r="T13" s="432"/>
      <c r="U13" s="264">
        <v>0.67</v>
      </c>
      <c r="V13" s="432"/>
      <c r="W13" s="432"/>
    </row>
    <row r="14" spans="2:23" ht="14.45" customHeight="1">
      <c r="B14" s="422"/>
      <c r="C14" s="422"/>
      <c r="D14" s="86">
        <v>45879</v>
      </c>
      <c r="E14" s="86" t="s">
        <v>118</v>
      </c>
      <c r="F14" s="260">
        <v>330.9</v>
      </c>
      <c r="G14" s="438"/>
      <c r="H14" s="438"/>
      <c r="I14" s="90">
        <f t="shared" si="0"/>
        <v>0.90409836065573768</v>
      </c>
      <c r="J14" s="432"/>
      <c r="K14" s="432"/>
      <c r="L14" s="285">
        <v>2.5324775667173323E-3</v>
      </c>
      <c r="M14" s="434"/>
      <c r="N14" s="434"/>
      <c r="O14" s="285">
        <v>2.2019356162318198E-3</v>
      </c>
      <c r="P14" s="434"/>
      <c r="Q14" s="434"/>
      <c r="R14" s="264">
        <f t="shared" si="1"/>
        <v>0.91666666666666663</v>
      </c>
      <c r="S14" s="432"/>
      <c r="T14" s="432"/>
      <c r="U14" s="264">
        <v>0.67</v>
      </c>
      <c r="V14" s="432"/>
      <c r="W14" s="432"/>
    </row>
    <row r="15" spans="2:23" ht="14.45" customHeight="1">
      <c r="B15" s="422"/>
      <c r="C15" s="422"/>
      <c r="D15" s="86">
        <v>45880</v>
      </c>
      <c r="E15" s="86" t="s">
        <v>119</v>
      </c>
      <c r="F15" s="260">
        <v>325.5</v>
      </c>
      <c r="G15" s="438"/>
      <c r="H15" s="438"/>
      <c r="I15" s="90">
        <f t="shared" si="0"/>
        <v>0.88934426229508201</v>
      </c>
      <c r="J15" s="432"/>
      <c r="K15" s="432"/>
      <c r="L15" s="285">
        <v>2.5305966339854826E-3</v>
      </c>
      <c r="M15" s="434"/>
      <c r="N15" s="434"/>
      <c r="O15" s="285">
        <v>2.3372087471301428E-3</v>
      </c>
      <c r="P15" s="434"/>
      <c r="Q15" s="434"/>
      <c r="R15" s="264">
        <f t="shared" si="1"/>
        <v>0.91666666666666663</v>
      </c>
      <c r="S15" s="432"/>
      <c r="T15" s="432"/>
      <c r="U15" s="264">
        <v>0.67500000000000004</v>
      </c>
      <c r="V15" s="432"/>
      <c r="W15" s="432"/>
    </row>
    <row r="16" spans="2:23" ht="14.45" customHeight="1">
      <c r="B16" s="421">
        <f>D24</f>
        <v>45889</v>
      </c>
      <c r="C16" s="422"/>
      <c r="D16" s="86">
        <v>45881</v>
      </c>
      <c r="E16" s="86" t="s">
        <v>120</v>
      </c>
      <c r="F16" s="260">
        <v>326.10000000000002</v>
      </c>
      <c r="G16" s="438">
        <f t="shared" ref="G16" si="8">AVERAGE(F16:F22)</f>
        <v>328.34285714285716</v>
      </c>
      <c r="H16" s="438"/>
      <c r="I16" s="90">
        <f t="shared" si="0"/>
        <v>0.89098360655737707</v>
      </c>
      <c r="J16" s="432">
        <f t="shared" ref="J16" si="9">AVERAGE(I16:I22)</f>
        <v>0.89711163153786111</v>
      </c>
      <c r="K16" s="432"/>
      <c r="L16" s="285">
        <v>2.4798229866840838E-3</v>
      </c>
      <c r="M16" s="434">
        <f t="shared" ref="M16" si="10">AVERAGE(L16:L22)</f>
        <v>2.5138479410593928E-3</v>
      </c>
      <c r="N16" s="434"/>
      <c r="O16" s="285">
        <v>2.2799123965810222E-3</v>
      </c>
      <c r="P16" s="434">
        <f t="shared" ref="P16" si="11">AVERAGE(O16:O22)</f>
        <v>2.4171057083686664E-3</v>
      </c>
      <c r="Q16" s="434"/>
      <c r="R16" s="264">
        <f t="shared" si="1"/>
        <v>0.91666666666666663</v>
      </c>
      <c r="S16" s="432">
        <f t="shared" ref="S16" si="12">AVERAGE(R16:R22)</f>
        <v>0.91666666666666674</v>
      </c>
      <c r="T16" s="432"/>
      <c r="U16" s="264">
        <v>0.68</v>
      </c>
      <c r="V16" s="432">
        <f t="shared" ref="V16" si="13">AVERAGE(U16:U22)</f>
        <v>0.68571428571428561</v>
      </c>
      <c r="W16" s="432"/>
    </row>
    <row r="17" spans="2:23" ht="14.45" customHeight="1">
      <c r="B17" s="422"/>
      <c r="C17" s="422"/>
      <c r="D17" s="86">
        <v>45882</v>
      </c>
      <c r="E17" s="86" t="s">
        <v>114</v>
      </c>
      <c r="F17" s="260">
        <v>331.8</v>
      </c>
      <c r="G17" s="438"/>
      <c r="H17" s="438"/>
      <c r="I17" s="90">
        <f t="shared" si="0"/>
        <v>0.90655737704918038</v>
      </c>
      <c r="J17" s="432"/>
      <c r="K17" s="432"/>
      <c r="L17" s="285">
        <v>2.4907160644154066E-3</v>
      </c>
      <c r="M17" s="434"/>
      <c r="N17" s="434"/>
      <c r="O17" s="285">
        <v>2.4630926182928267E-3</v>
      </c>
      <c r="P17" s="434"/>
      <c r="Q17" s="434"/>
      <c r="R17" s="264">
        <f t="shared" si="1"/>
        <v>0.91666666666666663</v>
      </c>
      <c r="S17" s="432"/>
      <c r="T17" s="432"/>
      <c r="U17" s="264">
        <v>0.68</v>
      </c>
      <c r="V17" s="432"/>
      <c r="W17" s="432"/>
    </row>
    <row r="18" spans="2:23" ht="14.45" customHeight="1">
      <c r="B18" s="422"/>
      <c r="C18" s="422"/>
      <c r="D18" s="86">
        <v>45883</v>
      </c>
      <c r="E18" s="86" t="s">
        <v>115</v>
      </c>
      <c r="F18" s="260">
        <v>326.60000000000002</v>
      </c>
      <c r="G18" s="438"/>
      <c r="H18" s="438"/>
      <c r="I18" s="90">
        <f t="shared" si="0"/>
        <v>0.89234972677595636</v>
      </c>
      <c r="J18" s="432"/>
      <c r="K18" s="432"/>
      <c r="L18" s="285">
        <v>2.5108283167224947E-3</v>
      </c>
      <c r="M18" s="434"/>
      <c r="N18" s="434"/>
      <c r="O18" s="285">
        <v>2.4725460279713223E-3</v>
      </c>
      <c r="P18" s="434"/>
      <c r="Q18" s="434"/>
      <c r="R18" s="264">
        <f t="shared" si="1"/>
        <v>0.91666666666666663</v>
      </c>
      <c r="S18" s="432"/>
      <c r="T18" s="432"/>
      <c r="U18" s="264">
        <v>0.68</v>
      </c>
      <c r="V18" s="432"/>
      <c r="W18" s="432"/>
    </row>
    <row r="19" spans="2:23" ht="14.45" customHeight="1">
      <c r="B19" s="422"/>
      <c r="C19" s="422"/>
      <c r="D19" s="86">
        <v>45884</v>
      </c>
      <c r="E19" s="86" t="s">
        <v>116</v>
      </c>
      <c r="F19" s="260">
        <v>332.3</v>
      </c>
      <c r="G19" s="438"/>
      <c r="H19" s="438"/>
      <c r="I19" s="90">
        <f t="shared" si="0"/>
        <v>0.90792349726775956</v>
      </c>
      <c r="J19" s="432"/>
      <c r="K19" s="432"/>
      <c r="L19" s="285">
        <v>2.5132368126377044E-3</v>
      </c>
      <c r="M19" s="434"/>
      <c r="N19" s="434"/>
      <c r="O19" s="285">
        <v>2.5667443590815494E-3</v>
      </c>
      <c r="P19" s="434"/>
      <c r="Q19" s="434"/>
      <c r="R19" s="264">
        <f t="shared" si="1"/>
        <v>0.91666666666666663</v>
      </c>
      <c r="S19" s="432"/>
      <c r="T19" s="432"/>
      <c r="U19" s="264">
        <v>0.69</v>
      </c>
      <c r="V19" s="432"/>
      <c r="W19" s="432"/>
    </row>
    <row r="20" spans="2:23" ht="14.45" customHeight="1">
      <c r="B20" s="422"/>
      <c r="C20" s="422"/>
      <c r="D20" s="86">
        <v>45885</v>
      </c>
      <c r="E20" s="86" t="s">
        <v>117</v>
      </c>
      <c r="F20" s="260">
        <v>325.60000000000002</v>
      </c>
      <c r="G20" s="438"/>
      <c r="H20" s="438"/>
      <c r="I20" s="90">
        <f t="shared" si="0"/>
        <v>0.88961748633879789</v>
      </c>
      <c r="J20" s="432"/>
      <c r="K20" s="432"/>
      <c r="L20" s="285">
        <v>2.5209124465846262E-3</v>
      </c>
      <c r="M20" s="434"/>
      <c r="N20" s="434"/>
      <c r="O20" s="285">
        <v>2.5104200192042057E-3</v>
      </c>
      <c r="P20" s="434"/>
      <c r="Q20" s="434"/>
      <c r="R20" s="264">
        <f t="shared" si="1"/>
        <v>0.91666666666666663</v>
      </c>
      <c r="S20" s="432"/>
      <c r="T20" s="432"/>
      <c r="U20" s="264">
        <v>0.69</v>
      </c>
      <c r="V20" s="432"/>
      <c r="W20" s="432"/>
    </row>
    <row r="21" spans="2:23" ht="14.45" customHeight="1">
      <c r="B21" s="422"/>
      <c r="C21" s="422"/>
      <c r="D21" s="86">
        <v>45886</v>
      </c>
      <c r="E21" s="86" t="s">
        <v>118</v>
      </c>
      <c r="F21" s="260">
        <v>327.60000000000002</v>
      </c>
      <c r="G21" s="438"/>
      <c r="H21" s="438"/>
      <c r="I21" s="90">
        <f t="shared" si="0"/>
        <v>0.89508196721311484</v>
      </c>
      <c r="J21" s="432"/>
      <c r="K21" s="432"/>
      <c r="L21" s="285">
        <v>2.5325514062861394E-3</v>
      </c>
      <c r="M21" s="434"/>
      <c r="N21" s="434"/>
      <c r="O21" s="285">
        <v>2.2401803010812398E-3</v>
      </c>
      <c r="P21" s="434"/>
      <c r="Q21" s="434"/>
      <c r="R21" s="264">
        <f t="shared" si="1"/>
        <v>0.91666666666666663</v>
      </c>
      <c r="S21" s="432"/>
      <c r="T21" s="432"/>
      <c r="U21" s="264">
        <v>0.69</v>
      </c>
      <c r="V21" s="432"/>
      <c r="W21" s="432"/>
    </row>
    <row r="22" spans="2:23" ht="14.45" customHeight="1">
      <c r="B22" s="422"/>
      <c r="C22" s="422"/>
      <c r="D22" s="86">
        <v>45887</v>
      </c>
      <c r="E22" s="86" t="s">
        <v>119</v>
      </c>
      <c r="F22" s="260">
        <v>328.4</v>
      </c>
      <c r="G22" s="438"/>
      <c r="H22" s="438"/>
      <c r="I22" s="90">
        <f t="shared" si="0"/>
        <v>0.89726775956284144</v>
      </c>
      <c r="J22" s="432"/>
      <c r="K22" s="432"/>
      <c r="L22" s="285">
        <v>2.5488675540852931E-3</v>
      </c>
      <c r="M22" s="434"/>
      <c r="N22" s="434"/>
      <c r="O22" s="285">
        <v>2.3868442363685015E-3</v>
      </c>
      <c r="P22" s="434"/>
      <c r="Q22" s="434"/>
      <c r="R22" s="264">
        <f t="shared" si="1"/>
        <v>0.91666666666666663</v>
      </c>
      <c r="S22" s="432"/>
      <c r="T22" s="432"/>
      <c r="U22" s="264">
        <v>0.69</v>
      </c>
      <c r="V22" s="432"/>
      <c r="W22" s="432"/>
    </row>
    <row r="23" spans="2:23" ht="14.45" customHeight="1">
      <c r="B23" s="421">
        <f>D31</f>
        <v>45896</v>
      </c>
      <c r="C23" s="422"/>
      <c r="D23" s="86">
        <v>45888</v>
      </c>
      <c r="E23" s="86" t="s">
        <v>120</v>
      </c>
      <c r="F23" s="260">
        <v>333.7</v>
      </c>
      <c r="G23" s="438">
        <f t="shared" ref="G23" si="14">AVERAGE(F23:F29)</f>
        <v>335.2714285714286</v>
      </c>
      <c r="H23" s="438"/>
      <c r="I23" s="90">
        <f t="shared" si="0"/>
        <v>0.91174863387978144</v>
      </c>
      <c r="J23" s="432">
        <f t="shared" ref="J23" si="15">AVERAGE(I23:I29)</f>
        <v>0.91604215456674465</v>
      </c>
      <c r="K23" s="432"/>
      <c r="L23" s="285">
        <v>2.4754769201490632E-3</v>
      </c>
      <c r="M23" s="434">
        <f t="shared" ref="M23" si="16">AVERAGE(L23:L29)</f>
        <v>2.5001695672069017E-3</v>
      </c>
      <c r="N23" s="434"/>
      <c r="O23" s="285">
        <v>2.2714492894951627E-3</v>
      </c>
      <c r="P23" s="434">
        <f t="shared" ref="P23" si="17">AVERAGE(O23:O29)</f>
        <v>2.3270884626331281E-3</v>
      </c>
      <c r="Q23" s="434"/>
      <c r="R23" s="264">
        <f t="shared" si="1"/>
        <v>0.91666666666666663</v>
      </c>
      <c r="S23" s="432">
        <f t="shared" ref="S23" si="18">AVERAGE(R23:R29)</f>
        <v>0.91666666666666674</v>
      </c>
      <c r="T23" s="432"/>
      <c r="U23" s="264">
        <v>0.69</v>
      </c>
      <c r="V23" s="432">
        <f t="shared" ref="V23" si="19">AVERAGE(U23:U29)</f>
        <v>0.69585714285714284</v>
      </c>
      <c r="W23" s="432"/>
    </row>
    <row r="24" spans="2:23" ht="14.45" customHeight="1">
      <c r="B24" s="422"/>
      <c r="C24" s="422"/>
      <c r="D24" s="86">
        <v>45889</v>
      </c>
      <c r="E24" s="86" t="s">
        <v>114</v>
      </c>
      <c r="F24" s="260">
        <v>334.1</v>
      </c>
      <c r="G24" s="438"/>
      <c r="H24" s="438"/>
      <c r="I24" s="90">
        <f t="shared" si="0"/>
        <v>0.91284153005464486</v>
      </c>
      <c r="J24" s="432"/>
      <c r="K24" s="432"/>
      <c r="L24" s="285">
        <v>2.5144124279321625E-3</v>
      </c>
      <c r="M24" s="434"/>
      <c r="N24" s="434"/>
      <c r="O24" s="285">
        <v>2.1658089801068277E-3</v>
      </c>
      <c r="P24" s="434"/>
      <c r="Q24" s="434"/>
      <c r="R24" s="264">
        <f t="shared" si="1"/>
        <v>0.91666666666666663</v>
      </c>
      <c r="S24" s="432"/>
      <c r="T24" s="432"/>
      <c r="U24" s="264">
        <v>0.69</v>
      </c>
      <c r="V24" s="432"/>
      <c r="W24" s="432"/>
    </row>
    <row r="25" spans="2:23" ht="14.45" customHeight="1">
      <c r="B25" s="422"/>
      <c r="C25" s="422"/>
      <c r="D25" s="86">
        <v>45890</v>
      </c>
      <c r="E25" s="86" t="s">
        <v>115</v>
      </c>
      <c r="F25" s="260">
        <v>340</v>
      </c>
      <c r="G25" s="438"/>
      <c r="H25" s="438"/>
      <c r="I25" s="90">
        <f t="shared" si="0"/>
        <v>0.92896174863387981</v>
      </c>
      <c r="J25" s="432"/>
      <c r="K25" s="432"/>
      <c r="L25" s="285">
        <v>2.5342308806200506E-3</v>
      </c>
      <c r="M25" s="434"/>
      <c r="N25" s="434"/>
      <c r="O25" s="285">
        <v>2.2177029966823636E-3</v>
      </c>
      <c r="P25" s="434"/>
      <c r="Q25" s="434"/>
      <c r="R25" s="264">
        <f t="shared" si="1"/>
        <v>0.91666666666666663</v>
      </c>
      <c r="S25" s="432"/>
      <c r="T25" s="432"/>
      <c r="U25" s="264">
        <v>0.69499999999999995</v>
      </c>
      <c r="V25" s="432"/>
      <c r="W25" s="432"/>
    </row>
    <row r="26" spans="2:23" ht="14.45" customHeight="1">
      <c r="B26" s="422"/>
      <c r="C26" s="422"/>
      <c r="D26" s="86">
        <v>45891</v>
      </c>
      <c r="E26" s="86" t="s">
        <v>116</v>
      </c>
      <c r="F26" s="260">
        <v>330.2</v>
      </c>
      <c r="G26" s="438"/>
      <c r="H26" s="438"/>
      <c r="I26" s="90">
        <f t="shared" si="0"/>
        <v>0.90218579234972673</v>
      </c>
      <c r="J26" s="432"/>
      <c r="K26" s="432"/>
      <c r="L26" s="285">
        <v>2.497269102290753E-3</v>
      </c>
      <c r="M26" s="434"/>
      <c r="N26" s="434"/>
      <c r="O26" s="285">
        <v>2.5154403172575257E-3</v>
      </c>
      <c r="P26" s="434"/>
      <c r="Q26" s="434"/>
      <c r="R26" s="264">
        <f t="shared" si="1"/>
        <v>0.91666666666666663</v>
      </c>
      <c r="S26" s="432"/>
      <c r="T26" s="432"/>
      <c r="U26" s="264">
        <v>0.69499999999999995</v>
      </c>
      <c r="V26" s="432"/>
      <c r="W26" s="432"/>
    </row>
    <row r="27" spans="2:23" ht="14.45" customHeight="1">
      <c r="B27" s="422"/>
      <c r="C27" s="422"/>
      <c r="D27" s="86">
        <v>45892</v>
      </c>
      <c r="E27" s="86" t="s">
        <v>117</v>
      </c>
      <c r="F27" s="260">
        <v>333.2</v>
      </c>
      <c r="G27" s="438"/>
      <c r="H27" s="438"/>
      <c r="I27" s="90">
        <f t="shared" si="0"/>
        <v>0.91038251366120215</v>
      </c>
      <c r="J27" s="432"/>
      <c r="K27" s="432"/>
      <c r="L27" s="285">
        <v>2.4895344929795212E-3</v>
      </c>
      <c r="M27" s="434"/>
      <c r="N27" s="434"/>
      <c r="O27" s="285">
        <v>2.5103537624966482E-3</v>
      </c>
      <c r="P27" s="434"/>
      <c r="Q27" s="434"/>
      <c r="R27" s="264">
        <f t="shared" si="1"/>
        <v>0.91666666666666663</v>
      </c>
      <c r="S27" s="432"/>
      <c r="T27" s="432"/>
      <c r="U27" s="264">
        <v>0.7</v>
      </c>
      <c r="V27" s="432"/>
      <c r="W27" s="432"/>
    </row>
    <row r="28" spans="2:23" ht="14.45" customHeight="1">
      <c r="B28" s="422"/>
      <c r="C28" s="422"/>
      <c r="D28" s="86">
        <v>45893</v>
      </c>
      <c r="E28" s="86" t="s">
        <v>118</v>
      </c>
      <c r="F28" s="260">
        <v>337.2</v>
      </c>
      <c r="G28" s="438"/>
      <c r="H28" s="438"/>
      <c r="I28" s="90">
        <f t="shared" si="0"/>
        <v>0.92131147540983604</v>
      </c>
      <c r="J28" s="432"/>
      <c r="K28" s="432"/>
      <c r="L28" s="285">
        <v>2.5185435635818889E-3</v>
      </c>
      <c r="M28" s="434"/>
      <c r="N28" s="434"/>
      <c r="O28" s="285">
        <v>2.3235666800205126E-3</v>
      </c>
      <c r="P28" s="434"/>
      <c r="Q28" s="434"/>
      <c r="R28" s="264">
        <f t="shared" si="1"/>
        <v>0.91666666666666663</v>
      </c>
      <c r="S28" s="432"/>
      <c r="T28" s="432"/>
      <c r="U28" s="264">
        <v>0.7</v>
      </c>
      <c r="V28" s="432"/>
      <c r="W28" s="432"/>
    </row>
    <row r="29" spans="2:23" ht="14.45" customHeight="1">
      <c r="B29" s="422"/>
      <c r="C29" s="422"/>
      <c r="D29" s="86">
        <v>45894</v>
      </c>
      <c r="E29" s="86" t="s">
        <v>119</v>
      </c>
      <c r="F29" s="260">
        <v>338.5</v>
      </c>
      <c r="G29" s="438"/>
      <c r="H29" s="438"/>
      <c r="I29" s="90">
        <f t="shared" si="0"/>
        <v>0.92486338797814205</v>
      </c>
      <c r="J29" s="432"/>
      <c r="K29" s="432"/>
      <c r="L29" s="285">
        <v>2.4717195828948698E-3</v>
      </c>
      <c r="M29" s="434"/>
      <c r="N29" s="434"/>
      <c r="O29" s="285">
        <v>2.2852972123728575E-3</v>
      </c>
      <c r="P29" s="434"/>
      <c r="Q29" s="434"/>
      <c r="R29" s="264">
        <f t="shared" si="1"/>
        <v>0.91666666666666663</v>
      </c>
      <c r="S29" s="432"/>
      <c r="T29" s="432"/>
      <c r="U29" s="264">
        <v>0.70099999999999996</v>
      </c>
      <c r="V29" s="432"/>
      <c r="W29" s="432"/>
    </row>
    <row r="30" spans="2:23" ht="14.45" customHeight="1">
      <c r="B30" s="421">
        <f>D38</f>
        <v>45903</v>
      </c>
      <c r="C30" s="422"/>
      <c r="D30" s="86">
        <v>45895</v>
      </c>
      <c r="E30" s="86" t="s">
        <v>120</v>
      </c>
      <c r="F30" s="260">
        <v>330.1674371699483</v>
      </c>
      <c r="G30" s="438">
        <f t="shared" ref="G30" si="20">AVERAGE(F30:F36)</f>
        <v>338.26391311564618</v>
      </c>
      <c r="H30" s="438"/>
      <c r="I30" s="90">
        <f t="shared" si="0"/>
        <v>0.90209682286871118</v>
      </c>
      <c r="J30" s="432">
        <f t="shared" ref="J30" si="21">AVERAGE(I30:I36)</f>
        <v>0.9242183418460278</v>
      </c>
      <c r="K30" s="432"/>
      <c r="L30" s="285">
        <v>2.4688309036695034E-3</v>
      </c>
      <c r="M30" s="434">
        <f t="shared" ref="M30" si="22">AVERAGE(L30:L36)</f>
        <v>2.4452763107726547E-3</v>
      </c>
      <c r="N30" s="434"/>
      <c r="O30" s="285">
        <v>2.3625366154667463E-3</v>
      </c>
      <c r="P30" s="434">
        <f t="shared" ref="P30" si="23">AVERAGE(O30:O36)</f>
        <v>2.2657000357552103E-3</v>
      </c>
      <c r="Q30" s="434"/>
      <c r="R30" s="264">
        <f t="shared" si="1"/>
        <v>0.91666666666666663</v>
      </c>
      <c r="S30" s="432">
        <f t="shared" ref="S30" si="24">AVERAGE(R30:R36)</f>
        <v>0.91666666666666674</v>
      </c>
      <c r="T30" s="432"/>
      <c r="U30" s="264">
        <v>0.70099999999999996</v>
      </c>
      <c r="V30" s="432">
        <f t="shared" ref="V30" si="25">AVERAGE(U30:U36)</f>
        <v>0.71199999999999997</v>
      </c>
      <c r="W30" s="432"/>
    </row>
    <row r="31" spans="2:23" ht="14.45" customHeight="1">
      <c r="B31" s="422"/>
      <c r="C31" s="422"/>
      <c r="D31" s="86">
        <v>45896</v>
      </c>
      <c r="E31" s="86" t="s">
        <v>114</v>
      </c>
      <c r="F31" s="260">
        <v>337.7330516390461</v>
      </c>
      <c r="G31" s="438"/>
      <c r="H31" s="438"/>
      <c r="I31" s="90">
        <f t="shared" si="0"/>
        <v>0.92276790065313141</v>
      </c>
      <c r="J31" s="432"/>
      <c r="K31" s="432"/>
      <c r="L31" s="285">
        <v>2.5111525293161417E-3</v>
      </c>
      <c r="M31" s="434"/>
      <c r="N31" s="434"/>
      <c r="O31" s="285">
        <v>2.3225023876819895E-3</v>
      </c>
      <c r="P31" s="434"/>
      <c r="Q31" s="434"/>
      <c r="R31" s="264">
        <f t="shared" si="1"/>
        <v>0.91666666666666663</v>
      </c>
      <c r="S31" s="432"/>
      <c r="T31" s="432"/>
      <c r="U31" s="264">
        <v>0.70099999999999996</v>
      </c>
      <c r="V31" s="432"/>
      <c r="W31" s="432"/>
    </row>
    <row r="32" spans="2:23" ht="14.45" customHeight="1">
      <c r="B32" s="422"/>
      <c r="C32" s="422"/>
      <c r="D32" s="86">
        <v>45897</v>
      </c>
      <c r="E32" s="86" t="s">
        <v>115</v>
      </c>
      <c r="F32" s="260">
        <v>362.18424873303167</v>
      </c>
      <c r="G32" s="438"/>
      <c r="H32" s="438"/>
      <c r="I32" s="90">
        <f t="shared" si="0"/>
        <v>0.98957445009025047</v>
      </c>
      <c r="J32" s="432"/>
      <c r="K32" s="432"/>
      <c r="L32" s="285">
        <v>2.5074619697433389E-3</v>
      </c>
      <c r="M32" s="434"/>
      <c r="N32" s="434"/>
      <c r="O32" s="285">
        <v>2.338548074661214E-3</v>
      </c>
      <c r="P32" s="434"/>
      <c r="Q32" s="434"/>
      <c r="R32" s="264">
        <f t="shared" si="1"/>
        <v>0.91666666666666663</v>
      </c>
      <c r="S32" s="432"/>
      <c r="T32" s="432"/>
      <c r="U32" s="264">
        <v>0.71</v>
      </c>
      <c r="V32" s="432"/>
      <c r="W32" s="432"/>
    </row>
    <row r="33" spans="2:23" ht="14.45" customHeight="1">
      <c r="B33" s="422"/>
      <c r="C33" s="422"/>
      <c r="D33" s="86">
        <v>45898</v>
      </c>
      <c r="E33" s="86" t="s">
        <v>116</v>
      </c>
      <c r="F33" s="260">
        <v>335.46476865519861</v>
      </c>
      <c r="G33" s="438"/>
      <c r="H33" s="438"/>
      <c r="I33" s="90">
        <f t="shared" si="0"/>
        <v>0.91657040616174479</v>
      </c>
      <c r="J33" s="432"/>
      <c r="K33" s="432"/>
      <c r="L33" s="285">
        <v>2.4989333623272945E-3</v>
      </c>
      <c r="M33" s="434"/>
      <c r="N33" s="434"/>
      <c r="O33" s="285">
        <v>2.5849008611104653E-3</v>
      </c>
      <c r="P33" s="434"/>
      <c r="Q33" s="434"/>
      <c r="R33" s="264">
        <f t="shared" si="1"/>
        <v>0.91666666666666663</v>
      </c>
      <c r="S33" s="432"/>
      <c r="T33" s="432"/>
      <c r="U33" s="264">
        <v>0.71</v>
      </c>
      <c r="V33" s="432"/>
      <c r="W33" s="432"/>
    </row>
    <row r="34" spans="2:23" ht="14.45" customHeight="1">
      <c r="B34" s="422"/>
      <c r="C34" s="422"/>
      <c r="D34" s="86">
        <v>45899</v>
      </c>
      <c r="E34" s="86" t="s">
        <v>117</v>
      </c>
      <c r="F34" s="260">
        <v>331.23587731986999</v>
      </c>
      <c r="G34" s="438"/>
      <c r="H34" s="438"/>
      <c r="I34" s="90">
        <f t="shared" si="0"/>
        <v>0.90501605825101084</v>
      </c>
      <c r="J34" s="432"/>
      <c r="K34" s="432"/>
      <c r="L34" s="285">
        <v>2.181329397846184E-3</v>
      </c>
      <c r="M34" s="434"/>
      <c r="N34" s="434"/>
      <c r="O34" s="285">
        <v>2.0831804926607174E-3</v>
      </c>
      <c r="P34" s="434"/>
      <c r="Q34" s="434"/>
      <c r="R34" s="264">
        <f t="shared" si="1"/>
        <v>0.91666666666666663</v>
      </c>
      <c r="S34" s="432"/>
      <c r="T34" s="432"/>
      <c r="U34" s="264">
        <v>0.72</v>
      </c>
      <c r="V34" s="432"/>
      <c r="W34" s="432"/>
    </row>
    <row r="35" spans="2:23">
      <c r="B35" s="422"/>
      <c r="C35" s="422"/>
      <c r="D35" s="86">
        <v>45900</v>
      </c>
      <c r="E35" s="86" t="s">
        <v>118</v>
      </c>
      <c r="F35" s="260">
        <v>333.26200829242845</v>
      </c>
      <c r="G35" s="438"/>
      <c r="H35" s="438"/>
      <c r="I35" s="90">
        <f t="shared" si="0"/>
        <v>0.91055193522521438</v>
      </c>
      <c r="J35" s="432"/>
      <c r="K35" s="432"/>
      <c r="L35" s="285">
        <v>2.4995108310733572E-3</v>
      </c>
      <c r="M35" s="434"/>
      <c r="N35" s="434"/>
      <c r="O35" s="285">
        <v>2.0079800420352389E-3</v>
      </c>
      <c r="P35" s="434"/>
      <c r="Q35" s="434"/>
      <c r="R35" s="264">
        <f t="shared" si="1"/>
        <v>0.91666666666666663</v>
      </c>
      <c r="S35" s="432"/>
      <c r="T35" s="432"/>
      <c r="U35" s="264">
        <v>0.72</v>
      </c>
      <c r="V35" s="432"/>
      <c r="W35" s="432"/>
    </row>
    <row r="36" spans="2:23">
      <c r="B36" s="422"/>
      <c r="D36" s="86">
        <v>45901</v>
      </c>
      <c r="E36" s="86" t="s">
        <v>119</v>
      </c>
      <c r="F36" s="358">
        <v>337.8</v>
      </c>
      <c r="G36" s="438"/>
      <c r="H36" s="93"/>
      <c r="I36" s="90">
        <f t="shared" si="0"/>
        <v>0.92295081967213122</v>
      </c>
      <c r="J36" s="432"/>
      <c r="K36" s="87"/>
      <c r="L36" s="367">
        <v>2.4497151814327624E-3</v>
      </c>
      <c r="M36" s="434"/>
      <c r="N36" s="90"/>
      <c r="O36" s="367">
        <v>2.1602517766700986E-3</v>
      </c>
      <c r="P36" s="434"/>
      <c r="Q36" s="90"/>
      <c r="R36" s="366">
        <v>0.91666666666666663</v>
      </c>
      <c r="S36" s="432"/>
      <c r="T36" s="234"/>
      <c r="U36" s="366">
        <v>0.72199999999999998</v>
      </c>
      <c r="V36" s="432"/>
      <c r="W36" s="234"/>
    </row>
    <row r="37" spans="2:23">
      <c r="B37" s="422"/>
      <c r="D37" s="86">
        <v>45902</v>
      </c>
      <c r="E37" s="86" t="s">
        <v>120</v>
      </c>
      <c r="F37" s="358">
        <v>331.8</v>
      </c>
      <c r="G37" s="438">
        <f t="shared" ref="G37" si="26">AVERAGE(F37:F43)</f>
        <v>335.12857142857143</v>
      </c>
      <c r="H37" s="93"/>
      <c r="I37" s="90">
        <f t="shared" si="0"/>
        <v>0.90655737704918038</v>
      </c>
      <c r="J37" s="432">
        <f t="shared" ref="J37" si="27">AVERAGE(I37:I43)</f>
        <v>0.91565183450429366</v>
      </c>
      <c r="K37" s="87"/>
      <c r="L37" s="367">
        <v>2.5081702245246971E-3</v>
      </c>
      <c r="M37" s="434">
        <f t="shared" ref="M37" si="28">AVERAGE(L37:L43)</f>
        <v>2.4809019108133069E-3</v>
      </c>
      <c r="N37" s="90"/>
      <c r="O37" s="367">
        <v>2.9875860278469994E-3</v>
      </c>
      <c r="P37" s="434">
        <f t="shared" ref="P37" si="29">AVERAGE(O37:O43)</f>
        <v>2.7407836426619979E-3</v>
      </c>
      <c r="Q37" s="90"/>
      <c r="R37" s="366">
        <v>0.91666666666666663</v>
      </c>
      <c r="S37" s="432">
        <f t="shared" ref="S37" si="30">AVERAGE(R37:R43)</f>
        <v>0.91666666666666674</v>
      </c>
      <c r="T37" s="234"/>
      <c r="U37" s="366">
        <v>0.72299999999999998</v>
      </c>
      <c r="V37" s="432">
        <f t="shared" ref="V37" si="31">AVERAGE(U37:U43)</f>
        <v>0.73357142857142854</v>
      </c>
      <c r="W37" s="234"/>
    </row>
    <row r="38" spans="2:23">
      <c r="B38" s="422"/>
      <c r="D38" s="86">
        <v>45903</v>
      </c>
      <c r="E38" s="86" t="s">
        <v>114</v>
      </c>
      <c r="F38" s="358">
        <v>331.8</v>
      </c>
      <c r="G38" s="438"/>
      <c r="H38" s="93"/>
      <c r="I38" s="90">
        <f t="shared" si="0"/>
        <v>0.90655737704918038</v>
      </c>
      <c r="J38" s="432"/>
      <c r="K38" s="87"/>
      <c r="L38" s="367">
        <v>2.4356035460475628E-3</v>
      </c>
      <c r="M38" s="434"/>
      <c r="N38" s="90"/>
      <c r="O38" s="367">
        <v>2.5976288751268172E-3</v>
      </c>
      <c r="P38" s="434"/>
      <c r="Q38" s="90"/>
      <c r="R38" s="366">
        <v>0.91666666666666663</v>
      </c>
      <c r="S38" s="432"/>
      <c r="T38" s="234"/>
      <c r="U38" s="366">
        <v>0.72299999999999998</v>
      </c>
      <c r="V38" s="432"/>
      <c r="W38" s="234"/>
    </row>
    <row r="39" spans="2:23">
      <c r="B39" s="422"/>
      <c r="D39" s="86">
        <v>45904</v>
      </c>
      <c r="E39" s="86" t="s">
        <v>115</v>
      </c>
      <c r="F39" s="358">
        <v>333.6</v>
      </c>
      <c r="G39" s="438"/>
      <c r="H39" s="93"/>
      <c r="I39" s="90">
        <f t="shared" si="0"/>
        <v>0.91147540983606568</v>
      </c>
      <c r="J39" s="432"/>
      <c r="K39" s="87"/>
      <c r="L39" s="367">
        <v>2.5008066024308231E-3</v>
      </c>
      <c r="M39" s="434"/>
      <c r="N39" s="90"/>
      <c r="O39" s="367">
        <v>3.0613898553775343E-3</v>
      </c>
      <c r="P39" s="434"/>
      <c r="Q39" s="90"/>
      <c r="R39" s="366">
        <v>0.91666666666666663</v>
      </c>
      <c r="S39" s="432"/>
      <c r="T39" s="234"/>
      <c r="U39" s="366">
        <v>0.73</v>
      </c>
      <c r="V39" s="432"/>
      <c r="W39" s="234"/>
    </row>
    <row r="40" spans="2:23">
      <c r="B40" s="422"/>
      <c r="D40" s="86">
        <v>45905</v>
      </c>
      <c r="E40" s="86" t="s">
        <v>116</v>
      </c>
      <c r="F40" s="358">
        <v>339</v>
      </c>
      <c r="G40" s="438"/>
      <c r="H40" s="93"/>
      <c r="I40" s="90">
        <f t="shared" si="0"/>
        <v>0.92622950819672134</v>
      </c>
      <c r="J40" s="432"/>
      <c r="K40" s="87"/>
      <c r="L40" s="367">
        <v>2.5111787792803856E-3</v>
      </c>
      <c r="M40" s="434"/>
      <c r="N40" s="90"/>
      <c r="O40" s="367">
        <v>2.8302523756035115E-3</v>
      </c>
      <c r="P40" s="434"/>
      <c r="Q40" s="90"/>
      <c r="R40" s="366">
        <v>0.91666666666666663</v>
      </c>
      <c r="S40" s="432"/>
      <c r="T40" s="234"/>
      <c r="U40" s="366">
        <v>0.73499999999999999</v>
      </c>
      <c r="V40" s="432"/>
      <c r="W40" s="234"/>
    </row>
    <row r="41" spans="2:23">
      <c r="B41" s="422"/>
      <c r="D41" s="86">
        <v>45906</v>
      </c>
      <c r="E41" s="86" t="s">
        <v>117</v>
      </c>
      <c r="F41" s="358">
        <v>335.7</v>
      </c>
      <c r="G41" s="438"/>
      <c r="H41" s="93"/>
      <c r="I41" s="90">
        <f t="shared" si="0"/>
        <v>0.91721311475409828</v>
      </c>
      <c r="J41" s="432"/>
      <c r="K41" s="87"/>
      <c r="L41" s="367">
        <v>2.4919394597486912E-3</v>
      </c>
      <c r="M41" s="434"/>
      <c r="N41" s="90"/>
      <c r="O41" s="367">
        <v>2.896537903086918E-3</v>
      </c>
      <c r="P41" s="434"/>
      <c r="Q41" s="90"/>
      <c r="R41" s="366">
        <v>0.91666666666666663</v>
      </c>
      <c r="S41" s="432"/>
      <c r="T41" s="234"/>
      <c r="U41" s="366">
        <v>0.74</v>
      </c>
      <c r="V41" s="432"/>
      <c r="W41" s="234"/>
    </row>
    <row r="42" spans="2:23">
      <c r="B42" s="422"/>
      <c r="D42" s="86">
        <v>45907</v>
      </c>
      <c r="E42" s="86" t="s">
        <v>118</v>
      </c>
      <c r="F42" s="358">
        <v>335.9</v>
      </c>
      <c r="G42" s="438"/>
      <c r="H42" s="93"/>
      <c r="I42" s="90">
        <f t="shared" si="0"/>
        <v>0.91775956284153004</v>
      </c>
      <c r="J42" s="432"/>
      <c r="K42" s="87"/>
      <c r="L42" s="367">
        <v>2.4817889299502943E-3</v>
      </c>
      <c r="M42" s="434"/>
      <c r="N42" s="90"/>
      <c r="O42" s="367">
        <v>2.5248925868063777E-3</v>
      </c>
      <c r="P42" s="434"/>
      <c r="Q42" s="90"/>
      <c r="R42" s="366">
        <v>0.91666666666666663</v>
      </c>
      <c r="S42" s="432"/>
      <c r="T42" s="234"/>
      <c r="U42" s="366">
        <v>0.74199999999999999</v>
      </c>
      <c r="V42" s="432"/>
      <c r="W42" s="234"/>
    </row>
    <row r="43" spans="2:23">
      <c r="B43" s="422"/>
      <c r="D43" s="86">
        <v>45908</v>
      </c>
      <c r="E43" s="86" t="s">
        <v>119</v>
      </c>
      <c r="F43" s="358">
        <v>338.1</v>
      </c>
      <c r="G43" s="438"/>
      <c r="H43" s="93"/>
      <c r="I43" s="90">
        <f t="shared" si="0"/>
        <v>0.92377049180327875</v>
      </c>
      <c r="J43" s="432"/>
      <c r="K43" s="87"/>
      <c r="L43" s="367">
        <v>2.4368258337106939E-3</v>
      </c>
      <c r="M43" s="434"/>
      <c r="N43" s="90"/>
      <c r="O43" s="367">
        <v>2.2871978747858283E-3</v>
      </c>
      <c r="P43" s="434"/>
      <c r="Q43" s="90"/>
      <c r="R43" s="366">
        <v>0.91666666666666663</v>
      </c>
      <c r="S43" s="432"/>
      <c r="T43" s="234"/>
      <c r="U43" s="366">
        <v>0.74199999999999999</v>
      </c>
      <c r="V43" s="432"/>
      <c r="W43" s="234"/>
    </row>
  </sheetData>
  <mergeCells count="58">
    <mergeCell ref="B37:B43"/>
    <mergeCell ref="G5:G8"/>
    <mergeCell ref="H5:H35"/>
    <mergeCell ref="G9:G15"/>
    <mergeCell ref="G16:G22"/>
    <mergeCell ref="G23:G29"/>
    <mergeCell ref="G30:G36"/>
    <mergeCell ref="B5:B15"/>
    <mergeCell ref="C5:C35"/>
    <mergeCell ref="B16:B22"/>
    <mergeCell ref="G37:G43"/>
    <mergeCell ref="B2:U2"/>
    <mergeCell ref="F3:H3"/>
    <mergeCell ref="L3:N3"/>
    <mergeCell ref="R3:T3"/>
    <mergeCell ref="B23:B29"/>
    <mergeCell ref="B3:B4"/>
    <mergeCell ref="C3:C4"/>
    <mergeCell ref="D3:E4"/>
    <mergeCell ref="I3:K3"/>
    <mergeCell ref="J5:J8"/>
    <mergeCell ref="K5:K35"/>
    <mergeCell ref="J9:J15"/>
    <mergeCell ref="J16:J22"/>
    <mergeCell ref="J23:J29"/>
    <mergeCell ref="J30:J36"/>
    <mergeCell ref="B30:B36"/>
    <mergeCell ref="J37:J43"/>
    <mergeCell ref="M37:M43"/>
    <mergeCell ref="O3:Q3"/>
    <mergeCell ref="P5:P8"/>
    <mergeCell ref="Q5:Q35"/>
    <mergeCell ref="P9:P15"/>
    <mergeCell ref="P16:P22"/>
    <mergeCell ref="P23:P29"/>
    <mergeCell ref="P30:P36"/>
    <mergeCell ref="P37:P43"/>
    <mergeCell ref="M5:M8"/>
    <mergeCell ref="N5:N35"/>
    <mergeCell ref="M9:M15"/>
    <mergeCell ref="M16:M22"/>
    <mergeCell ref="M23:M29"/>
    <mergeCell ref="M30:M36"/>
    <mergeCell ref="S37:S43"/>
    <mergeCell ref="U3:W3"/>
    <mergeCell ref="V5:V8"/>
    <mergeCell ref="W5:W35"/>
    <mergeCell ref="V9:V15"/>
    <mergeCell ref="V16:V22"/>
    <mergeCell ref="V23:V29"/>
    <mergeCell ref="V30:V36"/>
    <mergeCell ref="V37:V43"/>
    <mergeCell ref="S5:S8"/>
    <mergeCell ref="T5:T35"/>
    <mergeCell ref="S9:S15"/>
    <mergeCell ref="S16:S22"/>
    <mergeCell ref="S23:S29"/>
    <mergeCell ref="S30:S36"/>
  </mergeCells>
  <phoneticPr fontId="9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0"/>
  <sheetViews>
    <sheetView zoomScale="75" zoomScaleNormal="75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O50" sqref="O50"/>
    </sheetView>
  </sheetViews>
  <sheetFormatPr defaultColWidth="8.85546875" defaultRowHeight="14.2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444" t="s">
        <v>368</v>
      </c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</row>
    <row r="3" spans="1:38" ht="25.35" customHeight="1">
      <c r="B3" s="445" t="s">
        <v>153</v>
      </c>
      <c r="C3" s="446" t="s">
        <v>146</v>
      </c>
      <c r="D3" s="447" t="s">
        <v>105</v>
      </c>
      <c r="E3" s="447"/>
      <c r="F3" s="448" t="s">
        <v>440</v>
      </c>
      <c r="G3" s="448"/>
      <c r="H3" s="448"/>
      <c r="I3" s="449" t="s">
        <v>111</v>
      </c>
      <c r="J3" s="449"/>
      <c r="K3" s="449"/>
      <c r="L3" s="449"/>
      <c r="M3" s="449"/>
      <c r="N3" s="449"/>
      <c r="O3" s="449"/>
      <c r="P3" s="449"/>
      <c r="Q3" s="449"/>
      <c r="R3" s="449"/>
      <c r="S3" s="449"/>
      <c r="T3" s="449"/>
      <c r="U3" s="449"/>
      <c r="V3" s="449"/>
      <c r="W3" s="449"/>
      <c r="X3" s="449"/>
      <c r="Y3" s="449"/>
      <c r="Z3" s="449"/>
      <c r="AA3" s="449"/>
      <c r="AB3" s="449"/>
      <c r="AC3" s="449"/>
      <c r="AD3" s="449"/>
      <c r="AE3" s="449"/>
      <c r="AF3" s="449"/>
      <c r="AG3" s="449"/>
      <c r="AH3" s="449"/>
      <c r="AI3" s="449"/>
      <c r="AJ3" s="449"/>
      <c r="AK3" s="449"/>
      <c r="AL3" s="449"/>
    </row>
    <row r="4" spans="1:38" ht="25.35" customHeight="1">
      <c r="B4" s="445"/>
      <c r="C4" s="446"/>
      <c r="D4" s="447"/>
      <c r="E4" s="447"/>
      <c r="F4" s="448"/>
      <c r="G4" s="448"/>
      <c r="H4" s="448"/>
      <c r="I4" s="441" t="s">
        <v>147</v>
      </c>
      <c r="J4" s="441"/>
      <c r="K4" s="441"/>
      <c r="L4" s="441"/>
      <c r="M4" s="441"/>
      <c r="N4" s="441"/>
      <c r="O4" s="441" t="s">
        <v>148</v>
      </c>
      <c r="P4" s="441"/>
      <c r="Q4" s="441"/>
      <c r="R4" s="441"/>
      <c r="S4" s="441"/>
      <c r="T4" s="441"/>
      <c r="U4" s="441" t="s">
        <v>400</v>
      </c>
      <c r="V4" s="441"/>
      <c r="W4" s="441" t="s">
        <v>150</v>
      </c>
      <c r="X4" s="441"/>
      <c r="Y4" s="441" t="s">
        <v>141</v>
      </c>
      <c r="Z4" s="441"/>
      <c r="AA4" s="441"/>
      <c r="AB4" s="441"/>
      <c r="AC4" s="441"/>
      <c r="AD4" s="441"/>
      <c r="AE4" s="441" t="s">
        <v>139</v>
      </c>
      <c r="AF4" s="441"/>
      <c r="AG4" s="441" t="s">
        <v>151</v>
      </c>
      <c r="AH4" s="441"/>
      <c r="AI4" s="441" t="s">
        <v>152</v>
      </c>
      <c r="AJ4" s="441"/>
      <c r="AK4" s="441" t="s">
        <v>145</v>
      </c>
      <c r="AL4" s="441"/>
    </row>
    <row r="5" spans="1:38" ht="25.35" customHeight="1">
      <c r="B5" s="445"/>
      <c r="C5" s="446"/>
      <c r="D5" s="447"/>
      <c r="E5" s="447"/>
      <c r="F5" s="443" t="s">
        <v>118</v>
      </c>
      <c r="G5" s="443" t="s">
        <v>123</v>
      </c>
      <c r="H5" s="443" t="s">
        <v>124</v>
      </c>
      <c r="I5" s="441" t="s">
        <v>136</v>
      </c>
      <c r="J5" s="441"/>
      <c r="K5" s="441" t="s">
        <v>137</v>
      </c>
      <c r="L5" s="441"/>
      <c r="M5" s="442" t="s">
        <v>154</v>
      </c>
      <c r="N5" s="441"/>
      <c r="O5" s="441" t="s">
        <v>136</v>
      </c>
      <c r="P5" s="441"/>
      <c r="Q5" s="441" t="s">
        <v>137</v>
      </c>
      <c r="R5" s="441"/>
      <c r="S5" s="442" t="s">
        <v>154</v>
      </c>
      <c r="T5" s="441"/>
      <c r="U5" s="441" t="s">
        <v>136</v>
      </c>
      <c r="V5" s="441"/>
      <c r="W5" s="441" t="s">
        <v>136</v>
      </c>
      <c r="X5" s="441"/>
      <c r="Y5" s="441" t="s">
        <v>136</v>
      </c>
      <c r="Z5" s="441"/>
      <c r="AA5" s="441" t="s">
        <v>137</v>
      </c>
      <c r="AB5" s="441"/>
      <c r="AC5" s="442" t="s">
        <v>154</v>
      </c>
      <c r="AD5" s="441"/>
      <c r="AE5" s="441" t="s">
        <v>136</v>
      </c>
      <c r="AF5" s="441"/>
      <c r="AG5" s="441" t="s">
        <v>136</v>
      </c>
      <c r="AH5" s="441"/>
      <c r="AI5" s="441" t="s">
        <v>136</v>
      </c>
      <c r="AJ5" s="441"/>
      <c r="AK5" s="441" t="s">
        <v>136</v>
      </c>
      <c r="AL5" s="441"/>
    </row>
    <row r="6" spans="1:38" s="80" customFormat="1" ht="23.45" customHeight="1">
      <c r="B6" s="445"/>
      <c r="C6" s="446"/>
      <c r="D6" s="447"/>
      <c r="E6" s="447"/>
      <c r="F6" s="443"/>
      <c r="G6" s="443"/>
      <c r="H6" s="443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421">
        <f>D19</f>
        <v>45882</v>
      </c>
      <c r="C7" s="422" t="s">
        <v>121</v>
      </c>
      <c r="D7" s="86">
        <v>45870</v>
      </c>
      <c r="E7" s="86" t="s">
        <v>116</v>
      </c>
      <c r="F7" s="259">
        <f>SUM(M7,S7,U7,W7,AC7,AE7,AG7,AI7,AK7)</f>
        <v>6238721</v>
      </c>
      <c r="G7" s="439">
        <f>SUM(F7:F10)</f>
        <v>27719634</v>
      </c>
      <c r="H7" s="440">
        <f>SUM(F7:F37)</f>
        <v>212376150</v>
      </c>
      <c r="I7" s="265">
        <v>460351.69883793744</v>
      </c>
      <c r="J7" s="101">
        <f>I7/$F7</f>
        <v>7.3789435180373897E-2</v>
      </c>
      <c r="K7" s="265">
        <v>693287.53269537061</v>
      </c>
      <c r="L7" s="101">
        <f>K7/$F7</f>
        <v>0.11112654864600782</v>
      </c>
      <c r="M7" s="258">
        <f t="shared" ref="M7:M40" si="0">SUM(I7+K7)</f>
        <v>1153639.231533308</v>
      </c>
      <c r="N7" s="101">
        <f>M7/$F7</f>
        <v>0.18491598382638172</v>
      </c>
      <c r="O7" s="265">
        <v>137104.25005969315</v>
      </c>
      <c r="P7" s="101">
        <f>O7/$F7</f>
        <v>2.197633939066888E-2</v>
      </c>
      <c r="Q7" s="265">
        <v>111569.64997977951</v>
      </c>
      <c r="R7" s="101">
        <f>Q7/$F7</f>
        <v>1.7883417126648156E-2</v>
      </c>
      <c r="S7" s="258">
        <f t="shared" ref="S7:S45" si="1">SUM(O7+Q7)</f>
        <v>248673.90003947268</v>
      </c>
      <c r="T7" s="101">
        <f>S7/$F7</f>
        <v>3.985975651731704E-2</v>
      </c>
      <c r="U7" s="265">
        <v>584777.05575708905</v>
      </c>
      <c r="V7" s="101">
        <f>U7/$F7</f>
        <v>9.3733484115909177E-2</v>
      </c>
      <c r="W7" s="265">
        <v>29842.928853770329</v>
      </c>
      <c r="X7" s="101">
        <f>W7/$F7</f>
        <v>4.7835011140537186E-3</v>
      </c>
      <c r="Y7" s="265">
        <v>555162.56654224999</v>
      </c>
      <c r="Z7" s="101">
        <f>Y7/$F7</f>
        <v>8.89865994235437E-2</v>
      </c>
      <c r="AA7" s="265">
        <v>1091012.1925255647</v>
      </c>
      <c r="AB7" s="101">
        <f>AA7/$F7</f>
        <v>0.17487754181114443</v>
      </c>
      <c r="AC7" s="258">
        <f t="shared" ref="AC7:AC40" si="2">SUM(Y7+AA7)</f>
        <v>1646174.7590678148</v>
      </c>
      <c r="AD7" s="101">
        <f>AC7/$F7</f>
        <v>0.26386414123468815</v>
      </c>
      <c r="AE7" s="265">
        <v>845899.79388617375</v>
      </c>
      <c r="AF7" s="101">
        <f t="shared" ref="AF7:AF40" si="3">AE7/F7</f>
        <v>0.13558865573347065</v>
      </c>
      <c r="AG7" s="265">
        <v>729805.07514665194</v>
      </c>
      <c r="AH7" s="101">
        <f t="shared" ref="AH7:AH40" si="4">AG7/F7</f>
        <v>0.1169799186638819</v>
      </c>
      <c r="AI7" s="265">
        <v>648633.44505240233</v>
      </c>
      <c r="AJ7" s="101">
        <f t="shared" ref="AJ7:AJ40" si="5">AI7/F7</f>
        <v>0.10396897778445331</v>
      </c>
      <c r="AK7" s="265">
        <v>351274.81066331721</v>
      </c>
      <c r="AL7" s="101">
        <f t="shared" ref="AL7:AL40" si="6">AK7/F7</f>
        <v>5.6305581009844362E-2</v>
      </c>
    </row>
    <row r="8" spans="1:38" ht="12">
      <c r="B8" s="422"/>
      <c r="C8" s="422"/>
      <c r="D8" s="86">
        <v>45871</v>
      </c>
      <c r="E8" s="86" t="s">
        <v>117</v>
      </c>
      <c r="F8" s="259">
        <f t="shared" ref="F8:F45" si="7">SUM(M8,S8,U8,W8,AC8,AE8,AG8,AI8,AK8)</f>
        <v>6562251.9999999991</v>
      </c>
      <c r="G8" s="439"/>
      <c r="H8" s="440"/>
      <c r="I8" s="265">
        <v>451183.47252712876</v>
      </c>
      <c r="J8" s="101">
        <f t="shared" ref="J8:J40" si="8">I8/F8</f>
        <v>6.8754365502441669E-2</v>
      </c>
      <c r="K8" s="265">
        <v>750326.80153081799</v>
      </c>
      <c r="L8" s="101">
        <f t="shared" ref="L8:L40" si="9">K8/F8</f>
        <v>0.11433983357097809</v>
      </c>
      <c r="M8" s="258">
        <f t="shared" si="0"/>
        <v>1201510.2740579466</v>
      </c>
      <c r="N8" s="101">
        <f t="shared" ref="N8:N40" si="10">M8/F8</f>
        <v>0.18309419907341973</v>
      </c>
      <c r="O8" s="265">
        <v>138472.7683423784</v>
      </c>
      <c r="P8" s="101">
        <f t="shared" ref="P8:P40" si="11">O8/F8</f>
        <v>2.1101409751161402E-2</v>
      </c>
      <c r="Q8" s="265">
        <v>109730.42527440311</v>
      </c>
      <c r="R8" s="101">
        <f t="shared" ref="R8:R45" si="12">Q8/$F8</f>
        <v>1.6721458620364338E-2</v>
      </c>
      <c r="S8" s="258">
        <f t="shared" si="1"/>
        <v>248203.1936167815</v>
      </c>
      <c r="T8" s="101">
        <f t="shared" ref="T8:T40" si="13">S8/F8</f>
        <v>3.7822868371525743E-2</v>
      </c>
      <c r="U8" s="265">
        <v>637083.78215329431</v>
      </c>
      <c r="V8" s="101">
        <f t="shared" ref="V8:V40" si="14">U8/F8</f>
        <v>9.7083102287643691E-2</v>
      </c>
      <c r="W8" s="265">
        <v>31992.390881448158</v>
      </c>
      <c r="X8" s="101">
        <f t="shared" ref="X8:X40" si="15">W8/F8</f>
        <v>4.8752152281637713E-3</v>
      </c>
      <c r="Y8" s="265">
        <v>592645.44403780124</v>
      </c>
      <c r="Z8" s="101">
        <f t="shared" ref="Z8:Z40" si="16">Y8/F8</f>
        <v>9.0311290093370591E-2</v>
      </c>
      <c r="AA8" s="265">
        <v>1191918.7508591106</v>
      </c>
      <c r="AB8" s="101">
        <f t="shared" ref="AB8:AB45" si="17">AA8/$F8</f>
        <v>0.18163257839825578</v>
      </c>
      <c r="AC8" s="258">
        <f t="shared" si="2"/>
        <v>1784564.1948969117</v>
      </c>
      <c r="AD8" s="101">
        <f t="shared" ref="AD8:AD40" si="18">AC8/F8</f>
        <v>0.27194386849162633</v>
      </c>
      <c r="AE8" s="265">
        <v>865122.14047425671</v>
      </c>
      <c r="AF8" s="101">
        <f t="shared" si="3"/>
        <v>0.13183311772761191</v>
      </c>
      <c r="AG8" s="265">
        <v>762782.70330944296</v>
      </c>
      <c r="AH8" s="101">
        <f t="shared" si="4"/>
        <v>0.11623794747739695</v>
      </c>
      <c r="AI8" s="265">
        <v>672816.41761934059</v>
      </c>
      <c r="AJ8" s="101">
        <f t="shared" si="5"/>
        <v>0.10252828108694099</v>
      </c>
      <c r="AK8" s="265">
        <v>358176.90299057699</v>
      </c>
      <c r="AL8" s="101">
        <f t="shared" si="6"/>
        <v>5.4581400255670924E-2</v>
      </c>
    </row>
    <row r="9" spans="1:38" ht="12">
      <c r="B9" s="422"/>
      <c r="C9" s="422"/>
      <c r="D9" s="86">
        <v>45872</v>
      </c>
      <c r="E9" s="86" t="s">
        <v>118</v>
      </c>
      <c r="F9" s="259">
        <f t="shared" si="7"/>
        <v>7531205.9999999991</v>
      </c>
      <c r="G9" s="439"/>
      <c r="H9" s="440"/>
      <c r="I9" s="265">
        <v>547613.09511635138</v>
      </c>
      <c r="J9" s="101">
        <f t="shared" si="8"/>
        <v>7.2712537024794091E-2</v>
      </c>
      <c r="K9" s="265">
        <v>792821.74084627826</v>
      </c>
      <c r="L9" s="101">
        <f t="shared" si="9"/>
        <v>0.10527155157437977</v>
      </c>
      <c r="M9" s="258">
        <f t="shared" si="0"/>
        <v>1340434.8359626296</v>
      </c>
      <c r="N9" s="101">
        <f t="shared" si="10"/>
        <v>0.17798408859917386</v>
      </c>
      <c r="O9" s="265">
        <v>166503.64614676055</v>
      </c>
      <c r="P9" s="101">
        <f t="shared" si="11"/>
        <v>2.210849711809245E-2</v>
      </c>
      <c r="Q9" s="265">
        <v>123789.31995163983</v>
      </c>
      <c r="R9" s="101">
        <f t="shared" si="12"/>
        <v>1.6436852205561747E-2</v>
      </c>
      <c r="S9" s="258">
        <f t="shared" si="1"/>
        <v>290292.96609840041</v>
      </c>
      <c r="T9" s="101">
        <f t="shared" si="13"/>
        <v>3.85453493236542E-2</v>
      </c>
      <c r="U9" s="265">
        <v>764518.15777808276</v>
      </c>
      <c r="V9" s="101">
        <f t="shared" si="14"/>
        <v>0.10151337750927047</v>
      </c>
      <c r="W9" s="265">
        <v>36401.381213830784</v>
      </c>
      <c r="X9" s="101">
        <f t="shared" si="15"/>
        <v>4.8334066567599912E-3</v>
      </c>
      <c r="Y9" s="265">
        <v>632029.53960124485</v>
      </c>
      <c r="Z9" s="101">
        <f t="shared" si="16"/>
        <v>8.3921425014963733E-2</v>
      </c>
      <c r="AA9" s="265">
        <v>1243905.8684242645</v>
      </c>
      <c r="AB9" s="101">
        <f t="shared" si="17"/>
        <v>0.16516688939650098</v>
      </c>
      <c r="AC9" s="258">
        <f t="shared" si="2"/>
        <v>1875935.4080255092</v>
      </c>
      <c r="AD9" s="101">
        <f t="shared" si="18"/>
        <v>0.2490883144114647</v>
      </c>
      <c r="AE9" s="265">
        <v>1088217.5364322804</v>
      </c>
      <c r="AF9" s="101">
        <f t="shared" si="3"/>
        <v>0.14449445897938265</v>
      </c>
      <c r="AG9" s="265">
        <v>954793.08551702253</v>
      </c>
      <c r="AH9" s="101">
        <f t="shared" si="4"/>
        <v>0.12677824581043495</v>
      </c>
      <c r="AI9" s="265">
        <v>770955.76577324234</v>
      </c>
      <c r="AJ9" s="101">
        <f t="shared" si="5"/>
        <v>0.10236816862707546</v>
      </c>
      <c r="AK9" s="265">
        <v>409656.86319900159</v>
      </c>
      <c r="AL9" s="101">
        <f t="shared" si="6"/>
        <v>5.4394590082783773E-2</v>
      </c>
    </row>
    <row r="10" spans="1:38" ht="12">
      <c r="B10" s="422"/>
      <c r="C10" s="422"/>
      <c r="D10" s="86">
        <v>45873</v>
      </c>
      <c r="E10" s="86" t="s">
        <v>119</v>
      </c>
      <c r="F10" s="259">
        <f t="shared" si="7"/>
        <v>7387455.0000000019</v>
      </c>
      <c r="G10" s="439"/>
      <c r="H10" s="440"/>
      <c r="I10" s="265">
        <v>527064.5941775766</v>
      </c>
      <c r="J10" s="101">
        <f t="shared" si="8"/>
        <v>7.1345895735077436E-2</v>
      </c>
      <c r="K10" s="265">
        <v>775570.15615819069</v>
      </c>
      <c r="L10" s="101">
        <f t="shared" si="9"/>
        <v>0.10498475539386574</v>
      </c>
      <c r="M10" s="258">
        <f t="shared" si="0"/>
        <v>1302634.7503357674</v>
      </c>
      <c r="N10" s="101">
        <f t="shared" si="10"/>
        <v>0.17633065112894319</v>
      </c>
      <c r="O10" s="265">
        <v>155828.97244627471</v>
      </c>
      <c r="P10" s="101">
        <f t="shared" si="11"/>
        <v>2.1093728820855716E-2</v>
      </c>
      <c r="Q10" s="265">
        <v>122876.15910307859</v>
      </c>
      <c r="R10" s="101">
        <f t="shared" si="12"/>
        <v>1.6633083937983861E-2</v>
      </c>
      <c r="S10" s="258">
        <f t="shared" si="1"/>
        <v>278705.1315493533</v>
      </c>
      <c r="T10" s="101">
        <f t="shared" si="13"/>
        <v>3.772681275883958E-2</v>
      </c>
      <c r="U10" s="265">
        <v>731978.07437210588</v>
      </c>
      <c r="V10" s="101">
        <f t="shared" si="14"/>
        <v>9.9083930037083906E-2</v>
      </c>
      <c r="W10" s="265">
        <v>33244.715731506942</v>
      </c>
      <c r="X10" s="101">
        <f t="shared" si="15"/>
        <v>4.5001581372078655E-3</v>
      </c>
      <c r="Y10" s="265">
        <v>655973.36449797009</v>
      </c>
      <c r="Z10" s="101">
        <f t="shared" si="16"/>
        <v>8.8795581766382317E-2</v>
      </c>
      <c r="AA10" s="265">
        <v>1278728.4619754162</v>
      </c>
      <c r="AB10" s="101">
        <f t="shared" si="17"/>
        <v>0.17309458561512941</v>
      </c>
      <c r="AC10" s="258">
        <f t="shared" si="2"/>
        <v>1934701.8264733863</v>
      </c>
      <c r="AD10" s="101">
        <f t="shared" si="18"/>
        <v>0.26189016738151172</v>
      </c>
      <c r="AE10" s="265">
        <v>1084705.8944653994</v>
      </c>
      <c r="AF10" s="101">
        <f t="shared" si="3"/>
        <v>0.14683079551285241</v>
      </c>
      <c r="AG10" s="265">
        <v>943304.52404498961</v>
      </c>
      <c r="AH10" s="101">
        <f t="shared" si="4"/>
        <v>0.12769005348188103</v>
      </c>
      <c r="AI10" s="265">
        <v>679572.81146070373</v>
      </c>
      <c r="AJ10" s="101">
        <f t="shared" si="5"/>
        <v>9.1990111812620665E-2</v>
      </c>
      <c r="AK10" s="265">
        <v>398607.27156678884</v>
      </c>
      <c r="AL10" s="101">
        <f t="shared" si="6"/>
        <v>5.3957319749059554E-2</v>
      </c>
    </row>
    <row r="11" spans="1:38" ht="12">
      <c r="B11" s="422"/>
      <c r="C11" s="422"/>
      <c r="D11" s="86">
        <v>45874</v>
      </c>
      <c r="E11" s="86" t="s">
        <v>120</v>
      </c>
      <c r="F11" s="259">
        <f t="shared" si="7"/>
        <v>7967673.9999999981</v>
      </c>
      <c r="G11" s="439">
        <f t="shared" ref="G11" si="19">SUM(F11:F17)</f>
        <v>48153352</v>
      </c>
      <c r="H11" s="440"/>
      <c r="I11" s="265">
        <v>588097.60943319555</v>
      </c>
      <c r="J11" s="101">
        <f t="shared" si="8"/>
        <v>7.3810450758050053E-2</v>
      </c>
      <c r="K11" s="265">
        <v>773398.48839588463</v>
      </c>
      <c r="L11" s="101">
        <f t="shared" si="9"/>
        <v>9.7067034669827704E-2</v>
      </c>
      <c r="M11" s="258">
        <f t="shared" si="0"/>
        <v>1361496.0978290802</v>
      </c>
      <c r="N11" s="101">
        <f t="shared" si="10"/>
        <v>0.17087748542787776</v>
      </c>
      <c r="O11" s="265">
        <v>155327.18792909195</v>
      </c>
      <c r="P11" s="101">
        <f t="shared" si="11"/>
        <v>1.9494671585344979E-2</v>
      </c>
      <c r="Q11" s="265">
        <v>120159.86900625199</v>
      </c>
      <c r="R11" s="101">
        <f t="shared" si="12"/>
        <v>1.5080921860790492E-2</v>
      </c>
      <c r="S11" s="258">
        <f t="shared" si="1"/>
        <v>275487.05693534395</v>
      </c>
      <c r="T11" s="101">
        <f t="shared" si="13"/>
        <v>3.4575593446135471E-2</v>
      </c>
      <c r="U11" s="265">
        <v>844784.96048926655</v>
      </c>
      <c r="V11" s="101">
        <f t="shared" si="14"/>
        <v>0.10602654683026273</v>
      </c>
      <c r="W11" s="265">
        <v>17264.600367473875</v>
      </c>
      <c r="X11" s="101">
        <f t="shared" si="15"/>
        <v>2.1668306669517202E-3</v>
      </c>
      <c r="Y11" s="265">
        <v>1098874.9537415714</v>
      </c>
      <c r="Z11" s="101">
        <f t="shared" si="16"/>
        <v>0.13791665594520705</v>
      </c>
      <c r="AA11" s="265">
        <v>1257542.0489717403</v>
      </c>
      <c r="AB11" s="101">
        <f t="shared" si="17"/>
        <v>0.15783050975375507</v>
      </c>
      <c r="AC11" s="258">
        <f t="shared" si="2"/>
        <v>2356417.0027133115</v>
      </c>
      <c r="AD11" s="101">
        <f t="shared" si="18"/>
        <v>0.29574716569896209</v>
      </c>
      <c r="AE11" s="265">
        <v>1102785.4868607842</v>
      </c>
      <c r="AF11" s="101">
        <f t="shared" si="3"/>
        <v>0.13840745578455951</v>
      </c>
      <c r="AG11" s="265">
        <v>934645.0541589997</v>
      </c>
      <c r="AH11" s="101">
        <f t="shared" si="4"/>
        <v>0.1173046304553876</v>
      </c>
      <c r="AI11" s="265">
        <v>683690.99000854732</v>
      </c>
      <c r="AJ11" s="101">
        <f t="shared" si="5"/>
        <v>8.5808102842629796E-2</v>
      </c>
      <c r="AK11" s="265">
        <v>391102.75063719228</v>
      </c>
      <c r="AL11" s="101">
        <f t="shared" si="6"/>
        <v>4.9086188847233508E-2</v>
      </c>
    </row>
    <row r="12" spans="1:38" ht="12">
      <c r="B12" s="422"/>
      <c r="C12" s="422"/>
      <c r="D12" s="86">
        <v>45875</v>
      </c>
      <c r="E12" s="86" t="s">
        <v>114</v>
      </c>
      <c r="F12" s="259">
        <f t="shared" si="7"/>
        <v>7313533.0000000019</v>
      </c>
      <c r="G12" s="439"/>
      <c r="H12" s="440"/>
      <c r="I12" s="265">
        <v>568466.36271930556</v>
      </c>
      <c r="J12" s="101">
        <f t="shared" si="8"/>
        <v>7.7728009529635739E-2</v>
      </c>
      <c r="K12" s="265">
        <v>770103.71316114208</v>
      </c>
      <c r="L12" s="101">
        <f t="shared" si="9"/>
        <v>0.1052984533140333</v>
      </c>
      <c r="M12" s="258">
        <f t="shared" si="0"/>
        <v>1338570.0758804476</v>
      </c>
      <c r="N12" s="101">
        <f t="shared" si="10"/>
        <v>0.18302646284366902</v>
      </c>
      <c r="O12" s="265">
        <v>154078.88678991018</v>
      </c>
      <c r="P12" s="101">
        <f t="shared" si="11"/>
        <v>2.106764087752255E-2</v>
      </c>
      <c r="Q12" s="265">
        <v>118660.1866777416</v>
      </c>
      <c r="R12" s="101">
        <f t="shared" si="12"/>
        <v>1.6224742088090882E-2</v>
      </c>
      <c r="S12" s="258">
        <f t="shared" si="1"/>
        <v>272739.07346765179</v>
      </c>
      <c r="T12" s="101">
        <f t="shared" si="13"/>
        <v>3.7292382965613435E-2</v>
      </c>
      <c r="U12" s="265">
        <v>765121.04706184822</v>
      </c>
      <c r="V12" s="101">
        <f t="shared" si="14"/>
        <v>0.10461715932119921</v>
      </c>
      <c r="W12" s="265">
        <v>18856.17290934857</v>
      </c>
      <c r="X12" s="101">
        <f t="shared" si="15"/>
        <v>2.5782577188546993E-3</v>
      </c>
      <c r="Y12" s="265">
        <v>906317.97682565614</v>
      </c>
      <c r="Z12" s="101">
        <f t="shared" si="16"/>
        <v>0.12392341387201725</v>
      </c>
      <c r="AA12" s="265">
        <v>1172638.9854300888</v>
      </c>
      <c r="AB12" s="101">
        <f t="shared" si="17"/>
        <v>0.16033823672226385</v>
      </c>
      <c r="AC12" s="258">
        <f t="shared" si="2"/>
        <v>2078956.962255745</v>
      </c>
      <c r="AD12" s="101">
        <f t="shared" si="18"/>
        <v>0.2842616505942811</v>
      </c>
      <c r="AE12" s="265">
        <v>905933.30808191933</v>
      </c>
      <c r="AF12" s="101">
        <f t="shared" si="3"/>
        <v>0.12387081702946019</v>
      </c>
      <c r="AG12" s="265">
        <v>936490.41929954721</v>
      </c>
      <c r="AH12" s="101">
        <f t="shared" si="4"/>
        <v>0.12804897705384621</v>
      </c>
      <c r="AI12" s="265">
        <v>600419.59828481067</v>
      </c>
      <c r="AJ12" s="101">
        <f t="shared" si="5"/>
        <v>8.2097065574847417E-2</v>
      </c>
      <c r="AK12" s="265">
        <v>396446.34275868209</v>
      </c>
      <c r="AL12" s="101">
        <f t="shared" si="6"/>
        <v>5.420722689822853E-2</v>
      </c>
    </row>
    <row r="13" spans="1:38" ht="12">
      <c r="B13" s="422"/>
      <c r="C13" s="422"/>
      <c r="D13" s="86">
        <v>45876</v>
      </c>
      <c r="E13" s="86" t="s">
        <v>115</v>
      </c>
      <c r="F13" s="259">
        <f t="shared" si="7"/>
        <v>6849540.0000000009</v>
      </c>
      <c r="G13" s="439"/>
      <c r="H13" s="440"/>
      <c r="I13" s="265">
        <v>555011.39044356777</v>
      </c>
      <c r="J13" s="101">
        <f t="shared" si="8"/>
        <v>8.1029002012334803E-2</v>
      </c>
      <c r="K13" s="265">
        <v>747275.49160940887</v>
      </c>
      <c r="L13" s="101">
        <f t="shared" si="9"/>
        <v>0.10909863897566972</v>
      </c>
      <c r="M13" s="258">
        <f t="shared" si="0"/>
        <v>1302286.8820529766</v>
      </c>
      <c r="N13" s="101">
        <f t="shared" si="10"/>
        <v>0.19012764098800453</v>
      </c>
      <c r="O13" s="265">
        <v>148311.8328253146</v>
      </c>
      <c r="P13" s="101">
        <f t="shared" si="11"/>
        <v>2.165281651400161E-2</v>
      </c>
      <c r="Q13" s="265">
        <v>113722.29699608247</v>
      </c>
      <c r="R13" s="101">
        <f t="shared" si="12"/>
        <v>1.6602910121859635E-2</v>
      </c>
      <c r="S13" s="258">
        <f t="shared" si="1"/>
        <v>262034.12982139707</v>
      </c>
      <c r="T13" s="101">
        <f t="shared" si="13"/>
        <v>3.8255726635861242E-2</v>
      </c>
      <c r="U13" s="265">
        <v>734422.26868361793</v>
      </c>
      <c r="V13" s="101">
        <f t="shared" si="14"/>
        <v>0.10722213005305727</v>
      </c>
      <c r="W13" s="265">
        <v>18720.73106562379</v>
      </c>
      <c r="X13" s="101">
        <f t="shared" si="15"/>
        <v>2.7331369793626705E-3</v>
      </c>
      <c r="Y13" s="265">
        <v>807904.81834005076</v>
      </c>
      <c r="Z13" s="101">
        <f t="shared" si="16"/>
        <v>0.11795022999209445</v>
      </c>
      <c r="AA13" s="265">
        <v>1022028.4660498169</v>
      </c>
      <c r="AB13" s="101">
        <f t="shared" si="17"/>
        <v>0.14921125594562801</v>
      </c>
      <c r="AC13" s="258">
        <f t="shared" si="2"/>
        <v>1829933.2843898677</v>
      </c>
      <c r="AD13" s="101">
        <f t="shared" si="18"/>
        <v>0.26716148593772243</v>
      </c>
      <c r="AE13" s="265">
        <v>847604.45462857024</v>
      </c>
      <c r="AF13" s="101">
        <f t="shared" si="3"/>
        <v>0.1237461865510049</v>
      </c>
      <c r="AG13" s="265">
        <v>879842.73089853441</v>
      </c>
      <c r="AH13" s="101">
        <f t="shared" si="4"/>
        <v>0.12845282032056668</v>
      </c>
      <c r="AI13" s="265">
        <v>598863.19939811958</v>
      </c>
      <c r="AJ13" s="101">
        <f t="shared" si="5"/>
        <v>8.7431155872966584E-2</v>
      </c>
      <c r="AK13" s="265">
        <v>375832.31906129251</v>
      </c>
      <c r="AL13" s="101">
        <f t="shared" si="6"/>
        <v>5.4869716661453537E-2</v>
      </c>
    </row>
    <row r="14" spans="1:38" ht="12">
      <c r="B14" s="422"/>
      <c r="C14" s="422"/>
      <c r="D14" s="86">
        <v>45877</v>
      </c>
      <c r="E14" s="86" t="s">
        <v>116</v>
      </c>
      <c r="F14" s="259">
        <f t="shared" si="7"/>
        <v>6028491</v>
      </c>
      <c r="G14" s="439"/>
      <c r="H14" s="440"/>
      <c r="I14" s="265">
        <v>496338.67056718341</v>
      </c>
      <c r="J14" s="101">
        <f t="shared" si="8"/>
        <v>8.2332157511255041E-2</v>
      </c>
      <c r="K14" s="265">
        <v>707672.44321090204</v>
      </c>
      <c r="L14" s="101">
        <f t="shared" si="9"/>
        <v>0.11738799032973625</v>
      </c>
      <c r="M14" s="258">
        <f t="shared" si="0"/>
        <v>1204011.1137780854</v>
      </c>
      <c r="N14" s="101">
        <f t="shared" si="10"/>
        <v>0.19972014784099129</v>
      </c>
      <c r="O14" s="265">
        <v>129409.85066683246</v>
      </c>
      <c r="P14" s="101">
        <f t="shared" si="11"/>
        <v>2.1466375361070034E-2</v>
      </c>
      <c r="Q14" s="265">
        <v>107645.26357572673</v>
      </c>
      <c r="R14" s="101">
        <f t="shared" si="12"/>
        <v>1.7856087630507656E-2</v>
      </c>
      <c r="S14" s="258">
        <f t="shared" si="1"/>
        <v>237055.11424255918</v>
      </c>
      <c r="T14" s="101">
        <f t="shared" si="13"/>
        <v>3.932246299157769E-2</v>
      </c>
      <c r="U14" s="265">
        <v>646701.73007760535</v>
      </c>
      <c r="V14" s="101">
        <f t="shared" si="14"/>
        <v>0.10727422999845324</v>
      </c>
      <c r="W14" s="265">
        <v>17062.801226419077</v>
      </c>
      <c r="X14" s="101">
        <f t="shared" si="15"/>
        <v>2.8303602388091939E-3</v>
      </c>
      <c r="Y14" s="265">
        <v>660019.92507542181</v>
      </c>
      <c r="Z14" s="101">
        <f t="shared" si="16"/>
        <v>0.10948343873706071</v>
      </c>
      <c r="AA14" s="265">
        <v>985617.94228606857</v>
      </c>
      <c r="AB14" s="101">
        <f t="shared" si="17"/>
        <v>0.16349330906956128</v>
      </c>
      <c r="AC14" s="258">
        <f t="shared" si="2"/>
        <v>1645637.8673614904</v>
      </c>
      <c r="AD14" s="101">
        <f t="shared" si="18"/>
        <v>0.27297674780662201</v>
      </c>
      <c r="AE14" s="265">
        <v>694834.17950023862</v>
      </c>
      <c r="AF14" s="101">
        <f t="shared" si="3"/>
        <v>0.11525839210844614</v>
      </c>
      <c r="AG14" s="265">
        <v>682038.66235524497</v>
      </c>
      <c r="AH14" s="101">
        <f t="shared" si="4"/>
        <v>0.11313588464430734</v>
      </c>
      <c r="AI14" s="265">
        <v>558792.50819500291</v>
      </c>
      <c r="AJ14" s="101">
        <f t="shared" si="5"/>
        <v>9.2691937036150987E-2</v>
      </c>
      <c r="AK14" s="265">
        <v>342357.02326335374</v>
      </c>
      <c r="AL14" s="101">
        <f t="shared" si="6"/>
        <v>5.6789837334642074E-2</v>
      </c>
    </row>
    <row r="15" spans="1:38" ht="12">
      <c r="B15" s="422"/>
      <c r="C15" s="422"/>
      <c r="D15" s="86">
        <v>45878</v>
      </c>
      <c r="E15" s="86" t="s">
        <v>117</v>
      </c>
      <c r="F15" s="259">
        <f t="shared" si="7"/>
        <v>6203511</v>
      </c>
      <c r="G15" s="439"/>
      <c r="H15" s="440"/>
      <c r="I15" s="265">
        <v>476683.1702097347</v>
      </c>
      <c r="J15" s="101">
        <f t="shared" si="8"/>
        <v>7.6840868051936184E-2</v>
      </c>
      <c r="K15" s="265">
        <v>757212.93718142284</v>
      </c>
      <c r="L15" s="101">
        <f t="shared" si="9"/>
        <v>0.12206199637292862</v>
      </c>
      <c r="M15" s="258">
        <f t="shared" si="0"/>
        <v>1233896.1073911577</v>
      </c>
      <c r="N15" s="101">
        <f t="shared" si="10"/>
        <v>0.19890286442486482</v>
      </c>
      <c r="O15" s="265">
        <v>130154.48881048555</v>
      </c>
      <c r="P15" s="101">
        <f t="shared" si="11"/>
        <v>2.0980778273865484E-2</v>
      </c>
      <c r="Q15" s="265">
        <v>108343.58603221164</v>
      </c>
      <c r="R15" s="101">
        <f t="shared" si="12"/>
        <v>1.7464881747160863E-2</v>
      </c>
      <c r="S15" s="258">
        <f t="shared" si="1"/>
        <v>238498.07484269718</v>
      </c>
      <c r="T15" s="101">
        <f t="shared" si="13"/>
        <v>3.8445660021026347E-2</v>
      </c>
      <c r="U15" s="265">
        <v>677203.78875044489</v>
      </c>
      <c r="V15" s="101">
        <f t="shared" si="14"/>
        <v>0.10916459868459086</v>
      </c>
      <c r="W15" s="265">
        <v>14888.361654193113</v>
      </c>
      <c r="X15" s="101">
        <f t="shared" si="15"/>
        <v>2.3999895630382718E-3</v>
      </c>
      <c r="Y15" s="265">
        <v>666656.12142222258</v>
      </c>
      <c r="Z15" s="101">
        <f t="shared" si="16"/>
        <v>0.10746432486735698</v>
      </c>
      <c r="AA15" s="265">
        <v>1075048.8399205841</v>
      </c>
      <c r="AB15" s="101">
        <f t="shared" si="17"/>
        <v>0.17329683785852626</v>
      </c>
      <c r="AC15" s="258">
        <f t="shared" si="2"/>
        <v>1741704.9613428067</v>
      </c>
      <c r="AD15" s="101">
        <f t="shared" si="18"/>
        <v>0.28076116272588325</v>
      </c>
      <c r="AE15" s="265">
        <v>686858.89857461269</v>
      </c>
      <c r="AF15" s="101">
        <f t="shared" si="3"/>
        <v>0.11072099309159163</v>
      </c>
      <c r="AG15" s="265">
        <v>664889.20128057594</v>
      </c>
      <c r="AH15" s="101">
        <f t="shared" si="4"/>
        <v>0.10717949904184516</v>
      </c>
      <c r="AI15" s="265">
        <v>604376.53657202586</v>
      </c>
      <c r="AJ15" s="101">
        <f t="shared" si="5"/>
        <v>9.7424915756903763E-2</v>
      </c>
      <c r="AK15" s="265">
        <v>341195.06959148456</v>
      </c>
      <c r="AL15" s="101">
        <f t="shared" si="6"/>
        <v>5.5000316690255659E-2</v>
      </c>
    </row>
    <row r="16" spans="1:38" ht="12">
      <c r="B16" s="422"/>
      <c r="C16" s="422"/>
      <c r="D16" s="86">
        <v>45879</v>
      </c>
      <c r="E16" s="86" t="s">
        <v>118</v>
      </c>
      <c r="F16" s="259">
        <f t="shared" si="7"/>
        <v>6959932.0000000009</v>
      </c>
      <c r="G16" s="439"/>
      <c r="H16" s="440"/>
      <c r="I16" s="265">
        <v>579957.52092382032</v>
      </c>
      <c r="J16" s="101">
        <f t="shared" si="8"/>
        <v>8.3328044142359475E-2</v>
      </c>
      <c r="K16" s="265">
        <v>800683.84357952105</v>
      </c>
      <c r="L16" s="101">
        <f t="shared" si="9"/>
        <v>0.11504190609614015</v>
      </c>
      <c r="M16" s="258">
        <f t="shared" si="0"/>
        <v>1380641.3645033413</v>
      </c>
      <c r="N16" s="101">
        <f t="shared" si="10"/>
        <v>0.1983699502384996</v>
      </c>
      <c r="O16" s="265">
        <v>159336.95864083563</v>
      </c>
      <c r="P16" s="101">
        <f t="shared" si="11"/>
        <v>2.2893464855811178E-2</v>
      </c>
      <c r="Q16" s="265">
        <v>120225.97271425456</v>
      </c>
      <c r="R16" s="101">
        <f t="shared" si="12"/>
        <v>1.7274015423463122E-2</v>
      </c>
      <c r="S16" s="258">
        <f t="shared" si="1"/>
        <v>279562.93135509017</v>
      </c>
      <c r="T16" s="101">
        <f t="shared" si="13"/>
        <v>4.0167480279274297E-2</v>
      </c>
      <c r="U16" s="265">
        <v>782722.64167353441</v>
      </c>
      <c r="V16" s="101">
        <f t="shared" si="14"/>
        <v>0.11246124842506137</v>
      </c>
      <c r="W16" s="265">
        <v>14095.086559914185</v>
      </c>
      <c r="X16" s="101">
        <f t="shared" si="15"/>
        <v>2.0251759011315315E-3</v>
      </c>
      <c r="Y16" s="265">
        <v>700085.96408336121</v>
      </c>
      <c r="Z16" s="101">
        <f t="shared" si="16"/>
        <v>0.10058804656185737</v>
      </c>
      <c r="AA16" s="265">
        <v>1081221.0431246185</v>
      </c>
      <c r="AB16" s="101">
        <f t="shared" si="17"/>
        <v>0.15534936880484154</v>
      </c>
      <c r="AC16" s="258">
        <f t="shared" si="2"/>
        <v>1781307.0072079797</v>
      </c>
      <c r="AD16" s="101">
        <f t="shared" si="18"/>
        <v>0.25593741536669889</v>
      </c>
      <c r="AE16" s="265">
        <v>842001.04429320199</v>
      </c>
      <c r="AF16" s="101">
        <f t="shared" si="3"/>
        <v>0.12097834350870122</v>
      </c>
      <c r="AG16" s="265">
        <v>872019.59304907836</v>
      </c>
      <c r="AH16" s="101">
        <f t="shared" si="4"/>
        <v>0.12529139552643306</v>
      </c>
      <c r="AI16" s="265">
        <v>618960.10471114784</v>
      </c>
      <c r="AJ16" s="101">
        <f t="shared" si="5"/>
        <v>8.8931918402528606E-2</v>
      </c>
      <c r="AK16" s="265">
        <v>388622.22664671275</v>
      </c>
      <c r="AL16" s="101">
        <f t="shared" si="6"/>
        <v>5.5837072351671353E-2</v>
      </c>
    </row>
    <row r="17" spans="2:38" ht="12">
      <c r="B17" s="422"/>
      <c r="C17" s="422"/>
      <c r="D17" s="86">
        <v>45880</v>
      </c>
      <c r="E17" s="86" t="s">
        <v>119</v>
      </c>
      <c r="F17" s="259">
        <f t="shared" si="7"/>
        <v>6830671.0000000009</v>
      </c>
      <c r="G17" s="439"/>
      <c r="H17" s="440"/>
      <c r="I17" s="265">
        <v>566289.20396133396</v>
      </c>
      <c r="J17" s="101">
        <f t="shared" si="8"/>
        <v>8.2903890988357348E-2</v>
      </c>
      <c r="K17" s="265">
        <v>780782.4376544595</v>
      </c>
      <c r="L17" s="101">
        <f t="shared" si="9"/>
        <v>0.11430537902564175</v>
      </c>
      <c r="M17" s="258">
        <f t="shared" si="0"/>
        <v>1347071.6416157936</v>
      </c>
      <c r="N17" s="101">
        <f t="shared" si="10"/>
        <v>0.19720927001399913</v>
      </c>
      <c r="O17" s="265">
        <v>152894.73791840917</v>
      </c>
      <c r="P17" s="101">
        <f t="shared" si="11"/>
        <v>2.2383560548943016E-2</v>
      </c>
      <c r="Q17" s="265">
        <v>119116.23056139477</v>
      </c>
      <c r="R17" s="101">
        <f t="shared" si="12"/>
        <v>1.7438437682241577E-2</v>
      </c>
      <c r="S17" s="258">
        <f t="shared" si="1"/>
        <v>272010.96847980394</v>
      </c>
      <c r="T17" s="101">
        <f t="shared" si="13"/>
        <v>3.9821998231184597E-2</v>
      </c>
      <c r="U17" s="265">
        <v>741852.65490757616</v>
      </c>
      <c r="V17" s="101">
        <f t="shared" si="14"/>
        <v>0.10860611716002368</v>
      </c>
      <c r="W17" s="265">
        <v>14439.566180602782</v>
      </c>
      <c r="X17" s="101">
        <f t="shared" si="15"/>
        <v>2.1139308540263145E-3</v>
      </c>
      <c r="Y17" s="265">
        <v>711543.46437810606</v>
      </c>
      <c r="Z17" s="101">
        <f t="shared" si="16"/>
        <v>0.10416889707879445</v>
      </c>
      <c r="AA17" s="265">
        <v>1109054.6920779375</v>
      </c>
      <c r="AB17" s="101">
        <f t="shared" si="17"/>
        <v>0.16236394522264905</v>
      </c>
      <c r="AC17" s="258">
        <f t="shared" si="2"/>
        <v>1820598.1564560435</v>
      </c>
      <c r="AD17" s="101">
        <f t="shared" si="18"/>
        <v>0.26653284230144347</v>
      </c>
      <c r="AE17" s="265">
        <v>800327.46765547618</v>
      </c>
      <c r="AF17" s="101">
        <f t="shared" si="3"/>
        <v>0.117166742133456</v>
      </c>
      <c r="AG17" s="265">
        <v>845054.32234409545</v>
      </c>
      <c r="AH17" s="101">
        <f t="shared" si="4"/>
        <v>0.12371468664558655</v>
      </c>
      <c r="AI17" s="265">
        <v>614864.35098111222</v>
      </c>
      <c r="AJ17" s="101">
        <f t="shared" si="5"/>
        <v>9.0015219731869989E-2</v>
      </c>
      <c r="AK17" s="265">
        <v>374451.8713794967</v>
      </c>
      <c r="AL17" s="101">
        <f t="shared" si="6"/>
        <v>5.4819192928410206E-2</v>
      </c>
    </row>
    <row r="18" spans="2:38" ht="12">
      <c r="B18" s="421">
        <f>D26</f>
        <v>45889</v>
      </c>
      <c r="C18" s="422"/>
      <c r="D18" s="86">
        <v>45881</v>
      </c>
      <c r="E18" s="86" t="s">
        <v>120</v>
      </c>
      <c r="F18" s="259">
        <f t="shared" si="7"/>
        <v>7487434.9999999981</v>
      </c>
      <c r="G18" s="439">
        <f t="shared" ref="G18" si="20">SUM(F18:F24)</f>
        <v>48523585</v>
      </c>
      <c r="H18" s="440"/>
      <c r="I18" s="265">
        <v>558887.26441133756</v>
      </c>
      <c r="J18" s="101">
        <f t="shared" si="8"/>
        <v>7.4643354421285488E-2</v>
      </c>
      <c r="K18" s="265">
        <v>750498.56294156413</v>
      </c>
      <c r="L18" s="101">
        <f t="shared" si="9"/>
        <v>0.10023440109217166</v>
      </c>
      <c r="M18" s="258">
        <f t="shared" si="0"/>
        <v>1309385.8273529017</v>
      </c>
      <c r="N18" s="101">
        <f t="shared" si="10"/>
        <v>0.17487775551345713</v>
      </c>
      <c r="O18" s="265">
        <v>145970.82623112996</v>
      </c>
      <c r="P18" s="101">
        <f t="shared" si="11"/>
        <v>1.9495438188262069E-2</v>
      </c>
      <c r="Q18" s="265">
        <v>114367.45504151593</v>
      </c>
      <c r="R18" s="101">
        <f t="shared" si="12"/>
        <v>1.5274584025305857E-2</v>
      </c>
      <c r="S18" s="258">
        <f t="shared" si="1"/>
        <v>260338.28127264589</v>
      </c>
      <c r="T18" s="101">
        <f t="shared" si="13"/>
        <v>3.4770022213567925E-2</v>
      </c>
      <c r="U18" s="265">
        <v>712087.61078755045</v>
      </c>
      <c r="V18" s="101">
        <f t="shared" si="14"/>
        <v>9.5104346253096106E-2</v>
      </c>
      <c r="W18" s="265">
        <v>13413.744292275822</v>
      </c>
      <c r="X18" s="101">
        <f t="shared" si="15"/>
        <v>1.791500599641376E-3</v>
      </c>
      <c r="Y18" s="265">
        <v>955512.4076488741</v>
      </c>
      <c r="Z18" s="101">
        <f t="shared" si="16"/>
        <v>0.12761545277506575</v>
      </c>
      <c r="AA18" s="265">
        <v>1148666.3565172632</v>
      </c>
      <c r="AB18" s="101">
        <f t="shared" si="17"/>
        <v>0.15341253132978963</v>
      </c>
      <c r="AC18" s="258">
        <f t="shared" si="2"/>
        <v>2104178.7641661372</v>
      </c>
      <c r="AD18" s="101">
        <f t="shared" si="18"/>
        <v>0.28102798410485536</v>
      </c>
      <c r="AE18" s="265">
        <v>859219.61760850262</v>
      </c>
      <c r="AF18" s="101">
        <f t="shared" si="3"/>
        <v>0.11475486833722133</v>
      </c>
      <c r="AG18" s="265">
        <v>1218740.7087907316</v>
      </c>
      <c r="AH18" s="101">
        <f t="shared" si="4"/>
        <v>0.16277145762076492</v>
      </c>
      <c r="AI18" s="265">
        <v>625894.26374757173</v>
      </c>
      <c r="AJ18" s="101">
        <f t="shared" si="5"/>
        <v>8.3592613992318043E-2</v>
      </c>
      <c r="AK18" s="265">
        <v>384176.18198168126</v>
      </c>
      <c r="AL18" s="101">
        <f t="shared" si="6"/>
        <v>5.1309451365077807E-2</v>
      </c>
    </row>
    <row r="19" spans="2:38" ht="12">
      <c r="B19" s="422"/>
      <c r="C19" s="422"/>
      <c r="D19" s="86">
        <v>45882</v>
      </c>
      <c r="E19" s="86" t="s">
        <v>114</v>
      </c>
      <c r="F19" s="259">
        <f t="shared" si="7"/>
        <v>7231344</v>
      </c>
      <c r="G19" s="439"/>
      <c r="H19" s="440"/>
      <c r="I19" s="265">
        <v>542562.79628241493</v>
      </c>
      <c r="J19" s="101">
        <f t="shared" si="8"/>
        <v>7.5029316304467741E-2</v>
      </c>
      <c r="K19" s="265">
        <v>753469.59436665464</v>
      </c>
      <c r="L19" s="101">
        <f t="shared" si="9"/>
        <v>0.10419495938329786</v>
      </c>
      <c r="M19" s="258">
        <f t="shared" si="0"/>
        <v>1296032.3906490696</v>
      </c>
      <c r="N19" s="101">
        <f t="shared" si="10"/>
        <v>0.17922427568776558</v>
      </c>
      <c r="O19" s="265">
        <v>139640.64663209458</v>
      </c>
      <c r="P19" s="101">
        <f t="shared" si="11"/>
        <v>1.931046934457752E-2</v>
      </c>
      <c r="Q19" s="265">
        <v>115956.22460070792</v>
      </c>
      <c r="R19" s="101">
        <f t="shared" si="12"/>
        <v>1.6035224517144796E-2</v>
      </c>
      <c r="S19" s="258">
        <f t="shared" si="1"/>
        <v>255596.87123280251</v>
      </c>
      <c r="T19" s="101">
        <f t="shared" si="13"/>
        <v>3.5345693861722316E-2</v>
      </c>
      <c r="U19" s="265">
        <v>725374.59164544311</v>
      </c>
      <c r="V19" s="101">
        <f t="shared" si="14"/>
        <v>0.1003097891132607</v>
      </c>
      <c r="W19" s="265">
        <v>13676.706402659562</v>
      </c>
      <c r="X19" s="101">
        <f t="shared" si="15"/>
        <v>1.8913090571627573E-3</v>
      </c>
      <c r="Y19" s="265">
        <v>894731.26891480887</v>
      </c>
      <c r="Z19" s="101">
        <f t="shared" si="16"/>
        <v>0.12372959562078763</v>
      </c>
      <c r="AA19" s="265">
        <v>1107829.7308953344</v>
      </c>
      <c r="AB19" s="101">
        <f t="shared" si="17"/>
        <v>0.15319831706185383</v>
      </c>
      <c r="AC19" s="258">
        <f t="shared" si="2"/>
        <v>2002560.9998101434</v>
      </c>
      <c r="AD19" s="101">
        <f t="shared" si="18"/>
        <v>0.2769279126826415</v>
      </c>
      <c r="AE19" s="265">
        <v>839308.29905587935</v>
      </c>
      <c r="AF19" s="101">
        <f t="shared" si="3"/>
        <v>0.11606532603840715</v>
      </c>
      <c r="AG19" s="265">
        <v>1058187.5457646367</v>
      </c>
      <c r="AH19" s="101">
        <f t="shared" si="4"/>
        <v>0.14633345416351881</v>
      </c>
      <c r="AI19" s="265">
        <v>650806.96198406036</v>
      </c>
      <c r="AJ19" s="101">
        <f t="shared" si="5"/>
        <v>8.9998064258049446E-2</v>
      </c>
      <c r="AK19" s="265">
        <v>389799.63345530635</v>
      </c>
      <c r="AL19" s="101">
        <f t="shared" si="6"/>
        <v>5.3904175137471866E-2</v>
      </c>
    </row>
    <row r="20" spans="2:38" ht="12">
      <c r="B20" s="422"/>
      <c r="C20" s="422"/>
      <c r="D20" s="86">
        <v>45883</v>
      </c>
      <c r="E20" s="86" t="s">
        <v>115</v>
      </c>
      <c r="F20" s="259">
        <f t="shared" si="7"/>
        <v>7037092.9999999991</v>
      </c>
      <c r="G20" s="439"/>
      <c r="H20" s="440"/>
      <c r="I20" s="265">
        <v>553845.52188878099</v>
      </c>
      <c r="J20" s="101">
        <f t="shared" si="8"/>
        <v>7.8703737734996684E-2</v>
      </c>
      <c r="K20" s="265">
        <v>738498.31994119647</v>
      </c>
      <c r="L20" s="101">
        <f t="shared" si="9"/>
        <v>0.10494366351861437</v>
      </c>
      <c r="M20" s="258">
        <f t="shared" si="0"/>
        <v>1292343.8418299775</v>
      </c>
      <c r="N20" s="101">
        <f t="shared" si="10"/>
        <v>0.18364740125361106</v>
      </c>
      <c r="O20" s="265">
        <v>142847.72981537477</v>
      </c>
      <c r="P20" s="101">
        <f t="shared" si="11"/>
        <v>2.0299252804442797E-2</v>
      </c>
      <c r="Q20" s="265">
        <v>114503.48787047141</v>
      </c>
      <c r="R20" s="101">
        <f t="shared" si="12"/>
        <v>1.6271418875730564E-2</v>
      </c>
      <c r="S20" s="258">
        <f t="shared" si="1"/>
        <v>257351.21768584618</v>
      </c>
      <c r="T20" s="101">
        <f t="shared" si="13"/>
        <v>3.6570671680173361E-2</v>
      </c>
      <c r="U20" s="265">
        <v>690536.3685103436</v>
      </c>
      <c r="V20" s="101">
        <f t="shared" si="14"/>
        <v>9.812807199085527E-2</v>
      </c>
      <c r="W20" s="265">
        <v>13623.002641666393</v>
      </c>
      <c r="X20" s="101">
        <f t="shared" si="15"/>
        <v>1.9358849800146731E-3</v>
      </c>
      <c r="Y20" s="265">
        <v>807947.03568329499</v>
      </c>
      <c r="Z20" s="101">
        <f t="shared" si="16"/>
        <v>0.11481261306100334</v>
      </c>
      <c r="AA20" s="265">
        <v>1116490.6701877227</v>
      </c>
      <c r="AB20" s="101">
        <f t="shared" si="17"/>
        <v>0.15865793875222664</v>
      </c>
      <c r="AC20" s="258">
        <f t="shared" si="2"/>
        <v>1924437.7058710176</v>
      </c>
      <c r="AD20" s="101">
        <f t="shared" si="18"/>
        <v>0.27347055181322999</v>
      </c>
      <c r="AE20" s="265">
        <v>803753.07527347398</v>
      </c>
      <c r="AF20" s="101">
        <f t="shared" si="3"/>
        <v>0.11421663395289419</v>
      </c>
      <c r="AG20" s="265">
        <v>1007468.4307908778</v>
      </c>
      <c r="AH20" s="101">
        <f t="shared" si="4"/>
        <v>0.14316542793890571</v>
      </c>
      <c r="AI20" s="265">
        <v>668860.72366960126</v>
      </c>
      <c r="AJ20" s="101">
        <f t="shared" si="5"/>
        <v>9.5047873272330108E-2</v>
      </c>
      <c r="AK20" s="265">
        <v>378718.63372719457</v>
      </c>
      <c r="AL20" s="101">
        <f t="shared" si="6"/>
        <v>5.38174831179856E-2</v>
      </c>
    </row>
    <row r="21" spans="2:38" ht="12">
      <c r="B21" s="422"/>
      <c r="C21" s="422"/>
      <c r="D21" s="86">
        <v>45884</v>
      </c>
      <c r="E21" s="86" t="s">
        <v>116</v>
      </c>
      <c r="F21" s="259">
        <f t="shared" si="7"/>
        <v>6388037.9999999991</v>
      </c>
      <c r="G21" s="439"/>
      <c r="H21" s="440"/>
      <c r="I21" s="265">
        <v>471450.9240039108</v>
      </c>
      <c r="J21" s="101">
        <f t="shared" si="8"/>
        <v>7.380214770230091E-2</v>
      </c>
      <c r="K21" s="265">
        <v>686358.98652517761</v>
      </c>
      <c r="L21" s="101">
        <f t="shared" si="9"/>
        <v>0.10744441196579885</v>
      </c>
      <c r="M21" s="258">
        <f t="shared" si="0"/>
        <v>1157809.9105290885</v>
      </c>
      <c r="N21" s="101">
        <f t="shared" si="10"/>
        <v>0.18124655966809974</v>
      </c>
      <c r="O21" s="265">
        <v>124873.80980431048</v>
      </c>
      <c r="P21" s="101">
        <f t="shared" si="11"/>
        <v>1.9548069345284184E-2</v>
      </c>
      <c r="Q21" s="265">
        <v>104864.12401260732</v>
      </c>
      <c r="R21" s="101">
        <f t="shared" si="12"/>
        <v>1.6415701348772085E-2</v>
      </c>
      <c r="S21" s="258">
        <f t="shared" si="1"/>
        <v>229737.93381691782</v>
      </c>
      <c r="T21" s="101">
        <f t="shared" si="13"/>
        <v>3.5963770694056277E-2</v>
      </c>
      <c r="U21" s="265">
        <v>609363.61295305786</v>
      </c>
      <c r="V21" s="101">
        <f t="shared" si="14"/>
        <v>9.5391356931980989E-2</v>
      </c>
      <c r="W21" s="265">
        <v>12509.093972074626</v>
      </c>
      <c r="X21" s="101">
        <f t="shared" si="15"/>
        <v>1.9582059424309356E-3</v>
      </c>
      <c r="Y21" s="265">
        <v>764495.14769605966</v>
      </c>
      <c r="Z21" s="101">
        <f t="shared" si="16"/>
        <v>0.11967604884254912</v>
      </c>
      <c r="AA21" s="265">
        <v>1141615.3714744309</v>
      </c>
      <c r="AB21" s="101">
        <f t="shared" si="17"/>
        <v>0.17871142461494924</v>
      </c>
      <c r="AC21" s="258">
        <f t="shared" si="2"/>
        <v>1906110.5191704906</v>
      </c>
      <c r="AD21" s="101">
        <f t="shared" si="18"/>
        <v>0.29838747345749833</v>
      </c>
      <c r="AE21" s="265">
        <v>724592.66397298314</v>
      </c>
      <c r="AF21" s="101">
        <f t="shared" si="3"/>
        <v>0.11342961077767277</v>
      </c>
      <c r="AG21" s="265">
        <v>792884.95898049406</v>
      </c>
      <c r="AH21" s="101">
        <f t="shared" si="4"/>
        <v>0.12412026337045806</v>
      </c>
      <c r="AI21" s="265">
        <v>596864.24035124609</v>
      </c>
      <c r="AJ21" s="101">
        <f t="shared" si="5"/>
        <v>9.3434672798008739E-2</v>
      </c>
      <c r="AK21" s="265">
        <v>358165.06625364599</v>
      </c>
      <c r="AL21" s="101">
        <f t="shared" si="6"/>
        <v>5.6068086359794045E-2</v>
      </c>
    </row>
    <row r="22" spans="2:38" ht="12">
      <c r="B22" s="422"/>
      <c r="C22" s="422"/>
      <c r="D22" s="86">
        <v>45885</v>
      </c>
      <c r="E22" s="86" t="s">
        <v>117</v>
      </c>
      <c r="F22" s="259">
        <f t="shared" si="7"/>
        <v>6365900.0000000019</v>
      </c>
      <c r="G22" s="439"/>
      <c r="H22" s="440"/>
      <c r="I22" s="265">
        <v>458402.27101831697</v>
      </c>
      <c r="J22" s="101">
        <f t="shared" si="8"/>
        <v>7.2009027948650911E-2</v>
      </c>
      <c r="K22" s="265">
        <v>738962.50421300181</v>
      </c>
      <c r="L22" s="101">
        <f t="shared" si="9"/>
        <v>0.11608138742565884</v>
      </c>
      <c r="M22" s="258">
        <f t="shared" si="0"/>
        <v>1197364.7752313188</v>
      </c>
      <c r="N22" s="101">
        <f t="shared" si="10"/>
        <v>0.18809041537430976</v>
      </c>
      <c r="O22" s="265">
        <v>124808.74504224687</v>
      </c>
      <c r="P22" s="101">
        <f t="shared" si="11"/>
        <v>1.960582871899446E-2</v>
      </c>
      <c r="Q22" s="265">
        <v>104024.37320295154</v>
      </c>
      <c r="R22" s="101">
        <f t="shared" si="12"/>
        <v>1.6340874535093468E-2</v>
      </c>
      <c r="S22" s="258">
        <f t="shared" si="1"/>
        <v>228833.11824519839</v>
      </c>
      <c r="T22" s="101">
        <f t="shared" si="13"/>
        <v>3.5946703254087928E-2</v>
      </c>
      <c r="U22" s="265">
        <v>600837.63326672907</v>
      </c>
      <c r="V22" s="101">
        <f t="shared" si="14"/>
        <v>9.4383768715614269E-2</v>
      </c>
      <c r="W22" s="265">
        <v>13246.387463860847</v>
      </c>
      <c r="X22" s="101">
        <f t="shared" si="15"/>
        <v>2.080834990160204E-3</v>
      </c>
      <c r="Y22" s="265">
        <v>740381.55320511805</v>
      </c>
      <c r="Z22" s="101">
        <f t="shared" si="16"/>
        <v>0.11630430154496894</v>
      </c>
      <c r="AA22" s="265">
        <v>1106517.5026640925</v>
      </c>
      <c r="AB22" s="101">
        <f t="shared" si="17"/>
        <v>0.17381949177085598</v>
      </c>
      <c r="AC22" s="258">
        <f t="shared" si="2"/>
        <v>1846899.0558692105</v>
      </c>
      <c r="AD22" s="101">
        <f t="shared" si="18"/>
        <v>0.29012379331582494</v>
      </c>
      <c r="AE22" s="265">
        <v>731987.30304398818</v>
      </c>
      <c r="AF22" s="101">
        <f t="shared" si="3"/>
        <v>0.11498567414568057</v>
      </c>
      <c r="AG22" s="265">
        <v>846969.10650692508</v>
      </c>
      <c r="AH22" s="101">
        <f t="shared" si="4"/>
        <v>0.13304781829857912</v>
      </c>
      <c r="AI22" s="265">
        <v>551276.210288406</v>
      </c>
      <c r="AJ22" s="101">
        <f t="shared" si="5"/>
        <v>8.6598314502019491E-2</v>
      </c>
      <c r="AK22" s="265">
        <v>348486.4100843636</v>
      </c>
      <c r="AL22" s="101">
        <f t="shared" si="6"/>
        <v>5.4742677403723509E-2</v>
      </c>
    </row>
    <row r="23" spans="2:38" ht="12">
      <c r="B23" s="422"/>
      <c r="C23" s="422"/>
      <c r="D23" s="86">
        <v>45886</v>
      </c>
      <c r="E23" s="86" t="s">
        <v>118</v>
      </c>
      <c r="F23" s="259">
        <f t="shared" si="7"/>
        <v>7153919.9999999991</v>
      </c>
      <c r="G23" s="439"/>
      <c r="H23" s="440"/>
      <c r="I23" s="265">
        <v>564087.79794782691</v>
      </c>
      <c r="J23" s="101">
        <f t="shared" si="8"/>
        <v>7.8850168571612061E-2</v>
      </c>
      <c r="K23" s="265">
        <v>792939.40069789626</v>
      </c>
      <c r="L23" s="101">
        <f t="shared" si="9"/>
        <v>0.11083984734214199</v>
      </c>
      <c r="M23" s="258">
        <f t="shared" si="0"/>
        <v>1357027.1986457231</v>
      </c>
      <c r="N23" s="101">
        <f t="shared" si="10"/>
        <v>0.18969001591375403</v>
      </c>
      <c r="O23" s="265">
        <v>156340.67333933487</v>
      </c>
      <c r="P23" s="101">
        <f t="shared" si="11"/>
        <v>2.1853847029228015E-2</v>
      </c>
      <c r="Q23" s="265">
        <v>117704.57058397861</v>
      </c>
      <c r="R23" s="101">
        <f t="shared" si="12"/>
        <v>1.6453157231836338E-2</v>
      </c>
      <c r="S23" s="258">
        <f t="shared" si="1"/>
        <v>274045.24392331345</v>
      </c>
      <c r="T23" s="101">
        <f t="shared" si="13"/>
        <v>3.8307004261064349E-2</v>
      </c>
      <c r="U23" s="265">
        <v>717127.54328485881</v>
      </c>
      <c r="V23" s="101">
        <f t="shared" si="14"/>
        <v>0.10024260032050385</v>
      </c>
      <c r="W23" s="265">
        <v>12745.484433445856</v>
      </c>
      <c r="X23" s="101">
        <f t="shared" si="15"/>
        <v>1.7816084654910674E-3</v>
      </c>
      <c r="Y23" s="265">
        <v>770890.6161704011</v>
      </c>
      <c r="Z23" s="101">
        <f t="shared" si="16"/>
        <v>0.10775779099715976</v>
      </c>
      <c r="AA23" s="265">
        <v>1093784.9516265444</v>
      </c>
      <c r="AB23" s="101">
        <f t="shared" si="17"/>
        <v>0.1528930924061975</v>
      </c>
      <c r="AC23" s="258">
        <f t="shared" si="2"/>
        <v>1864675.5677969456</v>
      </c>
      <c r="AD23" s="101">
        <f t="shared" si="18"/>
        <v>0.26065088340335729</v>
      </c>
      <c r="AE23" s="265">
        <v>884052.9889343176</v>
      </c>
      <c r="AF23" s="101">
        <f t="shared" si="3"/>
        <v>0.12357602390498044</v>
      </c>
      <c r="AG23" s="265">
        <v>1017835.2624908922</v>
      </c>
      <c r="AH23" s="101">
        <f t="shared" si="4"/>
        <v>0.14227657878350503</v>
      </c>
      <c r="AI23" s="265">
        <v>636158.50696629076</v>
      </c>
      <c r="AJ23" s="101">
        <f t="shared" si="5"/>
        <v>8.8924464764253836E-2</v>
      </c>
      <c r="AK23" s="265">
        <v>390252.20352421177</v>
      </c>
      <c r="AL23" s="101">
        <f t="shared" si="6"/>
        <v>5.4550820183090085E-2</v>
      </c>
    </row>
    <row r="24" spans="2:38" ht="12">
      <c r="B24" s="422"/>
      <c r="C24" s="422"/>
      <c r="D24" s="86">
        <v>45887</v>
      </c>
      <c r="E24" s="86" t="s">
        <v>119</v>
      </c>
      <c r="F24" s="259">
        <f t="shared" si="7"/>
        <v>6859855.0000000009</v>
      </c>
      <c r="G24" s="439"/>
      <c r="H24" s="440"/>
      <c r="I24" s="265">
        <v>559286.04968494747</v>
      </c>
      <c r="J24" s="101">
        <f t="shared" si="8"/>
        <v>8.1530301979407346E-2</v>
      </c>
      <c r="K24" s="265">
        <v>833445.19875080662</v>
      </c>
      <c r="L24" s="101">
        <f t="shared" si="9"/>
        <v>0.12149603727058465</v>
      </c>
      <c r="M24" s="258">
        <f t="shared" si="0"/>
        <v>1392731.2484357541</v>
      </c>
      <c r="N24" s="101">
        <f t="shared" si="10"/>
        <v>0.203026339249992</v>
      </c>
      <c r="O24" s="265">
        <v>149464.12001998207</v>
      </c>
      <c r="P24" s="101">
        <f t="shared" si="11"/>
        <v>2.1788233136120525E-2</v>
      </c>
      <c r="Q24" s="265">
        <v>120215.0615933535</v>
      </c>
      <c r="R24" s="101">
        <f t="shared" si="12"/>
        <v>1.7524431871133353E-2</v>
      </c>
      <c r="S24" s="258">
        <f t="shared" si="1"/>
        <v>269679.18161333556</v>
      </c>
      <c r="T24" s="101">
        <f t="shared" si="13"/>
        <v>3.9312665007253875E-2</v>
      </c>
      <c r="U24" s="265">
        <v>699866.89357226191</v>
      </c>
      <c r="V24" s="101">
        <f t="shared" si="14"/>
        <v>0.10202356953204722</v>
      </c>
      <c r="W24" s="265">
        <v>12981.770682534911</v>
      </c>
      <c r="X24" s="101">
        <f t="shared" si="15"/>
        <v>1.8924263971373898E-3</v>
      </c>
      <c r="Y24" s="265">
        <v>731613.50520396943</v>
      </c>
      <c r="Z24" s="101">
        <f t="shared" si="16"/>
        <v>0.10665145330389189</v>
      </c>
      <c r="AA24" s="265">
        <v>1063991.5541195802</v>
      </c>
      <c r="AB24" s="101">
        <f t="shared" si="17"/>
        <v>0.15510408807760223</v>
      </c>
      <c r="AC24" s="258">
        <f t="shared" si="2"/>
        <v>1795605.0593235497</v>
      </c>
      <c r="AD24" s="101">
        <f t="shared" si="18"/>
        <v>0.26175554138149415</v>
      </c>
      <c r="AE24" s="265">
        <v>872648.97728623997</v>
      </c>
      <c r="AF24" s="101">
        <f t="shared" si="3"/>
        <v>0.12721099458898766</v>
      </c>
      <c r="AG24" s="265">
        <v>782377.15349007549</v>
      </c>
      <c r="AH24" s="101">
        <f t="shared" si="4"/>
        <v>0.1140515584498616</v>
      </c>
      <c r="AI24" s="265">
        <v>649146.42091801716</v>
      </c>
      <c r="AJ24" s="101">
        <f t="shared" si="5"/>
        <v>9.462975834299954E-2</v>
      </c>
      <c r="AK24" s="265">
        <v>384818.29467823054</v>
      </c>
      <c r="AL24" s="101">
        <f t="shared" si="6"/>
        <v>5.6097147050226351E-2</v>
      </c>
    </row>
    <row r="25" spans="2:38" ht="12">
      <c r="B25" s="421">
        <f>D33</f>
        <v>45896</v>
      </c>
      <c r="C25" s="422"/>
      <c r="D25" s="86">
        <v>45888</v>
      </c>
      <c r="E25" s="86" t="s">
        <v>120</v>
      </c>
      <c r="F25" s="259">
        <f t="shared" si="7"/>
        <v>7669791</v>
      </c>
      <c r="G25" s="439">
        <f t="shared" ref="G25" si="21">SUM(F25:F31)</f>
        <v>48798227</v>
      </c>
      <c r="H25" s="440"/>
      <c r="I25" s="265">
        <v>607919.46854440158</v>
      </c>
      <c r="J25" s="101">
        <f t="shared" si="8"/>
        <v>7.9261542921365336E-2</v>
      </c>
      <c r="K25" s="265">
        <v>832702.39674992755</v>
      </c>
      <c r="L25" s="101">
        <f t="shared" si="9"/>
        <v>0.10856911182455005</v>
      </c>
      <c r="M25" s="258">
        <f t="shared" si="0"/>
        <v>1440621.8652943291</v>
      </c>
      <c r="N25" s="101">
        <f t="shared" si="10"/>
        <v>0.1878306547459154</v>
      </c>
      <c r="O25" s="265">
        <v>224155.30529365342</v>
      </c>
      <c r="P25" s="101">
        <f t="shared" si="11"/>
        <v>2.9225738392826273E-2</v>
      </c>
      <c r="Q25" s="265">
        <v>123513.28237149183</v>
      </c>
      <c r="R25" s="101">
        <f t="shared" si="12"/>
        <v>1.6103865460152935E-2</v>
      </c>
      <c r="S25" s="258">
        <f t="shared" si="1"/>
        <v>347668.58766514529</v>
      </c>
      <c r="T25" s="101">
        <f t="shared" si="13"/>
        <v>4.5329603852979211E-2</v>
      </c>
      <c r="U25" s="265">
        <v>690915.53772226849</v>
      </c>
      <c r="V25" s="101">
        <f t="shared" si="14"/>
        <v>9.0082707302228768E-2</v>
      </c>
      <c r="W25" s="265">
        <v>13253.034869267667</v>
      </c>
      <c r="X25" s="101">
        <f t="shared" si="15"/>
        <v>1.7279525438525856E-3</v>
      </c>
      <c r="Y25" s="265">
        <v>765839.81323472853</v>
      </c>
      <c r="Z25" s="101">
        <f t="shared" si="16"/>
        <v>9.9851457912572647E-2</v>
      </c>
      <c r="AA25" s="265">
        <v>1077776.5696036476</v>
      </c>
      <c r="AB25" s="101">
        <f t="shared" si="17"/>
        <v>0.14052228667034702</v>
      </c>
      <c r="AC25" s="258">
        <f t="shared" si="2"/>
        <v>1843616.3828383761</v>
      </c>
      <c r="AD25" s="101">
        <f t="shared" si="18"/>
        <v>0.24037374458291969</v>
      </c>
      <c r="AE25" s="265">
        <v>856379.75984626496</v>
      </c>
      <c r="AF25" s="101">
        <f t="shared" si="3"/>
        <v>0.11165620547499469</v>
      </c>
      <c r="AG25" s="265">
        <v>1231516.6930345737</v>
      </c>
      <c r="AH25" s="101">
        <f t="shared" si="4"/>
        <v>0.16056717751951438</v>
      </c>
      <c r="AI25" s="265">
        <v>609285.30274875567</v>
      </c>
      <c r="AJ25" s="101">
        <f t="shared" si="5"/>
        <v>7.9439622637534152E-2</v>
      </c>
      <c r="AK25" s="265">
        <v>636533.83598101838</v>
      </c>
      <c r="AL25" s="101">
        <f t="shared" si="6"/>
        <v>8.2992331340061079E-2</v>
      </c>
    </row>
    <row r="26" spans="2:38" ht="12">
      <c r="B26" s="422"/>
      <c r="C26" s="422"/>
      <c r="D26" s="86">
        <v>45889</v>
      </c>
      <c r="E26" s="86" t="s">
        <v>114</v>
      </c>
      <c r="F26" s="259">
        <f t="shared" si="7"/>
        <v>7361857.9999999991</v>
      </c>
      <c r="G26" s="439"/>
      <c r="H26" s="440"/>
      <c r="I26" s="265">
        <v>594546.06029676623</v>
      </c>
      <c r="J26" s="101">
        <f t="shared" si="8"/>
        <v>8.0760327120784764E-2</v>
      </c>
      <c r="K26" s="265">
        <v>830968.7763536385</v>
      </c>
      <c r="L26" s="101">
        <f t="shared" si="9"/>
        <v>0.11287487158182603</v>
      </c>
      <c r="M26" s="258">
        <f t="shared" si="0"/>
        <v>1425514.8366504046</v>
      </c>
      <c r="N26" s="101">
        <f t="shared" si="10"/>
        <v>0.19363519870261078</v>
      </c>
      <c r="O26" s="265">
        <v>196772.42572806089</v>
      </c>
      <c r="P26" s="101">
        <f t="shared" si="11"/>
        <v>2.6728636402394736E-2</v>
      </c>
      <c r="Q26" s="265">
        <v>120856.20205696064</v>
      </c>
      <c r="R26" s="101">
        <f t="shared" si="12"/>
        <v>1.6416535344332999E-2</v>
      </c>
      <c r="S26" s="258">
        <f t="shared" si="1"/>
        <v>317628.62778502156</v>
      </c>
      <c r="T26" s="101">
        <f t="shared" si="13"/>
        <v>4.3145171746727738E-2</v>
      </c>
      <c r="U26" s="265">
        <v>685874.37317023252</v>
      </c>
      <c r="V26" s="101">
        <f t="shared" si="14"/>
        <v>9.3165933541537016E-2</v>
      </c>
      <c r="W26" s="265">
        <v>12905.884845743363</v>
      </c>
      <c r="X26" s="101">
        <f t="shared" si="15"/>
        <v>1.7530744067249552E-3</v>
      </c>
      <c r="Y26" s="265">
        <v>764276.2125262575</v>
      </c>
      <c r="Z26" s="101">
        <f t="shared" si="16"/>
        <v>0.10381566888769894</v>
      </c>
      <c r="AA26" s="265">
        <v>1068327.1728723603</v>
      </c>
      <c r="AB26" s="101">
        <f t="shared" si="17"/>
        <v>0.14511651445495966</v>
      </c>
      <c r="AC26" s="258">
        <f t="shared" si="2"/>
        <v>1832603.3853986179</v>
      </c>
      <c r="AD26" s="101">
        <f t="shared" si="18"/>
        <v>0.24893218334265863</v>
      </c>
      <c r="AE26" s="265">
        <v>835491.40897085972</v>
      </c>
      <c r="AF26" s="101">
        <f t="shared" si="3"/>
        <v>0.11348920462346052</v>
      </c>
      <c r="AG26" s="265">
        <v>1044244.4273760145</v>
      </c>
      <c r="AH26" s="101">
        <f t="shared" si="4"/>
        <v>0.14184522811714306</v>
      </c>
      <c r="AI26" s="265">
        <v>678370.87098569155</v>
      </c>
      <c r="AJ26" s="101">
        <f t="shared" si="5"/>
        <v>9.2146693264892041E-2</v>
      </c>
      <c r="AK26" s="265">
        <v>529224.18481741415</v>
      </c>
      <c r="AL26" s="101">
        <f t="shared" si="6"/>
        <v>7.1887312254245356E-2</v>
      </c>
    </row>
    <row r="27" spans="2:38" ht="12">
      <c r="B27" s="422"/>
      <c r="C27" s="422"/>
      <c r="D27" s="86">
        <v>45890</v>
      </c>
      <c r="E27" s="86" t="s">
        <v>115</v>
      </c>
      <c r="F27" s="259">
        <f t="shared" si="7"/>
        <v>7002875.9999999991</v>
      </c>
      <c r="G27" s="439"/>
      <c r="H27" s="440"/>
      <c r="I27" s="265">
        <v>568728.19321773399</v>
      </c>
      <c r="J27" s="101">
        <f t="shared" si="8"/>
        <v>8.1213517591591525E-2</v>
      </c>
      <c r="K27" s="265">
        <v>780398.67448170099</v>
      </c>
      <c r="L27" s="101">
        <f t="shared" si="9"/>
        <v>0.11143973911314453</v>
      </c>
      <c r="M27" s="258">
        <f t="shared" si="0"/>
        <v>1349126.867699435</v>
      </c>
      <c r="N27" s="101">
        <f t="shared" si="10"/>
        <v>0.19265325670473604</v>
      </c>
      <c r="O27" s="265">
        <v>185478.53974416779</v>
      </c>
      <c r="P27" s="101">
        <f t="shared" si="11"/>
        <v>2.6486052265407501E-2</v>
      </c>
      <c r="Q27" s="265">
        <v>121450.38392065842</v>
      </c>
      <c r="R27" s="101">
        <f t="shared" si="12"/>
        <v>1.7342929379394759E-2</v>
      </c>
      <c r="S27" s="258">
        <f t="shared" si="1"/>
        <v>306928.9236648262</v>
      </c>
      <c r="T27" s="101">
        <f t="shared" si="13"/>
        <v>4.3828981644802256E-2</v>
      </c>
      <c r="U27" s="265">
        <v>643674.20583801123</v>
      </c>
      <c r="V27" s="101">
        <f t="shared" si="14"/>
        <v>9.1915693757537803E-2</v>
      </c>
      <c r="W27" s="265">
        <v>11872.64236429532</v>
      </c>
      <c r="X27" s="101">
        <f t="shared" si="15"/>
        <v>1.6953952010995655E-3</v>
      </c>
      <c r="Y27" s="265">
        <v>726904.73405542341</v>
      </c>
      <c r="Z27" s="101">
        <f t="shared" si="16"/>
        <v>0.10380088610099958</v>
      </c>
      <c r="AA27" s="265">
        <v>999381.41057544365</v>
      </c>
      <c r="AB27" s="101">
        <f t="shared" si="17"/>
        <v>0.14271013945919417</v>
      </c>
      <c r="AC27" s="258">
        <f t="shared" si="2"/>
        <v>1726286.1446308671</v>
      </c>
      <c r="AD27" s="101">
        <f t="shared" si="18"/>
        <v>0.24651102556019375</v>
      </c>
      <c r="AE27" s="265">
        <v>810524.18183271657</v>
      </c>
      <c r="AF27" s="101">
        <f t="shared" si="3"/>
        <v>0.11574161556376504</v>
      </c>
      <c r="AG27" s="265">
        <v>999965.11317107384</v>
      </c>
      <c r="AH27" s="101">
        <f t="shared" si="4"/>
        <v>0.1427934912985856</v>
      </c>
      <c r="AI27" s="265">
        <v>652636.92766327085</v>
      </c>
      <c r="AJ27" s="101">
        <f t="shared" si="5"/>
        <v>9.3195556748865885E-2</v>
      </c>
      <c r="AK27" s="265">
        <v>501860.99313550338</v>
      </c>
      <c r="AL27" s="101">
        <f t="shared" si="6"/>
        <v>7.1664983520414102E-2</v>
      </c>
    </row>
    <row r="28" spans="2:38" ht="12">
      <c r="B28" s="422"/>
      <c r="C28" s="422"/>
      <c r="D28" s="86">
        <v>45891</v>
      </c>
      <c r="E28" s="86" t="s">
        <v>116</v>
      </c>
      <c r="F28" s="259">
        <f t="shared" si="7"/>
        <v>6204031.0000000009</v>
      </c>
      <c r="G28" s="439"/>
      <c r="H28" s="440"/>
      <c r="I28" s="265">
        <v>499996.8324084442</v>
      </c>
      <c r="J28" s="101">
        <f t="shared" si="8"/>
        <v>8.0592252425631672E-2</v>
      </c>
      <c r="K28" s="265">
        <v>731141.65607261145</v>
      </c>
      <c r="L28" s="101">
        <f t="shared" si="9"/>
        <v>0.11784945240805718</v>
      </c>
      <c r="M28" s="258">
        <f t="shared" si="0"/>
        <v>1231138.4884810557</v>
      </c>
      <c r="N28" s="101">
        <f t="shared" si="10"/>
        <v>0.19844170483368886</v>
      </c>
      <c r="O28" s="265">
        <v>173126.79240100068</v>
      </c>
      <c r="P28" s="101">
        <f t="shared" si="11"/>
        <v>2.7905533096304752E-2</v>
      </c>
      <c r="Q28" s="265">
        <v>104751.29825506071</v>
      </c>
      <c r="R28" s="101">
        <f t="shared" si="12"/>
        <v>1.6884393107491031E-2</v>
      </c>
      <c r="S28" s="258">
        <f t="shared" si="1"/>
        <v>277878.09065606142</v>
      </c>
      <c r="T28" s="101">
        <f t="shared" si="13"/>
        <v>4.4789926203795787E-2</v>
      </c>
      <c r="U28" s="265">
        <v>555001.44876619615</v>
      </c>
      <c r="V28" s="101">
        <f t="shared" si="14"/>
        <v>8.9458200445193786E-2</v>
      </c>
      <c r="W28" s="265">
        <v>11208.880118308269</v>
      </c>
      <c r="X28" s="101">
        <f t="shared" si="15"/>
        <v>1.8067092376405384E-3</v>
      </c>
      <c r="Y28" s="265">
        <v>658869.66813361773</v>
      </c>
      <c r="Z28" s="101">
        <f t="shared" si="16"/>
        <v>0.10620025401768908</v>
      </c>
      <c r="AA28" s="265">
        <v>1002788.1628648188</v>
      </c>
      <c r="AB28" s="101">
        <f t="shared" si="17"/>
        <v>0.16163493748900007</v>
      </c>
      <c r="AC28" s="258">
        <f t="shared" si="2"/>
        <v>1661657.8309984365</v>
      </c>
      <c r="AD28" s="101">
        <f t="shared" si="18"/>
        <v>0.26783519150668916</v>
      </c>
      <c r="AE28" s="265">
        <v>665464.13643061579</v>
      </c>
      <c r="AF28" s="101">
        <f t="shared" si="3"/>
        <v>0.10726318685877226</v>
      </c>
      <c r="AG28" s="265">
        <v>813011.00030034478</v>
      </c>
      <c r="AH28" s="101">
        <f t="shared" si="4"/>
        <v>0.13104560571994961</v>
      </c>
      <c r="AI28" s="265">
        <v>554084.81254173466</v>
      </c>
      <c r="AJ28" s="101">
        <f t="shared" si="5"/>
        <v>8.9310451953211481E-2</v>
      </c>
      <c r="AK28" s="265">
        <v>434586.31170724763</v>
      </c>
      <c r="AL28" s="101">
        <f t="shared" si="6"/>
        <v>7.0049023241058522E-2</v>
      </c>
    </row>
    <row r="29" spans="2:38" ht="12">
      <c r="B29" s="422"/>
      <c r="C29" s="422"/>
      <c r="D29" s="86">
        <v>45892</v>
      </c>
      <c r="E29" s="86" t="s">
        <v>117</v>
      </c>
      <c r="F29" s="259">
        <f t="shared" si="7"/>
        <v>6323179</v>
      </c>
      <c r="G29" s="439"/>
      <c r="H29" s="440"/>
      <c r="I29" s="265">
        <v>481953.15068428125</v>
      </c>
      <c r="J29" s="101">
        <f t="shared" si="8"/>
        <v>7.6220070740410997E-2</v>
      </c>
      <c r="K29" s="265">
        <v>765037.77628811623</v>
      </c>
      <c r="L29" s="101">
        <f t="shared" si="9"/>
        <v>0.12098942261291611</v>
      </c>
      <c r="M29" s="258">
        <f t="shared" si="0"/>
        <v>1246990.9269723976</v>
      </c>
      <c r="N29" s="101">
        <f t="shared" si="10"/>
        <v>0.1972094933533271</v>
      </c>
      <c r="O29" s="265">
        <v>168482.61282617808</v>
      </c>
      <c r="P29" s="101">
        <f t="shared" si="11"/>
        <v>2.6645238546335329E-2</v>
      </c>
      <c r="Q29" s="265">
        <v>105779.12025039711</v>
      </c>
      <c r="R29" s="101">
        <f t="shared" si="12"/>
        <v>1.6728787885080768E-2</v>
      </c>
      <c r="S29" s="258">
        <f t="shared" si="1"/>
        <v>274261.73307657521</v>
      </c>
      <c r="T29" s="101">
        <f t="shared" si="13"/>
        <v>4.33740264314161E-2</v>
      </c>
      <c r="U29" s="265">
        <v>552843.19002695137</v>
      </c>
      <c r="V29" s="101">
        <f t="shared" si="14"/>
        <v>8.7431209843490329E-2</v>
      </c>
      <c r="W29" s="265">
        <v>11709.925034692744</v>
      </c>
      <c r="X29" s="101">
        <f t="shared" si="15"/>
        <v>1.851904719871562E-3</v>
      </c>
      <c r="Y29" s="265">
        <v>662479.35424756468</v>
      </c>
      <c r="Z29" s="101">
        <f t="shared" si="16"/>
        <v>0.10476998266972432</v>
      </c>
      <c r="AA29" s="265">
        <v>1080025.8196861686</v>
      </c>
      <c r="AB29" s="101">
        <f t="shared" si="17"/>
        <v>0.17080424572610842</v>
      </c>
      <c r="AC29" s="258">
        <f t="shared" si="2"/>
        <v>1742505.1739337333</v>
      </c>
      <c r="AD29" s="101">
        <f t="shared" si="18"/>
        <v>0.27557422839583273</v>
      </c>
      <c r="AE29" s="265">
        <v>676673.08911958453</v>
      </c>
      <c r="AF29" s="101">
        <f t="shared" si="3"/>
        <v>0.10701469768918206</v>
      </c>
      <c r="AG29" s="265">
        <v>836437.21800692216</v>
      </c>
      <c r="AH29" s="101">
        <f t="shared" si="4"/>
        <v>0.13228112283503632</v>
      </c>
      <c r="AI29" s="265">
        <v>539013.59240725182</v>
      </c>
      <c r="AJ29" s="101">
        <f t="shared" si="5"/>
        <v>8.5244082510909758E-2</v>
      </c>
      <c r="AK29" s="265">
        <v>442744.15142189193</v>
      </c>
      <c r="AL29" s="101">
        <f t="shared" si="6"/>
        <v>7.0019234220934118E-2</v>
      </c>
    </row>
    <row r="30" spans="2:38" ht="12">
      <c r="B30" s="422"/>
      <c r="C30" s="422"/>
      <c r="D30" s="86">
        <v>45893</v>
      </c>
      <c r="E30" s="86" t="s">
        <v>118</v>
      </c>
      <c r="F30" s="259">
        <f t="shared" si="7"/>
        <v>7218612</v>
      </c>
      <c r="G30" s="439"/>
      <c r="H30" s="440"/>
      <c r="I30" s="265">
        <v>591387.06884156272</v>
      </c>
      <c r="J30" s="101">
        <f t="shared" si="8"/>
        <v>8.1925315952923183E-2</v>
      </c>
      <c r="K30" s="265">
        <v>825455.84128711233</v>
      </c>
      <c r="L30" s="101">
        <f t="shared" si="9"/>
        <v>0.11435104716628521</v>
      </c>
      <c r="M30" s="258">
        <f t="shared" si="0"/>
        <v>1416842.9101286749</v>
      </c>
      <c r="N30" s="101">
        <f t="shared" si="10"/>
        <v>0.19627636311920837</v>
      </c>
      <c r="O30" s="265">
        <v>214795.814866737</v>
      </c>
      <c r="P30" s="101">
        <f t="shared" si="11"/>
        <v>2.9755833235909756E-2</v>
      </c>
      <c r="Q30" s="265">
        <v>117310.17013337708</v>
      </c>
      <c r="R30" s="101">
        <f t="shared" si="12"/>
        <v>1.62510701688049E-2</v>
      </c>
      <c r="S30" s="258">
        <f t="shared" si="1"/>
        <v>332105.98500011407</v>
      </c>
      <c r="T30" s="101">
        <f t="shared" si="13"/>
        <v>4.6006903404714659E-2</v>
      </c>
      <c r="U30" s="265">
        <v>674550.39295036474</v>
      </c>
      <c r="V30" s="101">
        <f t="shared" si="14"/>
        <v>9.3445996675034587E-2</v>
      </c>
      <c r="W30" s="265">
        <v>12454.029015487155</v>
      </c>
      <c r="X30" s="101">
        <f t="shared" si="15"/>
        <v>1.7252664384077097E-3</v>
      </c>
      <c r="Y30" s="265">
        <v>743647.63896341145</v>
      </c>
      <c r="Z30" s="101">
        <f t="shared" si="16"/>
        <v>0.10301809253128046</v>
      </c>
      <c r="AA30" s="265">
        <v>1093643.0439450918</v>
      </c>
      <c r="AB30" s="101">
        <f t="shared" si="17"/>
        <v>0.15150323136152655</v>
      </c>
      <c r="AC30" s="258">
        <f t="shared" si="2"/>
        <v>1837290.6829085033</v>
      </c>
      <c r="AD30" s="101">
        <f t="shared" si="18"/>
        <v>0.25452132389280702</v>
      </c>
      <c r="AE30" s="265">
        <v>825284.15687706426</v>
      </c>
      <c r="AF30" s="101">
        <f t="shared" si="3"/>
        <v>0.11432726358987909</v>
      </c>
      <c r="AG30" s="265">
        <v>970670.91779926955</v>
      </c>
      <c r="AH30" s="101">
        <f t="shared" si="4"/>
        <v>0.13446780597146232</v>
      </c>
      <c r="AI30" s="265">
        <v>648153.0186022144</v>
      </c>
      <c r="AJ30" s="101">
        <f t="shared" si="5"/>
        <v>8.9789147636999245E-2</v>
      </c>
      <c r="AK30" s="265">
        <v>501259.90671830723</v>
      </c>
      <c r="AL30" s="101">
        <f t="shared" si="6"/>
        <v>6.9439929271486983E-2</v>
      </c>
    </row>
    <row r="31" spans="2:38" ht="12">
      <c r="B31" s="422"/>
      <c r="C31" s="422"/>
      <c r="D31" s="86">
        <v>45894</v>
      </c>
      <c r="E31" s="86" t="s">
        <v>119</v>
      </c>
      <c r="F31" s="259">
        <f t="shared" si="7"/>
        <v>7017880.0000000009</v>
      </c>
      <c r="G31" s="439"/>
      <c r="H31" s="440"/>
      <c r="I31" s="265">
        <v>573896.01289084845</v>
      </c>
      <c r="J31" s="101">
        <f t="shared" si="8"/>
        <v>8.1776264753864181E-2</v>
      </c>
      <c r="K31" s="265">
        <v>804365.326822364</v>
      </c>
      <c r="L31" s="101">
        <f t="shared" si="9"/>
        <v>0.1146165689385347</v>
      </c>
      <c r="M31" s="258">
        <f t="shared" si="0"/>
        <v>1378261.3397132126</v>
      </c>
      <c r="N31" s="101">
        <f t="shared" si="10"/>
        <v>0.1963928336923989</v>
      </c>
      <c r="O31" s="265">
        <v>182922.47642012595</v>
      </c>
      <c r="P31" s="101">
        <f t="shared" si="11"/>
        <v>2.6065204366578786E-2</v>
      </c>
      <c r="Q31" s="265">
        <v>117107.30702718504</v>
      </c>
      <c r="R31" s="101">
        <f t="shared" si="12"/>
        <v>1.6686991944459727E-2</v>
      </c>
      <c r="S31" s="258">
        <f t="shared" si="1"/>
        <v>300029.78344731103</v>
      </c>
      <c r="T31" s="101">
        <f t="shared" si="13"/>
        <v>4.2752196311038514E-2</v>
      </c>
      <c r="U31" s="265">
        <v>671816.30819447106</v>
      </c>
      <c r="V31" s="101">
        <f t="shared" si="14"/>
        <v>9.5729238487188575E-2</v>
      </c>
      <c r="W31" s="265">
        <v>11606.55131847849</v>
      </c>
      <c r="X31" s="101">
        <f t="shared" si="15"/>
        <v>1.6538543432601425E-3</v>
      </c>
      <c r="Y31" s="265">
        <v>735581.79022767558</v>
      </c>
      <c r="Z31" s="101">
        <f t="shared" si="16"/>
        <v>0.10481538445052857</v>
      </c>
      <c r="AA31" s="265">
        <v>1096793.6753068103</v>
      </c>
      <c r="AB31" s="101">
        <f t="shared" si="17"/>
        <v>0.15628561265037449</v>
      </c>
      <c r="AC31" s="258">
        <f t="shared" si="2"/>
        <v>1832375.4655344859</v>
      </c>
      <c r="AD31" s="101">
        <f t="shared" si="18"/>
        <v>0.26110099710090307</v>
      </c>
      <c r="AE31" s="265">
        <v>799438.21166482405</v>
      </c>
      <c r="AF31" s="101">
        <f t="shared" si="3"/>
        <v>0.11391448865823069</v>
      </c>
      <c r="AG31" s="265">
        <v>900605.91941892041</v>
      </c>
      <c r="AH31" s="101">
        <f t="shared" si="4"/>
        <v>0.12833019650078376</v>
      </c>
      <c r="AI31" s="265">
        <v>645782.82927668258</v>
      </c>
      <c r="AJ31" s="101">
        <f t="shared" si="5"/>
        <v>9.2019645430911109E-2</v>
      </c>
      <c r="AK31" s="265">
        <v>477963.59143161413</v>
      </c>
      <c r="AL31" s="101">
        <f t="shared" si="6"/>
        <v>6.8106549475285133E-2</v>
      </c>
    </row>
    <row r="32" spans="2:38" ht="12">
      <c r="B32" s="421">
        <f>D40</f>
        <v>45903</v>
      </c>
      <c r="C32" s="422"/>
      <c r="D32" s="86">
        <v>45895</v>
      </c>
      <c r="E32" s="86" t="s">
        <v>120</v>
      </c>
      <c r="F32" s="259">
        <f t="shared" si="7"/>
        <v>6875105.0000000019</v>
      </c>
      <c r="G32" s="439">
        <f t="shared" ref="G32" si="22">SUM(F32:F38)</f>
        <v>46287577</v>
      </c>
      <c r="H32" s="440"/>
      <c r="I32" s="265">
        <v>567336.53052520892</v>
      </c>
      <c r="J32" s="101">
        <f t="shared" si="8"/>
        <v>8.2520416855482032E-2</v>
      </c>
      <c r="K32" s="265">
        <v>785905.26621996798</v>
      </c>
      <c r="L32" s="101">
        <f t="shared" si="9"/>
        <v>0.11431174741621659</v>
      </c>
      <c r="M32" s="258">
        <f t="shared" si="0"/>
        <v>1353241.7967451769</v>
      </c>
      <c r="N32" s="101">
        <f t="shared" si="10"/>
        <v>0.19683216427169861</v>
      </c>
      <c r="O32" s="265">
        <v>178592.99545281156</v>
      </c>
      <c r="P32" s="101">
        <f t="shared" si="11"/>
        <v>2.597676623888821E-2</v>
      </c>
      <c r="Q32" s="265">
        <v>111805.19236877946</v>
      </c>
      <c r="R32" s="101">
        <f t="shared" si="12"/>
        <v>1.6262325065403281E-2</v>
      </c>
      <c r="S32" s="258">
        <f t="shared" si="1"/>
        <v>290398.18782159104</v>
      </c>
      <c r="T32" s="101">
        <f t="shared" si="13"/>
        <v>4.2239091304291494E-2</v>
      </c>
      <c r="U32" s="265">
        <v>642657.90965008619</v>
      </c>
      <c r="V32" s="101">
        <f t="shared" si="14"/>
        <v>9.3476086496146027E-2</v>
      </c>
      <c r="W32" s="265">
        <v>11632.63916840453</v>
      </c>
      <c r="X32" s="101">
        <f t="shared" si="15"/>
        <v>1.6919944013079839E-3</v>
      </c>
      <c r="Y32" s="265">
        <v>723887.29829911806</v>
      </c>
      <c r="Z32" s="101">
        <f t="shared" si="16"/>
        <v>0.10529108985231758</v>
      </c>
      <c r="AA32" s="265">
        <v>1051236.6653316987</v>
      </c>
      <c r="AB32" s="101">
        <f t="shared" si="17"/>
        <v>0.15290481604742015</v>
      </c>
      <c r="AC32" s="258">
        <f t="shared" si="2"/>
        <v>1775123.9636308169</v>
      </c>
      <c r="AD32" s="101">
        <f t="shared" si="18"/>
        <v>0.25819590589973773</v>
      </c>
      <c r="AE32" s="265">
        <v>744155.78572897625</v>
      </c>
      <c r="AF32" s="101">
        <f t="shared" si="3"/>
        <v>0.10823918845297287</v>
      </c>
      <c r="AG32" s="265">
        <v>967152.27321801032</v>
      </c>
      <c r="AH32" s="101">
        <f t="shared" si="4"/>
        <v>0.14067454580228375</v>
      </c>
      <c r="AI32" s="265">
        <v>634965.37328894797</v>
      </c>
      <c r="AJ32" s="101">
        <f t="shared" si="5"/>
        <v>9.235718920495728E-2</v>
      </c>
      <c r="AK32" s="265">
        <v>455777.07074799127</v>
      </c>
      <c r="AL32" s="101">
        <f t="shared" si="6"/>
        <v>6.6293834166604171E-2</v>
      </c>
    </row>
    <row r="33" spans="1:46" ht="12">
      <c r="B33" s="422"/>
      <c r="C33" s="422"/>
      <c r="D33" s="86">
        <v>45896</v>
      </c>
      <c r="E33" s="86" t="s">
        <v>114</v>
      </c>
      <c r="F33" s="259">
        <f t="shared" si="7"/>
        <v>6713523.0000000019</v>
      </c>
      <c r="G33" s="439"/>
      <c r="H33" s="440"/>
      <c r="I33" s="265">
        <v>558111.33348609903</v>
      </c>
      <c r="J33" s="101">
        <f t="shared" si="8"/>
        <v>8.3132408049558904E-2</v>
      </c>
      <c r="K33" s="265">
        <v>774715.05507143098</v>
      </c>
      <c r="L33" s="101">
        <f t="shared" si="9"/>
        <v>0.11539620182599072</v>
      </c>
      <c r="M33" s="258">
        <f t="shared" si="0"/>
        <v>1332826.38855753</v>
      </c>
      <c r="N33" s="101">
        <f t="shared" si="10"/>
        <v>0.19852860987554963</v>
      </c>
      <c r="O33" s="265">
        <v>177569.33990180268</v>
      </c>
      <c r="P33" s="101">
        <f t="shared" si="11"/>
        <v>2.6449501983057573E-2</v>
      </c>
      <c r="Q33" s="265">
        <v>109021.93501096088</v>
      </c>
      <c r="R33" s="101">
        <f t="shared" si="12"/>
        <v>1.6239154168528336E-2</v>
      </c>
      <c r="S33" s="258">
        <f t="shared" si="1"/>
        <v>286591.27491276356</v>
      </c>
      <c r="T33" s="101">
        <f t="shared" si="13"/>
        <v>4.2688656151585909E-2</v>
      </c>
      <c r="U33" s="265">
        <v>624839.98003463447</v>
      </c>
      <c r="V33" s="101">
        <f t="shared" si="14"/>
        <v>9.3071846187856105E-2</v>
      </c>
      <c r="W33" s="265">
        <v>10969.953097261272</v>
      </c>
      <c r="X33" s="101">
        <f t="shared" si="15"/>
        <v>1.6340084181228349E-3</v>
      </c>
      <c r="Y33" s="265">
        <v>696526.39491243125</v>
      </c>
      <c r="Z33" s="101">
        <f t="shared" si="16"/>
        <v>0.10374975924152358</v>
      </c>
      <c r="AA33" s="265">
        <v>988183.67787085241</v>
      </c>
      <c r="AB33" s="101">
        <f t="shared" si="17"/>
        <v>0.14719301294876805</v>
      </c>
      <c r="AC33" s="258">
        <f t="shared" si="2"/>
        <v>1684710.0727832837</v>
      </c>
      <c r="AD33" s="101">
        <f t="shared" si="18"/>
        <v>0.2509427721902916</v>
      </c>
      <c r="AE33" s="265">
        <v>744162.89300427074</v>
      </c>
      <c r="AF33" s="101">
        <f t="shared" si="3"/>
        <v>0.11084536286004688</v>
      </c>
      <c r="AG33" s="265">
        <v>921233.630522992</v>
      </c>
      <c r="AH33" s="101">
        <f t="shared" si="4"/>
        <v>0.13722059647713902</v>
      </c>
      <c r="AI33" s="265">
        <v>645587.9576787285</v>
      </c>
      <c r="AJ33" s="101">
        <f t="shared" si="5"/>
        <v>9.6162321582681454E-2</v>
      </c>
      <c r="AK33" s="265">
        <v>462600.84940853587</v>
      </c>
      <c r="AL33" s="101">
        <f t="shared" si="6"/>
        <v>6.8905826256726269E-2</v>
      </c>
    </row>
    <row r="34" spans="1:46" ht="12">
      <c r="B34" s="422"/>
      <c r="C34" s="422"/>
      <c r="D34" s="86">
        <v>45897</v>
      </c>
      <c r="E34" s="86" t="s">
        <v>115</v>
      </c>
      <c r="F34" s="259">
        <f t="shared" si="7"/>
        <v>6453701</v>
      </c>
      <c r="G34" s="439"/>
      <c r="H34" s="440"/>
      <c r="I34" s="265">
        <v>551600.36478975462</v>
      </c>
      <c r="J34" s="101">
        <f t="shared" si="8"/>
        <v>8.5470393622164187E-2</v>
      </c>
      <c r="K34" s="265">
        <v>741958.14654309675</v>
      </c>
      <c r="L34" s="101">
        <f t="shared" si="9"/>
        <v>0.11496630329528695</v>
      </c>
      <c r="M34" s="258">
        <f t="shared" si="0"/>
        <v>1293558.5113328514</v>
      </c>
      <c r="N34" s="101">
        <f t="shared" si="10"/>
        <v>0.20043669691745114</v>
      </c>
      <c r="O34" s="265">
        <v>172267.06509382668</v>
      </c>
      <c r="P34" s="101">
        <f t="shared" si="11"/>
        <v>2.669275584564991E-2</v>
      </c>
      <c r="Q34" s="265">
        <v>110101.01485241702</v>
      </c>
      <c r="R34" s="101">
        <f t="shared" si="12"/>
        <v>1.7060135703903391E-2</v>
      </c>
      <c r="S34" s="258">
        <f t="shared" si="1"/>
        <v>282368.07994624367</v>
      </c>
      <c r="T34" s="101">
        <f t="shared" si="13"/>
        <v>4.3752891549553301E-2</v>
      </c>
      <c r="U34" s="265">
        <v>604268.75247858022</v>
      </c>
      <c r="V34" s="101">
        <f t="shared" si="14"/>
        <v>9.3631352378825763E-2</v>
      </c>
      <c r="W34" s="265">
        <v>11076.179409918739</v>
      </c>
      <c r="X34" s="101">
        <f t="shared" si="15"/>
        <v>1.7162523348879565E-3</v>
      </c>
      <c r="Y34" s="265">
        <v>672617.99351120566</v>
      </c>
      <c r="Z34" s="101">
        <f t="shared" si="16"/>
        <v>0.10422205700437713</v>
      </c>
      <c r="AA34" s="265">
        <v>959144.19654772698</v>
      </c>
      <c r="AB34" s="101">
        <f t="shared" si="17"/>
        <v>0.14861924910182964</v>
      </c>
      <c r="AC34" s="258">
        <f t="shared" si="2"/>
        <v>1631762.1900589326</v>
      </c>
      <c r="AD34" s="101">
        <f t="shared" si="18"/>
        <v>0.25284130610620675</v>
      </c>
      <c r="AE34" s="265">
        <v>712515.59407798608</v>
      </c>
      <c r="AF34" s="101">
        <f t="shared" si="3"/>
        <v>0.11040418421584547</v>
      </c>
      <c r="AG34" s="265">
        <v>846602.6554940074</v>
      </c>
      <c r="AH34" s="101">
        <f t="shared" si="4"/>
        <v>0.13118095422982989</v>
      </c>
      <c r="AI34" s="265">
        <v>612473.93478667282</v>
      </c>
      <c r="AJ34" s="101">
        <f t="shared" si="5"/>
        <v>9.4902744144278267E-2</v>
      </c>
      <c r="AK34" s="265">
        <v>459075.10241480725</v>
      </c>
      <c r="AL34" s="101">
        <f t="shared" si="6"/>
        <v>7.1133618123121481E-2</v>
      </c>
    </row>
    <row r="35" spans="1:46" ht="12">
      <c r="B35" s="422"/>
      <c r="C35" s="422"/>
      <c r="D35" s="86">
        <v>45898</v>
      </c>
      <c r="E35" s="86" t="s">
        <v>116</v>
      </c>
      <c r="F35" s="259">
        <f t="shared" si="7"/>
        <v>5903385</v>
      </c>
      <c r="G35" s="439"/>
      <c r="H35" s="440"/>
      <c r="I35" s="265">
        <v>473553.86440311832</v>
      </c>
      <c r="J35" s="101">
        <f t="shared" si="8"/>
        <v>8.0217343846474234E-2</v>
      </c>
      <c r="K35" s="265">
        <v>714232.30586717592</v>
      </c>
      <c r="L35" s="101">
        <f t="shared" si="9"/>
        <v>0.12098690935237595</v>
      </c>
      <c r="M35" s="258">
        <f t="shared" si="0"/>
        <v>1187786.1702702942</v>
      </c>
      <c r="N35" s="101">
        <f t="shared" si="10"/>
        <v>0.20120425319885019</v>
      </c>
      <c r="O35" s="265">
        <v>149093.94484582514</v>
      </c>
      <c r="P35" s="101">
        <f t="shared" si="11"/>
        <v>2.5255670237639107E-2</v>
      </c>
      <c r="Q35" s="265">
        <v>99985.105381442394</v>
      </c>
      <c r="R35" s="101">
        <f t="shared" si="12"/>
        <v>1.6936910836993078E-2</v>
      </c>
      <c r="S35" s="258">
        <f t="shared" si="1"/>
        <v>249079.05022726755</v>
      </c>
      <c r="T35" s="101">
        <f t="shared" si="13"/>
        <v>4.2192581074632189E-2</v>
      </c>
      <c r="U35" s="265">
        <v>545246.71320063248</v>
      </c>
      <c r="V35" s="101">
        <f t="shared" si="14"/>
        <v>9.2361706580314937E-2</v>
      </c>
      <c r="W35" s="265">
        <v>10491.547655279057</v>
      </c>
      <c r="X35" s="101">
        <f t="shared" si="15"/>
        <v>1.7772087802640445E-3</v>
      </c>
      <c r="Y35" s="265">
        <v>620397.51440884685</v>
      </c>
      <c r="Z35" s="101">
        <f t="shared" si="16"/>
        <v>0.10509182687709626</v>
      </c>
      <c r="AA35" s="265">
        <v>957112.04590067186</v>
      </c>
      <c r="AB35" s="101">
        <f t="shared" si="17"/>
        <v>0.16212936237441261</v>
      </c>
      <c r="AC35" s="258">
        <f t="shared" si="2"/>
        <v>1577509.5603095186</v>
      </c>
      <c r="AD35" s="101">
        <f t="shared" si="18"/>
        <v>0.26722118925150884</v>
      </c>
      <c r="AE35" s="265">
        <v>614474.30298429995</v>
      </c>
      <c r="AF35" s="101">
        <f t="shared" si="3"/>
        <v>0.10408846839301518</v>
      </c>
      <c r="AG35" s="265">
        <v>720171.35788004939</v>
      </c>
      <c r="AH35" s="101">
        <f t="shared" si="4"/>
        <v>0.12199295114244614</v>
      </c>
      <c r="AI35" s="265">
        <v>581403.30910720804</v>
      </c>
      <c r="AJ35" s="101">
        <f t="shared" si="5"/>
        <v>9.8486429244782112E-2</v>
      </c>
      <c r="AK35" s="265">
        <v>417222.98836545111</v>
      </c>
      <c r="AL35" s="101">
        <f t="shared" si="6"/>
        <v>7.0675212334186416E-2</v>
      </c>
    </row>
    <row r="36" spans="1:46" ht="12">
      <c r="B36" s="422"/>
      <c r="C36" s="422"/>
      <c r="D36" s="86">
        <v>45899</v>
      </c>
      <c r="E36" s="86" t="s">
        <v>117</v>
      </c>
      <c r="F36" s="259">
        <f t="shared" si="7"/>
        <v>6221025.0000000009</v>
      </c>
      <c r="G36" s="439"/>
      <c r="H36" s="440"/>
      <c r="I36" s="265">
        <v>464629.45979787654</v>
      </c>
      <c r="J36" s="101">
        <f t="shared" si="8"/>
        <v>7.4686962324998926E-2</v>
      </c>
      <c r="K36" s="265">
        <v>770618.94016310235</v>
      </c>
      <c r="L36" s="101">
        <f t="shared" si="9"/>
        <v>0.12387330707770862</v>
      </c>
      <c r="M36" s="258">
        <f t="shared" si="0"/>
        <v>1235248.3999609789</v>
      </c>
      <c r="N36" s="101">
        <f t="shared" si="10"/>
        <v>0.19856026940270755</v>
      </c>
      <c r="O36" s="265">
        <v>148810.33693958397</v>
      </c>
      <c r="P36" s="101">
        <f t="shared" si="11"/>
        <v>2.3920549578177863E-2</v>
      </c>
      <c r="Q36" s="265">
        <v>101640.75895510882</v>
      </c>
      <c r="R36" s="101">
        <f t="shared" si="12"/>
        <v>1.6338265632288698E-2</v>
      </c>
      <c r="S36" s="258">
        <f t="shared" si="1"/>
        <v>250451.09589469279</v>
      </c>
      <c r="T36" s="101">
        <f t="shared" si="13"/>
        <v>4.0258815210466564E-2</v>
      </c>
      <c r="U36" s="265">
        <v>581812.31070977892</v>
      </c>
      <c r="V36" s="101">
        <f t="shared" si="14"/>
        <v>9.3523544867570668E-2</v>
      </c>
      <c r="W36" s="265">
        <v>11523.486047479899</v>
      </c>
      <c r="X36" s="101">
        <f t="shared" si="15"/>
        <v>1.8523452401300264E-3</v>
      </c>
      <c r="Y36" s="265">
        <v>622788.95985257905</v>
      </c>
      <c r="Z36" s="101">
        <f t="shared" si="16"/>
        <v>0.10011034513646529</v>
      </c>
      <c r="AA36" s="265">
        <v>1093062.623907204</v>
      </c>
      <c r="AB36" s="101">
        <f t="shared" si="17"/>
        <v>0.17570458628717997</v>
      </c>
      <c r="AC36" s="258">
        <f t="shared" si="2"/>
        <v>1715851.5837597831</v>
      </c>
      <c r="AD36" s="101">
        <f t="shared" si="18"/>
        <v>0.27581493142364527</v>
      </c>
      <c r="AE36" s="265">
        <v>675209.57298670104</v>
      </c>
      <c r="AF36" s="101">
        <f t="shared" si="3"/>
        <v>0.1085367078554902</v>
      </c>
      <c r="AG36" s="265">
        <v>733348.31945156166</v>
      </c>
      <c r="AH36" s="101">
        <f t="shared" si="4"/>
        <v>0.11788223314511058</v>
      </c>
      <c r="AI36" s="265">
        <v>588342.0590966735</v>
      </c>
      <c r="AJ36" s="101">
        <f t="shared" si="5"/>
        <v>9.4573170674715726E-2</v>
      </c>
      <c r="AK36" s="265">
        <v>429238.17209235148</v>
      </c>
      <c r="AL36" s="101">
        <f t="shared" si="6"/>
        <v>6.8997982180163467E-2</v>
      </c>
    </row>
    <row r="37" spans="1:46" ht="12">
      <c r="B37" s="422"/>
      <c r="C37" s="422"/>
      <c r="D37" s="86">
        <v>45900</v>
      </c>
      <c r="E37" s="86" t="s">
        <v>118</v>
      </c>
      <c r="F37" s="259">
        <f t="shared" si="7"/>
        <v>7014613</v>
      </c>
      <c r="G37" s="439"/>
      <c r="H37" s="440"/>
      <c r="I37" s="265">
        <v>577642.99426437705</v>
      </c>
      <c r="J37" s="101">
        <f t="shared" si="8"/>
        <v>8.2348519335903064E-2</v>
      </c>
      <c r="K37" s="265">
        <v>816886.95251202059</v>
      </c>
      <c r="L37" s="101">
        <f t="shared" si="9"/>
        <v>0.11645502788422121</v>
      </c>
      <c r="M37" s="258">
        <f t="shared" si="0"/>
        <v>1394529.9467763975</v>
      </c>
      <c r="N37" s="101">
        <f t="shared" si="10"/>
        <v>0.19880354722012428</v>
      </c>
      <c r="O37" s="265">
        <v>190884.60388255777</v>
      </c>
      <c r="P37" s="101">
        <f t="shared" si="11"/>
        <v>2.7212421252969732E-2</v>
      </c>
      <c r="Q37" s="265">
        <v>114334.44382570704</v>
      </c>
      <c r="R37" s="101">
        <f t="shared" si="12"/>
        <v>1.6299465676254277E-2</v>
      </c>
      <c r="S37" s="258">
        <f t="shared" si="1"/>
        <v>305219.04770826478</v>
      </c>
      <c r="T37" s="101">
        <f t="shared" si="13"/>
        <v>4.3511886929224003E-2</v>
      </c>
      <c r="U37" s="265">
        <v>678415.55440491694</v>
      </c>
      <c r="V37" s="101">
        <f t="shared" si="14"/>
        <v>9.6714609117412031E-2</v>
      </c>
      <c r="W37" s="265">
        <v>12108.264440733399</v>
      </c>
      <c r="X37" s="101">
        <f t="shared" si="15"/>
        <v>1.7261486044537881E-3</v>
      </c>
      <c r="Y37" s="265">
        <v>720560.86769168533</v>
      </c>
      <c r="Z37" s="101">
        <f t="shared" si="16"/>
        <v>0.10272282557736048</v>
      </c>
      <c r="AA37" s="265">
        <v>1065723.5813288898</v>
      </c>
      <c r="AB37" s="101">
        <f t="shared" si="17"/>
        <v>0.15192906313276153</v>
      </c>
      <c r="AC37" s="258">
        <f t="shared" si="2"/>
        <v>1786284.4490205753</v>
      </c>
      <c r="AD37" s="101">
        <f t="shared" si="18"/>
        <v>0.25465188871012201</v>
      </c>
      <c r="AE37" s="265">
        <v>791498.77383865276</v>
      </c>
      <c r="AF37" s="101">
        <f t="shared" si="3"/>
        <v>0.1128357008203664</v>
      </c>
      <c r="AG37" s="265">
        <v>922334.56654585176</v>
      </c>
      <c r="AH37" s="101">
        <f t="shared" si="4"/>
        <v>0.13148759119652814</v>
      </c>
      <c r="AI37" s="265">
        <v>618884.44759473065</v>
      </c>
      <c r="AJ37" s="101">
        <f t="shared" si="5"/>
        <v>8.8227881936570218E-2</v>
      </c>
      <c r="AK37" s="265">
        <v>505337.9496698766</v>
      </c>
      <c r="AL37" s="101">
        <f t="shared" si="6"/>
        <v>7.2040745465199091E-2</v>
      </c>
    </row>
    <row r="38" spans="1:46" ht="12">
      <c r="B38" s="422"/>
      <c r="C38" s="83"/>
      <c r="D38" s="86">
        <v>45901</v>
      </c>
      <c r="E38" s="86" t="s">
        <v>119</v>
      </c>
      <c r="F38" s="259">
        <f t="shared" si="7"/>
        <v>7106224.9999999991</v>
      </c>
      <c r="G38" s="439"/>
      <c r="H38" s="97"/>
      <c r="I38" s="361">
        <v>564796.27004784881</v>
      </c>
      <c r="J38" s="101">
        <f t="shared" si="8"/>
        <v>7.9479086300792465E-2</v>
      </c>
      <c r="K38" s="361">
        <v>844516.5411630926</v>
      </c>
      <c r="L38" s="101">
        <f t="shared" si="9"/>
        <v>0.11884179591317369</v>
      </c>
      <c r="M38" s="258">
        <f t="shared" si="0"/>
        <v>1409312.8112109415</v>
      </c>
      <c r="N38" s="101">
        <f t="shared" si="10"/>
        <v>0.19832088221396615</v>
      </c>
      <c r="O38" s="361">
        <v>178305.27193870369</v>
      </c>
      <c r="P38" s="101">
        <f t="shared" si="11"/>
        <v>2.5091419415892928E-2</v>
      </c>
      <c r="Q38" s="361">
        <v>117312.59658624978</v>
      </c>
      <c r="R38" s="101">
        <f t="shared" si="12"/>
        <v>1.6508426989892636E-2</v>
      </c>
      <c r="S38" s="258">
        <f t="shared" si="1"/>
        <v>295617.86852495349</v>
      </c>
      <c r="T38" s="101">
        <f t="shared" si="13"/>
        <v>4.1599846405785568E-2</v>
      </c>
      <c r="U38" s="361">
        <v>664869.30287734128</v>
      </c>
      <c r="V38" s="101">
        <f t="shared" si="14"/>
        <v>9.3561532723399746E-2</v>
      </c>
      <c r="W38" s="361">
        <v>11130.398369067578</v>
      </c>
      <c r="X38" s="101">
        <f t="shared" si="15"/>
        <v>1.5662884821501682E-3</v>
      </c>
      <c r="Y38" s="361">
        <v>724213.71104631107</v>
      </c>
      <c r="Z38" s="101">
        <f t="shared" si="16"/>
        <v>0.10191257820380176</v>
      </c>
      <c r="AA38" s="361">
        <v>1252569.5001830829</v>
      </c>
      <c r="AB38" s="101">
        <f t="shared" si="17"/>
        <v>0.17626369840289086</v>
      </c>
      <c r="AC38" s="258">
        <f t="shared" si="2"/>
        <v>1976783.211229394</v>
      </c>
      <c r="AD38" s="101">
        <f t="shared" si="18"/>
        <v>0.27817627660669264</v>
      </c>
      <c r="AE38" s="361">
        <v>761029.93730087741</v>
      </c>
      <c r="AF38" s="101">
        <f t="shared" si="3"/>
        <v>0.10709341982569895</v>
      </c>
      <c r="AG38" s="361">
        <v>885640.41441111383</v>
      </c>
      <c r="AH38" s="101">
        <f t="shared" si="4"/>
        <v>0.12462881690505352</v>
      </c>
      <c r="AI38" s="361">
        <v>609386.05881614168</v>
      </c>
      <c r="AJ38" s="101">
        <f t="shared" si="5"/>
        <v>8.5753836786217966E-2</v>
      </c>
      <c r="AK38" s="361">
        <v>492454.99726016948</v>
      </c>
      <c r="AL38" s="101">
        <f t="shared" si="6"/>
        <v>6.929910005103547E-2</v>
      </c>
    </row>
    <row r="39" spans="1:46" ht="12">
      <c r="B39" s="422"/>
      <c r="C39" s="83"/>
      <c r="D39" s="86">
        <v>45902</v>
      </c>
      <c r="E39" s="86" t="s">
        <v>120</v>
      </c>
      <c r="F39" s="259">
        <f t="shared" si="7"/>
        <v>7727458</v>
      </c>
      <c r="G39" s="439">
        <f t="shared" ref="G39" si="23">SUM(F39:F45)</f>
        <v>48362935</v>
      </c>
      <c r="H39" s="97"/>
      <c r="I39" s="361">
        <v>895945.02185481729</v>
      </c>
      <c r="J39" s="101">
        <f t="shared" si="8"/>
        <v>0.11594304645263906</v>
      </c>
      <c r="K39" s="361">
        <v>864483.49468027567</v>
      </c>
      <c r="L39" s="101">
        <f t="shared" si="9"/>
        <v>0.11187165231830126</v>
      </c>
      <c r="M39" s="258">
        <f t="shared" si="0"/>
        <v>1760428.5165350931</v>
      </c>
      <c r="N39" s="101">
        <f t="shared" si="10"/>
        <v>0.22781469877094035</v>
      </c>
      <c r="O39" s="361">
        <v>173390.15809776782</v>
      </c>
      <c r="P39" s="101">
        <f t="shared" si="11"/>
        <v>2.2438188353500959E-2</v>
      </c>
      <c r="Q39" s="361">
        <v>117719.68171027655</v>
      </c>
      <c r="R39" s="101">
        <f t="shared" si="12"/>
        <v>1.5233946494471604E-2</v>
      </c>
      <c r="S39" s="258">
        <f t="shared" si="1"/>
        <v>291109.83980804437</v>
      </c>
      <c r="T39" s="101">
        <f t="shared" si="13"/>
        <v>3.7672134847972563E-2</v>
      </c>
      <c r="U39" s="361">
        <v>654432.76618672616</v>
      </c>
      <c r="V39" s="101">
        <f t="shared" si="14"/>
        <v>8.4689268603818507E-2</v>
      </c>
      <c r="W39" s="361">
        <v>12158.13690565877</v>
      </c>
      <c r="X39" s="101">
        <f t="shared" si="15"/>
        <v>1.5733682286799579E-3</v>
      </c>
      <c r="Y39" s="361">
        <v>698241.8750627588</v>
      </c>
      <c r="Z39" s="101">
        <f t="shared" si="16"/>
        <v>9.0358546764376949E-2</v>
      </c>
      <c r="AA39" s="361">
        <v>1229944.197478238</v>
      </c>
      <c r="AB39" s="101">
        <f t="shared" si="17"/>
        <v>0.1591654328600994</v>
      </c>
      <c r="AC39" s="258">
        <f t="shared" si="2"/>
        <v>1928186.0725409968</v>
      </c>
      <c r="AD39" s="101">
        <f t="shared" si="18"/>
        <v>0.24952397962447637</v>
      </c>
      <c r="AE39" s="361">
        <v>774796.36252046062</v>
      </c>
      <c r="AF39" s="101">
        <f t="shared" si="3"/>
        <v>0.10026536055200308</v>
      </c>
      <c r="AG39" s="361">
        <v>1240057.6748251717</v>
      </c>
      <c r="AH39" s="101">
        <f t="shared" si="4"/>
        <v>0.16047420443115598</v>
      </c>
      <c r="AI39" s="361">
        <v>592076.66564673779</v>
      </c>
      <c r="AJ39" s="101">
        <f t="shared" si="5"/>
        <v>7.6619849068961327E-2</v>
      </c>
      <c r="AK39" s="361">
        <v>474211.96503111022</v>
      </c>
      <c r="AL39" s="101">
        <f t="shared" si="6"/>
        <v>6.1367135871991829E-2</v>
      </c>
    </row>
    <row r="40" spans="1:46" ht="12">
      <c r="B40" s="422"/>
      <c r="C40" s="83"/>
      <c r="D40" s="86">
        <v>45903</v>
      </c>
      <c r="E40" s="86" t="s">
        <v>114</v>
      </c>
      <c r="F40" s="259">
        <f t="shared" si="7"/>
        <v>7254649</v>
      </c>
      <c r="G40" s="439"/>
      <c r="H40" s="97"/>
      <c r="I40" s="361">
        <v>853934.48144132481</v>
      </c>
      <c r="J40" s="101">
        <f t="shared" si="8"/>
        <v>0.11770858678915062</v>
      </c>
      <c r="K40" s="361">
        <v>849068.34424354509</v>
      </c>
      <c r="L40" s="101">
        <f t="shared" si="9"/>
        <v>0.11703782557137431</v>
      </c>
      <c r="M40" s="258">
        <f t="shared" si="0"/>
        <v>1703002.8256848699</v>
      </c>
      <c r="N40" s="101">
        <f t="shared" si="10"/>
        <v>0.23474641236052493</v>
      </c>
      <c r="O40" s="361">
        <v>161410.07296267204</v>
      </c>
      <c r="P40" s="101">
        <f t="shared" si="11"/>
        <v>2.2249191237601162E-2</v>
      </c>
      <c r="Q40" s="361">
        <v>115119.30525695346</v>
      </c>
      <c r="R40" s="101">
        <f t="shared" si="12"/>
        <v>1.586834942075812E-2</v>
      </c>
      <c r="S40" s="258">
        <f t="shared" si="1"/>
        <v>276529.37821962551</v>
      </c>
      <c r="T40" s="101">
        <f t="shared" si="13"/>
        <v>3.8117540658359282E-2</v>
      </c>
      <c r="U40" s="361">
        <v>629174.44992639963</v>
      </c>
      <c r="V40" s="101">
        <f t="shared" si="14"/>
        <v>8.6727069762630782E-2</v>
      </c>
      <c r="W40" s="361">
        <v>11437.042135412441</v>
      </c>
      <c r="X40" s="101">
        <f t="shared" si="15"/>
        <v>1.5765121283486548E-3</v>
      </c>
      <c r="Y40" s="361">
        <v>665754.8201271788</v>
      </c>
      <c r="Z40" s="101">
        <f t="shared" si="16"/>
        <v>9.1769404712368413E-2</v>
      </c>
      <c r="AA40" s="361">
        <v>1124097.9310420207</v>
      </c>
      <c r="AB40" s="101">
        <f t="shared" si="17"/>
        <v>0.15494863101468048</v>
      </c>
      <c r="AC40" s="258">
        <f t="shared" si="2"/>
        <v>1789852.7511691996</v>
      </c>
      <c r="AD40" s="101">
        <f t="shared" si="18"/>
        <v>0.2467180357270489</v>
      </c>
      <c r="AE40" s="361">
        <v>742015.9358736705</v>
      </c>
      <c r="AF40" s="101">
        <f t="shared" si="3"/>
        <v>0.10228143854701592</v>
      </c>
      <c r="AG40" s="361">
        <v>1057877.4620749927</v>
      </c>
      <c r="AH40" s="101">
        <f t="shared" si="4"/>
        <v>0.14582062648034283</v>
      </c>
      <c r="AI40" s="361">
        <v>574185.35629958881</v>
      </c>
      <c r="AJ40" s="101">
        <f t="shared" si="5"/>
        <v>7.914722770179354E-2</v>
      </c>
      <c r="AK40" s="361">
        <v>470573.79861624161</v>
      </c>
      <c r="AL40" s="101">
        <f t="shared" si="6"/>
        <v>6.4865136633935228E-2</v>
      </c>
    </row>
    <row r="41" spans="1:46" ht="12">
      <c r="B41" s="422"/>
      <c r="C41" s="83"/>
      <c r="D41" s="86">
        <v>45904</v>
      </c>
      <c r="E41" s="86" t="s">
        <v>115</v>
      </c>
      <c r="F41" s="259">
        <f t="shared" si="7"/>
        <v>6602058.9999999991</v>
      </c>
      <c r="G41" s="439"/>
      <c r="H41" s="97"/>
      <c r="I41" s="361">
        <v>766879.8295513296</v>
      </c>
      <c r="J41" s="101">
        <f t="shared" ref="J41:J45" si="24">I41/F41</f>
        <v>0.11615767589343411</v>
      </c>
      <c r="K41" s="361">
        <v>783941.3262372117</v>
      </c>
      <c r="L41" s="101">
        <f t="shared" ref="L41:L45" si="25">K41/F41</f>
        <v>0.11874194493524093</v>
      </c>
      <c r="M41" s="258">
        <f t="shared" ref="M41:M45" si="26">SUM(I41+K41)</f>
        <v>1550821.1557885413</v>
      </c>
      <c r="N41" s="101">
        <f t="shared" ref="N41:N45" si="27">M41/F41</f>
        <v>0.23489962082867505</v>
      </c>
      <c r="O41" s="361">
        <v>152373.3627694915</v>
      </c>
      <c r="P41" s="101">
        <f t="shared" ref="P41:P45" si="28">O41/F41</f>
        <v>2.3079672988304333E-2</v>
      </c>
      <c r="Q41" s="361">
        <v>116613.79335836833</v>
      </c>
      <c r="R41" s="101">
        <f t="shared" si="12"/>
        <v>1.7663246171894003E-2</v>
      </c>
      <c r="S41" s="258">
        <f t="shared" si="1"/>
        <v>268987.15612785984</v>
      </c>
      <c r="T41" s="101">
        <f t="shared" ref="T41:T45" si="29">S41/F41</f>
        <v>4.0742919160198336E-2</v>
      </c>
      <c r="U41" s="361">
        <v>592627.72346288012</v>
      </c>
      <c r="V41" s="101">
        <f t="shared" ref="V41:V45" si="30">U41/F41</f>
        <v>8.976407564108109E-2</v>
      </c>
      <c r="W41" s="361">
        <v>11154.125371774713</v>
      </c>
      <c r="X41" s="101">
        <f t="shared" ref="X41:X45" si="31">W41/F41</f>
        <v>1.6894919254394295E-3</v>
      </c>
      <c r="Y41" s="361">
        <v>623826.76329390204</v>
      </c>
      <c r="Z41" s="101">
        <f t="shared" ref="Z41:Z45" si="32">Y41/F41</f>
        <v>9.4489728627675421E-2</v>
      </c>
      <c r="AA41" s="361">
        <v>912090.60356497345</v>
      </c>
      <c r="AB41" s="101">
        <f t="shared" si="17"/>
        <v>0.138152446617786</v>
      </c>
      <c r="AC41" s="258">
        <f t="shared" ref="AC41:AC45" si="33">SUM(Y41+AA41)</f>
        <v>1535917.3668588754</v>
      </c>
      <c r="AD41" s="101">
        <f t="shared" ref="AD41:AD45" si="34">AC41/F41</f>
        <v>0.23264217524546138</v>
      </c>
      <c r="AE41" s="361">
        <v>686539.58391751151</v>
      </c>
      <c r="AF41" s="101">
        <f t="shared" ref="AF41:AF45" si="35">AE41/F41</f>
        <v>0.10398870775276495</v>
      </c>
      <c r="AG41" s="361">
        <v>974352.73253173218</v>
      </c>
      <c r="AH41" s="101">
        <f t="shared" ref="AH41:AH45" si="36">AG41/F41</f>
        <v>0.14758316042491174</v>
      </c>
      <c r="AI41" s="361">
        <v>542486.8982181251</v>
      </c>
      <c r="AJ41" s="101">
        <f t="shared" ref="AJ41:AJ45" si="37">AI41/F41</f>
        <v>8.2169350231211982E-2</v>
      </c>
      <c r="AK41" s="361">
        <v>439172.25772269932</v>
      </c>
      <c r="AL41" s="101">
        <f t="shared" ref="AL41:AL45" si="38">AK41/F41</f>
        <v>6.6520498790256094E-2</v>
      </c>
    </row>
    <row r="42" spans="1:46" ht="12">
      <c r="B42" s="422"/>
      <c r="C42" s="83"/>
      <c r="D42" s="86">
        <v>45905</v>
      </c>
      <c r="E42" s="86" t="s">
        <v>116</v>
      </c>
      <c r="F42" s="259">
        <f t="shared" si="7"/>
        <v>5807177.0000000009</v>
      </c>
      <c r="G42" s="439"/>
      <c r="H42" s="97"/>
      <c r="I42" s="361">
        <v>700967.78191338049</v>
      </c>
      <c r="J42" s="101">
        <f t="shared" si="24"/>
        <v>0.12070714943136404</v>
      </c>
      <c r="K42" s="361">
        <v>734957.28866221954</v>
      </c>
      <c r="L42" s="101">
        <f t="shared" si="25"/>
        <v>0.12656016661145672</v>
      </c>
      <c r="M42" s="258">
        <f t="shared" si="26"/>
        <v>1435925.0705756</v>
      </c>
      <c r="N42" s="101">
        <f t="shared" si="27"/>
        <v>0.24726731604282076</v>
      </c>
      <c r="O42" s="361">
        <v>119243.5158736647</v>
      </c>
      <c r="P42" s="101">
        <f t="shared" si="28"/>
        <v>2.0533818045095693E-2</v>
      </c>
      <c r="Q42" s="361">
        <v>97402.176993135727</v>
      </c>
      <c r="R42" s="101">
        <f t="shared" si="12"/>
        <v>1.6772723991904451E-2</v>
      </c>
      <c r="S42" s="258">
        <f t="shared" si="1"/>
        <v>216645.69286680041</v>
      </c>
      <c r="T42" s="101">
        <f t="shared" si="29"/>
        <v>3.7306542037000144E-2</v>
      </c>
      <c r="U42" s="361">
        <v>509402.49105089885</v>
      </c>
      <c r="V42" s="101">
        <f t="shared" si="30"/>
        <v>8.7719470415814557E-2</v>
      </c>
      <c r="W42" s="361">
        <v>9800.5843294107362</v>
      </c>
      <c r="X42" s="101">
        <f t="shared" si="31"/>
        <v>1.6876675757275411E-3</v>
      </c>
      <c r="Y42" s="361">
        <v>552530.00086749927</v>
      </c>
      <c r="Z42" s="101">
        <f t="shared" si="32"/>
        <v>9.5146058208230813E-2</v>
      </c>
      <c r="AA42" s="361">
        <v>872926.26236349822</v>
      </c>
      <c r="AB42" s="101">
        <f t="shared" si="17"/>
        <v>0.15031852178149521</v>
      </c>
      <c r="AC42" s="258">
        <f t="shared" si="33"/>
        <v>1425456.2632309976</v>
      </c>
      <c r="AD42" s="101">
        <f t="shared" si="34"/>
        <v>0.24546457998972607</v>
      </c>
      <c r="AE42" s="361">
        <v>565244.89907216455</v>
      </c>
      <c r="AF42" s="101">
        <f t="shared" si="35"/>
        <v>9.7335572701187589E-2</v>
      </c>
      <c r="AG42" s="361">
        <v>792265.17271445296</v>
      </c>
      <c r="AH42" s="101">
        <f t="shared" si="36"/>
        <v>0.13642862490922059</v>
      </c>
      <c r="AI42" s="361">
        <v>534404.30954584363</v>
      </c>
      <c r="AJ42" s="101">
        <f t="shared" si="37"/>
        <v>9.2024801301190506E-2</v>
      </c>
      <c r="AK42" s="361">
        <v>318032.5166138318</v>
      </c>
      <c r="AL42" s="101">
        <f t="shared" si="38"/>
        <v>5.4765425027312194E-2</v>
      </c>
    </row>
    <row r="43" spans="1:46" ht="12">
      <c r="B43" s="422"/>
      <c r="C43" s="83"/>
      <c r="D43" s="86">
        <v>45906</v>
      </c>
      <c r="E43" s="86" t="s">
        <v>117</v>
      </c>
      <c r="F43" s="259">
        <f t="shared" si="7"/>
        <v>6167669.0000000009</v>
      </c>
      <c r="G43" s="439"/>
      <c r="H43" s="97"/>
      <c r="I43" s="361">
        <v>686612.50312752288</v>
      </c>
      <c r="J43" s="101">
        <f t="shared" si="24"/>
        <v>0.11132447333466222</v>
      </c>
      <c r="K43" s="361">
        <v>794389.29108657711</v>
      </c>
      <c r="L43" s="101">
        <f t="shared" si="25"/>
        <v>0.1287989499901141</v>
      </c>
      <c r="M43" s="258">
        <f t="shared" si="26"/>
        <v>1481001.7942141001</v>
      </c>
      <c r="N43" s="101">
        <f t="shared" si="27"/>
        <v>0.24012342332477632</v>
      </c>
      <c r="O43" s="361">
        <v>117355.57416161375</v>
      </c>
      <c r="P43" s="101">
        <f t="shared" si="28"/>
        <v>1.9027540901046042E-2</v>
      </c>
      <c r="Q43" s="361">
        <v>97295.734102843882</v>
      </c>
      <c r="R43" s="101">
        <f t="shared" si="12"/>
        <v>1.5775122514331406E-2</v>
      </c>
      <c r="S43" s="258">
        <f t="shared" si="1"/>
        <v>214651.30826445762</v>
      </c>
      <c r="T43" s="101">
        <f t="shared" si="29"/>
        <v>3.4802663415377445E-2</v>
      </c>
      <c r="U43" s="361">
        <v>510856.35382599407</v>
      </c>
      <c r="V43" s="101">
        <f t="shared" si="30"/>
        <v>8.2828107965261105E-2</v>
      </c>
      <c r="W43" s="361">
        <v>10781.210577613198</v>
      </c>
      <c r="X43" s="101">
        <f t="shared" si="31"/>
        <v>1.7480202938278944E-3</v>
      </c>
      <c r="Y43" s="361">
        <v>593184.79404934752</v>
      </c>
      <c r="Z43" s="101">
        <f t="shared" si="32"/>
        <v>9.6176496185081825E-2</v>
      </c>
      <c r="AA43" s="361">
        <v>1000410.8272963532</v>
      </c>
      <c r="AB43" s="101">
        <f t="shared" si="17"/>
        <v>0.16220241833606067</v>
      </c>
      <c r="AC43" s="258">
        <f t="shared" si="33"/>
        <v>1593595.6213457007</v>
      </c>
      <c r="AD43" s="101">
        <f t="shared" si="34"/>
        <v>0.25837891452114248</v>
      </c>
      <c r="AE43" s="361">
        <v>611938.26799833286</v>
      </c>
      <c r="AF43" s="101">
        <f t="shared" si="35"/>
        <v>9.9217105846363146E-2</v>
      </c>
      <c r="AG43" s="361">
        <v>879693.66110324161</v>
      </c>
      <c r="AH43" s="101">
        <f t="shared" si="36"/>
        <v>0.14262984299307266</v>
      </c>
      <c r="AI43" s="361">
        <v>526676.21307572233</v>
      </c>
      <c r="AJ43" s="101">
        <f t="shared" si="37"/>
        <v>8.5393073635391628E-2</v>
      </c>
      <c r="AK43" s="361">
        <v>338474.56959483767</v>
      </c>
      <c r="AL43" s="101">
        <f t="shared" si="38"/>
        <v>5.4878848004787158E-2</v>
      </c>
    </row>
    <row r="44" spans="1:46" ht="12">
      <c r="B44" s="422"/>
      <c r="C44" s="83"/>
      <c r="D44" s="86">
        <v>45907</v>
      </c>
      <c r="E44" s="86" t="s">
        <v>118</v>
      </c>
      <c r="F44" s="259">
        <f t="shared" si="7"/>
        <v>7394780.0000000009</v>
      </c>
      <c r="G44" s="439"/>
      <c r="H44" s="97"/>
      <c r="I44" s="361">
        <v>869357.48802530079</v>
      </c>
      <c r="J44" s="101">
        <f t="shared" si="24"/>
        <v>0.11756367167451914</v>
      </c>
      <c r="K44" s="361">
        <v>860695.51284405577</v>
      </c>
      <c r="L44" s="101">
        <f t="shared" si="25"/>
        <v>0.11639230820173901</v>
      </c>
      <c r="M44" s="258">
        <f t="shared" si="26"/>
        <v>1730053.0008693566</v>
      </c>
      <c r="N44" s="101">
        <f t="shared" si="27"/>
        <v>0.23395597987625816</v>
      </c>
      <c r="O44" s="361">
        <v>167431.93186351052</v>
      </c>
      <c r="P44" s="101">
        <f t="shared" si="28"/>
        <v>2.2641908462930675E-2</v>
      </c>
      <c r="Q44" s="361">
        <v>114451.34715081632</v>
      </c>
      <c r="R44" s="101">
        <f t="shared" si="12"/>
        <v>1.5477316046023858E-2</v>
      </c>
      <c r="S44" s="258">
        <f t="shared" si="1"/>
        <v>281883.27901432686</v>
      </c>
      <c r="T44" s="101">
        <f t="shared" si="29"/>
        <v>3.8119224508954538E-2</v>
      </c>
      <c r="U44" s="361">
        <v>662934.91588169825</v>
      </c>
      <c r="V44" s="101">
        <f t="shared" si="30"/>
        <v>8.9649038359721073E-2</v>
      </c>
      <c r="W44" s="361">
        <v>14838.642813986213</v>
      </c>
      <c r="X44" s="101">
        <f t="shared" si="31"/>
        <v>2.0066374948255676E-3</v>
      </c>
      <c r="Y44" s="361">
        <v>707930.81974924006</v>
      </c>
      <c r="Z44" s="101">
        <f t="shared" si="32"/>
        <v>9.5733858174176914E-2</v>
      </c>
      <c r="AA44" s="361">
        <v>1130952.3641188948</v>
      </c>
      <c r="AB44" s="101">
        <f t="shared" si="17"/>
        <v>0.15293928475477223</v>
      </c>
      <c r="AC44" s="258">
        <f t="shared" si="33"/>
        <v>1838883.1838681349</v>
      </c>
      <c r="AD44" s="101">
        <f t="shared" si="34"/>
        <v>0.24867314292894915</v>
      </c>
      <c r="AE44" s="361">
        <v>778191.0641184689</v>
      </c>
      <c r="AF44" s="101">
        <f t="shared" si="35"/>
        <v>0.10523518808111516</v>
      </c>
      <c r="AG44" s="361">
        <v>1065808.7960687354</v>
      </c>
      <c r="AH44" s="101">
        <f t="shared" si="36"/>
        <v>0.14412988568540719</v>
      </c>
      <c r="AI44" s="361">
        <v>611514.13093732484</v>
      </c>
      <c r="AJ44" s="101">
        <f t="shared" si="37"/>
        <v>8.2695378488247762E-2</v>
      </c>
      <c r="AK44" s="361">
        <v>410672.98642796936</v>
      </c>
      <c r="AL44" s="101">
        <f t="shared" si="38"/>
        <v>5.5535524576521451E-2</v>
      </c>
    </row>
    <row r="45" spans="1:46" ht="12">
      <c r="B45" s="422"/>
      <c r="C45" s="83"/>
      <c r="D45" s="86">
        <v>45908</v>
      </c>
      <c r="E45" s="86" t="s">
        <v>119</v>
      </c>
      <c r="F45" s="259">
        <f t="shared" si="7"/>
        <v>7409143</v>
      </c>
      <c r="G45" s="439"/>
      <c r="H45" s="97"/>
      <c r="I45" s="361">
        <v>814238.04462370218</v>
      </c>
      <c r="J45" s="101">
        <f t="shared" si="24"/>
        <v>0.10989638675130203</v>
      </c>
      <c r="K45" s="361">
        <v>872064.47307271545</v>
      </c>
      <c r="L45" s="101">
        <f t="shared" si="25"/>
        <v>0.117701125902512</v>
      </c>
      <c r="M45" s="258">
        <f t="shared" si="26"/>
        <v>1686302.5176964176</v>
      </c>
      <c r="N45" s="101">
        <f t="shared" si="27"/>
        <v>0.22759751265381403</v>
      </c>
      <c r="O45" s="361">
        <v>153939.37669214242</v>
      </c>
      <c r="P45" s="101">
        <f t="shared" si="28"/>
        <v>2.077694771070587E-2</v>
      </c>
      <c r="Q45" s="361">
        <v>112956.70990239808</v>
      </c>
      <c r="R45" s="101">
        <f t="shared" si="12"/>
        <v>1.524558372033015E-2</v>
      </c>
      <c r="S45" s="258">
        <f t="shared" si="1"/>
        <v>266896.08659454051</v>
      </c>
      <c r="T45" s="101">
        <f t="shared" si="29"/>
        <v>3.6022531431036023E-2</v>
      </c>
      <c r="U45" s="361">
        <v>654977.90804619738</v>
      </c>
      <c r="V45" s="101">
        <f t="shared" si="30"/>
        <v>8.8401304718534565E-2</v>
      </c>
      <c r="W45" s="361">
        <v>13888.573381399774</v>
      </c>
      <c r="X45" s="101">
        <f t="shared" si="31"/>
        <v>1.8745181975027036E-3</v>
      </c>
      <c r="Y45" s="361">
        <v>727257.57424210629</v>
      </c>
      <c r="Z45" s="101">
        <f t="shared" si="32"/>
        <v>9.8156773899775757E-2</v>
      </c>
      <c r="AA45" s="361">
        <v>1200713.725101338</v>
      </c>
      <c r="AB45" s="101">
        <f t="shared" si="17"/>
        <v>0.16205838179953308</v>
      </c>
      <c r="AC45" s="258">
        <f t="shared" si="33"/>
        <v>1927971.2993434444</v>
      </c>
      <c r="AD45" s="101">
        <f t="shared" si="34"/>
        <v>0.26021515569930886</v>
      </c>
      <c r="AE45" s="361">
        <v>815554.0721211934</v>
      </c>
      <c r="AF45" s="101">
        <f t="shared" si="35"/>
        <v>0.11007400884571851</v>
      </c>
      <c r="AG45" s="361">
        <v>1043881.1024898164</v>
      </c>
      <c r="AH45" s="101">
        <f t="shared" si="36"/>
        <v>0.14089093738504122</v>
      </c>
      <c r="AI45" s="361">
        <v>588183.1618937524</v>
      </c>
      <c r="AJ45" s="101">
        <f t="shared" si="37"/>
        <v>7.9386126289336348E-2</v>
      </c>
      <c r="AK45" s="361">
        <v>411488.2784332381</v>
      </c>
      <c r="AL45" s="101">
        <f t="shared" si="38"/>
        <v>5.5537904779707735E-2</v>
      </c>
    </row>
    <row r="46" spans="1:46" ht="12">
      <c r="B46" s="98"/>
      <c r="C46" s="83"/>
      <c r="D46" s="84"/>
      <c r="F46" s="97"/>
      <c r="G46" s="97"/>
      <c r="H46" s="97"/>
    </row>
    <row r="47" spans="1:46" ht="12">
      <c r="B47" s="98"/>
      <c r="C47" s="83"/>
      <c r="D47" s="84"/>
      <c r="F47" s="97"/>
      <c r="G47" s="97"/>
      <c r="H47" s="97"/>
    </row>
    <row r="48" spans="1:46" s="84" customFormat="1" ht="12">
      <c r="A48" s="77"/>
      <c r="B48" s="98"/>
      <c r="C48" s="83"/>
      <c r="F48" s="102"/>
      <c r="G48" s="102"/>
      <c r="H48" s="102"/>
      <c r="I48" s="97"/>
      <c r="J48" s="90"/>
      <c r="K48" s="97"/>
      <c r="L48" s="90"/>
      <c r="M48" s="90"/>
      <c r="N48" s="90"/>
      <c r="O48" s="97"/>
      <c r="P48" s="90"/>
      <c r="Q48" s="97"/>
      <c r="R48" s="90"/>
      <c r="S48" s="97"/>
      <c r="T48" s="90"/>
      <c r="U48" s="97"/>
      <c r="V48" s="90"/>
      <c r="W48" s="97"/>
      <c r="X48" s="90"/>
      <c r="Y48" s="97"/>
      <c r="Z48" s="90"/>
      <c r="AA48" s="97"/>
      <c r="AB48" s="90"/>
      <c r="AC48" s="97"/>
      <c r="AD48" s="90"/>
      <c r="AE48" s="97"/>
      <c r="AF48" s="90"/>
      <c r="AG48" s="97"/>
      <c r="AH48" s="90"/>
      <c r="AI48" s="97"/>
      <c r="AJ48" s="90"/>
      <c r="AK48" s="97"/>
      <c r="AL48" s="90"/>
      <c r="AM48" s="77"/>
      <c r="AN48" s="77"/>
      <c r="AO48" s="77"/>
      <c r="AP48" s="77"/>
      <c r="AQ48" s="77"/>
      <c r="AR48" s="77"/>
      <c r="AS48" s="77"/>
      <c r="AT48" s="77"/>
    </row>
    <row r="49" spans="1:46" s="84" customFormat="1" ht="12">
      <c r="A49" s="77"/>
      <c r="B49" s="98"/>
      <c r="C49" s="83"/>
      <c r="F49" s="102"/>
      <c r="G49" s="102"/>
      <c r="H49" s="102"/>
      <c r="I49" s="97"/>
      <c r="J49" s="90"/>
      <c r="K49" s="97"/>
      <c r="L49" s="90"/>
      <c r="M49" s="90"/>
      <c r="N49" s="90"/>
      <c r="O49" s="97"/>
      <c r="P49" s="90"/>
      <c r="Q49" s="97"/>
      <c r="R49" s="90"/>
      <c r="S49" s="97"/>
      <c r="T49" s="90"/>
      <c r="U49" s="97"/>
      <c r="V49" s="90"/>
      <c r="W49" s="97"/>
      <c r="X49" s="90"/>
      <c r="Y49" s="97"/>
      <c r="Z49" s="90"/>
      <c r="AA49" s="97"/>
      <c r="AB49" s="90"/>
      <c r="AC49" s="97"/>
      <c r="AD49" s="90"/>
      <c r="AE49" s="97"/>
      <c r="AF49" s="90"/>
      <c r="AG49" s="97"/>
      <c r="AH49" s="90"/>
      <c r="AI49" s="97"/>
      <c r="AJ49" s="90"/>
      <c r="AK49" s="97"/>
      <c r="AL49" s="90"/>
      <c r="AM49" s="77"/>
      <c r="AN49" s="77"/>
      <c r="AO49" s="77"/>
      <c r="AP49" s="77"/>
      <c r="AQ49" s="77"/>
      <c r="AR49" s="77"/>
      <c r="AS49" s="77"/>
      <c r="AT49" s="7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</sheetData>
  <mergeCells count="46">
    <mergeCell ref="AI4:AJ4"/>
    <mergeCell ref="AK4:AL4"/>
    <mergeCell ref="B2:AL2"/>
    <mergeCell ref="B3:B6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G5:G6"/>
    <mergeCell ref="H5:H6"/>
    <mergeCell ref="I5:J5"/>
    <mergeCell ref="K5:L5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B39:B45"/>
    <mergeCell ref="G39:G45"/>
    <mergeCell ref="H7:H37"/>
    <mergeCell ref="G11:G17"/>
    <mergeCell ref="B18:B24"/>
    <mergeCell ref="G18:G24"/>
    <mergeCell ref="B25:B31"/>
    <mergeCell ref="G25:G31"/>
    <mergeCell ref="B32:B38"/>
    <mergeCell ref="G32:G38"/>
    <mergeCell ref="G7:G10"/>
    <mergeCell ref="B7:B17"/>
    <mergeCell ref="C7:C37"/>
  </mergeCells>
  <phoneticPr fontId="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0"/>
  <sheetViews>
    <sheetView zoomScale="70" zoomScaleNormal="7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F49" sqref="F49"/>
    </sheetView>
  </sheetViews>
  <sheetFormatPr defaultColWidth="8.85546875" defaultRowHeight="14.2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444" t="s">
        <v>369</v>
      </c>
      <c r="C2" s="444"/>
      <c r="D2" s="444"/>
      <c r="E2" s="444"/>
      <c r="F2" s="444"/>
      <c r="G2" s="444"/>
      <c r="H2" s="444"/>
      <c r="I2" s="444"/>
      <c r="J2" s="444"/>
      <c r="K2" s="444"/>
      <c r="L2" s="444"/>
      <c r="M2" s="444"/>
      <c r="N2" s="444"/>
      <c r="O2" s="444"/>
      <c r="P2" s="444"/>
      <c r="Q2" s="444"/>
      <c r="R2" s="444"/>
      <c r="S2" s="444"/>
      <c r="T2" s="444"/>
      <c r="U2" s="444"/>
      <c r="V2" s="444"/>
      <c r="W2" s="444"/>
      <c r="X2" s="444"/>
      <c r="Y2" s="444"/>
      <c r="Z2" s="444"/>
      <c r="AA2" s="444"/>
      <c r="AB2" s="444"/>
      <c r="AC2" s="444"/>
      <c r="AD2" s="444"/>
      <c r="AE2" s="444"/>
      <c r="AF2" s="444"/>
      <c r="AG2" s="444"/>
      <c r="AH2" s="444"/>
      <c r="AI2" s="444"/>
      <c r="AJ2" s="444"/>
      <c r="AK2" s="444"/>
      <c r="AL2" s="444"/>
    </row>
    <row r="3" spans="1:38" ht="25.35" customHeight="1">
      <c r="B3" s="445" t="s">
        <v>153</v>
      </c>
      <c r="C3" s="446" t="s">
        <v>146</v>
      </c>
      <c r="D3" s="447" t="s">
        <v>105</v>
      </c>
      <c r="E3" s="447"/>
      <c r="F3" s="450" t="s">
        <v>156</v>
      </c>
      <c r="G3" s="451"/>
      <c r="H3" s="451"/>
      <c r="I3" s="454" t="s">
        <v>367</v>
      </c>
      <c r="J3" s="454"/>
      <c r="K3" s="454"/>
      <c r="L3" s="454"/>
      <c r="M3" s="454"/>
      <c r="N3" s="454"/>
      <c r="O3" s="454"/>
      <c r="P3" s="454"/>
      <c r="Q3" s="454"/>
      <c r="R3" s="454"/>
      <c r="S3" s="454"/>
      <c r="T3" s="454"/>
      <c r="U3" s="454"/>
      <c r="V3" s="454"/>
      <c r="W3" s="454"/>
      <c r="X3" s="454"/>
      <c r="Y3" s="454"/>
      <c r="Z3" s="454"/>
      <c r="AA3" s="454"/>
      <c r="AB3" s="454"/>
      <c r="AC3" s="454"/>
      <c r="AD3" s="454"/>
      <c r="AE3" s="454"/>
      <c r="AF3" s="454"/>
      <c r="AG3" s="454"/>
      <c r="AH3" s="454"/>
      <c r="AI3" s="454"/>
      <c r="AJ3" s="454"/>
      <c r="AK3" s="454"/>
      <c r="AL3" s="454"/>
    </row>
    <row r="4" spans="1:38" ht="25.35" customHeight="1">
      <c r="B4" s="445"/>
      <c r="C4" s="446"/>
      <c r="D4" s="447"/>
      <c r="E4" s="447"/>
      <c r="F4" s="451"/>
      <c r="G4" s="451"/>
      <c r="H4" s="451"/>
      <c r="I4" s="452" t="s">
        <v>147</v>
      </c>
      <c r="J4" s="452"/>
      <c r="K4" s="452"/>
      <c r="L4" s="452"/>
      <c r="M4" s="452"/>
      <c r="N4" s="452"/>
      <c r="O4" s="452" t="s">
        <v>148</v>
      </c>
      <c r="P4" s="452"/>
      <c r="Q4" s="452"/>
      <c r="R4" s="452"/>
      <c r="S4" s="452"/>
      <c r="T4" s="452"/>
      <c r="U4" s="452" t="s">
        <v>149</v>
      </c>
      <c r="V4" s="452"/>
      <c r="W4" s="452" t="s">
        <v>150</v>
      </c>
      <c r="X4" s="452"/>
      <c r="Y4" s="452" t="s">
        <v>141</v>
      </c>
      <c r="Z4" s="452"/>
      <c r="AA4" s="452"/>
      <c r="AB4" s="452"/>
      <c r="AC4" s="452"/>
      <c r="AD4" s="452"/>
      <c r="AE4" s="452" t="s">
        <v>139</v>
      </c>
      <c r="AF4" s="452"/>
      <c r="AG4" s="452" t="s">
        <v>151</v>
      </c>
      <c r="AH4" s="452"/>
      <c r="AI4" s="452" t="s">
        <v>152</v>
      </c>
      <c r="AJ4" s="452"/>
      <c r="AK4" s="452" t="s">
        <v>145</v>
      </c>
      <c r="AL4" s="452"/>
    </row>
    <row r="5" spans="1:38" ht="25.35" customHeight="1">
      <c r="B5" s="445"/>
      <c r="C5" s="446"/>
      <c r="D5" s="447"/>
      <c r="E5" s="447"/>
      <c r="F5" s="455" t="s">
        <v>118</v>
      </c>
      <c r="G5" s="455" t="s">
        <v>123</v>
      </c>
      <c r="H5" s="455" t="s">
        <v>124</v>
      </c>
      <c r="I5" s="452" t="s">
        <v>136</v>
      </c>
      <c r="J5" s="452"/>
      <c r="K5" s="452" t="s">
        <v>137</v>
      </c>
      <c r="L5" s="452"/>
      <c r="M5" s="453" t="s">
        <v>154</v>
      </c>
      <c r="N5" s="452"/>
      <c r="O5" s="452" t="s">
        <v>136</v>
      </c>
      <c r="P5" s="452"/>
      <c r="Q5" s="452" t="s">
        <v>137</v>
      </c>
      <c r="R5" s="452"/>
      <c r="S5" s="453" t="s">
        <v>154</v>
      </c>
      <c r="T5" s="452"/>
      <c r="U5" s="452" t="s">
        <v>136</v>
      </c>
      <c r="V5" s="452"/>
      <c r="W5" s="452" t="s">
        <v>136</v>
      </c>
      <c r="X5" s="452"/>
      <c r="Y5" s="452" t="s">
        <v>136</v>
      </c>
      <c r="Z5" s="452"/>
      <c r="AA5" s="452" t="s">
        <v>137</v>
      </c>
      <c r="AB5" s="452"/>
      <c r="AC5" s="453" t="s">
        <v>154</v>
      </c>
      <c r="AD5" s="452"/>
      <c r="AE5" s="452" t="s">
        <v>136</v>
      </c>
      <c r="AF5" s="452"/>
      <c r="AG5" s="452" t="s">
        <v>136</v>
      </c>
      <c r="AH5" s="452"/>
      <c r="AI5" s="452" t="s">
        <v>136</v>
      </c>
      <c r="AJ5" s="452"/>
      <c r="AK5" s="452" t="s">
        <v>136</v>
      </c>
      <c r="AL5" s="452"/>
    </row>
    <row r="6" spans="1:38" s="80" customFormat="1" ht="23.45" customHeight="1">
      <c r="B6" s="445"/>
      <c r="C6" s="446"/>
      <c r="D6" s="447"/>
      <c r="E6" s="447"/>
      <c r="F6" s="455"/>
      <c r="G6" s="455"/>
      <c r="H6" s="455"/>
      <c r="I6" s="105" t="s">
        <v>157</v>
      </c>
      <c r="J6" s="100" t="s">
        <v>113</v>
      </c>
      <c r="K6" s="105" t="s">
        <v>157</v>
      </c>
      <c r="L6" s="100" t="s">
        <v>113</v>
      </c>
      <c r="M6" s="105" t="s">
        <v>157</v>
      </c>
      <c r="N6" s="100" t="s">
        <v>113</v>
      </c>
      <c r="O6" s="105" t="s">
        <v>157</v>
      </c>
      <c r="P6" s="100" t="s">
        <v>113</v>
      </c>
      <c r="Q6" s="105" t="s">
        <v>157</v>
      </c>
      <c r="R6" s="100" t="s">
        <v>113</v>
      </c>
      <c r="S6" s="105" t="s">
        <v>157</v>
      </c>
      <c r="T6" s="100" t="s">
        <v>113</v>
      </c>
      <c r="U6" s="105" t="s">
        <v>157</v>
      </c>
      <c r="V6" s="100" t="s">
        <v>113</v>
      </c>
      <c r="W6" s="105" t="s">
        <v>157</v>
      </c>
      <c r="X6" s="100" t="s">
        <v>113</v>
      </c>
      <c r="Y6" s="105" t="s">
        <v>157</v>
      </c>
      <c r="Z6" s="100" t="s">
        <v>113</v>
      </c>
      <c r="AA6" s="105" t="s">
        <v>157</v>
      </c>
      <c r="AB6" s="100" t="s">
        <v>113</v>
      </c>
      <c r="AC6" s="105" t="s">
        <v>157</v>
      </c>
      <c r="AD6" s="100" t="s">
        <v>113</v>
      </c>
      <c r="AE6" s="105" t="s">
        <v>157</v>
      </c>
      <c r="AF6" s="100" t="s">
        <v>113</v>
      </c>
      <c r="AG6" s="105" t="s">
        <v>157</v>
      </c>
      <c r="AH6" s="100" t="s">
        <v>113</v>
      </c>
      <c r="AI6" s="105" t="s">
        <v>157</v>
      </c>
      <c r="AJ6" s="100" t="s">
        <v>113</v>
      </c>
      <c r="AK6" s="105" t="s">
        <v>157</v>
      </c>
      <c r="AL6" s="100" t="s">
        <v>113</v>
      </c>
    </row>
    <row r="7" spans="1:38" ht="12">
      <c r="B7" s="421">
        <f>D19</f>
        <v>45882</v>
      </c>
      <c r="C7" s="422" t="s">
        <v>121</v>
      </c>
      <c r="D7" s="86">
        <v>45870</v>
      </c>
      <c r="E7" s="86" t="s">
        <v>116</v>
      </c>
      <c r="F7" s="88">
        <f>SUM(M7,S7,U7,W7,AC7,AE7,AG7,AI7,AK7)</f>
        <v>189694</v>
      </c>
      <c r="G7" s="419">
        <f>SUM(F7:F10)</f>
        <v>835562</v>
      </c>
      <c r="H7" s="419">
        <f>SUM(F7:F37)</f>
        <v>6558055</v>
      </c>
      <c r="I7" s="266">
        <v>24297</v>
      </c>
      <c r="J7" s="101">
        <f t="shared" ref="J7:J40" si="0">I7/F7</f>
        <v>0.12808523200522948</v>
      </c>
      <c r="K7" s="266">
        <v>36868</v>
      </c>
      <c r="L7" s="101">
        <f t="shared" ref="L7:L40" si="1">K7/F7</f>
        <v>0.19435511929739474</v>
      </c>
      <c r="M7" s="106">
        <f>SUM(I7+K7)</f>
        <v>61165</v>
      </c>
      <c r="N7" s="101">
        <f t="shared" ref="N7:N40" si="2">M7/F7</f>
        <v>0.32244035130262422</v>
      </c>
      <c r="O7" s="266">
        <v>5748</v>
      </c>
      <c r="P7" s="101">
        <f t="shared" ref="P7:P40" si="3">O7/F7</f>
        <v>3.0301432833932544E-2</v>
      </c>
      <c r="Q7" s="266">
        <v>3941</v>
      </c>
      <c r="R7" s="101">
        <f t="shared" ref="R7:R40" si="4">Q7/D7</f>
        <v>8.5916721168519727E-2</v>
      </c>
      <c r="S7" s="106">
        <f>SUM(O7+Q7)</f>
        <v>9689</v>
      </c>
      <c r="T7" s="101">
        <f>S7/F7</f>
        <v>5.1076997691018165E-2</v>
      </c>
      <c r="U7" s="266">
        <v>17469</v>
      </c>
      <c r="V7" s="101">
        <f t="shared" ref="V7:V40" si="5">U7/F7</f>
        <v>9.209041930688372E-2</v>
      </c>
      <c r="W7" s="266">
        <v>1039</v>
      </c>
      <c r="X7" s="101">
        <f t="shared" ref="X7:X40" si="6">W7/F7</f>
        <v>5.4772422954864151E-3</v>
      </c>
      <c r="Y7" s="266">
        <v>19748</v>
      </c>
      <c r="Z7" s="101">
        <f t="shared" ref="Z7:Z40" si="7">Y7/F7</f>
        <v>0.10410450515040012</v>
      </c>
      <c r="AA7" s="266">
        <v>21070</v>
      </c>
      <c r="AB7" s="101">
        <f t="shared" ref="AB7:AB40" si="8">AA7/D7</f>
        <v>0.45934161761499892</v>
      </c>
      <c r="AC7" s="106">
        <f>SUM(Y7+AA7)</f>
        <v>40818</v>
      </c>
      <c r="AD7" s="101">
        <f t="shared" ref="AD7:AD40" si="9">AC7/F7</f>
        <v>0.21517812898668381</v>
      </c>
      <c r="AE7" s="266">
        <v>14905</v>
      </c>
      <c r="AF7" s="101">
        <f t="shared" ref="AF7:AF40" si="10">AE7/F7</f>
        <v>7.8573913776924936E-2</v>
      </c>
      <c r="AG7" s="266">
        <v>15386</v>
      </c>
      <c r="AH7" s="101">
        <f t="shared" ref="AH7:AH40" si="11">AG7/F7</f>
        <v>8.1109576475797862E-2</v>
      </c>
      <c r="AI7" s="266">
        <v>16873</v>
      </c>
      <c r="AJ7" s="101">
        <f t="shared" ref="AJ7:AJ40" si="12">AI7/F7</f>
        <v>8.8948517085411238E-2</v>
      </c>
      <c r="AK7" s="266">
        <v>12350</v>
      </c>
      <c r="AL7" s="101">
        <f t="shared" ref="AL7:AL40" si="13">AK7/F7</f>
        <v>6.5104853079169606E-2</v>
      </c>
    </row>
    <row r="8" spans="1:38" ht="12">
      <c r="B8" s="422"/>
      <c r="C8" s="422"/>
      <c r="D8" s="86">
        <v>45871</v>
      </c>
      <c r="E8" s="86" t="s">
        <v>117</v>
      </c>
      <c r="F8" s="88">
        <f t="shared" ref="F8:F45" si="14">SUM(M8,S8,U8,W8,AC8,AE8,AG8,AI8,AK8)</f>
        <v>198615</v>
      </c>
      <c r="G8" s="419"/>
      <c r="H8" s="419"/>
      <c r="I8" s="266">
        <v>23770</v>
      </c>
      <c r="J8" s="101">
        <f t="shared" si="0"/>
        <v>0.11967877552047931</v>
      </c>
      <c r="K8" s="266">
        <v>39888</v>
      </c>
      <c r="L8" s="101">
        <f t="shared" si="1"/>
        <v>0.20083075296427763</v>
      </c>
      <c r="M8" s="106">
        <f t="shared" ref="M8:M40" si="15">SUM(I8+K8)</f>
        <v>63658</v>
      </c>
      <c r="N8" s="101">
        <f t="shared" si="2"/>
        <v>0.32050952848475694</v>
      </c>
      <c r="O8" s="266">
        <v>5810</v>
      </c>
      <c r="P8" s="101">
        <f t="shared" si="3"/>
        <v>2.9252574075472649E-2</v>
      </c>
      <c r="Q8" s="266">
        <v>3881</v>
      </c>
      <c r="R8" s="101">
        <f t="shared" si="4"/>
        <v>8.4606832203352883E-2</v>
      </c>
      <c r="S8" s="106">
        <f t="shared" ref="S8:S45" si="16">SUM(O8+Q8)</f>
        <v>9691</v>
      </c>
      <c r="T8" s="101">
        <f t="shared" ref="T8:T40" si="17">S8/F8</f>
        <v>4.8792890768572364E-2</v>
      </c>
      <c r="U8" s="266">
        <v>18974</v>
      </c>
      <c r="V8" s="101">
        <f t="shared" si="5"/>
        <v>9.553155602547643E-2</v>
      </c>
      <c r="W8" s="266">
        <v>1121</v>
      </c>
      <c r="X8" s="101">
        <f t="shared" si="6"/>
        <v>5.6440852906376659E-3</v>
      </c>
      <c r="Y8" s="266">
        <v>20640</v>
      </c>
      <c r="Z8" s="101">
        <f t="shared" si="7"/>
        <v>0.10391964353145533</v>
      </c>
      <c r="AA8" s="266">
        <v>23039</v>
      </c>
      <c r="AB8" s="101">
        <f t="shared" si="8"/>
        <v>0.50225632752719584</v>
      </c>
      <c r="AC8" s="106">
        <f t="shared" ref="AC8:AC40" si="18">SUM(Y8+AA8)</f>
        <v>43679</v>
      </c>
      <c r="AD8" s="101">
        <f t="shared" si="9"/>
        <v>0.21991793167686227</v>
      </c>
      <c r="AE8" s="266">
        <v>15234</v>
      </c>
      <c r="AF8" s="101">
        <f t="shared" si="10"/>
        <v>7.6701155501850318E-2</v>
      </c>
      <c r="AG8" s="266">
        <v>16085</v>
      </c>
      <c r="AH8" s="101">
        <f t="shared" si="11"/>
        <v>8.0985826850942785E-2</v>
      </c>
      <c r="AI8" s="266">
        <v>17509</v>
      </c>
      <c r="AJ8" s="101">
        <f t="shared" si="12"/>
        <v>8.815547667598117E-2</v>
      </c>
      <c r="AK8" s="266">
        <v>12664</v>
      </c>
      <c r="AL8" s="101">
        <f t="shared" si="13"/>
        <v>6.376154872492007E-2</v>
      </c>
    </row>
    <row r="9" spans="1:38" ht="12">
      <c r="B9" s="422"/>
      <c r="C9" s="422"/>
      <c r="D9" s="86">
        <v>45872</v>
      </c>
      <c r="E9" s="86" t="s">
        <v>118</v>
      </c>
      <c r="F9" s="88">
        <f t="shared" si="14"/>
        <v>226309</v>
      </c>
      <c r="G9" s="419"/>
      <c r="H9" s="419"/>
      <c r="I9" s="266">
        <v>28783</v>
      </c>
      <c r="J9" s="101">
        <f t="shared" si="0"/>
        <v>0.12718451320981489</v>
      </c>
      <c r="K9" s="266">
        <v>42271</v>
      </c>
      <c r="L9" s="101">
        <f t="shared" si="1"/>
        <v>0.18678444074252459</v>
      </c>
      <c r="M9" s="106">
        <f t="shared" si="15"/>
        <v>71054</v>
      </c>
      <c r="N9" s="101">
        <f t="shared" si="2"/>
        <v>0.31396895395233948</v>
      </c>
      <c r="O9" s="266">
        <v>6994</v>
      </c>
      <c r="P9" s="101">
        <f t="shared" si="3"/>
        <v>3.0904648069674648E-2</v>
      </c>
      <c r="Q9" s="266">
        <v>4382</v>
      </c>
      <c r="R9" s="101">
        <f t="shared" si="4"/>
        <v>9.5526682943843741E-2</v>
      </c>
      <c r="S9" s="106">
        <f t="shared" si="16"/>
        <v>11376</v>
      </c>
      <c r="T9" s="101">
        <f t="shared" si="17"/>
        <v>5.0267554538264057E-2</v>
      </c>
      <c r="U9" s="266">
        <v>22622</v>
      </c>
      <c r="V9" s="101">
        <f t="shared" si="5"/>
        <v>9.9960673238801812E-2</v>
      </c>
      <c r="W9" s="266">
        <v>1271</v>
      </c>
      <c r="X9" s="101">
        <f t="shared" si="6"/>
        <v>5.6162149980778491E-3</v>
      </c>
      <c r="Y9" s="266">
        <v>22207</v>
      </c>
      <c r="Z9" s="101">
        <f t="shared" si="7"/>
        <v>9.8126897295290949E-2</v>
      </c>
      <c r="AA9" s="266">
        <v>24003</v>
      </c>
      <c r="AB9" s="101">
        <f t="shared" si="8"/>
        <v>0.52326037670038372</v>
      </c>
      <c r="AC9" s="106">
        <f t="shared" si="18"/>
        <v>46210</v>
      </c>
      <c r="AD9" s="101">
        <f t="shared" si="9"/>
        <v>0.20418984662563133</v>
      </c>
      <c r="AE9" s="266">
        <v>19050</v>
      </c>
      <c r="AF9" s="101">
        <f t="shared" si="10"/>
        <v>8.4176943912968552E-2</v>
      </c>
      <c r="AG9" s="266">
        <v>20178</v>
      </c>
      <c r="AH9" s="101">
        <f t="shared" si="11"/>
        <v>8.9161279489547482E-2</v>
      </c>
      <c r="AI9" s="266">
        <v>20163</v>
      </c>
      <c r="AJ9" s="101">
        <f t="shared" si="12"/>
        <v>8.9094998431348285E-2</v>
      </c>
      <c r="AK9" s="266">
        <v>14385</v>
      </c>
      <c r="AL9" s="101">
        <f t="shared" si="13"/>
        <v>6.3563534813021141E-2</v>
      </c>
    </row>
    <row r="10" spans="1:38" ht="12">
      <c r="B10" s="422"/>
      <c r="C10" s="422"/>
      <c r="D10" s="86">
        <v>45873</v>
      </c>
      <c r="E10" s="86" t="s">
        <v>119</v>
      </c>
      <c r="F10" s="88">
        <f t="shared" si="14"/>
        <v>220944</v>
      </c>
      <c r="G10" s="419"/>
      <c r="H10" s="419"/>
      <c r="I10" s="266">
        <v>27707</v>
      </c>
      <c r="J10" s="101">
        <f t="shared" si="0"/>
        <v>0.12540281700340358</v>
      </c>
      <c r="K10" s="266">
        <v>41367</v>
      </c>
      <c r="L10" s="101">
        <f t="shared" si="1"/>
        <v>0.18722843797523353</v>
      </c>
      <c r="M10" s="106">
        <f t="shared" si="15"/>
        <v>69074</v>
      </c>
      <c r="N10" s="101">
        <f t="shared" si="2"/>
        <v>0.31263125497863714</v>
      </c>
      <c r="O10" s="266">
        <v>6496</v>
      </c>
      <c r="P10" s="101">
        <f t="shared" si="3"/>
        <v>2.9401115214715039E-2</v>
      </c>
      <c r="Q10" s="266">
        <v>4347</v>
      </c>
      <c r="R10" s="101">
        <f t="shared" si="4"/>
        <v>9.4761624484991175E-2</v>
      </c>
      <c r="S10" s="106">
        <f t="shared" si="16"/>
        <v>10843</v>
      </c>
      <c r="T10" s="101">
        <f t="shared" si="17"/>
        <v>4.9075783909044823E-2</v>
      </c>
      <c r="U10" s="266">
        <v>21669</v>
      </c>
      <c r="V10" s="101">
        <f t="shared" si="5"/>
        <v>9.8074625244405828E-2</v>
      </c>
      <c r="W10" s="266">
        <v>1163</v>
      </c>
      <c r="X10" s="101">
        <f t="shared" si="6"/>
        <v>5.2637772467231513E-3</v>
      </c>
      <c r="Y10" s="266">
        <v>22556</v>
      </c>
      <c r="Z10" s="101">
        <f t="shared" si="7"/>
        <v>0.10208921717720328</v>
      </c>
      <c r="AA10" s="266">
        <v>24659</v>
      </c>
      <c r="AB10" s="101">
        <f t="shared" si="8"/>
        <v>0.53754932095132213</v>
      </c>
      <c r="AC10" s="106">
        <f t="shared" si="18"/>
        <v>47215</v>
      </c>
      <c r="AD10" s="101">
        <f t="shared" si="9"/>
        <v>0.21369668332247085</v>
      </c>
      <c r="AE10" s="266">
        <v>19050</v>
      </c>
      <c r="AF10" s="101">
        <f t="shared" si="10"/>
        <v>8.6220942863349984E-2</v>
      </c>
      <c r="AG10" s="266">
        <v>19934</v>
      </c>
      <c r="AH10" s="101">
        <f t="shared" si="11"/>
        <v>9.0221956694909122E-2</v>
      </c>
      <c r="AI10" s="266">
        <v>18083</v>
      </c>
      <c r="AJ10" s="101">
        <f t="shared" si="12"/>
        <v>8.1844268230863923E-2</v>
      </c>
      <c r="AK10" s="266">
        <v>13913</v>
      </c>
      <c r="AL10" s="101">
        <f t="shared" si="13"/>
        <v>6.2970707509595186E-2</v>
      </c>
    </row>
    <row r="11" spans="1:38" ht="12">
      <c r="B11" s="422"/>
      <c r="C11" s="422"/>
      <c r="D11" s="86">
        <v>45874</v>
      </c>
      <c r="E11" s="86" t="s">
        <v>120</v>
      </c>
      <c r="F11" s="88">
        <f t="shared" si="14"/>
        <v>237092</v>
      </c>
      <c r="G11" s="419">
        <f t="shared" ref="G11" si="19">SUM(F11:F17)</f>
        <v>1481597</v>
      </c>
      <c r="H11" s="419"/>
      <c r="I11" s="266">
        <v>31215</v>
      </c>
      <c r="J11" s="101">
        <f t="shared" si="0"/>
        <v>0.13165775310849798</v>
      </c>
      <c r="K11" s="266">
        <v>41098</v>
      </c>
      <c r="L11" s="101">
        <f t="shared" si="1"/>
        <v>0.17334199382518178</v>
      </c>
      <c r="M11" s="106">
        <f t="shared" si="15"/>
        <v>72313</v>
      </c>
      <c r="N11" s="101">
        <f t="shared" si="2"/>
        <v>0.30499974693367976</v>
      </c>
      <c r="O11" s="266">
        <v>6557</v>
      </c>
      <c r="P11" s="101">
        <f t="shared" si="3"/>
        <v>2.765593103099219E-2</v>
      </c>
      <c r="Q11" s="266">
        <v>4244</v>
      </c>
      <c r="R11" s="101">
        <f t="shared" si="4"/>
        <v>9.251427824039761E-2</v>
      </c>
      <c r="S11" s="106">
        <f t="shared" si="16"/>
        <v>10801</v>
      </c>
      <c r="T11" s="101">
        <f t="shared" si="17"/>
        <v>4.555615541646281E-2</v>
      </c>
      <c r="U11" s="266">
        <v>27130</v>
      </c>
      <c r="V11" s="101">
        <f t="shared" si="5"/>
        <v>0.11442815447168188</v>
      </c>
      <c r="W11" s="266">
        <v>651</v>
      </c>
      <c r="X11" s="101">
        <f t="shared" si="6"/>
        <v>2.7457695746798713E-3</v>
      </c>
      <c r="Y11" s="266">
        <v>30868</v>
      </c>
      <c r="Z11" s="101">
        <f t="shared" si="7"/>
        <v>0.13019418622306952</v>
      </c>
      <c r="AA11" s="266">
        <v>24259</v>
      </c>
      <c r="AB11" s="101">
        <f t="shared" si="8"/>
        <v>0.52881806687884203</v>
      </c>
      <c r="AC11" s="106">
        <f t="shared" si="18"/>
        <v>55127</v>
      </c>
      <c r="AD11" s="101">
        <f t="shared" si="9"/>
        <v>0.2325131172709328</v>
      </c>
      <c r="AE11" s="266">
        <v>19391</v>
      </c>
      <c r="AF11" s="101">
        <f t="shared" si="10"/>
        <v>8.1786816931823936E-2</v>
      </c>
      <c r="AG11" s="266">
        <v>19755</v>
      </c>
      <c r="AH11" s="101">
        <f t="shared" si="11"/>
        <v>8.3322085941322357E-2</v>
      </c>
      <c r="AI11" s="266">
        <v>18196</v>
      </c>
      <c r="AJ11" s="101">
        <f t="shared" si="12"/>
        <v>7.6746579386904656E-2</v>
      </c>
      <c r="AK11" s="266">
        <v>13728</v>
      </c>
      <c r="AL11" s="101">
        <f t="shared" si="13"/>
        <v>5.7901574072511938E-2</v>
      </c>
    </row>
    <row r="12" spans="1:38" ht="12">
      <c r="B12" s="422"/>
      <c r="C12" s="422"/>
      <c r="D12" s="86">
        <v>45875</v>
      </c>
      <c r="E12" s="86" t="s">
        <v>114</v>
      </c>
      <c r="F12" s="88">
        <f t="shared" si="14"/>
        <v>222453</v>
      </c>
      <c r="G12" s="419"/>
      <c r="H12" s="419"/>
      <c r="I12" s="266">
        <v>30098</v>
      </c>
      <c r="J12" s="101">
        <f t="shared" si="0"/>
        <v>0.13530049044067735</v>
      </c>
      <c r="K12" s="266">
        <v>40918</v>
      </c>
      <c r="L12" s="101">
        <f t="shared" si="1"/>
        <v>0.1839399783325017</v>
      </c>
      <c r="M12" s="106">
        <f t="shared" si="15"/>
        <v>71016</v>
      </c>
      <c r="N12" s="101">
        <f t="shared" si="2"/>
        <v>0.31924046877317908</v>
      </c>
      <c r="O12" s="266">
        <v>6456</v>
      </c>
      <c r="P12" s="101">
        <f t="shared" si="3"/>
        <v>2.9021860797561732E-2</v>
      </c>
      <c r="Q12" s="266">
        <v>4188</v>
      </c>
      <c r="R12" s="101">
        <f t="shared" si="4"/>
        <v>9.1291553133514988E-2</v>
      </c>
      <c r="S12" s="106">
        <f t="shared" si="16"/>
        <v>10644</v>
      </c>
      <c r="T12" s="101">
        <f t="shared" si="17"/>
        <v>4.7848309530552524E-2</v>
      </c>
      <c r="U12" s="266">
        <v>24026</v>
      </c>
      <c r="V12" s="101">
        <f t="shared" si="5"/>
        <v>0.10800483697679959</v>
      </c>
      <c r="W12" s="266">
        <v>711</v>
      </c>
      <c r="X12" s="101">
        <f t="shared" si="6"/>
        <v>3.196180766274224E-3</v>
      </c>
      <c r="Y12" s="266">
        <v>27469</v>
      </c>
      <c r="Z12" s="101">
        <f t="shared" si="7"/>
        <v>0.12348226366917955</v>
      </c>
      <c r="AA12" s="266">
        <v>22639</v>
      </c>
      <c r="AB12" s="101">
        <f t="shared" si="8"/>
        <v>0.4934931880108992</v>
      </c>
      <c r="AC12" s="106">
        <f t="shared" si="18"/>
        <v>50108</v>
      </c>
      <c r="AD12" s="101">
        <f t="shared" si="9"/>
        <v>0.22525207571936545</v>
      </c>
      <c r="AE12" s="266">
        <v>16348</v>
      </c>
      <c r="AF12" s="101">
        <f t="shared" si="10"/>
        <v>7.3489680966316487E-2</v>
      </c>
      <c r="AG12" s="266">
        <v>19784</v>
      </c>
      <c r="AH12" s="101">
        <f t="shared" si="11"/>
        <v>8.8935640337509503E-2</v>
      </c>
      <c r="AI12" s="266">
        <v>15906</v>
      </c>
      <c r="AJ12" s="101">
        <f t="shared" si="12"/>
        <v>7.1502744399940657E-2</v>
      </c>
      <c r="AK12" s="266">
        <v>13910</v>
      </c>
      <c r="AL12" s="101">
        <f t="shared" si="13"/>
        <v>6.2530062530062533E-2</v>
      </c>
    </row>
    <row r="13" spans="1:38" ht="12">
      <c r="B13" s="422"/>
      <c r="C13" s="422"/>
      <c r="D13" s="86">
        <v>45876</v>
      </c>
      <c r="E13" s="86" t="s">
        <v>115</v>
      </c>
      <c r="F13" s="88">
        <f t="shared" si="14"/>
        <v>211393</v>
      </c>
      <c r="G13" s="419"/>
      <c r="H13" s="419"/>
      <c r="I13" s="266">
        <v>29431</v>
      </c>
      <c r="J13" s="101">
        <f t="shared" si="0"/>
        <v>0.13922409918966097</v>
      </c>
      <c r="K13" s="266">
        <v>39687</v>
      </c>
      <c r="L13" s="101">
        <f t="shared" si="1"/>
        <v>0.18774036983249209</v>
      </c>
      <c r="M13" s="106">
        <f t="shared" si="15"/>
        <v>69118</v>
      </c>
      <c r="N13" s="101">
        <f t="shared" si="2"/>
        <v>0.32696446902215304</v>
      </c>
      <c r="O13" s="266">
        <v>6247</v>
      </c>
      <c r="P13" s="101">
        <f t="shared" si="3"/>
        <v>2.9551593477551291E-2</v>
      </c>
      <c r="Q13" s="266">
        <v>4009</v>
      </c>
      <c r="R13" s="101">
        <f t="shared" si="4"/>
        <v>8.7387740866684105E-2</v>
      </c>
      <c r="S13" s="106">
        <f t="shared" si="16"/>
        <v>10256</v>
      </c>
      <c r="T13" s="101">
        <f t="shared" si="17"/>
        <v>4.8516270642831122E-2</v>
      </c>
      <c r="U13" s="266">
        <v>23164</v>
      </c>
      <c r="V13" s="101">
        <f t="shared" si="5"/>
        <v>0.10957789519993566</v>
      </c>
      <c r="W13" s="266">
        <v>706</v>
      </c>
      <c r="X13" s="101">
        <f t="shared" si="6"/>
        <v>3.3397510797424702E-3</v>
      </c>
      <c r="Y13" s="266">
        <v>25319</v>
      </c>
      <c r="Z13" s="101">
        <f t="shared" si="7"/>
        <v>0.11977217788668498</v>
      </c>
      <c r="AA13" s="266">
        <v>19736</v>
      </c>
      <c r="AB13" s="101">
        <f t="shared" si="8"/>
        <v>0.43020315633446682</v>
      </c>
      <c r="AC13" s="106">
        <f t="shared" si="18"/>
        <v>45055</v>
      </c>
      <c r="AD13" s="101">
        <f t="shared" si="9"/>
        <v>0.21313383129999575</v>
      </c>
      <c r="AE13" s="266">
        <v>15331</v>
      </c>
      <c r="AF13" s="101">
        <f t="shared" si="10"/>
        <v>7.2523688106985562E-2</v>
      </c>
      <c r="AG13" s="266">
        <v>18575</v>
      </c>
      <c r="AH13" s="101">
        <f t="shared" si="11"/>
        <v>8.7869513181609613E-2</v>
      </c>
      <c r="AI13" s="266">
        <v>15865</v>
      </c>
      <c r="AJ13" s="101">
        <f t="shared" si="12"/>
        <v>7.5049788782031571E-2</v>
      </c>
      <c r="AK13" s="266">
        <v>13323</v>
      </c>
      <c r="AL13" s="101">
        <f t="shared" si="13"/>
        <v>6.3024792684715197E-2</v>
      </c>
    </row>
    <row r="14" spans="1:38" ht="12">
      <c r="B14" s="422"/>
      <c r="C14" s="422"/>
      <c r="D14" s="86">
        <v>45877</v>
      </c>
      <c r="E14" s="86" t="s">
        <v>116</v>
      </c>
      <c r="F14" s="88">
        <f t="shared" si="14"/>
        <v>189264</v>
      </c>
      <c r="G14" s="419"/>
      <c r="H14" s="419"/>
      <c r="I14" s="266">
        <v>26474</v>
      </c>
      <c r="J14" s="101">
        <f t="shared" si="0"/>
        <v>0.13987868797024264</v>
      </c>
      <c r="K14" s="266">
        <v>37685</v>
      </c>
      <c r="L14" s="101">
        <f t="shared" si="1"/>
        <v>0.19911340772677319</v>
      </c>
      <c r="M14" s="106">
        <f t="shared" si="15"/>
        <v>64159</v>
      </c>
      <c r="N14" s="101">
        <f t="shared" si="2"/>
        <v>0.33899209569701583</v>
      </c>
      <c r="O14" s="266">
        <v>5418</v>
      </c>
      <c r="P14" s="101">
        <f t="shared" si="3"/>
        <v>2.862668019274664E-2</v>
      </c>
      <c r="Q14" s="266">
        <v>3800</v>
      </c>
      <c r="R14" s="101">
        <f t="shared" si="4"/>
        <v>8.2830176341085943E-2</v>
      </c>
      <c r="S14" s="106">
        <f t="shared" si="16"/>
        <v>9218</v>
      </c>
      <c r="T14" s="101">
        <f t="shared" si="17"/>
        <v>4.8704455152591086E-2</v>
      </c>
      <c r="U14" s="266">
        <v>20286</v>
      </c>
      <c r="V14" s="101">
        <f t="shared" si="5"/>
        <v>0.10718361653563277</v>
      </c>
      <c r="W14" s="266">
        <v>644</v>
      </c>
      <c r="X14" s="101">
        <f t="shared" si="6"/>
        <v>3.402654493194691E-3</v>
      </c>
      <c r="Y14" s="266">
        <v>21678</v>
      </c>
      <c r="Z14" s="101">
        <f t="shared" si="7"/>
        <v>0.11453842252092315</v>
      </c>
      <c r="AA14" s="266">
        <v>19043</v>
      </c>
      <c r="AB14" s="101">
        <f t="shared" si="8"/>
        <v>0.41508817054297359</v>
      </c>
      <c r="AC14" s="106">
        <f t="shared" si="18"/>
        <v>40721</v>
      </c>
      <c r="AD14" s="101">
        <f t="shared" si="9"/>
        <v>0.21515449319469102</v>
      </c>
      <c r="AE14" s="266">
        <v>12595</v>
      </c>
      <c r="AF14" s="101">
        <f t="shared" si="10"/>
        <v>6.6547256741905481E-2</v>
      </c>
      <c r="AG14" s="266">
        <v>14396</v>
      </c>
      <c r="AH14" s="101">
        <f t="shared" si="11"/>
        <v>7.6063065347873868E-2</v>
      </c>
      <c r="AI14" s="266">
        <v>15074</v>
      </c>
      <c r="AJ14" s="101">
        <f t="shared" si="12"/>
        <v>7.964536309070927E-2</v>
      </c>
      <c r="AK14" s="266">
        <v>12171</v>
      </c>
      <c r="AL14" s="101">
        <f t="shared" si="13"/>
        <v>6.4306999746385998E-2</v>
      </c>
    </row>
    <row r="15" spans="1:38" ht="12">
      <c r="B15" s="422"/>
      <c r="C15" s="422"/>
      <c r="D15" s="86">
        <v>45878</v>
      </c>
      <c r="E15" s="86" t="s">
        <v>117</v>
      </c>
      <c r="F15" s="88">
        <f t="shared" si="14"/>
        <v>192323</v>
      </c>
      <c r="G15" s="419"/>
      <c r="H15" s="419"/>
      <c r="I15" s="266">
        <v>25438</v>
      </c>
      <c r="J15" s="101">
        <f t="shared" si="0"/>
        <v>0.13226707154110534</v>
      </c>
      <c r="K15" s="266">
        <v>40276</v>
      </c>
      <c r="L15" s="101">
        <f t="shared" si="1"/>
        <v>0.2094185302849893</v>
      </c>
      <c r="M15" s="106">
        <f t="shared" si="15"/>
        <v>65714</v>
      </c>
      <c r="N15" s="101">
        <f t="shared" si="2"/>
        <v>0.34168560182609464</v>
      </c>
      <c r="O15" s="266">
        <v>5422</v>
      </c>
      <c r="P15" s="101">
        <f t="shared" si="3"/>
        <v>2.8192155904390011E-2</v>
      </c>
      <c r="Q15" s="266">
        <v>3828</v>
      </c>
      <c r="R15" s="101">
        <f t="shared" si="4"/>
        <v>8.3438685208596708E-2</v>
      </c>
      <c r="S15" s="106">
        <f t="shared" si="16"/>
        <v>9250</v>
      </c>
      <c r="T15" s="101">
        <f t="shared" si="17"/>
        <v>4.8096171544745041E-2</v>
      </c>
      <c r="U15" s="266">
        <v>21476</v>
      </c>
      <c r="V15" s="101">
        <f t="shared" si="5"/>
        <v>0.11166631136161562</v>
      </c>
      <c r="W15" s="266">
        <v>562</v>
      </c>
      <c r="X15" s="101">
        <f t="shared" si="6"/>
        <v>2.9221673954753203E-3</v>
      </c>
      <c r="Y15" s="266">
        <v>19618</v>
      </c>
      <c r="Z15" s="101">
        <f t="shared" si="7"/>
        <v>0.10200548036376304</v>
      </c>
      <c r="AA15" s="266">
        <v>20751</v>
      </c>
      <c r="AB15" s="101">
        <f t="shared" si="8"/>
        <v>0.45230829591525351</v>
      </c>
      <c r="AC15" s="106">
        <f t="shared" si="18"/>
        <v>40369</v>
      </c>
      <c r="AD15" s="101">
        <f t="shared" si="9"/>
        <v>0.20990209179349323</v>
      </c>
      <c r="AE15" s="266">
        <v>12433</v>
      </c>
      <c r="AF15" s="101">
        <f t="shared" si="10"/>
        <v>6.4646454142250273E-2</v>
      </c>
      <c r="AG15" s="266">
        <v>14047</v>
      </c>
      <c r="AH15" s="101">
        <f t="shared" si="11"/>
        <v>7.3038586128544164E-2</v>
      </c>
      <c r="AI15" s="266">
        <v>16291</v>
      </c>
      <c r="AJ15" s="101">
        <f t="shared" si="12"/>
        <v>8.4706457365993665E-2</v>
      </c>
      <c r="AK15" s="266">
        <v>12181</v>
      </c>
      <c r="AL15" s="101">
        <f t="shared" si="13"/>
        <v>6.333615844178804E-2</v>
      </c>
    </row>
    <row r="16" spans="1:38" ht="12">
      <c r="B16" s="422"/>
      <c r="C16" s="422"/>
      <c r="D16" s="86">
        <v>45879</v>
      </c>
      <c r="E16" s="86" t="s">
        <v>118</v>
      </c>
      <c r="F16" s="88">
        <f t="shared" si="14"/>
        <v>216752</v>
      </c>
      <c r="G16" s="419"/>
      <c r="H16" s="419"/>
      <c r="I16" s="266">
        <v>30754</v>
      </c>
      <c r="J16" s="101">
        <f t="shared" si="0"/>
        <v>0.14188565734110872</v>
      </c>
      <c r="K16" s="266">
        <v>42713</v>
      </c>
      <c r="L16" s="101">
        <f t="shared" si="1"/>
        <v>0.19705931202480254</v>
      </c>
      <c r="M16" s="106">
        <f t="shared" si="15"/>
        <v>73467</v>
      </c>
      <c r="N16" s="101">
        <f t="shared" si="2"/>
        <v>0.33894496936591129</v>
      </c>
      <c r="O16" s="266">
        <v>6692</v>
      </c>
      <c r="P16" s="101">
        <f t="shared" si="3"/>
        <v>3.0873994242267659E-2</v>
      </c>
      <c r="Q16" s="266">
        <v>4244</v>
      </c>
      <c r="R16" s="101">
        <f t="shared" si="4"/>
        <v>9.2504195819438084E-2</v>
      </c>
      <c r="S16" s="106">
        <f t="shared" si="16"/>
        <v>10936</v>
      </c>
      <c r="T16" s="101">
        <f t="shared" si="17"/>
        <v>5.045397504982653E-2</v>
      </c>
      <c r="U16" s="266">
        <v>24468</v>
      </c>
      <c r="V16" s="101">
        <f t="shared" si="5"/>
        <v>0.11288477153613347</v>
      </c>
      <c r="W16" s="266">
        <v>532</v>
      </c>
      <c r="X16" s="101">
        <f t="shared" si="6"/>
        <v>2.4544179523141654E-3</v>
      </c>
      <c r="Y16" s="266">
        <v>22266</v>
      </c>
      <c r="Z16" s="101">
        <f t="shared" si="7"/>
        <v>0.102725695725991</v>
      </c>
      <c r="AA16" s="266">
        <v>20884</v>
      </c>
      <c r="AB16" s="101">
        <f t="shared" si="8"/>
        <v>0.45519736698707469</v>
      </c>
      <c r="AC16" s="106">
        <f t="shared" si="18"/>
        <v>43150</v>
      </c>
      <c r="AD16" s="101">
        <f t="shared" si="9"/>
        <v>0.1990754410570606</v>
      </c>
      <c r="AE16" s="266">
        <v>15278</v>
      </c>
      <c r="AF16" s="101">
        <f t="shared" si="10"/>
        <v>7.0486085480180108E-2</v>
      </c>
      <c r="AG16" s="266">
        <v>18430</v>
      </c>
      <c r="AH16" s="101">
        <f t="shared" si="11"/>
        <v>8.5028050490883592E-2</v>
      </c>
      <c r="AI16" s="266">
        <v>16716</v>
      </c>
      <c r="AJ16" s="101">
        <f t="shared" si="12"/>
        <v>7.7120395659555627E-2</v>
      </c>
      <c r="AK16" s="266">
        <v>13775</v>
      </c>
      <c r="AL16" s="101">
        <f t="shared" si="13"/>
        <v>6.3551893408134649E-2</v>
      </c>
    </row>
    <row r="17" spans="2:38" ht="12">
      <c r="B17" s="422"/>
      <c r="C17" s="422"/>
      <c r="D17" s="86">
        <v>45880</v>
      </c>
      <c r="E17" s="86" t="s">
        <v>119</v>
      </c>
      <c r="F17" s="88">
        <f t="shared" si="14"/>
        <v>212320</v>
      </c>
      <c r="G17" s="419"/>
      <c r="H17" s="419"/>
      <c r="I17" s="266">
        <v>30064</v>
      </c>
      <c r="J17" s="101">
        <f t="shared" si="0"/>
        <v>0.14159758854559157</v>
      </c>
      <c r="K17" s="266">
        <v>41846</v>
      </c>
      <c r="L17" s="101">
        <f t="shared" si="1"/>
        <v>0.19708929917106255</v>
      </c>
      <c r="M17" s="106">
        <f t="shared" si="15"/>
        <v>71910</v>
      </c>
      <c r="N17" s="101">
        <f t="shared" si="2"/>
        <v>0.33868688771665412</v>
      </c>
      <c r="O17" s="266">
        <v>6405</v>
      </c>
      <c r="P17" s="101">
        <f t="shared" si="3"/>
        <v>3.0166729464958554E-2</v>
      </c>
      <c r="Q17" s="266">
        <v>4199</v>
      </c>
      <c r="R17" s="101">
        <f t="shared" si="4"/>
        <v>9.1521360069747162E-2</v>
      </c>
      <c r="S17" s="106">
        <f t="shared" si="16"/>
        <v>10604</v>
      </c>
      <c r="T17" s="101">
        <f t="shared" si="17"/>
        <v>4.9943481537302187E-2</v>
      </c>
      <c r="U17" s="266">
        <v>22841</v>
      </c>
      <c r="V17" s="101">
        <f t="shared" si="5"/>
        <v>0.10757818387339864</v>
      </c>
      <c r="W17" s="266">
        <v>545</v>
      </c>
      <c r="X17" s="101">
        <f t="shared" si="6"/>
        <v>2.5668801808590804E-3</v>
      </c>
      <c r="Y17" s="266">
        <v>22697</v>
      </c>
      <c r="Z17" s="101">
        <f t="shared" si="7"/>
        <v>0.10689996232102487</v>
      </c>
      <c r="AA17" s="266">
        <v>21413</v>
      </c>
      <c r="AB17" s="101">
        <f t="shared" si="8"/>
        <v>0.46671752397558847</v>
      </c>
      <c r="AC17" s="106">
        <f t="shared" si="18"/>
        <v>44110</v>
      </c>
      <c r="AD17" s="101">
        <f t="shared" si="9"/>
        <v>0.20775244913338356</v>
      </c>
      <c r="AE17" s="266">
        <v>14604</v>
      </c>
      <c r="AF17" s="101">
        <f t="shared" si="10"/>
        <v>6.8782969103240388E-2</v>
      </c>
      <c r="AG17" s="266">
        <v>17867</v>
      </c>
      <c r="AH17" s="101">
        <f t="shared" si="11"/>
        <v>8.4151281085154489E-2</v>
      </c>
      <c r="AI17" s="266">
        <v>16601</v>
      </c>
      <c r="AJ17" s="101">
        <f t="shared" si="12"/>
        <v>7.8188583270535045E-2</v>
      </c>
      <c r="AK17" s="266">
        <v>13238</v>
      </c>
      <c r="AL17" s="101">
        <f t="shared" si="13"/>
        <v>6.2349284099472498E-2</v>
      </c>
    </row>
    <row r="18" spans="2:38" ht="12">
      <c r="B18" s="421">
        <f>D26</f>
        <v>45889</v>
      </c>
      <c r="C18" s="422"/>
      <c r="D18" s="86">
        <v>45881</v>
      </c>
      <c r="E18" s="86" t="s">
        <v>120</v>
      </c>
      <c r="F18" s="88">
        <f t="shared" si="14"/>
        <v>224380</v>
      </c>
      <c r="G18" s="419">
        <f t="shared" ref="G18" si="20">SUM(F18:F24)</f>
        <v>1480470</v>
      </c>
      <c r="H18" s="419"/>
      <c r="I18" s="266">
        <v>29738</v>
      </c>
      <c r="J18" s="101">
        <f t="shared" si="0"/>
        <v>0.13253409394776719</v>
      </c>
      <c r="K18" s="266">
        <v>40317</v>
      </c>
      <c r="L18" s="101">
        <f t="shared" si="1"/>
        <v>0.17968178982083965</v>
      </c>
      <c r="M18" s="106">
        <f t="shared" si="15"/>
        <v>70055</v>
      </c>
      <c r="N18" s="101">
        <f t="shared" si="2"/>
        <v>0.31221588376860682</v>
      </c>
      <c r="O18" s="266">
        <v>6102</v>
      </c>
      <c r="P18" s="101">
        <f t="shared" si="3"/>
        <v>2.7194937160174702E-2</v>
      </c>
      <c r="Q18" s="266">
        <v>4030</v>
      </c>
      <c r="R18" s="101">
        <f t="shared" si="4"/>
        <v>8.7835923366971075E-2</v>
      </c>
      <c r="S18" s="106">
        <f t="shared" si="16"/>
        <v>10132</v>
      </c>
      <c r="T18" s="101">
        <f t="shared" si="17"/>
        <v>4.5155539709421516E-2</v>
      </c>
      <c r="U18" s="266">
        <v>21828</v>
      </c>
      <c r="V18" s="101">
        <f t="shared" si="5"/>
        <v>9.7281397629022201E-2</v>
      </c>
      <c r="W18" s="266">
        <v>506</v>
      </c>
      <c r="X18" s="101">
        <f t="shared" si="6"/>
        <v>2.2551029503520815E-3</v>
      </c>
      <c r="Y18" s="266">
        <v>27791</v>
      </c>
      <c r="Z18" s="101">
        <f t="shared" si="7"/>
        <v>0.12385684998662982</v>
      </c>
      <c r="AA18" s="266">
        <v>22172</v>
      </c>
      <c r="AB18" s="101">
        <f t="shared" si="8"/>
        <v>0.48325014711972275</v>
      </c>
      <c r="AC18" s="106">
        <f t="shared" si="18"/>
        <v>49963</v>
      </c>
      <c r="AD18" s="101">
        <f t="shared" si="9"/>
        <v>0.22267136108387556</v>
      </c>
      <c r="AE18" s="266">
        <v>15650</v>
      </c>
      <c r="AF18" s="101">
        <f t="shared" si="10"/>
        <v>6.9747749353774841E-2</v>
      </c>
      <c r="AG18" s="266">
        <v>25790</v>
      </c>
      <c r="AH18" s="101">
        <f t="shared" si="11"/>
        <v>0.11493894286478296</v>
      </c>
      <c r="AI18" s="266">
        <v>16882</v>
      </c>
      <c r="AJ18" s="101">
        <f t="shared" si="12"/>
        <v>7.5238434798110349E-2</v>
      </c>
      <c r="AK18" s="266">
        <v>13574</v>
      </c>
      <c r="AL18" s="101">
        <f t="shared" si="13"/>
        <v>6.0495587842053659E-2</v>
      </c>
    </row>
    <row r="19" spans="2:38" ht="12">
      <c r="B19" s="422"/>
      <c r="C19" s="422"/>
      <c r="D19" s="86">
        <v>45882</v>
      </c>
      <c r="E19" s="86" t="s">
        <v>114</v>
      </c>
      <c r="F19" s="88">
        <f t="shared" si="14"/>
        <v>220130</v>
      </c>
      <c r="G19" s="419"/>
      <c r="H19" s="419"/>
      <c r="I19" s="266">
        <v>28877</v>
      </c>
      <c r="J19" s="101">
        <f t="shared" si="0"/>
        <v>0.13118157452414483</v>
      </c>
      <c r="K19" s="266">
        <v>40445</v>
      </c>
      <c r="L19" s="101">
        <f t="shared" si="1"/>
        <v>0.18373233998092037</v>
      </c>
      <c r="M19" s="106">
        <f t="shared" si="15"/>
        <v>69322</v>
      </c>
      <c r="N19" s="101">
        <f t="shared" si="2"/>
        <v>0.31491391450506517</v>
      </c>
      <c r="O19" s="266">
        <v>5845</v>
      </c>
      <c r="P19" s="101">
        <f t="shared" si="3"/>
        <v>2.6552491709444421E-2</v>
      </c>
      <c r="Q19" s="266">
        <v>4084</v>
      </c>
      <c r="R19" s="101">
        <f t="shared" si="4"/>
        <v>8.9010941109803413E-2</v>
      </c>
      <c r="S19" s="106">
        <f t="shared" si="16"/>
        <v>9929</v>
      </c>
      <c r="T19" s="101">
        <f t="shared" si="17"/>
        <v>4.510516512969609E-2</v>
      </c>
      <c r="U19" s="266">
        <v>22470</v>
      </c>
      <c r="V19" s="101">
        <f t="shared" si="5"/>
        <v>0.10207604597283423</v>
      </c>
      <c r="W19" s="266">
        <v>516</v>
      </c>
      <c r="X19" s="101">
        <f t="shared" si="6"/>
        <v>2.3440694135283698E-3</v>
      </c>
      <c r="Y19" s="266">
        <v>27430</v>
      </c>
      <c r="Z19" s="101">
        <f t="shared" si="7"/>
        <v>0.12460818607186662</v>
      </c>
      <c r="AA19" s="266">
        <v>21391</v>
      </c>
      <c r="AB19" s="101">
        <f t="shared" si="8"/>
        <v>0.46621768885401682</v>
      </c>
      <c r="AC19" s="106">
        <f t="shared" si="18"/>
        <v>48821</v>
      </c>
      <c r="AD19" s="101">
        <f t="shared" si="9"/>
        <v>0.22178258301912507</v>
      </c>
      <c r="AE19" s="266">
        <v>15236</v>
      </c>
      <c r="AF19" s="101">
        <f t="shared" si="10"/>
        <v>6.9213646481624494E-2</v>
      </c>
      <c r="AG19" s="266">
        <v>22394</v>
      </c>
      <c r="AH19" s="101">
        <f t="shared" si="11"/>
        <v>0.10173079543905873</v>
      </c>
      <c r="AI19" s="266">
        <v>17604</v>
      </c>
      <c r="AJ19" s="101">
        <f t="shared" si="12"/>
        <v>7.9970926270839959E-2</v>
      </c>
      <c r="AK19" s="266">
        <v>13838</v>
      </c>
      <c r="AL19" s="101">
        <f t="shared" si="13"/>
        <v>6.2862853768227867E-2</v>
      </c>
    </row>
    <row r="20" spans="2:38" ht="12">
      <c r="B20" s="422"/>
      <c r="C20" s="422"/>
      <c r="D20" s="86">
        <v>45883</v>
      </c>
      <c r="E20" s="86" t="s">
        <v>115</v>
      </c>
      <c r="F20" s="88">
        <f t="shared" si="14"/>
        <v>214387</v>
      </c>
      <c r="G20" s="419"/>
      <c r="H20" s="419"/>
      <c r="I20" s="266">
        <v>29541</v>
      </c>
      <c r="J20" s="101">
        <f t="shared" si="0"/>
        <v>0.13779286990349229</v>
      </c>
      <c r="K20" s="266">
        <v>39657</v>
      </c>
      <c r="L20" s="101">
        <f t="shared" si="1"/>
        <v>0.18497856679742708</v>
      </c>
      <c r="M20" s="106">
        <f t="shared" si="15"/>
        <v>69198</v>
      </c>
      <c r="N20" s="101">
        <f t="shared" si="2"/>
        <v>0.32277143670091935</v>
      </c>
      <c r="O20" s="266">
        <v>5970</v>
      </c>
      <c r="P20" s="101">
        <f t="shared" si="3"/>
        <v>2.7846837728033882E-2</v>
      </c>
      <c r="Q20" s="266">
        <v>4027</v>
      </c>
      <c r="R20" s="101">
        <f t="shared" si="4"/>
        <v>8.7766710982281018E-2</v>
      </c>
      <c r="S20" s="106">
        <f t="shared" si="16"/>
        <v>9997</v>
      </c>
      <c r="T20" s="101">
        <f t="shared" si="17"/>
        <v>4.6630625924146518E-2</v>
      </c>
      <c r="U20" s="266">
        <v>21447</v>
      </c>
      <c r="V20" s="101">
        <f t="shared" si="5"/>
        <v>0.10003871503402725</v>
      </c>
      <c r="W20" s="266">
        <v>514</v>
      </c>
      <c r="X20" s="101">
        <f t="shared" si="6"/>
        <v>2.3975334325308903E-3</v>
      </c>
      <c r="Y20" s="266">
        <v>24388</v>
      </c>
      <c r="Z20" s="101">
        <f t="shared" si="7"/>
        <v>0.11375689757308045</v>
      </c>
      <c r="AA20" s="266">
        <v>21528</v>
      </c>
      <c r="AB20" s="101">
        <f t="shared" si="8"/>
        <v>0.46919338317023734</v>
      </c>
      <c r="AC20" s="106">
        <f t="shared" si="18"/>
        <v>45916</v>
      </c>
      <c r="AD20" s="101">
        <f t="shared" si="9"/>
        <v>0.21417343402351821</v>
      </c>
      <c r="AE20" s="266">
        <v>14615</v>
      </c>
      <c r="AF20" s="101">
        <f t="shared" si="10"/>
        <v>6.8171111121476585E-2</v>
      </c>
      <c r="AG20" s="266">
        <v>21330</v>
      </c>
      <c r="AH20" s="101">
        <f t="shared" si="11"/>
        <v>9.9492972988100961E-2</v>
      </c>
      <c r="AI20" s="266">
        <v>18057</v>
      </c>
      <c r="AJ20" s="101">
        <f t="shared" si="12"/>
        <v>8.4226189087957759E-2</v>
      </c>
      <c r="AK20" s="266">
        <v>13313</v>
      </c>
      <c r="AL20" s="101">
        <f t="shared" si="13"/>
        <v>6.2097981687322459E-2</v>
      </c>
    </row>
    <row r="21" spans="2:38" ht="12">
      <c r="B21" s="422"/>
      <c r="C21" s="422"/>
      <c r="D21" s="86">
        <v>45884</v>
      </c>
      <c r="E21" s="86" t="s">
        <v>116</v>
      </c>
      <c r="F21" s="88">
        <f t="shared" si="14"/>
        <v>194099</v>
      </c>
      <c r="G21" s="419"/>
      <c r="H21" s="419"/>
      <c r="I21" s="266">
        <v>25248</v>
      </c>
      <c r="J21" s="101">
        <f t="shared" si="0"/>
        <v>0.13007794991215824</v>
      </c>
      <c r="K21" s="266">
        <v>36751</v>
      </c>
      <c r="L21" s="101">
        <f t="shared" si="1"/>
        <v>0.18934152159465015</v>
      </c>
      <c r="M21" s="106">
        <f t="shared" si="15"/>
        <v>61999</v>
      </c>
      <c r="N21" s="101">
        <f t="shared" si="2"/>
        <v>0.31941947150680838</v>
      </c>
      <c r="O21" s="266">
        <v>5223</v>
      </c>
      <c r="P21" s="101">
        <f t="shared" si="3"/>
        <v>2.6908948526267525E-2</v>
      </c>
      <c r="Q21" s="266">
        <v>3692</v>
      </c>
      <c r="R21" s="101">
        <f t="shared" si="4"/>
        <v>8.0463778223345828E-2</v>
      </c>
      <c r="S21" s="106">
        <f t="shared" si="16"/>
        <v>8915</v>
      </c>
      <c r="T21" s="101">
        <f t="shared" si="17"/>
        <v>4.5930169655691168E-2</v>
      </c>
      <c r="U21" s="266">
        <v>18829</v>
      </c>
      <c r="V21" s="101">
        <f t="shared" si="5"/>
        <v>9.7007197358049246E-2</v>
      </c>
      <c r="W21" s="266">
        <v>472</v>
      </c>
      <c r="X21" s="101">
        <f t="shared" si="6"/>
        <v>2.4317487467735537E-3</v>
      </c>
      <c r="Y21" s="266">
        <v>23205</v>
      </c>
      <c r="Z21" s="101">
        <f t="shared" si="7"/>
        <v>0.11955239336627185</v>
      </c>
      <c r="AA21" s="266">
        <v>22044</v>
      </c>
      <c r="AB21" s="101">
        <f t="shared" si="8"/>
        <v>0.48042890768023711</v>
      </c>
      <c r="AC21" s="106">
        <f t="shared" si="18"/>
        <v>45249</v>
      </c>
      <c r="AD21" s="101">
        <f t="shared" si="9"/>
        <v>0.23312330305668758</v>
      </c>
      <c r="AE21" s="266">
        <v>13175</v>
      </c>
      <c r="AF21" s="101">
        <f t="shared" si="10"/>
        <v>6.7877732497333837E-2</v>
      </c>
      <c r="AG21" s="266">
        <v>16516</v>
      </c>
      <c r="AH21" s="101">
        <f t="shared" si="11"/>
        <v>8.5090598096847492E-2</v>
      </c>
      <c r="AI21" s="266">
        <v>16257</v>
      </c>
      <c r="AJ21" s="101">
        <f t="shared" si="12"/>
        <v>8.3756227492156068E-2</v>
      </c>
      <c r="AK21" s="266">
        <v>12687</v>
      </c>
      <c r="AL21" s="101">
        <f t="shared" si="13"/>
        <v>6.5363551589652708E-2</v>
      </c>
    </row>
    <row r="22" spans="2:38" ht="12">
      <c r="B22" s="422"/>
      <c r="C22" s="422"/>
      <c r="D22" s="86">
        <v>45885</v>
      </c>
      <c r="E22" s="86" t="s">
        <v>117</v>
      </c>
      <c r="F22" s="88">
        <f t="shared" si="14"/>
        <v>193782</v>
      </c>
      <c r="G22" s="419"/>
      <c r="H22" s="419"/>
      <c r="I22" s="266">
        <v>24555</v>
      </c>
      <c r="J22" s="101">
        <f t="shared" si="0"/>
        <v>0.12671455553147351</v>
      </c>
      <c r="K22" s="266">
        <v>39550</v>
      </c>
      <c r="L22" s="101">
        <f t="shared" si="1"/>
        <v>0.20409532361106811</v>
      </c>
      <c r="M22" s="106">
        <f t="shared" si="15"/>
        <v>64105</v>
      </c>
      <c r="N22" s="101">
        <f t="shared" si="2"/>
        <v>0.33080987914254162</v>
      </c>
      <c r="O22" s="266">
        <v>5197</v>
      </c>
      <c r="P22" s="101">
        <f t="shared" si="3"/>
        <v>2.6818796379436686E-2</v>
      </c>
      <c r="Q22" s="266">
        <v>3667</v>
      </c>
      <c r="R22" s="101">
        <f t="shared" si="4"/>
        <v>7.9917184265010349E-2</v>
      </c>
      <c r="S22" s="106">
        <f t="shared" si="16"/>
        <v>8864</v>
      </c>
      <c r="T22" s="101">
        <f t="shared" si="17"/>
        <v>4.5742122591365557E-2</v>
      </c>
      <c r="U22" s="266">
        <v>18536</v>
      </c>
      <c r="V22" s="101">
        <f t="shared" si="5"/>
        <v>9.565387910125811E-2</v>
      </c>
      <c r="W22" s="266">
        <v>500</v>
      </c>
      <c r="X22" s="101">
        <f t="shared" si="6"/>
        <v>2.5802190089894831E-3</v>
      </c>
      <c r="Y22" s="266">
        <v>22067</v>
      </c>
      <c r="Z22" s="101">
        <f t="shared" si="7"/>
        <v>0.11387538574274185</v>
      </c>
      <c r="AA22" s="266">
        <v>21393</v>
      </c>
      <c r="AB22" s="101">
        <f t="shared" si="8"/>
        <v>0.46623079437724746</v>
      </c>
      <c r="AC22" s="106">
        <f t="shared" si="18"/>
        <v>43460</v>
      </c>
      <c r="AD22" s="101">
        <f t="shared" si="9"/>
        <v>0.22427263626136587</v>
      </c>
      <c r="AE22" s="266">
        <v>13240</v>
      </c>
      <c r="AF22" s="101">
        <f t="shared" si="10"/>
        <v>6.8324199358041515E-2</v>
      </c>
      <c r="AG22" s="266">
        <v>17674</v>
      </c>
      <c r="AH22" s="101">
        <f t="shared" si="11"/>
        <v>9.1205581529760243E-2</v>
      </c>
      <c r="AI22" s="266">
        <v>15045</v>
      </c>
      <c r="AJ22" s="101">
        <f t="shared" si="12"/>
        <v>7.7638789980493547E-2</v>
      </c>
      <c r="AK22" s="266">
        <v>12358</v>
      </c>
      <c r="AL22" s="101">
        <f t="shared" si="13"/>
        <v>6.377269302618406E-2</v>
      </c>
    </row>
    <row r="23" spans="2:38" ht="12">
      <c r="B23" s="422"/>
      <c r="C23" s="422"/>
      <c r="D23" s="86">
        <v>45886</v>
      </c>
      <c r="E23" s="86" t="s">
        <v>118</v>
      </c>
      <c r="F23" s="88">
        <f t="shared" si="14"/>
        <v>218883</v>
      </c>
      <c r="G23" s="419"/>
      <c r="H23" s="419"/>
      <c r="I23" s="266">
        <v>30082</v>
      </c>
      <c r="J23" s="101">
        <f t="shared" si="0"/>
        <v>0.13743415431988779</v>
      </c>
      <c r="K23" s="266">
        <v>42584</v>
      </c>
      <c r="L23" s="101">
        <f t="shared" si="1"/>
        <v>0.19455142701808728</v>
      </c>
      <c r="M23" s="106">
        <f t="shared" si="15"/>
        <v>72666</v>
      </c>
      <c r="N23" s="101">
        <f t="shared" si="2"/>
        <v>0.33198558133797507</v>
      </c>
      <c r="O23" s="266">
        <v>6525</v>
      </c>
      <c r="P23" s="101">
        <f t="shared" si="3"/>
        <v>2.9810446676991818E-2</v>
      </c>
      <c r="Q23" s="266">
        <v>4143</v>
      </c>
      <c r="R23" s="101">
        <f t="shared" si="4"/>
        <v>9.0288977030030942E-2</v>
      </c>
      <c r="S23" s="106">
        <f t="shared" si="16"/>
        <v>10668</v>
      </c>
      <c r="T23" s="101">
        <f t="shared" si="17"/>
        <v>4.8738367072819727E-2</v>
      </c>
      <c r="U23" s="266">
        <v>21957</v>
      </c>
      <c r="V23" s="101">
        <f t="shared" si="5"/>
        <v>0.10031386631213936</v>
      </c>
      <c r="W23" s="266">
        <v>481</v>
      </c>
      <c r="X23" s="101">
        <f t="shared" si="6"/>
        <v>2.1975210500587072E-3</v>
      </c>
      <c r="Y23" s="266">
        <v>23596</v>
      </c>
      <c r="Z23" s="101">
        <f t="shared" si="7"/>
        <v>0.10780188502533317</v>
      </c>
      <c r="AA23" s="266">
        <v>21095</v>
      </c>
      <c r="AB23" s="101">
        <f t="shared" si="8"/>
        <v>0.45972627816763284</v>
      </c>
      <c r="AC23" s="106">
        <f t="shared" si="18"/>
        <v>44691</v>
      </c>
      <c r="AD23" s="101">
        <f t="shared" si="9"/>
        <v>0.20417757432052741</v>
      </c>
      <c r="AE23" s="266">
        <v>15943</v>
      </c>
      <c r="AF23" s="101">
        <f t="shared" si="10"/>
        <v>7.2838000210157933E-2</v>
      </c>
      <c r="AG23" s="266">
        <v>21313</v>
      </c>
      <c r="AH23" s="101">
        <f t="shared" si="11"/>
        <v>9.7371655176509822E-2</v>
      </c>
      <c r="AI23" s="266">
        <v>17338</v>
      </c>
      <c r="AJ23" s="101">
        <f t="shared" si="12"/>
        <v>7.9211268120411363E-2</v>
      </c>
      <c r="AK23" s="266">
        <v>13826</v>
      </c>
      <c r="AL23" s="101">
        <f t="shared" si="13"/>
        <v>6.3166166399400592E-2</v>
      </c>
    </row>
    <row r="24" spans="2:38" ht="12">
      <c r="B24" s="422"/>
      <c r="C24" s="422"/>
      <c r="D24" s="86">
        <v>45887</v>
      </c>
      <c r="E24" s="86" t="s">
        <v>119</v>
      </c>
      <c r="F24" s="88">
        <f t="shared" si="14"/>
        <v>214809</v>
      </c>
      <c r="G24" s="419"/>
      <c r="H24" s="419"/>
      <c r="I24" s="266">
        <v>29864</v>
      </c>
      <c r="J24" s="101">
        <f t="shared" si="0"/>
        <v>0.13902583225097645</v>
      </c>
      <c r="K24" s="266">
        <v>45412</v>
      </c>
      <c r="L24" s="101">
        <f t="shared" si="1"/>
        <v>0.21140641220805459</v>
      </c>
      <c r="M24" s="106">
        <f t="shared" si="15"/>
        <v>75276</v>
      </c>
      <c r="N24" s="101">
        <f t="shared" si="2"/>
        <v>0.35043224445903104</v>
      </c>
      <c r="O24" s="266">
        <v>6222</v>
      </c>
      <c r="P24" s="101">
        <f t="shared" si="3"/>
        <v>2.8965266818429397E-2</v>
      </c>
      <c r="Q24" s="266">
        <v>4233</v>
      </c>
      <c r="R24" s="101">
        <f t="shared" si="4"/>
        <v>9.2248349205657373E-2</v>
      </c>
      <c r="S24" s="106">
        <f t="shared" si="16"/>
        <v>10455</v>
      </c>
      <c r="T24" s="101">
        <f t="shared" si="17"/>
        <v>4.8671145063754313E-2</v>
      </c>
      <c r="U24" s="266">
        <v>21370</v>
      </c>
      <c r="V24" s="101">
        <f t="shared" si="5"/>
        <v>9.948372740434526E-2</v>
      </c>
      <c r="W24" s="266">
        <v>490</v>
      </c>
      <c r="X24" s="101">
        <f t="shared" si="6"/>
        <v>2.2810962296738032E-3</v>
      </c>
      <c r="Y24" s="266">
        <v>23001</v>
      </c>
      <c r="Z24" s="101">
        <f t="shared" si="7"/>
        <v>0.10707651914025948</v>
      </c>
      <c r="AA24" s="266">
        <v>20547</v>
      </c>
      <c r="AB24" s="101">
        <f t="shared" si="8"/>
        <v>0.44777387931222351</v>
      </c>
      <c r="AC24" s="106">
        <f t="shared" si="18"/>
        <v>43548</v>
      </c>
      <c r="AD24" s="101">
        <f t="shared" si="9"/>
        <v>0.20272893593843833</v>
      </c>
      <c r="AE24" s="266">
        <v>15782</v>
      </c>
      <c r="AF24" s="101">
        <f t="shared" si="10"/>
        <v>7.3469919789208082E-2</v>
      </c>
      <c r="AG24" s="266">
        <v>16580</v>
      </c>
      <c r="AH24" s="101">
        <f t="shared" si="11"/>
        <v>7.7184847934676851E-2</v>
      </c>
      <c r="AI24" s="266">
        <v>17705</v>
      </c>
      <c r="AJ24" s="101">
        <f t="shared" si="12"/>
        <v>8.2422058666070788E-2</v>
      </c>
      <c r="AK24" s="266">
        <v>13603</v>
      </c>
      <c r="AL24" s="101">
        <f t="shared" si="13"/>
        <v>6.3326024514801516E-2</v>
      </c>
    </row>
    <row r="25" spans="2:38" ht="12">
      <c r="B25" s="421">
        <f>D33</f>
        <v>45896</v>
      </c>
      <c r="C25" s="422"/>
      <c r="D25" s="86">
        <v>45888</v>
      </c>
      <c r="E25" s="86" t="s">
        <v>120</v>
      </c>
      <c r="F25" s="88">
        <f t="shared" si="14"/>
        <v>237868</v>
      </c>
      <c r="G25" s="419">
        <f t="shared" ref="G25" si="21">SUM(F25:F31)</f>
        <v>1526628</v>
      </c>
      <c r="H25" s="419"/>
      <c r="I25" s="266">
        <v>33069</v>
      </c>
      <c r="J25" s="101">
        <f t="shared" si="0"/>
        <v>0.13902248305783038</v>
      </c>
      <c r="K25" s="266">
        <v>45244</v>
      </c>
      <c r="L25" s="101">
        <f t="shared" si="1"/>
        <v>0.1902063329241428</v>
      </c>
      <c r="M25" s="106">
        <f t="shared" si="15"/>
        <v>78313</v>
      </c>
      <c r="N25" s="101">
        <f t="shared" si="2"/>
        <v>0.32922881598197318</v>
      </c>
      <c r="O25" s="266">
        <v>9326</v>
      </c>
      <c r="P25" s="101">
        <f t="shared" si="3"/>
        <v>3.9206618796979835E-2</v>
      </c>
      <c r="Q25" s="266">
        <v>4335</v>
      </c>
      <c r="R25" s="101">
        <f t="shared" si="4"/>
        <v>9.4469142259414232E-2</v>
      </c>
      <c r="S25" s="106">
        <f t="shared" si="16"/>
        <v>13661</v>
      </c>
      <c r="T25" s="101">
        <f t="shared" si="17"/>
        <v>5.74310121580036E-2</v>
      </c>
      <c r="U25" s="266">
        <v>21093</v>
      </c>
      <c r="V25" s="101">
        <f t="shared" si="5"/>
        <v>8.8675231641078239E-2</v>
      </c>
      <c r="W25" s="266">
        <v>500</v>
      </c>
      <c r="X25" s="101">
        <f t="shared" si="6"/>
        <v>2.102006154674021E-3</v>
      </c>
      <c r="Y25" s="266">
        <v>23898</v>
      </c>
      <c r="Z25" s="101">
        <f t="shared" si="7"/>
        <v>0.1004674861687995</v>
      </c>
      <c r="AA25" s="266">
        <v>20781</v>
      </c>
      <c r="AB25" s="101">
        <f t="shared" si="8"/>
        <v>0.45286349372384938</v>
      </c>
      <c r="AC25" s="106">
        <f t="shared" si="18"/>
        <v>44679</v>
      </c>
      <c r="AD25" s="101">
        <f t="shared" si="9"/>
        <v>0.18783106596936117</v>
      </c>
      <c r="AE25" s="266">
        <v>15477</v>
      </c>
      <c r="AF25" s="101">
        <f t="shared" si="10"/>
        <v>6.5065498511779646E-2</v>
      </c>
      <c r="AG25" s="266">
        <v>24866</v>
      </c>
      <c r="AH25" s="101">
        <f t="shared" si="11"/>
        <v>0.10453697008424841</v>
      </c>
      <c r="AI25" s="266">
        <v>16634</v>
      </c>
      <c r="AJ25" s="101">
        <f t="shared" si="12"/>
        <v>6.9929540753695327E-2</v>
      </c>
      <c r="AK25" s="266">
        <v>22645</v>
      </c>
      <c r="AL25" s="101">
        <f t="shared" si="13"/>
        <v>9.5199858745186411E-2</v>
      </c>
    </row>
    <row r="26" spans="2:38" ht="12">
      <c r="B26" s="422"/>
      <c r="C26" s="422"/>
      <c r="D26" s="86">
        <v>45889</v>
      </c>
      <c r="E26" s="86" t="s">
        <v>114</v>
      </c>
      <c r="F26" s="88">
        <f t="shared" si="14"/>
        <v>229442</v>
      </c>
      <c r="G26" s="419"/>
      <c r="H26" s="419"/>
      <c r="I26" s="266">
        <v>32220</v>
      </c>
      <c r="J26" s="101">
        <f t="shared" si="0"/>
        <v>0.14042764620252612</v>
      </c>
      <c r="K26" s="266">
        <v>45155</v>
      </c>
      <c r="L26" s="101">
        <f t="shared" si="1"/>
        <v>0.19680354948091458</v>
      </c>
      <c r="M26" s="106">
        <f t="shared" si="15"/>
        <v>77375</v>
      </c>
      <c r="N26" s="101">
        <f t="shared" si="2"/>
        <v>0.33723119568344068</v>
      </c>
      <c r="O26" s="266">
        <v>8196</v>
      </c>
      <c r="P26" s="101">
        <f t="shared" si="3"/>
        <v>3.5721445942765495E-2</v>
      </c>
      <c r="Q26" s="266">
        <v>4237</v>
      </c>
      <c r="R26" s="101">
        <f t="shared" si="4"/>
        <v>9.2331495565386043E-2</v>
      </c>
      <c r="S26" s="106">
        <f t="shared" si="16"/>
        <v>12433</v>
      </c>
      <c r="T26" s="101">
        <f t="shared" si="17"/>
        <v>5.4187986506393775E-2</v>
      </c>
      <c r="U26" s="266">
        <v>21014</v>
      </c>
      <c r="V26" s="101">
        <f t="shared" si="5"/>
        <v>9.1587416427681076E-2</v>
      </c>
      <c r="W26" s="266">
        <v>487</v>
      </c>
      <c r="X26" s="101">
        <f t="shared" si="6"/>
        <v>2.1225407728314781E-3</v>
      </c>
      <c r="Y26" s="266">
        <v>23915</v>
      </c>
      <c r="Z26" s="101">
        <f t="shared" si="7"/>
        <v>0.10423113466584148</v>
      </c>
      <c r="AA26" s="266">
        <v>20603</v>
      </c>
      <c r="AB26" s="101">
        <f t="shared" si="8"/>
        <v>0.44897469981912874</v>
      </c>
      <c r="AC26" s="106">
        <f t="shared" si="18"/>
        <v>44518</v>
      </c>
      <c r="AD26" s="101">
        <f t="shared" si="9"/>
        <v>0.19402724871645122</v>
      </c>
      <c r="AE26" s="266">
        <v>15065</v>
      </c>
      <c r="AF26" s="101">
        <f t="shared" si="10"/>
        <v>6.5659295159561024E-2</v>
      </c>
      <c r="AG26" s="266">
        <v>21348</v>
      </c>
      <c r="AH26" s="101">
        <f t="shared" si="11"/>
        <v>9.3043122009048032E-2</v>
      </c>
      <c r="AI26" s="266">
        <v>18480</v>
      </c>
      <c r="AJ26" s="101">
        <f t="shared" si="12"/>
        <v>8.0543230969046642E-2</v>
      </c>
      <c r="AK26" s="266">
        <v>18722</v>
      </c>
      <c r="AL26" s="101">
        <f t="shared" si="13"/>
        <v>8.1597963755546066E-2</v>
      </c>
    </row>
    <row r="27" spans="2:38" ht="12">
      <c r="B27" s="422"/>
      <c r="C27" s="422"/>
      <c r="D27" s="86">
        <v>45890</v>
      </c>
      <c r="E27" s="86" t="s">
        <v>115</v>
      </c>
      <c r="F27" s="88">
        <f t="shared" si="14"/>
        <v>218054</v>
      </c>
      <c r="G27" s="419"/>
      <c r="H27" s="419"/>
      <c r="I27" s="266">
        <v>30841</v>
      </c>
      <c r="J27" s="101">
        <f t="shared" si="0"/>
        <v>0.14143744210149781</v>
      </c>
      <c r="K27" s="266">
        <v>42362</v>
      </c>
      <c r="L27" s="101">
        <f t="shared" si="1"/>
        <v>0.19427297825309328</v>
      </c>
      <c r="M27" s="106">
        <f t="shared" si="15"/>
        <v>73203</v>
      </c>
      <c r="N27" s="101">
        <f t="shared" si="2"/>
        <v>0.33571042035459109</v>
      </c>
      <c r="O27" s="266">
        <v>7728</v>
      </c>
      <c r="P27" s="101">
        <f t="shared" si="3"/>
        <v>3.5440762379960924E-2</v>
      </c>
      <c r="Q27" s="266">
        <v>4256</v>
      </c>
      <c r="R27" s="101">
        <f t="shared" si="4"/>
        <v>9.2743517106123344E-2</v>
      </c>
      <c r="S27" s="106">
        <f t="shared" si="16"/>
        <v>11984</v>
      </c>
      <c r="T27" s="101">
        <f t="shared" si="17"/>
        <v>5.4958863400808973E-2</v>
      </c>
      <c r="U27" s="266">
        <v>19752</v>
      </c>
      <c r="V27" s="101">
        <f t="shared" si="5"/>
        <v>9.0583066579838029E-2</v>
      </c>
      <c r="W27" s="266">
        <v>448</v>
      </c>
      <c r="X27" s="101">
        <f t="shared" si="6"/>
        <v>2.0545369495629522E-3</v>
      </c>
      <c r="Y27" s="266">
        <v>22755</v>
      </c>
      <c r="Z27" s="101">
        <f t="shared" si="7"/>
        <v>0.10435488456987718</v>
      </c>
      <c r="AA27" s="266">
        <v>19291</v>
      </c>
      <c r="AB27" s="101">
        <f t="shared" si="8"/>
        <v>0.42037480932665067</v>
      </c>
      <c r="AC27" s="106">
        <f t="shared" si="18"/>
        <v>42046</v>
      </c>
      <c r="AD27" s="101">
        <f t="shared" si="9"/>
        <v>0.19282379594045512</v>
      </c>
      <c r="AE27" s="266">
        <v>14624</v>
      </c>
      <c r="AF27" s="101">
        <f t="shared" si="10"/>
        <v>6.7065956139304939E-2</v>
      </c>
      <c r="AG27" s="266">
        <v>20445</v>
      </c>
      <c r="AH27" s="101">
        <f t="shared" si="11"/>
        <v>9.376117842369322E-2</v>
      </c>
      <c r="AI27" s="266">
        <v>17703</v>
      </c>
      <c r="AJ27" s="101">
        <f t="shared" si="12"/>
        <v>8.1186311647573534E-2</v>
      </c>
      <c r="AK27" s="266">
        <v>17849</v>
      </c>
      <c r="AL27" s="101">
        <f t="shared" si="13"/>
        <v>8.1855870564172178E-2</v>
      </c>
    </row>
    <row r="28" spans="2:38" ht="12">
      <c r="B28" s="422"/>
      <c r="C28" s="422"/>
      <c r="D28" s="86">
        <v>45891</v>
      </c>
      <c r="E28" s="86" t="s">
        <v>116</v>
      </c>
      <c r="F28" s="88">
        <f t="shared" si="14"/>
        <v>195390</v>
      </c>
      <c r="G28" s="419"/>
      <c r="H28" s="419"/>
      <c r="I28" s="266">
        <v>27396</v>
      </c>
      <c r="J28" s="101">
        <f t="shared" si="0"/>
        <v>0.14021188392445877</v>
      </c>
      <c r="K28" s="266">
        <v>39705</v>
      </c>
      <c r="L28" s="101">
        <f t="shared" si="1"/>
        <v>0.20320896668202057</v>
      </c>
      <c r="M28" s="106">
        <f t="shared" si="15"/>
        <v>67101</v>
      </c>
      <c r="N28" s="101">
        <f t="shared" si="2"/>
        <v>0.34342085060647937</v>
      </c>
      <c r="O28" s="266">
        <v>7065</v>
      </c>
      <c r="P28" s="101">
        <f t="shared" si="3"/>
        <v>3.6158452326116995E-2</v>
      </c>
      <c r="Q28" s="266">
        <v>3680</v>
      </c>
      <c r="R28" s="101">
        <f t="shared" si="4"/>
        <v>8.0190015471443207E-2</v>
      </c>
      <c r="S28" s="106">
        <f t="shared" si="16"/>
        <v>10745</v>
      </c>
      <c r="T28" s="101">
        <f t="shared" si="17"/>
        <v>5.4992578944674755E-2</v>
      </c>
      <c r="U28" s="266">
        <v>17065</v>
      </c>
      <c r="V28" s="101">
        <f t="shared" si="5"/>
        <v>8.7338144224371764E-2</v>
      </c>
      <c r="W28" s="266">
        <v>423</v>
      </c>
      <c r="X28" s="101">
        <f t="shared" si="6"/>
        <v>2.1649009672961767E-3</v>
      </c>
      <c r="Y28" s="266">
        <v>21641</v>
      </c>
      <c r="Z28" s="101">
        <f t="shared" si="7"/>
        <v>0.11075797123701316</v>
      </c>
      <c r="AA28" s="266">
        <v>19340</v>
      </c>
      <c r="AB28" s="101">
        <f t="shared" si="8"/>
        <v>0.42143339652655204</v>
      </c>
      <c r="AC28" s="106">
        <f t="shared" si="18"/>
        <v>40981</v>
      </c>
      <c r="AD28" s="101">
        <f t="shared" si="9"/>
        <v>0.20973949536823788</v>
      </c>
      <c r="AE28" s="266">
        <v>12098</v>
      </c>
      <c r="AF28" s="101">
        <f t="shared" si="10"/>
        <v>6.1917191258508621E-2</v>
      </c>
      <c r="AG28" s="266">
        <v>16376</v>
      </c>
      <c r="AH28" s="101">
        <f t="shared" si="11"/>
        <v>8.3811863452582014E-2</v>
      </c>
      <c r="AI28" s="266">
        <v>15117</v>
      </c>
      <c r="AJ28" s="101">
        <f t="shared" si="12"/>
        <v>7.7368340242591746E-2</v>
      </c>
      <c r="AK28" s="266">
        <v>15484</v>
      </c>
      <c r="AL28" s="101">
        <f t="shared" si="13"/>
        <v>7.9246634935257687E-2</v>
      </c>
    </row>
    <row r="29" spans="2:38" ht="12">
      <c r="B29" s="422"/>
      <c r="C29" s="422"/>
      <c r="D29" s="86">
        <v>45892</v>
      </c>
      <c r="E29" s="86" t="s">
        <v>117</v>
      </c>
      <c r="F29" s="88">
        <f t="shared" si="14"/>
        <v>198181</v>
      </c>
      <c r="G29" s="419"/>
      <c r="H29" s="419"/>
      <c r="I29" s="266">
        <v>26435</v>
      </c>
      <c r="J29" s="101">
        <f t="shared" si="0"/>
        <v>0.13338816536398546</v>
      </c>
      <c r="K29" s="266">
        <v>41426</v>
      </c>
      <c r="L29" s="101">
        <f t="shared" si="1"/>
        <v>0.20903113820194671</v>
      </c>
      <c r="M29" s="106">
        <f t="shared" si="15"/>
        <v>67861</v>
      </c>
      <c r="N29" s="101">
        <f t="shared" si="2"/>
        <v>0.34241930356593214</v>
      </c>
      <c r="O29" s="266">
        <v>6850</v>
      </c>
      <c r="P29" s="101">
        <f t="shared" si="3"/>
        <v>3.4564362880397215E-2</v>
      </c>
      <c r="Q29" s="266">
        <v>3721</v>
      </c>
      <c r="R29" s="101">
        <f t="shared" si="4"/>
        <v>8.1081670007844511E-2</v>
      </c>
      <c r="S29" s="106">
        <f t="shared" si="16"/>
        <v>10571</v>
      </c>
      <c r="T29" s="101">
        <f t="shared" si="17"/>
        <v>5.3340128468420282E-2</v>
      </c>
      <c r="U29" s="266">
        <v>17062</v>
      </c>
      <c r="V29" s="101">
        <f t="shared" si="5"/>
        <v>8.6093015980341206E-2</v>
      </c>
      <c r="W29" s="266">
        <v>442</v>
      </c>
      <c r="X29" s="101">
        <f t="shared" si="6"/>
        <v>2.2302844369540974E-3</v>
      </c>
      <c r="Y29" s="266">
        <v>21814</v>
      </c>
      <c r="Z29" s="101">
        <f t="shared" si="7"/>
        <v>0.1100710966237934</v>
      </c>
      <c r="AA29" s="266">
        <v>20850</v>
      </c>
      <c r="AB29" s="101">
        <f t="shared" si="8"/>
        <v>0.45432755164298788</v>
      </c>
      <c r="AC29" s="106">
        <f t="shared" si="18"/>
        <v>42664</v>
      </c>
      <c r="AD29" s="101">
        <f t="shared" si="9"/>
        <v>0.2152779529823747</v>
      </c>
      <c r="AE29" s="266">
        <v>12312</v>
      </c>
      <c r="AF29" s="101">
        <f t="shared" si="10"/>
        <v>6.2125027121671603E-2</v>
      </c>
      <c r="AG29" s="266">
        <v>16805</v>
      </c>
      <c r="AH29" s="101">
        <f t="shared" si="11"/>
        <v>8.4796221635777394E-2</v>
      </c>
      <c r="AI29" s="266">
        <v>14710</v>
      </c>
      <c r="AJ29" s="101">
        <f t="shared" si="12"/>
        <v>7.4225077076006271E-2</v>
      </c>
      <c r="AK29" s="266">
        <v>15754</v>
      </c>
      <c r="AL29" s="101">
        <f t="shared" si="13"/>
        <v>7.9492988732522293E-2</v>
      </c>
    </row>
    <row r="30" spans="2:38" ht="12">
      <c r="B30" s="422"/>
      <c r="C30" s="422"/>
      <c r="D30" s="86">
        <v>45893</v>
      </c>
      <c r="E30" s="86" t="s">
        <v>118</v>
      </c>
      <c r="F30" s="88">
        <f t="shared" si="14"/>
        <v>227099</v>
      </c>
      <c r="G30" s="419"/>
      <c r="H30" s="419"/>
      <c r="I30" s="266">
        <v>32268</v>
      </c>
      <c r="J30" s="101">
        <f t="shared" si="0"/>
        <v>0.14208781192343428</v>
      </c>
      <c r="K30" s="266">
        <v>44789</v>
      </c>
      <c r="L30" s="101">
        <f t="shared" si="1"/>
        <v>0.19722235676951461</v>
      </c>
      <c r="M30" s="106">
        <f t="shared" si="15"/>
        <v>77057</v>
      </c>
      <c r="N30" s="101">
        <f t="shared" si="2"/>
        <v>0.33931016869294889</v>
      </c>
      <c r="O30" s="266">
        <v>8839</v>
      </c>
      <c r="P30" s="101">
        <f t="shared" si="3"/>
        <v>3.8921351481072133E-2</v>
      </c>
      <c r="Q30" s="266">
        <v>4118</v>
      </c>
      <c r="R30" s="101">
        <f t="shared" si="4"/>
        <v>8.9730459983003941E-2</v>
      </c>
      <c r="S30" s="106">
        <f t="shared" si="16"/>
        <v>12957</v>
      </c>
      <c r="T30" s="101">
        <f t="shared" si="17"/>
        <v>5.7054412392833084E-2</v>
      </c>
      <c r="U30" s="266">
        <v>20712</v>
      </c>
      <c r="V30" s="101">
        <f t="shared" si="5"/>
        <v>9.120251520262089E-2</v>
      </c>
      <c r="W30" s="266">
        <v>470</v>
      </c>
      <c r="X30" s="101">
        <f t="shared" si="6"/>
        <v>2.0695819884719879E-3</v>
      </c>
      <c r="Y30" s="266">
        <v>24570</v>
      </c>
      <c r="Z30" s="101">
        <f t="shared" si="7"/>
        <v>0.10819070097182286</v>
      </c>
      <c r="AA30" s="266">
        <v>21076</v>
      </c>
      <c r="AB30" s="101">
        <f t="shared" si="8"/>
        <v>0.45924215021898762</v>
      </c>
      <c r="AC30" s="106">
        <f t="shared" si="18"/>
        <v>45646</v>
      </c>
      <c r="AD30" s="101">
        <f t="shared" si="9"/>
        <v>0.2009960413740263</v>
      </c>
      <c r="AE30" s="266">
        <v>15094</v>
      </c>
      <c r="AF30" s="101">
        <f t="shared" si="10"/>
        <v>6.6464405391481254E-2</v>
      </c>
      <c r="AG30" s="266">
        <v>19751</v>
      </c>
      <c r="AH30" s="101">
        <f t="shared" si="11"/>
        <v>8.6970880541085607E-2</v>
      </c>
      <c r="AI30" s="266">
        <v>17676</v>
      </c>
      <c r="AJ30" s="101">
        <f t="shared" si="12"/>
        <v>7.7833896230278421E-2</v>
      </c>
      <c r="AK30" s="266">
        <v>17736</v>
      </c>
      <c r="AL30" s="101">
        <f t="shared" si="13"/>
        <v>7.8098098186253573E-2</v>
      </c>
    </row>
    <row r="31" spans="2:38" ht="12">
      <c r="B31" s="422"/>
      <c r="C31" s="422"/>
      <c r="D31" s="86">
        <v>45894</v>
      </c>
      <c r="E31" s="86" t="s">
        <v>119</v>
      </c>
      <c r="F31" s="88">
        <f t="shared" si="14"/>
        <v>220594</v>
      </c>
      <c r="G31" s="419"/>
      <c r="H31" s="419"/>
      <c r="I31" s="266">
        <v>31302</v>
      </c>
      <c r="J31" s="101">
        <f t="shared" si="0"/>
        <v>0.14189869171418987</v>
      </c>
      <c r="K31" s="266">
        <v>43722</v>
      </c>
      <c r="L31" s="101">
        <f t="shared" si="1"/>
        <v>0.19820122034144175</v>
      </c>
      <c r="M31" s="106">
        <f t="shared" si="15"/>
        <v>75024</v>
      </c>
      <c r="N31" s="101">
        <f t="shared" si="2"/>
        <v>0.34009991205563161</v>
      </c>
      <c r="O31" s="266">
        <v>7492</v>
      </c>
      <c r="P31" s="101">
        <f t="shared" si="3"/>
        <v>3.3962845770963854E-2</v>
      </c>
      <c r="Q31" s="266">
        <v>4109</v>
      </c>
      <c r="R31" s="101">
        <f t="shared" si="4"/>
        <v>8.953240074955332E-2</v>
      </c>
      <c r="S31" s="106">
        <f t="shared" si="16"/>
        <v>11601</v>
      </c>
      <c r="T31" s="101">
        <f t="shared" si="17"/>
        <v>5.258982565255628E-2</v>
      </c>
      <c r="U31" s="266">
        <v>20564</v>
      </c>
      <c r="V31" s="101">
        <f t="shared" si="5"/>
        <v>9.3221030490403187E-2</v>
      </c>
      <c r="W31" s="266">
        <v>438</v>
      </c>
      <c r="X31" s="101">
        <f t="shared" si="6"/>
        <v>1.9855481110093655E-3</v>
      </c>
      <c r="Y31" s="266">
        <v>24279</v>
      </c>
      <c r="Z31" s="101">
        <f t="shared" si="7"/>
        <v>0.11006192371506025</v>
      </c>
      <c r="AA31" s="266">
        <v>21132</v>
      </c>
      <c r="AB31" s="101">
        <f t="shared" si="8"/>
        <v>0.46045234671198848</v>
      </c>
      <c r="AC31" s="106">
        <f t="shared" si="18"/>
        <v>45411</v>
      </c>
      <c r="AD31" s="101">
        <f t="shared" si="9"/>
        <v>0.20585782024896415</v>
      </c>
      <c r="AE31" s="266">
        <v>14625</v>
      </c>
      <c r="AF31" s="101">
        <f t="shared" si="10"/>
        <v>6.6298267405278472E-2</v>
      </c>
      <c r="AG31" s="266">
        <v>18404</v>
      </c>
      <c r="AH31" s="101">
        <f t="shared" si="11"/>
        <v>8.3429286381315901E-2</v>
      </c>
      <c r="AI31" s="266">
        <v>17615</v>
      </c>
      <c r="AJ31" s="101">
        <f t="shared" si="12"/>
        <v>7.9852579852579847E-2</v>
      </c>
      <c r="AK31" s="266">
        <v>16912</v>
      </c>
      <c r="AL31" s="101">
        <f t="shared" si="13"/>
        <v>7.6665729802261162E-2</v>
      </c>
    </row>
    <row r="32" spans="2:38" ht="12">
      <c r="B32" s="421">
        <f>D40</f>
        <v>45903</v>
      </c>
      <c r="C32" s="422"/>
      <c r="D32" s="86">
        <v>45895</v>
      </c>
      <c r="E32" s="86" t="s">
        <v>120</v>
      </c>
      <c r="F32" s="88">
        <f t="shared" si="14"/>
        <v>215808</v>
      </c>
      <c r="G32" s="419">
        <f t="shared" ref="G32" si="22">SUM(F32:F38)</f>
        <v>1456107</v>
      </c>
      <c r="H32" s="419"/>
      <c r="I32" s="266">
        <v>31023</v>
      </c>
      <c r="J32" s="101">
        <f t="shared" si="0"/>
        <v>0.14375278024911031</v>
      </c>
      <c r="K32" s="266">
        <v>42788</v>
      </c>
      <c r="L32" s="101">
        <f t="shared" si="1"/>
        <v>0.1982688315539739</v>
      </c>
      <c r="M32" s="106">
        <f t="shared" si="15"/>
        <v>73811</v>
      </c>
      <c r="N32" s="101">
        <f t="shared" si="2"/>
        <v>0.34202161180308421</v>
      </c>
      <c r="O32" s="266">
        <v>7316</v>
      </c>
      <c r="P32" s="101">
        <f t="shared" si="3"/>
        <v>3.3900504151838672E-2</v>
      </c>
      <c r="Q32" s="266">
        <v>3926</v>
      </c>
      <c r="R32" s="101">
        <f t="shared" si="4"/>
        <v>8.554308748229654E-2</v>
      </c>
      <c r="S32" s="106">
        <f t="shared" si="16"/>
        <v>11242</v>
      </c>
      <c r="T32" s="101">
        <f t="shared" si="17"/>
        <v>5.2092600830367736E-2</v>
      </c>
      <c r="U32" s="266">
        <v>19575</v>
      </c>
      <c r="V32" s="101">
        <f t="shared" si="5"/>
        <v>9.0705627224199295E-2</v>
      </c>
      <c r="W32" s="266">
        <v>439</v>
      </c>
      <c r="X32" s="101">
        <f t="shared" si="6"/>
        <v>2.0342155990510083E-3</v>
      </c>
      <c r="Y32" s="266">
        <v>23857</v>
      </c>
      <c r="Z32" s="101">
        <f t="shared" si="7"/>
        <v>0.11054733837485171</v>
      </c>
      <c r="AA32" s="266">
        <v>20246</v>
      </c>
      <c r="AB32" s="101">
        <f t="shared" si="8"/>
        <v>0.44113737879943349</v>
      </c>
      <c r="AC32" s="106">
        <f t="shared" si="18"/>
        <v>44103</v>
      </c>
      <c r="AD32" s="101">
        <f t="shared" si="9"/>
        <v>0.20436221085409254</v>
      </c>
      <c r="AE32" s="266">
        <v>13683</v>
      </c>
      <c r="AF32" s="101">
        <f t="shared" si="10"/>
        <v>6.3403580960854092E-2</v>
      </c>
      <c r="AG32" s="266">
        <v>19475</v>
      </c>
      <c r="AH32" s="101">
        <f t="shared" si="11"/>
        <v>9.0242252372479237E-2</v>
      </c>
      <c r="AI32" s="266">
        <v>17320</v>
      </c>
      <c r="AJ32" s="101">
        <f t="shared" si="12"/>
        <v>8.025652431791222E-2</v>
      </c>
      <c r="AK32" s="266">
        <v>16160</v>
      </c>
      <c r="AL32" s="101">
        <f t="shared" si="13"/>
        <v>7.4881376037959663E-2</v>
      </c>
    </row>
    <row r="33" spans="2:38" ht="12">
      <c r="B33" s="422"/>
      <c r="C33" s="422"/>
      <c r="D33" s="86">
        <v>45896</v>
      </c>
      <c r="E33" s="86" t="s">
        <v>114</v>
      </c>
      <c r="F33" s="88">
        <f t="shared" si="14"/>
        <v>211789</v>
      </c>
      <c r="G33" s="419"/>
      <c r="H33" s="419"/>
      <c r="I33" s="266">
        <v>30486</v>
      </c>
      <c r="J33" s="101">
        <f t="shared" si="0"/>
        <v>0.14394515295884111</v>
      </c>
      <c r="K33" s="266">
        <v>42192</v>
      </c>
      <c r="L33" s="101">
        <f t="shared" si="1"/>
        <v>0.1992171453663788</v>
      </c>
      <c r="M33" s="106">
        <f t="shared" si="15"/>
        <v>72678</v>
      </c>
      <c r="N33" s="101">
        <f t="shared" si="2"/>
        <v>0.34316229832521994</v>
      </c>
      <c r="O33" s="266">
        <v>7281</v>
      </c>
      <c r="P33" s="101">
        <f t="shared" si="3"/>
        <v>3.4378556015657091E-2</v>
      </c>
      <c r="Q33" s="266">
        <v>3825</v>
      </c>
      <c r="R33" s="101">
        <f t="shared" si="4"/>
        <v>8.3340596130381736E-2</v>
      </c>
      <c r="S33" s="106">
        <f t="shared" si="16"/>
        <v>11106</v>
      </c>
      <c r="T33" s="101">
        <f t="shared" si="17"/>
        <v>5.2438984083214901E-2</v>
      </c>
      <c r="U33" s="266">
        <v>19025</v>
      </c>
      <c r="V33" s="101">
        <f t="shared" si="5"/>
        <v>8.9829972283735224E-2</v>
      </c>
      <c r="W33" s="266">
        <v>414</v>
      </c>
      <c r="X33" s="101">
        <f t="shared" si="6"/>
        <v>1.954775743782727E-3</v>
      </c>
      <c r="Y33" s="266">
        <v>23332</v>
      </c>
      <c r="Z33" s="101">
        <f t="shared" si="7"/>
        <v>0.11016625037183234</v>
      </c>
      <c r="AA33" s="266">
        <v>19033</v>
      </c>
      <c r="AB33" s="101">
        <f t="shared" si="8"/>
        <v>0.41469844866655048</v>
      </c>
      <c r="AC33" s="106">
        <f t="shared" si="18"/>
        <v>42365</v>
      </c>
      <c r="AD33" s="101">
        <f t="shared" si="9"/>
        <v>0.20003399609989186</v>
      </c>
      <c r="AE33" s="266">
        <v>13625</v>
      </c>
      <c r="AF33" s="101">
        <f t="shared" si="10"/>
        <v>6.4332897364830097E-2</v>
      </c>
      <c r="AG33" s="266">
        <v>18609</v>
      </c>
      <c r="AH33" s="101">
        <f t="shared" si="11"/>
        <v>8.7865753178871422E-2</v>
      </c>
      <c r="AI33" s="266">
        <v>17609</v>
      </c>
      <c r="AJ33" s="101">
        <f t="shared" si="12"/>
        <v>8.3144072638333441E-2</v>
      </c>
      <c r="AK33" s="266">
        <v>16358</v>
      </c>
      <c r="AL33" s="101">
        <f t="shared" si="13"/>
        <v>7.7237250282120418E-2</v>
      </c>
    </row>
    <row r="34" spans="2:38" ht="12">
      <c r="B34" s="422"/>
      <c r="C34" s="422"/>
      <c r="D34" s="86">
        <v>45897</v>
      </c>
      <c r="E34" s="86" t="s">
        <v>115</v>
      </c>
      <c r="F34" s="88">
        <f t="shared" si="14"/>
        <v>204538</v>
      </c>
      <c r="G34" s="419"/>
      <c r="H34" s="419"/>
      <c r="I34" s="266">
        <v>30126</v>
      </c>
      <c r="J34" s="101">
        <f t="shared" si="0"/>
        <v>0.14728803449725722</v>
      </c>
      <c r="K34" s="266">
        <v>40409</v>
      </c>
      <c r="L34" s="101">
        <f t="shared" si="1"/>
        <v>0.19756231115978448</v>
      </c>
      <c r="M34" s="106">
        <f t="shared" si="15"/>
        <v>70535</v>
      </c>
      <c r="N34" s="101">
        <f t="shared" si="2"/>
        <v>0.3448503456570417</v>
      </c>
      <c r="O34" s="266">
        <v>7062</v>
      </c>
      <c r="P34" s="101">
        <f t="shared" si="3"/>
        <v>3.452659163578406E-2</v>
      </c>
      <c r="Q34" s="266">
        <v>3865</v>
      </c>
      <c r="R34" s="101">
        <f t="shared" si="4"/>
        <v>8.4210296969300824E-2</v>
      </c>
      <c r="S34" s="106">
        <f t="shared" si="16"/>
        <v>10927</v>
      </c>
      <c r="T34" s="101">
        <f t="shared" si="17"/>
        <v>5.3422835854462253E-2</v>
      </c>
      <c r="U34" s="266">
        <v>18405</v>
      </c>
      <c r="V34" s="101">
        <f t="shared" si="5"/>
        <v>8.9983279390626683E-2</v>
      </c>
      <c r="W34" s="266">
        <v>418</v>
      </c>
      <c r="X34" s="101">
        <f t="shared" si="6"/>
        <v>2.0436300345168133E-3</v>
      </c>
      <c r="Y34" s="266">
        <v>22739</v>
      </c>
      <c r="Z34" s="101">
        <f t="shared" si="7"/>
        <v>0.111172496064301</v>
      </c>
      <c r="AA34" s="266">
        <v>18478</v>
      </c>
      <c r="AB34" s="101">
        <f t="shared" si="8"/>
        <v>0.4025971196374491</v>
      </c>
      <c r="AC34" s="106">
        <f t="shared" si="18"/>
        <v>41217</v>
      </c>
      <c r="AD34" s="101">
        <f t="shared" si="9"/>
        <v>0.20151267735090789</v>
      </c>
      <c r="AE34" s="266">
        <v>13034</v>
      </c>
      <c r="AF34" s="101">
        <f t="shared" si="10"/>
        <v>6.3724100167206088E-2</v>
      </c>
      <c r="AG34" s="266">
        <v>17024</v>
      </c>
      <c r="AH34" s="101">
        <f t="shared" si="11"/>
        <v>8.3231477769412046E-2</v>
      </c>
      <c r="AI34" s="266">
        <v>16695</v>
      </c>
      <c r="AJ34" s="101">
        <f t="shared" si="12"/>
        <v>8.1622974703966983E-2</v>
      </c>
      <c r="AK34" s="266">
        <v>16283</v>
      </c>
      <c r="AL34" s="101">
        <f t="shared" si="13"/>
        <v>7.9608679071859506E-2</v>
      </c>
    </row>
    <row r="35" spans="2:38" ht="12">
      <c r="B35" s="422"/>
      <c r="C35" s="422"/>
      <c r="D35" s="86">
        <v>45898</v>
      </c>
      <c r="E35" s="86" t="s">
        <v>116</v>
      </c>
      <c r="F35" s="88">
        <f t="shared" si="14"/>
        <v>187591</v>
      </c>
      <c r="G35" s="419"/>
      <c r="H35" s="419"/>
      <c r="I35" s="266">
        <v>25996</v>
      </c>
      <c r="J35" s="101">
        <f t="shared" si="0"/>
        <v>0.13857807677340597</v>
      </c>
      <c r="K35" s="266">
        <v>38790</v>
      </c>
      <c r="L35" s="101">
        <f t="shared" si="1"/>
        <v>0.20677964294662324</v>
      </c>
      <c r="M35" s="106">
        <f t="shared" si="15"/>
        <v>64786</v>
      </c>
      <c r="N35" s="101">
        <f t="shared" si="2"/>
        <v>0.34535771972002921</v>
      </c>
      <c r="O35" s="266">
        <v>6093</v>
      </c>
      <c r="P35" s="101">
        <f t="shared" si="3"/>
        <v>3.2480236258669123E-2</v>
      </c>
      <c r="Q35" s="266">
        <v>3511</v>
      </c>
      <c r="R35" s="101">
        <f t="shared" si="4"/>
        <v>7.6495707873981439E-2</v>
      </c>
      <c r="S35" s="106">
        <f t="shared" si="16"/>
        <v>9604</v>
      </c>
      <c r="T35" s="101">
        <f t="shared" si="17"/>
        <v>5.119648597214152E-2</v>
      </c>
      <c r="U35" s="266">
        <v>16655</v>
      </c>
      <c r="V35" s="101">
        <f t="shared" si="5"/>
        <v>8.8783577037277905E-2</v>
      </c>
      <c r="W35" s="266">
        <v>396</v>
      </c>
      <c r="X35" s="101">
        <f t="shared" si="6"/>
        <v>2.1109754732369888E-3</v>
      </c>
      <c r="Y35" s="266">
        <v>21278</v>
      </c>
      <c r="Z35" s="101">
        <f t="shared" si="7"/>
        <v>0.11342761646347639</v>
      </c>
      <c r="AA35" s="266">
        <v>18452</v>
      </c>
      <c r="AB35" s="101">
        <f t="shared" si="8"/>
        <v>0.40202187459148547</v>
      </c>
      <c r="AC35" s="106">
        <f t="shared" si="18"/>
        <v>39730</v>
      </c>
      <c r="AD35" s="101">
        <f t="shared" si="9"/>
        <v>0.21179054432248881</v>
      </c>
      <c r="AE35" s="266">
        <v>11269</v>
      </c>
      <c r="AF35" s="101">
        <f t="shared" si="10"/>
        <v>6.0072178302797041E-2</v>
      </c>
      <c r="AG35" s="266">
        <v>14420</v>
      </c>
      <c r="AH35" s="101">
        <f t="shared" si="11"/>
        <v>7.686935940423581E-2</v>
      </c>
      <c r="AI35" s="266">
        <v>15865</v>
      </c>
      <c r="AJ35" s="101">
        <f t="shared" si="12"/>
        <v>8.4572287583093E-2</v>
      </c>
      <c r="AK35" s="266">
        <v>14866</v>
      </c>
      <c r="AL35" s="101">
        <f t="shared" si="13"/>
        <v>7.9246872184699696E-2</v>
      </c>
    </row>
    <row r="36" spans="2:38" ht="12">
      <c r="B36" s="422"/>
      <c r="C36" s="422"/>
      <c r="D36" s="86">
        <v>45899</v>
      </c>
      <c r="E36" s="86" t="s">
        <v>117</v>
      </c>
      <c r="F36" s="88">
        <f t="shared" si="14"/>
        <v>193659</v>
      </c>
      <c r="G36" s="419"/>
      <c r="H36" s="419"/>
      <c r="I36" s="266">
        <v>25439</v>
      </c>
      <c r="J36" s="101">
        <f t="shared" si="0"/>
        <v>0.13135976122979051</v>
      </c>
      <c r="K36" s="266">
        <v>41873</v>
      </c>
      <c r="L36" s="101">
        <f t="shared" si="1"/>
        <v>0.21622026345277007</v>
      </c>
      <c r="M36" s="106">
        <f t="shared" si="15"/>
        <v>67312</v>
      </c>
      <c r="N36" s="101">
        <f t="shared" si="2"/>
        <v>0.34758002468256061</v>
      </c>
      <c r="O36" s="266">
        <v>6067</v>
      </c>
      <c r="P36" s="101">
        <f t="shared" si="3"/>
        <v>3.1328262564610992E-2</v>
      </c>
      <c r="Q36" s="266">
        <v>3572</v>
      </c>
      <c r="R36" s="101">
        <f t="shared" si="4"/>
        <v>7.7823046253731015E-2</v>
      </c>
      <c r="S36" s="106">
        <f t="shared" si="16"/>
        <v>9639</v>
      </c>
      <c r="T36" s="101">
        <f t="shared" si="17"/>
        <v>4.9773054699239386E-2</v>
      </c>
      <c r="U36" s="266">
        <v>17820</v>
      </c>
      <c r="V36" s="101">
        <f t="shared" si="5"/>
        <v>9.2017412049013994E-2</v>
      </c>
      <c r="W36" s="266">
        <v>435</v>
      </c>
      <c r="X36" s="101">
        <f t="shared" si="6"/>
        <v>2.2462162873917555E-3</v>
      </c>
      <c r="Y36" s="266">
        <v>19048</v>
      </c>
      <c r="Z36" s="101">
        <f t="shared" si="7"/>
        <v>9.8358454809742896E-2</v>
      </c>
      <c r="AA36" s="266">
        <v>21077</v>
      </c>
      <c r="AB36" s="101">
        <f t="shared" si="8"/>
        <v>0.45920390422449292</v>
      </c>
      <c r="AC36" s="106">
        <f t="shared" si="18"/>
        <v>40125</v>
      </c>
      <c r="AD36" s="101">
        <f t="shared" si="9"/>
        <v>0.20719408857837746</v>
      </c>
      <c r="AE36" s="266">
        <v>12358</v>
      </c>
      <c r="AF36" s="101">
        <f t="shared" si="10"/>
        <v>6.3813197424338663E-2</v>
      </c>
      <c r="AG36" s="266">
        <v>14650</v>
      </c>
      <c r="AH36" s="101">
        <f t="shared" si="11"/>
        <v>7.5648433586871774E-2</v>
      </c>
      <c r="AI36" s="266">
        <v>16045</v>
      </c>
      <c r="AJ36" s="101">
        <f t="shared" si="12"/>
        <v>8.2851816853334981E-2</v>
      </c>
      <c r="AK36" s="266">
        <v>15275</v>
      </c>
      <c r="AL36" s="101">
        <f t="shared" si="13"/>
        <v>7.8875755838871422E-2</v>
      </c>
    </row>
    <row r="37" spans="2:38" ht="12">
      <c r="B37" s="422"/>
      <c r="C37" s="422"/>
      <c r="D37" s="86">
        <v>45900</v>
      </c>
      <c r="E37" s="86" t="s">
        <v>118</v>
      </c>
      <c r="F37" s="88">
        <f t="shared" si="14"/>
        <v>220413</v>
      </c>
      <c r="G37" s="419"/>
      <c r="H37" s="419"/>
      <c r="I37" s="266">
        <v>31875</v>
      </c>
      <c r="J37" s="101">
        <f t="shared" si="0"/>
        <v>0.1446148820623103</v>
      </c>
      <c r="K37" s="266">
        <v>44645</v>
      </c>
      <c r="L37" s="101">
        <f t="shared" si="1"/>
        <v>0.20255157363676371</v>
      </c>
      <c r="M37" s="106">
        <f t="shared" si="15"/>
        <v>76520</v>
      </c>
      <c r="N37" s="101">
        <f t="shared" si="2"/>
        <v>0.34716645569907401</v>
      </c>
      <c r="O37" s="266">
        <v>7833</v>
      </c>
      <c r="P37" s="101">
        <f t="shared" si="3"/>
        <v>3.5537831253147502E-2</v>
      </c>
      <c r="Q37" s="266">
        <v>4011</v>
      </c>
      <c r="R37" s="101">
        <f t="shared" si="4"/>
        <v>8.7385620915032686E-2</v>
      </c>
      <c r="S37" s="106">
        <f t="shared" si="16"/>
        <v>11844</v>
      </c>
      <c r="T37" s="101">
        <f t="shared" si="17"/>
        <v>5.3735487471247158E-2</v>
      </c>
      <c r="U37" s="266">
        <v>20430</v>
      </c>
      <c r="V37" s="101">
        <f t="shared" si="5"/>
        <v>9.2689632644172529E-2</v>
      </c>
      <c r="W37" s="266">
        <v>457</v>
      </c>
      <c r="X37" s="101">
        <f t="shared" si="6"/>
        <v>2.0733804267443392E-3</v>
      </c>
      <c r="Y37" s="266">
        <v>22740</v>
      </c>
      <c r="Z37" s="101">
        <f t="shared" si="7"/>
        <v>0.10316995821480585</v>
      </c>
      <c r="AA37" s="266">
        <v>20531</v>
      </c>
      <c r="AB37" s="101">
        <f t="shared" si="8"/>
        <v>0.44729847494553376</v>
      </c>
      <c r="AC37" s="106">
        <f t="shared" si="18"/>
        <v>43271</v>
      </c>
      <c r="AD37" s="101">
        <f t="shared" si="9"/>
        <v>0.1963178215441013</v>
      </c>
      <c r="AE37" s="266">
        <v>14486</v>
      </c>
      <c r="AF37" s="101">
        <f t="shared" si="10"/>
        <v>6.5722076284066733E-2</v>
      </c>
      <c r="AG37" s="266">
        <v>18564</v>
      </c>
      <c r="AH37" s="101">
        <f t="shared" si="11"/>
        <v>8.4223707313089521E-2</v>
      </c>
      <c r="AI37" s="266">
        <v>16890</v>
      </c>
      <c r="AJ37" s="101">
        <f t="shared" si="12"/>
        <v>7.6628873977487716E-2</v>
      </c>
      <c r="AK37" s="266">
        <v>17951</v>
      </c>
      <c r="AL37" s="101">
        <f t="shared" si="13"/>
        <v>8.1442564640016701E-2</v>
      </c>
    </row>
    <row r="38" spans="2:38" ht="12">
      <c r="B38" s="422"/>
      <c r="C38" s="83"/>
      <c r="D38" s="86">
        <v>45901</v>
      </c>
      <c r="E38" s="86" t="s">
        <v>119</v>
      </c>
      <c r="F38" s="88">
        <f t="shared" si="14"/>
        <v>222309</v>
      </c>
      <c r="G38" s="419"/>
      <c r="H38" s="88"/>
      <c r="I38" s="359">
        <v>31188</v>
      </c>
      <c r="J38" s="101">
        <f t="shared" si="0"/>
        <v>0.14029121628004265</v>
      </c>
      <c r="K38" s="359">
        <v>45716</v>
      </c>
      <c r="L38" s="101">
        <f t="shared" si="1"/>
        <v>0.20564169691735376</v>
      </c>
      <c r="M38" s="106">
        <f t="shared" si="15"/>
        <v>76904</v>
      </c>
      <c r="N38" s="101">
        <f t="shared" si="2"/>
        <v>0.34593291319739644</v>
      </c>
      <c r="O38" s="359">
        <v>7283</v>
      </c>
      <c r="P38" s="101">
        <f t="shared" si="3"/>
        <v>3.2760706943938393E-2</v>
      </c>
      <c r="Q38" s="359">
        <v>4112</v>
      </c>
      <c r="R38" s="101">
        <f t="shared" si="4"/>
        <v>8.9584104921461405E-2</v>
      </c>
      <c r="S38" s="106">
        <f t="shared" si="16"/>
        <v>11395</v>
      </c>
      <c r="T38" s="101">
        <f t="shared" si="17"/>
        <v>5.1257483952516544E-2</v>
      </c>
      <c r="U38" s="359">
        <v>20019</v>
      </c>
      <c r="V38" s="101">
        <f t="shared" si="5"/>
        <v>9.0050335344048146E-2</v>
      </c>
      <c r="W38" s="359">
        <v>420</v>
      </c>
      <c r="X38" s="101">
        <f t="shared" si="6"/>
        <v>1.8892622430940718E-3</v>
      </c>
      <c r="Y38" s="359">
        <v>23192</v>
      </c>
      <c r="Z38" s="101">
        <f t="shared" si="7"/>
        <v>0.10432326176628026</v>
      </c>
      <c r="AA38" s="359">
        <v>24411</v>
      </c>
      <c r="AB38" s="101">
        <f t="shared" si="8"/>
        <v>0.53181847890024181</v>
      </c>
      <c r="AC38" s="106">
        <f t="shared" si="18"/>
        <v>47603</v>
      </c>
      <c r="AD38" s="101">
        <f t="shared" si="9"/>
        <v>0.21412988228096927</v>
      </c>
      <c r="AE38" s="359">
        <v>13998</v>
      </c>
      <c r="AF38" s="101">
        <f t="shared" si="10"/>
        <v>6.2966411616263845E-2</v>
      </c>
      <c r="AG38" s="359">
        <v>17886</v>
      </c>
      <c r="AH38" s="101">
        <f t="shared" si="11"/>
        <v>8.0455582095191824E-2</v>
      </c>
      <c r="AI38" s="359">
        <v>16627</v>
      </c>
      <c r="AJ38" s="101">
        <f t="shared" si="12"/>
        <v>7.4792293609345556E-2</v>
      </c>
      <c r="AK38" s="359">
        <v>17457</v>
      </c>
      <c r="AL38" s="101">
        <f t="shared" si="13"/>
        <v>7.8525835661174312E-2</v>
      </c>
    </row>
    <row r="39" spans="2:38" ht="12">
      <c r="B39" s="422"/>
      <c r="C39" s="83"/>
      <c r="D39" s="86">
        <v>45902</v>
      </c>
      <c r="E39" s="86" t="s">
        <v>120</v>
      </c>
      <c r="F39" s="88">
        <f t="shared" si="14"/>
        <v>240560</v>
      </c>
      <c r="G39" s="419">
        <f t="shared" ref="G39" si="23">SUM(F39:F45)</f>
        <v>1525242</v>
      </c>
      <c r="H39" s="88"/>
      <c r="I39" s="359">
        <v>43708</v>
      </c>
      <c r="J39" s="101">
        <f t="shared" si="0"/>
        <v>0.18169271699368142</v>
      </c>
      <c r="K39" s="359">
        <v>46366</v>
      </c>
      <c r="L39" s="101">
        <f t="shared" si="1"/>
        <v>0.19274193548387097</v>
      </c>
      <c r="M39" s="106">
        <f t="shared" si="15"/>
        <v>90074</v>
      </c>
      <c r="N39" s="101">
        <f t="shared" si="2"/>
        <v>0.37443465247755237</v>
      </c>
      <c r="O39" s="359">
        <v>7078</v>
      </c>
      <c r="P39" s="101">
        <f t="shared" si="3"/>
        <v>2.9423012969737278E-2</v>
      </c>
      <c r="Q39" s="359">
        <v>4101</v>
      </c>
      <c r="R39" s="101">
        <f t="shared" si="4"/>
        <v>8.9342512308831862E-2</v>
      </c>
      <c r="S39" s="106">
        <f t="shared" si="16"/>
        <v>11179</v>
      </c>
      <c r="T39" s="101">
        <f t="shared" si="17"/>
        <v>4.6470734951779183E-2</v>
      </c>
      <c r="U39" s="359">
        <v>19657</v>
      </c>
      <c r="V39" s="101">
        <f t="shared" si="5"/>
        <v>8.1713501829065519E-2</v>
      </c>
      <c r="W39" s="359">
        <v>458</v>
      </c>
      <c r="X39" s="101">
        <f t="shared" si="6"/>
        <v>1.9038909211839042E-3</v>
      </c>
      <c r="Y39" s="359">
        <v>22718</v>
      </c>
      <c r="Z39" s="101">
        <f t="shared" si="7"/>
        <v>9.4437978051213831E-2</v>
      </c>
      <c r="AA39" s="359">
        <v>23992</v>
      </c>
      <c r="AB39" s="101">
        <f t="shared" si="8"/>
        <v>0.522678750381247</v>
      </c>
      <c r="AC39" s="106">
        <f t="shared" si="18"/>
        <v>46710</v>
      </c>
      <c r="AD39" s="101">
        <f t="shared" si="9"/>
        <v>0.19417193215829731</v>
      </c>
      <c r="AE39" s="359">
        <v>14199</v>
      </c>
      <c r="AF39" s="101">
        <f t="shared" si="10"/>
        <v>5.9024775523777849E-2</v>
      </c>
      <c r="AG39" s="359">
        <v>25447</v>
      </c>
      <c r="AH39" s="101">
        <f t="shared" si="11"/>
        <v>0.10578234120385767</v>
      </c>
      <c r="AI39" s="359">
        <v>16117</v>
      </c>
      <c r="AJ39" s="101">
        <f t="shared" si="12"/>
        <v>6.6997838377120048E-2</v>
      </c>
      <c r="AK39" s="359">
        <v>16719</v>
      </c>
      <c r="AL39" s="101">
        <f t="shared" si="13"/>
        <v>6.9500332557366151E-2</v>
      </c>
    </row>
    <row r="40" spans="2:38" ht="12">
      <c r="B40" s="422"/>
      <c r="C40" s="83"/>
      <c r="D40" s="86">
        <v>45903</v>
      </c>
      <c r="E40" s="86" t="s">
        <v>114</v>
      </c>
      <c r="F40" s="88">
        <f t="shared" si="14"/>
        <v>228856</v>
      </c>
      <c r="G40" s="419"/>
      <c r="H40" s="88"/>
      <c r="I40" s="359">
        <v>41906</v>
      </c>
      <c r="J40" s="101">
        <f t="shared" si="0"/>
        <v>0.18311077708253226</v>
      </c>
      <c r="K40" s="359">
        <v>45666</v>
      </c>
      <c r="L40" s="101">
        <f t="shared" si="1"/>
        <v>0.19954032229873808</v>
      </c>
      <c r="M40" s="106">
        <f t="shared" si="15"/>
        <v>87572</v>
      </c>
      <c r="N40" s="101">
        <f t="shared" si="2"/>
        <v>0.38265109938127034</v>
      </c>
      <c r="O40" s="359">
        <v>6487</v>
      </c>
      <c r="P40" s="101">
        <f t="shared" si="3"/>
        <v>2.8345335057852972E-2</v>
      </c>
      <c r="Q40" s="359">
        <v>4013</v>
      </c>
      <c r="R40" s="101">
        <f t="shared" si="4"/>
        <v>8.7423479946844435E-2</v>
      </c>
      <c r="S40" s="106">
        <f t="shared" si="16"/>
        <v>10500</v>
      </c>
      <c r="T40" s="101">
        <f t="shared" si="17"/>
        <v>4.588037892823435E-2</v>
      </c>
      <c r="U40" s="359">
        <v>18908</v>
      </c>
      <c r="V40" s="101">
        <f t="shared" si="5"/>
        <v>8.2619638550005245E-2</v>
      </c>
      <c r="W40" s="359">
        <v>431</v>
      </c>
      <c r="X40" s="101">
        <f t="shared" si="6"/>
        <v>1.8832803160065718E-3</v>
      </c>
      <c r="Y40" s="359">
        <v>22068</v>
      </c>
      <c r="Z40" s="101">
        <f t="shared" si="7"/>
        <v>9.6427447827454812E-2</v>
      </c>
      <c r="AA40" s="359">
        <v>21947</v>
      </c>
      <c r="AB40" s="101">
        <f t="shared" si="8"/>
        <v>0.47811689867764634</v>
      </c>
      <c r="AC40" s="106">
        <f t="shared" si="18"/>
        <v>44015</v>
      </c>
      <c r="AD40" s="101">
        <f t="shared" si="9"/>
        <v>0.19232617890726045</v>
      </c>
      <c r="AE40" s="359">
        <v>13526</v>
      </c>
      <c r="AF40" s="101">
        <f t="shared" si="10"/>
        <v>5.9102667179361697E-2</v>
      </c>
      <c r="AG40" s="359">
        <v>21626</v>
      </c>
      <c r="AH40" s="101">
        <f t="shared" si="11"/>
        <v>9.4496102352571054E-2</v>
      </c>
      <c r="AI40" s="359">
        <v>15647</v>
      </c>
      <c r="AJ40" s="101">
        <f t="shared" si="12"/>
        <v>6.8370503722865031E-2</v>
      </c>
      <c r="AK40" s="359">
        <v>16631</v>
      </c>
      <c r="AL40" s="101">
        <f t="shared" si="13"/>
        <v>7.2670150662425284E-2</v>
      </c>
    </row>
    <row r="41" spans="2:38" ht="12">
      <c r="B41" s="422"/>
      <c r="C41" s="83"/>
      <c r="D41" s="86">
        <v>45904</v>
      </c>
      <c r="E41" s="86" t="s">
        <v>115</v>
      </c>
      <c r="F41" s="88">
        <f t="shared" si="14"/>
        <v>210018</v>
      </c>
      <c r="G41" s="419"/>
      <c r="H41" s="88"/>
      <c r="I41" s="359">
        <v>38090</v>
      </c>
      <c r="J41" s="101">
        <f t="shared" ref="J41:J45" si="24">I41/F41</f>
        <v>0.1813654067746574</v>
      </c>
      <c r="K41" s="359">
        <v>42384</v>
      </c>
      <c r="L41" s="101">
        <f t="shared" ref="L41:L45" si="25">K41/F41</f>
        <v>0.20181127331942977</v>
      </c>
      <c r="M41" s="106">
        <f t="shared" ref="M41:M45" si="26">SUM(I41+K41)</f>
        <v>80474</v>
      </c>
      <c r="N41" s="101">
        <f t="shared" ref="N41:N45" si="27">M41/F41</f>
        <v>0.38317668009408717</v>
      </c>
      <c r="O41" s="359">
        <v>6155</v>
      </c>
      <c r="P41" s="101">
        <f t="shared" ref="P41:P45" si="28">O41/F41</f>
        <v>2.930701177994267E-2</v>
      </c>
      <c r="Q41" s="359">
        <v>4074</v>
      </c>
      <c r="R41" s="101">
        <f t="shared" ref="R41:R45" si="29">Q41/D41</f>
        <v>8.875043569187871E-2</v>
      </c>
      <c r="S41" s="106">
        <f t="shared" si="16"/>
        <v>10229</v>
      </c>
      <c r="T41" s="101">
        <f t="shared" ref="T41:T45" si="30">S41/F41</f>
        <v>4.8705349065318211E-2</v>
      </c>
      <c r="U41" s="359">
        <v>17869</v>
      </c>
      <c r="V41" s="101">
        <f t="shared" ref="V41:V45" si="31">U41/F41</f>
        <v>8.5083183346189376E-2</v>
      </c>
      <c r="W41" s="359">
        <v>421</v>
      </c>
      <c r="X41" s="101">
        <f t="shared" ref="X41:X45" si="32">W41/F41</f>
        <v>2.0045900827548114E-3</v>
      </c>
      <c r="Y41" s="359">
        <v>20720</v>
      </c>
      <c r="Z41" s="101">
        <f t="shared" ref="Z41:Z45" si="33">Y41/F41</f>
        <v>9.865821024864535E-2</v>
      </c>
      <c r="AA41" s="359">
        <v>17620</v>
      </c>
      <c r="AB41" s="101">
        <f t="shared" ref="AB41:AB45" si="34">AA41/D41</f>
        <v>0.38384454513767863</v>
      </c>
      <c r="AC41" s="106">
        <f t="shared" ref="AC41:AC45" si="35">SUM(Y41+AA41)</f>
        <v>38340</v>
      </c>
      <c r="AD41" s="101">
        <f t="shared" ref="AD41:AD45" si="36">AC41/F41</f>
        <v>0.18255578093306288</v>
      </c>
      <c r="AE41" s="359">
        <v>12515</v>
      </c>
      <c r="AF41" s="101">
        <f t="shared" ref="AF41:AF45" si="37">AE41/F41</f>
        <v>5.9590130369777831E-2</v>
      </c>
      <c r="AG41" s="359">
        <v>19930</v>
      </c>
      <c r="AH41" s="101">
        <f t="shared" ref="AH41:AH45" si="38">AG41/F41</f>
        <v>9.4896627908084064E-2</v>
      </c>
      <c r="AI41" s="359">
        <v>14795</v>
      </c>
      <c r="AJ41" s="101">
        <f t="shared" ref="AJ41:AJ45" si="39">AI41/F41</f>
        <v>7.0446342694435712E-2</v>
      </c>
      <c r="AK41" s="359">
        <v>15445</v>
      </c>
      <c r="AL41" s="101">
        <f t="shared" ref="AL41:AL45" si="40">AK41/F41</f>
        <v>7.3541315506289937E-2</v>
      </c>
    </row>
    <row r="42" spans="2:38" ht="12">
      <c r="B42" s="422"/>
      <c r="C42" s="83"/>
      <c r="D42" s="86">
        <v>45905</v>
      </c>
      <c r="E42" s="86" t="s">
        <v>116</v>
      </c>
      <c r="F42" s="88">
        <f t="shared" si="14"/>
        <v>186157</v>
      </c>
      <c r="G42" s="419"/>
      <c r="H42" s="88"/>
      <c r="I42" s="359">
        <v>33916</v>
      </c>
      <c r="J42" s="101">
        <f t="shared" si="24"/>
        <v>0.18219030173455739</v>
      </c>
      <c r="K42" s="359">
        <v>39665</v>
      </c>
      <c r="L42" s="101">
        <f t="shared" si="25"/>
        <v>0.21307283636930119</v>
      </c>
      <c r="M42" s="106">
        <f t="shared" si="26"/>
        <v>73581</v>
      </c>
      <c r="N42" s="101">
        <f t="shared" si="27"/>
        <v>0.39526313810385855</v>
      </c>
      <c r="O42" s="359">
        <v>4809</v>
      </c>
      <c r="P42" s="101">
        <f t="shared" si="28"/>
        <v>2.5833033407285249E-2</v>
      </c>
      <c r="Q42" s="359">
        <v>3410</v>
      </c>
      <c r="R42" s="101">
        <f t="shared" si="29"/>
        <v>7.4283847075481968E-2</v>
      </c>
      <c r="S42" s="106">
        <f t="shared" si="16"/>
        <v>8219</v>
      </c>
      <c r="T42" s="101">
        <f t="shared" si="30"/>
        <v>4.4150904881363577E-2</v>
      </c>
      <c r="U42" s="359">
        <v>15369</v>
      </c>
      <c r="V42" s="101">
        <f t="shared" si="31"/>
        <v>8.2559345068947174E-2</v>
      </c>
      <c r="W42" s="359">
        <v>370</v>
      </c>
      <c r="X42" s="101">
        <f t="shared" si="32"/>
        <v>1.9875696320847459E-3</v>
      </c>
      <c r="Y42" s="359">
        <v>18830</v>
      </c>
      <c r="Z42" s="101">
        <f t="shared" si="33"/>
        <v>0.10115117884366422</v>
      </c>
      <c r="AA42" s="359">
        <v>16836</v>
      </c>
      <c r="AB42" s="101">
        <f t="shared" si="34"/>
        <v>0.36675743383073739</v>
      </c>
      <c r="AC42" s="106">
        <f t="shared" si="35"/>
        <v>35666</v>
      </c>
      <c r="AD42" s="101">
        <f t="shared" si="36"/>
        <v>0.1915909689133366</v>
      </c>
      <c r="AE42" s="359">
        <v>10286</v>
      </c>
      <c r="AF42" s="101">
        <f t="shared" si="37"/>
        <v>5.5254435771955927E-2</v>
      </c>
      <c r="AG42" s="359">
        <v>15953</v>
      </c>
      <c r="AH42" s="101">
        <f t="shared" si="38"/>
        <v>8.5696482001751215E-2</v>
      </c>
      <c r="AI42" s="359">
        <v>14584</v>
      </c>
      <c r="AJ42" s="101">
        <f t="shared" si="39"/>
        <v>7.8342474363037651E-2</v>
      </c>
      <c r="AK42" s="359">
        <v>12129</v>
      </c>
      <c r="AL42" s="101">
        <f>AK42/F42</f>
        <v>6.5154681263664541E-2</v>
      </c>
    </row>
    <row r="43" spans="2:38" ht="12">
      <c r="B43" s="422"/>
      <c r="C43" s="83"/>
      <c r="D43" s="86">
        <v>45906</v>
      </c>
      <c r="E43" s="86" t="s">
        <v>117</v>
      </c>
      <c r="F43" s="88">
        <f t="shared" si="14"/>
        <v>195008</v>
      </c>
      <c r="G43" s="419"/>
      <c r="H43" s="88"/>
      <c r="I43" s="359">
        <v>33111</v>
      </c>
      <c r="J43" s="101">
        <f t="shared" si="24"/>
        <v>0.16979303413193306</v>
      </c>
      <c r="K43" s="359">
        <v>42836</v>
      </c>
      <c r="L43" s="101">
        <f t="shared" si="25"/>
        <v>0.21966278306531015</v>
      </c>
      <c r="M43" s="106">
        <f t="shared" si="26"/>
        <v>75947</v>
      </c>
      <c r="N43" s="101">
        <f t="shared" si="27"/>
        <v>0.3894558171972432</v>
      </c>
      <c r="O43" s="359">
        <v>4715</v>
      </c>
      <c r="P43" s="101">
        <f t="shared" si="28"/>
        <v>2.4178495241220874E-2</v>
      </c>
      <c r="Q43" s="359">
        <v>3410</v>
      </c>
      <c r="R43" s="101">
        <f t="shared" si="29"/>
        <v>7.4282228902539979E-2</v>
      </c>
      <c r="S43" s="106">
        <f t="shared" si="16"/>
        <v>8125</v>
      </c>
      <c r="T43" s="101">
        <f t="shared" si="30"/>
        <v>4.1664957335083685E-2</v>
      </c>
      <c r="U43" s="359">
        <v>15452</v>
      </c>
      <c r="V43" s="101">
        <f t="shared" si="31"/>
        <v>7.9237774860518542E-2</v>
      </c>
      <c r="W43" s="359">
        <v>407</v>
      </c>
      <c r="X43" s="101">
        <f t="shared" si="32"/>
        <v>2.0870938628158846E-3</v>
      </c>
      <c r="Y43" s="359">
        <v>19650</v>
      </c>
      <c r="Z43" s="101">
        <f t="shared" si="33"/>
        <v>0.10076509681654086</v>
      </c>
      <c r="AA43" s="359">
        <v>19314</v>
      </c>
      <c r="AB43" s="101">
        <f t="shared" si="34"/>
        <v>0.42072931642922495</v>
      </c>
      <c r="AC43" s="106">
        <f t="shared" si="35"/>
        <v>38964</v>
      </c>
      <c r="AD43" s="101">
        <f t="shared" si="36"/>
        <v>0.19980718739744011</v>
      </c>
      <c r="AE43" s="359">
        <v>11158</v>
      </c>
      <c r="AF43" s="101">
        <f t="shared" si="37"/>
        <v>5.7218165408598622E-2</v>
      </c>
      <c r="AG43" s="359">
        <v>17712</v>
      </c>
      <c r="AH43" s="101">
        <f t="shared" si="38"/>
        <v>9.0827042993107981E-2</v>
      </c>
      <c r="AI43" s="359">
        <v>14371</v>
      </c>
      <c r="AJ43" s="101">
        <f t="shared" si="39"/>
        <v>7.3694412536921564E-2</v>
      </c>
      <c r="AK43" s="359">
        <v>12872</v>
      </c>
      <c r="AL43" s="101">
        <f t="shared" si="40"/>
        <v>6.6007548408270431E-2</v>
      </c>
    </row>
    <row r="44" spans="2:38" ht="12">
      <c r="B44" s="422"/>
      <c r="C44" s="83"/>
      <c r="D44" s="86">
        <v>45907</v>
      </c>
      <c r="E44" s="86" t="s">
        <v>118</v>
      </c>
      <c r="F44" s="88">
        <f t="shared" si="14"/>
        <v>233163</v>
      </c>
      <c r="G44" s="419"/>
      <c r="H44" s="88"/>
      <c r="I44" s="359">
        <v>42322</v>
      </c>
      <c r="J44" s="101">
        <f t="shared" si="24"/>
        <v>0.18151250412801345</v>
      </c>
      <c r="K44" s="359">
        <v>46765</v>
      </c>
      <c r="L44" s="101">
        <f t="shared" si="25"/>
        <v>0.2005678430968893</v>
      </c>
      <c r="M44" s="106">
        <f t="shared" si="26"/>
        <v>89087</v>
      </c>
      <c r="N44" s="101">
        <f t="shared" si="27"/>
        <v>0.38208034722490275</v>
      </c>
      <c r="O44" s="359">
        <v>6782</v>
      </c>
      <c r="P44" s="101">
        <f t="shared" si="28"/>
        <v>2.9086947757577319E-2</v>
      </c>
      <c r="Q44" s="359">
        <v>4003</v>
      </c>
      <c r="R44" s="101">
        <f t="shared" si="29"/>
        <v>8.7198030801402843E-2</v>
      </c>
      <c r="S44" s="106">
        <f t="shared" si="16"/>
        <v>10785</v>
      </c>
      <c r="T44" s="101">
        <f t="shared" si="30"/>
        <v>4.6255194863679058E-2</v>
      </c>
      <c r="U44" s="359">
        <v>19964</v>
      </c>
      <c r="V44" s="101">
        <f t="shared" si="31"/>
        <v>8.5622504428232604E-2</v>
      </c>
      <c r="W44" s="359">
        <v>560</v>
      </c>
      <c r="X44" s="101">
        <f t="shared" si="32"/>
        <v>2.401753279894323E-3</v>
      </c>
      <c r="Y44" s="359">
        <v>23112</v>
      </c>
      <c r="Z44" s="101">
        <f t="shared" si="33"/>
        <v>9.9123788937352839E-2</v>
      </c>
      <c r="AA44" s="359">
        <v>21832</v>
      </c>
      <c r="AB44" s="101">
        <f t="shared" si="34"/>
        <v>0.47557017448319427</v>
      </c>
      <c r="AC44" s="106">
        <f t="shared" si="35"/>
        <v>44944</v>
      </c>
      <c r="AD44" s="101">
        <f t="shared" si="36"/>
        <v>0.19275785609209009</v>
      </c>
      <c r="AE44" s="359">
        <v>14167</v>
      </c>
      <c r="AF44" s="101">
        <f t="shared" si="37"/>
        <v>6.0760069136183703E-2</v>
      </c>
      <c r="AG44" s="359">
        <v>21532</v>
      </c>
      <c r="AH44" s="101">
        <f t="shared" si="38"/>
        <v>9.2347413611936713E-2</v>
      </c>
      <c r="AI44" s="359">
        <v>16669</v>
      </c>
      <c r="AJ44" s="101">
        <f t="shared" si="39"/>
        <v>7.1490759683140115E-2</v>
      </c>
      <c r="AK44" s="359">
        <v>15455</v>
      </c>
      <c r="AL44" s="101">
        <f t="shared" si="40"/>
        <v>6.6284101679940644E-2</v>
      </c>
    </row>
    <row r="45" spans="2:38" ht="12">
      <c r="B45" s="422"/>
      <c r="C45" s="83"/>
      <c r="D45" s="86">
        <v>45908</v>
      </c>
      <c r="E45" s="86" t="s">
        <v>119</v>
      </c>
      <c r="F45" s="88">
        <f t="shared" si="14"/>
        <v>231480</v>
      </c>
      <c r="G45" s="419"/>
      <c r="H45" s="88"/>
      <c r="I45" s="359">
        <v>39836</v>
      </c>
      <c r="J45" s="101">
        <f t="shared" si="24"/>
        <v>0.17209262139277692</v>
      </c>
      <c r="K45" s="359">
        <v>46946</v>
      </c>
      <c r="L45" s="101">
        <f t="shared" si="25"/>
        <v>0.20280801797131501</v>
      </c>
      <c r="M45" s="106">
        <f t="shared" si="26"/>
        <v>86782</v>
      </c>
      <c r="N45" s="101">
        <f t="shared" si="27"/>
        <v>0.3749006393640919</v>
      </c>
      <c r="O45" s="359">
        <v>6204</v>
      </c>
      <c r="P45" s="101">
        <f t="shared" si="28"/>
        <v>2.6801451529289786E-2</v>
      </c>
      <c r="Q45" s="359">
        <v>3949</v>
      </c>
      <c r="R45" s="101">
        <f t="shared" si="29"/>
        <v>8.6019865818593708E-2</v>
      </c>
      <c r="S45" s="106">
        <f t="shared" si="16"/>
        <v>10153</v>
      </c>
      <c r="T45" s="101">
        <f t="shared" si="30"/>
        <v>4.3861240711940558E-2</v>
      </c>
      <c r="U45" s="359">
        <v>19709</v>
      </c>
      <c r="V45" s="101">
        <f t="shared" si="31"/>
        <v>8.5143424917919472E-2</v>
      </c>
      <c r="W45" s="359">
        <v>524</v>
      </c>
      <c r="X45" s="101">
        <f t="shared" si="32"/>
        <v>2.2636944876447207E-3</v>
      </c>
      <c r="Y45" s="359">
        <v>23529</v>
      </c>
      <c r="Z45" s="101">
        <f t="shared" si="33"/>
        <v>0.10164593053395542</v>
      </c>
      <c r="AA45" s="359">
        <v>23172</v>
      </c>
      <c r="AB45" s="101">
        <f t="shared" si="34"/>
        <v>0.50474862769016293</v>
      </c>
      <c r="AC45" s="106">
        <f t="shared" si="35"/>
        <v>46701</v>
      </c>
      <c r="AD45" s="101">
        <f t="shared" si="36"/>
        <v>0.20174961119751167</v>
      </c>
      <c r="AE45" s="359">
        <v>14895</v>
      </c>
      <c r="AF45" s="101">
        <f t="shared" si="37"/>
        <v>6.4346811819595645E-2</v>
      </c>
      <c r="AG45" s="359">
        <v>21144</v>
      </c>
      <c r="AH45" s="101">
        <f t="shared" si="38"/>
        <v>9.1342664593053402E-2</v>
      </c>
      <c r="AI45" s="359">
        <v>16049</v>
      </c>
      <c r="AJ45" s="101">
        <f t="shared" si="39"/>
        <v>6.9332123725591846E-2</v>
      </c>
      <c r="AK45" s="359">
        <v>15523</v>
      </c>
      <c r="AL45" s="101">
        <f t="shared" si="40"/>
        <v>6.7059789182650764E-2</v>
      </c>
    </row>
    <row r="46" spans="2:38" ht="12">
      <c r="B46" s="98"/>
      <c r="C46" s="83"/>
      <c r="D46" s="84"/>
      <c r="F46" s="88"/>
      <c r="G46" s="88"/>
      <c r="H46" s="88"/>
    </row>
    <row r="47" spans="2:38" ht="12">
      <c r="B47" s="98"/>
      <c r="C47" s="83"/>
      <c r="D47" s="84"/>
      <c r="F47" s="88"/>
      <c r="G47" s="88"/>
      <c r="H47" s="88"/>
    </row>
    <row r="48" spans="2:38" ht="12">
      <c r="B48" s="98"/>
      <c r="C48" s="83"/>
      <c r="D48" s="84"/>
    </row>
    <row r="49" spans="2:4" ht="12">
      <c r="B49" s="98"/>
      <c r="C49" s="83"/>
      <c r="D49" s="84"/>
    </row>
    <row r="50" spans="2:4" ht="12">
      <c r="B50" s="98"/>
      <c r="C50" s="83"/>
      <c r="D50" s="84"/>
    </row>
    <row r="51" spans="2:4" ht="12">
      <c r="B51" s="98"/>
      <c r="C51" s="83"/>
      <c r="D51" s="84"/>
    </row>
    <row r="52" spans="2:4" ht="12">
      <c r="B52" s="98"/>
      <c r="C52" s="83"/>
      <c r="D52" s="84"/>
    </row>
    <row r="53" spans="2:4" ht="12">
      <c r="B53" s="98"/>
      <c r="C53" s="83"/>
      <c r="D53" s="84"/>
    </row>
    <row r="54" spans="2:4" ht="12">
      <c r="B54" s="98"/>
      <c r="C54" s="83"/>
      <c r="D54" s="84"/>
    </row>
    <row r="55" spans="2:4" ht="12">
      <c r="B55" s="98"/>
      <c r="C55" s="83"/>
      <c r="D55" s="84"/>
    </row>
    <row r="56" spans="2:4" ht="12">
      <c r="B56" s="98"/>
      <c r="C56" s="83"/>
      <c r="D56" s="84"/>
    </row>
    <row r="57" spans="2:4" ht="12">
      <c r="B57" s="98"/>
      <c r="C57" s="83"/>
      <c r="D57" s="84"/>
    </row>
    <row r="58" spans="2:4" ht="12">
      <c r="B58" s="98"/>
      <c r="C58" s="83"/>
      <c r="D58" s="84"/>
    </row>
    <row r="59" spans="2:4" ht="12">
      <c r="B59" s="98"/>
      <c r="C59" s="83"/>
      <c r="D59" s="84"/>
    </row>
    <row r="60" spans="2:4" ht="12">
      <c r="B60" s="98"/>
      <c r="C60" s="83"/>
      <c r="D60" s="84"/>
    </row>
    <row r="61" spans="2:4" ht="12">
      <c r="B61" s="98"/>
      <c r="C61" s="83"/>
      <c r="D61" s="84"/>
    </row>
    <row r="62" spans="2:4" ht="12">
      <c r="B62" s="98"/>
      <c r="C62" s="83"/>
      <c r="D62" s="84"/>
    </row>
    <row r="63" spans="2:4" ht="12">
      <c r="B63" s="98"/>
      <c r="C63" s="83"/>
      <c r="D63" s="84"/>
    </row>
    <row r="64" spans="2:4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</sheetData>
  <mergeCells count="46">
    <mergeCell ref="B18:B24"/>
    <mergeCell ref="B25:B31"/>
    <mergeCell ref="B32:B38"/>
    <mergeCell ref="AI4:AJ4"/>
    <mergeCell ref="AI5:AJ5"/>
    <mergeCell ref="K5:L5"/>
    <mergeCell ref="S5:T5"/>
    <mergeCell ref="Y4:AD4"/>
    <mergeCell ref="I4:N4"/>
    <mergeCell ref="M5:N5"/>
    <mergeCell ref="Q5:R5"/>
    <mergeCell ref="AA5:AB5"/>
    <mergeCell ref="C7:C37"/>
    <mergeCell ref="C3:C6"/>
    <mergeCell ref="G5:G6"/>
    <mergeCell ref="H5:H6"/>
    <mergeCell ref="B39:B45"/>
    <mergeCell ref="I3:AL3"/>
    <mergeCell ref="D3:E6"/>
    <mergeCell ref="B3:B6"/>
    <mergeCell ref="G7:G10"/>
    <mergeCell ref="H7:H37"/>
    <mergeCell ref="G11:G17"/>
    <mergeCell ref="G18:G24"/>
    <mergeCell ref="G25:G31"/>
    <mergeCell ref="G32:G38"/>
    <mergeCell ref="O4:T4"/>
    <mergeCell ref="O5:P5"/>
    <mergeCell ref="I5:J5"/>
    <mergeCell ref="B7:B17"/>
    <mergeCell ref="G39:G45"/>
    <mergeCell ref="F5:F6"/>
    <mergeCell ref="F3:H4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AK4:AL4"/>
  </mergeCells>
  <phoneticPr fontId="9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76"/>
  <sheetViews>
    <sheetView tabSelected="1" topLeftCell="A37" zoomScale="85" zoomScaleNormal="85" workbookViewId="0">
      <pane xSplit="15" topLeftCell="AG1" activePane="topRight" state="frozen"/>
      <selection sqref="A1:L2"/>
      <selection pane="topRight" activeCell="C39" sqref="C39:D60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7" t="s">
        <v>382</v>
      </c>
      <c r="C1" s="246">
        <f>AVERAGE(L7,L42,L77,L112,L147)</f>
        <v>714.00069579528508</v>
      </c>
    </row>
    <row r="2" spans="1:50" ht="15.75">
      <c r="A2" s="81"/>
      <c r="B2" s="487" t="s">
        <v>172</v>
      </c>
      <c r="C2" s="487"/>
      <c r="D2" s="487"/>
      <c r="E2" s="487"/>
      <c r="F2" s="487"/>
      <c r="G2" s="487"/>
      <c r="H2" s="487"/>
      <c r="I2" s="352"/>
      <c r="J2" s="352"/>
      <c r="K2" s="352"/>
      <c r="L2" s="352"/>
      <c r="M2" s="217"/>
      <c r="N2" s="476" t="s">
        <v>164</v>
      </c>
      <c r="O2" s="476" t="s">
        <v>163</v>
      </c>
      <c r="P2" s="479">
        <v>45895</v>
      </c>
      <c r="Q2" s="480"/>
      <c r="R2" s="480"/>
      <c r="S2" s="480"/>
      <c r="T2" s="481"/>
      <c r="U2" s="482">
        <f>P2+1</f>
        <v>45896</v>
      </c>
      <c r="V2" s="483"/>
      <c r="W2" s="483"/>
      <c r="X2" s="483"/>
      <c r="Y2" s="483"/>
      <c r="Z2" s="482">
        <f>U2+1</f>
        <v>45897</v>
      </c>
      <c r="AA2" s="483"/>
      <c r="AB2" s="483"/>
      <c r="AC2" s="483"/>
      <c r="AD2" s="483"/>
      <c r="AE2" s="482">
        <f>Z2+1</f>
        <v>45898</v>
      </c>
      <c r="AF2" s="483"/>
      <c r="AG2" s="483"/>
      <c r="AH2" s="483"/>
      <c r="AI2" s="483"/>
      <c r="AJ2" s="482">
        <f>AE2+1</f>
        <v>45899</v>
      </c>
      <c r="AK2" s="483"/>
      <c r="AL2" s="483"/>
      <c r="AM2" s="483"/>
      <c r="AN2" s="483"/>
      <c r="AO2" s="482">
        <f>AJ2+1</f>
        <v>45900</v>
      </c>
      <c r="AP2" s="483"/>
      <c r="AQ2" s="483"/>
      <c r="AR2" s="483"/>
      <c r="AS2" s="483"/>
      <c r="AT2" s="482">
        <f>AO2+1</f>
        <v>45901</v>
      </c>
      <c r="AU2" s="483"/>
      <c r="AV2" s="483"/>
      <c r="AW2" s="483"/>
      <c r="AX2" s="483"/>
    </row>
    <row r="3" spans="1:50" ht="15.75">
      <c r="A3" s="81"/>
      <c r="B3" s="504"/>
      <c r="C3" s="504"/>
      <c r="D3" s="504"/>
      <c r="E3" s="504"/>
      <c r="F3" s="504"/>
      <c r="G3" s="504"/>
      <c r="H3" s="504"/>
      <c r="I3" s="353"/>
      <c r="J3" s="353"/>
      <c r="K3" s="353"/>
      <c r="L3" s="353"/>
      <c r="M3" s="218"/>
      <c r="N3" s="478"/>
      <c r="O3" s="478"/>
      <c r="P3" s="479" t="s">
        <v>166</v>
      </c>
      <c r="Q3" s="480"/>
      <c r="R3" s="480"/>
      <c r="S3" s="480"/>
      <c r="T3" s="481"/>
      <c r="U3" s="479" t="s">
        <v>167</v>
      </c>
      <c r="V3" s="480"/>
      <c r="W3" s="480"/>
      <c r="X3" s="480"/>
      <c r="Y3" s="481"/>
      <c r="Z3" s="479" t="s">
        <v>168</v>
      </c>
      <c r="AA3" s="480"/>
      <c r="AB3" s="480"/>
      <c r="AC3" s="480"/>
      <c r="AD3" s="481"/>
      <c r="AE3" s="479" t="s">
        <v>165</v>
      </c>
      <c r="AF3" s="480"/>
      <c r="AG3" s="480"/>
      <c r="AH3" s="480"/>
      <c r="AI3" s="481"/>
      <c r="AJ3" s="479" t="s">
        <v>169</v>
      </c>
      <c r="AK3" s="480"/>
      <c r="AL3" s="480"/>
      <c r="AM3" s="480"/>
      <c r="AN3" s="481"/>
      <c r="AO3" s="479" t="s">
        <v>170</v>
      </c>
      <c r="AP3" s="480"/>
      <c r="AQ3" s="480"/>
      <c r="AR3" s="480"/>
      <c r="AS3" s="481"/>
      <c r="AT3" s="479" t="s">
        <v>171</v>
      </c>
      <c r="AU3" s="480"/>
      <c r="AV3" s="480"/>
      <c r="AW3" s="480"/>
      <c r="AX3" s="481"/>
    </row>
    <row r="4" spans="1:50">
      <c r="A4" s="81"/>
      <c r="B4" s="476" t="s">
        <v>634</v>
      </c>
      <c r="C4" s="491" t="s">
        <v>644</v>
      </c>
      <c r="D4" s="494"/>
      <c r="E4" s="472" t="s">
        <v>635</v>
      </c>
      <c r="F4" s="473"/>
      <c r="G4" s="474"/>
      <c r="H4" s="476" t="s">
        <v>631</v>
      </c>
      <c r="I4" s="463" t="s">
        <v>636</v>
      </c>
      <c r="J4" s="464"/>
      <c r="K4" s="465"/>
      <c r="L4" s="466" t="s">
        <v>631</v>
      </c>
      <c r="M4" s="466" t="s">
        <v>632</v>
      </c>
      <c r="N4" s="476"/>
      <c r="O4" s="476" t="s">
        <v>637</v>
      </c>
      <c r="P4" s="472" t="s">
        <v>633</v>
      </c>
      <c r="Q4" s="473"/>
      <c r="R4" s="473"/>
      <c r="S4" s="474"/>
      <c r="T4" s="476" t="s">
        <v>631</v>
      </c>
      <c r="U4" s="472" t="s">
        <v>633</v>
      </c>
      <c r="V4" s="473"/>
      <c r="W4" s="473"/>
      <c r="X4" s="474"/>
      <c r="Y4" s="476" t="s">
        <v>631</v>
      </c>
      <c r="Z4" s="472" t="s">
        <v>633</v>
      </c>
      <c r="AA4" s="473"/>
      <c r="AB4" s="473"/>
      <c r="AC4" s="474"/>
      <c r="AD4" s="476" t="s">
        <v>631</v>
      </c>
      <c r="AE4" s="472" t="s">
        <v>633</v>
      </c>
      <c r="AF4" s="473"/>
      <c r="AG4" s="473"/>
      <c r="AH4" s="474"/>
      <c r="AI4" s="476" t="s">
        <v>631</v>
      </c>
      <c r="AJ4" s="472" t="s">
        <v>633</v>
      </c>
      <c r="AK4" s="473"/>
      <c r="AL4" s="473"/>
      <c r="AM4" s="474"/>
      <c r="AN4" s="476" t="s">
        <v>631</v>
      </c>
      <c r="AO4" s="472" t="s">
        <v>633</v>
      </c>
      <c r="AP4" s="473"/>
      <c r="AQ4" s="473"/>
      <c r="AR4" s="474"/>
      <c r="AS4" s="476" t="s">
        <v>631</v>
      </c>
      <c r="AT4" s="472" t="s">
        <v>633</v>
      </c>
      <c r="AU4" s="473"/>
      <c r="AV4" s="473"/>
      <c r="AW4" s="474"/>
      <c r="AX4" s="476" t="s">
        <v>631</v>
      </c>
    </row>
    <row r="5" spans="1:50">
      <c r="A5" s="81"/>
      <c r="B5" s="477"/>
      <c r="C5" s="492"/>
      <c r="D5" s="495"/>
      <c r="E5" s="472" t="s">
        <v>638</v>
      </c>
      <c r="F5" s="473"/>
      <c r="G5" s="474"/>
      <c r="H5" s="477"/>
      <c r="I5" s="463" t="s">
        <v>638</v>
      </c>
      <c r="J5" s="464"/>
      <c r="K5" s="465"/>
      <c r="L5" s="467"/>
      <c r="M5" s="467"/>
      <c r="N5" s="477"/>
      <c r="O5" s="477"/>
      <c r="P5" s="472" t="s">
        <v>639</v>
      </c>
      <c r="Q5" s="473"/>
      <c r="R5" s="473"/>
      <c r="S5" s="474"/>
      <c r="T5" s="477"/>
      <c r="U5" s="472" t="s">
        <v>639</v>
      </c>
      <c r="V5" s="473"/>
      <c r="W5" s="473"/>
      <c r="X5" s="474"/>
      <c r="Y5" s="477"/>
      <c r="Z5" s="472" t="s">
        <v>639</v>
      </c>
      <c r="AA5" s="473"/>
      <c r="AB5" s="473"/>
      <c r="AC5" s="474"/>
      <c r="AD5" s="477"/>
      <c r="AE5" s="472" t="s">
        <v>639</v>
      </c>
      <c r="AF5" s="473"/>
      <c r="AG5" s="473"/>
      <c r="AH5" s="474"/>
      <c r="AI5" s="477"/>
      <c r="AJ5" s="472" t="s">
        <v>639</v>
      </c>
      <c r="AK5" s="473"/>
      <c r="AL5" s="473"/>
      <c r="AM5" s="474"/>
      <c r="AN5" s="477"/>
      <c r="AO5" s="472" t="s">
        <v>639</v>
      </c>
      <c r="AP5" s="473"/>
      <c r="AQ5" s="473"/>
      <c r="AR5" s="474"/>
      <c r="AS5" s="477"/>
      <c r="AT5" s="472" t="s">
        <v>639</v>
      </c>
      <c r="AU5" s="473"/>
      <c r="AV5" s="473"/>
      <c r="AW5" s="474"/>
      <c r="AX5" s="477"/>
    </row>
    <row r="6" spans="1:50">
      <c r="A6" s="79"/>
      <c r="B6" s="478"/>
      <c r="C6" s="493"/>
      <c r="D6" s="496"/>
      <c r="E6" s="350" t="s">
        <v>640</v>
      </c>
      <c r="F6" s="350" t="s">
        <v>641</v>
      </c>
      <c r="G6" s="350" t="s">
        <v>642</v>
      </c>
      <c r="H6" s="478"/>
      <c r="I6" s="349" t="s">
        <v>640</v>
      </c>
      <c r="J6" s="349" t="s">
        <v>641</v>
      </c>
      <c r="K6" s="349" t="s">
        <v>642</v>
      </c>
      <c r="L6" s="468"/>
      <c r="M6" s="468"/>
      <c r="N6" s="477"/>
      <c r="O6" s="477"/>
      <c r="P6" s="350" t="s">
        <v>640</v>
      </c>
      <c r="Q6" s="350" t="s">
        <v>641</v>
      </c>
      <c r="R6" s="350" t="s">
        <v>642</v>
      </c>
      <c r="S6" s="350" t="s">
        <v>632</v>
      </c>
      <c r="T6" s="478"/>
      <c r="U6" s="350" t="s">
        <v>640</v>
      </c>
      <c r="V6" s="350" t="s">
        <v>641</v>
      </c>
      <c r="W6" s="350" t="s">
        <v>642</v>
      </c>
      <c r="X6" s="350" t="s">
        <v>632</v>
      </c>
      <c r="Y6" s="478"/>
      <c r="Z6" s="350" t="s">
        <v>640</v>
      </c>
      <c r="AA6" s="350" t="s">
        <v>641</v>
      </c>
      <c r="AB6" s="350" t="s">
        <v>642</v>
      </c>
      <c r="AC6" s="350" t="s">
        <v>632</v>
      </c>
      <c r="AD6" s="478"/>
      <c r="AE6" s="350" t="s">
        <v>640</v>
      </c>
      <c r="AF6" s="350" t="s">
        <v>641</v>
      </c>
      <c r="AG6" s="350" t="s">
        <v>642</v>
      </c>
      <c r="AH6" s="350" t="s">
        <v>632</v>
      </c>
      <c r="AI6" s="478"/>
      <c r="AJ6" s="350" t="s">
        <v>640</v>
      </c>
      <c r="AK6" s="350" t="s">
        <v>641</v>
      </c>
      <c r="AL6" s="350" t="s">
        <v>642</v>
      </c>
      <c r="AM6" s="350" t="s">
        <v>632</v>
      </c>
      <c r="AN6" s="478"/>
      <c r="AO6" s="350" t="s">
        <v>640</v>
      </c>
      <c r="AP6" s="350" t="s">
        <v>641</v>
      </c>
      <c r="AQ6" s="350" t="s">
        <v>642</v>
      </c>
      <c r="AR6" s="350" t="s">
        <v>632</v>
      </c>
      <c r="AS6" s="478"/>
      <c r="AT6" s="350" t="s">
        <v>640</v>
      </c>
      <c r="AU6" s="350" t="s">
        <v>641</v>
      </c>
      <c r="AV6" s="350" t="s">
        <v>642</v>
      </c>
      <c r="AW6" s="350" t="s">
        <v>632</v>
      </c>
      <c r="AX6" s="478"/>
    </row>
    <row r="7" spans="1:50">
      <c r="A7" s="81"/>
      <c r="B7" s="497" t="s">
        <v>158</v>
      </c>
      <c r="C7" s="351">
        <v>1</v>
      </c>
      <c r="D7" s="351" t="s">
        <v>441</v>
      </c>
      <c r="E7" s="351">
        <v>4</v>
      </c>
      <c r="F7" s="351">
        <v>2035.3333333333335</v>
      </c>
      <c r="G7" s="351">
        <v>508.83333333333337</v>
      </c>
      <c r="H7" s="484">
        <f>AVERAGE(G7:G36)</f>
        <v>718.32622372107824</v>
      </c>
      <c r="I7" s="219">
        <f>AVERAGE(P7,U7,Z7,AE7,AJ7,AO7,AT7)</f>
        <v>4</v>
      </c>
      <c r="J7" s="219">
        <f>AVERAGE(Q7,V7,AA7,AF7,AK7,AP7,AU7)</f>
        <v>2003.5660639376529</v>
      </c>
      <c r="K7" s="220">
        <f>AVERAGE(R7,W7,AB7,AG7,AL7,AQ7,AV7)</f>
        <v>500.89151598441322</v>
      </c>
      <c r="L7" s="469">
        <f>IFERROR(AVERAGE(K7:K36),"-")</f>
        <v>713.14131087488931</v>
      </c>
      <c r="M7" s="219">
        <f>RANK(K7, K$7:$K$36)</f>
        <v>19</v>
      </c>
      <c r="N7" s="477"/>
      <c r="O7" s="477"/>
      <c r="P7" s="187">
        <v>4</v>
      </c>
      <c r="Q7" s="187">
        <v>1987.3333333333333</v>
      </c>
      <c r="R7" s="187">
        <v>496.83333333333331</v>
      </c>
      <c r="S7" s="351">
        <f t="shared" ref="S7:S36" si="0">RANK(R7, R$7:R$36)</f>
        <v>19</v>
      </c>
      <c r="T7" s="484">
        <f>AVERAGE(R7:R36)</f>
        <v>711.70735348794733</v>
      </c>
      <c r="U7" s="187">
        <v>4</v>
      </c>
      <c r="V7" s="187">
        <v>1996.1797752808989</v>
      </c>
      <c r="W7" s="187">
        <v>499.04494382022472</v>
      </c>
      <c r="X7" s="351">
        <f t="shared" ref="X7:X36" si="1">RANK(W7, W$7:W$36)</f>
        <v>18</v>
      </c>
      <c r="Y7" s="484">
        <f>AVERAGE(W7:W36)</f>
        <v>714.97882745024219</v>
      </c>
      <c r="Z7" s="187">
        <v>4</v>
      </c>
      <c r="AA7" s="187">
        <v>2013.4090909090908</v>
      </c>
      <c r="AB7" s="187">
        <v>503.35227272727269</v>
      </c>
      <c r="AC7" s="351">
        <f t="shared" ref="AC7:AC36" si="2">RANK(AB7, AB$7:AB$36)</f>
        <v>18</v>
      </c>
      <c r="AD7" s="484">
        <f>AVERAGE(AB7:AB36)</f>
        <v>708.47487085626597</v>
      </c>
      <c r="AE7" s="187">
        <v>4</v>
      </c>
      <c r="AF7" s="187">
        <v>1983.8961038961038</v>
      </c>
      <c r="AG7" s="187">
        <v>495.97402597402595</v>
      </c>
      <c r="AH7" s="351">
        <f t="shared" ref="AH7:AH36" si="3">RANK(AG7, AG$7:AG$36)</f>
        <v>19</v>
      </c>
      <c r="AI7" s="484">
        <f>AVERAGE(AG7:AG36)</f>
        <v>724.57015657691238</v>
      </c>
      <c r="AJ7" s="187">
        <v>4</v>
      </c>
      <c r="AK7" s="187">
        <v>1980.8108108108106</v>
      </c>
      <c r="AL7" s="187">
        <v>495.20270270270265</v>
      </c>
      <c r="AM7" s="351">
        <f t="shared" ref="AM7:AM36" si="4">RANK(AL7, AL$7:AL$36)</f>
        <v>19</v>
      </c>
      <c r="AN7" s="484">
        <f>AVERAGE(AL7:AL36)</f>
        <v>706.74602447821087</v>
      </c>
      <c r="AO7" s="187">
        <v>4</v>
      </c>
      <c r="AP7" s="187">
        <v>2046</v>
      </c>
      <c r="AQ7" s="187">
        <v>511.5</v>
      </c>
      <c r="AR7" s="351">
        <f t="shared" ref="AR7:AR36" si="5">RANK(AQ7, AQ$7:AQ$36)</f>
        <v>19</v>
      </c>
      <c r="AS7" s="484">
        <f>AVERAGE(AQ7:AQ36)</f>
        <v>715.30519255327783</v>
      </c>
      <c r="AT7" s="187">
        <v>4</v>
      </c>
      <c r="AU7" s="187">
        <v>2017.3333333333333</v>
      </c>
      <c r="AV7" s="187">
        <v>504.33333333333331</v>
      </c>
      <c r="AW7" s="351">
        <f t="shared" ref="AW7:AW36" si="6">RANK(AV7, AV$7:AV$36)</f>
        <v>19</v>
      </c>
      <c r="AX7" s="484">
        <f>AVERAGE(AV7:AV36)</f>
        <v>710.20675072136964</v>
      </c>
    </row>
    <row r="8" spans="1:50" ht="15" customHeight="1">
      <c r="A8" s="81"/>
      <c r="B8" s="498"/>
      <c r="C8" s="351">
        <v>2</v>
      </c>
      <c r="D8" s="351" t="s">
        <v>442</v>
      </c>
      <c r="E8" s="351">
        <v>3</v>
      </c>
      <c r="F8" s="351">
        <v>2665.945945945944</v>
      </c>
      <c r="G8" s="351">
        <v>888.64864864864796</v>
      </c>
      <c r="H8" s="485"/>
      <c r="I8" s="219">
        <f t="shared" ref="I8:I25" si="7">AVERAGE(P8,U8,Z8,AE8,AJ8,AO8,AT8)</f>
        <v>3</v>
      </c>
      <c r="J8" s="219">
        <f t="shared" ref="J8:J25" si="8">AVERAGE(Q8,V8,AA8,AF8,AK8,AP8,AU8)</f>
        <v>2684.5934065934061</v>
      </c>
      <c r="K8" s="220">
        <f t="shared" ref="K8:K25" si="9">AVERAGE(R8,W8,AB8,AG8,AL8,AQ8,AV8)</f>
        <v>894.8644688644689</v>
      </c>
      <c r="L8" s="470"/>
      <c r="M8" s="219">
        <f>RANK(K8, K$7:$K$36)</f>
        <v>2</v>
      </c>
      <c r="N8" s="477"/>
      <c r="O8" s="477"/>
      <c r="P8" s="187">
        <v>3</v>
      </c>
      <c r="Q8" s="187">
        <v>2730.0000000000009</v>
      </c>
      <c r="R8" s="187">
        <v>910.00000000000034</v>
      </c>
      <c r="S8" s="351">
        <f t="shared" si="0"/>
        <v>2</v>
      </c>
      <c r="T8" s="485"/>
      <c r="U8" s="187">
        <v>3</v>
      </c>
      <c r="V8" s="187">
        <v>2670.0000000000009</v>
      </c>
      <c r="W8" s="187">
        <v>890.00000000000034</v>
      </c>
      <c r="X8" s="351">
        <f t="shared" si="1"/>
        <v>3</v>
      </c>
      <c r="Y8" s="485"/>
      <c r="Z8" s="187">
        <v>3</v>
      </c>
      <c r="AA8" s="187">
        <v>2805.0000000000005</v>
      </c>
      <c r="AB8" s="187">
        <v>935.00000000000011</v>
      </c>
      <c r="AC8" s="351">
        <f t="shared" si="2"/>
        <v>1</v>
      </c>
      <c r="AD8" s="485"/>
      <c r="AE8" s="187">
        <v>3</v>
      </c>
      <c r="AF8" s="187">
        <v>2669.9999999999995</v>
      </c>
      <c r="AG8" s="187">
        <v>889.99999999999989</v>
      </c>
      <c r="AH8" s="351">
        <f t="shared" si="3"/>
        <v>4</v>
      </c>
      <c r="AI8" s="485"/>
      <c r="AJ8" s="187">
        <v>3</v>
      </c>
      <c r="AK8" s="187">
        <v>2632.4999999999995</v>
      </c>
      <c r="AL8" s="187">
        <v>877.49999999999989</v>
      </c>
      <c r="AM8" s="351">
        <f t="shared" si="4"/>
        <v>3</v>
      </c>
      <c r="AN8" s="485"/>
      <c r="AO8" s="187">
        <v>3</v>
      </c>
      <c r="AP8" s="187">
        <v>2638.4999999999991</v>
      </c>
      <c r="AQ8" s="187">
        <v>879.49999999999966</v>
      </c>
      <c r="AR8" s="351">
        <f t="shared" si="5"/>
        <v>3</v>
      </c>
      <c r="AS8" s="485"/>
      <c r="AT8" s="187">
        <v>3</v>
      </c>
      <c r="AU8" s="187">
        <v>2646.1538461538448</v>
      </c>
      <c r="AV8" s="187">
        <v>882.05128205128165</v>
      </c>
      <c r="AW8" s="351">
        <f t="shared" si="6"/>
        <v>3</v>
      </c>
      <c r="AX8" s="485"/>
    </row>
    <row r="9" spans="1:50">
      <c r="A9" s="81"/>
      <c r="B9" s="498"/>
      <c r="C9" s="351">
        <v>3</v>
      </c>
      <c r="D9" s="351" t="s">
        <v>410</v>
      </c>
      <c r="E9" s="351">
        <v>4</v>
      </c>
      <c r="F9" s="351">
        <v>2945.6250000000036</v>
      </c>
      <c r="G9" s="351">
        <v>736.40625000000091</v>
      </c>
      <c r="H9" s="485"/>
      <c r="I9" s="219">
        <f t="shared" si="7"/>
        <v>4</v>
      </c>
      <c r="J9" s="219">
        <f t="shared" si="8"/>
        <v>2940.4959183673514</v>
      </c>
      <c r="K9" s="220">
        <f t="shared" si="9"/>
        <v>735.12397959183784</v>
      </c>
      <c r="L9" s="470"/>
      <c r="M9" s="219">
        <f>RANK(K9, K$7:$K$36)</f>
        <v>8</v>
      </c>
      <c r="N9" s="477"/>
      <c r="O9" s="477"/>
      <c r="P9" s="187">
        <v>4</v>
      </c>
      <c r="Q9" s="187">
        <v>2945.0000000000055</v>
      </c>
      <c r="R9" s="187">
        <v>736.25000000000136</v>
      </c>
      <c r="S9" s="351">
        <f t="shared" si="0"/>
        <v>8</v>
      </c>
      <c r="T9" s="485"/>
      <c r="U9" s="187">
        <v>4</v>
      </c>
      <c r="V9" s="187">
        <v>2920.0000000000059</v>
      </c>
      <c r="W9" s="187">
        <v>730.00000000000148</v>
      </c>
      <c r="X9" s="351">
        <f t="shared" si="1"/>
        <v>9</v>
      </c>
      <c r="Y9" s="485"/>
      <c r="Z9" s="187">
        <v>4</v>
      </c>
      <c r="AA9" s="187">
        <v>2887.5000000000055</v>
      </c>
      <c r="AB9" s="187">
        <v>721.87500000000136</v>
      </c>
      <c r="AC9" s="351">
        <f t="shared" si="2"/>
        <v>9</v>
      </c>
      <c r="AD9" s="485"/>
      <c r="AE9" s="187">
        <v>4</v>
      </c>
      <c r="AF9" s="187">
        <v>3000.000000000005</v>
      </c>
      <c r="AG9" s="187">
        <v>750.00000000000125</v>
      </c>
      <c r="AH9" s="351">
        <f t="shared" si="3"/>
        <v>7</v>
      </c>
      <c r="AI9" s="485"/>
      <c r="AJ9" s="187">
        <v>4</v>
      </c>
      <c r="AK9" s="187">
        <v>2888.5714285714334</v>
      </c>
      <c r="AL9" s="187">
        <v>722.14285714285836</v>
      </c>
      <c r="AM9" s="351">
        <f t="shared" si="4"/>
        <v>8</v>
      </c>
      <c r="AN9" s="485"/>
      <c r="AO9" s="187">
        <v>4</v>
      </c>
      <c r="AP9" s="187">
        <v>3012.0000000000009</v>
      </c>
      <c r="AQ9" s="187">
        <v>753.00000000000023</v>
      </c>
      <c r="AR9" s="351">
        <f t="shared" si="5"/>
        <v>8</v>
      </c>
      <c r="AS9" s="485"/>
      <c r="AT9" s="187">
        <v>4</v>
      </c>
      <c r="AU9" s="187">
        <v>2930.4000000000005</v>
      </c>
      <c r="AV9" s="187">
        <v>732.60000000000014</v>
      </c>
      <c r="AW9" s="351">
        <f t="shared" si="6"/>
        <v>9</v>
      </c>
      <c r="AX9" s="485"/>
    </row>
    <row r="10" spans="1:50">
      <c r="A10" s="81"/>
      <c r="B10" s="498"/>
      <c r="C10" s="351">
        <v>4</v>
      </c>
      <c r="D10" s="351" t="s">
        <v>443</v>
      </c>
      <c r="E10" s="351">
        <v>4</v>
      </c>
      <c r="F10" s="351">
        <v>3002.9999999999986</v>
      </c>
      <c r="G10" s="351">
        <v>750.74999999999966</v>
      </c>
      <c r="H10" s="485"/>
      <c r="I10" s="219">
        <f t="shared" si="7"/>
        <v>4</v>
      </c>
      <c r="J10" s="219">
        <f t="shared" si="8"/>
        <v>2925.3719171879288</v>
      </c>
      <c r="K10" s="220">
        <f t="shared" si="9"/>
        <v>731.34297929698221</v>
      </c>
      <c r="L10" s="470"/>
      <c r="M10" s="219">
        <f>RANK(K10, K$7:$K$36)</f>
        <v>9</v>
      </c>
      <c r="N10" s="477"/>
      <c r="O10" s="477"/>
      <c r="P10" s="187">
        <v>4</v>
      </c>
      <c r="Q10" s="187">
        <v>2978.8235294117685</v>
      </c>
      <c r="R10" s="187">
        <v>744.70588235294213</v>
      </c>
      <c r="S10" s="351">
        <f t="shared" si="0"/>
        <v>7</v>
      </c>
      <c r="T10" s="485"/>
      <c r="U10" s="187">
        <v>4</v>
      </c>
      <c r="V10" s="187">
        <v>2971.7647058823568</v>
      </c>
      <c r="W10" s="187">
        <v>742.9411764705892</v>
      </c>
      <c r="X10" s="351">
        <f t="shared" si="1"/>
        <v>8</v>
      </c>
      <c r="Y10" s="485"/>
      <c r="Z10" s="187">
        <v>4</v>
      </c>
      <c r="AA10" s="187">
        <v>2925.8823529411798</v>
      </c>
      <c r="AB10" s="187">
        <v>731.47058823529494</v>
      </c>
      <c r="AC10" s="351">
        <f t="shared" si="2"/>
        <v>8</v>
      </c>
      <c r="AD10" s="485"/>
      <c r="AE10" s="187">
        <v>4</v>
      </c>
      <c r="AF10" s="187">
        <v>2847.999999999995</v>
      </c>
      <c r="AG10" s="187">
        <v>711.99999999999875</v>
      </c>
      <c r="AH10" s="351">
        <f t="shared" si="3"/>
        <v>9</v>
      </c>
      <c r="AI10" s="485"/>
      <c r="AJ10" s="187">
        <v>4</v>
      </c>
      <c r="AK10" s="187">
        <v>2978.5714285714225</v>
      </c>
      <c r="AL10" s="187">
        <v>744.64285714285563</v>
      </c>
      <c r="AM10" s="351">
        <f t="shared" si="4"/>
        <v>7</v>
      </c>
      <c r="AN10" s="485"/>
      <c r="AO10" s="187">
        <v>4</v>
      </c>
      <c r="AP10" s="187">
        <v>2857.8947368421095</v>
      </c>
      <c r="AQ10" s="187">
        <v>714.47368421052738</v>
      </c>
      <c r="AR10" s="351">
        <f t="shared" si="5"/>
        <v>9</v>
      </c>
      <c r="AS10" s="485"/>
      <c r="AT10" s="187">
        <v>4</v>
      </c>
      <c r="AU10" s="187">
        <v>2916.6666666666706</v>
      </c>
      <c r="AV10" s="187">
        <v>729.16666666666765</v>
      </c>
      <c r="AW10" s="351">
        <f t="shared" si="6"/>
        <v>10</v>
      </c>
      <c r="AX10" s="485"/>
    </row>
    <row r="11" spans="1:50">
      <c r="A11" s="81"/>
      <c r="B11" s="498"/>
      <c r="C11" s="351">
        <v>5</v>
      </c>
      <c r="D11" s="351" t="s">
        <v>445</v>
      </c>
      <c r="E11" s="351">
        <v>4</v>
      </c>
      <c r="F11" s="351">
        <v>3001.0000000000027</v>
      </c>
      <c r="G11" s="351">
        <v>750.25000000000068</v>
      </c>
      <c r="H11" s="485"/>
      <c r="I11" s="219">
        <f t="shared" si="7"/>
        <v>4</v>
      </c>
      <c r="J11" s="219">
        <f t="shared" si="8"/>
        <v>2642.9999999999827</v>
      </c>
      <c r="K11" s="220">
        <f t="shared" si="9"/>
        <v>660.74999999999568</v>
      </c>
      <c r="L11" s="470"/>
      <c r="M11" s="219">
        <f>RANK(K11, K$7:$K$36)</f>
        <v>11</v>
      </c>
      <c r="N11" s="477"/>
      <c r="O11" s="477"/>
      <c r="P11" s="187">
        <v>4</v>
      </c>
      <c r="Q11" s="187">
        <v>2591.9999999999677</v>
      </c>
      <c r="R11" s="187">
        <v>647.99999999999193</v>
      </c>
      <c r="S11" s="351">
        <f t="shared" si="0"/>
        <v>11</v>
      </c>
      <c r="T11" s="485"/>
      <c r="U11" s="187">
        <v>4</v>
      </c>
      <c r="V11" s="187">
        <v>2675.9999999999668</v>
      </c>
      <c r="W11" s="187">
        <v>668.9999999999917</v>
      </c>
      <c r="X11" s="351">
        <f t="shared" si="1"/>
        <v>11</v>
      </c>
      <c r="Y11" s="485"/>
      <c r="Z11" s="187">
        <v>4</v>
      </c>
      <c r="AA11" s="187">
        <v>2616.0000000000095</v>
      </c>
      <c r="AB11" s="187">
        <v>654.00000000000239</v>
      </c>
      <c r="AC11" s="351">
        <f t="shared" si="2"/>
        <v>11</v>
      </c>
      <c r="AD11" s="485"/>
      <c r="AE11" s="187">
        <v>4</v>
      </c>
      <c r="AF11" s="187">
        <v>2579.9999999999577</v>
      </c>
      <c r="AG11" s="187">
        <v>644.99999999998943</v>
      </c>
      <c r="AH11" s="351">
        <f t="shared" si="3"/>
        <v>11</v>
      </c>
      <c r="AI11" s="485"/>
      <c r="AJ11" s="187">
        <v>4</v>
      </c>
      <c r="AK11" s="187">
        <v>2624.9999999999568</v>
      </c>
      <c r="AL11" s="187">
        <v>656.2499999999892</v>
      </c>
      <c r="AM11" s="351">
        <f t="shared" si="4"/>
        <v>11</v>
      </c>
      <c r="AN11" s="485"/>
      <c r="AO11" s="187">
        <v>4</v>
      </c>
      <c r="AP11" s="187">
        <v>2736.00000000001</v>
      </c>
      <c r="AQ11" s="187">
        <v>684.0000000000025</v>
      </c>
      <c r="AR11" s="351">
        <f t="shared" si="5"/>
        <v>10</v>
      </c>
      <c r="AS11" s="485"/>
      <c r="AT11" s="187">
        <v>4</v>
      </c>
      <c r="AU11" s="187">
        <v>2676.0000000000095</v>
      </c>
      <c r="AV11" s="187">
        <v>669.00000000000239</v>
      </c>
      <c r="AW11" s="351">
        <f t="shared" si="6"/>
        <v>11</v>
      </c>
      <c r="AX11" s="485"/>
    </row>
    <row r="12" spans="1:50">
      <c r="A12" s="81"/>
      <c r="B12" s="498"/>
      <c r="C12" s="351">
        <v>6</v>
      </c>
      <c r="D12" s="351" t="s">
        <v>444</v>
      </c>
      <c r="E12" s="351">
        <v>3</v>
      </c>
      <c r="F12" s="351">
        <v>2989.7727272727279</v>
      </c>
      <c r="G12" s="351">
        <v>996.59090909090935</v>
      </c>
      <c r="H12" s="485"/>
      <c r="I12" s="219">
        <f t="shared" si="7"/>
        <v>3</v>
      </c>
      <c r="J12" s="219">
        <f t="shared" si="8"/>
        <v>2859.4557823129207</v>
      </c>
      <c r="K12" s="220">
        <f t="shared" si="9"/>
        <v>953.15192743763998</v>
      </c>
      <c r="L12" s="470"/>
      <c r="M12" s="219">
        <f>RANK(K12, K$7:$K$36)</f>
        <v>1</v>
      </c>
      <c r="N12" s="477"/>
      <c r="O12" s="477"/>
      <c r="P12" s="187">
        <v>3</v>
      </c>
      <c r="Q12" s="187">
        <v>2833.3333333333185</v>
      </c>
      <c r="R12" s="187">
        <v>944.44444444443945</v>
      </c>
      <c r="S12" s="351">
        <f t="shared" si="0"/>
        <v>1</v>
      </c>
      <c r="T12" s="485"/>
      <c r="U12" s="187">
        <v>3</v>
      </c>
      <c r="V12" s="187">
        <v>2813.333333333318</v>
      </c>
      <c r="W12" s="187">
        <v>937.77777777777271</v>
      </c>
      <c r="X12" s="351">
        <f t="shared" si="1"/>
        <v>1</v>
      </c>
      <c r="Y12" s="485"/>
      <c r="Z12" s="187">
        <v>3</v>
      </c>
      <c r="AA12" s="187">
        <v>2720.0000000000095</v>
      </c>
      <c r="AB12" s="187">
        <v>906.66666666666981</v>
      </c>
      <c r="AC12" s="351">
        <f t="shared" si="2"/>
        <v>2</v>
      </c>
      <c r="AD12" s="485"/>
      <c r="AE12" s="187">
        <v>3</v>
      </c>
      <c r="AF12" s="187">
        <v>2948.5714285714389</v>
      </c>
      <c r="AG12" s="187">
        <v>982.8571428571463</v>
      </c>
      <c r="AH12" s="351">
        <f t="shared" si="3"/>
        <v>2</v>
      </c>
      <c r="AI12" s="485"/>
      <c r="AJ12" s="187">
        <v>3</v>
      </c>
      <c r="AK12" s="187">
        <v>2854.2857142857242</v>
      </c>
      <c r="AL12" s="187">
        <v>951.42857142857474</v>
      </c>
      <c r="AM12" s="351">
        <f t="shared" si="4"/>
        <v>1</v>
      </c>
      <c r="AN12" s="485"/>
      <c r="AO12" s="187">
        <v>3</v>
      </c>
      <c r="AP12" s="187">
        <v>2953.3333333333176</v>
      </c>
      <c r="AQ12" s="187">
        <v>984.44444444443923</v>
      </c>
      <c r="AR12" s="351">
        <f t="shared" si="5"/>
        <v>1</v>
      </c>
      <c r="AS12" s="485"/>
      <c r="AT12" s="187">
        <v>3</v>
      </c>
      <c r="AU12" s="187">
        <v>2893.333333333318</v>
      </c>
      <c r="AV12" s="187">
        <v>964.44444444443934</v>
      </c>
      <c r="AW12" s="351">
        <f t="shared" si="6"/>
        <v>1</v>
      </c>
      <c r="AX12" s="485"/>
    </row>
    <row r="13" spans="1:50">
      <c r="A13" s="81"/>
      <c r="B13" s="498"/>
      <c r="C13" s="351">
        <v>7</v>
      </c>
      <c r="D13" s="351" t="s">
        <v>446</v>
      </c>
      <c r="E13" s="351">
        <v>4</v>
      </c>
      <c r="F13" s="351">
        <v>2441.0526315789457</v>
      </c>
      <c r="G13" s="351">
        <v>610.26315789473642</v>
      </c>
      <c r="H13" s="485"/>
      <c r="I13" s="219">
        <f t="shared" si="7"/>
        <v>4</v>
      </c>
      <c r="J13" s="219">
        <f t="shared" si="8"/>
        <v>2430.9603841536582</v>
      </c>
      <c r="K13" s="220">
        <f t="shared" si="9"/>
        <v>607.74009603841455</v>
      </c>
      <c r="L13" s="470"/>
      <c r="M13" s="219">
        <f>RANK(K13, K$7:$K$36)</f>
        <v>17</v>
      </c>
      <c r="N13" s="477"/>
      <c r="O13" s="477"/>
      <c r="P13" s="187">
        <v>4</v>
      </c>
      <c r="Q13" s="187">
        <v>2407.058823529409</v>
      </c>
      <c r="R13" s="187">
        <v>601.76470588235225</v>
      </c>
      <c r="S13" s="351">
        <f t="shared" si="0"/>
        <v>17</v>
      </c>
      <c r="T13" s="485"/>
      <c r="U13" s="187">
        <v>4</v>
      </c>
      <c r="V13" s="187">
        <v>2396.470588235291</v>
      </c>
      <c r="W13" s="187">
        <v>599.11764705882274</v>
      </c>
      <c r="X13" s="351">
        <f t="shared" si="1"/>
        <v>17</v>
      </c>
      <c r="Y13" s="485"/>
      <c r="Z13" s="187">
        <v>4</v>
      </c>
      <c r="AA13" s="187">
        <v>2489.9999999999964</v>
      </c>
      <c r="AB13" s="187">
        <v>622.49999999999909</v>
      </c>
      <c r="AC13" s="351">
        <f t="shared" si="2"/>
        <v>12</v>
      </c>
      <c r="AD13" s="485"/>
      <c r="AE13" s="187">
        <v>4</v>
      </c>
      <c r="AF13" s="187">
        <v>2404.2857142857092</v>
      </c>
      <c r="AG13" s="187">
        <v>601.0714285714273</v>
      </c>
      <c r="AH13" s="351">
        <f t="shared" si="3"/>
        <v>17</v>
      </c>
      <c r="AI13" s="485"/>
      <c r="AJ13" s="187">
        <v>4</v>
      </c>
      <c r="AK13" s="187">
        <v>2387.1428571428519</v>
      </c>
      <c r="AL13" s="187">
        <v>596.78571428571297</v>
      </c>
      <c r="AM13" s="351">
        <f t="shared" si="4"/>
        <v>17</v>
      </c>
      <c r="AN13" s="485"/>
      <c r="AO13" s="187">
        <v>4</v>
      </c>
      <c r="AP13" s="187">
        <v>2499.9999999999982</v>
      </c>
      <c r="AQ13" s="187">
        <v>624.99999999999955</v>
      </c>
      <c r="AR13" s="351">
        <f t="shared" si="5"/>
        <v>14</v>
      </c>
      <c r="AS13" s="485"/>
      <c r="AT13" s="187">
        <v>4</v>
      </c>
      <c r="AU13" s="187">
        <v>2431.76470588235</v>
      </c>
      <c r="AV13" s="187">
        <v>607.94117647058749</v>
      </c>
      <c r="AW13" s="351">
        <f t="shared" si="6"/>
        <v>15</v>
      </c>
      <c r="AX13" s="485"/>
    </row>
    <row r="14" spans="1:50">
      <c r="A14" s="81"/>
      <c r="B14" s="498"/>
      <c r="C14" s="351">
        <v>8</v>
      </c>
      <c r="D14" s="351" t="s">
        <v>447</v>
      </c>
      <c r="E14" s="351">
        <v>3</v>
      </c>
      <c r="F14" s="351">
        <v>2497.0212765957449</v>
      </c>
      <c r="G14" s="351">
        <v>832.340425531915</v>
      </c>
      <c r="H14" s="485"/>
      <c r="I14" s="219">
        <f t="shared" si="7"/>
        <v>3</v>
      </c>
      <c r="J14" s="219">
        <f t="shared" si="8"/>
        <v>2488.1793444650589</v>
      </c>
      <c r="K14" s="220">
        <f t="shared" si="9"/>
        <v>829.39311482168625</v>
      </c>
      <c r="L14" s="470"/>
      <c r="M14" s="219">
        <f>RANK(K14, K$7:$K$36)</f>
        <v>5</v>
      </c>
      <c r="N14" s="477"/>
      <c r="O14" s="477"/>
      <c r="P14" s="187">
        <v>3</v>
      </c>
      <c r="Q14" s="187">
        <v>2505.7142857142871</v>
      </c>
      <c r="R14" s="187">
        <v>835.23809523809575</v>
      </c>
      <c r="S14" s="351">
        <f t="shared" si="0"/>
        <v>5</v>
      </c>
      <c r="T14" s="485"/>
      <c r="U14" s="187">
        <v>3</v>
      </c>
      <c r="V14" s="187">
        <v>2465.7142857142876</v>
      </c>
      <c r="W14" s="187">
        <v>821.90476190476249</v>
      </c>
      <c r="X14" s="351">
        <f t="shared" si="1"/>
        <v>5</v>
      </c>
      <c r="Y14" s="485"/>
      <c r="Z14" s="187">
        <v>3</v>
      </c>
      <c r="AA14" s="187">
        <v>2510.9999999999991</v>
      </c>
      <c r="AB14" s="187">
        <v>836.99999999999966</v>
      </c>
      <c r="AC14" s="351">
        <f t="shared" si="2"/>
        <v>5</v>
      </c>
      <c r="AD14" s="485"/>
      <c r="AE14" s="187">
        <v>3</v>
      </c>
      <c r="AF14" s="187">
        <v>2479.9999999999982</v>
      </c>
      <c r="AG14" s="187">
        <v>826.66666666666606</v>
      </c>
      <c r="AH14" s="351">
        <f t="shared" si="3"/>
        <v>5</v>
      </c>
      <c r="AI14" s="485"/>
      <c r="AJ14" s="187">
        <v>3</v>
      </c>
      <c r="AK14" s="187">
        <v>2498.3333333333312</v>
      </c>
      <c r="AL14" s="187">
        <v>832.77777777777703</v>
      </c>
      <c r="AM14" s="351">
        <f t="shared" si="4"/>
        <v>4</v>
      </c>
      <c r="AN14" s="485"/>
      <c r="AO14" s="187">
        <v>3</v>
      </c>
      <c r="AP14" s="187">
        <v>2473.6363636363635</v>
      </c>
      <c r="AQ14" s="187">
        <v>824.5454545454545</v>
      </c>
      <c r="AR14" s="351">
        <f t="shared" si="5"/>
        <v>5</v>
      </c>
      <c r="AS14" s="485"/>
      <c r="AT14" s="187">
        <v>3</v>
      </c>
      <c r="AU14" s="187">
        <v>2482.8571428571445</v>
      </c>
      <c r="AV14" s="187">
        <v>827.61904761904816</v>
      </c>
      <c r="AW14" s="351">
        <f t="shared" si="6"/>
        <v>4</v>
      </c>
      <c r="AX14" s="485"/>
    </row>
    <row r="15" spans="1:50">
      <c r="A15" s="81"/>
      <c r="B15" s="498"/>
      <c r="C15" s="351">
        <v>9</v>
      </c>
      <c r="D15" s="351" t="s">
        <v>448</v>
      </c>
      <c r="E15" s="351">
        <v>3</v>
      </c>
      <c r="F15" s="351">
        <v>2503.6363636363658</v>
      </c>
      <c r="G15" s="351">
        <v>834.5454545454553</v>
      </c>
      <c r="H15" s="485"/>
      <c r="I15" s="219">
        <f t="shared" si="7"/>
        <v>3</v>
      </c>
      <c r="J15" s="219">
        <f t="shared" si="8"/>
        <v>2473.9748415939148</v>
      </c>
      <c r="K15" s="220">
        <f t="shared" si="9"/>
        <v>824.65828053130485</v>
      </c>
      <c r="L15" s="470"/>
      <c r="M15" s="219">
        <f>RANK(K15, K$7:$K$36)</f>
        <v>6</v>
      </c>
      <c r="N15" s="477"/>
      <c r="O15" s="477"/>
      <c r="P15" s="187">
        <v>3</v>
      </c>
      <c r="Q15" s="187">
        <v>2471.1627906976764</v>
      </c>
      <c r="R15" s="187">
        <v>823.72093023255877</v>
      </c>
      <c r="S15" s="351">
        <f t="shared" si="0"/>
        <v>6</v>
      </c>
      <c r="T15" s="485"/>
      <c r="U15" s="187">
        <v>3</v>
      </c>
      <c r="V15" s="187">
        <v>2450.0000000000018</v>
      </c>
      <c r="W15" s="187">
        <v>816.66666666666731</v>
      </c>
      <c r="X15" s="351">
        <f t="shared" si="1"/>
        <v>7</v>
      </c>
      <c r="Y15" s="485"/>
      <c r="Z15" s="187">
        <v>3</v>
      </c>
      <c r="AA15" s="187">
        <v>2555.9999999999964</v>
      </c>
      <c r="AB15" s="187">
        <v>851.99999999999875</v>
      </c>
      <c r="AC15" s="351">
        <f t="shared" si="2"/>
        <v>4</v>
      </c>
      <c r="AD15" s="485"/>
      <c r="AE15" s="187">
        <v>3</v>
      </c>
      <c r="AF15" s="187">
        <v>2453.6842105263117</v>
      </c>
      <c r="AG15" s="187">
        <v>817.89473684210395</v>
      </c>
      <c r="AH15" s="351">
        <f t="shared" si="3"/>
        <v>6</v>
      </c>
      <c r="AI15" s="485"/>
      <c r="AJ15" s="187">
        <v>3</v>
      </c>
      <c r="AK15" s="187">
        <v>2438.9189189189201</v>
      </c>
      <c r="AL15" s="187">
        <v>812.97297297297337</v>
      </c>
      <c r="AM15" s="351">
        <f t="shared" si="4"/>
        <v>5</v>
      </c>
      <c r="AN15" s="485"/>
      <c r="AO15" s="187">
        <v>3</v>
      </c>
      <c r="AP15" s="187">
        <v>2490.6666666666688</v>
      </c>
      <c r="AQ15" s="187">
        <v>830.22222222222297</v>
      </c>
      <c r="AR15" s="351">
        <f t="shared" si="5"/>
        <v>4</v>
      </c>
      <c r="AS15" s="485"/>
      <c r="AT15" s="187">
        <v>3</v>
      </c>
      <c r="AU15" s="187">
        <v>2457.3913043478283</v>
      </c>
      <c r="AV15" s="187">
        <v>819.13043478260943</v>
      </c>
      <c r="AW15" s="351">
        <f t="shared" si="6"/>
        <v>5</v>
      </c>
      <c r="AX15" s="485"/>
    </row>
    <row r="16" spans="1:50">
      <c r="A16" s="81"/>
      <c r="B16" s="498"/>
      <c r="C16" s="351">
        <v>10</v>
      </c>
      <c r="D16" s="351" t="s">
        <v>449</v>
      </c>
      <c r="E16" s="351">
        <v>4</v>
      </c>
      <c r="F16" s="351">
        <v>2491.0344827586227</v>
      </c>
      <c r="G16" s="351">
        <v>622.75862068965569</v>
      </c>
      <c r="H16" s="485"/>
      <c r="I16" s="219">
        <f t="shared" si="7"/>
        <v>4</v>
      </c>
      <c r="J16" s="219">
        <f t="shared" si="8"/>
        <v>2470.6633720006362</v>
      </c>
      <c r="K16" s="220">
        <f t="shared" si="9"/>
        <v>617.66584300015904</v>
      </c>
      <c r="L16" s="470"/>
      <c r="M16" s="219">
        <f>RANK(K16, K$7:$K$36)</f>
        <v>15</v>
      </c>
      <c r="N16" s="477"/>
      <c r="O16" s="477"/>
      <c r="P16" s="187">
        <v>4</v>
      </c>
      <c r="Q16" s="187">
        <v>2470.0000000000023</v>
      </c>
      <c r="R16" s="187">
        <v>617.50000000000057</v>
      </c>
      <c r="S16" s="351">
        <f t="shared" si="0"/>
        <v>15</v>
      </c>
      <c r="T16" s="485"/>
      <c r="U16" s="187">
        <v>4</v>
      </c>
      <c r="V16" s="187">
        <v>2472.4137931034502</v>
      </c>
      <c r="W16" s="187">
        <v>618.10344827586255</v>
      </c>
      <c r="X16" s="351">
        <f t="shared" si="1"/>
        <v>14</v>
      </c>
      <c r="Y16" s="485"/>
      <c r="Z16" s="187">
        <v>4</v>
      </c>
      <c r="AA16" s="187">
        <v>2455.8620689655127</v>
      </c>
      <c r="AB16" s="187">
        <v>613.96551724137817</v>
      </c>
      <c r="AC16" s="351">
        <f t="shared" si="2"/>
        <v>16</v>
      </c>
      <c r="AD16" s="485"/>
      <c r="AE16" s="187">
        <v>4</v>
      </c>
      <c r="AF16" s="187">
        <v>2414.4000000000005</v>
      </c>
      <c r="AG16" s="187">
        <v>603.60000000000014</v>
      </c>
      <c r="AH16" s="351">
        <f t="shared" si="3"/>
        <v>16</v>
      </c>
      <c r="AI16" s="485"/>
      <c r="AJ16" s="187">
        <v>4</v>
      </c>
      <c r="AK16" s="187">
        <v>2495.0000000000005</v>
      </c>
      <c r="AL16" s="187">
        <v>623.75000000000011</v>
      </c>
      <c r="AM16" s="351">
        <f t="shared" si="4"/>
        <v>12</v>
      </c>
      <c r="AN16" s="485"/>
      <c r="AO16" s="187">
        <v>4</v>
      </c>
      <c r="AP16" s="187">
        <v>2556.0000000000023</v>
      </c>
      <c r="AQ16" s="187">
        <v>639.00000000000057</v>
      </c>
      <c r="AR16" s="351">
        <f t="shared" si="5"/>
        <v>13</v>
      </c>
      <c r="AS16" s="485"/>
      <c r="AT16" s="187">
        <v>4</v>
      </c>
      <c r="AU16" s="187">
        <v>2430.9677419354862</v>
      </c>
      <c r="AV16" s="187">
        <v>607.74193548387154</v>
      </c>
      <c r="AW16" s="351">
        <f t="shared" si="6"/>
        <v>16</v>
      </c>
      <c r="AX16" s="485"/>
    </row>
    <row r="17" spans="2:50">
      <c r="B17" s="498"/>
      <c r="C17" s="351">
        <v>11</v>
      </c>
      <c r="D17" s="351" t="s">
        <v>515</v>
      </c>
      <c r="E17" s="351">
        <v>4</v>
      </c>
      <c r="F17" s="351">
        <v>2472.2448979591845</v>
      </c>
      <c r="G17" s="351">
        <v>618.06122448979613</v>
      </c>
      <c r="H17" s="485"/>
      <c r="I17" s="219">
        <f t="shared" si="7"/>
        <v>4</v>
      </c>
      <c r="J17" s="219">
        <f t="shared" si="8"/>
        <v>2476.9122316736871</v>
      </c>
      <c r="K17" s="220">
        <f t="shared" si="9"/>
        <v>619.22805791842177</v>
      </c>
      <c r="L17" s="470"/>
      <c r="M17" s="219">
        <f>RANK(K17, K$7:$K$36)</f>
        <v>14</v>
      </c>
      <c r="N17" s="477"/>
      <c r="O17" s="477"/>
      <c r="P17" s="187">
        <v>4</v>
      </c>
      <c r="Q17" s="187">
        <v>2469.8181818181833</v>
      </c>
      <c r="R17" s="187">
        <v>617.45454545454584</v>
      </c>
      <c r="S17" s="351">
        <f t="shared" si="0"/>
        <v>16</v>
      </c>
      <c r="T17" s="485"/>
      <c r="U17" s="187">
        <v>4</v>
      </c>
      <c r="V17" s="187">
        <v>2464.3636363636379</v>
      </c>
      <c r="W17" s="187">
        <v>616.09090909090946</v>
      </c>
      <c r="X17" s="351">
        <f t="shared" si="1"/>
        <v>16</v>
      </c>
      <c r="Y17" s="485"/>
      <c r="Z17" s="187">
        <v>4</v>
      </c>
      <c r="AA17" s="187">
        <v>2489.4339622641487</v>
      </c>
      <c r="AB17" s="187">
        <v>622.35849056603718</v>
      </c>
      <c r="AC17" s="351">
        <f t="shared" si="2"/>
        <v>13</v>
      </c>
      <c r="AD17" s="485"/>
      <c r="AE17" s="187">
        <v>4</v>
      </c>
      <c r="AF17" s="187">
        <v>2486.6666666666665</v>
      </c>
      <c r="AG17" s="187">
        <v>621.66666666666663</v>
      </c>
      <c r="AH17" s="351">
        <f t="shared" si="3"/>
        <v>13</v>
      </c>
      <c r="AI17" s="485"/>
      <c r="AJ17" s="187">
        <v>4</v>
      </c>
      <c r="AK17" s="187">
        <v>2456</v>
      </c>
      <c r="AL17" s="187">
        <v>614</v>
      </c>
      <c r="AM17" s="351">
        <f t="shared" si="4"/>
        <v>15</v>
      </c>
      <c r="AN17" s="485"/>
      <c r="AO17" s="187">
        <v>4</v>
      </c>
      <c r="AP17" s="187">
        <v>2493.2142857142876</v>
      </c>
      <c r="AQ17" s="187">
        <v>623.3035714285719</v>
      </c>
      <c r="AR17" s="351">
        <f t="shared" si="5"/>
        <v>15</v>
      </c>
      <c r="AS17" s="485"/>
      <c r="AT17" s="187">
        <v>4</v>
      </c>
      <c r="AU17" s="187">
        <v>2478.8888888888864</v>
      </c>
      <c r="AV17" s="187">
        <v>619.7222222222216</v>
      </c>
      <c r="AW17" s="351">
        <f t="shared" si="6"/>
        <v>13</v>
      </c>
      <c r="AX17" s="485"/>
    </row>
    <row r="18" spans="2:50">
      <c r="B18" s="498"/>
      <c r="C18" s="351">
        <v>12</v>
      </c>
      <c r="D18" s="351" t="s">
        <v>450</v>
      </c>
      <c r="E18" s="351">
        <v>3</v>
      </c>
      <c r="F18" s="351">
        <v>2365.714285714294</v>
      </c>
      <c r="G18" s="351">
        <v>788.57142857143128</v>
      </c>
      <c r="H18" s="485"/>
      <c r="I18" s="219">
        <f t="shared" si="7"/>
        <v>3</v>
      </c>
      <c r="J18" s="219">
        <f t="shared" si="8"/>
        <v>2566.6655844155875</v>
      </c>
      <c r="K18" s="220">
        <f t="shared" si="9"/>
        <v>855.55519480519615</v>
      </c>
      <c r="L18" s="470"/>
      <c r="M18" s="219">
        <f>RANK(K18, K$7:$K$36)</f>
        <v>4</v>
      </c>
      <c r="N18" s="477"/>
      <c r="O18" s="477"/>
      <c r="P18" s="187">
        <v>3</v>
      </c>
      <c r="Q18" s="187">
        <v>2555.9999999999955</v>
      </c>
      <c r="R18" s="187">
        <v>851.99999999999852</v>
      </c>
      <c r="S18" s="351">
        <f t="shared" si="0"/>
        <v>4</v>
      </c>
      <c r="T18" s="485"/>
      <c r="U18" s="187">
        <v>3</v>
      </c>
      <c r="V18" s="187">
        <v>2460.0000000000086</v>
      </c>
      <c r="W18" s="187">
        <v>820.00000000000284</v>
      </c>
      <c r="X18" s="351">
        <f t="shared" si="1"/>
        <v>6</v>
      </c>
      <c r="Y18" s="485"/>
      <c r="Z18" s="187">
        <v>3</v>
      </c>
      <c r="AA18" s="187">
        <v>2359.9999999999959</v>
      </c>
      <c r="AB18" s="187">
        <v>786.66666666666526</v>
      </c>
      <c r="AC18" s="351">
        <f t="shared" si="2"/>
        <v>7</v>
      </c>
      <c r="AD18" s="485"/>
      <c r="AE18" s="187">
        <v>3</v>
      </c>
      <c r="AF18" s="187">
        <v>3390.0000000000118</v>
      </c>
      <c r="AG18" s="187">
        <v>1130.0000000000039</v>
      </c>
      <c r="AH18" s="351">
        <f t="shared" si="3"/>
        <v>1</v>
      </c>
      <c r="AI18" s="485"/>
      <c r="AJ18" s="187">
        <v>3</v>
      </c>
      <c r="AK18" s="187">
        <v>2410.9090909090992</v>
      </c>
      <c r="AL18" s="187">
        <v>803.63636363636635</v>
      </c>
      <c r="AM18" s="351">
        <f t="shared" si="4"/>
        <v>6</v>
      </c>
      <c r="AN18" s="485"/>
      <c r="AO18" s="187">
        <v>3</v>
      </c>
      <c r="AP18" s="187">
        <v>2373.7499999999968</v>
      </c>
      <c r="AQ18" s="187">
        <v>791.24999999999898</v>
      </c>
      <c r="AR18" s="351">
        <f t="shared" si="5"/>
        <v>6</v>
      </c>
      <c r="AS18" s="485"/>
      <c r="AT18" s="187">
        <v>3</v>
      </c>
      <c r="AU18" s="187">
        <v>2416.0000000000086</v>
      </c>
      <c r="AV18" s="187">
        <v>805.33333333333621</v>
      </c>
      <c r="AW18" s="351">
        <f t="shared" si="6"/>
        <v>6</v>
      </c>
      <c r="AX18" s="485"/>
    </row>
    <row r="19" spans="2:50">
      <c r="B19" s="498"/>
      <c r="C19" s="351">
        <v>13</v>
      </c>
      <c r="D19" s="351" t="s">
        <v>451</v>
      </c>
      <c r="E19" s="351">
        <v>4</v>
      </c>
      <c r="F19" s="351">
        <v>2554.1538461538453</v>
      </c>
      <c r="G19" s="351">
        <v>638.53846153846132</v>
      </c>
      <c r="H19" s="485"/>
      <c r="I19" s="219">
        <f t="shared" si="7"/>
        <v>4</v>
      </c>
      <c r="J19" s="219">
        <f t="shared" si="8"/>
        <v>2480.6218488059199</v>
      </c>
      <c r="K19" s="220">
        <f t="shared" si="9"/>
        <v>620.15546220147996</v>
      </c>
      <c r="L19" s="470"/>
      <c r="M19" s="219">
        <f>RANK(K19, K$7:$K$36)</f>
        <v>13</v>
      </c>
      <c r="N19" s="477"/>
      <c r="O19" s="477"/>
      <c r="P19" s="187">
        <v>4</v>
      </c>
      <c r="Q19" s="187">
        <v>2487.6190476190468</v>
      </c>
      <c r="R19" s="187">
        <v>621.9047619047617</v>
      </c>
      <c r="S19" s="351">
        <f t="shared" si="0"/>
        <v>13</v>
      </c>
      <c r="T19" s="485"/>
      <c r="U19" s="187">
        <v>4</v>
      </c>
      <c r="V19" s="187">
        <v>2493.8709677419347</v>
      </c>
      <c r="W19" s="187">
        <v>623.46774193548367</v>
      </c>
      <c r="X19" s="351">
        <f t="shared" si="1"/>
        <v>13</v>
      </c>
      <c r="Y19" s="485"/>
      <c r="Z19" s="187">
        <v>4</v>
      </c>
      <c r="AA19" s="187">
        <v>2487.0967741935492</v>
      </c>
      <c r="AB19" s="187">
        <v>621.7741935483873</v>
      </c>
      <c r="AC19" s="351">
        <f t="shared" si="2"/>
        <v>14</v>
      </c>
      <c r="AD19" s="485"/>
      <c r="AE19" s="187">
        <v>4</v>
      </c>
      <c r="AF19" s="187">
        <v>2496.6666666666665</v>
      </c>
      <c r="AG19" s="187">
        <v>624.16666666666663</v>
      </c>
      <c r="AH19" s="351">
        <f t="shared" si="3"/>
        <v>12</v>
      </c>
      <c r="AI19" s="485"/>
      <c r="AJ19" s="187">
        <v>4</v>
      </c>
      <c r="AK19" s="187">
        <v>2457.7358490566053</v>
      </c>
      <c r="AL19" s="187">
        <v>614.43396226415132</v>
      </c>
      <c r="AM19" s="351">
        <f t="shared" si="4"/>
        <v>14</v>
      </c>
      <c r="AN19" s="485"/>
      <c r="AO19" s="187">
        <v>4</v>
      </c>
      <c r="AP19" s="187">
        <v>2475</v>
      </c>
      <c r="AQ19" s="187">
        <v>618.75</v>
      </c>
      <c r="AR19" s="351">
        <f t="shared" si="5"/>
        <v>17</v>
      </c>
      <c r="AS19" s="485"/>
      <c r="AT19" s="187">
        <v>4</v>
      </c>
      <c r="AU19" s="187">
        <v>2466.3636363636365</v>
      </c>
      <c r="AV19" s="187">
        <v>616.59090909090912</v>
      </c>
      <c r="AW19" s="351">
        <f t="shared" si="6"/>
        <v>14</v>
      </c>
      <c r="AX19" s="485"/>
    </row>
    <row r="20" spans="2:50">
      <c r="B20" s="498"/>
      <c r="C20" s="351">
        <v>14</v>
      </c>
      <c r="D20" s="351" t="s">
        <v>452</v>
      </c>
      <c r="E20" s="351">
        <v>4</v>
      </c>
      <c r="F20" s="351">
        <v>2467.9999999999995</v>
      </c>
      <c r="G20" s="351">
        <v>616.99999999999989</v>
      </c>
      <c r="H20" s="485"/>
      <c r="I20" s="219">
        <f t="shared" si="7"/>
        <v>4</v>
      </c>
      <c r="J20" s="219">
        <f t="shared" si="8"/>
        <v>2484.3564009314287</v>
      </c>
      <c r="K20" s="220">
        <f t="shared" si="9"/>
        <v>621.08910023285716</v>
      </c>
      <c r="L20" s="470"/>
      <c r="M20" s="219">
        <f>RANK(K20, K$7:$K$36)</f>
        <v>12</v>
      </c>
      <c r="N20" s="477"/>
      <c r="O20" s="477"/>
      <c r="P20" s="187">
        <v>4</v>
      </c>
      <c r="Q20" s="187">
        <v>2487.9999999999995</v>
      </c>
      <c r="R20" s="187">
        <v>621.99999999999989</v>
      </c>
      <c r="S20" s="351">
        <f t="shared" si="0"/>
        <v>12</v>
      </c>
      <c r="T20" s="485"/>
      <c r="U20" s="187">
        <v>4</v>
      </c>
      <c r="V20" s="187">
        <v>2467.3972602739732</v>
      </c>
      <c r="W20" s="187">
        <v>616.8493150684933</v>
      </c>
      <c r="X20" s="351">
        <f t="shared" si="1"/>
        <v>15</v>
      </c>
      <c r="Y20" s="485"/>
      <c r="Z20" s="187">
        <v>4</v>
      </c>
      <c r="AA20" s="187">
        <v>2473.9726027397255</v>
      </c>
      <c r="AB20" s="187">
        <v>618.49315068493138</v>
      </c>
      <c r="AC20" s="351">
        <f t="shared" si="2"/>
        <v>15</v>
      </c>
      <c r="AD20" s="485"/>
      <c r="AE20" s="187">
        <v>4</v>
      </c>
      <c r="AF20" s="187">
        <v>2480.9523809523789</v>
      </c>
      <c r="AG20" s="187">
        <v>620.23809523809473</v>
      </c>
      <c r="AH20" s="351">
        <f t="shared" si="3"/>
        <v>14</v>
      </c>
      <c r="AI20" s="485"/>
      <c r="AJ20" s="187">
        <v>4</v>
      </c>
      <c r="AK20" s="187">
        <v>2487.5409836065564</v>
      </c>
      <c r="AL20" s="187">
        <v>621.88524590163911</v>
      </c>
      <c r="AM20" s="351">
        <f t="shared" si="4"/>
        <v>13</v>
      </c>
      <c r="AN20" s="485"/>
      <c r="AO20" s="187">
        <v>4</v>
      </c>
      <c r="AP20" s="187">
        <v>2492.3684210526312</v>
      </c>
      <c r="AQ20" s="187">
        <v>623.0921052631578</v>
      </c>
      <c r="AR20" s="351">
        <f t="shared" si="5"/>
        <v>16</v>
      </c>
      <c r="AS20" s="485"/>
      <c r="AT20" s="187">
        <v>4</v>
      </c>
      <c r="AU20" s="187">
        <v>2500.2631578947362</v>
      </c>
      <c r="AV20" s="187">
        <v>625.06578947368405</v>
      </c>
      <c r="AW20" s="351">
        <f t="shared" si="6"/>
        <v>12</v>
      </c>
      <c r="AX20" s="485"/>
    </row>
    <row r="21" spans="2:50">
      <c r="B21" s="498"/>
      <c r="C21" s="351">
        <v>15</v>
      </c>
      <c r="D21" s="351" t="s">
        <v>453</v>
      </c>
      <c r="E21" s="351">
        <v>4</v>
      </c>
      <c r="F21" s="351">
        <v>2746.0000000000095</v>
      </c>
      <c r="G21" s="351">
        <v>686.50000000000239</v>
      </c>
      <c r="H21" s="485"/>
      <c r="I21" s="219">
        <f t="shared" si="7"/>
        <v>4</v>
      </c>
      <c r="J21" s="219">
        <f t="shared" si="8"/>
        <v>2770.3511599511621</v>
      </c>
      <c r="K21" s="220">
        <f t="shared" si="9"/>
        <v>692.58778998779053</v>
      </c>
      <c r="L21" s="470"/>
      <c r="M21" s="219">
        <f>RANK(K21, K$7:$K$36)</f>
        <v>10</v>
      </c>
      <c r="N21" s="477"/>
      <c r="O21" s="477"/>
      <c r="P21" s="187">
        <v>4</v>
      </c>
      <c r="Q21" s="187">
        <v>2706.6666666666761</v>
      </c>
      <c r="R21" s="187">
        <v>676.66666666666902</v>
      </c>
      <c r="S21" s="351">
        <f t="shared" si="0"/>
        <v>10</v>
      </c>
      <c r="T21" s="485"/>
      <c r="U21" s="187">
        <v>4</v>
      </c>
      <c r="V21" s="187">
        <v>2875.1999999999921</v>
      </c>
      <c r="W21" s="187">
        <v>718.79999999999802</v>
      </c>
      <c r="X21" s="351">
        <f t="shared" si="1"/>
        <v>10</v>
      </c>
      <c r="Y21" s="485"/>
      <c r="Z21" s="187">
        <v>4</v>
      </c>
      <c r="AA21" s="187">
        <v>2769.5999999999922</v>
      </c>
      <c r="AB21" s="187">
        <v>692.39999999999804</v>
      </c>
      <c r="AC21" s="351">
        <f t="shared" si="2"/>
        <v>10</v>
      </c>
      <c r="AD21" s="485"/>
      <c r="AE21" s="187">
        <v>4</v>
      </c>
      <c r="AF21" s="187">
        <v>2720.7692307692405</v>
      </c>
      <c r="AG21" s="187">
        <v>680.19230769231012</v>
      </c>
      <c r="AH21" s="351">
        <f t="shared" si="3"/>
        <v>10</v>
      </c>
      <c r="AI21" s="485"/>
      <c r="AJ21" s="187">
        <v>4</v>
      </c>
      <c r="AK21" s="187">
        <v>2762.2222222222322</v>
      </c>
      <c r="AL21" s="187">
        <v>690.55555555555804</v>
      </c>
      <c r="AM21" s="351">
        <f t="shared" si="4"/>
        <v>10</v>
      </c>
      <c r="AN21" s="485"/>
      <c r="AO21" s="187">
        <v>4</v>
      </c>
      <c r="AP21" s="187">
        <v>2582.0000000000091</v>
      </c>
      <c r="AQ21" s="187">
        <v>645.50000000000227</v>
      </c>
      <c r="AR21" s="351">
        <f t="shared" si="5"/>
        <v>12</v>
      </c>
      <c r="AS21" s="485"/>
      <c r="AT21" s="187">
        <v>4</v>
      </c>
      <c r="AU21" s="187">
        <v>2975.9999999999914</v>
      </c>
      <c r="AV21" s="187">
        <v>743.99999999999784</v>
      </c>
      <c r="AW21" s="351">
        <f t="shared" si="6"/>
        <v>7</v>
      </c>
      <c r="AX21" s="485"/>
    </row>
    <row r="22" spans="2:50">
      <c r="B22" s="498"/>
      <c r="C22" s="351">
        <v>16</v>
      </c>
      <c r="D22" s="351" t="s">
        <v>454</v>
      </c>
      <c r="E22" s="351">
        <v>3</v>
      </c>
      <c r="F22" s="351">
        <v>2190.0000000000077</v>
      </c>
      <c r="G22" s="351">
        <v>730.00000000000261</v>
      </c>
      <c r="H22" s="485"/>
      <c r="I22" s="219">
        <f t="shared" si="7"/>
        <v>3</v>
      </c>
      <c r="J22" s="219">
        <f t="shared" si="8"/>
        <v>2262.5140042223802</v>
      </c>
      <c r="K22" s="220">
        <f t="shared" si="9"/>
        <v>754.17133474079344</v>
      </c>
      <c r="L22" s="470"/>
      <c r="M22" s="219">
        <f>RANK(K22, K$7:$K$36)</f>
        <v>7</v>
      </c>
      <c r="N22" s="477"/>
      <c r="O22" s="477"/>
      <c r="P22" s="187">
        <v>3</v>
      </c>
      <c r="Q22" s="187">
        <v>2149.6551724137889</v>
      </c>
      <c r="R22" s="187">
        <v>716.55172413792968</v>
      </c>
      <c r="S22" s="351">
        <f t="shared" si="0"/>
        <v>9</v>
      </c>
      <c r="T22" s="485"/>
      <c r="U22" s="187">
        <v>3</v>
      </c>
      <c r="V22" s="187">
        <v>2471.9999999999927</v>
      </c>
      <c r="W22" s="187">
        <v>823.99999999999761</v>
      </c>
      <c r="X22" s="351">
        <f t="shared" si="1"/>
        <v>4</v>
      </c>
      <c r="Y22" s="485"/>
      <c r="Z22" s="187">
        <v>3</v>
      </c>
      <c r="AA22" s="187">
        <v>2392.7999999999934</v>
      </c>
      <c r="AB22" s="187">
        <v>797.59999999999775</v>
      </c>
      <c r="AC22" s="351">
        <f t="shared" si="2"/>
        <v>6</v>
      </c>
      <c r="AD22" s="485"/>
      <c r="AE22" s="187">
        <v>3</v>
      </c>
      <c r="AF22" s="187">
        <v>2177.1428571428646</v>
      </c>
      <c r="AG22" s="187">
        <v>725.71428571428817</v>
      </c>
      <c r="AH22" s="351">
        <f t="shared" si="3"/>
        <v>8</v>
      </c>
      <c r="AI22" s="485"/>
      <c r="AJ22" s="187">
        <v>3</v>
      </c>
      <c r="AK22" s="187">
        <v>2158.0000000000077</v>
      </c>
      <c r="AL22" s="187">
        <v>719.33333333333587</v>
      </c>
      <c r="AM22" s="351">
        <f t="shared" si="4"/>
        <v>9</v>
      </c>
      <c r="AN22" s="485"/>
      <c r="AO22" s="187">
        <v>3</v>
      </c>
      <c r="AP22" s="187">
        <v>2270.0000000000082</v>
      </c>
      <c r="AQ22" s="187">
        <v>756.66666666666936</v>
      </c>
      <c r="AR22" s="351">
        <f t="shared" si="5"/>
        <v>7</v>
      </c>
      <c r="AS22" s="485"/>
      <c r="AT22" s="187">
        <v>3</v>
      </c>
      <c r="AU22" s="187">
        <v>2218.0000000000077</v>
      </c>
      <c r="AV22" s="187">
        <v>739.33333333333587</v>
      </c>
      <c r="AW22" s="351">
        <f t="shared" si="6"/>
        <v>8</v>
      </c>
      <c r="AX22" s="485"/>
    </row>
    <row r="23" spans="2:50">
      <c r="B23" s="498"/>
      <c r="C23" s="351">
        <v>17</v>
      </c>
      <c r="D23" s="351" t="s">
        <v>455</v>
      </c>
      <c r="E23" s="351">
        <v>4</v>
      </c>
      <c r="F23" s="351">
        <v>2150.769230769225</v>
      </c>
      <c r="G23" s="351">
        <v>537.69230769230626</v>
      </c>
      <c r="H23" s="485"/>
      <c r="I23" s="219">
        <f t="shared" si="7"/>
        <v>4</v>
      </c>
      <c r="J23" s="219">
        <f t="shared" si="8"/>
        <v>2089.1033444816012</v>
      </c>
      <c r="K23" s="220">
        <f t="shared" si="9"/>
        <v>522.2758361204003</v>
      </c>
      <c r="L23" s="470"/>
      <c r="M23" s="219">
        <f>RANK(K23, K$7:$K$36)</f>
        <v>18</v>
      </c>
      <c r="N23" s="477"/>
      <c r="O23" s="477"/>
      <c r="P23" s="187">
        <v>4</v>
      </c>
      <c r="Q23" s="187">
        <v>2162.5000000000077</v>
      </c>
      <c r="R23" s="187">
        <v>540.62500000000193</v>
      </c>
      <c r="S23" s="351">
        <f t="shared" si="0"/>
        <v>18</v>
      </c>
      <c r="T23" s="485"/>
      <c r="U23" s="187">
        <v>4</v>
      </c>
      <c r="V23" s="187">
        <v>1987.1999999999944</v>
      </c>
      <c r="W23" s="187">
        <v>496.79999999999859</v>
      </c>
      <c r="X23" s="351">
        <f t="shared" si="1"/>
        <v>19</v>
      </c>
      <c r="Y23" s="485"/>
      <c r="Z23" s="187">
        <v>4</v>
      </c>
      <c r="AA23" s="187">
        <v>1893.5999999999947</v>
      </c>
      <c r="AB23" s="187">
        <v>473.39999999999867</v>
      </c>
      <c r="AC23" s="351">
        <f t="shared" si="2"/>
        <v>19</v>
      </c>
      <c r="AD23" s="485"/>
      <c r="AE23" s="187">
        <v>4</v>
      </c>
      <c r="AF23" s="187">
        <v>2120.8695652173988</v>
      </c>
      <c r="AG23" s="187">
        <v>530.21739130434969</v>
      </c>
      <c r="AH23" s="351">
        <f t="shared" si="3"/>
        <v>18</v>
      </c>
      <c r="AI23" s="485"/>
      <c r="AJ23" s="187">
        <v>4</v>
      </c>
      <c r="AK23" s="187">
        <v>2174.9999999999786</v>
      </c>
      <c r="AL23" s="187">
        <v>543.74999999999466</v>
      </c>
      <c r="AM23" s="351">
        <f t="shared" si="4"/>
        <v>18</v>
      </c>
      <c r="AN23" s="485"/>
      <c r="AO23" s="187">
        <v>4</v>
      </c>
      <c r="AP23" s="187">
        <v>2086.1538461538407</v>
      </c>
      <c r="AQ23" s="187">
        <v>521.53846153846018</v>
      </c>
      <c r="AR23" s="351">
        <f t="shared" si="5"/>
        <v>18</v>
      </c>
      <c r="AS23" s="485"/>
      <c r="AT23" s="187">
        <v>4</v>
      </c>
      <c r="AU23" s="187">
        <v>2198.3999999999937</v>
      </c>
      <c r="AV23" s="187">
        <v>549.59999999999843</v>
      </c>
      <c r="AW23" s="351">
        <f t="shared" si="6"/>
        <v>18</v>
      </c>
      <c r="AX23" s="485"/>
    </row>
    <row r="24" spans="2:50">
      <c r="B24" s="498"/>
      <c r="C24" s="351">
        <v>18</v>
      </c>
      <c r="D24" s="351" t="s">
        <v>456</v>
      </c>
      <c r="E24" s="351">
        <v>4</v>
      </c>
      <c r="F24" s="351">
        <v>2432.9032258064522</v>
      </c>
      <c r="G24" s="351">
        <v>608.22580645161304</v>
      </c>
      <c r="H24" s="485"/>
      <c r="I24" s="219">
        <f t="shared" si="7"/>
        <v>4</v>
      </c>
      <c r="J24" s="219">
        <f t="shared" si="8"/>
        <v>2458.4724326111927</v>
      </c>
      <c r="K24" s="220">
        <f t="shared" si="9"/>
        <v>614.61810815279819</v>
      </c>
      <c r="L24" s="470"/>
      <c r="M24" s="219">
        <f>RANK(K24, K$7:$K$36)</f>
        <v>16</v>
      </c>
      <c r="N24" s="477"/>
      <c r="O24" s="477"/>
      <c r="P24" s="187">
        <v>4</v>
      </c>
      <c r="Q24" s="187">
        <v>2480.625</v>
      </c>
      <c r="R24" s="187">
        <v>620.15625</v>
      </c>
      <c r="S24" s="351">
        <f t="shared" si="0"/>
        <v>14</v>
      </c>
      <c r="T24" s="485"/>
      <c r="U24" s="187">
        <v>4</v>
      </c>
      <c r="V24" s="187">
        <v>2606.0000006067567</v>
      </c>
      <c r="W24" s="187">
        <v>651.50000015168916</v>
      </c>
      <c r="X24" s="351">
        <f t="shared" si="1"/>
        <v>12</v>
      </c>
      <c r="Y24" s="485"/>
      <c r="Z24" s="187">
        <v>4</v>
      </c>
      <c r="AA24" s="187">
        <v>2321.9999997296836</v>
      </c>
      <c r="AB24" s="187">
        <v>580.49999993242091</v>
      </c>
      <c r="AC24" s="351">
        <f t="shared" si="2"/>
        <v>17</v>
      </c>
      <c r="AD24" s="485"/>
      <c r="AE24" s="187">
        <v>4</v>
      </c>
      <c r="AF24" s="187">
        <v>2451.4285714285802</v>
      </c>
      <c r="AG24" s="187">
        <v>612.85714285714505</v>
      </c>
      <c r="AH24" s="351">
        <f t="shared" si="3"/>
        <v>15</v>
      </c>
      <c r="AI24" s="485"/>
      <c r="AJ24" s="187">
        <v>4</v>
      </c>
      <c r="AK24" s="187">
        <v>2430.967742227615</v>
      </c>
      <c r="AL24" s="187">
        <v>607.74193555690374</v>
      </c>
      <c r="AM24" s="351">
        <f t="shared" si="4"/>
        <v>16</v>
      </c>
      <c r="AN24" s="485"/>
      <c r="AO24" s="187">
        <v>4</v>
      </c>
      <c r="AP24" s="187">
        <v>2688</v>
      </c>
      <c r="AQ24" s="187">
        <v>672</v>
      </c>
      <c r="AR24" s="351">
        <f t="shared" si="5"/>
        <v>11</v>
      </c>
      <c r="AS24" s="485"/>
      <c r="AT24" s="187">
        <v>4</v>
      </c>
      <c r="AU24" s="187">
        <v>2230.2857142857142</v>
      </c>
      <c r="AV24" s="187">
        <v>557.57142857142856</v>
      </c>
      <c r="AW24" s="351">
        <f t="shared" si="6"/>
        <v>17</v>
      </c>
      <c r="AX24" s="485"/>
    </row>
    <row r="25" spans="2:50">
      <c r="B25" s="498"/>
      <c r="C25" s="351">
        <v>19</v>
      </c>
      <c r="D25" s="351" t="s">
        <v>676</v>
      </c>
      <c r="E25" s="351">
        <v>3</v>
      </c>
      <c r="F25" s="351">
        <v>2676.6666666666647</v>
      </c>
      <c r="G25" s="351">
        <v>892.2222222222216</v>
      </c>
      <c r="H25" s="485"/>
      <c r="I25" s="219">
        <f t="shared" si="7"/>
        <v>3</v>
      </c>
      <c r="J25" s="219">
        <f t="shared" si="8"/>
        <v>2683.265450688777</v>
      </c>
      <c r="K25" s="220">
        <f t="shared" si="9"/>
        <v>894.42181689625897</v>
      </c>
      <c r="L25" s="470"/>
      <c r="M25" s="219">
        <f>RANK(K25, K$7:$K$36)</f>
        <v>3</v>
      </c>
      <c r="N25" s="477"/>
      <c r="O25" s="477"/>
      <c r="P25" s="187">
        <v>3</v>
      </c>
      <c r="Q25" s="187">
        <v>2689.870129870128</v>
      </c>
      <c r="R25" s="187">
        <v>896.62337662337598</v>
      </c>
      <c r="S25" s="351">
        <f t="shared" si="0"/>
        <v>3</v>
      </c>
      <c r="T25" s="485"/>
      <c r="U25" s="187">
        <v>3</v>
      </c>
      <c r="V25" s="187">
        <v>2677.600000000004</v>
      </c>
      <c r="W25" s="187">
        <v>892.53333333333467</v>
      </c>
      <c r="X25" s="351">
        <f t="shared" si="1"/>
        <v>2</v>
      </c>
      <c r="Y25" s="485"/>
      <c r="Z25" s="187">
        <v>3</v>
      </c>
      <c r="AA25" s="187">
        <v>2670.0000000000009</v>
      </c>
      <c r="AB25" s="187">
        <v>890.00000000000034</v>
      </c>
      <c r="AC25" s="351">
        <f t="shared" si="2"/>
        <v>3</v>
      </c>
      <c r="AD25" s="485"/>
      <c r="AE25" s="187">
        <v>3</v>
      </c>
      <c r="AF25" s="187">
        <v>2690.1492537313466</v>
      </c>
      <c r="AG25" s="187">
        <v>896.71641791044885</v>
      </c>
      <c r="AH25" s="351">
        <f t="shared" si="3"/>
        <v>3</v>
      </c>
      <c r="AI25" s="485"/>
      <c r="AJ25" s="187">
        <v>3</v>
      </c>
      <c r="AK25" s="187">
        <v>2698.1538461538426</v>
      </c>
      <c r="AL25" s="187">
        <v>899.38461538461422</v>
      </c>
      <c r="AM25" s="351">
        <f t="shared" si="4"/>
        <v>2</v>
      </c>
      <c r="AN25" s="485"/>
      <c r="AO25" s="187">
        <v>3</v>
      </c>
      <c r="AP25" s="187">
        <v>2679.0361445783151</v>
      </c>
      <c r="AQ25" s="187">
        <v>893.01204819277166</v>
      </c>
      <c r="AR25" s="351">
        <f t="shared" si="5"/>
        <v>2</v>
      </c>
      <c r="AS25" s="485"/>
      <c r="AT25" s="187">
        <v>3</v>
      </c>
      <c r="AU25" s="187">
        <v>2678.0487804878039</v>
      </c>
      <c r="AV25" s="187">
        <v>892.68292682926801</v>
      </c>
      <c r="AW25" s="351">
        <f t="shared" si="6"/>
        <v>2</v>
      </c>
      <c r="AX25" s="485"/>
    </row>
    <row r="26" spans="2:50">
      <c r="B26" s="498"/>
      <c r="C26" s="351">
        <v>20</v>
      </c>
      <c r="D26" s="351"/>
      <c r="E26" s="351"/>
      <c r="F26" s="351"/>
      <c r="G26" s="351"/>
      <c r="H26" s="485"/>
      <c r="I26" s="219"/>
      <c r="J26" s="219"/>
      <c r="K26" s="220"/>
      <c r="L26" s="470"/>
      <c r="M26" s="219" t="e">
        <f>RANK(K26, K$7:$K$36)</f>
        <v>#N/A</v>
      </c>
      <c r="N26" s="477"/>
      <c r="O26" s="477"/>
      <c r="P26" s="187"/>
      <c r="Q26" s="187"/>
      <c r="R26" s="187"/>
      <c r="S26" s="351" t="e">
        <f t="shared" si="0"/>
        <v>#N/A</v>
      </c>
      <c r="T26" s="485"/>
      <c r="U26" s="187"/>
      <c r="V26" s="187"/>
      <c r="W26" s="187"/>
      <c r="X26" s="351" t="e">
        <f t="shared" si="1"/>
        <v>#N/A</v>
      </c>
      <c r="Y26" s="485"/>
      <c r="Z26" s="187"/>
      <c r="AA26" s="187"/>
      <c r="AB26" s="187"/>
      <c r="AC26" s="351" t="e">
        <f t="shared" si="2"/>
        <v>#N/A</v>
      </c>
      <c r="AD26" s="485"/>
      <c r="AE26" s="187"/>
      <c r="AF26" s="187"/>
      <c r="AG26" s="187"/>
      <c r="AH26" s="351" t="e">
        <f t="shared" si="3"/>
        <v>#N/A</v>
      </c>
      <c r="AI26" s="485"/>
      <c r="AJ26" s="187"/>
      <c r="AK26" s="187"/>
      <c r="AL26" s="187"/>
      <c r="AM26" s="351" t="e">
        <f t="shared" si="4"/>
        <v>#N/A</v>
      </c>
      <c r="AN26" s="485"/>
      <c r="AO26" s="187"/>
      <c r="AP26" s="187"/>
      <c r="AQ26" s="187"/>
      <c r="AR26" s="351" t="e">
        <f t="shared" si="5"/>
        <v>#N/A</v>
      </c>
      <c r="AS26" s="485"/>
      <c r="AT26" s="187"/>
      <c r="AU26" s="187"/>
      <c r="AV26" s="187"/>
      <c r="AW26" s="351" t="e">
        <f t="shared" si="6"/>
        <v>#N/A</v>
      </c>
      <c r="AX26" s="485"/>
    </row>
    <row r="27" spans="2:50">
      <c r="B27" s="498"/>
      <c r="C27" s="351">
        <v>21</v>
      </c>
      <c r="D27" s="351"/>
      <c r="E27" s="351"/>
      <c r="F27" s="351"/>
      <c r="G27" s="351"/>
      <c r="H27" s="485"/>
      <c r="I27" s="222"/>
      <c r="J27" s="222"/>
      <c r="K27" s="222"/>
      <c r="L27" s="470"/>
      <c r="M27" s="219" t="e">
        <f>RANK(K27, K$7:$K$36)</f>
        <v>#N/A</v>
      </c>
      <c r="N27" s="477"/>
      <c r="O27" s="477"/>
      <c r="P27" s="351"/>
      <c r="Q27" s="187"/>
      <c r="R27" s="354"/>
      <c r="S27" s="351" t="e">
        <f t="shared" si="0"/>
        <v>#N/A</v>
      </c>
      <c r="T27" s="485"/>
      <c r="U27" s="351"/>
      <c r="V27" s="187"/>
      <c r="W27" s="354"/>
      <c r="X27" s="351" t="e">
        <f t="shared" si="1"/>
        <v>#N/A</v>
      </c>
      <c r="Y27" s="485"/>
      <c r="Z27" s="351"/>
      <c r="AA27" s="187"/>
      <c r="AB27" s="354"/>
      <c r="AC27" s="351" t="e">
        <f t="shared" si="2"/>
        <v>#N/A</v>
      </c>
      <c r="AD27" s="485"/>
      <c r="AE27" s="351"/>
      <c r="AF27" s="187"/>
      <c r="AG27" s="354"/>
      <c r="AH27" s="351" t="e">
        <f t="shared" si="3"/>
        <v>#N/A</v>
      </c>
      <c r="AI27" s="485"/>
      <c r="AJ27" s="351"/>
      <c r="AK27" s="187"/>
      <c r="AL27" s="354"/>
      <c r="AM27" s="351" t="e">
        <f t="shared" si="4"/>
        <v>#N/A</v>
      </c>
      <c r="AN27" s="485"/>
      <c r="AO27" s="351"/>
      <c r="AP27" s="187"/>
      <c r="AQ27" s="187"/>
      <c r="AR27" s="351" t="e">
        <f t="shared" si="5"/>
        <v>#N/A</v>
      </c>
      <c r="AS27" s="485"/>
      <c r="AT27" s="351"/>
      <c r="AU27" s="187"/>
      <c r="AV27" s="187"/>
      <c r="AW27" s="351" t="e">
        <f t="shared" si="6"/>
        <v>#N/A</v>
      </c>
      <c r="AX27" s="485"/>
    </row>
    <row r="28" spans="2:50">
      <c r="B28" s="498"/>
      <c r="C28" s="351">
        <v>22</v>
      </c>
      <c r="D28" s="351"/>
      <c r="E28" s="351"/>
      <c r="F28" s="351"/>
      <c r="G28" s="351"/>
      <c r="H28" s="485"/>
      <c r="I28" s="222"/>
      <c r="J28" s="222"/>
      <c r="K28" s="222"/>
      <c r="L28" s="470"/>
      <c r="M28" s="219" t="e">
        <f>RANK(K28, K$7:$K$36)</f>
        <v>#N/A</v>
      </c>
      <c r="N28" s="477"/>
      <c r="O28" s="477"/>
      <c r="P28" s="351"/>
      <c r="Q28" s="187"/>
      <c r="R28" s="354"/>
      <c r="S28" s="351" t="e">
        <f t="shared" si="0"/>
        <v>#N/A</v>
      </c>
      <c r="T28" s="485"/>
      <c r="U28" s="351"/>
      <c r="V28" s="187"/>
      <c r="W28" s="354"/>
      <c r="X28" s="351" t="e">
        <f t="shared" si="1"/>
        <v>#N/A</v>
      </c>
      <c r="Y28" s="485"/>
      <c r="Z28" s="351"/>
      <c r="AA28" s="187"/>
      <c r="AB28" s="354"/>
      <c r="AC28" s="351" t="e">
        <f t="shared" si="2"/>
        <v>#N/A</v>
      </c>
      <c r="AD28" s="485"/>
      <c r="AE28" s="351"/>
      <c r="AF28" s="187"/>
      <c r="AG28" s="354"/>
      <c r="AH28" s="351" t="e">
        <f t="shared" si="3"/>
        <v>#N/A</v>
      </c>
      <c r="AI28" s="485"/>
      <c r="AJ28" s="351"/>
      <c r="AK28" s="187"/>
      <c r="AL28" s="354"/>
      <c r="AM28" s="351" t="e">
        <f t="shared" si="4"/>
        <v>#N/A</v>
      </c>
      <c r="AN28" s="485"/>
      <c r="AO28" s="351"/>
      <c r="AP28" s="187"/>
      <c r="AQ28" s="187"/>
      <c r="AR28" s="351" t="e">
        <f t="shared" si="5"/>
        <v>#N/A</v>
      </c>
      <c r="AS28" s="485"/>
      <c r="AT28" s="351"/>
      <c r="AU28" s="187"/>
      <c r="AV28" s="187"/>
      <c r="AW28" s="351" t="e">
        <f t="shared" si="6"/>
        <v>#N/A</v>
      </c>
      <c r="AX28" s="485"/>
    </row>
    <row r="29" spans="2:50">
      <c r="B29" s="498"/>
      <c r="C29" s="351">
        <v>23</v>
      </c>
      <c r="D29" s="351"/>
      <c r="E29" s="351"/>
      <c r="F29" s="351"/>
      <c r="G29" s="351"/>
      <c r="H29" s="485"/>
      <c r="I29" s="222"/>
      <c r="J29" s="222"/>
      <c r="K29" s="222"/>
      <c r="L29" s="470"/>
      <c r="M29" s="219" t="e">
        <f>RANK(K29, K$7:$K$36)</f>
        <v>#N/A</v>
      </c>
      <c r="N29" s="477"/>
      <c r="O29" s="477"/>
      <c r="P29" s="351"/>
      <c r="Q29" s="351"/>
      <c r="R29" s="354"/>
      <c r="S29" s="351" t="e">
        <f t="shared" si="0"/>
        <v>#N/A</v>
      </c>
      <c r="T29" s="485"/>
      <c r="U29" s="351"/>
      <c r="V29" s="187"/>
      <c r="W29" s="354"/>
      <c r="X29" s="351" t="e">
        <f t="shared" si="1"/>
        <v>#N/A</v>
      </c>
      <c r="Y29" s="485"/>
      <c r="Z29" s="351"/>
      <c r="AA29" s="187"/>
      <c r="AB29" s="354"/>
      <c r="AC29" s="351" t="e">
        <f t="shared" si="2"/>
        <v>#N/A</v>
      </c>
      <c r="AD29" s="485"/>
      <c r="AE29" s="351"/>
      <c r="AF29" s="187"/>
      <c r="AG29" s="354"/>
      <c r="AH29" s="351" t="e">
        <f t="shared" si="3"/>
        <v>#N/A</v>
      </c>
      <c r="AI29" s="485"/>
      <c r="AJ29" s="351"/>
      <c r="AK29" s="187"/>
      <c r="AL29" s="354"/>
      <c r="AM29" s="351" t="e">
        <f t="shared" si="4"/>
        <v>#N/A</v>
      </c>
      <c r="AN29" s="485"/>
      <c r="AO29" s="351"/>
      <c r="AP29" s="187"/>
      <c r="AQ29" s="187"/>
      <c r="AR29" s="351" t="e">
        <f t="shared" si="5"/>
        <v>#N/A</v>
      </c>
      <c r="AS29" s="485"/>
      <c r="AT29" s="351"/>
      <c r="AU29" s="187"/>
      <c r="AV29" s="187"/>
      <c r="AW29" s="351" t="e">
        <f t="shared" si="6"/>
        <v>#N/A</v>
      </c>
      <c r="AX29" s="485"/>
    </row>
    <row r="30" spans="2:50">
      <c r="B30" s="498"/>
      <c r="C30" s="351">
        <v>24</v>
      </c>
      <c r="D30" s="351"/>
      <c r="E30" s="351"/>
      <c r="F30" s="351"/>
      <c r="G30" s="351"/>
      <c r="H30" s="485"/>
      <c r="I30" s="222"/>
      <c r="J30" s="222"/>
      <c r="K30" s="222"/>
      <c r="L30" s="470"/>
      <c r="M30" s="219" t="e">
        <f>RANK(K30, K$7:$K$36)</f>
        <v>#N/A</v>
      </c>
      <c r="N30" s="477"/>
      <c r="O30" s="477"/>
      <c r="P30" s="351"/>
      <c r="Q30" s="351"/>
      <c r="R30" s="351"/>
      <c r="S30" s="351" t="e">
        <f t="shared" si="0"/>
        <v>#N/A</v>
      </c>
      <c r="T30" s="485"/>
      <c r="U30" s="351"/>
      <c r="V30" s="351"/>
      <c r="W30" s="351"/>
      <c r="X30" s="351" t="e">
        <f t="shared" si="1"/>
        <v>#N/A</v>
      </c>
      <c r="Y30" s="485"/>
      <c r="Z30" s="351"/>
      <c r="AA30" s="351"/>
      <c r="AB30" s="351"/>
      <c r="AC30" s="351" t="e">
        <f t="shared" si="2"/>
        <v>#N/A</v>
      </c>
      <c r="AD30" s="485"/>
      <c r="AE30" s="351"/>
      <c r="AF30" s="351"/>
      <c r="AG30" s="351"/>
      <c r="AH30" s="351" t="e">
        <f t="shared" si="3"/>
        <v>#N/A</v>
      </c>
      <c r="AI30" s="485"/>
      <c r="AJ30" s="351"/>
      <c r="AK30" s="351"/>
      <c r="AL30" s="351"/>
      <c r="AM30" s="351" t="e">
        <f t="shared" si="4"/>
        <v>#N/A</v>
      </c>
      <c r="AN30" s="485"/>
      <c r="AO30" s="351"/>
      <c r="AP30" s="351"/>
      <c r="AQ30" s="351"/>
      <c r="AR30" s="351" t="e">
        <f t="shared" si="5"/>
        <v>#N/A</v>
      </c>
      <c r="AS30" s="485"/>
      <c r="AT30" s="351"/>
      <c r="AU30" s="351"/>
      <c r="AV30" s="351"/>
      <c r="AW30" s="351" t="e">
        <f t="shared" si="6"/>
        <v>#N/A</v>
      </c>
      <c r="AX30" s="485"/>
    </row>
    <row r="31" spans="2:50">
      <c r="B31" s="498"/>
      <c r="C31" s="351">
        <v>25</v>
      </c>
      <c r="D31" s="351"/>
      <c r="E31" s="351"/>
      <c r="F31" s="351"/>
      <c r="G31" s="351"/>
      <c r="H31" s="485"/>
      <c r="I31" s="222"/>
      <c r="J31" s="222"/>
      <c r="K31" s="222"/>
      <c r="L31" s="470"/>
      <c r="M31" s="219" t="e">
        <f>RANK(K31, K$7:$K$36)</f>
        <v>#N/A</v>
      </c>
      <c r="N31" s="477"/>
      <c r="O31" s="477"/>
      <c r="P31" s="351"/>
      <c r="Q31" s="351"/>
      <c r="R31" s="351"/>
      <c r="S31" s="351" t="e">
        <f t="shared" si="0"/>
        <v>#N/A</v>
      </c>
      <c r="T31" s="485"/>
      <c r="U31" s="351"/>
      <c r="V31" s="351"/>
      <c r="W31" s="351"/>
      <c r="X31" s="351" t="e">
        <f t="shared" si="1"/>
        <v>#N/A</v>
      </c>
      <c r="Y31" s="485"/>
      <c r="Z31" s="351"/>
      <c r="AA31" s="351"/>
      <c r="AB31" s="351"/>
      <c r="AC31" s="351" t="e">
        <f t="shared" si="2"/>
        <v>#N/A</v>
      </c>
      <c r="AD31" s="485"/>
      <c r="AE31" s="351"/>
      <c r="AF31" s="351"/>
      <c r="AG31" s="351"/>
      <c r="AH31" s="351" t="e">
        <f t="shared" si="3"/>
        <v>#N/A</v>
      </c>
      <c r="AI31" s="485"/>
      <c r="AJ31" s="351"/>
      <c r="AK31" s="351"/>
      <c r="AL31" s="351"/>
      <c r="AM31" s="351" t="e">
        <f t="shared" si="4"/>
        <v>#N/A</v>
      </c>
      <c r="AN31" s="485"/>
      <c r="AO31" s="351"/>
      <c r="AP31" s="351"/>
      <c r="AQ31" s="351"/>
      <c r="AR31" s="351" t="e">
        <f t="shared" si="5"/>
        <v>#N/A</v>
      </c>
      <c r="AS31" s="485"/>
      <c r="AT31" s="351"/>
      <c r="AU31" s="351"/>
      <c r="AV31" s="351"/>
      <c r="AW31" s="351" t="e">
        <f t="shared" si="6"/>
        <v>#N/A</v>
      </c>
      <c r="AX31" s="485"/>
    </row>
    <row r="32" spans="2:50">
      <c r="B32" s="498"/>
      <c r="C32" s="351">
        <v>26</v>
      </c>
      <c r="D32" s="351"/>
      <c r="E32" s="351"/>
      <c r="F32" s="351"/>
      <c r="G32" s="351"/>
      <c r="H32" s="485"/>
      <c r="I32" s="222"/>
      <c r="J32" s="222"/>
      <c r="K32" s="222"/>
      <c r="L32" s="470"/>
      <c r="M32" s="219" t="e">
        <f>RANK(K32, K$7:$K$36)</f>
        <v>#N/A</v>
      </c>
      <c r="N32" s="477"/>
      <c r="O32" s="477"/>
      <c r="P32" s="351"/>
      <c r="Q32" s="351"/>
      <c r="R32" s="351"/>
      <c r="S32" s="351" t="e">
        <f t="shared" si="0"/>
        <v>#N/A</v>
      </c>
      <c r="T32" s="485"/>
      <c r="U32" s="351"/>
      <c r="V32" s="351"/>
      <c r="W32" s="351"/>
      <c r="X32" s="351" t="e">
        <f t="shared" si="1"/>
        <v>#N/A</v>
      </c>
      <c r="Y32" s="485"/>
      <c r="Z32" s="351"/>
      <c r="AA32" s="351"/>
      <c r="AB32" s="351"/>
      <c r="AC32" s="351" t="e">
        <f t="shared" si="2"/>
        <v>#N/A</v>
      </c>
      <c r="AD32" s="485"/>
      <c r="AE32" s="351"/>
      <c r="AF32" s="351"/>
      <c r="AG32" s="351"/>
      <c r="AH32" s="351" t="e">
        <f t="shared" si="3"/>
        <v>#N/A</v>
      </c>
      <c r="AI32" s="485"/>
      <c r="AJ32" s="351"/>
      <c r="AK32" s="351"/>
      <c r="AL32" s="351"/>
      <c r="AM32" s="351" t="e">
        <f t="shared" si="4"/>
        <v>#N/A</v>
      </c>
      <c r="AN32" s="485"/>
      <c r="AO32" s="351"/>
      <c r="AP32" s="351"/>
      <c r="AQ32" s="351"/>
      <c r="AR32" s="351" t="e">
        <f t="shared" si="5"/>
        <v>#N/A</v>
      </c>
      <c r="AS32" s="485"/>
      <c r="AT32" s="351"/>
      <c r="AU32" s="351"/>
      <c r="AV32" s="351"/>
      <c r="AW32" s="351" t="e">
        <f t="shared" si="6"/>
        <v>#N/A</v>
      </c>
      <c r="AX32" s="485"/>
    </row>
    <row r="33" spans="2:50">
      <c r="B33" s="498"/>
      <c r="C33" s="351">
        <v>27</v>
      </c>
      <c r="D33" s="351"/>
      <c r="E33" s="351"/>
      <c r="F33" s="351"/>
      <c r="G33" s="351"/>
      <c r="H33" s="485"/>
      <c r="I33" s="222"/>
      <c r="J33" s="222"/>
      <c r="K33" s="222"/>
      <c r="L33" s="470"/>
      <c r="M33" s="219" t="e">
        <f>RANK(K33, K$7:$K$36)</f>
        <v>#N/A</v>
      </c>
      <c r="N33" s="477"/>
      <c r="O33" s="477"/>
      <c r="P33" s="351"/>
      <c r="Q33" s="351"/>
      <c r="R33" s="351"/>
      <c r="S33" s="351" t="e">
        <f t="shared" si="0"/>
        <v>#N/A</v>
      </c>
      <c r="T33" s="485"/>
      <c r="U33" s="351"/>
      <c r="V33" s="351"/>
      <c r="W33" s="351"/>
      <c r="X33" s="351" t="e">
        <f t="shared" si="1"/>
        <v>#N/A</v>
      </c>
      <c r="Y33" s="485"/>
      <c r="Z33" s="351"/>
      <c r="AA33" s="351"/>
      <c r="AB33" s="351"/>
      <c r="AC33" s="351" t="e">
        <f t="shared" si="2"/>
        <v>#N/A</v>
      </c>
      <c r="AD33" s="485"/>
      <c r="AE33" s="351"/>
      <c r="AF33" s="351"/>
      <c r="AG33" s="351"/>
      <c r="AH33" s="351" t="e">
        <f t="shared" si="3"/>
        <v>#N/A</v>
      </c>
      <c r="AI33" s="485"/>
      <c r="AJ33" s="351"/>
      <c r="AK33" s="351"/>
      <c r="AL33" s="351"/>
      <c r="AM33" s="351" t="e">
        <f t="shared" si="4"/>
        <v>#N/A</v>
      </c>
      <c r="AN33" s="485"/>
      <c r="AO33" s="351"/>
      <c r="AP33" s="351"/>
      <c r="AQ33" s="351"/>
      <c r="AR33" s="351" t="e">
        <f t="shared" si="5"/>
        <v>#N/A</v>
      </c>
      <c r="AS33" s="485"/>
      <c r="AT33" s="351"/>
      <c r="AU33" s="351"/>
      <c r="AV33" s="351"/>
      <c r="AW33" s="351" t="e">
        <f t="shared" si="6"/>
        <v>#N/A</v>
      </c>
      <c r="AX33" s="485"/>
    </row>
    <row r="34" spans="2:50">
      <c r="B34" s="498"/>
      <c r="C34" s="351">
        <v>28</v>
      </c>
      <c r="D34" s="351"/>
      <c r="E34" s="351"/>
      <c r="F34" s="351"/>
      <c r="G34" s="351"/>
      <c r="H34" s="485"/>
      <c r="I34" s="222"/>
      <c r="J34" s="222"/>
      <c r="K34" s="222"/>
      <c r="L34" s="470"/>
      <c r="M34" s="219" t="e">
        <f>RANK(K34, K$7:$K$36)</f>
        <v>#N/A</v>
      </c>
      <c r="N34" s="477"/>
      <c r="O34" s="477"/>
      <c r="P34" s="351"/>
      <c r="Q34" s="351"/>
      <c r="R34" s="351"/>
      <c r="S34" s="351" t="e">
        <f t="shared" si="0"/>
        <v>#N/A</v>
      </c>
      <c r="T34" s="485"/>
      <c r="U34" s="351"/>
      <c r="V34" s="351"/>
      <c r="W34" s="351"/>
      <c r="X34" s="351" t="e">
        <f t="shared" si="1"/>
        <v>#N/A</v>
      </c>
      <c r="Y34" s="485"/>
      <c r="Z34" s="351"/>
      <c r="AA34" s="351"/>
      <c r="AB34" s="351"/>
      <c r="AC34" s="351" t="e">
        <f t="shared" si="2"/>
        <v>#N/A</v>
      </c>
      <c r="AD34" s="485"/>
      <c r="AE34" s="351"/>
      <c r="AF34" s="351"/>
      <c r="AG34" s="351"/>
      <c r="AH34" s="351" t="e">
        <f t="shared" si="3"/>
        <v>#N/A</v>
      </c>
      <c r="AI34" s="485"/>
      <c r="AJ34" s="351"/>
      <c r="AK34" s="351"/>
      <c r="AL34" s="351"/>
      <c r="AM34" s="351" t="e">
        <f t="shared" si="4"/>
        <v>#N/A</v>
      </c>
      <c r="AN34" s="485"/>
      <c r="AO34" s="351"/>
      <c r="AP34" s="351"/>
      <c r="AQ34" s="351"/>
      <c r="AR34" s="351" t="e">
        <f t="shared" si="5"/>
        <v>#N/A</v>
      </c>
      <c r="AS34" s="485"/>
      <c r="AT34" s="351"/>
      <c r="AU34" s="351"/>
      <c r="AV34" s="351"/>
      <c r="AW34" s="351" t="e">
        <f t="shared" si="6"/>
        <v>#N/A</v>
      </c>
      <c r="AX34" s="485"/>
    </row>
    <row r="35" spans="2:50">
      <c r="B35" s="498"/>
      <c r="C35" s="351">
        <v>29</v>
      </c>
      <c r="D35" s="351"/>
      <c r="E35" s="351"/>
      <c r="F35" s="351"/>
      <c r="G35" s="351"/>
      <c r="H35" s="485"/>
      <c r="I35" s="222"/>
      <c r="J35" s="222"/>
      <c r="K35" s="222"/>
      <c r="L35" s="470"/>
      <c r="M35" s="219" t="e">
        <f>RANK(K35, K$7:$K$36)</f>
        <v>#N/A</v>
      </c>
      <c r="N35" s="477"/>
      <c r="O35" s="477"/>
      <c r="P35" s="351"/>
      <c r="Q35" s="351"/>
      <c r="R35" s="351"/>
      <c r="S35" s="351" t="e">
        <f t="shared" si="0"/>
        <v>#N/A</v>
      </c>
      <c r="T35" s="485"/>
      <c r="U35" s="351"/>
      <c r="V35" s="351"/>
      <c r="W35" s="351"/>
      <c r="X35" s="351" t="e">
        <f t="shared" si="1"/>
        <v>#N/A</v>
      </c>
      <c r="Y35" s="485"/>
      <c r="Z35" s="351"/>
      <c r="AA35" s="351"/>
      <c r="AB35" s="351"/>
      <c r="AC35" s="351" t="e">
        <f t="shared" si="2"/>
        <v>#N/A</v>
      </c>
      <c r="AD35" s="485"/>
      <c r="AE35" s="351"/>
      <c r="AF35" s="351"/>
      <c r="AG35" s="351"/>
      <c r="AH35" s="351" t="e">
        <f t="shared" si="3"/>
        <v>#N/A</v>
      </c>
      <c r="AI35" s="485"/>
      <c r="AJ35" s="351"/>
      <c r="AK35" s="351"/>
      <c r="AL35" s="351"/>
      <c r="AM35" s="351" t="e">
        <f t="shared" si="4"/>
        <v>#N/A</v>
      </c>
      <c r="AN35" s="485"/>
      <c r="AO35" s="351"/>
      <c r="AP35" s="351"/>
      <c r="AQ35" s="351"/>
      <c r="AR35" s="351" t="e">
        <f t="shared" si="5"/>
        <v>#N/A</v>
      </c>
      <c r="AS35" s="485"/>
      <c r="AT35" s="351"/>
      <c r="AU35" s="351"/>
      <c r="AV35" s="351"/>
      <c r="AW35" s="351" t="e">
        <f t="shared" si="6"/>
        <v>#N/A</v>
      </c>
      <c r="AX35" s="485"/>
    </row>
    <row r="36" spans="2:50">
      <c r="B36" s="499"/>
      <c r="C36" s="351">
        <v>30</v>
      </c>
      <c r="D36" s="351"/>
      <c r="E36" s="351"/>
      <c r="F36" s="351"/>
      <c r="G36" s="351"/>
      <c r="H36" s="486"/>
      <c r="I36" s="222"/>
      <c r="J36" s="222"/>
      <c r="K36" s="222"/>
      <c r="L36" s="471"/>
      <c r="M36" s="219" t="e">
        <f>RANK(K36, K$7:$K$36)</f>
        <v>#N/A</v>
      </c>
      <c r="N36" s="478"/>
      <c r="O36" s="478"/>
      <c r="P36" s="351"/>
      <c r="Q36" s="351"/>
      <c r="R36" s="351"/>
      <c r="S36" s="351" t="e">
        <f t="shared" si="0"/>
        <v>#N/A</v>
      </c>
      <c r="T36" s="486"/>
      <c r="U36" s="351"/>
      <c r="V36" s="351"/>
      <c r="W36" s="351"/>
      <c r="X36" s="351" t="e">
        <f t="shared" si="1"/>
        <v>#N/A</v>
      </c>
      <c r="Y36" s="486"/>
      <c r="Z36" s="351"/>
      <c r="AA36" s="351"/>
      <c r="AB36" s="351"/>
      <c r="AC36" s="351" t="e">
        <f t="shared" si="2"/>
        <v>#N/A</v>
      </c>
      <c r="AD36" s="486"/>
      <c r="AE36" s="351"/>
      <c r="AF36" s="351"/>
      <c r="AG36" s="351"/>
      <c r="AH36" s="351" t="e">
        <f t="shared" si="3"/>
        <v>#N/A</v>
      </c>
      <c r="AI36" s="486"/>
      <c r="AJ36" s="351"/>
      <c r="AK36" s="351"/>
      <c r="AL36" s="351"/>
      <c r="AM36" s="351" t="e">
        <f t="shared" si="4"/>
        <v>#N/A</v>
      </c>
      <c r="AN36" s="486"/>
      <c r="AO36" s="351"/>
      <c r="AP36" s="351"/>
      <c r="AQ36" s="351"/>
      <c r="AR36" s="351" t="e">
        <f t="shared" si="5"/>
        <v>#N/A</v>
      </c>
      <c r="AS36" s="486"/>
      <c r="AT36" s="351"/>
      <c r="AU36" s="351"/>
      <c r="AV36" s="351"/>
      <c r="AW36" s="351" t="e">
        <f t="shared" si="6"/>
        <v>#N/A</v>
      </c>
      <c r="AX36" s="486"/>
    </row>
    <row r="37" spans="2:50" ht="15.75">
      <c r="B37" s="500" t="s">
        <v>172</v>
      </c>
      <c r="C37" s="501"/>
      <c r="D37" s="501"/>
      <c r="E37" s="501"/>
      <c r="F37" s="501"/>
      <c r="G37" s="501"/>
      <c r="H37" s="501"/>
      <c r="I37" s="223"/>
      <c r="J37" s="223"/>
      <c r="K37" s="223"/>
      <c r="L37" s="223"/>
      <c r="M37" s="224"/>
      <c r="N37" s="476" t="s">
        <v>164</v>
      </c>
      <c r="O37" s="476" t="s">
        <v>163</v>
      </c>
      <c r="P37" s="502">
        <f>AT2+1</f>
        <v>45902</v>
      </c>
      <c r="Q37" s="503"/>
      <c r="R37" s="503"/>
      <c r="S37" s="503"/>
      <c r="T37" s="503"/>
      <c r="U37" s="482">
        <f>P37+1</f>
        <v>45903</v>
      </c>
      <c r="V37" s="483"/>
      <c r="W37" s="483"/>
      <c r="X37" s="483"/>
      <c r="Y37" s="483"/>
      <c r="Z37" s="482">
        <f>U37+1</f>
        <v>45904</v>
      </c>
      <c r="AA37" s="483"/>
      <c r="AB37" s="483"/>
      <c r="AC37" s="483"/>
      <c r="AD37" s="483"/>
      <c r="AE37" s="482">
        <f>Z37+1</f>
        <v>45905</v>
      </c>
      <c r="AF37" s="483"/>
      <c r="AG37" s="483"/>
      <c r="AH37" s="483"/>
      <c r="AI37" s="483"/>
      <c r="AJ37" s="482">
        <f>AE37+1</f>
        <v>45906</v>
      </c>
      <c r="AK37" s="483"/>
      <c r="AL37" s="483"/>
      <c r="AM37" s="483"/>
      <c r="AN37" s="483"/>
      <c r="AO37" s="482">
        <f>AJ37+1</f>
        <v>45907</v>
      </c>
      <c r="AP37" s="483"/>
      <c r="AQ37" s="483"/>
      <c r="AR37" s="483"/>
      <c r="AS37" s="483"/>
      <c r="AT37" s="482">
        <f>AO37+1</f>
        <v>45908</v>
      </c>
      <c r="AU37" s="483"/>
      <c r="AV37" s="483"/>
      <c r="AW37" s="483"/>
      <c r="AX37" s="483"/>
    </row>
    <row r="38" spans="2:50" ht="15.75">
      <c r="B38" s="490"/>
      <c r="C38" s="490"/>
      <c r="D38" s="490"/>
      <c r="E38" s="490"/>
      <c r="F38" s="490"/>
      <c r="G38" s="490"/>
      <c r="H38" s="490"/>
      <c r="I38" s="225"/>
      <c r="J38" s="225"/>
      <c r="K38" s="225"/>
      <c r="L38" s="225"/>
      <c r="M38" s="226"/>
      <c r="N38" s="478"/>
      <c r="O38" s="478"/>
      <c r="P38" s="482" t="s">
        <v>393</v>
      </c>
      <c r="Q38" s="483"/>
      <c r="R38" s="483"/>
      <c r="S38" s="483"/>
      <c r="T38" s="483"/>
      <c r="U38" s="482" t="s">
        <v>394</v>
      </c>
      <c r="V38" s="483"/>
      <c r="W38" s="483"/>
      <c r="X38" s="483"/>
      <c r="Y38" s="483"/>
      <c r="Z38" s="482" t="s">
        <v>395</v>
      </c>
      <c r="AA38" s="483"/>
      <c r="AB38" s="483"/>
      <c r="AC38" s="483"/>
      <c r="AD38" s="483"/>
      <c r="AE38" s="482" t="s">
        <v>396</v>
      </c>
      <c r="AF38" s="483"/>
      <c r="AG38" s="483"/>
      <c r="AH38" s="483"/>
      <c r="AI38" s="483"/>
      <c r="AJ38" s="482" t="s">
        <v>397</v>
      </c>
      <c r="AK38" s="483"/>
      <c r="AL38" s="483"/>
      <c r="AM38" s="483"/>
      <c r="AN38" s="483"/>
      <c r="AO38" s="482" t="s">
        <v>398</v>
      </c>
      <c r="AP38" s="483"/>
      <c r="AQ38" s="483"/>
      <c r="AR38" s="483"/>
      <c r="AS38" s="483"/>
      <c r="AT38" s="482" t="s">
        <v>399</v>
      </c>
      <c r="AU38" s="483"/>
      <c r="AV38" s="483"/>
      <c r="AW38" s="483"/>
      <c r="AX38" s="483"/>
    </row>
    <row r="39" spans="2:50">
      <c r="B39" s="476" t="s">
        <v>788</v>
      </c>
      <c r="C39" s="491" t="s">
        <v>789</v>
      </c>
      <c r="D39" s="494"/>
      <c r="E39" s="472" t="s">
        <v>790</v>
      </c>
      <c r="F39" s="473"/>
      <c r="G39" s="474"/>
      <c r="H39" s="476" t="s">
        <v>631</v>
      </c>
      <c r="I39" s="463" t="s">
        <v>636</v>
      </c>
      <c r="J39" s="464"/>
      <c r="K39" s="465"/>
      <c r="L39" s="466" t="s">
        <v>631</v>
      </c>
      <c r="M39" s="466" t="s">
        <v>632</v>
      </c>
      <c r="N39" s="476"/>
      <c r="O39" s="476" t="s">
        <v>791</v>
      </c>
      <c r="P39" s="472" t="s">
        <v>792</v>
      </c>
      <c r="Q39" s="473"/>
      <c r="R39" s="473"/>
      <c r="S39" s="474"/>
      <c r="T39" s="476" t="s">
        <v>631</v>
      </c>
      <c r="U39" s="472" t="s">
        <v>633</v>
      </c>
      <c r="V39" s="473"/>
      <c r="W39" s="473"/>
      <c r="X39" s="474"/>
      <c r="Y39" s="476" t="s">
        <v>631</v>
      </c>
      <c r="Z39" s="472" t="s">
        <v>633</v>
      </c>
      <c r="AA39" s="473"/>
      <c r="AB39" s="473"/>
      <c r="AC39" s="474"/>
      <c r="AD39" s="476" t="s">
        <v>793</v>
      </c>
      <c r="AE39" s="472" t="s">
        <v>633</v>
      </c>
      <c r="AF39" s="473"/>
      <c r="AG39" s="473"/>
      <c r="AH39" s="474"/>
      <c r="AI39" s="476" t="s">
        <v>631</v>
      </c>
      <c r="AJ39" s="472" t="s">
        <v>633</v>
      </c>
      <c r="AK39" s="473"/>
      <c r="AL39" s="473"/>
      <c r="AM39" s="474"/>
      <c r="AN39" s="476" t="s">
        <v>793</v>
      </c>
      <c r="AO39" s="472" t="s">
        <v>792</v>
      </c>
      <c r="AP39" s="473"/>
      <c r="AQ39" s="473"/>
      <c r="AR39" s="474"/>
      <c r="AS39" s="476" t="s">
        <v>793</v>
      </c>
      <c r="AT39" s="472" t="s">
        <v>792</v>
      </c>
      <c r="AU39" s="473"/>
      <c r="AV39" s="473"/>
      <c r="AW39" s="474"/>
      <c r="AX39" s="476" t="s">
        <v>793</v>
      </c>
    </row>
    <row r="40" spans="2:50">
      <c r="B40" s="477"/>
      <c r="C40" s="492"/>
      <c r="D40" s="495"/>
      <c r="E40" s="472" t="s">
        <v>638</v>
      </c>
      <c r="F40" s="473"/>
      <c r="G40" s="474"/>
      <c r="H40" s="477"/>
      <c r="I40" s="463" t="s">
        <v>638</v>
      </c>
      <c r="J40" s="464"/>
      <c r="K40" s="465"/>
      <c r="L40" s="467"/>
      <c r="M40" s="467"/>
      <c r="N40" s="477"/>
      <c r="O40" s="477"/>
      <c r="P40" s="472" t="s">
        <v>639</v>
      </c>
      <c r="Q40" s="473"/>
      <c r="R40" s="473"/>
      <c r="S40" s="474"/>
      <c r="T40" s="477"/>
      <c r="U40" s="472" t="s">
        <v>794</v>
      </c>
      <c r="V40" s="473"/>
      <c r="W40" s="473"/>
      <c r="X40" s="474"/>
      <c r="Y40" s="477"/>
      <c r="Z40" s="472" t="s">
        <v>794</v>
      </c>
      <c r="AA40" s="473"/>
      <c r="AB40" s="473"/>
      <c r="AC40" s="474"/>
      <c r="AD40" s="477"/>
      <c r="AE40" s="472" t="s">
        <v>639</v>
      </c>
      <c r="AF40" s="473"/>
      <c r="AG40" s="473"/>
      <c r="AH40" s="474"/>
      <c r="AI40" s="477"/>
      <c r="AJ40" s="472" t="s">
        <v>639</v>
      </c>
      <c r="AK40" s="473"/>
      <c r="AL40" s="473"/>
      <c r="AM40" s="474"/>
      <c r="AN40" s="477"/>
      <c r="AO40" s="472" t="s">
        <v>639</v>
      </c>
      <c r="AP40" s="473"/>
      <c r="AQ40" s="473"/>
      <c r="AR40" s="474"/>
      <c r="AS40" s="477"/>
      <c r="AT40" s="472" t="s">
        <v>639</v>
      </c>
      <c r="AU40" s="473"/>
      <c r="AV40" s="473"/>
      <c r="AW40" s="474"/>
      <c r="AX40" s="477"/>
    </row>
    <row r="41" spans="2:50">
      <c r="B41" s="478"/>
      <c r="C41" s="493"/>
      <c r="D41" s="496"/>
      <c r="E41" s="373" t="s">
        <v>640</v>
      </c>
      <c r="F41" s="373" t="s">
        <v>641</v>
      </c>
      <c r="G41" s="373" t="s">
        <v>795</v>
      </c>
      <c r="H41" s="478"/>
      <c r="I41" s="372" t="s">
        <v>640</v>
      </c>
      <c r="J41" s="372" t="s">
        <v>641</v>
      </c>
      <c r="K41" s="372" t="s">
        <v>642</v>
      </c>
      <c r="L41" s="468"/>
      <c r="M41" s="468"/>
      <c r="N41" s="477"/>
      <c r="O41" s="477"/>
      <c r="P41" s="373" t="s">
        <v>640</v>
      </c>
      <c r="Q41" s="373" t="s">
        <v>796</v>
      </c>
      <c r="R41" s="373" t="s">
        <v>642</v>
      </c>
      <c r="S41" s="373" t="s">
        <v>632</v>
      </c>
      <c r="T41" s="478"/>
      <c r="U41" s="373" t="s">
        <v>640</v>
      </c>
      <c r="V41" s="373" t="s">
        <v>641</v>
      </c>
      <c r="W41" s="373" t="s">
        <v>642</v>
      </c>
      <c r="X41" s="373" t="s">
        <v>797</v>
      </c>
      <c r="Y41" s="478"/>
      <c r="Z41" s="373" t="s">
        <v>798</v>
      </c>
      <c r="AA41" s="373" t="s">
        <v>641</v>
      </c>
      <c r="AB41" s="373" t="s">
        <v>642</v>
      </c>
      <c r="AC41" s="373" t="s">
        <v>797</v>
      </c>
      <c r="AD41" s="478"/>
      <c r="AE41" s="373" t="s">
        <v>640</v>
      </c>
      <c r="AF41" s="373" t="s">
        <v>641</v>
      </c>
      <c r="AG41" s="373" t="s">
        <v>642</v>
      </c>
      <c r="AH41" s="373" t="s">
        <v>797</v>
      </c>
      <c r="AI41" s="478"/>
      <c r="AJ41" s="373" t="s">
        <v>798</v>
      </c>
      <c r="AK41" s="373" t="s">
        <v>641</v>
      </c>
      <c r="AL41" s="373" t="s">
        <v>642</v>
      </c>
      <c r="AM41" s="373" t="s">
        <v>632</v>
      </c>
      <c r="AN41" s="478"/>
      <c r="AO41" s="373" t="s">
        <v>798</v>
      </c>
      <c r="AP41" s="373" t="s">
        <v>641</v>
      </c>
      <c r="AQ41" s="373" t="s">
        <v>642</v>
      </c>
      <c r="AR41" s="373" t="s">
        <v>797</v>
      </c>
      <c r="AS41" s="478"/>
      <c r="AT41" s="373" t="s">
        <v>798</v>
      </c>
      <c r="AU41" s="373" t="s">
        <v>641</v>
      </c>
      <c r="AV41" s="373" t="s">
        <v>642</v>
      </c>
      <c r="AW41" s="373" t="s">
        <v>797</v>
      </c>
      <c r="AX41" s="478"/>
    </row>
    <row r="42" spans="2:50">
      <c r="B42" s="497" t="s">
        <v>158</v>
      </c>
      <c r="C42" s="374">
        <v>1</v>
      </c>
      <c r="D42" s="374" t="s">
        <v>441</v>
      </c>
      <c r="E42" s="374">
        <v>4</v>
      </c>
      <c r="F42" s="374">
        <v>2035.3333333333335</v>
      </c>
      <c r="G42" s="374">
        <v>508.83333333333337</v>
      </c>
      <c r="H42" s="484">
        <f>AVERAGE(G42:G71)</f>
        <v>718.32622372107824</v>
      </c>
      <c r="I42" s="219">
        <f>AVERAGE(P42,U42,Z42,AE42,AJ42,AO42,AT42)</f>
        <v>4</v>
      </c>
      <c r="J42" s="219">
        <f>AVERAGE(Q42,V42,AA42,AF42,AK42,AP42,AU42)</f>
        <v>2001.3916830117901</v>
      </c>
      <c r="K42" s="220">
        <f>AVERAGE(R42,W42,AB42,AG42,AL42,AQ42,AV42)</f>
        <v>500.34792075294752</v>
      </c>
      <c r="L42" s="469">
        <f>IFERROR(AVERAGE(K42:K71),"-")</f>
        <v>714.86008071568097</v>
      </c>
      <c r="M42" s="219">
        <f>RANK(K42, K$42:$K$71)</f>
        <v>19</v>
      </c>
      <c r="N42" s="477"/>
      <c r="O42" s="477"/>
      <c r="P42" s="187">
        <v>4</v>
      </c>
      <c r="Q42" s="187">
        <v>2035.3333333333335</v>
      </c>
      <c r="R42" s="187">
        <v>508.83333333333337</v>
      </c>
      <c r="S42" s="374">
        <f t="shared" ref="S42:S71" si="10">RANK(R42, R$42:R$71)</f>
        <v>19</v>
      </c>
      <c r="T42" s="484">
        <f>AVERAGE(R42:R71)</f>
        <v>718.32622372107824</v>
      </c>
      <c r="U42" s="187">
        <v>4</v>
      </c>
      <c r="V42" s="187">
        <v>1987.9120879120878</v>
      </c>
      <c r="W42" s="187">
        <v>496.97802197802196</v>
      </c>
      <c r="X42" s="374">
        <f t="shared" ref="X42:X71" si="11">RANK(W42, W$42:W$71)</f>
        <v>19</v>
      </c>
      <c r="Y42" s="484">
        <f>AVERAGE(W42:W71)</f>
        <v>716.20475160040178</v>
      </c>
      <c r="Z42" s="187">
        <v>4</v>
      </c>
      <c r="AA42" s="187">
        <v>1990.2272727272727</v>
      </c>
      <c r="AB42" s="187">
        <v>497.55681818181819</v>
      </c>
      <c r="AC42" s="374">
        <f t="shared" ref="AC42:AC71" si="12">RANK(AB42, AB$42:AB$71)</f>
        <v>19</v>
      </c>
      <c r="AD42" s="484">
        <f>AVERAGE(AB42:AB71)</f>
        <v>711.78102334606865</v>
      </c>
      <c r="AE42" s="187">
        <v>4</v>
      </c>
      <c r="AF42" s="187">
        <v>2006.9230769230783</v>
      </c>
      <c r="AG42" s="187">
        <v>501.73076923076957</v>
      </c>
      <c r="AH42" s="374">
        <f t="shared" ref="AH42:AH71" si="13">RANK(AG42, AG$42:AG$71)</f>
        <v>19</v>
      </c>
      <c r="AI42" s="484">
        <f>AVERAGE(AG42:AG71)</f>
        <v>717.64349311816341</v>
      </c>
      <c r="AJ42" s="187">
        <v>4</v>
      </c>
      <c r="AK42" s="187">
        <v>1987.2000000000007</v>
      </c>
      <c r="AL42" s="187">
        <v>496.80000000000018</v>
      </c>
      <c r="AM42" s="374">
        <f t="shared" ref="AM42:AM71" si="14">RANK(AL42, AL$42:AL$71)</f>
        <v>19</v>
      </c>
      <c r="AN42" s="484">
        <f>AVERAGE(AL42:AL71)</f>
        <v>708.82648768213858</v>
      </c>
      <c r="AO42" s="187">
        <v>4</v>
      </c>
      <c r="AP42" s="187">
        <v>2000.21052631579</v>
      </c>
      <c r="AQ42" s="187">
        <v>500.05263157894751</v>
      </c>
      <c r="AR42" s="374">
        <f t="shared" ref="AR42:AR71" si="15">RANK(AQ42, AQ$42:AQ$71)</f>
        <v>19</v>
      </c>
      <c r="AS42" s="484">
        <f>AVERAGE(AQ42:AQ71)</f>
        <v>716.67450378159378</v>
      </c>
      <c r="AT42" s="187">
        <v>4</v>
      </c>
      <c r="AU42" s="187">
        <v>2001.9354838709683</v>
      </c>
      <c r="AV42" s="187">
        <v>500.48387096774206</v>
      </c>
      <c r="AW42" s="374">
        <f t="shared" ref="AW42:AW71" si="16">RANK(AV42, AV$42:AV$71)</f>
        <v>19</v>
      </c>
      <c r="AX42" s="484">
        <f>AVERAGE(AV42:AV71)</f>
        <v>714.56408176032346</v>
      </c>
    </row>
    <row r="43" spans="2:50">
      <c r="B43" s="498"/>
      <c r="C43" s="374">
        <v>2</v>
      </c>
      <c r="D43" s="374" t="s">
        <v>442</v>
      </c>
      <c r="E43" s="374">
        <v>3</v>
      </c>
      <c r="F43" s="374">
        <v>2665.945945945944</v>
      </c>
      <c r="G43" s="374">
        <v>888.64864864864796</v>
      </c>
      <c r="H43" s="485"/>
      <c r="I43" s="219">
        <f t="shared" ref="I43:I60" si="17">AVERAGE(P43,U43,Z43,AE43,AJ43,AO43,AT43)</f>
        <v>3</v>
      </c>
      <c r="J43" s="219">
        <f t="shared" ref="J43:J60" si="18">AVERAGE(Q43,V43,AA43,AF43,AK43,AP43,AU43)</f>
        <v>2701.1139334823538</v>
      </c>
      <c r="K43" s="220">
        <f t="shared" ref="K43:K60" si="19">AVERAGE(R43,W43,AB43,AG43,AL43,AQ43,AV43)</f>
        <v>900.37131116078456</v>
      </c>
      <c r="L43" s="470"/>
      <c r="M43" s="219">
        <f>RANK(K43, K$42:$K$71)</f>
        <v>2</v>
      </c>
      <c r="N43" s="477"/>
      <c r="O43" s="477"/>
      <c r="P43" s="187">
        <v>3</v>
      </c>
      <c r="Q43" s="187">
        <v>2665.945945945944</v>
      </c>
      <c r="R43" s="187">
        <v>888.64864864864796</v>
      </c>
      <c r="S43" s="374">
        <f t="shared" si="10"/>
        <v>3</v>
      </c>
      <c r="T43" s="485"/>
      <c r="U43" s="187">
        <v>3</v>
      </c>
      <c r="V43" s="187">
        <v>2695.0000000000009</v>
      </c>
      <c r="W43" s="187">
        <v>898.3333333333336</v>
      </c>
      <c r="X43" s="374">
        <f t="shared" si="11"/>
        <v>2</v>
      </c>
      <c r="Y43" s="485"/>
      <c r="Z43" s="187">
        <v>3</v>
      </c>
      <c r="AA43" s="187">
        <v>2656.666666666667</v>
      </c>
      <c r="AB43" s="187">
        <v>885.55555555555566</v>
      </c>
      <c r="AC43" s="374">
        <f t="shared" si="12"/>
        <v>3</v>
      </c>
      <c r="AD43" s="485"/>
      <c r="AE43" s="187">
        <v>3</v>
      </c>
      <c r="AF43" s="187">
        <v>2759.9999999999986</v>
      </c>
      <c r="AG43" s="187">
        <v>919.99999999999955</v>
      </c>
      <c r="AH43" s="374">
        <f t="shared" si="13"/>
        <v>2</v>
      </c>
      <c r="AI43" s="485"/>
      <c r="AJ43" s="187">
        <v>3</v>
      </c>
      <c r="AK43" s="187">
        <v>2769.9999999999986</v>
      </c>
      <c r="AL43" s="187">
        <v>923.33333333333292</v>
      </c>
      <c r="AM43" s="374">
        <f t="shared" si="14"/>
        <v>2</v>
      </c>
      <c r="AN43" s="485"/>
      <c r="AO43" s="187">
        <v>3</v>
      </c>
      <c r="AP43" s="187">
        <v>2673.157894736843</v>
      </c>
      <c r="AQ43" s="187">
        <v>891.05263157894763</v>
      </c>
      <c r="AR43" s="374">
        <f t="shared" si="15"/>
        <v>3</v>
      </c>
      <c r="AS43" s="485"/>
      <c r="AT43" s="187">
        <v>3</v>
      </c>
      <c r="AU43" s="187">
        <v>2687.0270270270248</v>
      </c>
      <c r="AV43" s="187">
        <v>895.67567567567494</v>
      </c>
      <c r="AW43" s="374">
        <f t="shared" si="16"/>
        <v>2</v>
      </c>
      <c r="AX43" s="485"/>
    </row>
    <row r="44" spans="2:50">
      <c r="B44" s="498"/>
      <c r="C44" s="374">
        <v>3</v>
      </c>
      <c r="D44" s="374" t="s">
        <v>410</v>
      </c>
      <c r="E44" s="374">
        <v>4</v>
      </c>
      <c r="F44" s="374">
        <v>2945.6250000000036</v>
      </c>
      <c r="G44" s="374">
        <v>736.40625000000091</v>
      </c>
      <c r="H44" s="485"/>
      <c r="I44" s="219">
        <f t="shared" si="17"/>
        <v>4</v>
      </c>
      <c r="J44" s="219">
        <f t="shared" si="18"/>
        <v>2940.6100202449802</v>
      </c>
      <c r="K44" s="220">
        <f t="shared" si="19"/>
        <v>735.15250506124505</v>
      </c>
      <c r="L44" s="470"/>
      <c r="M44" s="219">
        <f>RANK(K44, K$42:$K$71)</f>
        <v>9</v>
      </c>
      <c r="N44" s="477"/>
      <c r="O44" s="477"/>
      <c r="P44" s="187">
        <v>4</v>
      </c>
      <c r="Q44" s="187">
        <v>2945.6250000000036</v>
      </c>
      <c r="R44" s="187">
        <v>736.40625000000091</v>
      </c>
      <c r="S44" s="374">
        <f t="shared" si="10"/>
        <v>9</v>
      </c>
      <c r="T44" s="485"/>
      <c r="U44" s="187">
        <v>4</v>
      </c>
      <c r="V44" s="187">
        <v>2960.6896551724158</v>
      </c>
      <c r="W44" s="187">
        <v>740.17241379310394</v>
      </c>
      <c r="X44" s="374">
        <f t="shared" si="11"/>
        <v>9</v>
      </c>
      <c r="Y44" s="485"/>
      <c r="Z44" s="187">
        <v>4</v>
      </c>
      <c r="AA44" s="187">
        <v>2926.6666666666683</v>
      </c>
      <c r="AB44" s="187">
        <v>731.66666666666708</v>
      </c>
      <c r="AC44" s="374">
        <f t="shared" si="12"/>
        <v>9</v>
      </c>
      <c r="AD44" s="485"/>
      <c r="AE44" s="187">
        <v>4</v>
      </c>
      <c r="AF44" s="187">
        <v>3002.4999999999955</v>
      </c>
      <c r="AG44" s="187">
        <v>750.62499999999886</v>
      </c>
      <c r="AH44" s="374">
        <f t="shared" si="13"/>
        <v>7</v>
      </c>
      <c r="AI44" s="485"/>
      <c r="AJ44" s="187">
        <v>4</v>
      </c>
      <c r="AK44" s="187">
        <v>2885.217391304343</v>
      </c>
      <c r="AL44" s="187">
        <v>721.30434782608575</v>
      </c>
      <c r="AM44" s="374">
        <f t="shared" si="14"/>
        <v>9</v>
      </c>
      <c r="AN44" s="485"/>
      <c r="AO44" s="187">
        <v>4</v>
      </c>
      <c r="AP44" s="187">
        <v>2930.0000000000027</v>
      </c>
      <c r="AQ44" s="187">
        <v>732.50000000000068</v>
      </c>
      <c r="AR44" s="374">
        <f t="shared" si="15"/>
        <v>9</v>
      </c>
      <c r="AS44" s="485"/>
      <c r="AT44" s="187">
        <v>4</v>
      </c>
      <c r="AU44" s="187">
        <v>2933.5714285714307</v>
      </c>
      <c r="AV44" s="187">
        <v>733.39285714285768</v>
      </c>
      <c r="AW44" s="374">
        <f t="shared" si="16"/>
        <v>9</v>
      </c>
      <c r="AX44" s="485"/>
    </row>
    <row r="45" spans="2:50">
      <c r="B45" s="498"/>
      <c r="C45" s="374">
        <v>4</v>
      </c>
      <c r="D45" s="374" t="s">
        <v>443</v>
      </c>
      <c r="E45" s="374">
        <v>4</v>
      </c>
      <c r="F45" s="374">
        <v>3002.9999999999986</v>
      </c>
      <c r="G45" s="374">
        <v>750.74999999999966</v>
      </c>
      <c r="H45" s="485"/>
      <c r="I45" s="219">
        <f t="shared" si="17"/>
        <v>4</v>
      </c>
      <c r="J45" s="219">
        <f t="shared" si="18"/>
        <v>2960.6684906985274</v>
      </c>
      <c r="K45" s="220">
        <f t="shared" si="19"/>
        <v>740.16712267463186</v>
      </c>
      <c r="L45" s="470"/>
      <c r="M45" s="219">
        <f>RANK(K45, K$42:$K$71)</f>
        <v>8</v>
      </c>
      <c r="N45" s="477"/>
      <c r="O45" s="477"/>
      <c r="P45" s="187">
        <v>4</v>
      </c>
      <c r="Q45" s="187">
        <v>3002.9999999999986</v>
      </c>
      <c r="R45" s="187">
        <v>750.74999999999966</v>
      </c>
      <c r="S45" s="374">
        <f t="shared" si="10"/>
        <v>7</v>
      </c>
      <c r="T45" s="485"/>
      <c r="U45" s="187">
        <v>4</v>
      </c>
      <c r="V45" s="187">
        <v>3000.0000000000023</v>
      </c>
      <c r="W45" s="187">
        <v>750.00000000000057</v>
      </c>
      <c r="X45" s="374">
        <f t="shared" si="11"/>
        <v>8</v>
      </c>
      <c r="Y45" s="485"/>
      <c r="Z45" s="187">
        <v>4</v>
      </c>
      <c r="AA45" s="187">
        <v>2964.4444444444462</v>
      </c>
      <c r="AB45" s="187">
        <v>741.11111111111154</v>
      </c>
      <c r="AC45" s="374">
        <f t="shared" si="12"/>
        <v>8</v>
      </c>
      <c r="AD45" s="485"/>
      <c r="AE45" s="187">
        <v>4</v>
      </c>
      <c r="AF45" s="187">
        <v>2929.6551724138035</v>
      </c>
      <c r="AG45" s="187">
        <v>732.41379310345087</v>
      </c>
      <c r="AH45" s="374">
        <f t="shared" si="13"/>
        <v>9</v>
      </c>
      <c r="AI45" s="485"/>
      <c r="AJ45" s="187">
        <v>4</v>
      </c>
      <c r="AK45" s="187">
        <v>2898.4615384615486</v>
      </c>
      <c r="AL45" s="187">
        <v>724.61538461538714</v>
      </c>
      <c r="AM45" s="374">
        <f t="shared" si="14"/>
        <v>8</v>
      </c>
      <c r="AN45" s="485"/>
      <c r="AO45" s="187">
        <v>4</v>
      </c>
      <c r="AP45" s="187">
        <v>3002.6666666666665</v>
      </c>
      <c r="AQ45" s="187">
        <v>750.66666666666663</v>
      </c>
      <c r="AR45" s="374">
        <f t="shared" si="15"/>
        <v>7</v>
      </c>
      <c r="AS45" s="485"/>
      <c r="AT45" s="187">
        <v>4</v>
      </c>
      <c r="AU45" s="187">
        <v>2926.4516129032281</v>
      </c>
      <c r="AV45" s="187">
        <v>731.61290322580703</v>
      </c>
      <c r="AW45" s="374">
        <f t="shared" si="16"/>
        <v>10</v>
      </c>
      <c r="AX45" s="485"/>
    </row>
    <row r="46" spans="2:50">
      <c r="B46" s="498"/>
      <c r="C46" s="374">
        <v>5</v>
      </c>
      <c r="D46" s="374" t="s">
        <v>445</v>
      </c>
      <c r="E46" s="374">
        <v>4</v>
      </c>
      <c r="F46" s="374">
        <v>3001.0000000000027</v>
      </c>
      <c r="G46" s="374">
        <v>750.25000000000068</v>
      </c>
      <c r="H46" s="485"/>
      <c r="I46" s="219">
        <f t="shared" si="17"/>
        <v>4</v>
      </c>
      <c r="J46" s="219">
        <f t="shared" si="18"/>
        <v>2974.1787172011668</v>
      </c>
      <c r="K46" s="220">
        <f t="shared" si="19"/>
        <v>743.5446793002917</v>
      </c>
      <c r="L46" s="470"/>
      <c r="M46" s="219">
        <f>RANK(K46, K$42:$K$71)</f>
        <v>7</v>
      </c>
      <c r="N46" s="477"/>
      <c r="O46" s="477"/>
      <c r="P46" s="187">
        <v>4</v>
      </c>
      <c r="Q46" s="187">
        <v>3001.0000000000027</v>
      </c>
      <c r="R46" s="187">
        <v>750.25000000000068</v>
      </c>
      <c r="S46" s="374">
        <f t="shared" si="10"/>
        <v>8</v>
      </c>
      <c r="T46" s="485"/>
      <c r="U46" s="187">
        <v>4</v>
      </c>
      <c r="V46" s="187">
        <v>3007.4999999999977</v>
      </c>
      <c r="W46" s="187">
        <v>751.87499999999943</v>
      </c>
      <c r="X46" s="374">
        <f t="shared" si="11"/>
        <v>7</v>
      </c>
      <c r="Y46" s="485"/>
      <c r="Z46" s="187">
        <v>4</v>
      </c>
      <c r="AA46" s="187">
        <v>2979.6000000000031</v>
      </c>
      <c r="AB46" s="187">
        <v>744.90000000000077</v>
      </c>
      <c r="AC46" s="374">
        <f t="shared" si="12"/>
        <v>7</v>
      </c>
      <c r="AD46" s="485"/>
      <c r="AE46" s="187">
        <v>4</v>
      </c>
      <c r="AF46" s="187">
        <v>2944.2857142857133</v>
      </c>
      <c r="AG46" s="187">
        <v>736.07142857142833</v>
      </c>
      <c r="AH46" s="374">
        <f t="shared" si="13"/>
        <v>8</v>
      </c>
      <c r="AI46" s="485"/>
      <c r="AJ46" s="187">
        <v>4</v>
      </c>
      <c r="AK46" s="187">
        <v>2932.8571428571418</v>
      </c>
      <c r="AL46" s="187">
        <v>733.21428571428544</v>
      </c>
      <c r="AM46" s="374">
        <f t="shared" si="14"/>
        <v>7</v>
      </c>
      <c r="AN46" s="485"/>
      <c r="AO46" s="187">
        <v>4</v>
      </c>
      <c r="AP46" s="187">
        <v>2973.6000000000008</v>
      </c>
      <c r="AQ46" s="187">
        <v>743.4000000000002</v>
      </c>
      <c r="AR46" s="374">
        <f t="shared" si="15"/>
        <v>8</v>
      </c>
      <c r="AS46" s="485"/>
      <c r="AT46" s="187">
        <v>4</v>
      </c>
      <c r="AU46" s="187">
        <v>2980.4081632653069</v>
      </c>
      <c r="AV46" s="187">
        <v>745.10204081632673</v>
      </c>
      <c r="AW46" s="374">
        <f t="shared" si="16"/>
        <v>8</v>
      </c>
      <c r="AX46" s="485"/>
    </row>
    <row r="47" spans="2:50">
      <c r="B47" s="498"/>
      <c r="C47" s="374">
        <v>6</v>
      </c>
      <c r="D47" s="374" t="s">
        <v>444</v>
      </c>
      <c r="E47" s="374">
        <v>3</v>
      </c>
      <c r="F47" s="374">
        <v>2989.7727272727279</v>
      </c>
      <c r="G47" s="374">
        <v>996.59090909090935</v>
      </c>
      <c r="H47" s="485"/>
      <c r="I47" s="219">
        <f t="shared" si="17"/>
        <v>3</v>
      </c>
      <c r="J47" s="219">
        <f t="shared" si="18"/>
        <v>2985.0304611892675</v>
      </c>
      <c r="K47" s="220">
        <f t="shared" si="19"/>
        <v>995.01015372975587</v>
      </c>
      <c r="L47" s="470"/>
      <c r="M47" s="219">
        <f>RANK(K47, K$42:$K$71)</f>
        <v>1</v>
      </c>
      <c r="N47" s="477"/>
      <c r="O47" s="477"/>
      <c r="P47" s="187">
        <v>3</v>
      </c>
      <c r="Q47" s="187">
        <v>2989.7727272727279</v>
      </c>
      <c r="R47" s="187">
        <v>996.59090909090935</v>
      </c>
      <c r="S47" s="374">
        <f t="shared" si="10"/>
        <v>1</v>
      </c>
      <c r="T47" s="485"/>
      <c r="U47" s="187">
        <v>3</v>
      </c>
      <c r="V47" s="187">
        <v>2976.7058823529424</v>
      </c>
      <c r="W47" s="187">
        <v>992.23529411764741</v>
      </c>
      <c r="X47" s="374">
        <f t="shared" si="11"/>
        <v>1</v>
      </c>
      <c r="Y47" s="485"/>
      <c r="Z47" s="187">
        <v>3</v>
      </c>
      <c r="AA47" s="187">
        <v>2992.7710843373516</v>
      </c>
      <c r="AB47" s="187">
        <v>997.59036144578386</v>
      </c>
      <c r="AC47" s="374">
        <f t="shared" si="12"/>
        <v>1</v>
      </c>
      <c r="AD47" s="485"/>
      <c r="AE47" s="187">
        <v>3</v>
      </c>
      <c r="AF47" s="187">
        <v>3011.1428571428555</v>
      </c>
      <c r="AG47" s="187">
        <v>1003.7142857142852</v>
      </c>
      <c r="AH47" s="374">
        <f t="shared" si="13"/>
        <v>1</v>
      </c>
      <c r="AI47" s="485"/>
      <c r="AJ47" s="187">
        <v>3</v>
      </c>
      <c r="AK47" s="187">
        <v>2962.6086956521726</v>
      </c>
      <c r="AL47" s="187">
        <v>987.53623188405754</v>
      </c>
      <c r="AM47" s="374">
        <f t="shared" si="14"/>
        <v>1</v>
      </c>
      <c r="AN47" s="485"/>
      <c r="AO47" s="187">
        <v>3</v>
      </c>
      <c r="AP47" s="187">
        <v>2979.3548387096789</v>
      </c>
      <c r="AQ47" s="187">
        <v>993.11827956989293</v>
      </c>
      <c r="AR47" s="374">
        <f t="shared" si="15"/>
        <v>1</v>
      </c>
      <c r="AS47" s="485"/>
      <c r="AT47" s="187">
        <v>3</v>
      </c>
      <c r="AU47" s="187">
        <v>2982.857142857144</v>
      </c>
      <c r="AV47" s="187">
        <v>994.28571428571468</v>
      </c>
      <c r="AW47" s="374">
        <f t="shared" si="16"/>
        <v>1</v>
      </c>
      <c r="AX47" s="485"/>
    </row>
    <row r="48" spans="2:50">
      <c r="B48" s="498"/>
      <c r="C48" s="374">
        <v>7</v>
      </c>
      <c r="D48" s="374" t="s">
        <v>446</v>
      </c>
      <c r="E48" s="374">
        <v>4</v>
      </c>
      <c r="F48" s="374">
        <v>2441.0526315789457</v>
      </c>
      <c r="G48" s="374">
        <v>610.26315789473642</v>
      </c>
      <c r="H48" s="485"/>
      <c r="I48" s="219">
        <f t="shared" si="17"/>
        <v>4</v>
      </c>
      <c r="J48" s="219">
        <f t="shared" si="18"/>
        <v>2438.3967060508389</v>
      </c>
      <c r="K48" s="220">
        <f t="shared" si="19"/>
        <v>609.59917651270973</v>
      </c>
      <c r="L48" s="470"/>
      <c r="M48" s="219">
        <f>RANK(K48, K$42:$K$71)</f>
        <v>16</v>
      </c>
      <c r="N48" s="477"/>
      <c r="O48" s="477"/>
      <c r="P48" s="187">
        <v>4</v>
      </c>
      <c r="Q48" s="187">
        <v>2441.0526315789457</v>
      </c>
      <c r="R48" s="187">
        <v>610.26315789473642</v>
      </c>
      <c r="S48" s="374">
        <f t="shared" si="10"/>
        <v>16</v>
      </c>
      <c r="T48" s="485"/>
      <c r="U48" s="187">
        <v>4</v>
      </c>
      <c r="V48" s="187">
        <v>2403.1578947368407</v>
      </c>
      <c r="W48" s="187">
        <v>600.78947368421018</v>
      </c>
      <c r="X48" s="374">
        <f t="shared" si="11"/>
        <v>17</v>
      </c>
      <c r="Y48" s="485"/>
      <c r="Z48" s="187">
        <v>4</v>
      </c>
      <c r="AA48" s="187">
        <v>2433.3333333333312</v>
      </c>
      <c r="AB48" s="187">
        <v>608.3333333333328</v>
      </c>
      <c r="AC48" s="374">
        <f t="shared" si="12"/>
        <v>16</v>
      </c>
      <c r="AD48" s="485"/>
      <c r="AE48" s="187">
        <v>4</v>
      </c>
      <c r="AF48" s="187">
        <v>2494.2857142857092</v>
      </c>
      <c r="AG48" s="187">
        <v>623.5714285714273</v>
      </c>
      <c r="AH48" s="374">
        <f t="shared" si="13"/>
        <v>14</v>
      </c>
      <c r="AI48" s="485"/>
      <c r="AJ48" s="187">
        <v>4</v>
      </c>
      <c r="AK48" s="187">
        <v>2429.999999999995</v>
      </c>
      <c r="AL48" s="187">
        <v>607.49999999999875</v>
      </c>
      <c r="AM48" s="374">
        <f t="shared" si="14"/>
        <v>16</v>
      </c>
      <c r="AN48" s="485"/>
      <c r="AO48" s="187">
        <v>4</v>
      </c>
      <c r="AP48" s="187">
        <v>2447.9999999999991</v>
      </c>
      <c r="AQ48" s="187">
        <v>611.99999999999977</v>
      </c>
      <c r="AR48" s="374">
        <f t="shared" si="15"/>
        <v>17</v>
      </c>
      <c r="AS48" s="485"/>
      <c r="AT48" s="187">
        <v>4</v>
      </c>
      <c r="AU48" s="187">
        <v>2418.9473684210507</v>
      </c>
      <c r="AV48" s="187">
        <v>604.73684210526267</v>
      </c>
      <c r="AW48" s="374">
        <f t="shared" si="16"/>
        <v>17</v>
      </c>
      <c r="AX48" s="485"/>
    </row>
    <row r="49" spans="2:50">
      <c r="B49" s="498"/>
      <c r="C49" s="374">
        <v>8</v>
      </c>
      <c r="D49" s="374" t="s">
        <v>447</v>
      </c>
      <c r="E49" s="374">
        <v>3</v>
      </c>
      <c r="F49" s="374">
        <v>2497.0212765957449</v>
      </c>
      <c r="G49" s="374">
        <v>832.340425531915</v>
      </c>
      <c r="H49" s="485"/>
      <c r="I49" s="219">
        <f t="shared" si="17"/>
        <v>3</v>
      </c>
      <c r="J49" s="219">
        <f t="shared" si="18"/>
        <v>2472.1002162139807</v>
      </c>
      <c r="K49" s="220">
        <f t="shared" si="19"/>
        <v>824.03340540466013</v>
      </c>
      <c r="L49" s="470"/>
      <c r="M49" s="219">
        <f>RANK(K49, K$42:$K$71)</f>
        <v>5</v>
      </c>
      <c r="N49" s="477"/>
      <c r="O49" s="477"/>
      <c r="P49" s="187">
        <v>3</v>
      </c>
      <c r="Q49" s="187">
        <v>2497.0212765957449</v>
      </c>
      <c r="R49" s="187">
        <v>832.340425531915</v>
      </c>
      <c r="S49" s="374">
        <f t="shared" si="10"/>
        <v>5</v>
      </c>
      <c r="T49" s="485"/>
      <c r="U49" s="187">
        <v>3</v>
      </c>
      <c r="V49" s="187">
        <v>2456.1702127659578</v>
      </c>
      <c r="W49" s="187">
        <v>818.72340425531922</v>
      </c>
      <c r="X49" s="374">
        <f t="shared" si="11"/>
        <v>5</v>
      </c>
      <c r="Y49" s="485"/>
      <c r="Z49" s="187">
        <v>3</v>
      </c>
      <c r="AA49" s="187">
        <v>2473.3333333333312</v>
      </c>
      <c r="AB49" s="187">
        <v>824.44444444444377</v>
      </c>
      <c r="AC49" s="374">
        <f t="shared" si="12"/>
        <v>4</v>
      </c>
      <c r="AD49" s="485"/>
      <c r="AE49" s="187">
        <v>3</v>
      </c>
      <c r="AF49" s="187">
        <v>2453.9999999999991</v>
      </c>
      <c r="AG49" s="187">
        <v>817.99999999999966</v>
      </c>
      <c r="AH49" s="374">
        <f t="shared" si="13"/>
        <v>5</v>
      </c>
      <c r="AI49" s="485"/>
      <c r="AJ49" s="187">
        <v>3</v>
      </c>
      <c r="AK49" s="187">
        <v>2484.3243243243223</v>
      </c>
      <c r="AL49" s="187">
        <v>828.10810810810744</v>
      </c>
      <c r="AM49" s="374">
        <f t="shared" si="14"/>
        <v>4</v>
      </c>
      <c r="AN49" s="485"/>
      <c r="AO49" s="187">
        <v>3</v>
      </c>
      <c r="AP49" s="187">
        <v>2473.4693877551026</v>
      </c>
      <c r="AQ49" s="187">
        <v>824.48979591836758</v>
      </c>
      <c r="AR49" s="374">
        <f t="shared" si="15"/>
        <v>4</v>
      </c>
      <c r="AS49" s="485"/>
      <c r="AT49" s="187">
        <v>3</v>
      </c>
      <c r="AU49" s="187">
        <v>2466.3829787234044</v>
      </c>
      <c r="AV49" s="187">
        <v>822.12765957446811</v>
      </c>
      <c r="AW49" s="374">
        <f t="shared" si="16"/>
        <v>5</v>
      </c>
      <c r="AX49" s="485"/>
    </row>
    <row r="50" spans="2:50">
      <c r="B50" s="498"/>
      <c r="C50" s="374">
        <v>9</v>
      </c>
      <c r="D50" s="374" t="s">
        <v>448</v>
      </c>
      <c r="E50" s="374">
        <v>3</v>
      </c>
      <c r="F50" s="374">
        <v>2503.6363636363658</v>
      </c>
      <c r="G50" s="374">
        <v>834.5454545454553</v>
      </c>
      <c r="H50" s="485"/>
      <c r="I50" s="219">
        <f t="shared" si="17"/>
        <v>3</v>
      </c>
      <c r="J50" s="219">
        <f t="shared" si="18"/>
        <v>2489.3412635786431</v>
      </c>
      <c r="K50" s="220">
        <f t="shared" si="19"/>
        <v>829.78042119288091</v>
      </c>
      <c r="L50" s="470"/>
      <c r="M50" s="219">
        <f>RANK(K50, K$42:$K$71)</f>
        <v>4</v>
      </c>
      <c r="N50" s="477"/>
      <c r="O50" s="477"/>
      <c r="P50" s="187">
        <v>3</v>
      </c>
      <c r="Q50" s="187">
        <v>2503.6363636363658</v>
      </c>
      <c r="R50" s="187">
        <v>834.5454545454553</v>
      </c>
      <c r="S50" s="374">
        <f t="shared" si="10"/>
        <v>4</v>
      </c>
      <c r="T50" s="485"/>
      <c r="U50" s="187">
        <v>3</v>
      </c>
      <c r="V50" s="187">
        <v>2487.2727272727293</v>
      </c>
      <c r="W50" s="187">
        <v>829.0909090909098</v>
      </c>
      <c r="X50" s="374">
        <f t="shared" si="11"/>
        <v>4</v>
      </c>
      <c r="Y50" s="485"/>
      <c r="Z50" s="187">
        <v>3</v>
      </c>
      <c r="AA50" s="187">
        <v>2458.6363636363658</v>
      </c>
      <c r="AB50" s="187">
        <v>819.5454545454553</v>
      </c>
      <c r="AC50" s="374">
        <f t="shared" si="12"/>
        <v>5</v>
      </c>
      <c r="AD50" s="485"/>
      <c r="AE50" s="187">
        <v>3</v>
      </c>
      <c r="AF50" s="187">
        <v>2467.8947368421013</v>
      </c>
      <c r="AG50" s="187">
        <v>822.63157894736707</v>
      </c>
      <c r="AH50" s="374">
        <f t="shared" si="13"/>
        <v>4</v>
      </c>
      <c r="AI50" s="485"/>
      <c r="AJ50" s="187">
        <v>3</v>
      </c>
      <c r="AK50" s="187">
        <v>2469.729729729725</v>
      </c>
      <c r="AL50" s="187">
        <v>823.24324324324164</v>
      </c>
      <c r="AM50" s="374">
        <f t="shared" si="14"/>
        <v>5</v>
      </c>
      <c r="AN50" s="485"/>
      <c r="AO50" s="187">
        <v>3</v>
      </c>
      <c r="AP50" s="187">
        <v>2463.6734693877579</v>
      </c>
      <c r="AQ50" s="187">
        <v>821.22448979591934</v>
      </c>
      <c r="AR50" s="374">
        <f t="shared" si="15"/>
        <v>5</v>
      </c>
      <c r="AS50" s="485"/>
      <c r="AT50" s="187">
        <v>3</v>
      </c>
      <c r="AU50" s="187">
        <v>2574.5454545454563</v>
      </c>
      <c r="AV50" s="187">
        <v>858.18181818181881</v>
      </c>
      <c r="AW50" s="374">
        <f t="shared" si="16"/>
        <v>4</v>
      </c>
      <c r="AX50" s="485"/>
    </row>
    <row r="51" spans="2:50">
      <c r="B51" s="498"/>
      <c r="C51" s="374">
        <v>10</v>
      </c>
      <c r="D51" s="374" t="s">
        <v>449</v>
      </c>
      <c r="E51" s="374">
        <v>4</v>
      </c>
      <c r="F51" s="374">
        <v>2491.0344827586227</v>
      </c>
      <c r="G51" s="374">
        <v>622.75862068965569</v>
      </c>
      <c r="H51" s="485"/>
      <c r="I51" s="219">
        <f t="shared" si="17"/>
        <v>4</v>
      </c>
      <c r="J51" s="219">
        <f t="shared" si="18"/>
        <v>2462.655331320515</v>
      </c>
      <c r="K51" s="220">
        <f t="shared" si="19"/>
        <v>615.66383283012874</v>
      </c>
      <c r="L51" s="470"/>
      <c r="M51" s="219">
        <f>RANK(K51, K$42:$K$71)</f>
        <v>15</v>
      </c>
      <c r="N51" s="477"/>
      <c r="O51" s="477"/>
      <c r="P51" s="187">
        <v>4</v>
      </c>
      <c r="Q51" s="187">
        <v>2491.0344827586227</v>
      </c>
      <c r="R51" s="187">
        <v>622.75862068965569</v>
      </c>
      <c r="S51" s="374">
        <f t="shared" si="10"/>
        <v>13</v>
      </c>
      <c r="T51" s="485"/>
      <c r="U51" s="187">
        <v>4</v>
      </c>
      <c r="V51" s="187">
        <v>2436.0000000000023</v>
      </c>
      <c r="W51" s="187">
        <v>609.00000000000057</v>
      </c>
      <c r="X51" s="374">
        <f t="shared" si="11"/>
        <v>16</v>
      </c>
      <c r="Y51" s="485"/>
      <c r="Z51" s="187">
        <v>4</v>
      </c>
      <c r="AA51" s="187">
        <v>2462.0689655172432</v>
      </c>
      <c r="AB51" s="187">
        <v>615.5172413793108</v>
      </c>
      <c r="AC51" s="374">
        <f t="shared" si="12"/>
        <v>15</v>
      </c>
      <c r="AD51" s="485"/>
      <c r="AE51" s="187">
        <v>4</v>
      </c>
      <c r="AF51" s="187">
        <v>2447.4999999999923</v>
      </c>
      <c r="AG51" s="187">
        <v>611.87499999999807</v>
      </c>
      <c r="AH51" s="374">
        <f t="shared" si="13"/>
        <v>17</v>
      </c>
      <c r="AI51" s="485"/>
      <c r="AJ51" s="187">
        <v>4</v>
      </c>
      <c r="AK51" s="187">
        <v>2432.4999999999927</v>
      </c>
      <c r="AL51" s="187">
        <v>608.12499999999818</v>
      </c>
      <c r="AM51" s="374">
        <f t="shared" si="14"/>
        <v>15</v>
      </c>
      <c r="AN51" s="485"/>
      <c r="AO51" s="187">
        <v>4</v>
      </c>
      <c r="AP51" s="187">
        <v>2475.4838709677442</v>
      </c>
      <c r="AQ51" s="187">
        <v>618.87096774193606</v>
      </c>
      <c r="AR51" s="374">
        <f t="shared" si="15"/>
        <v>14</v>
      </c>
      <c r="AS51" s="485"/>
      <c r="AT51" s="187">
        <v>4</v>
      </c>
      <c r="AU51" s="187">
        <v>2494.0000000000086</v>
      </c>
      <c r="AV51" s="187">
        <v>623.50000000000216</v>
      </c>
      <c r="AW51" s="374">
        <f t="shared" si="16"/>
        <v>13</v>
      </c>
      <c r="AX51" s="485"/>
    </row>
    <row r="52" spans="2:50">
      <c r="B52" s="498"/>
      <c r="C52" s="374">
        <v>11</v>
      </c>
      <c r="D52" s="374" t="s">
        <v>515</v>
      </c>
      <c r="E52" s="374">
        <v>4</v>
      </c>
      <c r="F52" s="374">
        <v>2472.2448979591845</v>
      </c>
      <c r="G52" s="374">
        <v>618.06122448979613</v>
      </c>
      <c r="H52" s="485"/>
      <c r="I52" s="219">
        <f t="shared" si="17"/>
        <v>4</v>
      </c>
      <c r="J52" s="219">
        <f t="shared" si="18"/>
        <v>2478.087379051</v>
      </c>
      <c r="K52" s="220">
        <f t="shared" si="19"/>
        <v>619.52184476274999</v>
      </c>
      <c r="L52" s="470"/>
      <c r="M52" s="219">
        <f>RANK(K52, K$42:$K$71)</f>
        <v>14</v>
      </c>
      <c r="N52" s="477"/>
      <c r="O52" s="477"/>
      <c r="P52" s="187">
        <v>4</v>
      </c>
      <c r="Q52" s="187">
        <v>2472.2448979591845</v>
      </c>
      <c r="R52" s="187">
        <v>618.06122448979613</v>
      </c>
      <c r="S52" s="374">
        <f t="shared" si="10"/>
        <v>14</v>
      </c>
      <c r="T52" s="485"/>
      <c r="U52" s="187">
        <v>4</v>
      </c>
      <c r="V52" s="187">
        <v>2456.3265306122494</v>
      </c>
      <c r="W52" s="187">
        <v>614.08163265306234</v>
      </c>
      <c r="X52" s="374">
        <f t="shared" si="11"/>
        <v>15</v>
      </c>
      <c r="Y52" s="485"/>
      <c r="Z52" s="187">
        <v>4</v>
      </c>
      <c r="AA52" s="187">
        <v>2542.666666666667</v>
      </c>
      <c r="AB52" s="187">
        <v>635.66666666666674</v>
      </c>
      <c r="AC52" s="374">
        <f t="shared" si="12"/>
        <v>12</v>
      </c>
      <c r="AD52" s="485"/>
      <c r="AE52" s="187">
        <v>4</v>
      </c>
      <c r="AF52" s="187">
        <v>2447.9999999999991</v>
      </c>
      <c r="AG52" s="187">
        <v>611.99999999999977</v>
      </c>
      <c r="AH52" s="374">
        <f t="shared" si="13"/>
        <v>16</v>
      </c>
      <c r="AI52" s="485"/>
      <c r="AJ52" s="187">
        <v>4</v>
      </c>
      <c r="AK52" s="187">
        <v>2439.9999999999986</v>
      </c>
      <c r="AL52" s="187">
        <v>609.99999999999966</v>
      </c>
      <c r="AM52" s="374">
        <f t="shared" si="14"/>
        <v>14</v>
      </c>
      <c r="AN52" s="485"/>
      <c r="AO52" s="187">
        <v>4</v>
      </c>
      <c r="AP52" s="187">
        <v>2486.9387755102048</v>
      </c>
      <c r="AQ52" s="187">
        <v>621.73469387755119</v>
      </c>
      <c r="AR52" s="374">
        <f t="shared" si="15"/>
        <v>13</v>
      </c>
      <c r="AS52" s="485"/>
      <c r="AT52" s="187">
        <v>4</v>
      </c>
      <c r="AU52" s="187">
        <v>2500.4347826086955</v>
      </c>
      <c r="AV52" s="187">
        <v>625.10869565217388</v>
      </c>
      <c r="AW52" s="374">
        <f t="shared" si="16"/>
        <v>12</v>
      </c>
      <c r="AX52" s="485"/>
    </row>
    <row r="53" spans="2:50">
      <c r="B53" s="498"/>
      <c r="C53" s="374">
        <v>12</v>
      </c>
      <c r="D53" s="374" t="s">
        <v>450</v>
      </c>
      <c r="E53" s="374">
        <v>3</v>
      </c>
      <c r="F53" s="374">
        <v>2365.714285714294</v>
      </c>
      <c r="G53" s="374">
        <v>788.57142857143128</v>
      </c>
      <c r="H53" s="485"/>
      <c r="I53" s="219">
        <f t="shared" si="17"/>
        <v>3</v>
      </c>
      <c r="J53" s="219">
        <f t="shared" si="18"/>
        <v>2359.9968602825757</v>
      </c>
      <c r="K53" s="220">
        <f t="shared" si="19"/>
        <v>786.66562009419192</v>
      </c>
      <c r="L53" s="470"/>
      <c r="M53" s="219">
        <f>RANK(K53, K$42:$K$71)</f>
        <v>6</v>
      </c>
      <c r="N53" s="477"/>
      <c r="O53" s="477"/>
      <c r="P53" s="187">
        <v>3</v>
      </c>
      <c r="Q53" s="187">
        <v>2365.714285714294</v>
      </c>
      <c r="R53" s="187">
        <v>788.57142857143128</v>
      </c>
      <c r="S53" s="374">
        <f t="shared" si="10"/>
        <v>6</v>
      </c>
      <c r="T53" s="485"/>
      <c r="U53" s="187">
        <v>3</v>
      </c>
      <c r="V53" s="187">
        <v>2352.8571428571508</v>
      </c>
      <c r="W53" s="187">
        <v>784.28571428571695</v>
      </c>
      <c r="X53" s="374">
        <f t="shared" si="11"/>
        <v>6</v>
      </c>
      <c r="Y53" s="485"/>
      <c r="Z53" s="187">
        <v>3</v>
      </c>
      <c r="AA53" s="187">
        <v>2326.1538461538398</v>
      </c>
      <c r="AB53" s="187">
        <v>775.38461538461331</v>
      </c>
      <c r="AC53" s="374">
        <f t="shared" si="12"/>
        <v>6</v>
      </c>
      <c r="AD53" s="485"/>
      <c r="AE53" s="187">
        <v>3</v>
      </c>
      <c r="AF53" s="187">
        <v>2321.9999999999895</v>
      </c>
      <c r="AG53" s="187">
        <v>773.99999999999648</v>
      </c>
      <c r="AH53" s="374">
        <f t="shared" si="13"/>
        <v>6</v>
      </c>
      <c r="AI53" s="485"/>
      <c r="AJ53" s="187">
        <v>3</v>
      </c>
      <c r="AK53" s="187">
        <v>2406.0000000000086</v>
      </c>
      <c r="AL53" s="187">
        <v>802.00000000000284</v>
      </c>
      <c r="AM53" s="374">
        <f t="shared" si="14"/>
        <v>6</v>
      </c>
      <c r="AN53" s="485"/>
      <c r="AO53" s="187">
        <v>3</v>
      </c>
      <c r="AP53" s="187">
        <v>2425.7142857142944</v>
      </c>
      <c r="AQ53" s="187">
        <v>808.57142857143151</v>
      </c>
      <c r="AR53" s="374">
        <f t="shared" si="15"/>
        <v>6</v>
      </c>
      <c r="AS53" s="485"/>
      <c r="AT53" s="187">
        <v>3</v>
      </c>
      <c r="AU53" s="187">
        <v>2321.5384615384555</v>
      </c>
      <c r="AV53" s="187">
        <v>773.84615384615188</v>
      </c>
      <c r="AW53" s="374">
        <f t="shared" si="16"/>
        <v>6</v>
      </c>
      <c r="AX53" s="485"/>
    </row>
    <row r="54" spans="2:50">
      <c r="B54" s="498"/>
      <c r="C54" s="374">
        <v>13</v>
      </c>
      <c r="D54" s="374" t="s">
        <v>451</v>
      </c>
      <c r="E54" s="374">
        <v>4</v>
      </c>
      <c r="F54" s="374">
        <v>2554.1538461538453</v>
      </c>
      <c r="G54" s="374">
        <v>638.53846153846132</v>
      </c>
      <c r="H54" s="485"/>
      <c r="I54" s="219">
        <f t="shared" si="17"/>
        <v>4</v>
      </c>
      <c r="J54" s="219">
        <f t="shared" si="18"/>
        <v>2490.9256363899012</v>
      </c>
      <c r="K54" s="220">
        <f t="shared" si="19"/>
        <v>622.73140909747531</v>
      </c>
      <c r="L54" s="470"/>
      <c r="M54" s="219">
        <f>RANK(K54, K$42:$K$71)</f>
        <v>12</v>
      </c>
      <c r="N54" s="477"/>
      <c r="O54" s="477"/>
      <c r="P54" s="187">
        <v>4</v>
      </c>
      <c r="Q54" s="187">
        <v>2554.1538461538453</v>
      </c>
      <c r="R54" s="187">
        <v>638.53846153846132</v>
      </c>
      <c r="S54" s="374">
        <f t="shared" si="10"/>
        <v>12</v>
      </c>
      <c r="T54" s="485"/>
      <c r="U54" s="187">
        <v>4</v>
      </c>
      <c r="V54" s="187">
        <v>2498.76923076923</v>
      </c>
      <c r="W54" s="187">
        <v>624.69230769230751</v>
      </c>
      <c r="X54" s="374">
        <f t="shared" si="11"/>
        <v>12</v>
      </c>
      <c r="Y54" s="485"/>
      <c r="Z54" s="187">
        <v>4</v>
      </c>
      <c r="AA54" s="187">
        <v>2481.5624999999995</v>
      </c>
      <c r="AB54" s="187">
        <v>620.39062499999989</v>
      </c>
      <c r="AC54" s="374">
        <f t="shared" si="12"/>
        <v>13</v>
      </c>
      <c r="AD54" s="485"/>
      <c r="AE54" s="187">
        <v>4</v>
      </c>
      <c r="AF54" s="187">
        <v>2461.0714285714289</v>
      </c>
      <c r="AG54" s="187">
        <v>615.26785714285722</v>
      </c>
      <c r="AH54" s="374">
        <f t="shared" si="13"/>
        <v>15</v>
      </c>
      <c r="AI54" s="485"/>
      <c r="AJ54" s="187">
        <v>4</v>
      </c>
      <c r="AK54" s="187">
        <v>2474.716981132075</v>
      </c>
      <c r="AL54" s="187">
        <v>618.67924528301876</v>
      </c>
      <c r="AM54" s="374">
        <f t="shared" si="14"/>
        <v>13</v>
      </c>
      <c r="AN54" s="485"/>
      <c r="AO54" s="187">
        <v>4</v>
      </c>
      <c r="AP54" s="187">
        <v>2472.6760563380271</v>
      </c>
      <c r="AQ54" s="187">
        <v>618.16901408450678</v>
      </c>
      <c r="AR54" s="374">
        <f t="shared" si="15"/>
        <v>15</v>
      </c>
      <c r="AS54" s="485"/>
      <c r="AT54" s="187">
        <v>4</v>
      </c>
      <c r="AU54" s="187">
        <v>2493.5294117647045</v>
      </c>
      <c r="AV54" s="187">
        <v>623.38235294117612</v>
      </c>
      <c r="AW54" s="374">
        <f t="shared" si="16"/>
        <v>14</v>
      </c>
      <c r="AX54" s="485"/>
    </row>
    <row r="55" spans="2:50">
      <c r="B55" s="498"/>
      <c r="C55" s="374">
        <v>14</v>
      </c>
      <c r="D55" s="374" t="s">
        <v>452</v>
      </c>
      <c r="E55" s="374">
        <v>4</v>
      </c>
      <c r="F55" s="374">
        <v>2467.9999999999995</v>
      </c>
      <c r="G55" s="374">
        <v>616.99999999999989</v>
      </c>
      <c r="H55" s="485"/>
      <c r="I55" s="219">
        <f t="shared" si="17"/>
        <v>4</v>
      </c>
      <c r="J55" s="219">
        <f t="shared" si="18"/>
        <v>2483.4931730231269</v>
      </c>
      <c r="K55" s="220">
        <f t="shared" si="19"/>
        <v>620.87329325578173</v>
      </c>
      <c r="L55" s="470"/>
      <c r="M55" s="219">
        <f>RANK(K55, K$42:$K$71)</f>
        <v>13</v>
      </c>
      <c r="N55" s="477"/>
      <c r="O55" s="477"/>
      <c r="P55" s="187">
        <v>4</v>
      </c>
      <c r="Q55" s="187">
        <v>2467.9999999999995</v>
      </c>
      <c r="R55" s="187">
        <v>616.99999999999989</v>
      </c>
      <c r="S55" s="374">
        <f t="shared" si="10"/>
        <v>15</v>
      </c>
      <c r="T55" s="485"/>
      <c r="U55" s="187">
        <v>4</v>
      </c>
      <c r="V55" s="187">
        <v>2483.9999999999995</v>
      </c>
      <c r="W55" s="187">
        <v>620.99999999999989</v>
      </c>
      <c r="X55" s="374">
        <f t="shared" si="11"/>
        <v>14</v>
      </c>
      <c r="Y55" s="485"/>
      <c r="Z55" s="187">
        <v>4</v>
      </c>
      <c r="AA55" s="187">
        <v>2477.0270270270303</v>
      </c>
      <c r="AB55" s="187">
        <v>619.25675675675757</v>
      </c>
      <c r="AC55" s="374">
        <f t="shared" si="12"/>
        <v>14</v>
      </c>
      <c r="AD55" s="485"/>
      <c r="AE55" s="187">
        <v>4</v>
      </c>
      <c r="AF55" s="187">
        <v>2497.1428571428551</v>
      </c>
      <c r="AG55" s="187">
        <v>624.28571428571377</v>
      </c>
      <c r="AH55" s="374">
        <f t="shared" si="13"/>
        <v>13</v>
      </c>
      <c r="AI55" s="485"/>
      <c r="AJ55" s="187">
        <v>4</v>
      </c>
      <c r="AK55" s="187">
        <v>2498.709677419356</v>
      </c>
      <c r="AL55" s="187">
        <v>624.677419354839</v>
      </c>
      <c r="AM55" s="374">
        <f t="shared" si="14"/>
        <v>12</v>
      </c>
      <c r="AN55" s="485"/>
      <c r="AO55" s="187">
        <v>4</v>
      </c>
      <c r="AP55" s="187">
        <v>2471.111111111109</v>
      </c>
      <c r="AQ55" s="187">
        <v>617.77777777777726</v>
      </c>
      <c r="AR55" s="374">
        <f t="shared" si="15"/>
        <v>16</v>
      </c>
      <c r="AS55" s="485"/>
      <c r="AT55" s="187">
        <v>4</v>
      </c>
      <c r="AU55" s="187">
        <v>2488.4615384615381</v>
      </c>
      <c r="AV55" s="187">
        <v>622.11538461538453</v>
      </c>
      <c r="AW55" s="374">
        <f t="shared" si="16"/>
        <v>15</v>
      </c>
      <c r="AX55" s="485"/>
    </row>
    <row r="56" spans="2:50">
      <c r="B56" s="498"/>
      <c r="C56" s="374">
        <v>15</v>
      </c>
      <c r="D56" s="374" t="s">
        <v>453</v>
      </c>
      <c r="E56" s="374">
        <v>4</v>
      </c>
      <c r="F56" s="374">
        <v>2746.0000000000095</v>
      </c>
      <c r="G56" s="374">
        <v>686.50000000000239</v>
      </c>
      <c r="H56" s="485"/>
      <c r="I56" s="219">
        <f t="shared" si="17"/>
        <v>4</v>
      </c>
      <c r="J56" s="219">
        <f t="shared" si="18"/>
        <v>2705.5115071167561</v>
      </c>
      <c r="K56" s="220">
        <f t="shared" si="19"/>
        <v>676.37787677918902</v>
      </c>
      <c r="L56" s="470"/>
      <c r="M56" s="219">
        <f>RANK(K56, K$42:$K$71)</f>
        <v>11</v>
      </c>
      <c r="N56" s="477"/>
      <c r="O56" s="477"/>
      <c r="P56" s="187">
        <v>4</v>
      </c>
      <c r="Q56" s="187">
        <v>2746.0000000000095</v>
      </c>
      <c r="R56" s="187">
        <v>686.50000000000239</v>
      </c>
      <c r="S56" s="374">
        <f t="shared" si="10"/>
        <v>11</v>
      </c>
      <c r="T56" s="485"/>
      <c r="U56" s="187">
        <v>4</v>
      </c>
      <c r="V56" s="187">
        <v>2797.2413793103392</v>
      </c>
      <c r="W56" s="187">
        <v>699.3103448275848</v>
      </c>
      <c r="X56" s="374">
        <f t="shared" si="11"/>
        <v>11</v>
      </c>
      <c r="Y56" s="485"/>
      <c r="Z56" s="187">
        <v>4</v>
      </c>
      <c r="AA56" s="187">
        <v>2753.5714285714384</v>
      </c>
      <c r="AB56" s="187">
        <v>688.39285714285961</v>
      </c>
      <c r="AC56" s="374">
        <f t="shared" si="12"/>
        <v>11</v>
      </c>
      <c r="AD56" s="485"/>
      <c r="AE56" s="187">
        <v>4</v>
      </c>
      <c r="AF56" s="187">
        <v>2740.7999999999925</v>
      </c>
      <c r="AG56" s="187">
        <v>685.19999999999811</v>
      </c>
      <c r="AH56" s="374">
        <f t="shared" si="13"/>
        <v>11</v>
      </c>
      <c r="AI56" s="485"/>
      <c r="AJ56" s="187">
        <v>4</v>
      </c>
      <c r="AK56" s="187">
        <v>2544.0000000000091</v>
      </c>
      <c r="AL56" s="187">
        <v>636.00000000000227</v>
      </c>
      <c r="AM56" s="374">
        <f t="shared" si="14"/>
        <v>11</v>
      </c>
      <c r="AN56" s="485"/>
      <c r="AO56" s="187">
        <v>4</v>
      </c>
      <c r="AP56" s="187">
        <v>2730.9677419354935</v>
      </c>
      <c r="AQ56" s="187">
        <v>682.74193548387336</v>
      </c>
      <c r="AR56" s="374">
        <f t="shared" si="15"/>
        <v>11</v>
      </c>
      <c r="AS56" s="485"/>
      <c r="AT56" s="187">
        <v>4</v>
      </c>
      <c r="AU56" s="187">
        <v>2626.0000000000091</v>
      </c>
      <c r="AV56" s="187">
        <v>656.50000000000227</v>
      </c>
      <c r="AW56" s="374">
        <f t="shared" si="16"/>
        <v>11</v>
      </c>
      <c r="AX56" s="485"/>
    </row>
    <row r="57" spans="2:50">
      <c r="B57" s="498"/>
      <c r="C57" s="374">
        <v>16</v>
      </c>
      <c r="D57" s="374" t="s">
        <v>454</v>
      </c>
      <c r="E57" s="374">
        <v>3</v>
      </c>
      <c r="F57" s="374">
        <v>2190.0000000000077</v>
      </c>
      <c r="G57" s="374">
        <v>730.00000000000261</v>
      </c>
      <c r="H57" s="485"/>
      <c r="I57" s="219">
        <f t="shared" si="17"/>
        <v>3</v>
      </c>
      <c r="J57" s="219">
        <f t="shared" si="18"/>
        <v>2151.7659063625529</v>
      </c>
      <c r="K57" s="220">
        <f t="shared" si="19"/>
        <v>717.25530212085084</v>
      </c>
      <c r="L57" s="470"/>
      <c r="M57" s="219">
        <f>RANK(K57, K$42:$K$71)</f>
        <v>10</v>
      </c>
      <c r="N57" s="477"/>
      <c r="O57" s="477"/>
      <c r="P57" s="187">
        <v>3</v>
      </c>
      <c r="Q57" s="187">
        <v>2190.0000000000077</v>
      </c>
      <c r="R57" s="187">
        <v>730.00000000000261</v>
      </c>
      <c r="S57" s="374">
        <f t="shared" si="10"/>
        <v>10</v>
      </c>
      <c r="T57" s="485"/>
      <c r="U57" s="187">
        <v>3</v>
      </c>
      <c r="V57" s="187">
        <v>2146.0000000000077</v>
      </c>
      <c r="W57" s="187">
        <v>715.33333333333587</v>
      </c>
      <c r="X57" s="374">
        <f t="shared" si="11"/>
        <v>10</v>
      </c>
      <c r="Y57" s="485"/>
      <c r="Z57" s="187">
        <v>3</v>
      </c>
      <c r="AA57" s="187">
        <v>2074.0000000000073</v>
      </c>
      <c r="AB57" s="187">
        <v>691.33333333333576</v>
      </c>
      <c r="AC57" s="374">
        <f t="shared" si="12"/>
        <v>10</v>
      </c>
      <c r="AD57" s="485"/>
      <c r="AE57" s="187">
        <v>3</v>
      </c>
      <c r="AF57" s="187">
        <v>2140.7142857142935</v>
      </c>
      <c r="AG57" s="187">
        <v>713.57142857143117</v>
      </c>
      <c r="AH57" s="374">
        <f t="shared" si="13"/>
        <v>10</v>
      </c>
      <c r="AI57" s="485"/>
      <c r="AJ57" s="187">
        <v>3</v>
      </c>
      <c r="AK57" s="187">
        <v>2114.0000000000073</v>
      </c>
      <c r="AL57" s="187">
        <v>704.66666666666913</v>
      </c>
      <c r="AM57" s="374">
        <f t="shared" si="14"/>
        <v>10</v>
      </c>
      <c r="AN57" s="485"/>
      <c r="AO57" s="187">
        <v>3</v>
      </c>
      <c r="AP57" s="187">
        <v>2147.647058823537</v>
      </c>
      <c r="AQ57" s="187">
        <v>715.88235294117897</v>
      </c>
      <c r="AR57" s="374">
        <f t="shared" si="15"/>
        <v>10</v>
      </c>
      <c r="AS57" s="485"/>
      <c r="AT57" s="187">
        <v>3</v>
      </c>
      <c r="AU57" s="187">
        <v>2250.0000000000082</v>
      </c>
      <c r="AV57" s="187">
        <v>750.00000000000273</v>
      </c>
      <c r="AW57" s="374">
        <f t="shared" si="16"/>
        <v>7</v>
      </c>
      <c r="AX57" s="485"/>
    </row>
    <row r="58" spans="2:50">
      <c r="B58" s="498"/>
      <c r="C58" s="374">
        <v>17</v>
      </c>
      <c r="D58" s="374" t="s">
        <v>455</v>
      </c>
      <c r="E58" s="374">
        <v>4</v>
      </c>
      <c r="F58" s="374">
        <v>2150.769230769225</v>
      </c>
      <c r="G58" s="374">
        <v>537.69230769230626</v>
      </c>
      <c r="H58" s="485"/>
      <c r="I58" s="219">
        <f t="shared" si="17"/>
        <v>4</v>
      </c>
      <c r="J58" s="219">
        <f t="shared" si="18"/>
        <v>2173.6762269476458</v>
      </c>
      <c r="K58" s="220">
        <f t="shared" si="19"/>
        <v>543.41905673691144</v>
      </c>
      <c r="L58" s="470"/>
      <c r="M58" s="219">
        <f>RANK(K58, K$42:$K$71)</f>
        <v>18</v>
      </c>
      <c r="N58" s="477"/>
      <c r="O58" s="477"/>
      <c r="P58" s="187">
        <v>4</v>
      </c>
      <c r="Q58" s="187">
        <v>2150.769230769225</v>
      </c>
      <c r="R58" s="187">
        <v>537.69230769230626</v>
      </c>
      <c r="S58" s="374">
        <f t="shared" si="10"/>
        <v>18</v>
      </c>
      <c r="T58" s="485"/>
      <c r="U58" s="187">
        <v>4</v>
      </c>
      <c r="V58" s="187">
        <v>2192.4999999999786</v>
      </c>
      <c r="W58" s="187">
        <v>548.12499999999466</v>
      </c>
      <c r="X58" s="374">
        <f t="shared" si="11"/>
        <v>18</v>
      </c>
      <c r="Y58" s="485"/>
      <c r="Z58" s="187">
        <v>4</v>
      </c>
      <c r="AA58" s="187">
        <v>2288.1818181818098</v>
      </c>
      <c r="AB58" s="187">
        <v>572.04545454545246</v>
      </c>
      <c r="AC58" s="374">
        <f t="shared" si="12"/>
        <v>17</v>
      </c>
      <c r="AD58" s="485"/>
      <c r="AE58" s="187">
        <v>4</v>
      </c>
      <c r="AF58" s="187">
        <v>2208.0000000000077</v>
      </c>
      <c r="AG58" s="187">
        <v>552.00000000000193</v>
      </c>
      <c r="AH58" s="374">
        <f t="shared" si="13"/>
        <v>18</v>
      </c>
      <c r="AI58" s="485"/>
      <c r="AJ58" s="187">
        <v>4</v>
      </c>
      <c r="AK58" s="187">
        <v>2121.599999999994</v>
      </c>
      <c r="AL58" s="187">
        <v>530.3999999999985</v>
      </c>
      <c r="AM58" s="374">
        <f t="shared" si="14"/>
        <v>18</v>
      </c>
      <c r="AN58" s="485"/>
      <c r="AO58" s="187">
        <v>4</v>
      </c>
      <c r="AP58" s="187">
        <v>2191.1111111110927</v>
      </c>
      <c r="AQ58" s="187">
        <v>547.77777777777317</v>
      </c>
      <c r="AR58" s="374">
        <f t="shared" si="15"/>
        <v>18</v>
      </c>
      <c r="AS58" s="485"/>
      <c r="AT58" s="187">
        <v>4</v>
      </c>
      <c r="AU58" s="187">
        <v>2063.5714285714121</v>
      </c>
      <c r="AV58" s="187">
        <v>515.89285714285302</v>
      </c>
      <c r="AW58" s="374">
        <f t="shared" si="16"/>
        <v>18</v>
      </c>
      <c r="AX58" s="485"/>
    </row>
    <row r="59" spans="2:50">
      <c r="B59" s="498"/>
      <c r="C59" s="374">
        <v>18</v>
      </c>
      <c r="D59" s="374" t="s">
        <v>456</v>
      </c>
      <c r="E59" s="374">
        <v>4</v>
      </c>
      <c r="F59" s="374">
        <v>2432.9032258064522</v>
      </c>
      <c r="G59" s="374">
        <v>608.22580645161304</v>
      </c>
      <c r="H59" s="485"/>
      <c r="I59" s="219">
        <f t="shared" si="17"/>
        <v>4</v>
      </c>
      <c r="J59" s="219">
        <f t="shared" si="18"/>
        <v>2435.7299856215936</v>
      </c>
      <c r="K59" s="220">
        <f t="shared" si="19"/>
        <v>608.93249640539841</v>
      </c>
      <c r="L59" s="470"/>
      <c r="M59" s="219">
        <f>RANK(K59, K$42:$K$71)</f>
        <v>17</v>
      </c>
      <c r="N59" s="477"/>
      <c r="O59" s="477"/>
      <c r="P59" s="187">
        <v>4</v>
      </c>
      <c r="Q59" s="187">
        <v>2432.9032258064522</v>
      </c>
      <c r="R59" s="187">
        <v>608.22580645161304</v>
      </c>
      <c r="S59" s="374">
        <f t="shared" si="10"/>
        <v>17</v>
      </c>
      <c r="T59" s="485"/>
      <c r="U59" s="187">
        <v>4</v>
      </c>
      <c r="V59" s="187">
        <v>2493.1034482758619</v>
      </c>
      <c r="W59" s="187">
        <v>623.27586206896547</v>
      </c>
      <c r="X59" s="374">
        <f t="shared" si="11"/>
        <v>13</v>
      </c>
      <c r="Y59" s="485"/>
      <c r="Z59" s="187">
        <v>4</v>
      </c>
      <c r="AA59" s="187">
        <v>2267.9999997359701</v>
      </c>
      <c r="AB59" s="187">
        <v>566.99999993399251</v>
      </c>
      <c r="AC59" s="374">
        <f t="shared" si="12"/>
        <v>18</v>
      </c>
      <c r="AD59" s="485"/>
      <c r="AE59" s="187">
        <v>4</v>
      </c>
      <c r="AF59" s="187">
        <v>2575.199999999993</v>
      </c>
      <c r="AG59" s="187">
        <v>643.79999999999825</v>
      </c>
      <c r="AH59" s="374">
        <f t="shared" si="13"/>
        <v>12</v>
      </c>
      <c r="AI59" s="485"/>
      <c r="AJ59" s="187">
        <v>4</v>
      </c>
      <c r="AK59" s="187">
        <v>2349.999999726424</v>
      </c>
      <c r="AL59" s="187">
        <v>587.499999931606</v>
      </c>
      <c r="AM59" s="374">
        <f t="shared" si="14"/>
        <v>17</v>
      </c>
      <c r="AN59" s="485"/>
      <c r="AO59" s="187">
        <v>4</v>
      </c>
      <c r="AP59" s="187">
        <v>2492.9032258064522</v>
      </c>
      <c r="AQ59" s="187">
        <v>623.22580645161304</v>
      </c>
      <c r="AR59" s="374">
        <f t="shared" si="15"/>
        <v>12</v>
      </c>
      <c r="AS59" s="485"/>
      <c r="AT59" s="187">
        <v>4</v>
      </c>
      <c r="AU59" s="187">
        <v>2438</v>
      </c>
      <c r="AV59" s="187">
        <v>609.5</v>
      </c>
      <c r="AW59" s="374">
        <f t="shared" si="16"/>
        <v>16</v>
      </c>
      <c r="AX59" s="485"/>
    </row>
    <row r="60" spans="2:50">
      <c r="B60" s="498"/>
      <c r="C60" s="374">
        <v>19</v>
      </c>
      <c r="D60" s="374" t="s">
        <v>676</v>
      </c>
      <c r="E60" s="374">
        <v>3</v>
      </c>
      <c r="F60" s="374">
        <v>2676.6666666666647</v>
      </c>
      <c r="G60" s="374">
        <v>892.2222222222216</v>
      </c>
      <c r="H60" s="485"/>
      <c r="I60" s="219">
        <f t="shared" si="17"/>
        <v>3</v>
      </c>
      <c r="J60" s="219">
        <f t="shared" si="18"/>
        <v>2678.6823171760693</v>
      </c>
      <c r="K60" s="220">
        <f t="shared" si="19"/>
        <v>892.89410572535655</v>
      </c>
      <c r="L60" s="470"/>
      <c r="M60" s="219">
        <f>RANK(K60, K$42:$K$71)</f>
        <v>3</v>
      </c>
      <c r="N60" s="477"/>
      <c r="O60" s="477"/>
      <c r="P60" s="187">
        <v>3</v>
      </c>
      <c r="Q60" s="187">
        <v>2676.6666666666647</v>
      </c>
      <c r="R60" s="187">
        <v>892.2222222222216</v>
      </c>
      <c r="S60" s="374">
        <f t="shared" si="10"/>
        <v>2</v>
      </c>
      <c r="T60" s="485"/>
      <c r="U60" s="187">
        <v>3</v>
      </c>
      <c r="V60" s="187">
        <v>2671.7647058823563</v>
      </c>
      <c r="W60" s="187">
        <v>890.58823529411882</v>
      </c>
      <c r="X60" s="374">
        <f t="shared" si="11"/>
        <v>3</v>
      </c>
      <c r="Y60" s="485"/>
      <c r="Z60" s="187">
        <v>3</v>
      </c>
      <c r="AA60" s="187">
        <v>2664.4444444444421</v>
      </c>
      <c r="AB60" s="187">
        <v>888.14814814814736</v>
      </c>
      <c r="AC60" s="374">
        <f t="shared" si="12"/>
        <v>2</v>
      </c>
      <c r="AD60" s="485"/>
      <c r="AE60" s="187">
        <v>3</v>
      </c>
      <c r="AF60" s="187">
        <v>2683.4042553191493</v>
      </c>
      <c r="AG60" s="187">
        <v>894.46808510638311</v>
      </c>
      <c r="AH60" s="374">
        <f t="shared" si="13"/>
        <v>3</v>
      </c>
      <c r="AI60" s="485"/>
      <c r="AJ60" s="187">
        <v>3</v>
      </c>
      <c r="AK60" s="187">
        <v>2700</v>
      </c>
      <c r="AL60" s="187">
        <v>900</v>
      </c>
      <c r="AM60" s="374">
        <f t="shared" si="14"/>
        <v>3</v>
      </c>
      <c r="AN60" s="485"/>
      <c r="AO60" s="187">
        <v>3</v>
      </c>
      <c r="AP60" s="187">
        <v>2680.6779661016935</v>
      </c>
      <c r="AQ60" s="187">
        <v>893.55932203389784</v>
      </c>
      <c r="AR60" s="374">
        <f t="shared" si="15"/>
        <v>2</v>
      </c>
      <c r="AS60" s="485"/>
      <c r="AT60" s="187">
        <v>3</v>
      </c>
      <c r="AU60" s="187">
        <v>2673.8181818181797</v>
      </c>
      <c r="AV60" s="187">
        <v>891.27272727272657</v>
      </c>
      <c r="AW60" s="374">
        <f t="shared" si="16"/>
        <v>3</v>
      </c>
      <c r="AX60" s="485"/>
    </row>
    <row r="61" spans="2:50">
      <c r="B61" s="498"/>
      <c r="C61" s="374">
        <v>20</v>
      </c>
      <c r="D61" s="374"/>
      <c r="E61" s="374"/>
      <c r="F61" s="374"/>
      <c r="G61" s="374"/>
      <c r="H61" s="485"/>
      <c r="I61" s="219"/>
      <c r="J61" s="219"/>
      <c r="K61" s="220"/>
      <c r="L61" s="470"/>
      <c r="M61" s="219" t="e">
        <f>RANK(K61, K$42:$K$71)</f>
        <v>#N/A</v>
      </c>
      <c r="N61" s="477"/>
      <c r="O61" s="477"/>
      <c r="P61" s="187"/>
      <c r="Q61" s="187"/>
      <c r="R61" s="187"/>
      <c r="S61" s="374" t="e">
        <f t="shared" si="10"/>
        <v>#N/A</v>
      </c>
      <c r="T61" s="485"/>
      <c r="U61" s="187"/>
      <c r="V61" s="187"/>
      <c r="W61" s="187"/>
      <c r="X61" s="374" t="e">
        <f t="shared" si="11"/>
        <v>#N/A</v>
      </c>
      <c r="Y61" s="485"/>
      <c r="Z61" s="187"/>
      <c r="AA61" s="187"/>
      <c r="AB61" s="187"/>
      <c r="AC61" s="374" t="e">
        <f t="shared" si="12"/>
        <v>#N/A</v>
      </c>
      <c r="AD61" s="485"/>
      <c r="AE61" s="187"/>
      <c r="AF61" s="187"/>
      <c r="AG61" s="187"/>
      <c r="AH61" s="374" t="e">
        <f t="shared" si="13"/>
        <v>#N/A</v>
      </c>
      <c r="AI61" s="485"/>
      <c r="AJ61" s="187"/>
      <c r="AK61" s="187"/>
      <c r="AL61" s="187"/>
      <c r="AM61" s="374" t="e">
        <f t="shared" si="14"/>
        <v>#N/A</v>
      </c>
      <c r="AN61" s="485"/>
      <c r="AO61" s="187"/>
      <c r="AP61" s="187"/>
      <c r="AQ61" s="187"/>
      <c r="AR61" s="374" t="e">
        <f t="shared" si="15"/>
        <v>#N/A</v>
      </c>
      <c r="AS61" s="485"/>
      <c r="AT61" s="187"/>
      <c r="AU61" s="187"/>
      <c r="AV61" s="187"/>
      <c r="AW61" s="374" t="e">
        <f t="shared" si="16"/>
        <v>#N/A</v>
      </c>
      <c r="AX61" s="485"/>
    </row>
    <row r="62" spans="2:50">
      <c r="B62" s="498"/>
      <c r="C62" s="374">
        <v>21</v>
      </c>
      <c r="D62" s="374"/>
      <c r="E62" s="374"/>
      <c r="F62" s="374"/>
      <c r="G62" s="374"/>
      <c r="H62" s="485"/>
      <c r="I62" s="222"/>
      <c r="J62" s="222"/>
      <c r="K62" s="222"/>
      <c r="L62" s="470"/>
      <c r="M62" s="219" t="e">
        <f>RANK(K62, K$42:$K$71)</f>
        <v>#N/A</v>
      </c>
      <c r="N62" s="477"/>
      <c r="O62" s="477"/>
      <c r="P62" s="374"/>
      <c r="Q62" s="187"/>
      <c r="R62" s="375"/>
      <c r="S62" s="374" t="e">
        <f t="shared" si="10"/>
        <v>#N/A</v>
      </c>
      <c r="T62" s="485"/>
      <c r="U62" s="374"/>
      <c r="V62" s="187"/>
      <c r="W62" s="375"/>
      <c r="X62" s="374" t="e">
        <f t="shared" si="11"/>
        <v>#N/A</v>
      </c>
      <c r="Y62" s="485"/>
      <c r="Z62" s="374"/>
      <c r="AA62" s="187"/>
      <c r="AB62" s="375"/>
      <c r="AC62" s="374" t="e">
        <f t="shared" si="12"/>
        <v>#N/A</v>
      </c>
      <c r="AD62" s="485"/>
      <c r="AE62" s="374"/>
      <c r="AF62" s="187"/>
      <c r="AG62" s="375"/>
      <c r="AH62" s="374" t="e">
        <f t="shared" si="13"/>
        <v>#N/A</v>
      </c>
      <c r="AI62" s="485"/>
      <c r="AJ62" s="374"/>
      <c r="AK62" s="187"/>
      <c r="AL62" s="375"/>
      <c r="AM62" s="374" t="e">
        <f t="shared" si="14"/>
        <v>#N/A</v>
      </c>
      <c r="AN62" s="485"/>
      <c r="AO62" s="374"/>
      <c r="AP62" s="187"/>
      <c r="AQ62" s="187"/>
      <c r="AR62" s="374" t="e">
        <f t="shared" si="15"/>
        <v>#N/A</v>
      </c>
      <c r="AS62" s="485"/>
      <c r="AT62" s="374"/>
      <c r="AU62" s="187"/>
      <c r="AV62" s="187"/>
      <c r="AW62" s="374" t="e">
        <f t="shared" si="16"/>
        <v>#N/A</v>
      </c>
      <c r="AX62" s="485"/>
    </row>
    <row r="63" spans="2:50">
      <c r="B63" s="498"/>
      <c r="C63" s="374">
        <v>22</v>
      </c>
      <c r="D63" s="374"/>
      <c r="E63" s="374"/>
      <c r="F63" s="374"/>
      <c r="G63" s="374"/>
      <c r="H63" s="485"/>
      <c r="I63" s="222"/>
      <c r="J63" s="222"/>
      <c r="K63" s="222"/>
      <c r="L63" s="470"/>
      <c r="M63" s="219" t="e">
        <f>RANK(K63, K$42:$K$71)</f>
        <v>#N/A</v>
      </c>
      <c r="N63" s="477"/>
      <c r="O63" s="477"/>
      <c r="P63" s="374"/>
      <c r="Q63" s="187"/>
      <c r="R63" s="375"/>
      <c r="S63" s="374" t="e">
        <f t="shared" si="10"/>
        <v>#N/A</v>
      </c>
      <c r="T63" s="485"/>
      <c r="U63" s="374"/>
      <c r="V63" s="187"/>
      <c r="W63" s="375"/>
      <c r="X63" s="374" t="e">
        <f t="shared" si="11"/>
        <v>#N/A</v>
      </c>
      <c r="Y63" s="485"/>
      <c r="Z63" s="374"/>
      <c r="AA63" s="187"/>
      <c r="AB63" s="375"/>
      <c r="AC63" s="374" t="e">
        <f t="shared" si="12"/>
        <v>#N/A</v>
      </c>
      <c r="AD63" s="485"/>
      <c r="AE63" s="374"/>
      <c r="AF63" s="187"/>
      <c r="AG63" s="375"/>
      <c r="AH63" s="374" t="e">
        <f t="shared" si="13"/>
        <v>#N/A</v>
      </c>
      <c r="AI63" s="485"/>
      <c r="AJ63" s="374"/>
      <c r="AK63" s="187"/>
      <c r="AL63" s="375"/>
      <c r="AM63" s="374" t="e">
        <f t="shared" si="14"/>
        <v>#N/A</v>
      </c>
      <c r="AN63" s="485"/>
      <c r="AO63" s="374"/>
      <c r="AP63" s="187"/>
      <c r="AQ63" s="187"/>
      <c r="AR63" s="374" t="e">
        <f t="shared" si="15"/>
        <v>#N/A</v>
      </c>
      <c r="AS63" s="485"/>
      <c r="AT63" s="374"/>
      <c r="AU63" s="187"/>
      <c r="AV63" s="187"/>
      <c r="AW63" s="374" t="e">
        <f t="shared" si="16"/>
        <v>#N/A</v>
      </c>
      <c r="AX63" s="485"/>
    </row>
    <row r="64" spans="2:50">
      <c r="B64" s="498"/>
      <c r="C64" s="374">
        <v>23</v>
      </c>
      <c r="D64" s="374"/>
      <c r="E64" s="374"/>
      <c r="F64" s="374"/>
      <c r="G64" s="374"/>
      <c r="H64" s="485"/>
      <c r="I64" s="222"/>
      <c r="J64" s="222"/>
      <c r="K64" s="222"/>
      <c r="L64" s="470"/>
      <c r="M64" s="219" t="e">
        <f>RANK(K64, K$42:$K$71)</f>
        <v>#N/A</v>
      </c>
      <c r="N64" s="477"/>
      <c r="O64" s="477"/>
      <c r="P64" s="374"/>
      <c r="Q64" s="374"/>
      <c r="R64" s="375"/>
      <c r="S64" s="374" t="e">
        <f t="shared" si="10"/>
        <v>#N/A</v>
      </c>
      <c r="T64" s="485"/>
      <c r="U64" s="374"/>
      <c r="V64" s="187"/>
      <c r="W64" s="375"/>
      <c r="X64" s="374" t="e">
        <f t="shared" si="11"/>
        <v>#N/A</v>
      </c>
      <c r="Y64" s="485"/>
      <c r="Z64" s="374"/>
      <c r="AA64" s="187"/>
      <c r="AB64" s="375"/>
      <c r="AC64" s="374" t="e">
        <f t="shared" si="12"/>
        <v>#N/A</v>
      </c>
      <c r="AD64" s="485"/>
      <c r="AE64" s="374"/>
      <c r="AF64" s="187"/>
      <c r="AG64" s="375"/>
      <c r="AH64" s="374" t="e">
        <f t="shared" si="13"/>
        <v>#N/A</v>
      </c>
      <c r="AI64" s="485"/>
      <c r="AJ64" s="374"/>
      <c r="AK64" s="187"/>
      <c r="AL64" s="375"/>
      <c r="AM64" s="374" t="e">
        <f t="shared" si="14"/>
        <v>#N/A</v>
      </c>
      <c r="AN64" s="485"/>
      <c r="AO64" s="374"/>
      <c r="AP64" s="187"/>
      <c r="AQ64" s="187"/>
      <c r="AR64" s="374" t="e">
        <f t="shared" si="15"/>
        <v>#N/A</v>
      </c>
      <c r="AS64" s="485"/>
      <c r="AT64" s="374"/>
      <c r="AU64" s="187"/>
      <c r="AV64" s="187"/>
      <c r="AW64" s="374" t="e">
        <f t="shared" si="16"/>
        <v>#N/A</v>
      </c>
      <c r="AX64" s="485"/>
    </row>
    <row r="65" spans="2:50">
      <c r="B65" s="498"/>
      <c r="C65" s="374">
        <v>24</v>
      </c>
      <c r="D65" s="374"/>
      <c r="E65" s="374"/>
      <c r="F65" s="374"/>
      <c r="G65" s="374"/>
      <c r="H65" s="485"/>
      <c r="I65" s="222"/>
      <c r="J65" s="222"/>
      <c r="K65" s="222"/>
      <c r="L65" s="470"/>
      <c r="M65" s="219" t="e">
        <f>RANK(K65, K$42:$K$71)</f>
        <v>#N/A</v>
      </c>
      <c r="N65" s="477"/>
      <c r="O65" s="477"/>
      <c r="P65" s="374"/>
      <c r="Q65" s="374"/>
      <c r="R65" s="374"/>
      <c r="S65" s="374" t="e">
        <f t="shared" si="10"/>
        <v>#N/A</v>
      </c>
      <c r="T65" s="485"/>
      <c r="U65" s="374"/>
      <c r="V65" s="374"/>
      <c r="W65" s="374"/>
      <c r="X65" s="374" t="e">
        <f t="shared" si="11"/>
        <v>#N/A</v>
      </c>
      <c r="Y65" s="485"/>
      <c r="Z65" s="374"/>
      <c r="AA65" s="374"/>
      <c r="AB65" s="374"/>
      <c r="AC65" s="374" t="e">
        <f t="shared" si="12"/>
        <v>#N/A</v>
      </c>
      <c r="AD65" s="485"/>
      <c r="AE65" s="374"/>
      <c r="AF65" s="374"/>
      <c r="AG65" s="374"/>
      <c r="AH65" s="374" t="e">
        <f t="shared" si="13"/>
        <v>#N/A</v>
      </c>
      <c r="AI65" s="485"/>
      <c r="AJ65" s="374"/>
      <c r="AK65" s="374"/>
      <c r="AL65" s="374"/>
      <c r="AM65" s="374" t="e">
        <f t="shared" si="14"/>
        <v>#N/A</v>
      </c>
      <c r="AN65" s="485"/>
      <c r="AO65" s="374"/>
      <c r="AP65" s="374"/>
      <c r="AQ65" s="374"/>
      <c r="AR65" s="374" t="e">
        <f t="shared" si="15"/>
        <v>#N/A</v>
      </c>
      <c r="AS65" s="485"/>
      <c r="AT65" s="374"/>
      <c r="AU65" s="374"/>
      <c r="AV65" s="374"/>
      <c r="AW65" s="374" t="e">
        <f t="shared" si="16"/>
        <v>#N/A</v>
      </c>
      <c r="AX65" s="485"/>
    </row>
    <row r="66" spans="2:50">
      <c r="B66" s="498"/>
      <c r="C66" s="374">
        <v>25</v>
      </c>
      <c r="D66" s="374"/>
      <c r="E66" s="374"/>
      <c r="F66" s="374"/>
      <c r="G66" s="374"/>
      <c r="H66" s="485"/>
      <c r="I66" s="222"/>
      <c r="J66" s="222"/>
      <c r="K66" s="222"/>
      <c r="L66" s="470"/>
      <c r="M66" s="219" t="e">
        <f>RANK(K66, K$42:$K$71)</f>
        <v>#N/A</v>
      </c>
      <c r="N66" s="477"/>
      <c r="O66" s="477"/>
      <c r="P66" s="374"/>
      <c r="Q66" s="374"/>
      <c r="R66" s="374"/>
      <c r="S66" s="374" t="e">
        <f t="shared" si="10"/>
        <v>#N/A</v>
      </c>
      <c r="T66" s="485"/>
      <c r="U66" s="374"/>
      <c r="V66" s="374"/>
      <c r="W66" s="374"/>
      <c r="X66" s="374" t="e">
        <f t="shared" si="11"/>
        <v>#N/A</v>
      </c>
      <c r="Y66" s="485"/>
      <c r="Z66" s="374"/>
      <c r="AA66" s="374"/>
      <c r="AB66" s="374"/>
      <c r="AC66" s="374" t="e">
        <f t="shared" si="12"/>
        <v>#N/A</v>
      </c>
      <c r="AD66" s="485"/>
      <c r="AE66" s="374"/>
      <c r="AF66" s="374"/>
      <c r="AG66" s="374"/>
      <c r="AH66" s="374" t="e">
        <f t="shared" si="13"/>
        <v>#N/A</v>
      </c>
      <c r="AI66" s="485"/>
      <c r="AJ66" s="374"/>
      <c r="AK66" s="374"/>
      <c r="AL66" s="374"/>
      <c r="AM66" s="374" t="e">
        <f t="shared" si="14"/>
        <v>#N/A</v>
      </c>
      <c r="AN66" s="485"/>
      <c r="AO66" s="374"/>
      <c r="AP66" s="374"/>
      <c r="AQ66" s="374"/>
      <c r="AR66" s="374" t="e">
        <f t="shared" si="15"/>
        <v>#N/A</v>
      </c>
      <c r="AS66" s="485"/>
      <c r="AT66" s="374"/>
      <c r="AU66" s="374"/>
      <c r="AV66" s="374"/>
      <c r="AW66" s="374" t="e">
        <f t="shared" si="16"/>
        <v>#N/A</v>
      </c>
      <c r="AX66" s="485"/>
    </row>
    <row r="67" spans="2:50">
      <c r="B67" s="498"/>
      <c r="C67" s="374">
        <v>26</v>
      </c>
      <c r="D67" s="374"/>
      <c r="E67" s="374"/>
      <c r="F67" s="374"/>
      <c r="G67" s="374"/>
      <c r="H67" s="485"/>
      <c r="I67" s="222"/>
      <c r="J67" s="222"/>
      <c r="K67" s="222"/>
      <c r="L67" s="470"/>
      <c r="M67" s="219" t="e">
        <f>RANK(K67, K$42:$K$71)</f>
        <v>#N/A</v>
      </c>
      <c r="N67" s="477"/>
      <c r="O67" s="477"/>
      <c r="P67" s="374"/>
      <c r="Q67" s="374"/>
      <c r="R67" s="374"/>
      <c r="S67" s="374" t="e">
        <f t="shared" si="10"/>
        <v>#N/A</v>
      </c>
      <c r="T67" s="485"/>
      <c r="U67" s="374"/>
      <c r="V67" s="374"/>
      <c r="W67" s="374"/>
      <c r="X67" s="374" t="e">
        <f t="shared" si="11"/>
        <v>#N/A</v>
      </c>
      <c r="Y67" s="485"/>
      <c r="Z67" s="374"/>
      <c r="AA67" s="374"/>
      <c r="AB67" s="374"/>
      <c r="AC67" s="374" t="e">
        <f t="shared" si="12"/>
        <v>#N/A</v>
      </c>
      <c r="AD67" s="485"/>
      <c r="AE67" s="374"/>
      <c r="AF67" s="374"/>
      <c r="AG67" s="374"/>
      <c r="AH67" s="374" t="e">
        <f t="shared" si="13"/>
        <v>#N/A</v>
      </c>
      <c r="AI67" s="485"/>
      <c r="AJ67" s="374"/>
      <c r="AK67" s="374"/>
      <c r="AL67" s="374"/>
      <c r="AM67" s="374" t="e">
        <f t="shared" si="14"/>
        <v>#N/A</v>
      </c>
      <c r="AN67" s="485"/>
      <c r="AO67" s="374"/>
      <c r="AP67" s="374"/>
      <c r="AQ67" s="374"/>
      <c r="AR67" s="374" t="e">
        <f t="shared" si="15"/>
        <v>#N/A</v>
      </c>
      <c r="AS67" s="485"/>
      <c r="AT67" s="374"/>
      <c r="AU67" s="374"/>
      <c r="AV67" s="374"/>
      <c r="AW67" s="374" t="e">
        <f t="shared" si="16"/>
        <v>#N/A</v>
      </c>
      <c r="AX67" s="485"/>
    </row>
    <row r="68" spans="2:50">
      <c r="B68" s="498"/>
      <c r="C68" s="374">
        <v>27</v>
      </c>
      <c r="D68" s="374"/>
      <c r="E68" s="374"/>
      <c r="F68" s="374"/>
      <c r="G68" s="374"/>
      <c r="H68" s="485"/>
      <c r="I68" s="222"/>
      <c r="J68" s="222"/>
      <c r="K68" s="222"/>
      <c r="L68" s="470"/>
      <c r="M68" s="219" t="e">
        <f>RANK(K68, K$42:$K$71)</f>
        <v>#N/A</v>
      </c>
      <c r="N68" s="477"/>
      <c r="O68" s="477"/>
      <c r="P68" s="374"/>
      <c r="Q68" s="374"/>
      <c r="R68" s="374"/>
      <c r="S68" s="374" t="e">
        <f t="shared" si="10"/>
        <v>#N/A</v>
      </c>
      <c r="T68" s="485"/>
      <c r="U68" s="374"/>
      <c r="V68" s="374"/>
      <c r="W68" s="374"/>
      <c r="X68" s="374" t="e">
        <f t="shared" si="11"/>
        <v>#N/A</v>
      </c>
      <c r="Y68" s="485"/>
      <c r="Z68" s="374"/>
      <c r="AA68" s="374"/>
      <c r="AB68" s="374"/>
      <c r="AC68" s="374" t="e">
        <f t="shared" si="12"/>
        <v>#N/A</v>
      </c>
      <c r="AD68" s="485"/>
      <c r="AE68" s="374"/>
      <c r="AF68" s="374"/>
      <c r="AG68" s="374"/>
      <c r="AH68" s="374" t="e">
        <f t="shared" si="13"/>
        <v>#N/A</v>
      </c>
      <c r="AI68" s="485"/>
      <c r="AJ68" s="374"/>
      <c r="AK68" s="374"/>
      <c r="AL68" s="374"/>
      <c r="AM68" s="374" t="e">
        <f t="shared" si="14"/>
        <v>#N/A</v>
      </c>
      <c r="AN68" s="485"/>
      <c r="AO68" s="374"/>
      <c r="AP68" s="374"/>
      <c r="AQ68" s="374"/>
      <c r="AR68" s="374" t="e">
        <f t="shared" si="15"/>
        <v>#N/A</v>
      </c>
      <c r="AS68" s="485"/>
      <c r="AT68" s="374"/>
      <c r="AU68" s="374"/>
      <c r="AV68" s="374"/>
      <c r="AW68" s="374" t="e">
        <f t="shared" si="16"/>
        <v>#N/A</v>
      </c>
      <c r="AX68" s="485"/>
    </row>
    <row r="69" spans="2:50">
      <c r="B69" s="498"/>
      <c r="C69" s="374">
        <v>28</v>
      </c>
      <c r="D69" s="374"/>
      <c r="E69" s="374"/>
      <c r="F69" s="374"/>
      <c r="G69" s="374"/>
      <c r="H69" s="485"/>
      <c r="I69" s="222"/>
      <c r="J69" s="222"/>
      <c r="K69" s="222"/>
      <c r="L69" s="470"/>
      <c r="M69" s="219" t="e">
        <f>RANK(K69, K$42:$K$71)</f>
        <v>#N/A</v>
      </c>
      <c r="N69" s="477"/>
      <c r="O69" s="477"/>
      <c r="P69" s="374"/>
      <c r="Q69" s="374"/>
      <c r="R69" s="374"/>
      <c r="S69" s="374" t="e">
        <f t="shared" si="10"/>
        <v>#N/A</v>
      </c>
      <c r="T69" s="485"/>
      <c r="U69" s="374"/>
      <c r="V69" s="374"/>
      <c r="W69" s="374"/>
      <c r="X69" s="374" t="e">
        <f t="shared" si="11"/>
        <v>#N/A</v>
      </c>
      <c r="Y69" s="485"/>
      <c r="Z69" s="374"/>
      <c r="AA69" s="374"/>
      <c r="AB69" s="374"/>
      <c r="AC69" s="374" t="e">
        <f t="shared" si="12"/>
        <v>#N/A</v>
      </c>
      <c r="AD69" s="485"/>
      <c r="AE69" s="374"/>
      <c r="AF69" s="374"/>
      <c r="AG69" s="374"/>
      <c r="AH69" s="374" t="e">
        <f t="shared" si="13"/>
        <v>#N/A</v>
      </c>
      <c r="AI69" s="485"/>
      <c r="AJ69" s="374"/>
      <c r="AK69" s="374"/>
      <c r="AL69" s="374"/>
      <c r="AM69" s="374" t="e">
        <f t="shared" si="14"/>
        <v>#N/A</v>
      </c>
      <c r="AN69" s="485"/>
      <c r="AO69" s="374"/>
      <c r="AP69" s="374"/>
      <c r="AQ69" s="374"/>
      <c r="AR69" s="374" t="e">
        <f t="shared" si="15"/>
        <v>#N/A</v>
      </c>
      <c r="AS69" s="485"/>
      <c r="AT69" s="374"/>
      <c r="AU69" s="374"/>
      <c r="AV69" s="374"/>
      <c r="AW69" s="374" t="e">
        <f t="shared" si="16"/>
        <v>#N/A</v>
      </c>
      <c r="AX69" s="485"/>
    </row>
    <row r="70" spans="2:50">
      <c r="B70" s="498"/>
      <c r="C70" s="374">
        <v>29</v>
      </c>
      <c r="D70" s="374"/>
      <c r="E70" s="374"/>
      <c r="F70" s="374"/>
      <c r="G70" s="374"/>
      <c r="H70" s="485"/>
      <c r="I70" s="222"/>
      <c r="J70" s="222"/>
      <c r="K70" s="222"/>
      <c r="L70" s="470"/>
      <c r="M70" s="219" t="e">
        <f>RANK(K70, K$42:$K$71)</f>
        <v>#N/A</v>
      </c>
      <c r="N70" s="477"/>
      <c r="O70" s="477"/>
      <c r="P70" s="374"/>
      <c r="Q70" s="374"/>
      <c r="R70" s="374"/>
      <c r="S70" s="374" t="e">
        <f t="shared" si="10"/>
        <v>#N/A</v>
      </c>
      <c r="T70" s="485"/>
      <c r="U70" s="374"/>
      <c r="V70" s="374"/>
      <c r="W70" s="374"/>
      <c r="X70" s="374" t="e">
        <f t="shared" si="11"/>
        <v>#N/A</v>
      </c>
      <c r="Y70" s="485"/>
      <c r="Z70" s="374"/>
      <c r="AA70" s="374"/>
      <c r="AB70" s="374"/>
      <c r="AC70" s="374" t="e">
        <f t="shared" si="12"/>
        <v>#N/A</v>
      </c>
      <c r="AD70" s="485"/>
      <c r="AE70" s="374"/>
      <c r="AF70" s="374"/>
      <c r="AG70" s="374"/>
      <c r="AH70" s="374" t="e">
        <f t="shared" si="13"/>
        <v>#N/A</v>
      </c>
      <c r="AI70" s="485"/>
      <c r="AJ70" s="374"/>
      <c r="AK70" s="374"/>
      <c r="AL70" s="374"/>
      <c r="AM70" s="374" t="e">
        <f t="shared" si="14"/>
        <v>#N/A</v>
      </c>
      <c r="AN70" s="485"/>
      <c r="AO70" s="374"/>
      <c r="AP70" s="374"/>
      <c r="AQ70" s="374"/>
      <c r="AR70" s="374" t="e">
        <f t="shared" si="15"/>
        <v>#N/A</v>
      </c>
      <c r="AS70" s="485"/>
      <c r="AT70" s="374"/>
      <c r="AU70" s="374"/>
      <c r="AV70" s="374"/>
      <c r="AW70" s="374" t="e">
        <f t="shared" si="16"/>
        <v>#N/A</v>
      </c>
      <c r="AX70" s="485"/>
    </row>
    <row r="71" spans="2:50">
      <c r="B71" s="499"/>
      <c r="C71" s="374">
        <v>30</v>
      </c>
      <c r="D71" s="374"/>
      <c r="E71" s="374"/>
      <c r="F71" s="374"/>
      <c r="G71" s="374"/>
      <c r="H71" s="486"/>
      <c r="I71" s="222"/>
      <c r="J71" s="222"/>
      <c r="K71" s="222"/>
      <c r="L71" s="471"/>
      <c r="M71" s="219" t="e">
        <f>RANK(K71, K$42:$K$71)</f>
        <v>#N/A</v>
      </c>
      <c r="N71" s="478"/>
      <c r="O71" s="478"/>
      <c r="P71" s="374"/>
      <c r="Q71" s="374"/>
      <c r="R71" s="374"/>
      <c r="S71" s="374" t="e">
        <f t="shared" si="10"/>
        <v>#N/A</v>
      </c>
      <c r="T71" s="486"/>
      <c r="U71" s="374"/>
      <c r="V71" s="374"/>
      <c r="W71" s="374"/>
      <c r="X71" s="374" t="e">
        <f t="shared" si="11"/>
        <v>#N/A</v>
      </c>
      <c r="Y71" s="486"/>
      <c r="Z71" s="374"/>
      <c r="AA71" s="374"/>
      <c r="AB71" s="374"/>
      <c r="AC71" s="374" t="e">
        <f t="shared" si="12"/>
        <v>#N/A</v>
      </c>
      <c r="AD71" s="486"/>
      <c r="AE71" s="374"/>
      <c r="AF71" s="374"/>
      <c r="AG71" s="374"/>
      <c r="AH71" s="374" t="e">
        <f t="shared" si="13"/>
        <v>#N/A</v>
      </c>
      <c r="AI71" s="486"/>
      <c r="AJ71" s="374"/>
      <c r="AK71" s="374"/>
      <c r="AL71" s="374"/>
      <c r="AM71" s="374" t="e">
        <f t="shared" si="14"/>
        <v>#N/A</v>
      </c>
      <c r="AN71" s="486"/>
      <c r="AO71" s="374"/>
      <c r="AP71" s="374"/>
      <c r="AQ71" s="374"/>
      <c r="AR71" s="374" t="e">
        <f t="shared" si="15"/>
        <v>#N/A</v>
      </c>
      <c r="AS71" s="486"/>
      <c r="AT71" s="374"/>
      <c r="AU71" s="374"/>
      <c r="AV71" s="374"/>
      <c r="AW71" s="374" t="e">
        <f t="shared" si="16"/>
        <v>#N/A</v>
      </c>
      <c r="AX71" s="486"/>
    </row>
    <row r="72" spans="2:50" ht="15.75">
      <c r="B72" s="500" t="s">
        <v>172</v>
      </c>
      <c r="C72" s="501"/>
      <c r="D72" s="501"/>
      <c r="E72" s="501"/>
      <c r="F72" s="501"/>
      <c r="G72" s="501"/>
      <c r="H72" s="501"/>
      <c r="I72" s="228"/>
      <c r="J72" s="223"/>
      <c r="K72" s="228"/>
      <c r="L72" s="228"/>
      <c r="M72" s="224"/>
      <c r="N72" s="476" t="s">
        <v>164</v>
      </c>
      <c r="O72" s="476" t="s">
        <v>163</v>
      </c>
      <c r="P72" s="482">
        <f>P37+7</f>
        <v>45909</v>
      </c>
      <c r="Q72" s="483"/>
      <c r="R72" s="483"/>
      <c r="S72" s="483"/>
      <c r="T72" s="483"/>
      <c r="U72" s="479">
        <f>P72+1</f>
        <v>45910</v>
      </c>
      <c r="V72" s="480"/>
      <c r="W72" s="480"/>
      <c r="X72" s="480"/>
      <c r="Y72" s="481"/>
      <c r="Z72" s="479">
        <f>U72+1</f>
        <v>45911</v>
      </c>
      <c r="AA72" s="480"/>
      <c r="AB72" s="480"/>
      <c r="AC72" s="480"/>
      <c r="AD72" s="481"/>
      <c r="AE72" s="479">
        <f t="shared" ref="AE72" si="20">Z72+1</f>
        <v>45912</v>
      </c>
      <c r="AF72" s="480"/>
      <c r="AG72" s="480"/>
      <c r="AH72" s="480"/>
      <c r="AI72" s="481"/>
      <c r="AJ72" s="479">
        <f t="shared" ref="AJ72" si="21">AE72+1</f>
        <v>45913</v>
      </c>
      <c r="AK72" s="480"/>
      <c r="AL72" s="480"/>
      <c r="AM72" s="480"/>
      <c r="AN72" s="481"/>
      <c r="AO72" s="479">
        <f t="shared" ref="AO72" si="22">AJ72+1</f>
        <v>45914</v>
      </c>
      <c r="AP72" s="480"/>
      <c r="AQ72" s="480"/>
      <c r="AR72" s="480"/>
      <c r="AS72" s="481"/>
      <c r="AT72" s="479">
        <f t="shared" ref="AT72" si="23">AO72+1</f>
        <v>45915</v>
      </c>
      <c r="AU72" s="480"/>
      <c r="AV72" s="480"/>
      <c r="AW72" s="480"/>
      <c r="AX72" s="481"/>
    </row>
    <row r="73" spans="2:50" ht="15.75">
      <c r="B73" s="490"/>
      <c r="C73" s="490"/>
      <c r="D73" s="490"/>
      <c r="E73" s="490"/>
      <c r="F73" s="490"/>
      <c r="G73" s="490"/>
      <c r="H73" s="490"/>
      <c r="I73" s="225"/>
      <c r="J73" s="225"/>
      <c r="K73" s="225"/>
      <c r="L73" s="225"/>
      <c r="M73" s="226"/>
      <c r="N73" s="478"/>
      <c r="O73" s="478"/>
      <c r="P73" s="482" t="s">
        <v>393</v>
      </c>
      <c r="Q73" s="483"/>
      <c r="R73" s="483"/>
      <c r="S73" s="483"/>
      <c r="T73" s="483"/>
      <c r="U73" s="482" t="s">
        <v>394</v>
      </c>
      <c r="V73" s="483"/>
      <c r="W73" s="483"/>
      <c r="X73" s="483"/>
      <c r="Y73" s="483"/>
      <c r="Z73" s="482" t="s">
        <v>395</v>
      </c>
      <c r="AA73" s="483"/>
      <c r="AB73" s="483"/>
      <c r="AC73" s="483"/>
      <c r="AD73" s="483"/>
      <c r="AE73" s="482" t="s">
        <v>396</v>
      </c>
      <c r="AF73" s="483"/>
      <c r="AG73" s="483"/>
      <c r="AH73" s="483"/>
      <c r="AI73" s="483"/>
      <c r="AJ73" s="482" t="s">
        <v>397</v>
      </c>
      <c r="AK73" s="483"/>
      <c r="AL73" s="483"/>
      <c r="AM73" s="483"/>
      <c r="AN73" s="483"/>
      <c r="AO73" s="482" t="s">
        <v>398</v>
      </c>
      <c r="AP73" s="483"/>
      <c r="AQ73" s="483"/>
      <c r="AR73" s="483"/>
      <c r="AS73" s="483"/>
      <c r="AT73" s="482" t="s">
        <v>399</v>
      </c>
      <c r="AU73" s="483"/>
      <c r="AV73" s="483"/>
      <c r="AW73" s="483"/>
      <c r="AX73" s="483"/>
    </row>
    <row r="74" spans="2:50">
      <c r="B74" s="475" t="s">
        <v>634</v>
      </c>
      <c r="C74" s="475" t="s">
        <v>644</v>
      </c>
      <c r="D74" s="475"/>
      <c r="E74" s="475" t="s">
        <v>635</v>
      </c>
      <c r="F74" s="475"/>
      <c r="G74" s="475"/>
      <c r="H74" s="491" t="s">
        <v>631</v>
      </c>
      <c r="I74" s="459" t="s">
        <v>636</v>
      </c>
      <c r="J74" s="459"/>
      <c r="K74" s="459"/>
      <c r="L74" s="460" t="s">
        <v>631</v>
      </c>
      <c r="M74" s="466" t="s">
        <v>632</v>
      </c>
      <c r="N74" s="475"/>
      <c r="O74" s="475" t="s">
        <v>637</v>
      </c>
      <c r="P74" s="472" t="s">
        <v>633</v>
      </c>
      <c r="Q74" s="473"/>
      <c r="R74" s="473"/>
      <c r="S74" s="474"/>
      <c r="T74" s="475" t="s">
        <v>631</v>
      </c>
      <c r="U74" s="472" t="s">
        <v>633</v>
      </c>
      <c r="V74" s="473"/>
      <c r="W74" s="473"/>
      <c r="X74" s="474"/>
      <c r="Y74" s="475" t="s">
        <v>631</v>
      </c>
      <c r="Z74" s="472" t="s">
        <v>633</v>
      </c>
      <c r="AA74" s="473"/>
      <c r="AB74" s="473"/>
      <c r="AC74" s="474"/>
      <c r="AD74" s="475" t="s">
        <v>631</v>
      </c>
      <c r="AE74" s="472" t="s">
        <v>633</v>
      </c>
      <c r="AF74" s="473"/>
      <c r="AG74" s="473"/>
      <c r="AH74" s="474"/>
      <c r="AI74" s="475" t="s">
        <v>631</v>
      </c>
      <c r="AJ74" s="472" t="s">
        <v>633</v>
      </c>
      <c r="AK74" s="473"/>
      <c r="AL74" s="473"/>
      <c r="AM74" s="474"/>
      <c r="AN74" s="475" t="s">
        <v>631</v>
      </c>
      <c r="AO74" s="472" t="s">
        <v>633</v>
      </c>
      <c r="AP74" s="473"/>
      <c r="AQ74" s="473"/>
      <c r="AR74" s="474"/>
      <c r="AS74" s="475" t="s">
        <v>631</v>
      </c>
      <c r="AT74" s="472" t="s">
        <v>633</v>
      </c>
      <c r="AU74" s="473"/>
      <c r="AV74" s="473"/>
      <c r="AW74" s="474"/>
      <c r="AX74" s="475" t="s">
        <v>631</v>
      </c>
    </row>
    <row r="75" spans="2:50">
      <c r="B75" s="475"/>
      <c r="C75" s="475"/>
      <c r="D75" s="475"/>
      <c r="E75" s="475" t="s">
        <v>638</v>
      </c>
      <c r="F75" s="475"/>
      <c r="G75" s="475"/>
      <c r="H75" s="492"/>
      <c r="I75" s="459" t="s">
        <v>638</v>
      </c>
      <c r="J75" s="459"/>
      <c r="K75" s="459"/>
      <c r="L75" s="461"/>
      <c r="M75" s="467"/>
      <c r="N75" s="475"/>
      <c r="O75" s="475"/>
      <c r="P75" s="472" t="s">
        <v>639</v>
      </c>
      <c r="Q75" s="473"/>
      <c r="R75" s="473"/>
      <c r="S75" s="474"/>
      <c r="T75" s="475"/>
      <c r="U75" s="472" t="s">
        <v>639</v>
      </c>
      <c r="V75" s="473"/>
      <c r="W75" s="473"/>
      <c r="X75" s="474"/>
      <c r="Y75" s="475"/>
      <c r="Z75" s="472" t="s">
        <v>639</v>
      </c>
      <c r="AA75" s="473"/>
      <c r="AB75" s="473"/>
      <c r="AC75" s="474"/>
      <c r="AD75" s="475"/>
      <c r="AE75" s="472" t="s">
        <v>639</v>
      </c>
      <c r="AF75" s="473"/>
      <c r="AG75" s="473"/>
      <c r="AH75" s="474"/>
      <c r="AI75" s="475"/>
      <c r="AJ75" s="472" t="s">
        <v>639</v>
      </c>
      <c r="AK75" s="473"/>
      <c r="AL75" s="473"/>
      <c r="AM75" s="474"/>
      <c r="AN75" s="475"/>
      <c r="AO75" s="472" t="s">
        <v>639</v>
      </c>
      <c r="AP75" s="473"/>
      <c r="AQ75" s="473"/>
      <c r="AR75" s="474"/>
      <c r="AS75" s="475"/>
      <c r="AT75" s="472" t="s">
        <v>639</v>
      </c>
      <c r="AU75" s="473"/>
      <c r="AV75" s="473"/>
      <c r="AW75" s="474"/>
      <c r="AX75" s="475"/>
    </row>
    <row r="76" spans="2:50">
      <c r="B76" s="475"/>
      <c r="C76" s="475"/>
      <c r="D76" s="475"/>
      <c r="E76" s="350" t="s">
        <v>640</v>
      </c>
      <c r="F76" s="350" t="s">
        <v>641</v>
      </c>
      <c r="G76" s="350" t="s">
        <v>642</v>
      </c>
      <c r="H76" s="493"/>
      <c r="I76" s="349" t="s">
        <v>640</v>
      </c>
      <c r="J76" s="349" t="s">
        <v>641</v>
      </c>
      <c r="K76" s="349" t="s">
        <v>642</v>
      </c>
      <c r="L76" s="462"/>
      <c r="M76" s="468"/>
      <c r="N76" s="475"/>
      <c r="O76" s="475"/>
      <c r="P76" s="350" t="s">
        <v>640</v>
      </c>
      <c r="Q76" s="350" t="s">
        <v>641</v>
      </c>
      <c r="R76" s="350" t="s">
        <v>642</v>
      </c>
      <c r="S76" s="350" t="s">
        <v>632</v>
      </c>
      <c r="T76" s="475"/>
      <c r="U76" s="350" t="s">
        <v>640</v>
      </c>
      <c r="V76" s="350" t="s">
        <v>641</v>
      </c>
      <c r="W76" s="350" t="s">
        <v>642</v>
      </c>
      <c r="X76" s="350" t="s">
        <v>632</v>
      </c>
      <c r="Y76" s="475"/>
      <c r="Z76" s="350" t="s">
        <v>640</v>
      </c>
      <c r="AA76" s="350" t="s">
        <v>641</v>
      </c>
      <c r="AB76" s="350" t="s">
        <v>642</v>
      </c>
      <c r="AC76" s="350" t="s">
        <v>632</v>
      </c>
      <c r="AD76" s="475"/>
      <c r="AE76" s="350" t="s">
        <v>640</v>
      </c>
      <c r="AF76" s="350" t="s">
        <v>641</v>
      </c>
      <c r="AG76" s="350" t="s">
        <v>642</v>
      </c>
      <c r="AH76" s="350" t="s">
        <v>632</v>
      </c>
      <c r="AI76" s="475"/>
      <c r="AJ76" s="350" t="s">
        <v>640</v>
      </c>
      <c r="AK76" s="350" t="s">
        <v>641</v>
      </c>
      <c r="AL76" s="350" t="s">
        <v>642</v>
      </c>
      <c r="AM76" s="350" t="s">
        <v>632</v>
      </c>
      <c r="AN76" s="475"/>
      <c r="AO76" s="350" t="s">
        <v>640</v>
      </c>
      <c r="AP76" s="350" t="s">
        <v>641</v>
      </c>
      <c r="AQ76" s="350" t="s">
        <v>642</v>
      </c>
      <c r="AR76" s="350" t="s">
        <v>632</v>
      </c>
      <c r="AS76" s="475"/>
      <c r="AT76" s="350" t="s">
        <v>640</v>
      </c>
      <c r="AU76" s="350" t="s">
        <v>641</v>
      </c>
      <c r="AV76" s="350" t="s">
        <v>642</v>
      </c>
      <c r="AW76" s="350" t="s">
        <v>632</v>
      </c>
      <c r="AX76" s="475"/>
    </row>
    <row r="77" spans="2:50">
      <c r="B77" s="483" t="s">
        <v>158</v>
      </c>
      <c r="C77" s="351">
        <v>1</v>
      </c>
      <c r="D77" s="351"/>
      <c r="E77" s="351"/>
      <c r="F77" s="351"/>
      <c r="G77" s="351"/>
      <c r="H77" s="484" t="e">
        <f>AVERAGE(G77:G106)</f>
        <v>#DIV/0!</v>
      </c>
      <c r="I77" s="219" t="e">
        <f>AVERAGE(P77,U77,Z77,AE77,AJ77,AO77,AT77)</f>
        <v>#DIV/0!</v>
      </c>
      <c r="J77" s="219" t="e">
        <f>AVERAGE(Q77,V77,AA77,AF77,AK77,AP77,AU77)</f>
        <v>#DIV/0!</v>
      </c>
      <c r="K77" s="220" t="e">
        <f>AVERAGE(R77,W77,AB77,AG77,AL77,AQ77,AV77)</f>
        <v>#DIV/0!</v>
      </c>
      <c r="L77" s="456" t="str">
        <f>IFERROR(AVERAGE(K77:K106),"-")</f>
        <v>-</v>
      </c>
      <c r="M77" s="219" t="e">
        <f>RANK(K77, K$147:$K$176)</f>
        <v>#DIV/0!</v>
      </c>
      <c r="N77" s="475"/>
      <c r="O77" s="475"/>
      <c r="P77" s="351"/>
      <c r="Q77" s="187"/>
      <c r="R77" s="354"/>
      <c r="S77" s="351" t="e">
        <f>RANK(R77, R$147:R$176)</f>
        <v>#N/A</v>
      </c>
      <c r="T77" s="484" t="e">
        <f>AVERAGE(R77:R106)</f>
        <v>#DIV/0!</v>
      </c>
      <c r="U77" s="351"/>
      <c r="V77" s="187"/>
      <c r="W77" s="354"/>
      <c r="X77" s="351" t="e">
        <f>RANK(W77, W$147:W$176)</f>
        <v>#N/A</v>
      </c>
      <c r="Y77" s="484" t="e">
        <f>AVERAGE(W77:W106)</f>
        <v>#DIV/0!</v>
      </c>
      <c r="Z77" s="351"/>
      <c r="AA77" s="187"/>
      <c r="AB77" s="354"/>
      <c r="AC77" s="351" t="e">
        <f>RANK(AB77, AB$147:AB$176)</f>
        <v>#N/A</v>
      </c>
      <c r="AD77" s="484" t="e">
        <f>AVERAGE(AB77:AB106)</f>
        <v>#DIV/0!</v>
      </c>
      <c r="AE77" s="351"/>
      <c r="AF77" s="187"/>
      <c r="AG77" s="354"/>
      <c r="AH77" s="351" t="e">
        <f>RANK(AG77, AG$147:AG$176)</f>
        <v>#N/A</v>
      </c>
      <c r="AI77" s="484" t="e">
        <f>AVERAGE(AG77:AG106)</f>
        <v>#DIV/0!</v>
      </c>
      <c r="AJ77" s="351"/>
      <c r="AK77" s="187"/>
      <c r="AL77" s="354"/>
      <c r="AM77" s="351" t="e">
        <f>RANK(AL77, AL$147:AL$176)</f>
        <v>#N/A</v>
      </c>
      <c r="AN77" s="484" t="e">
        <f>AVERAGE(AL77:AL106)</f>
        <v>#DIV/0!</v>
      </c>
      <c r="AO77" s="351"/>
      <c r="AP77" s="187"/>
      <c r="AQ77" s="187"/>
      <c r="AR77" s="351" t="e">
        <f>RANK(AQ77, AQ$147:AQ$176)</f>
        <v>#N/A</v>
      </c>
      <c r="AS77" s="484" t="e">
        <f>AVERAGE(AQ77:AQ106)</f>
        <v>#DIV/0!</v>
      </c>
      <c r="AT77" s="351"/>
      <c r="AU77" s="187"/>
      <c r="AV77" s="187"/>
      <c r="AW77" s="351" t="e">
        <f>RANK(AV77, AV$147:AV$176)</f>
        <v>#N/A</v>
      </c>
      <c r="AX77" s="484" t="e">
        <f>AVERAGE(AV77:AV106)</f>
        <v>#DIV/0!</v>
      </c>
    </row>
    <row r="78" spans="2:50">
      <c r="B78" s="483"/>
      <c r="C78" s="351">
        <v>2</v>
      </c>
      <c r="D78" s="351"/>
      <c r="E78" s="351"/>
      <c r="F78" s="351"/>
      <c r="G78" s="351"/>
      <c r="H78" s="485"/>
      <c r="I78" s="219" t="e">
        <f t="shared" ref="I78:I96" si="24">AVERAGE(P78,U78,Z78,AE78,AJ78,AO78,AT78)</f>
        <v>#DIV/0!</v>
      </c>
      <c r="J78" s="219" t="e">
        <f t="shared" ref="J78:J96" si="25">AVERAGE(Q78,V78,AA78,AF78,AK78,AP78,AU78)</f>
        <v>#DIV/0!</v>
      </c>
      <c r="K78" s="220" t="e">
        <f t="shared" ref="K78:K96" si="26">AVERAGE(R78,W78,AB78,AG78,AL78,AQ78,AV78)</f>
        <v>#DIV/0!</v>
      </c>
      <c r="L78" s="457"/>
      <c r="M78" s="219" t="e">
        <f>RANK(K78, K$147:$K$176)</f>
        <v>#DIV/0!</v>
      </c>
      <c r="N78" s="475"/>
      <c r="O78" s="475"/>
      <c r="P78" s="351"/>
      <c r="Q78" s="187"/>
      <c r="R78" s="354"/>
      <c r="S78" s="351" t="e">
        <f t="shared" ref="S78:S106" si="27">RANK(R78, R$147:R$176)</f>
        <v>#N/A</v>
      </c>
      <c r="T78" s="485"/>
      <c r="U78" s="351"/>
      <c r="V78" s="187"/>
      <c r="W78" s="354"/>
      <c r="X78" s="351" t="e">
        <f t="shared" ref="X78:X106" si="28">RANK(W78, W$147:W$176)</f>
        <v>#N/A</v>
      </c>
      <c r="Y78" s="485"/>
      <c r="Z78" s="351"/>
      <c r="AA78" s="187"/>
      <c r="AB78" s="354"/>
      <c r="AC78" s="351" t="e">
        <f t="shared" ref="AC78:AC106" si="29">RANK(AB78, AB$147:AB$176)</f>
        <v>#N/A</v>
      </c>
      <c r="AD78" s="485"/>
      <c r="AE78" s="351"/>
      <c r="AF78" s="187"/>
      <c r="AG78" s="354"/>
      <c r="AH78" s="351" t="e">
        <f t="shared" ref="AH78:AH106" si="30">RANK(AG78, AG$147:AG$176)</f>
        <v>#N/A</v>
      </c>
      <c r="AI78" s="485"/>
      <c r="AJ78" s="351"/>
      <c r="AK78" s="187"/>
      <c r="AL78" s="354"/>
      <c r="AM78" s="351" t="e">
        <f t="shared" ref="AM78:AM106" si="31">RANK(AL78, AL$147:AL$176)</f>
        <v>#N/A</v>
      </c>
      <c r="AN78" s="485"/>
      <c r="AO78" s="351"/>
      <c r="AP78" s="187"/>
      <c r="AQ78" s="187"/>
      <c r="AR78" s="351" t="e">
        <f t="shared" ref="AR78:AR106" si="32">RANK(AQ78, AQ$147:AQ$176)</f>
        <v>#N/A</v>
      </c>
      <c r="AS78" s="485"/>
      <c r="AT78" s="351"/>
      <c r="AU78" s="187"/>
      <c r="AV78" s="187"/>
      <c r="AW78" s="351" t="e">
        <f t="shared" ref="AW78:AW106" si="33">RANK(AV78, AV$147:AV$176)</f>
        <v>#N/A</v>
      </c>
      <c r="AX78" s="485"/>
    </row>
    <row r="79" spans="2:50">
      <c r="B79" s="483"/>
      <c r="C79" s="351">
        <v>3</v>
      </c>
      <c r="D79" s="351"/>
      <c r="E79" s="351"/>
      <c r="F79" s="351"/>
      <c r="G79" s="351"/>
      <c r="H79" s="485"/>
      <c r="I79" s="219" t="e">
        <f t="shared" si="24"/>
        <v>#DIV/0!</v>
      </c>
      <c r="J79" s="219" t="e">
        <f t="shared" si="25"/>
        <v>#DIV/0!</v>
      </c>
      <c r="K79" s="220" t="e">
        <f t="shared" si="26"/>
        <v>#DIV/0!</v>
      </c>
      <c r="L79" s="457"/>
      <c r="M79" s="219" t="e">
        <f>RANK(K79, K$147:$K$176)</f>
        <v>#DIV/0!</v>
      </c>
      <c r="N79" s="475"/>
      <c r="O79" s="475"/>
      <c r="P79" s="351"/>
      <c r="Q79" s="187"/>
      <c r="R79" s="354"/>
      <c r="S79" s="351" t="e">
        <f t="shared" si="27"/>
        <v>#N/A</v>
      </c>
      <c r="T79" s="485"/>
      <c r="U79" s="351"/>
      <c r="V79" s="187"/>
      <c r="W79" s="354"/>
      <c r="X79" s="351" t="e">
        <f t="shared" si="28"/>
        <v>#N/A</v>
      </c>
      <c r="Y79" s="485"/>
      <c r="Z79" s="351"/>
      <c r="AA79" s="187"/>
      <c r="AB79" s="354"/>
      <c r="AC79" s="351" t="e">
        <f t="shared" si="29"/>
        <v>#N/A</v>
      </c>
      <c r="AD79" s="485"/>
      <c r="AE79" s="351"/>
      <c r="AF79" s="187"/>
      <c r="AG79" s="354"/>
      <c r="AH79" s="351" t="e">
        <f t="shared" si="30"/>
        <v>#N/A</v>
      </c>
      <c r="AI79" s="485"/>
      <c r="AJ79" s="351"/>
      <c r="AK79" s="187"/>
      <c r="AL79" s="354"/>
      <c r="AM79" s="351" t="e">
        <f t="shared" si="31"/>
        <v>#N/A</v>
      </c>
      <c r="AN79" s="485"/>
      <c r="AO79" s="351"/>
      <c r="AP79" s="187"/>
      <c r="AQ79" s="187"/>
      <c r="AR79" s="351" t="e">
        <f t="shared" si="32"/>
        <v>#N/A</v>
      </c>
      <c r="AS79" s="485"/>
      <c r="AT79" s="351"/>
      <c r="AU79" s="187"/>
      <c r="AV79" s="187"/>
      <c r="AW79" s="351" t="e">
        <f t="shared" si="33"/>
        <v>#N/A</v>
      </c>
      <c r="AX79" s="485"/>
    </row>
    <row r="80" spans="2:50">
      <c r="B80" s="483"/>
      <c r="C80" s="351">
        <v>4</v>
      </c>
      <c r="D80" s="351"/>
      <c r="E80" s="351"/>
      <c r="F80" s="351"/>
      <c r="G80" s="351"/>
      <c r="H80" s="485"/>
      <c r="I80" s="219" t="e">
        <f t="shared" si="24"/>
        <v>#DIV/0!</v>
      </c>
      <c r="J80" s="219" t="e">
        <f t="shared" si="25"/>
        <v>#DIV/0!</v>
      </c>
      <c r="K80" s="220" t="e">
        <f t="shared" si="26"/>
        <v>#DIV/0!</v>
      </c>
      <c r="L80" s="457"/>
      <c r="M80" s="219" t="e">
        <f>RANK(K80, K$147:$K$176)</f>
        <v>#DIV/0!</v>
      </c>
      <c r="N80" s="475"/>
      <c r="O80" s="475"/>
      <c r="P80" s="351"/>
      <c r="Q80" s="187"/>
      <c r="R80" s="354"/>
      <c r="S80" s="351" t="e">
        <f t="shared" si="27"/>
        <v>#N/A</v>
      </c>
      <c r="T80" s="485"/>
      <c r="U80" s="351"/>
      <c r="V80" s="187"/>
      <c r="W80" s="354"/>
      <c r="X80" s="351" t="e">
        <f t="shared" si="28"/>
        <v>#N/A</v>
      </c>
      <c r="Y80" s="485"/>
      <c r="Z80" s="351"/>
      <c r="AA80" s="187"/>
      <c r="AB80" s="354"/>
      <c r="AC80" s="351" t="e">
        <f t="shared" si="29"/>
        <v>#N/A</v>
      </c>
      <c r="AD80" s="485"/>
      <c r="AE80" s="351"/>
      <c r="AF80" s="187"/>
      <c r="AG80" s="354"/>
      <c r="AH80" s="351" t="e">
        <f t="shared" si="30"/>
        <v>#N/A</v>
      </c>
      <c r="AI80" s="485"/>
      <c r="AJ80" s="351"/>
      <c r="AK80" s="187"/>
      <c r="AL80" s="354"/>
      <c r="AM80" s="351" t="e">
        <f t="shared" si="31"/>
        <v>#N/A</v>
      </c>
      <c r="AN80" s="485"/>
      <c r="AO80" s="351"/>
      <c r="AP80" s="187"/>
      <c r="AQ80" s="187"/>
      <c r="AR80" s="351" t="e">
        <f t="shared" si="32"/>
        <v>#N/A</v>
      </c>
      <c r="AS80" s="485"/>
      <c r="AT80" s="351"/>
      <c r="AU80" s="187"/>
      <c r="AV80" s="187"/>
      <c r="AW80" s="351" t="e">
        <f t="shared" si="33"/>
        <v>#N/A</v>
      </c>
      <c r="AX80" s="485"/>
    </row>
    <row r="81" spans="2:50">
      <c r="B81" s="483"/>
      <c r="C81" s="351">
        <v>5</v>
      </c>
      <c r="D81" s="351"/>
      <c r="E81" s="351"/>
      <c r="F81" s="351"/>
      <c r="G81" s="351"/>
      <c r="H81" s="485"/>
      <c r="I81" s="219" t="e">
        <f t="shared" si="24"/>
        <v>#DIV/0!</v>
      </c>
      <c r="J81" s="219" t="e">
        <f t="shared" si="25"/>
        <v>#DIV/0!</v>
      </c>
      <c r="K81" s="220" t="e">
        <f t="shared" si="26"/>
        <v>#DIV/0!</v>
      </c>
      <c r="L81" s="457"/>
      <c r="M81" s="219" t="e">
        <f>RANK(K81, K$147:$K$176)</f>
        <v>#DIV/0!</v>
      </c>
      <c r="N81" s="475"/>
      <c r="O81" s="475"/>
      <c r="P81" s="351"/>
      <c r="Q81" s="187"/>
      <c r="R81" s="354"/>
      <c r="S81" s="351" t="e">
        <f t="shared" si="27"/>
        <v>#N/A</v>
      </c>
      <c r="T81" s="485"/>
      <c r="U81" s="351"/>
      <c r="V81" s="187"/>
      <c r="W81" s="354"/>
      <c r="X81" s="351" t="e">
        <f t="shared" si="28"/>
        <v>#N/A</v>
      </c>
      <c r="Y81" s="485"/>
      <c r="Z81" s="351"/>
      <c r="AA81" s="187"/>
      <c r="AB81" s="354"/>
      <c r="AC81" s="351" t="e">
        <f t="shared" si="29"/>
        <v>#N/A</v>
      </c>
      <c r="AD81" s="485"/>
      <c r="AE81" s="351"/>
      <c r="AF81" s="187"/>
      <c r="AG81" s="354"/>
      <c r="AH81" s="351" t="e">
        <f t="shared" si="30"/>
        <v>#N/A</v>
      </c>
      <c r="AI81" s="485"/>
      <c r="AJ81" s="351"/>
      <c r="AK81" s="187"/>
      <c r="AL81" s="354"/>
      <c r="AM81" s="351" t="e">
        <f t="shared" si="31"/>
        <v>#N/A</v>
      </c>
      <c r="AN81" s="485"/>
      <c r="AO81" s="351"/>
      <c r="AP81" s="187"/>
      <c r="AQ81" s="187"/>
      <c r="AR81" s="351" t="e">
        <f t="shared" si="32"/>
        <v>#N/A</v>
      </c>
      <c r="AS81" s="485"/>
      <c r="AT81" s="351"/>
      <c r="AU81" s="187"/>
      <c r="AV81" s="187"/>
      <c r="AW81" s="351" t="e">
        <f t="shared" si="33"/>
        <v>#N/A</v>
      </c>
      <c r="AX81" s="485"/>
    </row>
    <row r="82" spans="2:50">
      <c r="B82" s="483"/>
      <c r="C82" s="351">
        <v>6</v>
      </c>
      <c r="D82" s="351"/>
      <c r="E82" s="351"/>
      <c r="F82" s="351"/>
      <c r="G82" s="351"/>
      <c r="H82" s="485"/>
      <c r="I82" s="219" t="e">
        <f t="shared" si="24"/>
        <v>#DIV/0!</v>
      </c>
      <c r="J82" s="219" t="e">
        <f t="shared" si="25"/>
        <v>#DIV/0!</v>
      </c>
      <c r="K82" s="220" t="e">
        <f t="shared" si="26"/>
        <v>#DIV/0!</v>
      </c>
      <c r="L82" s="457"/>
      <c r="M82" s="219" t="e">
        <f>RANK(K82, K$147:$K$176)</f>
        <v>#DIV/0!</v>
      </c>
      <c r="N82" s="475"/>
      <c r="O82" s="475"/>
      <c r="P82" s="351"/>
      <c r="Q82" s="187"/>
      <c r="R82" s="354"/>
      <c r="S82" s="351" t="e">
        <f t="shared" si="27"/>
        <v>#N/A</v>
      </c>
      <c r="T82" s="485"/>
      <c r="U82" s="351"/>
      <c r="V82" s="187"/>
      <c r="W82" s="354"/>
      <c r="X82" s="351" t="e">
        <f t="shared" si="28"/>
        <v>#N/A</v>
      </c>
      <c r="Y82" s="485"/>
      <c r="Z82" s="351"/>
      <c r="AA82" s="187"/>
      <c r="AB82" s="354"/>
      <c r="AC82" s="351" t="e">
        <f t="shared" si="29"/>
        <v>#N/A</v>
      </c>
      <c r="AD82" s="485"/>
      <c r="AE82" s="351"/>
      <c r="AF82" s="187"/>
      <c r="AG82" s="354"/>
      <c r="AH82" s="351" t="e">
        <f t="shared" si="30"/>
        <v>#N/A</v>
      </c>
      <c r="AI82" s="485"/>
      <c r="AJ82" s="351"/>
      <c r="AK82" s="187"/>
      <c r="AL82" s="354"/>
      <c r="AM82" s="351" t="e">
        <f t="shared" si="31"/>
        <v>#N/A</v>
      </c>
      <c r="AN82" s="485"/>
      <c r="AO82" s="351"/>
      <c r="AP82" s="187"/>
      <c r="AQ82" s="187"/>
      <c r="AR82" s="351" t="e">
        <f t="shared" si="32"/>
        <v>#N/A</v>
      </c>
      <c r="AS82" s="485"/>
      <c r="AT82" s="351"/>
      <c r="AU82" s="187"/>
      <c r="AV82" s="187"/>
      <c r="AW82" s="351" t="e">
        <f t="shared" si="33"/>
        <v>#N/A</v>
      </c>
      <c r="AX82" s="485"/>
    </row>
    <row r="83" spans="2:50">
      <c r="B83" s="483"/>
      <c r="C83" s="351">
        <v>7</v>
      </c>
      <c r="D83" s="351"/>
      <c r="E83" s="351"/>
      <c r="F83" s="351"/>
      <c r="G83" s="351"/>
      <c r="H83" s="485"/>
      <c r="I83" s="219" t="e">
        <f t="shared" si="24"/>
        <v>#DIV/0!</v>
      </c>
      <c r="J83" s="219" t="e">
        <f t="shared" si="25"/>
        <v>#DIV/0!</v>
      </c>
      <c r="K83" s="220" t="e">
        <f t="shared" si="26"/>
        <v>#DIV/0!</v>
      </c>
      <c r="L83" s="457"/>
      <c r="M83" s="219" t="e">
        <f>RANK(K83, K$147:$K$176)</f>
        <v>#DIV/0!</v>
      </c>
      <c r="N83" s="475"/>
      <c r="O83" s="475"/>
      <c r="P83" s="351"/>
      <c r="Q83" s="187"/>
      <c r="R83" s="354"/>
      <c r="S83" s="351" t="e">
        <f t="shared" si="27"/>
        <v>#N/A</v>
      </c>
      <c r="T83" s="485"/>
      <c r="U83" s="351"/>
      <c r="V83" s="187"/>
      <c r="W83" s="354"/>
      <c r="X83" s="351" t="e">
        <f t="shared" si="28"/>
        <v>#N/A</v>
      </c>
      <c r="Y83" s="485"/>
      <c r="Z83" s="351"/>
      <c r="AA83" s="187"/>
      <c r="AB83" s="354"/>
      <c r="AC83" s="351" t="e">
        <f t="shared" si="29"/>
        <v>#N/A</v>
      </c>
      <c r="AD83" s="485"/>
      <c r="AE83" s="351"/>
      <c r="AF83" s="187"/>
      <c r="AG83" s="354"/>
      <c r="AH83" s="351" t="e">
        <f t="shared" si="30"/>
        <v>#N/A</v>
      </c>
      <c r="AI83" s="485"/>
      <c r="AJ83" s="351"/>
      <c r="AK83" s="187"/>
      <c r="AL83" s="354"/>
      <c r="AM83" s="351" t="e">
        <f t="shared" si="31"/>
        <v>#N/A</v>
      </c>
      <c r="AN83" s="485"/>
      <c r="AO83" s="351"/>
      <c r="AP83" s="187"/>
      <c r="AQ83" s="187"/>
      <c r="AR83" s="351" t="e">
        <f t="shared" si="32"/>
        <v>#N/A</v>
      </c>
      <c r="AS83" s="485"/>
      <c r="AT83" s="351"/>
      <c r="AU83" s="187"/>
      <c r="AV83" s="187"/>
      <c r="AW83" s="351" t="e">
        <f t="shared" si="33"/>
        <v>#N/A</v>
      </c>
      <c r="AX83" s="485"/>
    </row>
    <row r="84" spans="2:50">
      <c r="B84" s="483"/>
      <c r="C84" s="351">
        <v>8</v>
      </c>
      <c r="D84" s="351"/>
      <c r="E84" s="351"/>
      <c r="F84" s="351"/>
      <c r="G84" s="351"/>
      <c r="H84" s="485"/>
      <c r="I84" s="219" t="e">
        <f t="shared" si="24"/>
        <v>#DIV/0!</v>
      </c>
      <c r="J84" s="219" t="e">
        <f t="shared" si="25"/>
        <v>#DIV/0!</v>
      </c>
      <c r="K84" s="220" t="e">
        <f t="shared" si="26"/>
        <v>#DIV/0!</v>
      </c>
      <c r="L84" s="457"/>
      <c r="M84" s="219" t="e">
        <f>RANK(K84, K$147:$K$176)</f>
        <v>#DIV/0!</v>
      </c>
      <c r="N84" s="475"/>
      <c r="O84" s="475"/>
      <c r="P84" s="351"/>
      <c r="Q84" s="187"/>
      <c r="R84" s="354"/>
      <c r="S84" s="351" t="e">
        <f t="shared" si="27"/>
        <v>#N/A</v>
      </c>
      <c r="T84" s="485"/>
      <c r="U84" s="351"/>
      <c r="V84" s="187"/>
      <c r="W84" s="354"/>
      <c r="X84" s="351" t="e">
        <f t="shared" si="28"/>
        <v>#N/A</v>
      </c>
      <c r="Y84" s="485"/>
      <c r="Z84" s="351"/>
      <c r="AA84" s="187"/>
      <c r="AB84" s="354"/>
      <c r="AC84" s="351" t="e">
        <f t="shared" si="29"/>
        <v>#N/A</v>
      </c>
      <c r="AD84" s="485"/>
      <c r="AE84" s="351"/>
      <c r="AF84" s="187"/>
      <c r="AG84" s="354"/>
      <c r="AH84" s="351" t="e">
        <f t="shared" si="30"/>
        <v>#N/A</v>
      </c>
      <c r="AI84" s="485"/>
      <c r="AJ84" s="351"/>
      <c r="AK84" s="187"/>
      <c r="AL84" s="354"/>
      <c r="AM84" s="351" t="e">
        <f t="shared" si="31"/>
        <v>#N/A</v>
      </c>
      <c r="AN84" s="485"/>
      <c r="AO84" s="351"/>
      <c r="AP84" s="187"/>
      <c r="AQ84" s="187"/>
      <c r="AR84" s="351" t="e">
        <f t="shared" si="32"/>
        <v>#N/A</v>
      </c>
      <c r="AS84" s="485"/>
      <c r="AT84" s="351"/>
      <c r="AU84" s="187"/>
      <c r="AV84" s="187"/>
      <c r="AW84" s="351" t="e">
        <f t="shared" si="33"/>
        <v>#N/A</v>
      </c>
      <c r="AX84" s="485"/>
    </row>
    <row r="85" spans="2:50">
      <c r="B85" s="483"/>
      <c r="C85" s="351">
        <v>9</v>
      </c>
      <c r="D85" s="351"/>
      <c r="E85" s="351"/>
      <c r="F85" s="351"/>
      <c r="G85" s="351"/>
      <c r="H85" s="485"/>
      <c r="I85" s="219" t="e">
        <f t="shared" si="24"/>
        <v>#DIV/0!</v>
      </c>
      <c r="J85" s="219" t="e">
        <f t="shared" si="25"/>
        <v>#DIV/0!</v>
      </c>
      <c r="K85" s="220" t="e">
        <f t="shared" si="26"/>
        <v>#DIV/0!</v>
      </c>
      <c r="L85" s="457"/>
      <c r="M85" s="219" t="e">
        <f>RANK(K85, K$147:$K$176)</f>
        <v>#DIV/0!</v>
      </c>
      <c r="N85" s="475"/>
      <c r="O85" s="475"/>
      <c r="P85" s="351"/>
      <c r="Q85" s="187"/>
      <c r="R85" s="354"/>
      <c r="S85" s="351" t="e">
        <f t="shared" si="27"/>
        <v>#N/A</v>
      </c>
      <c r="T85" s="485"/>
      <c r="U85" s="351"/>
      <c r="V85" s="187"/>
      <c r="W85" s="354"/>
      <c r="X85" s="351" t="e">
        <f t="shared" si="28"/>
        <v>#N/A</v>
      </c>
      <c r="Y85" s="485"/>
      <c r="Z85" s="351"/>
      <c r="AA85" s="187"/>
      <c r="AB85" s="354"/>
      <c r="AC85" s="351" t="e">
        <f t="shared" si="29"/>
        <v>#N/A</v>
      </c>
      <c r="AD85" s="485"/>
      <c r="AE85" s="351"/>
      <c r="AF85" s="187"/>
      <c r="AG85" s="354"/>
      <c r="AH85" s="351" t="e">
        <f t="shared" si="30"/>
        <v>#N/A</v>
      </c>
      <c r="AI85" s="485"/>
      <c r="AJ85" s="351"/>
      <c r="AK85" s="187"/>
      <c r="AL85" s="354"/>
      <c r="AM85" s="351" t="e">
        <f t="shared" si="31"/>
        <v>#N/A</v>
      </c>
      <c r="AN85" s="485"/>
      <c r="AO85" s="351"/>
      <c r="AP85" s="187"/>
      <c r="AQ85" s="187"/>
      <c r="AR85" s="351" t="e">
        <f t="shared" si="32"/>
        <v>#N/A</v>
      </c>
      <c r="AS85" s="485"/>
      <c r="AT85" s="351"/>
      <c r="AU85" s="187"/>
      <c r="AV85" s="187"/>
      <c r="AW85" s="351" t="e">
        <f t="shared" si="33"/>
        <v>#N/A</v>
      </c>
      <c r="AX85" s="485"/>
    </row>
    <row r="86" spans="2:50">
      <c r="B86" s="483"/>
      <c r="C86" s="351">
        <v>10</v>
      </c>
      <c r="D86" s="351"/>
      <c r="E86" s="351"/>
      <c r="F86" s="351"/>
      <c r="G86" s="351"/>
      <c r="H86" s="485"/>
      <c r="I86" s="219" t="e">
        <f t="shared" si="24"/>
        <v>#DIV/0!</v>
      </c>
      <c r="J86" s="219" t="e">
        <f t="shared" si="25"/>
        <v>#DIV/0!</v>
      </c>
      <c r="K86" s="220" t="e">
        <f t="shared" si="26"/>
        <v>#DIV/0!</v>
      </c>
      <c r="L86" s="457"/>
      <c r="M86" s="219" t="e">
        <f>RANK(K86, K$147:$K$176)</f>
        <v>#DIV/0!</v>
      </c>
      <c r="N86" s="475"/>
      <c r="O86" s="475"/>
      <c r="P86" s="351"/>
      <c r="Q86" s="187"/>
      <c r="R86" s="354"/>
      <c r="S86" s="351" t="e">
        <f t="shared" si="27"/>
        <v>#N/A</v>
      </c>
      <c r="T86" s="485"/>
      <c r="U86" s="351"/>
      <c r="V86" s="187"/>
      <c r="W86" s="354"/>
      <c r="X86" s="351" t="e">
        <f t="shared" si="28"/>
        <v>#N/A</v>
      </c>
      <c r="Y86" s="485"/>
      <c r="Z86" s="351"/>
      <c r="AA86" s="187"/>
      <c r="AB86" s="354"/>
      <c r="AC86" s="351" t="e">
        <f t="shared" si="29"/>
        <v>#N/A</v>
      </c>
      <c r="AD86" s="485"/>
      <c r="AE86" s="351"/>
      <c r="AF86" s="187"/>
      <c r="AG86" s="354"/>
      <c r="AH86" s="351" t="e">
        <f t="shared" si="30"/>
        <v>#N/A</v>
      </c>
      <c r="AI86" s="485"/>
      <c r="AJ86" s="351"/>
      <c r="AK86" s="187"/>
      <c r="AL86" s="354"/>
      <c r="AM86" s="351" t="e">
        <f t="shared" si="31"/>
        <v>#N/A</v>
      </c>
      <c r="AN86" s="485"/>
      <c r="AO86" s="351"/>
      <c r="AP86" s="187"/>
      <c r="AQ86" s="187"/>
      <c r="AR86" s="351" t="e">
        <f t="shared" si="32"/>
        <v>#N/A</v>
      </c>
      <c r="AS86" s="485"/>
      <c r="AT86" s="351"/>
      <c r="AU86" s="187"/>
      <c r="AV86" s="187"/>
      <c r="AW86" s="351" t="e">
        <f t="shared" si="33"/>
        <v>#N/A</v>
      </c>
      <c r="AX86" s="485"/>
    </row>
    <row r="87" spans="2:50">
      <c r="B87" s="483"/>
      <c r="C87" s="351">
        <v>11</v>
      </c>
      <c r="D87" s="351"/>
      <c r="E87" s="351"/>
      <c r="F87" s="351"/>
      <c r="G87" s="351"/>
      <c r="H87" s="485"/>
      <c r="I87" s="219" t="e">
        <f t="shared" si="24"/>
        <v>#DIV/0!</v>
      </c>
      <c r="J87" s="219" t="e">
        <f t="shared" si="25"/>
        <v>#DIV/0!</v>
      </c>
      <c r="K87" s="220" t="e">
        <f t="shared" si="26"/>
        <v>#DIV/0!</v>
      </c>
      <c r="L87" s="457"/>
      <c r="M87" s="219" t="e">
        <f>RANK(K87, K$147:$K$176)</f>
        <v>#DIV/0!</v>
      </c>
      <c r="N87" s="475"/>
      <c r="O87" s="475"/>
      <c r="P87" s="351"/>
      <c r="Q87" s="187"/>
      <c r="R87" s="354"/>
      <c r="S87" s="351" t="e">
        <f t="shared" si="27"/>
        <v>#N/A</v>
      </c>
      <c r="T87" s="485"/>
      <c r="U87" s="351"/>
      <c r="V87" s="187"/>
      <c r="W87" s="354"/>
      <c r="X87" s="351" t="e">
        <f t="shared" si="28"/>
        <v>#N/A</v>
      </c>
      <c r="Y87" s="485"/>
      <c r="Z87" s="351"/>
      <c r="AA87" s="187"/>
      <c r="AB87" s="354"/>
      <c r="AC87" s="351" t="e">
        <f t="shared" si="29"/>
        <v>#N/A</v>
      </c>
      <c r="AD87" s="485"/>
      <c r="AE87" s="351"/>
      <c r="AF87" s="187"/>
      <c r="AG87" s="354"/>
      <c r="AH87" s="351" t="e">
        <f t="shared" si="30"/>
        <v>#N/A</v>
      </c>
      <c r="AI87" s="485"/>
      <c r="AJ87" s="351"/>
      <c r="AK87" s="187"/>
      <c r="AL87" s="354"/>
      <c r="AM87" s="351" t="e">
        <f t="shared" si="31"/>
        <v>#N/A</v>
      </c>
      <c r="AN87" s="485"/>
      <c r="AO87" s="351"/>
      <c r="AP87" s="187"/>
      <c r="AQ87" s="187"/>
      <c r="AR87" s="351" t="e">
        <f t="shared" si="32"/>
        <v>#N/A</v>
      </c>
      <c r="AS87" s="485"/>
      <c r="AT87" s="351"/>
      <c r="AU87" s="187"/>
      <c r="AV87" s="187"/>
      <c r="AW87" s="351" t="e">
        <f t="shared" si="33"/>
        <v>#N/A</v>
      </c>
      <c r="AX87" s="485"/>
    </row>
    <row r="88" spans="2:50">
      <c r="B88" s="483"/>
      <c r="C88" s="351">
        <v>12</v>
      </c>
      <c r="D88" s="351"/>
      <c r="E88" s="351"/>
      <c r="F88" s="351"/>
      <c r="G88" s="351"/>
      <c r="H88" s="485"/>
      <c r="I88" s="219" t="e">
        <f t="shared" si="24"/>
        <v>#DIV/0!</v>
      </c>
      <c r="J88" s="219" t="e">
        <f t="shared" si="25"/>
        <v>#DIV/0!</v>
      </c>
      <c r="K88" s="220" t="e">
        <f t="shared" si="26"/>
        <v>#DIV/0!</v>
      </c>
      <c r="L88" s="457"/>
      <c r="M88" s="219" t="e">
        <f>RANK(K88, K$147:$K$176)</f>
        <v>#DIV/0!</v>
      </c>
      <c r="N88" s="475"/>
      <c r="O88" s="475"/>
      <c r="P88" s="351"/>
      <c r="Q88" s="187"/>
      <c r="R88" s="354"/>
      <c r="S88" s="351" t="e">
        <f t="shared" si="27"/>
        <v>#N/A</v>
      </c>
      <c r="T88" s="485"/>
      <c r="U88" s="351"/>
      <c r="V88" s="187"/>
      <c r="W88" s="354"/>
      <c r="X88" s="351" t="e">
        <f t="shared" si="28"/>
        <v>#N/A</v>
      </c>
      <c r="Y88" s="485"/>
      <c r="Z88" s="351"/>
      <c r="AA88" s="187"/>
      <c r="AB88" s="354"/>
      <c r="AC88" s="351" t="e">
        <f t="shared" si="29"/>
        <v>#N/A</v>
      </c>
      <c r="AD88" s="485"/>
      <c r="AE88" s="351"/>
      <c r="AF88" s="187"/>
      <c r="AG88" s="354"/>
      <c r="AH88" s="351" t="e">
        <f t="shared" si="30"/>
        <v>#N/A</v>
      </c>
      <c r="AI88" s="485"/>
      <c r="AJ88" s="351"/>
      <c r="AK88" s="187"/>
      <c r="AL88" s="354"/>
      <c r="AM88" s="351" t="e">
        <f t="shared" si="31"/>
        <v>#N/A</v>
      </c>
      <c r="AN88" s="485"/>
      <c r="AO88" s="351"/>
      <c r="AP88" s="187"/>
      <c r="AQ88" s="187"/>
      <c r="AR88" s="351" t="e">
        <f t="shared" si="32"/>
        <v>#N/A</v>
      </c>
      <c r="AS88" s="485"/>
      <c r="AT88" s="351"/>
      <c r="AU88" s="187"/>
      <c r="AV88" s="187"/>
      <c r="AW88" s="351" t="e">
        <f t="shared" si="33"/>
        <v>#N/A</v>
      </c>
      <c r="AX88" s="485"/>
    </row>
    <row r="89" spans="2:50">
      <c r="B89" s="483"/>
      <c r="C89" s="351">
        <v>13</v>
      </c>
      <c r="D89" s="351"/>
      <c r="E89" s="351"/>
      <c r="F89" s="351"/>
      <c r="G89" s="351"/>
      <c r="H89" s="485"/>
      <c r="I89" s="219" t="e">
        <f t="shared" si="24"/>
        <v>#DIV/0!</v>
      </c>
      <c r="J89" s="219" t="e">
        <f t="shared" si="25"/>
        <v>#DIV/0!</v>
      </c>
      <c r="K89" s="220" t="e">
        <f t="shared" si="26"/>
        <v>#DIV/0!</v>
      </c>
      <c r="L89" s="457"/>
      <c r="M89" s="219" t="e">
        <f>RANK(K89, K$147:$K$176)</f>
        <v>#DIV/0!</v>
      </c>
      <c r="N89" s="475"/>
      <c r="O89" s="475"/>
      <c r="P89" s="351"/>
      <c r="Q89" s="187"/>
      <c r="R89" s="354"/>
      <c r="S89" s="351" t="e">
        <f t="shared" si="27"/>
        <v>#N/A</v>
      </c>
      <c r="T89" s="485"/>
      <c r="U89" s="351"/>
      <c r="V89" s="187"/>
      <c r="W89" s="354"/>
      <c r="X89" s="351" t="e">
        <f t="shared" si="28"/>
        <v>#N/A</v>
      </c>
      <c r="Y89" s="485"/>
      <c r="Z89" s="351"/>
      <c r="AA89" s="187"/>
      <c r="AB89" s="354"/>
      <c r="AC89" s="351" t="e">
        <f t="shared" si="29"/>
        <v>#N/A</v>
      </c>
      <c r="AD89" s="485"/>
      <c r="AE89" s="351"/>
      <c r="AF89" s="187"/>
      <c r="AG89" s="354"/>
      <c r="AH89" s="351" t="e">
        <f t="shared" si="30"/>
        <v>#N/A</v>
      </c>
      <c r="AI89" s="485"/>
      <c r="AJ89" s="351"/>
      <c r="AK89" s="187"/>
      <c r="AL89" s="354"/>
      <c r="AM89" s="351" t="e">
        <f t="shared" si="31"/>
        <v>#N/A</v>
      </c>
      <c r="AN89" s="485"/>
      <c r="AO89" s="351"/>
      <c r="AP89" s="187"/>
      <c r="AQ89" s="187"/>
      <c r="AR89" s="351" t="e">
        <f t="shared" si="32"/>
        <v>#N/A</v>
      </c>
      <c r="AS89" s="485"/>
      <c r="AT89" s="351"/>
      <c r="AU89" s="187"/>
      <c r="AV89" s="187"/>
      <c r="AW89" s="351" t="e">
        <f t="shared" si="33"/>
        <v>#N/A</v>
      </c>
      <c r="AX89" s="485"/>
    </row>
    <row r="90" spans="2:50">
      <c r="B90" s="483"/>
      <c r="C90" s="351">
        <v>14</v>
      </c>
      <c r="D90" s="351"/>
      <c r="E90" s="351"/>
      <c r="F90" s="351"/>
      <c r="G90" s="351"/>
      <c r="H90" s="485"/>
      <c r="I90" s="219" t="e">
        <f t="shared" si="24"/>
        <v>#DIV/0!</v>
      </c>
      <c r="J90" s="219" t="e">
        <f t="shared" si="25"/>
        <v>#DIV/0!</v>
      </c>
      <c r="K90" s="220" t="e">
        <f t="shared" si="26"/>
        <v>#DIV/0!</v>
      </c>
      <c r="L90" s="457"/>
      <c r="M90" s="219" t="e">
        <f>RANK(K90, K$147:$K$176)</f>
        <v>#DIV/0!</v>
      </c>
      <c r="N90" s="475"/>
      <c r="O90" s="475"/>
      <c r="P90" s="351"/>
      <c r="Q90" s="187"/>
      <c r="R90" s="354"/>
      <c r="S90" s="351" t="e">
        <f t="shared" si="27"/>
        <v>#N/A</v>
      </c>
      <c r="T90" s="485"/>
      <c r="U90" s="351"/>
      <c r="V90" s="187"/>
      <c r="W90" s="354"/>
      <c r="X90" s="351" t="e">
        <f t="shared" si="28"/>
        <v>#N/A</v>
      </c>
      <c r="Y90" s="485"/>
      <c r="Z90" s="351"/>
      <c r="AA90" s="187"/>
      <c r="AB90" s="354"/>
      <c r="AC90" s="351" t="e">
        <f t="shared" si="29"/>
        <v>#N/A</v>
      </c>
      <c r="AD90" s="485"/>
      <c r="AE90" s="351"/>
      <c r="AF90" s="187"/>
      <c r="AG90" s="354"/>
      <c r="AH90" s="351" t="e">
        <f t="shared" si="30"/>
        <v>#N/A</v>
      </c>
      <c r="AI90" s="485"/>
      <c r="AJ90" s="351"/>
      <c r="AK90" s="187"/>
      <c r="AL90" s="354"/>
      <c r="AM90" s="351" t="e">
        <f t="shared" si="31"/>
        <v>#N/A</v>
      </c>
      <c r="AN90" s="485"/>
      <c r="AO90" s="351"/>
      <c r="AP90" s="187"/>
      <c r="AQ90" s="187"/>
      <c r="AR90" s="351" t="e">
        <f t="shared" si="32"/>
        <v>#N/A</v>
      </c>
      <c r="AS90" s="485"/>
      <c r="AT90" s="351"/>
      <c r="AU90" s="187"/>
      <c r="AV90" s="187"/>
      <c r="AW90" s="351" t="e">
        <f t="shared" si="33"/>
        <v>#N/A</v>
      </c>
      <c r="AX90" s="485"/>
    </row>
    <row r="91" spans="2:50">
      <c r="B91" s="483"/>
      <c r="C91" s="351">
        <v>15</v>
      </c>
      <c r="D91" s="351"/>
      <c r="E91" s="351"/>
      <c r="F91" s="351"/>
      <c r="G91" s="351"/>
      <c r="H91" s="485"/>
      <c r="I91" s="219" t="e">
        <f t="shared" si="24"/>
        <v>#DIV/0!</v>
      </c>
      <c r="J91" s="219" t="e">
        <f t="shared" si="25"/>
        <v>#DIV/0!</v>
      </c>
      <c r="K91" s="220" t="e">
        <f t="shared" si="26"/>
        <v>#DIV/0!</v>
      </c>
      <c r="L91" s="457"/>
      <c r="M91" s="219" t="e">
        <f>RANK(K91, K$147:$K$176)</f>
        <v>#DIV/0!</v>
      </c>
      <c r="N91" s="475"/>
      <c r="O91" s="475"/>
      <c r="P91" s="351"/>
      <c r="Q91" s="187"/>
      <c r="R91" s="354"/>
      <c r="S91" s="351" t="e">
        <f t="shared" si="27"/>
        <v>#N/A</v>
      </c>
      <c r="T91" s="485"/>
      <c r="U91" s="351"/>
      <c r="V91" s="187"/>
      <c r="W91" s="354"/>
      <c r="X91" s="351" t="e">
        <f t="shared" si="28"/>
        <v>#N/A</v>
      </c>
      <c r="Y91" s="485"/>
      <c r="Z91" s="351"/>
      <c r="AA91" s="187"/>
      <c r="AB91" s="354"/>
      <c r="AC91" s="351" t="e">
        <f t="shared" si="29"/>
        <v>#N/A</v>
      </c>
      <c r="AD91" s="485"/>
      <c r="AE91" s="351"/>
      <c r="AF91" s="187"/>
      <c r="AG91" s="354"/>
      <c r="AH91" s="351" t="e">
        <f t="shared" si="30"/>
        <v>#N/A</v>
      </c>
      <c r="AI91" s="485"/>
      <c r="AJ91" s="351"/>
      <c r="AK91" s="187"/>
      <c r="AL91" s="354"/>
      <c r="AM91" s="351" t="e">
        <f t="shared" si="31"/>
        <v>#N/A</v>
      </c>
      <c r="AN91" s="485"/>
      <c r="AO91" s="351"/>
      <c r="AP91" s="187"/>
      <c r="AQ91" s="187"/>
      <c r="AR91" s="351" t="e">
        <f t="shared" si="32"/>
        <v>#N/A</v>
      </c>
      <c r="AS91" s="485"/>
      <c r="AT91" s="351"/>
      <c r="AU91" s="187"/>
      <c r="AV91" s="187"/>
      <c r="AW91" s="351" t="e">
        <f t="shared" si="33"/>
        <v>#N/A</v>
      </c>
      <c r="AX91" s="485"/>
    </row>
    <row r="92" spans="2:50">
      <c r="B92" s="483"/>
      <c r="C92" s="351">
        <v>16</v>
      </c>
      <c r="D92" s="351"/>
      <c r="E92" s="351"/>
      <c r="F92" s="351"/>
      <c r="G92" s="351"/>
      <c r="H92" s="485"/>
      <c r="I92" s="219" t="e">
        <f t="shared" si="24"/>
        <v>#DIV/0!</v>
      </c>
      <c r="J92" s="219" t="e">
        <f t="shared" si="25"/>
        <v>#DIV/0!</v>
      </c>
      <c r="K92" s="220" t="e">
        <f t="shared" si="26"/>
        <v>#DIV/0!</v>
      </c>
      <c r="L92" s="457"/>
      <c r="M92" s="219" t="e">
        <f>RANK(K92, K$147:$K$176)</f>
        <v>#DIV/0!</v>
      </c>
      <c r="N92" s="475"/>
      <c r="O92" s="475"/>
      <c r="P92" s="351"/>
      <c r="Q92" s="187"/>
      <c r="R92" s="354"/>
      <c r="S92" s="351" t="e">
        <f t="shared" si="27"/>
        <v>#N/A</v>
      </c>
      <c r="T92" s="485"/>
      <c r="U92" s="351"/>
      <c r="V92" s="187"/>
      <c r="W92" s="354"/>
      <c r="X92" s="351" t="e">
        <f t="shared" si="28"/>
        <v>#N/A</v>
      </c>
      <c r="Y92" s="485"/>
      <c r="Z92" s="351"/>
      <c r="AA92" s="187"/>
      <c r="AB92" s="354"/>
      <c r="AC92" s="351" t="e">
        <f t="shared" si="29"/>
        <v>#N/A</v>
      </c>
      <c r="AD92" s="485"/>
      <c r="AE92" s="351"/>
      <c r="AF92" s="187"/>
      <c r="AG92" s="354"/>
      <c r="AH92" s="351" t="e">
        <f t="shared" si="30"/>
        <v>#N/A</v>
      </c>
      <c r="AI92" s="485"/>
      <c r="AJ92" s="351"/>
      <c r="AK92" s="187"/>
      <c r="AL92" s="354"/>
      <c r="AM92" s="351" t="e">
        <f t="shared" si="31"/>
        <v>#N/A</v>
      </c>
      <c r="AN92" s="485"/>
      <c r="AO92" s="351"/>
      <c r="AP92" s="187"/>
      <c r="AQ92" s="187"/>
      <c r="AR92" s="351" t="e">
        <f t="shared" si="32"/>
        <v>#N/A</v>
      </c>
      <c r="AS92" s="485"/>
      <c r="AT92" s="351"/>
      <c r="AU92" s="187"/>
      <c r="AV92" s="187"/>
      <c r="AW92" s="351" t="e">
        <f t="shared" si="33"/>
        <v>#N/A</v>
      </c>
      <c r="AX92" s="485"/>
    </row>
    <row r="93" spans="2:50">
      <c r="B93" s="483"/>
      <c r="C93" s="351">
        <v>17</v>
      </c>
      <c r="D93" s="351"/>
      <c r="E93" s="351"/>
      <c r="F93" s="351"/>
      <c r="G93" s="351"/>
      <c r="H93" s="485"/>
      <c r="I93" s="219" t="e">
        <f t="shared" si="24"/>
        <v>#DIV/0!</v>
      </c>
      <c r="J93" s="219" t="e">
        <f t="shared" si="25"/>
        <v>#DIV/0!</v>
      </c>
      <c r="K93" s="220" t="e">
        <f t="shared" si="26"/>
        <v>#DIV/0!</v>
      </c>
      <c r="L93" s="457"/>
      <c r="M93" s="219" t="e">
        <f>RANK(K93, K$147:$K$176)</f>
        <v>#DIV/0!</v>
      </c>
      <c r="N93" s="475"/>
      <c r="O93" s="475"/>
      <c r="P93" s="351"/>
      <c r="Q93" s="187"/>
      <c r="R93" s="354"/>
      <c r="S93" s="351" t="e">
        <f t="shared" si="27"/>
        <v>#N/A</v>
      </c>
      <c r="T93" s="485"/>
      <c r="U93" s="351"/>
      <c r="V93" s="187"/>
      <c r="W93" s="354"/>
      <c r="X93" s="351" t="e">
        <f t="shared" si="28"/>
        <v>#N/A</v>
      </c>
      <c r="Y93" s="485"/>
      <c r="Z93" s="351"/>
      <c r="AA93" s="187"/>
      <c r="AB93" s="354"/>
      <c r="AC93" s="351" t="e">
        <f t="shared" si="29"/>
        <v>#N/A</v>
      </c>
      <c r="AD93" s="485"/>
      <c r="AE93" s="351"/>
      <c r="AF93" s="187"/>
      <c r="AG93" s="354"/>
      <c r="AH93" s="351" t="e">
        <f t="shared" si="30"/>
        <v>#N/A</v>
      </c>
      <c r="AI93" s="485"/>
      <c r="AJ93" s="351"/>
      <c r="AK93" s="187"/>
      <c r="AL93" s="354"/>
      <c r="AM93" s="351" t="e">
        <f t="shared" si="31"/>
        <v>#N/A</v>
      </c>
      <c r="AN93" s="485"/>
      <c r="AO93" s="351"/>
      <c r="AP93" s="187"/>
      <c r="AQ93" s="187"/>
      <c r="AR93" s="351" t="e">
        <f t="shared" si="32"/>
        <v>#N/A</v>
      </c>
      <c r="AS93" s="485"/>
      <c r="AT93" s="351"/>
      <c r="AU93" s="187"/>
      <c r="AV93" s="187"/>
      <c r="AW93" s="351" t="e">
        <f t="shared" si="33"/>
        <v>#N/A</v>
      </c>
      <c r="AX93" s="485"/>
    </row>
    <row r="94" spans="2:50">
      <c r="B94" s="483"/>
      <c r="C94" s="351">
        <v>18</v>
      </c>
      <c r="D94" s="351"/>
      <c r="E94" s="351"/>
      <c r="F94" s="351"/>
      <c r="G94" s="351"/>
      <c r="H94" s="485"/>
      <c r="I94" s="219" t="e">
        <f t="shared" si="24"/>
        <v>#DIV/0!</v>
      </c>
      <c r="J94" s="219" t="e">
        <f t="shared" si="25"/>
        <v>#DIV/0!</v>
      </c>
      <c r="K94" s="220" t="e">
        <f t="shared" si="26"/>
        <v>#DIV/0!</v>
      </c>
      <c r="L94" s="457"/>
      <c r="M94" s="219" t="e">
        <f>RANK(K94, K$147:$K$176)</f>
        <v>#DIV/0!</v>
      </c>
      <c r="N94" s="475"/>
      <c r="O94" s="475"/>
      <c r="P94" s="351"/>
      <c r="Q94" s="187"/>
      <c r="R94" s="354"/>
      <c r="S94" s="351" t="e">
        <f t="shared" si="27"/>
        <v>#N/A</v>
      </c>
      <c r="T94" s="485"/>
      <c r="U94" s="351"/>
      <c r="V94" s="187"/>
      <c r="W94" s="354"/>
      <c r="X94" s="351" t="e">
        <f t="shared" si="28"/>
        <v>#N/A</v>
      </c>
      <c r="Y94" s="485"/>
      <c r="Z94" s="351"/>
      <c r="AA94" s="187"/>
      <c r="AB94" s="354"/>
      <c r="AC94" s="351" t="e">
        <f t="shared" si="29"/>
        <v>#N/A</v>
      </c>
      <c r="AD94" s="485"/>
      <c r="AE94" s="351"/>
      <c r="AF94" s="187"/>
      <c r="AG94" s="354"/>
      <c r="AH94" s="351" t="e">
        <f t="shared" si="30"/>
        <v>#N/A</v>
      </c>
      <c r="AI94" s="485"/>
      <c r="AJ94" s="351"/>
      <c r="AK94" s="187"/>
      <c r="AL94" s="354"/>
      <c r="AM94" s="351" t="e">
        <f t="shared" si="31"/>
        <v>#N/A</v>
      </c>
      <c r="AN94" s="485"/>
      <c r="AO94" s="351"/>
      <c r="AP94" s="187"/>
      <c r="AQ94" s="187"/>
      <c r="AR94" s="351" t="e">
        <f t="shared" si="32"/>
        <v>#N/A</v>
      </c>
      <c r="AS94" s="485"/>
      <c r="AT94" s="351"/>
      <c r="AU94" s="187"/>
      <c r="AV94" s="187"/>
      <c r="AW94" s="351" t="e">
        <f t="shared" si="33"/>
        <v>#N/A</v>
      </c>
      <c r="AX94" s="485"/>
    </row>
    <row r="95" spans="2:50">
      <c r="B95" s="483"/>
      <c r="C95" s="351">
        <v>19</v>
      </c>
      <c r="D95" s="351"/>
      <c r="E95" s="351"/>
      <c r="F95" s="351"/>
      <c r="G95" s="351"/>
      <c r="H95" s="485"/>
      <c r="I95" s="219" t="e">
        <f t="shared" si="24"/>
        <v>#DIV/0!</v>
      </c>
      <c r="J95" s="219" t="e">
        <f t="shared" si="25"/>
        <v>#DIV/0!</v>
      </c>
      <c r="K95" s="220" t="e">
        <f t="shared" si="26"/>
        <v>#DIV/0!</v>
      </c>
      <c r="L95" s="457"/>
      <c r="M95" s="219" t="e">
        <f>RANK(K95, K$147:$K$176)</f>
        <v>#DIV/0!</v>
      </c>
      <c r="N95" s="475"/>
      <c r="O95" s="475"/>
      <c r="P95" s="351"/>
      <c r="Q95" s="187"/>
      <c r="R95" s="354"/>
      <c r="S95" s="351" t="e">
        <f t="shared" si="27"/>
        <v>#N/A</v>
      </c>
      <c r="T95" s="485"/>
      <c r="U95" s="351"/>
      <c r="V95" s="187"/>
      <c r="W95" s="354"/>
      <c r="X95" s="351" t="e">
        <f t="shared" si="28"/>
        <v>#N/A</v>
      </c>
      <c r="Y95" s="485"/>
      <c r="Z95" s="351"/>
      <c r="AA95" s="187"/>
      <c r="AB95" s="354"/>
      <c r="AC95" s="351" t="e">
        <f t="shared" si="29"/>
        <v>#N/A</v>
      </c>
      <c r="AD95" s="485"/>
      <c r="AE95" s="351"/>
      <c r="AF95" s="187"/>
      <c r="AG95" s="354"/>
      <c r="AH95" s="351" t="e">
        <f t="shared" si="30"/>
        <v>#N/A</v>
      </c>
      <c r="AI95" s="485"/>
      <c r="AJ95" s="351"/>
      <c r="AK95" s="187"/>
      <c r="AL95" s="354"/>
      <c r="AM95" s="351" t="e">
        <f t="shared" si="31"/>
        <v>#N/A</v>
      </c>
      <c r="AN95" s="485"/>
      <c r="AO95" s="351"/>
      <c r="AP95" s="187"/>
      <c r="AQ95" s="187"/>
      <c r="AR95" s="351" t="e">
        <f t="shared" si="32"/>
        <v>#N/A</v>
      </c>
      <c r="AS95" s="485"/>
      <c r="AT95" s="351"/>
      <c r="AU95" s="187"/>
      <c r="AV95" s="187"/>
      <c r="AW95" s="351" t="e">
        <f t="shared" si="33"/>
        <v>#N/A</v>
      </c>
      <c r="AX95" s="485"/>
    </row>
    <row r="96" spans="2:50">
      <c r="B96" s="483"/>
      <c r="C96" s="351">
        <v>20</v>
      </c>
      <c r="D96" s="351"/>
      <c r="E96" s="351"/>
      <c r="F96" s="351"/>
      <c r="G96" s="351"/>
      <c r="H96" s="485"/>
      <c r="I96" s="219" t="e">
        <f t="shared" si="24"/>
        <v>#DIV/0!</v>
      </c>
      <c r="J96" s="219" t="e">
        <f t="shared" si="25"/>
        <v>#DIV/0!</v>
      </c>
      <c r="K96" s="220" t="e">
        <f t="shared" si="26"/>
        <v>#DIV/0!</v>
      </c>
      <c r="L96" s="457"/>
      <c r="M96" s="219" t="e">
        <f>RANK(K96, K$147:$K$176)</f>
        <v>#DIV/0!</v>
      </c>
      <c r="N96" s="475"/>
      <c r="O96" s="475"/>
      <c r="P96" s="351"/>
      <c r="Q96" s="187"/>
      <c r="R96" s="354"/>
      <c r="S96" s="351" t="e">
        <f t="shared" si="27"/>
        <v>#N/A</v>
      </c>
      <c r="T96" s="485"/>
      <c r="U96" s="351"/>
      <c r="V96" s="187"/>
      <c r="W96" s="354"/>
      <c r="X96" s="351" t="e">
        <f t="shared" si="28"/>
        <v>#N/A</v>
      </c>
      <c r="Y96" s="485"/>
      <c r="Z96" s="351"/>
      <c r="AA96" s="187"/>
      <c r="AB96" s="354"/>
      <c r="AC96" s="351" t="e">
        <f t="shared" si="29"/>
        <v>#N/A</v>
      </c>
      <c r="AD96" s="485"/>
      <c r="AE96" s="351"/>
      <c r="AF96" s="187"/>
      <c r="AG96" s="354"/>
      <c r="AH96" s="351" t="e">
        <f t="shared" si="30"/>
        <v>#N/A</v>
      </c>
      <c r="AI96" s="485"/>
      <c r="AJ96" s="351"/>
      <c r="AK96" s="187"/>
      <c r="AL96" s="354"/>
      <c r="AM96" s="351" t="e">
        <f t="shared" si="31"/>
        <v>#N/A</v>
      </c>
      <c r="AN96" s="485"/>
      <c r="AO96" s="351"/>
      <c r="AP96" s="187"/>
      <c r="AQ96" s="187"/>
      <c r="AR96" s="351" t="e">
        <f t="shared" si="32"/>
        <v>#N/A</v>
      </c>
      <c r="AS96" s="485"/>
      <c r="AT96" s="351"/>
      <c r="AU96" s="187"/>
      <c r="AV96" s="187"/>
      <c r="AW96" s="351" t="e">
        <f t="shared" si="33"/>
        <v>#N/A</v>
      </c>
      <c r="AX96" s="485"/>
    </row>
    <row r="97" spans="2:50">
      <c r="B97" s="483"/>
      <c r="C97" s="351">
        <v>21</v>
      </c>
      <c r="D97" s="351"/>
      <c r="E97" s="351"/>
      <c r="F97" s="351"/>
      <c r="G97" s="351"/>
      <c r="H97" s="485"/>
      <c r="I97" s="222"/>
      <c r="J97" s="222"/>
      <c r="K97" s="222"/>
      <c r="L97" s="457"/>
      <c r="M97" s="219" t="e">
        <f>RANK(K97, K$147:$K$176)</f>
        <v>#DIV/0!</v>
      </c>
      <c r="N97" s="475"/>
      <c r="O97" s="475"/>
      <c r="P97" s="351"/>
      <c r="Q97" s="187"/>
      <c r="R97" s="354"/>
      <c r="S97" s="351" t="e">
        <f t="shared" si="27"/>
        <v>#N/A</v>
      </c>
      <c r="T97" s="485"/>
      <c r="U97" s="351"/>
      <c r="V97" s="187"/>
      <c r="W97" s="354"/>
      <c r="X97" s="351" t="e">
        <f t="shared" si="28"/>
        <v>#N/A</v>
      </c>
      <c r="Y97" s="485"/>
      <c r="Z97" s="351"/>
      <c r="AA97" s="187"/>
      <c r="AB97" s="354"/>
      <c r="AC97" s="351" t="e">
        <f t="shared" si="29"/>
        <v>#N/A</v>
      </c>
      <c r="AD97" s="485"/>
      <c r="AE97" s="351"/>
      <c r="AF97" s="187"/>
      <c r="AG97" s="354"/>
      <c r="AH97" s="351" t="e">
        <f t="shared" si="30"/>
        <v>#N/A</v>
      </c>
      <c r="AI97" s="485"/>
      <c r="AJ97" s="351"/>
      <c r="AK97" s="187"/>
      <c r="AL97" s="354"/>
      <c r="AM97" s="351" t="e">
        <f t="shared" si="31"/>
        <v>#N/A</v>
      </c>
      <c r="AN97" s="485"/>
      <c r="AO97" s="351"/>
      <c r="AP97" s="187"/>
      <c r="AQ97" s="187"/>
      <c r="AR97" s="351" t="e">
        <f t="shared" si="32"/>
        <v>#N/A</v>
      </c>
      <c r="AS97" s="485"/>
      <c r="AT97" s="351"/>
      <c r="AU97" s="187"/>
      <c r="AV97" s="187"/>
      <c r="AW97" s="351" t="e">
        <f t="shared" si="33"/>
        <v>#N/A</v>
      </c>
      <c r="AX97" s="485"/>
    </row>
    <row r="98" spans="2:50">
      <c r="B98" s="483"/>
      <c r="C98" s="351">
        <v>22</v>
      </c>
      <c r="D98" s="351"/>
      <c r="E98" s="351"/>
      <c r="F98" s="351"/>
      <c r="G98" s="351"/>
      <c r="H98" s="485"/>
      <c r="I98" s="222"/>
      <c r="J98" s="222"/>
      <c r="K98" s="222"/>
      <c r="L98" s="457"/>
      <c r="M98" s="219" t="e">
        <f>RANK(K98, K$147:$K$176)</f>
        <v>#DIV/0!</v>
      </c>
      <c r="N98" s="475"/>
      <c r="O98" s="475"/>
      <c r="P98" s="351"/>
      <c r="Q98" s="187"/>
      <c r="R98" s="354"/>
      <c r="S98" s="351" t="e">
        <f t="shared" si="27"/>
        <v>#N/A</v>
      </c>
      <c r="T98" s="485"/>
      <c r="U98" s="351"/>
      <c r="V98" s="187"/>
      <c r="W98" s="354"/>
      <c r="X98" s="351" t="e">
        <f t="shared" si="28"/>
        <v>#N/A</v>
      </c>
      <c r="Y98" s="485"/>
      <c r="Z98" s="351"/>
      <c r="AA98" s="187"/>
      <c r="AB98" s="354"/>
      <c r="AC98" s="351" t="e">
        <f t="shared" si="29"/>
        <v>#N/A</v>
      </c>
      <c r="AD98" s="485"/>
      <c r="AE98" s="351"/>
      <c r="AF98" s="187"/>
      <c r="AG98" s="354"/>
      <c r="AH98" s="351" t="e">
        <f t="shared" si="30"/>
        <v>#N/A</v>
      </c>
      <c r="AI98" s="485"/>
      <c r="AJ98" s="351"/>
      <c r="AK98" s="187"/>
      <c r="AL98" s="354"/>
      <c r="AM98" s="351" t="e">
        <f t="shared" si="31"/>
        <v>#N/A</v>
      </c>
      <c r="AN98" s="485"/>
      <c r="AO98" s="351"/>
      <c r="AP98" s="187"/>
      <c r="AQ98" s="187"/>
      <c r="AR98" s="351" t="e">
        <f t="shared" si="32"/>
        <v>#N/A</v>
      </c>
      <c r="AS98" s="485"/>
      <c r="AT98" s="351"/>
      <c r="AU98" s="187"/>
      <c r="AV98" s="187"/>
      <c r="AW98" s="351" t="e">
        <f t="shared" si="33"/>
        <v>#N/A</v>
      </c>
      <c r="AX98" s="485"/>
    </row>
    <row r="99" spans="2:50">
      <c r="B99" s="483"/>
      <c r="C99" s="351">
        <v>23</v>
      </c>
      <c r="D99" s="351"/>
      <c r="E99" s="351"/>
      <c r="F99" s="351"/>
      <c r="G99" s="351"/>
      <c r="H99" s="485"/>
      <c r="I99" s="222"/>
      <c r="J99" s="222"/>
      <c r="K99" s="222"/>
      <c r="L99" s="457"/>
      <c r="M99" s="219" t="e">
        <f>RANK(K99, K$147:$K$176)</f>
        <v>#DIV/0!</v>
      </c>
      <c r="N99" s="475"/>
      <c r="O99" s="475"/>
      <c r="P99" s="351"/>
      <c r="Q99" s="351"/>
      <c r="R99" s="354"/>
      <c r="S99" s="351" t="e">
        <f t="shared" si="27"/>
        <v>#N/A</v>
      </c>
      <c r="T99" s="485"/>
      <c r="U99" s="351"/>
      <c r="V99" s="187"/>
      <c r="W99" s="354"/>
      <c r="X99" s="351" t="e">
        <f t="shared" si="28"/>
        <v>#N/A</v>
      </c>
      <c r="Y99" s="485"/>
      <c r="Z99" s="351"/>
      <c r="AA99" s="187"/>
      <c r="AB99" s="354"/>
      <c r="AC99" s="351" t="e">
        <f t="shared" si="29"/>
        <v>#N/A</v>
      </c>
      <c r="AD99" s="485"/>
      <c r="AE99" s="351"/>
      <c r="AF99" s="187"/>
      <c r="AG99" s="354"/>
      <c r="AH99" s="351" t="e">
        <f t="shared" si="30"/>
        <v>#N/A</v>
      </c>
      <c r="AI99" s="485"/>
      <c r="AJ99" s="351"/>
      <c r="AK99" s="187"/>
      <c r="AL99" s="354"/>
      <c r="AM99" s="351" t="e">
        <f t="shared" si="31"/>
        <v>#N/A</v>
      </c>
      <c r="AN99" s="485"/>
      <c r="AO99" s="351"/>
      <c r="AP99" s="187"/>
      <c r="AQ99" s="187"/>
      <c r="AR99" s="351" t="e">
        <f t="shared" si="32"/>
        <v>#N/A</v>
      </c>
      <c r="AS99" s="485"/>
      <c r="AT99" s="351"/>
      <c r="AU99" s="187"/>
      <c r="AV99" s="187"/>
      <c r="AW99" s="351" t="e">
        <f t="shared" si="33"/>
        <v>#N/A</v>
      </c>
      <c r="AX99" s="485"/>
    </row>
    <row r="100" spans="2:50">
      <c r="B100" s="483"/>
      <c r="C100" s="351">
        <v>24</v>
      </c>
      <c r="D100" s="351"/>
      <c r="E100" s="351"/>
      <c r="F100" s="351"/>
      <c r="G100" s="351"/>
      <c r="H100" s="485"/>
      <c r="I100" s="222"/>
      <c r="J100" s="222"/>
      <c r="K100" s="222"/>
      <c r="L100" s="457"/>
      <c r="M100" s="219" t="e">
        <f>RANK(K100, K$147:$K$176)</f>
        <v>#DIV/0!</v>
      </c>
      <c r="N100" s="475"/>
      <c r="O100" s="475"/>
      <c r="P100" s="351"/>
      <c r="Q100" s="351"/>
      <c r="R100" s="351"/>
      <c r="S100" s="351" t="e">
        <f t="shared" si="27"/>
        <v>#N/A</v>
      </c>
      <c r="T100" s="485"/>
      <c r="U100" s="351"/>
      <c r="V100" s="351"/>
      <c r="W100" s="351"/>
      <c r="X100" s="351" t="e">
        <f t="shared" si="28"/>
        <v>#N/A</v>
      </c>
      <c r="Y100" s="485"/>
      <c r="Z100" s="351"/>
      <c r="AA100" s="351"/>
      <c r="AB100" s="351"/>
      <c r="AC100" s="351" t="e">
        <f t="shared" si="29"/>
        <v>#N/A</v>
      </c>
      <c r="AD100" s="485"/>
      <c r="AE100" s="351"/>
      <c r="AF100" s="351"/>
      <c r="AG100" s="351"/>
      <c r="AH100" s="351" t="e">
        <f t="shared" si="30"/>
        <v>#N/A</v>
      </c>
      <c r="AI100" s="485"/>
      <c r="AJ100" s="351"/>
      <c r="AK100" s="351"/>
      <c r="AL100" s="351"/>
      <c r="AM100" s="351" t="e">
        <f t="shared" si="31"/>
        <v>#N/A</v>
      </c>
      <c r="AN100" s="485"/>
      <c r="AO100" s="351"/>
      <c r="AP100" s="351"/>
      <c r="AQ100" s="351"/>
      <c r="AR100" s="351" t="e">
        <f t="shared" si="32"/>
        <v>#N/A</v>
      </c>
      <c r="AS100" s="485"/>
      <c r="AT100" s="351"/>
      <c r="AU100" s="351"/>
      <c r="AV100" s="351"/>
      <c r="AW100" s="351" t="e">
        <f t="shared" si="33"/>
        <v>#N/A</v>
      </c>
      <c r="AX100" s="485"/>
    </row>
    <row r="101" spans="2:50">
      <c r="B101" s="483"/>
      <c r="C101" s="351">
        <v>25</v>
      </c>
      <c r="D101" s="351"/>
      <c r="E101" s="351"/>
      <c r="F101" s="351"/>
      <c r="G101" s="351"/>
      <c r="H101" s="485"/>
      <c r="I101" s="222"/>
      <c r="J101" s="222"/>
      <c r="K101" s="222"/>
      <c r="L101" s="457"/>
      <c r="M101" s="219" t="e">
        <f>RANK(K101, K$147:$K$176)</f>
        <v>#DIV/0!</v>
      </c>
      <c r="N101" s="475"/>
      <c r="O101" s="475"/>
      <c r="P101" s="351"/>
      <c r="Q101" s="351"/>
      <c r="R101" s="351"/>
      <c r="S101" s="351" t="e">
        <f t="shared" si="27"/>
        <v>#N/A</v>
      </c>
      <c r="T101" s="485"/>
      <c r="U101" s="351"/>
      <c r="V101" s="351"/>
      <c r="W101" s="351"/>
      <c r="X101" s="351" t="e">
        <f t="shared" si="28"/>
        <v>#N/A</v>
      </c>
      <c r="Y101" s="485"/>
      <c r="Z101" s="351"/>
      <c r="AA101" s="351"/>
      <c r="AB101" s="351"/>
      <c r="AC101" s="351" t="e">
        <f t="shared" si="29"/>
        <v>#N/A</v>
      </c>
      <c r="AD101" s="485"/>
      <c r="AE101" s="351"/>
      <c r="AF101" s="351"/>
      <c r="AG101" s="351"/>
      <c r="AH101" s="351" t="e">
        <f t="shared" si="30"/>
        <v>#N/A</v>
      </c>
      <c r="AI101" s="485"/>
      <c r="AJ101" s="351"/>
      <c r="AK101" s="351"/>
      <c r="AL101" s="351"/>
      <c r="AM101" s="351" t="e">
        <f t="shared" si="31"/>
        <v>#N/A</v>
      </c>
      <c r="AN101" s="485"/>
      <c r="AO101" s="351"/>
      <c r="AP101" s="351"/>
      <c r="AQ101" s="351"/>
      <c r="AR101" s="351" t="e">
        <f t="shared" si="32"/>
        <v>#N/A</v>
      </c>
      <c r="AS101" s="485"/>
      <c r="AT101" s="351"/>
      <c r="AU101" s="351"/>
      <c r="AV101" s="351"/>
      <c r="AW101" s="351" t="e">
        <f t="shared" si="33"/>
        <v>#N/A</v>
      </c>
      <c r="AX101" s="485"/>
    </row>
    <row r="102" spans="2:50">
      <c r="B102" s="483"/>
      <c r="C102" s="351">
        <v>26</v>
      </c>
      <c r="D102" s="351"/>
      <c r="E102" s="351"/>
      <c r="F102" s="351"/>
      <c r="G102" s="351"/>
      <c r="H102" s="485"/>
      <c r="I102" s="222"/>
      <c r="J102" s="222"/>
      <c r="K102" s="222"/>
      <c r="L102" s="457"/>
      <c r="M102" s="219" t="e">
        <f>RANK(K102, K$147:$K$176)</f>
        <v>#DIV/0!</v>
      </c>
      <c r="N102" s="475"/>
      <c r="O102" s="475"/>
      <c r="P102" s="351"/>
      <c r="Q102" s="351"/>
      <c r="R102" s="351"/>
      <c r="S102" s="351" t="e">
        <f t="shared" si="27"/>
        <v>#N/A</v>
      </c>
      <c r="T102" s="485"/>
      <c r="U102" s="351"/>
      <c r="V102" s="351"/>
      <c r="W102" s="351"/>
      <c r="X102" s="351" t="e">
        <f t="shared" si="28"/>
        <v>#N/A</v>
      </c>
      <c r="Y102" s="485"/>
      <c r="Z102" s="351"/>
      <c r="AA102" s="351"/>
      <c r="AB102" s="351"/>
      <c r="AC102" s="351" t="e">
        <f t="shared" si="29"/>
        <v>#N/A</v>
      </c>
      <c r="AD102" s="485"/>
      <c r="AE102" s="351"/>
      <c r="AF102" s="351"/>
      <c r="AG102" s="351"/>
      <c r="AH102" s="351" t="e">
        <f t="shared" si="30"/>
        <v>#N/A</v>
      </c>
      <c r="AI102" s="485"/>
      <c r="AJ102" s="351"/>
      <c r="AK102" s="351"/>
      <c r="AL102" s="351"/>
      <c r="AM102" s="351" t="e">
        <f t="shared" si="31"/>
        <v>#N/A</v>
      </c>
      <c r="AN102" s="485"/>
      <c r="AO102" s="351"/>
      <c r="AP102" s="351"/>
      <c r="AQ102" s="351"/>
      <c r="AR102" s="351" t="e">
        <f t="shared" si="32"/>
        <v>#N/A</v>
      </c>
      <c r="AS102" s="485"/>
      <c r="AT102" s="351"/>
      <c r="AU102" s="351"/>
      <c r="AV102" s="351"/>
      <c r="AW102" s="351" t="e">
        <f t="shared" si="33"/>
        <v>#N/A</v>
      </c>
      <c r="AX102" s="485"/>
    </row>
    <row r="103" spans="2:50">
      <c r="B103" s="483"/>
      <c r="C103" s="351">
        <v>27</v>
      </c>
      <c r="D103" s="351"/>
      <c r="E103" s="351"/>
      <c r="F103" s="351"/>
      <c r="G103" s="351"/>
      <c r="H103" s="485"/>
      <c r="I103" s="222"/>
      <c r="J103" s="222"/>
      <c r="K103" s="222"/>
      <c r="L103" s="457"/>
      <c r="M103" s="219" t="e">
        <f>RANK(K103, K$147:$K$176)</f>
        <v>#DIV/0!</v>
      </c>
      <c r="N103" s="475"/>
      <c r="O103" s="475"/>
      <c r="P103" s="351"/>
      <c r="Q103" s="351"/>
      <c r="R103" s="351"/>
      <c r="S103" s="351" t="e">
        <f t="shared" si="27"/>
        <v>#N/A</v>
      </c>
      <c r="T103" s="485"/>
      <c r="U103" s="351"/>
      <c r="V103" s="351"/>
      <c r="W103" s="351"/>
      <c r="X103" s="351" t="e">
        <f t="shared" si="28"/>
        <v>#N/A</v>
      </c>
      <c r="Y103" s="485"/>
      <c r="Z103" s="351"/>
      <c r="AA103" s="351"/>
      <c r="AB103" s="351"/>
      <c r="AC103" s="351" t="e">
        <f t="shared" si="29"/>
        <v>#N/A</v>
      </c>
      <c r="AD103" s="485"/>
      <c r="AE103" s="351"/>
      <c r="AF103" s="351"/>
      <c r="AG103" s="351"/>
      <c r="AH103" s="351" t="e">
        <f t="shared" si="30"/>
        <v>#N/A</v>
      </c>
      <c r="AI103" s="485"/>
      <c r="AJ103" s="351"/>
      <c r="AK103" s="351"/>
      <c r="AL103" s="351"/>
      <c r="AM103" s="351" t="e">
        <f t="shared" si="31"/>
        <v>#N/A</v>
      </c>
      <c r="AN103" s="485"/>
      <c r="AO103" s="351"/>
      <c r="AP103" s="351"/>
      <c r="AQ103" s="351"/>
      <c r="AR103" s="351" t="e">
        <f t="shared" si="32"/>
        <v>#N/A</v>
      </c>
      <c r="AS103" s="485"/>
      <c r="AT103" s="351"/>
      <c r="AU103" s="351"/>
      <c r="AV103" s="351"/>
      <c r="AW103" s="351" t="e">
        <f t="shared" si="33"/>
        <v>#N/A</v>
      </c>
      <c r="AX103" s="485"/>
    </row>
    <row r="104" spans="2:50">
      <c r="B104" s="483"/>
      <c r="C104" s="351">
        <v>28</v>
      </c>
      <c r="D104" s="351"/>
      <c r="E104" s="351"/>
      <c r="F104" s="351"/>
      <c r="G104" s="351"/>
      <c r="H104" s="485"/>
      <c r="I104" s="222"/>
      <c r="J104" s="222"/>
      <c r="K104" s="222"/>
      <c r="L104" s="457"/>
      <c r="M104" s="219" t="e">
        <f>RANK(K104, K$147:$K$176)</f>
        <v>#DIV/0!</v>
      </c>
      <c r="N104" s="475"/>
      <c r="O104" s="475"/>
      <c r="P104" s="351"/>
      <c r="Q104" s="351"/>
      <c r="R104" s="351"/>
      <c r="S104" s="351" t="e">
        <f t="shared" si="27"/>
        <v>#N/A</v>
      </c>
      <c r="T104" s="485"/>
      <c r="U104" s="351"/>
      <c r="V104" s="351"/>
      <c r="W104" s="351"/>
      <c r="X104" s="351" t="e">
        <f t="shared" si="28"/>
        <v>#N/A</v>
      </c>
      <c r="Y104" s="485"/>
      <c r="Z104" s="351"/>
      <c r="AA104" s="351"/>
      <c r="AB104" s="351"/>
      <c r="AC104" s="351" t="e">
        <f t="shared" si="29"/>
        <v>#N/A</v>
      </c>
      <c r="AD104" s="485"/>
      <c r="AE104" s="351"/>
      <c r="AF104" s="351"/>
      <c r="AG104" s="351"/>
      <c r="AH104" s="351" t="e">
        <f t="shared" si="30"/>
        <v>#N/A</v>
      </c>
      <c r="AI104" s="485"/>
      <c r="AJ104" s="351"/>
      <c r="AK104" s="351"/>
      <c r="AL104" s="351"/>
      <c r="AM104" s="351" t="e">
        <f t="shared" si="31"/>
        <v>#N/A</v>
      </c>
      <c r="AN104" s="485"/>
      <c r="AO104" s="351"/>
      <c r="AP104" s="351"/>
      <c r="AQ104" s="351"/>
      <c r="AR104" s="351" t="e">
        <f t="shared" si="32"/>
        <v>#N/A</v>
      </c>
      <c r="AS104" s="485"/>
      <c r="AT104" s="351"/>
      <c r="AU104" s="351"/>
      <c r="AV104" s="351"/>
      <c r="AW104" s="351" t="e">
        <f t="shared" si="33"/>
        <v>#N/A</v>
      </c>
      <c r="AX104" s="485"/>
    </row>
    <row r="105" spans="2:50">
      <c r="B105" s="483"/>
      <c r="C105" s="351">
        <v>29</v>
      </c>
      <c r="D105" s="351"/>
      <c r="E105" s="351"/>
      <c r="F105" s="351"/>
      <c r="G105" s="351"/>
      <c r="H105" s="485"/>
      <c r="I105" s="222"/>
      <c r="J105" s="222"/>
      <c r="K105" s="222"/>
      <c r="L105" s="457"/>
      <c r="M105" s="219" t="e">
        <f>RANK(K105, K$147:$K$176)</f>
        <v>#DIV/0!</v>
      </c>
      <c r="N105" s="475"/>
      <c r="O105" s="475"/>
      <c r="P105" s="351"/>
      <c r="Q105" s="351"/>
      <c r="R105" s="351"/>
      <c r="S105" s="351" t="e">
        <f t="shared" si="27"/>
        <v>#N/A</v>
      </c>
      <c r="T105" s="485"/>
      <c r="U105" s="351"/>
      <c r="V105" s="351"/>
      <c r="W105" s="351"/>
      <c r="X105" s="351" t="e">
        <f t="shared" si="28"/>
        <v>#N/A</v>
      </c>
      <c r="Y105" s="485"/>
      <c r="Z105" s="351"/>
      <c r="AA105" s="351"/>
      <c r="AB105" s="351"/>
      <c r="AC105" s="351" t="e">
        <f t="shared" si="29"/>
        <v>#N/A</v>
      </c>
      <c r="AD105" s="485"/>
      <c r="AE105" s="351"/>
      <c r="AF105" s="351"/>
      <c r="AG105" s="351"/>
      <c r="AH105" s="351" t="e">
        <f t="shared" si="30"/>
        <v>#N/A</v>
      </c>
      <c r="AI105" s="485"/>
      <c r="AJ105" s="351"/>
      <c r="AK105" s="351"/>
      <c r="AL105" s="351"/>
      <c r="AM105" s="351" t="e">
        <f t="shared" si="31"/>
        <v>#N/A</v>
      </c>
      <c r="AN105" s="485"/>
      <c r="AO105" s="351"/>
      <c r="AP105" s="351"/>
      <c r="AQ105" s="351"/>
      <c r="AR105" s="351" t="e">
        <f t="shared" si="32"/>
        <v>#N/A</v>
      </c>
      <c r="AS105" s="485"/>
      <c r="AT105" s="351"/>
      <c r="AU105" s="351"/>
      <c r="AV105" s="351"/>
      <c r="AW105" s="351" t="e">
        <f t="shared" si="33"/>
        <v>#N/A</v>
      </c>
      <c r="AX105" s="485"/>
    </row>
    <row r="106" spans="2:50">
      <c r="B106" s="483"/>
      <c r="C106" s="351">
        <v>30</v>
      </c>
      <c r="D106" s="351"/>
      <c r="E106" s="351"/>
      <c r="F106" s="351"/>
      <c r="G106" s="351"/>
      <c r="H106" s="486"/>
      <c r="I106" s="222"/>
      <c r="J106" s="222"/>
      <c r="K106" s="222"/>
      <c r="L106" s="458"/>
      <c r="M106" s="219" t="e">
        <f>RANK(K106, K$147:$K$176)</f>
        <v>#DIV/0!</v>
      </c>
      <c r="N106" s="475"/>
      <c r="O106" s="475"/>
      <c r="P106" s="351"/>
      <c r="Q106" s="351"/>
      <c r="R106" s="351"/>
      <c r="S106" s="351" t="e">
        <f t="shared" si="27"/>
        <v>#N/A</v>
      </c>
      <c r="T106" s="486"/>
      <c r="U106" s="351"/>
      <c r="V106" s="351"/>
      <c r="W106" s="351"/>
      <c r="X106" s="351" t="e">
        <f t="shared" si="28"/>
        <v>#N/A</v>
      </c>
      <c r="Y106" s="486"/>
      <c r="Z106" s="351"/>
      <c r="AA106" s="351"/>
      <c r="AB106" s="351"/>
      <c r="AC106" s="351" t="e">
        <f t="shared" si="29"/>
        <v>#N/A</v>
      </c>
      <c r="AD106" s="486"/>
      <c r="AE106" s="351"/>
      <c r="AF106" s="351"/>
      <c r="AG106" s="351"/>
      <c r="AH106" s="351" t="e">
        <f t="shared" si="30"/>
        <v>#N/A</v>
      </c>
      <c r="AI106" s="486"/>
      <c r="AJ106" s="351"/>
      <c r="AK106" s="351"/>
      <c r="AL106" s="351"/>
      <c r="AM106" s="351" t="e">
        <f t="shared" si="31"/>
        <v>#N/A</v>
      </c>
      <c r="AN106" s="486"/>
      <c r="AO106" s="351"/>
      <c r="AP106" s="351"/>
      <c r="AQ106" s="351"/>
      <c r="AR106" s="351" t="e">
        <f t="shared" si="32"/>
        <v>#N/A</v>
      </c>
      <c r="AS106" s="486"/>
      <c r="AT106" s="351"/>
      <c r="AU106" s="351"/>
      <c r="AV106" s="351"/>
      <c r="AW106" s="351" t="e">
        <f t="shared" si="33"/>
        <v>#N/A</v>
      </c>
      <c r="AX106" s="486"/>
    </row>
    <row r="107" spans="2:50" ht="15.75">
      <c r="B107" s="487" t="s">
        <v>172</v>
      </c>
      <c r="C107" s="488"/>
      <c r="D107" s="488"/>
      <c r="E107" s="488"/>
      <c r="F107" s="488"/>
      <c r="G107" s="488"/>
      <c r="H107" s="489"/>
      <c r="I107" s="228"/>
      <c r="J107" s="228"/>
      <c r="K107" s="228"/>
      <c r="L107" s="228"/>
      <c r="M107" s="227"/>
      <c r="N107" s="476" t="s">
        <v>164</v>
      </c>
      <c r="O107" s="476" t="s">
        <v>163</v>
      </c>
      <c r="P107" s="482">
        <f>P72+7</f>
        <v>45916</v>
      </c>
      <c r="Q107" s="483"/>
      <c r="R107" s="483"/>
      <c r="S107" s="483"/>
      <c r="T107" s="483"/>
      <c r="U107" s="479">
        <f>P107+1</f>
        <v>45917</v>
      </c>
      <c r="V107" s="480"/>
      <c r="W107" s="480"/>
      <c r="X107" s="480"/>
      <c r="Y107" s="481"/>
      <c r="Z107" s="479">
        <f>U107+1</f>
        <v>45918</v>
      </c>
      <c r="AA107" s="480"/>
      <c r="AB107" s="480"/>
      <c r="AC107" s="480"/>
      <c r="AD107" s="481"/>
      <c r="AE107" s="479">
        <f t="shared" ref="AE107" si="34">Z107+1</f>
        <v>45919</v>
      </c>
      <c r="AF107" s="480"/>
      <c r="AG107" s="480"/>
      <c r="AH107" s="480"/>
      <c r="AI107" s="481"/>
      <c r="AJ107" s="479">
        <f t="shared" ref="AJ107" si="35">AE107+1</f>
        <v>45920</v>
      </c>
      <c r="AK107" s="480"/>
      <c r="AL107" s="480"/>
      <c r="AM107" s="480"/>
      <c r="AN107" s="481"/>
      <c r="AO107" s="479">
        <f t="shared" ref="AO107" si="36">AJ107+1</f>
        <v>45921</v>
      </c>
      <c r="AP107" s="480"/>
      <c r="AQ107" s="480"/>
      <c r="AR107" s="480"/>
      <c r="AS107" s="481"/>
      <c r="AT107" s="479">
        <f t="shared" ref="AT107" si="37">AO107+1</f>
        <v>45922</v>
      </c>
      <c r="AU107" s="480"/>
      <c r="AV107" s="480"/>
      <c r="AW107" s="480"/>
      <c r="AX107" s="481"/>
    </row>
    <row r="108" spans="2:50" ht="15.75">
      <c r="B108" s="490"/>
      <c r="C108" s="490"/>
      <c r="D108" s="490"/>
      <c r="E108" s="490"/>
      <c r="F108" s="490"/>
      <c r="G108" s="490"/>
      <c r="H108" s="490"/>
      <c r="I108" s="225"/>
      <c r="J108" s="225"/>
      <c r="K108" s="225"/>
      <c r="L108" s="225"/>
      <c r="M108" s="226"/>
      <c r="N108" s="478"/>
      <c r="O108" s="478"/>
      <c r="P108" s="482" t="s">
        <v>393</v>
      </c>
      <c r="Q108" s="483"/>
      <c r="R108" s="483"/>
      <c r="S108" s="483"/>
      <c r="T108" s="483"/>
      <c r="U108" s="482" t="s">
        <v>394</v>
      </c>
      <c r="V108" s="483"/>
      <c r="W108" s="483"/>
      <c r="X108" s="483"/>
      <c r="Y108" s="483"/>
      <c r="Z108" s="482" t="s">
        <v>395</v>
      </c>
      <c r="AA108" s="483"/>
      <c r="AB108" s="483"/>
      <c r="AC108" s="483"/>
      <c r="AD108" s="483"/>
      <c r="AE108" s="482" t="s">
        <v>396</v>
      </c>
      <c r="AF108" s="483"/>
      <c r="AG108" s="483"/>
      <c r="AH108" s="483"/>
      <c r="AI108" s="483"/>
      <c r="AJ108" s="482" t="s">
        <v>397</v>
      </c>
      <c r="AK108" s="483"/>
      <c r="AL108" s="483"/>
      <c r="AM108" s="483"/>
      <c r="AN108" s="483"/>
      <c r="AO108" s="482" t="s">
        <v>398</v>
      </c>
      <c r="AP108" s="483"/>
      <c r="AQ108" s="483"/>
      <c r="AR108" s="483"/>
      <c r="AS108" s="483"/>
      <c r="AT108" s="482" t="s">
        <v>399</v>
      </c>
      <c r="AU108" s="483"/>
      <c r="AV108" s="483"/>
      <c r="AW108" s="483"/>
      <c r="AX108" s="483"/>
    </row>
    <row r="109" spans="2:50">
      <c r="B109" s="475" t="s">
        <v>634</v>
      </c>
      <c r="C109" s="475" t="s">
        <v>644</v>
      </c>
      <c r="D109" s="475"/>
      <c r="E109" s="475" t="s">
        <v>635</v>
      </c>
      <c r="F109" s="475"/>
      <c r="G109" s="475"/>
      <c r="H109" s="491" t="s">
        <v>631</v>
      </c>
      <c r="I109" s="459" t="s">
        <v>636</v>
      </c>
      <c r="J109" s="459"/>
      <c r="K109" s="459"/>
      <c r="L109" s="460" t="s">
        <v>631</v>
      </c>
      <c r="M109" s="466" t="s">
        <v>632</v>
      </c>
      <c r="N109" s="475"/>
      <c r="O109" s="475" t="s">
        <v>637</v>
      </c>
      <c r="P109" s="472" t="s">
        <v>633</v>
      </c>
      <c r="Q109" s="473"/>
      <c r="R109" s="473"/>
      <c r="S109" s="474"/>
      <c r="T109" s="475" t="s">
        <v>631</v>
      </c>
      <c r="U109" s="472" t="s">
        <v>633</v>
      </c>
      <c r="V109" s="473"/>
      <c r="W109" s="473"/>
      <c r="X109" s="474"/>
      <c r="Y109" s="475" t="s">
        <v>631</v>
      </c>
      <c r="Z109" s="472" t="s">
        <v>633</v>
      </c>
      <c r="AA109" s="473"/>
      <c r="AB109" s="473"/>
      <c r="AC109" s="474"/>
      <c r="AD109" s="475" t="s">
        <v>631</v>
      </c>
      <c r="AE109" s="472" t="s">
        <v>633</v>
      </c>
      <c r="AF109" s="473"/>
      <c r="AG109" s="473"/>
      <c r="AH109" s="474"/>
      <c r="AI109" s="475" t="s">
        <v>631</v>
      </c>
      <c r="AJ109" s="472" t="s">
        <v>633</v>
      </c>
      <c r="AK109" s="473"/>
      <c r="AL109" s="473"/>
      <c r="AM109" s="474"/>
      <c r="AN109" s="475" t="s">
        <v>631</v>
      </c>
      <c r="AO109" s="472" t="s">
        <v>633</v>
      </c>
      <c r="AP109" s="473"/>
      <c r="AQ109" s="473"/>
      <c r="AR109" s="474"/>
      <c r="AS109" s="475" t="s">
        <v>631</v>
      </c>
      <c r="AT109" s="472" t="s">
        <v>633</v>
      </c>
      <c r="AU109" s="473"/>
      <c r="AV109" s="473"/>
      <c r="AW109" s="474"/>
      <c r="AX109" s="475" t="s">
        <v>631</v>
      </c>
    </row>
    <row r="110" spans="2:50">
      <c r="B110" s="475"/>
      <c r="C110" s="475"/>
      <c r="D110" s="475"/>
      <c r="E110" s="475" t="s">
        <v>638</v>
      </c>
      <c r="F110" s="475"/>
      <c r="G110" s="475"/>
      <c r="H110" s="492"/>
      <c r="I110" s="459" t="s">
        <v>638</v>
      </c>
      <c r="J110" s="459"/>
      <c r="K110" s="459"/>
      <c r="L110" s="461"/>
      <c r="M110" s="467"/>
      <c r="N110" s="475"/>
      <c r="O110" s="475"/>
      <c r="P110" s="472" t="s">
        <v>639</v>
      </c>
      <c r="Q110" s="473"/>
      <c r="R110" s="473"/>
      <c r="S110" s="474"/>
      <c r="T110" s="475"/>
      <c r="U110" s="472" t="s">
        <v>639</v>
      </c>
      <c r="V110" s="473"/>
      <c r="W110" s="473"/>
      <c r="X110" s="474"/>
      <c r="Y110" s="475"/>
      <c r="Z110" s="472" t="s">
        <v>639</v>
      </c>
      <c r="AA110" s="473"/>
      <c r="AB110" s="473"/>
      <c r="AC110" s="474"/>
      <c r="AD110" s="475"/>
      <c r="AE110" s="472" t="s">
        <v>639</v>
      </c>
      <c r="AF110" s="473"/>
      <c r="AG110" s="473"/>
      <c r="AH110" s="474"/>
      <c r="AI110" s="475"/>
      <c r="AJ110" s="472" t="s">
        <v>639</v>
      </c>
      <c r="AK110" s="473"/>
      <c r="AL110" s="473"/>
      <c r="AM110" s="474"/>
      <c r="AN110" s="475"/>
      <c r="AO110" s="472" t="s">
        <v>639</v>
      </c>
      <c r="AP110" s="473"/>
      <c r="AQ110" s="473"/>
      <c r="AR110" s="474"/>
      <c r="AS110" s="475"/>
      <c r="AT110" s="472" t="s">
        <v>639</v>
      </c>
      <c r="AU110" s="473"/>
      <c r="AV110" s="473"/>
      <c r="AW110" s="474"/>
      <c r="AX110" s="475"/>
    </row>
    <row r="111" spans="2:50">
      <c r="B111" s="475"/>
      <c r="C111" s="475"/>
      <c r="D111" s="475"/>
      <c r="E111" s="350" t="s">
        <v>640</v>
      </c>
      <c r="F111" s="350" t="s">
        <v>641</v>
      </c>
      <c r="G111" s="350" t="s">
        <v>642</v>
      </c>
      <c r="H111" s="493"/>
      <c r="I111" s="349" t="s">
        <v>640</v>
      </c>
      <c r="J111" s="349" t="s">
        <v>641</v>
      </c>
      <c r="K111" s="349" t="s">
        <v>642</v>
      </c>
      <c r="L111" s="462"/>
      <c r="M111" s="468"/>
      <c r="N111" s="475"/>
      <c r="O111" s="475"/>
      <c r="P111" s="350" t="s">
        <v>640</v>
      </c>
      <c r="Q111" s="350" t="s">
        <v>641</v>
      </c>
      <c r="R111" s="350" t="s">
        <v>642</v>
      </c>
      <c r="S111" s="350" t="s">
        <v>632</v>
      </c>
      <c r="T111" s="475"/>
      <c r="U111" s="350" t="s">
        <v>640</v>
      </c>
      <c r="V111" s="350" t="s">
        <v>641</v>
      </c>
      <c r="W111" s="350" t="s">
        <v>642</v>
      </c>
      <c r="X111" s="350" t="s">
        <v>632</v>
      </c>
      <c r="Y111" s="475"/>
      <c r="Z111" s="350" t="s">
        <v>640</v>
      </c>
      <c r="AA111" s="350" t="s">
        <v>641</v>
      </c>
      <c r="AB111" s="350" t="s">
        <v>642</v>
      </c>
      <c r="AC111" s="350" t="s">
        <v>632</v>
      </c>
      <c r="AD111" s="475"/>
      <c r="AE111" s="350" t="s">
        <v>640</v>
      </c>
      <c r="AF111" s="350" t="s">
        <v>641</v>
      </c>
      <c r="AG111" s="350" t="s">
        <v>642</v>
      </c>
      <c r="AH111" s="350" t="s">
        <v>632</v>
      </c>
      <c r="AI111" s="475"/>
      <c r="AJ111" s="350" t="s">
        <v>640</v>
      </c>
      <c r="AK111" s="350" t="s">
        <v>641</v>
      </c>
      <c r="AL111" s="350" t="s">
        <v>642</v>
      </c>
      <c r="AM111" s="350" t="s">
        <v>632</v>
      </c>
      <c r="AN111" s="475"/>
      <c r="AO111" s="350" t="s">
        <v>640</v>
      </c>
      <c r="AP111" s="350" t="s">
        <v>641</v>
      </c>
      <c r="AQ111" s="350" t="s">
        <v>642</v>
      </c>
      <c r="AR111" s="350" t="s">
        <v>632</v>
      </c>
      <c r="AS111" s="475"/>
      <c r="AT111" s="350" t="s">
        <v>640</v>
      </c>
      <c r="AU111" s="350" t="s">
        <v>641</v>
      </c>
      <c r="AV111" s="350" t="s">
        <v>642</v>
      </c>
      <c r="AW111" s="350" t="s">
        <v>632</v>
      </c>
      <c r="AX111" s="475"/>
    </row>
    <row r="112" spans="2:50">
      <c r="B112" s="483" t="s">
        <v>158</v>
      </c>
      <c r="C112" s="351">
        <v>1</v>
      </c>
      <c r="D112" s="351"/>
      <c r="E112" s="351"/>
      <c r="F112" s="351"/>
      <c r="G112" s="351"/>
      <c r="H112" s="484" t="e">
        <f>AVERAGE(G112:G141)</f>
        <v>#DIV/0!</v>
      </c>
      <c r="I112" s="219" t="e">
        <f>AVERAGE(P112,U112,Z112,AE112,AJ112,AO112,AT112)</f>
        <v>#DIV/0!</v>
      </c>
      <c r="J112" s="219" t="e">
        <f>AVERAGE(Q112,V112,AA112,AF112,AK112,AP112,AU112)</f>
        <v>#DIV/0!</v>
      </c>
      <c r="K112" s="220" t="e">
        <f>AVERAGE(R112,W112,AB112,AG112,AL112,AQ112,AV112)</f>
        <v>#DIV/0!</v>
      </c>
      <c r="L112" s="456" t="str">
        <f>IFERROR(AVERAGE(K112:K141),"-")</f>
        <v>-</v>
      </c>
      <c r="M112" s="219" t="e">
        <f>RANK(K112, K$147:$K$176)</f>
        <v>#DIV/0!</v>
      </c>
      <c r="N112" s="475"/>
      <c r="O112" s="475"/>
      <c r="P112" s="351"/>
      <c r="Q112" s="187"/>
      <c r="R112" s="354"/>
      <c r="S112" s="351" t="e">
        <f>RANK(R112, R$147:R$176)</f>
        <v>#N/A</v>
      </c>
      <c r="T112" s="484" t="e">
        <f>AVERAGE(R112:R141)</f>
        <v>#DIV/0!</v>
      </c>
      <c r="U112" s="351"/>
      <c r="V112" s="187"/>
      <c r="W112" s="354"/>
      <c r="X112" s="351" t="e">
        <f>RANK(W112, W$147:W$176)</f>
        <v>#N/A</v>
      </c>
      <c r="Y112" s="484" t="e">
        <f>AVERAGE(W112:W141)</f>
        <v>#DIV/0!</v>
      </c>
      <c r="Z112" s="351"/>
      <c r="AA112" s="187"/>
      <c r="AB112" s="354"/>
      <c r="AC112" s="351" t="e">
        <f>RANK(AB112, AB$147:AB$176)</f>
        <v>#N/A</v>
      </c>
      <c r="AD112" s="484" t="e">
        <f>AVERAGE(AB112:AB141)</f>
        <v>#DIV/0!</v>
      </c>
      <c r="AE112" s="351"/>
      <c r="AF112" s="187"/>
      <c r="AG112" s="354"/>
      <c r="AH112" s="351" t="e">
        <f>RANK(AG112, AG$147:AG$176)</f>
        <v>#N/A</v>
      </c>
      <c r="AI112" s="484" t="e">
        <f>AVERAGE(AG112:AG141)</f>
        <v>#DIV/0!</v>
      </c>
      <c r="AJ112" s="351"/>
      <c r="AK112" s="187"/>
      <c r="AL112" s="354"/>
      <c r="AM112" s="351" t="e">
        <f>RANK(AL112, AL$147:AL$176)</f>
        <v>#N/A</v>
      </c>
      <c r="AN112" s="484" t="e">
        <f>AVERAGE(AL112:AL141)</f>
        <v>#DIV/0!</v>
      </c>
      <c r="AO112" s="351"/>
      <c r="AP112" s="187"/>
      <c r="AQ112" s="187"/>
      <c r="AR112" s="351" t="e">
        <f>RANK(AQ112, AQ$147:AQ$176)</f>
        <v>#N/A</v>
      </c>
      <c r="AS112" s="484" t="e">
        <f>AVERAGE(AQ112:AQ141)</f>
        <v>#DIV/0!</v>
      </c>
      <c r="AT112" s="351"/>
      <c r="AU112" s="187"/>
      <c r="AV112" s="187"/>
      <c r="AW112" s="351" t="e">
        <f>RANK(AV112, AV$147:AV$176)</f>
        <v>#N/A</v>
      </c>
      <c r="AX112" s="484" t="e">
        <f>AVERAGE(AV112:AV141)</f>
        <v>#DIV/0!</v>
      </c>
    </row>
    <row r="113" spans="2:50">
      <c r="B113" s="483"/>
      <c r="C113" s="351">
        <v>2</v>
      </c>
      <c r="D113" s="351"/>
      <c r="E113" s="351"/>
      <c r="F113" s="351"/>
      <c r="G113" s="351"/>
      <c r="H113" s="485"/>
      <c r="I113" s="219" t="e">
        <f t="shared" ref="I113:I131" si="38">AVERAGE(P113,U113,Z113,AE113,AJ113,AO113,AT113)</f>
        <v>#DIV/0!</v>
      </c>
      <c r="J113" s="219" t="e">
        <f t="shared" ref="J113:J131" si="39">AVERAGE(Q113,V113,AA113,AF113,AK113,AP113,AU113)</f>
        <v>#DIV/0!</v>
      </c>
      <c r="K113" s="220" t="e">
        <f t="shared" ref="K113:K131" si="40">AVERAGE(R113,W113,AB113,AG113,AL113,AQ113,AV113)</f>
        <v>#DIV/0!</v>
      </c>
      <c r="L113" s="457"/>
      <c r="M113" s="219" t="e">
        <f>RANK(K113, K$147:$K$176)</f>
        <v>#DIV/0!</v>
      </c>
      <c r="N113" s="475"/>
      <c r="O113" s="475"/>
      <c r="P113" s="351"/>
      <c r="Q113" s="187"/>
      <c r="R113" s="354"/>
      <c r="S113" s="351" t="e">
        <f t="shared" ref="S113:S141" si="41">RANK(R113, R$147:R$176)</f>
        <v>#N/A</v>
      </c>
      <c r="T113" s="485"/>
      <c r="U113" s="351"/>
      <c r="V113" s="187"/>
      <c r="W113" s="354"/>
      <c r="X113" s="351" t="e">
        <f t="shared" ref="X113:X141" si="42">RANK(W113, W$147:W$176)</f>
        <v>#N/A</v>
      </c>
      <c r="Y113" s="485"/>
      <c r="Z113" s="351"/>
      <c r="AA113" s="187"/>
      <c r="AB113" s="354"/>
      <c r="AC113" s="351" t="e">
        <f t="shared" ref="AC113:AC141" si="43">RANK(AB113, AB$147:AB$176)</f>
        <v>#N/A</v>
      </c>
      <c r="AD113" s="485"/>
      <c r="AE113" s="351"/>
      <c r="AF113" s="187"/>
      <c r="AG113" s="354"/>
      <c r="AH113" s="351" t="e">
        <f t="shared" ref="AH113:AH141" si="44">RANK(AG113, AG$147:AG$176)</f>
        <v>#N/A</v>
      </c>
      <c r="AI113" s="485"/>
      <c r="AJ113" s="351"/>
      <c r="AK113" s="187"/>
      <c r="AL113" s="354"/>
      <c r="AM113" s="351" t="e">
        <f t="shared" ref="AM113:AM141" si="45">RANK(AL113, AL$147:AL$176)</f>
        <v>#N/A</v>
      </c>
      <c r="AN113" s="485"/>
      <c r="AO113" s="351"/>
      <c r="AP113" s="187"/>
      <c r="AQ113" s="187"/>
      <c r="AR113" s="351" t="e">
        <f t="shared" ref="AR113:AR141" si="46">RANK(AQ113, AQ$147:AQ$176)</f>
        <v>#N/A</v>
      </c>
      <c r="AS113" s="485"/>
      <c r="AT113" s="351"/>
      <c r="AU113" s="187"/>
      <c r="AV113" s="187"/>
      <c r="AW113" s="351" t="e">
        <f t="shared" ref="AW113:AW141" si="47">RANK(AV113, AV$147:AV$176)</f>
        <v>#N/A</v>
      </c>
      <c r="AX113" s="485"/>
    </row>
    <row r="114" spans="2:50">
      <c r="B114" s="483"/>
      <c r="C114" s="351">
        <v>3</v>
      </c>
      <c r="D114" s="351"/>
      <c r="E114" s="351"/>
      <c r="F114" s="351"/>
      <c r="G114" s="351"/>
      <c r="H114" s="485"/>
      <c r="I114" s="219" t="e">
        <f t="shared" si="38"/>
        <v>#DIV/0!</v>
      </c>
      <c r="J114" s="219" t="e">
        <f t="shared" si="39"/>
        <v>#DIV/0!</v>
      </c>
      <c r="K114" s="220" t="e">
        <f t="shared" si="40"/>
        <v>#DIV/0!</v>
      </c>
      <c r="L114" s="457"/>
      <c r="M114" s="219" t="e">
        <f>RANK(K114, K$147:$K$176)</f>
        <v>#DIV/0!</v>
      </c>
      <c r="N114" s="475"/>
      <c r="O114" s="475"/>
      <c r="P114" s="351"/>
      <c r="Q114" s="187"/>
      <c r="R114" s="354"/>
      <c r="S114" s="351" t="e">
        <f t="shared" si="41"/>
        <v>#N/A</v>
      </c>
      <c r="T114" s="485"/>
      <c r="U114" s="351"/>
      <c r="V114" s="187"/>
      <c r="W114" s="354"/>
      <c r="X114" s="351" t="e">
        <f t="shared" si="42"/>
        <v>#N/A</v>
      </c>
      <c r="Y114" s="485"/>
      <c r="Z114" s="351"/>
      <c r="AA114" s="187"/>
      <c r="AB114" s="354"/>
      <c r="AC114" s="351" t="e">
        <f t="shared" si="43"/>
        <v>#N/A</v>
      </c>
      <c r="AD114" s="485"/>
      <c r="AE114" s="351"/>
      <c r="AF114" s="187"/>
      <c r="AG114" s="354"/>
      <c r="AH114" s="351" t="e">
        <f t="shared" si="44"/>
        <v>#N/A</v>
      </c>
      <c r="AI114" s="485"/>
      <c r="AJ114" s="351"/>
      <c r="AK114" s="187"/>
      <c r="AL114" s="354"/>
      <c r="AM114" s="351" t="e">
        <f t="shared" si="45"/>
        <v>#N/A</v>
      </c>
      <c r="AN114" s="485"/>
      <c r="AO114" s="351"/>
      <c r="AP114" s="187"/>
      <c r="AQ114" s="187"/>
      <c r="AR114" s="351" t="e">
        <f t="shared" si="46"/>
        <v>#N/A</v>
      </c>
      <c r="AS114" s="485"/>
      <c r="AT114" s="351"/>
      <c r="AU114" s="187"/>
      <c r="AV114" s="187"/>
      <c r="AW114" s="351" t="e">
        <f t="shared" si="47"/>
        <v>#N/A</v>
      </c>
      <c r="AX114" s="485"/>
    </row>
    <row r="115" spans="2:50">
      <c r="B115" s="483"/>
      <c r="C115" s="351">
        <v>4</v>
      </c>
      <c r="D115" s="351"/>
      <c r="E115" s="351"/>
      <c r="F115" s="351"/>
      <c r="G115" s="351"/>
      <c r="H115" s="485"/>
      <c r="I115" s="219" t="e">
        <f t="shared" si="38"/>
        <v>#DIV/0!</v>
      </c>
      <c r="J115" s="219" t="e">
        <f t="shared" si="39"/>
        <v>#DIV/0!</v>
      </c>
      <c r="K115" s="220" t="e">
        <f t="shared" si="40"/>
        <v>#DIV/0!</v>
      </c>
      <c r="L115" s="457"/>
      <c r="M115" s="219" t="e">
        <f>RANK(K115, K$147:$K$176)</f>
        <v>#DIV/0!</v>
      </c>
      <c r="N115" s="475"/>
      <c r="O115" s="475"/>
      <c r="P115" s="351"/>
      <c r="Q115" s="187"/>
      <c r="R115" s="354"/>
      <c r="S115" s="351" t="e">
        <f t="shared" si="41"/>
        <v>#N/A</v>
      </c>
      <c r="T115" s="485"/>
      <c r="U115" s="351"/>
      <c r="V115" s="187"/>
      <c r="W115" s="354"/>
      <c r="X115" s="351" t="e">
        <f t="shared" si="42"/>
        <v>#N/A</v>
      </c>
      <c r="Y115" s="485"/>
      <c r="Z115" s="351"/>
      <c r="AA115" s="187"/>
      <c r="AB115" s="354"/>
      <c r="AC115" s="351" t="e">
        <f t="shared" si="43"/>
        <v>#N/A</v>
      </c>
      <c r="AD115" s="485"/>
      <c r="AE115" s="351"/>
      <c r="AF115" s="187"/>
      <c r="AG115" s="354"/>
      <c r="AH115" s="351" t="e">
        <f t="shared" si="44"/>
        <v>#N/A</v>
      </c>
      <c r="AI115" s="485"/>
      <c r="AJ115" s="351"/>
      <c r="AK115" s="187"/>
      <c r="AL115" s="354"/>
      <c r="AM115" s="351" t="e">
        <f t="shared" si="45"/>
        <v>#N/A</v>
      </c>
      <c r="AN115" s="485"/>
      <c r="AO115" s="351"/>
      <c r="AP115" s="187"/>
      <c r="AQ115" s="187"/>
      <c r="AR115" s="351" t="e">
        <f t="shared" si="46"/>
        <v>#N/A</v>
      </c>
      <c r="AS115" s="485"/>
      <c r="AT115" s="351"/>
      <c r="AU115" s="187"/>
      <c r="AV115" s="187"/>
      <c r="AW115" s="351" t="e">
        <f t="shared" si="47"/>
        <v>#N/A</v>
      </c>
      <c r="AX115" s="485"/>
    </row>
    <row r="116" spans="2:50">
      <c r="B116" s="483"/>
      <c r="C116" s="351">
        <v>5</v>
      </c>
      <c r="D116" s="351"/>
      <c r="E116" s="351"/>
      <c r="F116" s="351"/>
      <c r="G116" s="351"/>
      <c r="H116" s="485"/>
      <c r="I116" s="219" t="e">
        <f t="shared" si="38"/>
        <v>#DIV/0!</v>
      </c>
      <c r="J116" s="219" t="e">
        <f t="shared" si="39"/>
        <v>#DIV/0!</v>
      </c>
      <c r="K116" s="220" t="e">
        <f t="shared" si="40"/>
        <v>#DIV/0!</v>
      </c>
      <c r="L116" s="457"/>
      <c r="M116" s="219" t="e">
        <f>RANK(K116, K$147:$K$176)</f>
        <v>#DIV/0!</v>
      </c>
      <c r="N116" s="475"/>
      <c r="O116" s="475"/>
      <c r="P116" s="351"/>
      <c r="Q116" s="187"/>
      <c r="R116" s="354"/>
      <c r="S116" s="351" t="e">
        <f t="shared" si="41"/>
        <v>#N/A</v>
      </c>
      <c r="T116" s="485"/>
      <c r="U116" s="351"/>
      <c r="V116" s="187"/>
      <c r="W116" s="354"/>
      <c r="X116" s="351" t="e">
        <f t="shared" si="42"/>
        <v>#N/A</v>
      </c>
      <c r="Y116" s="485"/>
      <c r="Z116" s="351"/>
      <c r="AA116" s="187"/>
      <c r="AB116" s="354"/>
      <c r="AC116" s="351" t="e">
        <f t="shared" si="43"/>
        <v>#N/A</v>
      </c>
      <c r="AD116" s="485"/>
      <c r="AE116" s="351"/>
      <c r="AF116" s="187"/>
      <c r="AG116" s="354"/>
      <c r="AH116" s="351" t="e">
        <f t="shared" si="44"/>
        <v>#N/A</v>
      </c>
      <c r="AI116" s="485"/>
      <c r="AJ116" s="351"/>
      <c r="AK116" s="187"/>
      <c r="AL116" s="354"/>
      <c r="AM116" s="351" t="e">
        <f t="shared" si="45"/>
        <v>#N/A</v>
      </c>
      <c r="AN116" s="485"/>
      <c r="AO116" s="351"/>
      <c r="AP116" s="187"/>
      <c r="AQ116" s="187"/>
      <c r="AR116" s="351" t="e">
        <f t="shared" si="46"/>
        <v>#N/A</v>
      </c>
      <c r="AS116" s="485"/>
      <c r="AT116" s="351"/>
      <c r="AU116" s="187"/>
      <c r="AV116" s="187"/>
      <c r="AW116" s="351" t="e">
        <f t="shared" si="47"/>
        <v>#N/A</v>
      </c>
      <c r="AX116" s="485"/>
    </row>
    <row r="117" spans="2:50">
      <c r="B117" s="483"/>
      <c r="C117" s="351">
        <v>6</v>
      </c>
      <c r="D117" s="351"/>
      <c r="E117" s="351"/>
      <c r="F117" s="351"/>
      <c r="G117" s="351"/>
      <c r="H117" s="485"/>
      <c r="I117" s="219" t="e">
        <f t="shared" si="38"/>
        <v>#DIV/0!</v>
      </c>
      <c r="J117" s="219" t="e">
        <f t="shared" si="39"/>
        <v>#DIV/0!</v>
      </c>
      <c r="K117" s="220" t="e">
        <f t="shared" si="40"/>
        <v>#DIV/0!</v>
      </c>
      <c r="L117" s="457"/>
      <c r="M117" s="219" t="e">
        <f>RANK(K117, K$147:$K$176)</f>
        <v>#DIV/0!</v>
      </c>
      <c r="N117" s="475"/>
      <c r="O117" s="475"/>
      <c r="P117" s="351"/>
      <c r="Q117" s="187"/>
      <c r="R117" s="354"/>
      <c r="S117" s="351" t="e">
        <f t="shared" si="41"/>
        <v>#N/A</v>
      </c>
      <c r="T117" s="485"/>
      <c r="U117" s="351"/>
      <c r="V117" s="187"/>
      <c r="W117" s="354"/>
      <c r="X117" s="351" t="e">
        <f t="shared" si="42"/>
        <v>#N/A</v>
      </c>
      <c r="Y117" s="485"/>
      <c r="Z117" s="351"/>
      <c r="AA117" s="187"/>
      <c r="AB117" s="354"/>
      <c r="AC117" s="351" t="e">
        <f t="shared" si="43"/>
        <v>#N/A</v>
      </c>
      <c r="AD117" s="485"/>
      <c r="AE117" s="351"/>
      <c r="AF117" s="187"/>
      <c r="AG117" s="354"/>
      <c r="AH117" s="351" t="e">
        <f t="shared" si="44"/>
        <v>#N/A</v>
      </c>
      <c r="AI117" s="485"/>
      <c r="AJ117" s="351"/>
      <c r="AK117" s="187"/>
      <c r="AL117" s="354"/>
      <c r="AM117" s="351" t="e">
        <f t="shared" si="45"/>
        <v>#N/A</v>
      </c>
      <c r="AN117" s="485"/>
      <c r="AO117" s="351"/>
      <c r="AP117" s="187"/>
      <c r="AQ117" s="187"/>
      <c r="AR117" s="351" t="e">
        <f t="shared" si="46"/>
        <v>#N/A</v>
      </c>
      <c r="AS117" s="485"/>
      <c r="AT117" s="351"/>
      <c r="AU117" s="187"/>
      <c r="AV117" s="187"/>
      <c r="AW117" s="351" t="e">
        <f t="shared" si="47"/>
        <v>#N/A</v>
      </c>
      <c r="AX117" s="485"/>
    </row>
    <row r="118" spans="2:50">
      <c r="B118" s="483"/>
      <c r="C118" s="351">
        <v>7</v>
      </c>
      <c r="D118" s="351"/>
      <c r="E118" s="351"/>
      <c r="F118" s="351"/>
      <c r="G118" s="351"/>
      <c r="H118" s="485"/>
      <c r="I118" s="219" t="e">
        <f t="shared" si="38"/>
        <v>#DIV/0!</v>
      </c>
      <c r="J118" s="219" t="e">
        <f t="shared" si="39"/>
        <v>#DIV/0!</v>
      </c>
      <c r="K118" s="220" t="e">
        <f t="shared" si="40"/>
        <v>#DIV/0!</v>
      </c>
      <c r="L118" s="457"/>
      <c r="M118" s="219" t="e">
        <f>RANK(K118, K$147:$K$176)</f>
        <v>#DIV/0!</v>
      </c>
      <c r="N118" s="475"/>
      <c r="O118" s="475"/>
      <c r="P118" s="351"/>
      <c r="Q118" s="187"/>
      <c r="R118" s="354"/>
      <c r="S118" s="351" t="e">
        <f t="shared" si="41"/>
        <v>#N/A</v>
      </c>
      <c r="T118" s="485"/>
      <c r="U118" s="351"/>
      <c r="V118" s="187"/>
      <c r="W118" s="354"/>
      <c r="X118" s="351" t="e">
        <f t="shared" si="42"/>
        <v>#N/A</v>
      </c>
      <c r="Y118" s="485"/>
      <c r="Z118" s="351"/>
      <c r="AA118" s="187"/>
      <c r="AB118" s="354"/>
      <c r="AC118" s="351" t="e">
        <f t="shared" si="43"/>
        <v>#N/A</v>
      </c>
      <c r="AD118" s="485"/>
      <c r="AE118" s="351"/>
      <c r="AF118" s="187"/>
      <c r="AG118" s="354"/>
      <c r="AH118" s="351" t="e">
        <f t="shared" si="44"/>
        <v>#N/A</v>
      </c>
      <c r="AI118" s="485"/>
      <c r="AJ118" s="351"/>
      <c r="AK118" s="187"/>
      <c r="AL118" s="354"/>
      <c r="AM118" s="351" t="e">
        <f t="shared" si="45"/>
        <v>#N/A</v>
      </c>
      <c r="AN118" s="485"/>
      <c r="AO118" s="351"/>
      <c r="AP118" s="187"/>
      <c r="AQ118" s="187"/>
      <c r="AR118" s="351" t="e">
        <f t="shared" si="46"/>
        <v>#N/A</v>
      </c>
      <c r="AS118" s="485"/>
      <c r="AT118" s="351"/>
      <c r="AU118" s="187"/>
      <c r="AV118" s="187"/>
      <c r="AW118" s="351" t="e">
        <f t="shared" si="47"/>
        <v>#N/A</v>
      </c>
      <c r="AX118" s="485"/>
    </row>
    <row r="119" spans="2:50">
      <c r="B119" s="483"/>
      <c r="C119" s="351">
        <v>8</v>
      </c>
      <c r="D119" s="351"/>
      <c r="E119" s="351"/>
      <c r="F119" s="351"/>
      <c r="G119" s="351"/>
      <c r="H119" s="485"/>
      <c r="I119" s="219" t="e">
        <f t="shared" si="38"/>
        <v>#DIV/0!</v>
      </c>
      <c r="J119" s="219" t="e">
        <f t="shared" si="39"/>
        <v>#DIV/0!</v>
      </c>
      <c r="K119" s="220" t="e">
        <f t="shared" si="40"/>
        <v>#DIV/0!</v>
      </c>
      <c r="L119" s="457"/>
      <c r="M119" s="219" t="e">
        <f>RANK(K119, K$147:$K$176)</f>
        <v>#DIV/0!</v>
      </c>
      <c r="N119" s="475"/>
      <c r="O119" s="475"/>
      <c r="P119" s="351"/>
      <c r="Q119" s="187"/>
      <c r="R119" s="354"/>
      <c r="S119" s="351" t="e">
        <f t="shared" si="41"/>
        <v>#N/A</v>
      </c>
      <c r="T119" s="485"/>
      <c r="U119" s="351"/>
      <c r="V119" s="187"/>
      <c r="W119" s="354"/>
      <c r="X119" s="351" t="e">
        <f t="shared" si="42"/>
        <v>#N/A</v>
      </c>
      <c r="Y119" s="485"/>
      <c r="Z119" s="351"/>
      <c r="AA119" s="187"/>
      <c r="AB119" s="354"/>
      <c r="AC119" s="351" t="e">
        <f t="shared" si="43"/>
        <v>#N/A</v>
      </c>
      <c r="AD119" s="485"/>
      <c r="AE119" s="351"/>
      <c r="AF119" s="187"/>
      <c r="AG119" s="354"/>
      <c r="AH119" s="351" t="e">
        <f t="shared" si="44"/>
        <v>#N/A</v>
      </c>
      <c r="AI119" s="485"/>
      <c r="AJ119" s="351"/>
      <c r="AK119" s="187"/>
      <c r="AL119" s="354"/>
      <c r="AM119" s="351" t="e">
        <f t="shared" si="45"/>
        <v>#N/A</v>
      </c>
      <c r="AN119" s="485"/>
      <c r="AO119" s="351"/>
      <c r="AP119" s="187"/>
      <c r="AQ119" s="187"/>
      <c r="AR119" s="351" t="e">
        <f t="shared" si="46"/>
        <v>#N/A</v>
      </c>
      <c r="AS119" s="485"/>
      <c r="AT119" s="351"/>
      <c r="AU119" s="187"/>
      <c r="AV119" s="187"/>
      <c r="AW119" s="351" t="e">
        <f t="shared" si="47"/>
        <v>#N/A</v>
      </c>
      <c r="AX119" s="485"/>
    </row>
    <row r="120" spans="2:50">
      <c r="B120" s="483"/>
      <c r="C120" s="351">
        <v>9</v>
      </c>
      <c r="D120" s="351"/>
      <c r="E120" s="351"/>
      <c r="F120" s="351"/>
      <c r="G120" s="351"/>
      <c r="H120" s="485"/>
      <c r="I120" s="219" t="e">
        <f t="shared" si="38"/>
        <v>#DIV/0!</v>
      </c>
      <c r="J120" s="219" t="e">
        <f t="shared" si="39"/>
        <v>#DIV/0!</v>
      </c>
      <c r="K120" s="220" t="e">
        <f t="shared" si="40"/>
        <v>#DIV/0!</v>
      </c>
      <c r="L120" s="457"/>
      <c r="M120" s="219" t="e">
        <f>RANK(K120, K$147:$K$176)</f>
        <v>#DIV/0!</v>
      </c>
      <c r="N120" s="475"/>
      <c r="O120" s="475"/>
      <c r="P120" s="351"/>
      <c r="Q120" s="187"/>
      <c r="R120" s="354"/>
      <c r="S120" s="351" t="e">
        <f t="shared" si="41"/>
        <v>#N/A</v>
      </c>
      <c r="T120" s="485"/>
      <c r="U120" s="351"/>
      <c r="V120" s="187"/>
      <c r="W120" s="354"/>
      <c r="X120" s="351" t="e">
        <f t="shared" si="42"/>
        <v>#N/A</v>
      </c>
      <c r="Y120" s="485"/>
      <c r="Z120" s="351"/>
      <c r="AA120" s="187"/>
      <c r="AB120" s="354"/>
      <c r="AC120" s="351" t="e">
        <f t="shared" si="43"/>
        <v>#N/A</v>
      </c>
      <c r="AD120" s="485"/>
      <c r="AE120" s="351"/>
      <c r="AF120" s="187"/>
      <c r="AG120" s="354"/>
      <c r="AH120" s="351" t="e">
        <f t="shared" si="44"/>
        <v>#N/A</v>
      </c>
      <c r="AI120" s="485"/>
      <c r="AJ120" s="351"/>
      <c r="AK120" s="187"/>
      <c r="AL120" s="354"/>
      <c r="AM120" s="351" t="e">
        <f t="shared" si="45"/>
        <v>#N/A</v>
      </c>
      <c r="AN120" s="485"/>
      <c r="AO120" s="351"/>
      <c r="AP120" s="187"/>
      <c r="AQ120" s="187"/>
      <c r="AR120" s="351" t="e">
        <f t="shared" si="46"/>
        <v>#N/A</v>
      </c>
      <c r="AS120" s="485"/>
      <c r="AT120" s="351"/>
      <c r="AU120" s="187"/>
      <c r="AV120" s="187"/>
      <c r="AW120" s="351" t="e">
        <f t="shared" si="47"/>
        <v>#N/A</v>
      </c>
      <c r="AX120" s="485"/>
    </row>
    <row r="121" spans="2:50">
      <c r="B121" s="483"/>
      <c r="C121" s="351">
        <v>10</v>
      </c>
      <c r="D121" s="351"/>
      <c r="E121" s="351"/>
      <c r="F121" s="351"/>
      <c r="G121" s="351"/>
      <c r="H121" s="485"/>
      <c r="I121" s="219" t="e">
        <f t="shared" si="38"/>
        <v>#DIV/0!</v>
      </c>
      <c r="J121" s="219" t="e">
        <f t="shared" si="39"/>
        <v>#DIV/0!</v>
      </c>
      <c r="K121" s="220" t="e">
        <f t="shared" si="40"/>
        <v>#DIV/0!</v>
      </c>
      <c r="L121" s="457"/>
      <c r="M121" s="219" t="e">
        <f>RANK(K121, K$147:$K$176)</f>
        <v>#DIV/0!</v>
      </c>
      <c r="N121" s="475"/>
      <c r="O121" s="475"/>
      <c r="P121" s="351"/>
      <c r="Q121" s="187"/>
      <c r="R121" s="354"/>
      <c r="S121" s="351" t="e">
        <f t="shared" si="41"/>
        <v>#N/A</v>
      </c>
      <c r="T121" s="485"/>
      <c r="U121" s="351"/>
      <c r="V121" s="187"/>
      <c r="W121" s="354"/>
      <c r="X121" s="351" t="e">
        <f t="shared" si="42"/>
        <v>#N/A</v>
      </c>
      <c r="Y121" s="485"/>
      <c r="Z121" s="351"/>
      <c r="AA121" s="187"/>
      <c r="AB121" s="354"/>
      <c r="AC121" s="351" t="e">
        <f t="shared" si="43"/>
        <v>#N/A</v>
      </c>
      <c r="AD121" s="485"/>
      <c r="AE121" s="351"/>
      <c r="AF121" s="187"/>
      <c r="AG121" s="354"/>
      <c r="AH121" s="351" t="e">
        <f t="shared" si="44"/>
        <v>#N/A</v>
      </c>
      <c r="AI121" s="485"/>
      <c r="AJ121" s="351"/>
      <c r="AK121" s="187"/>
      <c r="AL121" s="354"/>
      <c r="AM121" s="351" t="e">
        <f t="shared" si="45"/>
        <v>#N/A</v>
      </c>
      <c r="AN121" s="485"/>
      <c r="AO121" s="351"/>
      <c r="AP121" s="187"/>
      <c r="AQ121" s="187"/>
      <c r="AR121" s="351" t="e">
        <f t="shared" si="46"/>
        <v>#N/A</v>
      </c>
      <c r="AS121" s="485"/>
      <c r="AT121" s="351"/>
      <c r="AU121" s="187"/>
      <c r="AV121" s="187"/>
      <c r="AW121" s="351" t="e">
        <f t="shared" si="47"/>
        <v>#N/A</v>
      </c>
      <c r="AX121" s="485"/>
    </row>
    <row r="122" spans="2:50">
      <c r="B122" s="483"/>
      <c r="C122" s="351">
        <v>11</v>
      </c>
      <c r="D122" s="351"/>
      <c r="E122" s="351"/>
      <c r="F122" s="351"/>
      <c r="G122" s="351"/>
      <c r="H122" s="485"/>
      <c r="I122" s="219" t="e">
        <f t="shared" si="38"/>
        <v>#DIV/0!</v>
      </c>
      <c r="J122" s="219" t="e">
        <f t="shared" si="39"/>
        <v>#DIV/0!</v>
      </c>
      <c r="K122" s="220" t="e">
        <f t="shared" si="40"/>
        <v>#DIV/0!</v>
      </c>
      <c r="L122" s="457"/>
      <c r="M122" s="219" t="e">
        <f>RANK(K122, K$147:$K$176)</f>
        <v>#DIV/0!</v>
      </c>
      <c r="N122" s="475"/>
      <c r="O122" s="475"/>
      <c r="P122" s="351"/>
      <c r="Q122" s="187"/>
      <c r="R122" s="354"/>
      <c r="S122" s="351" t="e">
        <f t="shared" si="41"/>
        <v>#N/A</v>
      </c>
      <c r="T122" s="485"/>
      <c r="U122" s="351"/>
      <c r="V122" s="187"/>
      <c r="W122" s="354"/>
      <c r="X122" s="351" t="e">
        <f t="shared" si="42"/>
        <v>#N/A</v>
      </c>
      <c r="Y122" s="485"/>
      <c r="Z122" s="351"/>
      <c r="AA122" s="187"/>
      <c r="AB122" s="354"/>
      <c r="AC122" s="351" t="e">
        <f t="shared" si="43"/>
        <v>#N/A</v>
      </c>
      <c r="AD122" s="485"/>
      <c r="AE122" s="351"/>
      <c r="AF122" s="187"/>
      <c r="AG122" s="354"/>
      <c r="AH122" s="351" t="e">
        <f t="shared" si="44"/>
        <v>#N/A</v>
      </c>
      <c r="AI122" s="485"/>
      <c r="AJ122" s="351"/>
      <c r="AK122" s="187"/>
      <c r="AL122" s="354"/>
      <c r="AM122" s="351" t="e">
        <f t="shared" si="45"/>
        <v>#N/A</v>
      </c>
      <c r="AN122" s="485"/>
      <c r="AO122" s="351"/>
      <c r="AP122" s="187"/>
      <c r="AQ122" s="187"/>
      <c r="AR122" s="351" t="e">
        <f t="shared" si="46"/>
        <v>#N/A</v>
      </c>
      <c r="AS122" s="485"/>
      <c r="AT122" s="351"/>
      <c r="AU122" s="187"/>
      <c r="AV122" s="187"/>
      <c r="AW122" s="351" t="e">
        <f t="shared" si="47"/>
        <v>#N/A</v>
      </c>
      <c r="AX122" s="485"/>
    </row>
    <row r="123" spans="2:50">
      <c r="B123" s="483"/>
      <c r="C123" s="351">
        <v>12</v>
      </c>
      <c r="D123" s="351"/>
      <c r="E123" s="351"/>
      <c r="F123" s="351"/>
      <c r="G123" s="351"/>
      <c r="H123" s="485"/>
      <c r="I123" s="219" t="e">
        <f t="shared" si="38"/>
        <v>#DIV/0!</v>
      </c>
      <c r="J123" s="219" t="e">
        <f t="shared" si="39"/>
        <v>#DIV/0!</v>
      </c>
      <c r="K123" s="220" t="e">
        <f t="shared" si="40"/>
        <v>#DIV/0!</v>
      </c>
      <c r="L123" s="457"/>
      <c r="M123" s="219" t="e">
        <f>RANK(K123, K$147:$K$176)</f>
        <v>#DIV/0!</v>
      </c>
      <c r="N123" s="475"/>
      <c r="O123" s="475"/>
      <c r="P123" s="351"/>
      <c r="Q123" s="187"/>
      <c r="R123" s="354"/>
      <c r="S123" s="351" t="e">
        <f t="shared" si="41"/>
        <v>#N/A</v>
      </c>
      <c r="T123" s="485"/>
      <c r="U123" s="351"/>
      <c r="V123" s="187"/>
      <c r="W123" s="354"/>
      <c r="X123" s="351" t="e">
        <f t="shared" si="42"/>
        <v>#N/A</v>
      </c>
      <c r="Y123" s="485"/>
      <c r="Z123" s="351"/>
      <c r="AA123" s="187"/>
      <c r="AB123" s="354"/>
      <c r="AC123" s="351" t="e">
        <f t="shared" si="43"/>
        <v>#N/A</v>
      </c>
      <c r="AD123" s="485"/>
      <c r="AE123" s="351"/>
      <c r="AF123" s="187"/>
      <c r="AG123" s="354"/>
      <c r="AH123" s="351" t="e">
        <f t="shared" si="44"/>
        <v>#N/A</v>
      </c>
      <c r="AI123" s="485"/>
      <c r="AJ123" s="351"/>
      <c r="AK123" s="187"/>
      <c r="AL123" s="354"/>
      <c r="AM123" s="351" t="e">
        <f t="shared" si="45"/>
        <v>#N/A</v>
      </c>
      <c r="AN123" s="485"/>
      <c r="AO123" s="351"/>
      <c r="AP123" s="187"/>
      <c r="AQ123" s="187"/>
      <c r="AR123" s="351" t="e">
        <f t="shared" si="46"/>
        <v>#N/A</v>
      </c>
      <c r="AS123" s="485"/>
      <c r="AT123" s="351"/>
      <c r="AU123" s="187"/>
      <c r="AV123" s="187"/>
      <c r="AW123" s="351" t="e">
        <f t="shared" si="47"/>
        <v>#N/A</v>
      </c>
      <c r="AX123" s="485"/>
    </row>
    <row r="124" spans="2:50">
      <c r="B124" s="483"/>
      <c r="C124" s="351">
        <v>13</v>
      </c>
      <c r="D124" s="351"/>
      <c r="E124" s="351"/>
      <c r="F124" s="351"/>
      <c r="G124" s="351"/>
      <c r="H124" s="485"/>
      <c r="I124" s="219" t="e">
        <f t="shared" si="38"/>
        <v>#DIV/0!</v>
      </c>
      <c r="J124" s="219" t="e">
        <f t="shared" si="39"/>
        <v>#DIV/0!</v>
      </c>
      <c r="K124" s="220" t="e">
        <f t="shared" si="40"/>
        <v>#DIV/0!</v>
      </c>
      <c r="L124" s="457"/>
      <c r="M124" s="219" t="e">
        <f>RANK(K124, K$147:$K$176)</f>
        <v>#DIV/0!</v>
      </c>
      <c r="N124" s="475"/>
      <c r="O124" s="475"/>
      <c r="P124" s="351"/>
      <c r="Q124" s="187"/>
      <c r="R124" s="354"/>
      <c r="S124" s="351" t="e">
        <f t="shared" si="41"/>
        <v>#N/A</v>
      </c>
      <c r="T124" s="485"/>
      <c r="U124" s="351"/>
      <c r="V124" s="187"/>
      <c r="W124" s="354"/>
      <c r="X124" s="351" t="e">
        <f t="shared" si="42"/>
        <v>#N/A</v>
      </c>
      <c r="Y124" s="485"/>
      <c r="Z124" s="351"/>
      <c r="AA124" s="187"/>
      <c r="AB124" s="354"/>
      <c r="AC124" s="351" t="e">
        <f t="shared" si="43"/>
        <v>#N/A</v>
      </c>
      <c r="AD124" s="485"/>
      <c r="AE124" s="351"/>
      <c r="AF124" s="187"/>
      <c r="AG124" s="354"/>
      <c r="AH124" s="351" t="e">
        <f t="shared" si="44"/>
        <v>#N/A</v>
      </c>
      <c r="AI124" s="485"/>
      <c r="AJ124" s="351"/>
      <c r="AK124" s="187"/>
      <c r="AL124" s="354"/>
      <c r="AM124" s="351" t="e">
        <f t="shared" si="45"/>
        <v>#N/A</v>
      </c>
      <c r="AN124" s="485"/>
      <c r="AO124" s="351"/>
      <c r="AP124" s="187"/>
      <c r="AQ124" s="187"/>
      <c r="AR124" s="351" t="e">
        <f t="shared" si="46"/>
        <v>#N/A</v>
      </c>
      <c r="AS124" s="485"/>
      <c r="AT124" s="351"/>
      <c r="AU124" s="187"/>
      <c r="AV124" s="187"/>
      <c r="AW124" s="351" t="e">
        <f t="shared" si="47"/>
        <v>#N/A</v>
      </c>
      <c r="AX124" s="485"/>
    </row>
    <row r="125" spans="2:50">
      <c r="B125" s="483"/>
      <c r="C125" s="351">
        <v>14</v>
      </c>
      <c r="D125" s="351"/>
      <c r="E125" s="351"/>
      <c r="F125" s="351"/>
      <c r="G125" s="351"/>
      <c r="H125" s="485"/>
      <c r="I125" s="219" t="e">
        <f t="shared" si="38"/>
        <v>#DIV/0!</v>
      </c>
      <c r="J125" s="219" t="e">
        <f t="shared" si="39"/>
        <v>#DIV/0!</v>
      </c>
      <c r="K125" s="220" t="e">
        <f t="shared" si="40"/>
        <v>#DIV/0!</v>
      </c>
      <c r="L125" s="457"/>
      <c r="M125" s="219" t="e">
        <f>RANK(K125, K$147:$K$176)</f>
        <v>#DIV/0!</v>
      </c>
      <c r="N125" s="475"/>
      <c r="O125" s="475"/>
      <c r="P125" s="351"/>
      <c r="Q125" s="187"/>
      <c r="R125" s="354"/>
      <c r="S125" s="351" t="e">
        <f t="shared" si="41"/>
        <v>#N/A</v>
      </c>
      <c r="T125" s="485"/>
      <c r="U125" s="351"/>
      <c r="V125" s="187"/>
      <c r="W125" s="354"/>
      <c r="X125" s="351" t="e">
        <f t="shared" si="42"/>
        <v>#N/A</v>
      </c>
      <c r="Y125" s="485"/>
      <c r="Z125" s="351"/>
      <c r="AA125" s="187"/>
      <c r="AB125" s="354"/>
      <c r="AC125" s="351" t="e">
        <f t="shared" si="43"/>
        <v>#N/A</v>
      </c>
      <c r="AD125" s="485"/>
      <c r="AE125" s="351"/>
      <c r="AF125" s="187"/>
      <c r="AG125" s="354"/>
      <c r="AH125" s="351" t="e">
        <f t="shared" si="44"/>
        <v>#N/A</v>
      </c>
      <c r="AI125" s="485"/>
      <c r="AJ125" s="351"/>
      <c r="AK125" s="187"/>
      <c r="AL125" s="354"/>
      <c r="AM125" s="351" t="e">
        <f t="shared" si="45"/>
        <v>#N/A</v>
      </c>
      <c r="AN125" s="485"/>
      <c r="AO125" s="351"/>
      <c r="AP125" s="187"/>
      <c r="AQ125" s="187"/>
      <c r="AR125" s="351" t="e">
        <f t="shared" si="46"/>
        <v>#N/A</v>
      </c>
      <c r="AS125" s="485"/>
      <c r="AT125" s="351"/>
      <c r="AU125" s="187"/>
      <c r="AV125" s="187"/>
      <c r="AW125" s="351" t="e">
        <f t="shared" si="47"/>
        <v>#N/A</v>
      </c>
      <c r="AX125" s="485"/>
    </row>
    <row r="126" spans="2:50">
      <c r="B126" s="483"/>
      <c r="C126" s="351">
        <v>15</v>
      </c>
      <c r="D126" s="351"/>
      <c r="E126" s="351"/>
      <c r="F126" s="351"/>
      <c r="G126" s="351"/>
      <c r="H126" s="485"/>
      <c r="I126" s="219" t="e">
        <f t="shared" si="38"/>
        <v>#DIV/0!</v>
      </c>
      <c r="J126" s="219" t="e">
        <f t="shared" si="39"/>
        <v>#DIV/0!</v>
      </c>
      <c r="K126" s="220" t="e">
        <f t="shared" si="40"/>
        <v>#DIV/0!</v>
      </c>
      <c r="L126" s="457"/>
      <c r="M126" s="219" t="e">
        <f>RANK(K126, K$147:$K$176)</f>
        <v>#DIV/0!</v>
      </c>
      <c r="N126" s="475"/>
      <c r="O126" s="475"/>
      <c r="P126" s="351"/>
      <c r="Q126" s="187"/>
      <c r="R126" s="354"/>
      <c r="S126" s="351" t="e">
        <f t="shared" si="41"/>
        <v>#N/A</v>
      </c>
      <c r="T126" s="485"/>
      <c r="U126" s="351"/>
      <c r="V126" s="187"/>
      <c r="W126" s="354"/>
      <c r="X126" s="351" t="e">
        <f t="shared" si="42"/>
        <v>#N/A</v>
      </c>
      <c r="Y126" s="485"/>
      <c r="Z126" s="351"/>
      <c r="AA126" s="187"/>
      <c r="AB126" s="354"/>
      <c r="AC126" s="351" t="e">
        <f t="shared" si="43"/>
        <v>#N/A</v>
      </c>
      <c r="AD126" s="485"/>
      <c r="AE126" s="351"/>
      <c r="AF126" s="187"/>
      <c r="AG126" s="354"/>
      <c r="AH126" s="351" t="e">
        <f t="shared" si="44"/>
        <v>#N/A</v>
      </c>
      <c r="AI126" s="485"/>
      <c r="AJ126" s="351"/>
      <c r="AK126" s="187"/>
      <c r="AL126" s="354"/>
      <c r="AM126" s="351" t="e">
        <f t="shared" si="45"/>
        <v>#N/A</v>
      </c>
      <c r="AN126" s="485"/>
      <c r="AO126" s="351"/>
      <c r="AP126" s="187"/>
      <c r="AQ126" s="187"/>
      <c r="AR126" s="351" t="e">
        <f t="shared" si="46"/>
        <v>#N/A</v>
      </c>
      <c r="AS126" s="485"/>
      <c r="AT126" s="351"/>
      <c r="AU126" s="187"/>
      <c r="AV126" s="187"/>
      <c r="AW126" s="351" t="e">
        <f t="shared" si="47"/>
        <v>#N/A</v>
      </c>
      <c r="AX126" s="485"/>
    </row>
    <row r="127" spans="2:50">
      <c r="B127" s="483"/>
      <c r="C127" s="351">
        <v>16</v>
      </c>
      <c r="D127" s="351"/>
      <c r="E127" s="351"/>
      <c r="F127" s="351"/>
      <c r="G127" s="351"/>
      <c r="H127" s="485"/>
      <c r="I127" s="219" t="e">
        <f t="shared" si="38"/>
        <v>#DIV/0!</v>
      </c>
      <c r="J127" s="219" t="e">
        <f t="shared" si="39"/>
        <v>#DIV/0!</v>
      </c>
      <c r="K127" s="220" t="e">
        <f t="shared" si="40"/>
        <v>#DIV/0!</v>
      </c>
      <c r="L127" s="457"/>
      <c r="M127" s="219" t="e">
        <f>RANK(K127, K$147:$K$176)</f>
        <v>#DIV/0!</v>
      </c>
      <c r="N127" s="475"/>
      <c r="O127" s="475"/>
      <c r="P127" s="351"/>
      <c r="Q127" s="187"/>
      <c r="R127" s="354"/>
      <c r="S127" s="351" t="e">
        <f t="shared" si="41"/>
        <v>#N/A</v>
      </c>
      <c r="T127" s="485"/>
      <c r="U127" s="351"/>
      <c r="V127" s="187"/>
      <c r="W127" s="354"/>
      <c r="X127" s="351" t="e">
        <f t="shared" si="42"/>
        <v>#N/A</v>
      </c>
      <c r="Y127" s="485"/>
      <c r="Z127" s="351"/>
      <c r="AA127" s="187"/>
      <c r="AB127" s="354"/>
      <c r="AC127" s="351" t="e">
        <f t="shared" si="43"/>
        <v>#N/A</v>
      </c>
      <c r="AD127" s="485"/>
      <c r="AE127" s="351"/>
      <c r="AF127" s="187"/>
      <c r="AG127" s="354"/>
      <c r="AH127" s="351" t="e">
        <f t="shared" si="44"/>
        <v>#N/A</v>
      </c>
      <c r="AI127" s="485"/>
      <c r="AJ127" s="351"/>
      <c r="AK127" s="187"/>
      <c r="AL127" s="354"/>
      <c r="AM127" s="351" t="e">
        <f t="shared" si="45"/>
        <v>#N/A</v>
      </c>
      <c r="AN127" s="485"/>
      <c r="AO127" s="351"/>
      <c r="AP127" s="187"/>
      <c r="AQ127" s="187"/>
      <c r="AR127" s="351" t="e">
        <f t="shared" si="46"/>
        <v>#N/A</v>
      </c>
      <c r="AS127" s="485"/>
      <c r="AT127" s="351"/>
      <c r="AU127" s="187"/>
      <c r="AV127" s="187"/>
      <c r="AW127" s="351" t="e">
        <f t="shared" si="47"/>
        <v>#N/A</v>
      </c>
      <c r="AX127" s="485"/>
    </row>
    <row r="128" spans="2:50">
      <c r="B128" s="483"/>
      <c r="C128" s="351">
        <v>17</v>
      </c>
      <c r="D128" s="351"/>
      <c r="E128" s="351"/>
      <c r="F128" s="351"/>
      <c r="G128" s="351"/>
      <c r="H128" s="485"/>
      <c r="I128" s="219" t="e">
        <f t="shared" si="38"/>
        <v>#DIV/0!</v>
      </c>
      <c r="J128" s="219" t="e">
        <f t="shared" si="39"/>
        <v>#DIV/0!</v>
      </c>
      <c r="K128" s="220" t="e">
        <f t="shared" si="40"/>
        <v>#DIV/0!</v>
      </c>
      <c r="L128" s="457"/>
      <c r="M128" s="219" t="e">
        <f>RANK(K128, K$147:$K$176)</f>
        <v>#DIV/0!</v>
      </c>
      <c r="N128" s="475"/>
      <c r="O128" s="475"/>
      <c r="P128" s="351"/>
      <c r="Q128" s="187"/>
      <c r="R128" s="354"/>
      <c r="S128" s="351" t="e">
        <f t="shared" si="41"/>
        <v>#N/A</v>
      </c>
      <c r="T128" s="485"/>
      <c r="U128" s="351"/>
      <c r="V128" s="187"/>
      <c r="W128" s="354"/>
      <c r="X128" s="351" t="e">
        <f t="shared" si="42"/>
        <v>#N/A</v>
      </c>
      <c r="Y128" s="485"/>
      <c r="Z128" s="351"/>
      <c r="AA128" s="187"/>
      <c r="AB128" s="354"/>
      <c r="AC128" s="351" t="e">
        <f t="shared" si="43"/>
        <v>#N/A</v>
      </c>
      <c r="AD128" s="485"/>
      <c r="AE128" s="351"/>
      <c r="AF128" s="187"/>
      <c r="AG128" s="354"/>
      <c r="AH128" s="351" t="e">
        <f t="shared" si="44"/>
        <v>#N/A</v>
      </c>
      <c r="AI128" s="485"/>
      <c r="AJ128" s="351"/>
      <c r="AK128" s="187"/>
      <c r="AL128" s="354"/>
      <c r="AM128" s="351" t="e">
        <f t="shared" si="45"/>
        <v>#N/A</v>
      </c>
      <c r="AN128" s="485"/>
      <c r="AO128" s="351"/>
      <c r="AP128" s="187"/>
      <c r="AQ128" s="187"/>
      <c r="AR128" s="351" t="e">
        <f t="shared" si="46"/>
        <v>#N/A</v>
      </c>
      <c r="AS128" s="485"/>
      <c r="AT128" s="351"/>
      <c r="AU128" s="187"/>
      <c r="AV128" s="187"/>
      <c r="AW128" s="351" t="e">
        <f t="shared" si="47"/>
        <v>#N/A</v>
      </c>
      <c r="AX128" s="485"/>
    </row>
    <row r="129" spans="2:50">
      <c r="B129" s="483"/>
      <c r="C129" s="351">
        <v>18</v>
      </c>
      <c r="D129" s="351"/>
      <c r="E129" s="351"/>
      <c r="F129" s="351"/>
      <c r="G129" s="351"/>
      <c r="H129" s="485"/>
      <c r="I129" s="219" t="e">
        <f t="shared" si="38"/>
        <v>#DIV/0!</v>
      </c>
      <c r="J129" s="219" t="e">
        <f t="shared" si="39"/>
        <v>#DIV/0!</v>
      </c>
      <c r="K129" s="220" t="e">
        <f t="shared" si="40"/>
        <v>#DIV/0!</v>
      </c>
      <c r="L129" s="457"/>
      <c r="M129" s="219" t="e">
        <f>RANK(K129, K$147:$K$176)</f>
        <v>#DIV/0!</v>
      </c>
      <c r="N129" s="475"/>
      <c r="O129" s="475"/>
      <c r="P129" s="351"/>
      <c r="Q129" s="187"/>
      <c r="R129" s="354"/>
      <c r="S129" s="351" t="e">
        <f t="shared" si="41"/>
        <v>#N/A</v>
      </c>
      <c r="T129" s="485"/>
      <c r="U129" s="351"/>
      <c r="V129" s="187"/>
      <c r="W129" s="354"/>
      <c r="X129" s="351" t="e">
        <f t="shared" si="42"/>
        <v>#N/A</v>
      </c>
      <c r="Y129" s="485"/>
      <c r="Z129" s="351"/>
      <c r="AA129" s="187"/>
      <c r="AB129" s="354"/>
      <c r="AC129" s="351" t="e">
        <f t="shared" si="43"/>
        <v>#N/A</v>
      </c>
      <c r="AD129" s="485"/>
      <c r="AE129" s="351"/>
      <c r="AF129" s="187"/>
      <c r="AG129" s="354"/>
      <c r="AH129" s="351" t="e">
        <f t="shared" si="44"/>
        <v>#N/A</v>
      </c>
      <c r="AI129" s="485"/>
      <c r="AJ129" s="351"/>
      <c r="AK129" s="187"/>
      <c r="AL129" s="354"/>
      <c r="AM129" s="351" t="e">
        <f t="shared" si="45"/>
        <v>#N/A</v>
      </c>
      <c r="AN129" s="485"/>
      <c r="AO129" s="351"/>
      <c r="AP129" s="187"/>
      <c r="AQ129" s="187"/>
      <c r="AR129" s="351" t="e">
        <f t="shared" si="46"/>
        <v>#N/A</v>
      </c>
      <c r="AS129" s="485"/>
      <c r="AT129" s="351"/>
      <c r="AU129" s="187"/>
      <c r="AV129" s="187"/>
      <c r="AW129" s="351" t="e">
        <f t="shared" si="47"/>
        <v>#N/A</v>
      </c>
      <c r="AX129" s="485"/>
    </row>
    <row r="130" spans="2:50">
      <c r="B130" s="483"/>
      <c r="C130" s="351">
        <v>19</v>
      </c>
      <c r="D130" s="351"/>
      <c r="E130" s="351"/>
      <c r="F130" s="351"/>
      <c r="G130" s="351"/>
      <c r="H130" s="485"/>
      <c r="I130" s="219" t="e">
        <f t="shared" si="38"/>
        <v>#DIV/0!</v>
      </c>
      <c r="J130" s="219" t="e">
        <f t="shared" si="39"/>
        <v>#DIV/0!</v>
      </c>
      <c r="K130" s="220" t="e">
        <f t="shared" si="40"/>
        <v>#DIV/0!</v>
      </c>
      <c r="L130" s="457"/>
      <c r="M130" s="219" t="e">
        <f>RANK(K130, K$147:$K$176)</f>
        <v>#DIV/0!</v>
      </c>
      <c r="N130" s="475"/>
      <c r="O130" s="475"/>
      <c r="P130" s="351"/>
      <c r="Q130" s="187"/>
      <c r="R130" s="354"/>
      <c r="S130" s="351" t="e">
        <f t="shared" si="41"/>
        <v>#N/A</v>
      </c>
      <c r="T130" s="485"/>
      <c r="U130" s="351"/>
      <c r="V130" s="187"/>
      <c r="W130" s="354"/>
      <c r="X130" s="351" t="e">
        <f t="shared" si="42"/>
        <v>#N/A</v>
      </c>
      <c r="Y130" s="485"/>
      <c r="Z130" s="351"/>
      <c r="AA130" s="187"/>
      <c r="AB130" s="354"/>
      <c r="AC130" s="351" t="e">
        <f t="shared" si="43"/>
        <v>#N/A</v>
      </c>
      <c r="AD130" s="485"/>
      <c r="AE130" s="351"/>
      <c r="AF130" s="187"/>
      <c r="AG130" s="354"/>
      <c r="AH130" s="351" t="e">
        <f t="shared" si="44"/>
        <v>#N/A</v>
      </c>
      <c r="AI130" s="485"/>
      <c r="AJ130" s="351"/>
      <c r="AK130" s="187"/>
      <c r="AL130" s="354"/>
      <c r="AM130" s="351" t="e">
        <f t="shared" si="45"/>
        <v>#N/A</v>
      </c>
      <c r="AN130" s="485"/>
      <c r="AO130" s="351"/>
      <c r="AP130" s="187"/>
      <c r="AQ130" s="187"/>
      <c r="AR130" s="351" t="e">
        <f t="shared" si="46"/>
        <v>#N/A</v>
      </c>
      <c r="AS130" s="485"/>
      <c r="AT130" s="351"/>
      <c r="AU130" s="187"/>
      <c r="AV130" s="187"/>
      <c r="AW130" s="351" t="e">
        <f t="shared" si="47"/>
        <v>#N/A</v>
      </c>
      <c r="AX130" s="485"/>
    </row>
    <row r="131" spans="2:50">
      <c r="B131" s="483"/>
      <c r="C131" s="351">
        <v>20</v>
      </c>
      <c r="D131" s="351"/>
      <c r="E131" s="351"/>
      <c r="F131" s="351"/>
      <c r="G131" s="351"/>
      <c r="H131" s="485"/>
      <c r="I131" s="219" t="e">
        <f t="shared" si="38"/>
        <v>#DIV/0!</v>
      </c>
      <c r="J131" s="219" t="e">
        <f t="shared" si="39"/>
        <v>#DIV/0!</v>
      </c>
      <c r="K131" s="220" t="e">
        <f t="shared" si="40"/>
        <v>#DIV/0!</v>
      </c>
      <c r="L131" s="457"/>
      <c r="M131" s="219" t="e">
        <f>RANK(K131, K$147:$K$176)</f>
        <v>#DIV/0!</v>
      </c>
      <c r="N131" s="475"/>
      <c r="O131" s="475"/>
      <c r="P131" s="351"/>
      <c r="Q131" s="187"/>
      <c r="R131" s="354"/>
      <c r="S131" s="351" t="e">
        <f t="shared" si="41"/>
        <v>#N/A</v>
      </c>
      <c r="T131" s="485"/>
      <c r="U131" s="351"/>
      <c r="V131" s="187"/>
      <c r="W131" s="354"/>
      <c r="X131" s="351" t="e">
        <f t="shared" si="42"/>
        <v>#N/A</v>
      </c>
      <c r="Y131" s="485"/>
      <c r="Z131" s="351"/>
      <c r="AA131" s="187"/>
      <c r="AB131" s="354"/>
      <c r="AC131" s="351" t="e">
        <f t="shared" si="43"/>
        <v>#N/A</v>
      </c>
      <c r="AD131" s="485"/>
      <c r="AE131" s="351"/>
      <c r="AF131" s="187"/>
      <c r="AG131" s="354"/>
      <c r="AH131" s="351" t="e">
        <f t="shared" si="44"/>
        <v>#N/A</v>
      </c>
      <c r="AI131" s="485"/>
      <c r="AJ131" s="351"/>
      <c r="AK131" s="187"/>
      <c r="AL131" s="354"/>
      <c r="AM131" s="351" t="e">
        <f t="shared" si="45"/>
        <v>#N/A</v>
      </c>
      <c r="AN131" s="485"/>
      <c r="AO131" s="351"/>
      <c r="AP131" s="187"/>
      <c r="AQ131" s="187"/>
      <c r="AR131" s="351" t="e">
        <f t="shared" si="46"/>
        <v>#N/A</v>
      </c>
      <c r="AS131" s="485"/>
      <c r="AT131" s="351"/>
      <c r="AU131" s="187"/>
      <c r="AV131" s="187"/>
      <c r="AW131" s="351" t="e">
        <f t="shared" si="47"/>
        <v>#N/A</v>
      </c>
      <c r="AX131" s="485"/>
    </row>
    <row r="132" spans="2:50">
      <c r="B132" s="483"/>
      <c r="C132" s="351">
        <v>21</v>
      </c>
      <c r="D132" s="351"/>
      <c r="E132" s="351"/>
      <c r="F132" s="351"/>
      <c r="G132" s="351"/>
      <c r="H132" s="485"/>
      <c r="I132" s="222"/>
      <c r="J132" s="222"/>
      <c r="K132" s="222"/>
      <c r="L132" s="457"/>
      <c r="M132" s="219" t="e">
        <f>RANK(K132, K$147:$K$176)</f>
        <v>#DIV/0!</v>
      </c>
      <c r="N132" s="475"/>
      <c r="O132" s="475"/>
      <c r="P132" s="351"/>
      <c r="Q132" s="187"/>
      <c r="R132" s="354"/>
      <c r="S132" s="351" t="e">
        <f t="shared" si="41"/>
        <v>#N/A</v>
      </c>
      <c r="T132" s="485"/>
      <c r="U132" s="351"/>
      <c r="V132" s="187"/>
      <c r="W132" s="354"/>
      <c r="X132" s="351" t="e">
        <f t="shared" si="42"/>
        <v>#N/A</v>
      </c>
      <c r="Y132" s="485"/>
      <c r="Z132" s="351"/>
      <c r="AA132" s="187"/>
      <c r="AB132" s="354"/>
      <c r="AC132" s="351" t="e">
        <f t="shared" si="43"/>
        <v>#N/A</v>
      </c>
      <c r="AD132" s="485"/>
      <c r="AE132" s="351"/>
      <c r="AF132" s="187"/>
      <c r="AG132" s="354"/>
      <c r="AH132" s="351" t="e">
        <f t="shared" si="44"/>
        <v>#N/A</v>
      </c>
      <c r="AI132" s="485"/>
      <c r="AJ132" s="351"/>
      <c r="AK132" s="187"/>
      <c r="AL132" s="354"/>
      <c r="AM132" s="351" t="e">
        <f t="shared" si="45"/>
        <v>#N/A</v>
      </c>
      <c r="AN132" s="485"/>
      <c r="AO132" s="351"/>
      <c r="AP132" s="187"/>
      <c r="AQ132" s="187"/>
      <c r="AR132" s="351" t="e">
        <f t="shared" si="46"/>
        <v>#N/A</v>
      </c>
      <c r="AS132" s="485"/>
      <c r="AT132" s="351"/>
      <c r="AU132" s="187"/>
      <c r="AV132" s="187"/>
      <c r="AW132" s="351" t="e">
        <f t="shared" si="47"/>
        <v>#N/A</v>
      </c>
      <c r="AX132" s="485"/>
    </row>
    <row r="133" spans="2:50">
      <c r="B133" s="483"/>
      <c r="C133" s="351">
        <v>22</v>
      </c>
      <c r="D133" s="351"/>
      <c r="E133" s="351"/>
      <c r="F133" s="351"/>
      <c r="G133" s="351"/>
      <c r="H133" s="485"/>
      <c r="I133" s="222"/>
      <c r="J133" s="222"/>
      <c r="K133" s="222"/>
      <c r="L133" s="457"/>
      <c r="M133" s="219" t="e">
        <f>RANK(K133, K$147:$K$176)</f>
        <v>#DIV/0!</v>
      </c>
      <c r="N133" s="475"/>
      <c r="O133" s="475"/>
      <c r="P133" s="351"/>
      <c r="Q133" s="187"/>
      <c r="R133" s="354"/>
      <c r="S133" s="351" t="e">
        <f t="shared" si="41"/>
        <v>#N/A</v>
      </c>
      <c r="T133" s="485"/>
      <c r="U133" s="351"/>
      <c r="V133" s="187"/>
      <c r="W133" s="354"/>
      <c r="X133" s="351" t="e">
        <f t="shared" si="42"/>
        <v>#N/A</v>
      </c>
      <c r="Y133" s="485"/>
      <c r="Z133" s="351"/>
      <c r="AA133" s="187"/>
      <c r="AB133" s="354"/>
      <c r="AC133" s="351" t="e">
        <f t="shared" si="43"/>
        <v>#N/A</v>
      </c>
      <c r="AD133" s="485"/>
      <c r="AE133" s="351"/>
      <c r="AF133" s="187"/>
      <c r="AG133" s="354"/>
      <c r="AH133" s="351" t="e">
        <f t="shared" si="44"/>
        <v>#N/A</v>
      </c>
      <c r="AI133" s="485"/>
      <c r="AJ133" s="351"/>
      <c r="AK133" s="187"/>
      <c r="AL133" s="354"/>
      <c r="AM133" s="351" t="e">
        <f t="shared" si="45"/>
        <v>#N/A</v>
      </c>
      <c r="AN133" s="485"/>
      <c r="AO133" s="351"/>
      <c r="AP133" s="187"/>
      <c r="AQ133" s="187"/>
      <c r="AR133" s="351" t="e">
        <f t="shared" si="46"/>
        <v>#N/A</v>
      </c>
      <c r="AS133" s="485"/>
      <c r="AT133" s="351"/>
      <c r="AU133" s="187"/>
      <c r="AV133" s="187"/>
      <c r="AW133" s="351" t="e">
        <f t="shared" si="47"/>
        <v>#N/A</v>
      </c>
      <c r="AX133" s="485"/>
    </row>
    <row r="134" spans="2:50">
      <c r="B134" s="483"/>
      <c r="C134" s="351">
        <v>23</v>
      </c>
      <c r="D134" s="351"/>
      <c r="E134" s="351"/>
      <c r="F134" s="351"/>
      <c r="G134" s="351"/>
      <c r="H134" s="485"/>
      <c r="I134" s="222"/>
      <c r="J134" s="222"/>
      <c r="K134" s="222"/>
      <c r="L134" s="457"/>
      <c r="M134" s="219" t="e">
        <f>RANK(K134, K$147:$K$176)</f>
        <v>#DIV/0!</v>
      </c>
      <c r="N134" s="475"/>
      <c r="O134" s="475"/>
      <c r="P134" s="351"/>
      <c r="Q134" s="351"/>
      <c r="R134" s="354"/>
      <c r="S134" s="351" t="e">
        <f t="shared" si="41"/>
        <v>#N/A</v>
      </c>
      <c r="T134" s="485"/>
      <c r="U134" s="351"/>
      <c r="V134" s="187"/>
      <c r="W134" s="354"/>
      <c r="X134" s="351" t="e">
        <f t="shared" si="42"/>
        <v>#N/A</v>
      </c>
      <c r="Y134" s="485"/>
      <c r="Z134" s="351"/>
      <c r="AA134" s="187"/>
      <c r="AB134" s="354"/>
      <c r="AC134" s="351" t="e">
        <f t="shared" si="43"/>
        <v>#N/A</v>
      </c>
      <c r="AD134" s="485"/>
      <c r="AE134" s="351"/>
      <c r="AF134" s="187"/>
      <c r="AG134" s="354"/>
      <c r="AH134" s="351" t="e">
        <f t="shared" si="44"/>
        <v>#N/A</v>
      </c>
      <c r="AI134" s="485"/>
      <c r="AJ134" s="351"/>
      <c r="AK134" s="187"/>
      <c r="AL134" s="354"/>
      <c r="AM134" s="351" t="e">
        <f t="shared" si="45"/>
        <v>#N/A</v>
      </c>
      <c r="AN134" s="485"/>
      <c r="AO134" s="351"/>
      <c r="AP134" s="187"/>
      <c r="AQ134" s="187"/>
      <c r="AR134" s="351" t="e">
        <f t="shared" si="46"/>
        <v>#N/A</v>
      </c>
      <c r="AS134" s="485"/>
      <c r="AT134" s="351"/>
      <c r="AU134" s="187"/>
      <c r="AV134" s="187"/>
      <c r="AW134" s="351" t="e">
        <f t="shared" si="47"/>
        <v>#N/A</v>
      </c>
      <c r="AX134" s="485"/>
    </row>
    <row r="135" spans="2:50">
      <c r="B135" s="483"/>
      <c r="C135" s="351">
        <v>24</v>
      </c>
      <c r="D135" s="351"/>
      <c r="E135" s="351"/>
      <c r="F135" s="351"/>
      <c r="G135" s="351"/>
      <c r="H135" s="485"/>
      <c r="I135" s="222"/>
      <c r="J135" s="222"/>
      <c r="K135" s="222"/>
      <c r="L135" s="457"/>
      <c r="M135" s="219" t="e">
        <f>RANK(K135, K$147:$K$176)</f>
        <v>#DIV/0!</v>
      </c>
      <c r="N135" s="475"/>
      <c r="O135" s="475"/>
      <c r="P135" s="351"/>
      <c r="Q135" s="351"/>
      <c r="R135" s="351"/>
      <c r="S135" s="351" t="e">
        <f t="shared" si="41"/>
        <v>#N/A</v>
      </c>
      <c r="T135" s="485"/>
      <c r="U135" s="351"/>
      <c r="V135" s="351"/>
      <c r="W135" s="351"/>
      <c r="X135" s="351" t="e">
        <f t="shared" si="42"/>
        <v>#N/A</v>
      </c>
      <c r="Y135" s="485"/>
      <c r="Z135" s="351"/>
      <c r="AA135" s="351"/>
      <c r="AB135" s="351"/>
      <c r="AC135" s="351" t="e">
        <f t="shared" si="43"/>
        <v>#N/A</v>
      </c>
      <c r="AD135" s="485"/>
      <c r="AE135" s="351"/>
      <c r="AF135" s="351"/>
      <c r="AG135" s="351"/>
      <c r="AH135" s="351" t="e">
        <f t="shared" si="44"/>
        <v>#N/A</v>
      </c>
      <c r="AI135" s="485"/>
      <c r="AJ135" s="351"/>
      <c r="AK135" s="351"/>
      <c r="AL135" s="351"/>
      <c r="AM135" s="351" t="e">
        <f t="shared" si="45"/>
        <v>#N/A</v>
      </c>
      <c r="AN135" s="485"/>
      <c r="AO135" s="351"/>
      <c r="AP135" s="351"/>
      <c r="AQ135" s="351"/>
      <c r="AR135" s="351" t="e">
        <f t="shared" si="46"/>
        <v>#N/A</v>
      </c>
      <c r="AS135" s="485"/>
      <c r="AT135" s="351"/>
      <c r="AU135" s="351"/>
      <c r="AV135" s="351"/>
      <c r="AW135" s="351" t="e">
        <f t="shared" si="47"/>
        <v>#N/A</v>
      </c>
      <c r="AX135" s="485"/>
    </row>
    <row r="136" spans="2:50">
      <c r="B136" s="483"/>
      <c r="C136" s="351">
        <v>25</v>
      </c>
      <c r="D136" s="351"/>
      <c r="E136" s="351"/>
      <c r="F136" s="351"/>
      <c r="G136" s="351"/>
      <c r="H136" s="485"/>
      <c r="I136" s="222"/>
      <c r="J136" s="222"/>
      <c r="K136" s="222"/>
      <c r="L136" s="457"/>
      <c r="M136" s="219" t="e">
        <f>RANK(K136, K$147:$K$176)</f>
        <v>#DIV/0!</v>
      </c>
      <c r="N136" s="475"/>
      <c r="O136" s="475"/>
      <c r="P136" s="351"/>
      <c r="Q136" s="351"/>
      <c r="R136" s="351"/>
      <c r="S136" s="351" t="e">
        <f t="shared" si="41"/>
        <v>#N/A</v>
      </c>
      <c r="T136" s="485"/>
      <c r="U136" s="351"/>
      <c r="V136" s="351"/>
      <c r="W136" s="351"/>
      <c r="X136" s="351" t="e">
        <f t="shared" si="42"/>
        <v>#N/A</v>
      </c>
      <c r="Y136" s="485"/>
      <c r="Z136" s="351"/>
      <c r="AA136" s="351"/>
      <c r="AB136" s="351"/>
      <c r="AC136" s="351" t="e">
        <f t="shared" si="43"/>
        <v>#N/A</v>
      </c>
      <c r="AD136" s="485"/>
      <c r="AE136" s="351"/>
      <c r="AF136" s="351"/>
      <c r="AG136" s="351"/>
      <c r="AH136" s="351" t="e">
        <f t="shared" si="44"/>
        <v>#N/A</v>
      </c>
      <c r="AI136" s="485"/>
      <c r="AJ136" s="351"/>
      <c r="AK136" s="351"/>
      <c r="AL136" s="351"/>
      <c r="AM136" s="351" t="e">
        <f t="shared" si="45"/>
        <v>#N/A</v>
      </c>
      <c r="AN136" s="485"/>
      <c r="AO136" s="351"/>
      <c r="AP136" s="351"/>
      <c r="AQ136" s="351"/>
      <c r="AR136" s="351" t="e">
        <f t="shared" si="46"/>
        <v>#N/A</v>
      </c>
      <c r="AS136" s="485"/>
      <c r="AT136" s="351"/>
      <c r="AU136" s="351"/>
      <c r="AV136" s="351"/>
      <c r="AW136" s="351" t="e">
        <f t="shared" si="47"/>
        <v>#N/A</v>
      </c>
      <c r="AX136" s="485"/>
    </row>
    <row r="137" spans="2:50">
      <c r="B137" s="483"/>
      <c r="C137" s="351">
        <v>26</v>
      </c>
      <c r="D137" s="351"/>
      <c r="E137" s="351"/>
      <c r="F137" s="351"/>
      <c r="G137" s="351"/>
      <c r="H137" s="485"/>
      <c r="I137" s="222"/>
      <c r="J137" s="222"/>
      <c r="K137" s="222"/>
      <c r="L137" s="457"/>
      <c r="M137" s="219" t="e">
        <f>RANK(K137, K$147:$K$176)</f>
        <v>#DIV/0!</v>
      </c>
      <c r="N137" s="475"/>
      <c r="O137" s="475"/>
      <c r="P137" s="351"/>
      <c r="Q137" s="351"/>
      <c r="R137" s="351"/>
      <c r="S137" s="351" t="e">
        <f t="shared" si="41"/>
        <v>#N/A</v>
      </c>
      <c r="T137" s="485"/>
      <c r="U137" s="351"/>
      <c r="V137" s="351"/>
      <c r="W137" s="351"/>
      <c r="X137" s="351" t="e">
        <f t="shared" si="42"/>
        <v>#N/A</v>
      </c>
      <c r="Y137" s="485"/>
      <c r="Z137" s="351"/>
      <c r="AA137" s="351"/>
      <c r="AB137" s="351"/>
      <c r="AC137" s="351" t="e">
        <f t="shared" si="43"/>
        <v>#N/A</v>
      </c>
      <c r="AD137" s="485"/>
      <c r="AE137" s="351"/>
      <c r="AF137" s="351"/>
      <c r="AG137" s="351"/>
      <c r="AH137" s="351" t="e">
        <f t="shared" si="44"/>
        <v>#N/A</v>
      </c>
      <c r="AI137" s="485"/>
      <c r="AJ137" s="351"/>
      <c r="AK137" s="351"/>
      <c r="AL137" s="351"/>
      <c r="AM137" s="351" t="e">
        <f t="shared" si="45"/>
        <v>#N/A</v>
      </c>
      <c r="AN137" s="485"/>
      <c r="AO137" s="351"/>
      <c r="AP137" s="351"/>
      <c r="AQ137" s="351"/>
      <c r="AR137" s="351" t="e">
        <f t="shared" si="46"/>
        <v>#N/A</v>
      </c>
      <c r="AS137" s="485"/>
      <c r="AT137" s="351"/>
      <c r="AU137" s="351"/>
      <c r="AV137" s="351"/>
      <c r="AW137" s="351" t="e">
        <f t="shared" si="47"/>
        <v>#N/A</v>
      </c>
      <c r="AX137" s="485"/>
    </row>
    <row r="138" spans="2:50">
      <c r="B138" s="483"/>
      <c r="C138" s="351">
        <v>27</v>
      </c>
      <c r="D138" s="351"/>
      <c r="E138" s="351"/>
      <c r="F138" s="351"/>
      <c r="G138" s="351"/>
      <c r="H138" s="485"/>
      <c r="I138" s="222"/>
      <c r="J138" s="222"/>
      <c r="K138" s="222"/>
      <c r="L138" s="457"/>
      <c r="M138" s="219" t="e">
        <f>RANK(K138, K$147:$K$176)</f>
        <v>#DIV/0!</v>
      </c>
      <c r="N138" s="475"/>
      <c r="O138" s="475"/>
      <c r="P138" s="351"/>
      <c r="Q138" s="351"/>
      <c r="R138" s="351"/>
      <c r="S138" s="351" t="e">
        <f t="shared" si="41"/>
        <v>#N/A</v>
      </c>
      <c r="T138" s="485"/>
      <c r="U138" s="351"/>
      <c r="V138" s="351"/>
      <c r="W138" s="351"/>
      <c r="X138" s="351" t="e">
        <f t="shared" si="42"/>
        <v>#N/A</v>
      </c>
      <c r="Y138" s="485"/>
      <c r="Z138" s="351"/>
      <c r="AA138" s="351"/>
      <c r="AB138" s="351"/>
      <c r="AC138" s="351" t="e">
        <f t="shared" si="43"/>
        <v>#N/A</v>
      </c>
      <c r="AD138" s="485"/>
      <c r="AE138" s="351"/>
      <c r="AF138" s="351"/>
      <c r="AG138" s="351"/>
      <c r="AH138" s="351" t="e">
        <f t="shared" si="44"/>
        <v>#N/A</v>
      </c>
      <c r="AI138" s="485"/>
      <c r="AJ138" s="351"/>
      <c r="AK138" s="351"/>
      <c r="AL138" s="351"/>
      <c r="AM138" s="351" t="e">
        <f t="shared" si="45"/>
        <v>#N/A</v>
      </c>
      <c r="AN138" s="485"/>
      <c r="AO138" s="351"/>
      <c r="AP138" s="351"/>
      <c r="AQ138" s="351"/>
      <c r="AR138" s="351" t="e">
        <f t="shared" si="46"/>
        <v>#N/A</v>
      </c>
      <c r="AS138" s="485"/>
      <c r="AT138" s="351"/>
      <c r="AU138" s="351"/>
      <c r="AV138" s="351"/>
      <c r="AW138" s="351" t="e">
        <f t="shared" si="47"/>
        <v>#N/A</v>
      </c>
      <c r="AX138" s="485"/>
    </row>
    <row r="139" spans="2:50">
      <c r="B139" s="483"/>
      <c r="C139" s="351">
        <v>28</v>
      </c>
      <c r="D139" s="351"/>
      <c r="E139" s="351"/>
      <c r="F139" s="351"/>
      <c r="G139" s="351"/>
      <c r="H139" s="485"/>
      <c r="I139" s="222"/>
      <c r="J139" s="222"/>
      <c r="K139" s="222"/>
      <c r="L139" s="457"/>
      <c r="M139" s="219" t="e">
        <f>RANK(K139, K$147:$K$176)</f>
        <v>#DIV/0!</v>
      </c>
      <c r="N139" s="475"/>
      <c r="O139" s="475"/>
      <c r="P139" s="351"/>
      <c r="Q139" s="351"/>
      <c r="R139" s="351"/>
      <c r="S139" s="351" t="e">
        <f t="shared" si="41"/>
        <v>#N/A</v>
      </c>
      <c r="T139" s="485"/>
      <c r="U139" s="351"/>
      <c r="V139" s="351"/>
      <c r="W139" s="351"/>
      <c r="X139" s="351" t="e">
        <f t="shared" si="42"/>
        <v>#N/A</v>
      </c>
      <c r="Y139" s="485"/>
      <c r="Z139" s="351"/>
      <c r="AA139" s="351"/>
      <c r="AB139" s="351"/>
      <c r="AC139" s="351" t="e">
        <f t="shared" si="43"/>
        <v>#N/A</v>
      </c>
      <c r="AD139" s="485"/>
      <c r="AE139" s="351"/>
      <c r="AF139" s="351"/>
      <c r="AG139" s="351"/>
      <c r="AH139" s="351" t="e">
        <f t="shared" si="44"/>
        <v>#N/A</v>
      </c>
      <c r="AI139" s="485"/>
      <c r="AJ139" s="351"/>
      <c r="AK139" s="351"/>
      <c r="AL139" s="351"/>
      <c r="AM139" s="351" t="e">
        <f t="shared" si="45"/>
        <v>#N/A</v>
      </c>
      <c r="AN139" s="485"/>
      <c r="AO139" s="351"/>
      <c r="AP139" s="351"/>
      <c r="AQ139" s="351"/>
      <c r="AR139" s="351" t="e">
        <f t="shared" si="46"/>
        <v>#N/A</v>
      </c>
      <c r="AS139" s="485"/>
      <c r="AT139" s="351"/>
      <c r="AU139" s="351"/>
      <c r="AV139" s="351"/>
      <c r="AW139" s="351" t="e">
        <f t="shared" si="47"/>
        <v>#N/A</v>
      </c>
      <c r="AX139" s="485"/>
    </row>
    <row r="140" spans="2:50">
      <c r="B140" s="483"/>
      <c r="C140" s="351">
        <v>29</v>
      </c>
      <c r="D140" s="351"/>
      <c r="E140" s="351"/>
      <c r="F140" s="351"/>
      <c r="G140" s="351"/>
      <c r="H140" s="485"/>
      <c r="I140" s="222"/>
      <c r="J140" s="222"/>
      <c r="K140" s="222"/>
      <c r="L140" s="457"/>
      <c r="M140" s="219" t="e">
        <f>RANK(K140, K$147:$K$176)</f>
        <v>#DIV/0!</v>
      </c>
      <c r="N140" s="475"/>
      <c r="O140" s="475"/>
      <c r="P140" s="351"/>
      <c r="Q140" s="351"/>
      <c r="R140" s="351"/>
      <c r="S140" s="351" t="e">
        <f t="shared" si="41"/>
        <v>#N/A</v>
      </c>
      <c r="T140" s="485"/>
      <c r="U140" s="351"/>
      <c r="V140" s="351"/>
      <c r="W140" s="351"/>
      <c r="X140" s="351" t="e">
        <f t="shared" si="42"/>
        <v>#N/A</v>
      </c>
      <c r="Y140" s="485"/>
      <c r="Z140" s="351"/>
      <c r="AA140" s="351"/>
      <c r="AB140" s="351"/>
      <c r="AC140" s="351" t="e">
        <f t="shared" si="43"/>
        <v>#N/A</v>
      </c>
      <c r="AD140" s="485"/>
      <c r="AE140" s="351"/>
      <c r="AF140" s="351"/>
      <c r="AG140" s="351"/>
      <c r="AH140" s="351" t="e">
        <f t="shared" si="44"/>
        <v>#N/A</v>
      </c>
      <c r="AI140" s="485"/>
      <c r="AJ140" s="351"/>
      <c r="AK140" s="351"/>
      <c r="AL140" s="351"/>
      <c r="AM140" s="351" t="e">
        <f t="shared" si="45"/>
        <v>#N/A</v>
      </c>
      <c r="AN140" s="485"/>
      <c r="AO140" s="351"/>
      <c r="AP140" s="351"/>
      <c r="AQ140" s="351"/>
      <c r="AR140" s="351" t="e">
        <f t="shared" si="46"/>
        <v>#N/A</v>
      </c>
      <c r="AS140" s="485"/>
      <c r="AT140" s="351"/>
      <c r="AU140" s="351"/>
      <c r="AV140" s="351"/>
      <c r="AW140" s="351" t="e">
        <f t="shared" si="47"/>
        <v>#N/A</v>
      </c>
      <c r="AX140" s="485"/>
    </row>
    <row r="141" spans="2:50">
      <c r="B141" s="483"/>
      <c r="C141" s="351">
        <v>30</v>
      </c>
      <c r="D141" s="351"/>
      <c r="E141" s="351"/>
      <c r="F141" s="351"/>
      <c r="G141" s="351"/>
      <c r="H141" s="486"/>
      <c r="I141" s="222"/>
      <c r="J141" s="222"/>
      <c r="K141" s="222"/>
      <c r="L141" s="458"/>
      <c r="M141" s="219" t="e">
        <f>RANK(K141, K$147:$K$176)</f>
        <v>#DIV/0!</v>
      </c>
      <c r="N141" s="475"/>
      <c r="O141" s="475"/>
      <c r="P141" s="351"/>
      <c r="Q141" s="351"/>
      <c r="R141" s="351"/>
      <c r="S141" s="351" t="e">
        <f t="shared" si="41"/>
        <v>#N/A</v>
      </c>
      <c r="T141" s="486"/>
      <c r="U141" s="351"/>
      <c r="V141" s="351"/>
      <c r="W141" s="351"/>
      <c r="X141" s="351" t="e">
        <f t="shared" si="42"/>
        <v>#N/A</v>
      </c>
      <c r="Y141" s="486"/>
      <c r="Z141" s="351"/>
      <c r="AA141" s="351"/>
      <c r="AB141" s="351"/>
      <c r="AC141" s="351" t="e">
        <f t="shared" si="43"/>
        <v>#N/A</v>
      </c>
      <c r="AD141" s="486"/>
      <c r="AE141" s="351"/>
      <c r="AF141" s="351"/>
      <c r="AG141" s="351"/>
      <c r="AH141" s="351" t="e">
        <f t="shared" si="44"/>
        <v>#N/A</v>
      </c>
      <c r="AI141" s="486"/>
      <c r="AJ141" s="351"/>
      <c r="AK141" s="351"/>
      <c r="AL141" s="351"/>
      <c r="AM141" s="351" t="e">
        <f t="shared" si="45"/>
        <v>#N/A</v>
      </c>
      <c r="AN141" s="486"/>
      <c r="AO141" s="351"/>
      <c r="AP141" s="351"/>
      <c r="AQ141" s="351"/>
      <c r="AR141" s="351" t="e">
        <f t="shared" si="46"/>
        <v>#N/A</v>
      </c>
      <c r="AS141" s="486"/>
      <c r="AT141" s="351"/>
      <c r="AU141" s="351"/>
      <c r="AV141" s="351"/>
      <c r="AW141" s="351" t="e">
        <f t="shared" si="47"/>
        <v>#N/A</v>
      </c>
      <c r="AX141" s="486"/>
    </row>
    <row r="142" spans="2:50" ht="15.75">
      <c r="B142" s="487" t="s">
        <v>172</v>
      </c>
      <c r="C142" s="488"/>
      <c r="D142" s="488"/>
      <c r="E142" s="488"/>
      <c r="F142" s="488"/>
      <c r="G142" s="488"/>
      <c r="H142" s="489"/>
      <c r="I142" s="228"/>
      <c r="J142" s="228"/>
      <c r="K142" s="228"/>
      <c r="L142" s="228"/>
      <c r="M142" s="227"/>
      <c r="N142" s="476" t="s">
        <v>164</v>
      </c>
      <c r="O142" s="476" t="s">
        <v>163</v>
      </c>
      <c r="P142" s="482">
        <f>P107+7</f>
        <v>45923</v>
      </c>
      <c r="Q142" s="483"/>
      <c r="R142" s="483"/>
      <c r="S142" s="483"/>
      <c r="T142" s="483"/>
      <c r="U142" s="479">
        <f>P142+1</f>
        <v>45924</v>
      </c>
      <c r="V142" s="480"/>
      <c r="W142" s="480"/>
      <c r="X142" s="480"/>
      <c r="Y142" s="481"/>
      <c r="Z142" s="479">
        <f>U142+1</f>
        <v>45925</v>
      </c>
      <c r="AA142" s="480"/>
      <c r="AB142" s="480"/>
      <c r="AC142" s="480"/>
      <c r="AD142" s="481"/>
      <c r="AE142" s="479">
        <f t="shared" ref="AE142" si="48">Z142+1</f>
        <v>45926</v>
      </c>
      <c r="AF142" s="480"/>
      <c r="AG142" s="480"/>
      <c r="AH142" s="480"/>
      <c r="AI142" s="481"/>
      <c r="AJ142" s="479">
        <f t="shared" ref="AJ142" si="49">AE142+1</f>
        <v>45927</v>
      </c>
      <c r="AK142" s="480"/>
      <c r="AL142" s="480"/>
      <c r="AM142" s="480"/>
      <c r="AN142" s="481"/>
      <c r="AO142" s="479">
        <f t="shared" ref="AO142" si="50">AJ142+1</f>
        <v>45928</v>
      </c>
      <c r="AP142" s="480"/>
      <c r="AQ142" s="480"/>
      <c r="AR142" s="480"/>
      <c r="AS142" s="481"/>
      <c r="AT142" s="479">
        <f t="shared" ref="AT142" si="51">AO142+1</f>
        <v>45929</v>
      </c>
      <c r="AU142" s="480"/>
      <c r="AV142" s="480"/>
      <c r="AW142" s="480"/>
      <c r="AX142" s="481"/>
    </row>
    <row r="143" spans="2:50" ht="15.75">
      <c r="B143" s="490"/>
      <c r="C143" s="490"/>
      <c r="D143" s="490"/>
      <c r="E143" s="490"/>
      <c r="F143" s="490"/>
      <c r="G143" s="490"/>
      <c r="H143" s="490"/>
      <c r="I143" s="225"/>
      <c r="J143" s="225"/>
      <c r="K143" s="225"/>
      <c r="L143" s="225"/>
      <c r="M143" s="226"/>
      <c r="N143" s="478"/>
      <c r="O143" s="478"/>
      <c r="P143" s="482" t="s">
        <v>393</v>
      </c>
      <c r="Q143" s="483"/>
      <c r="R143" s="483"/>
      <c r="S143" s="483"/>
      <c r="T143" s="483"/>
      <c r="U143" s="482" t="s">
        <v>394</v>
      </c>
      <c r="V143" s="483"/>
      <c r="W143" s="483"/>
      <c r="X143" s="483"/>
      <c r="Y143" s="483"/>
      <c r="Z143" s="482" t="s">
        <v>395</v>
      </c>
      <c r="AA143" s="483"/>
      <c r="AB143" s="483"/>
      <c r="AC143" s="483"/>
      <c r="AD143" s="483"/>
      <c r="AE143" s="482" t="s">
        <v>396</v>
      </c>
      <c r="AF143" s="483"/>
      <c r="AG143" s="483"/>
      <c r="AH143" s="483"/>
      <c r="AI143" s="483"/>
      <c r="AJ143" s="482" t="s">
        <v>397</v>
      </c>
      <c r="AK143" s="483"/>
      <c r="AL143" s="483"/>
      <c r="AM143" s="483"/>
      <c r="AN143" s="483"/>
      <c r="AO143" s="482" t="s">
        <v>398</v>
      </c>
      <c r="AP143" s="483"/>
      <c r="AQ143" s="483"/>
      <c r="AR143" s="483"/>
      <c r="AS143" s="483"/>
      <c r="AT143" s="482" t="s">
        <v>399</v>
      </c>
      <c r="AU143" s="483"/>
      <c r="AV143" s="483"/>
      <c r="AW143" s="483"/>
      <c r="AX143" s="483"/>
    </row>
    <row r="144" spans="2:50">
      <c r="B144" s="475" t="s">
        <v>707</v>
      </c>
      <c r="C144" s="475" t="s">
        <v>708</v>
      </c>
      <c r="D144" s="475"/>
      <c r="E144" s="475" t="s">
        <v>709</v>
      </c>
      <c r="F144" s="475"/>
      <c r="G144" s="475"/>
      <c r="H144" s="491" t="s">
        <v>710</v>
      </c>
      <c r="I144" s="459" t="s">
        <v>711</v>
      </c>
      <c r="J144" s="459"/>
      <c r="K144" s="459"/>
      <c r="L144" s="460" t="s">
        <v>710</v>
      </c>
      <c r="M144" s="466" t="s">
        <v>712</v>
      </c>
      <c r="N144" s="475"/>
      <c r="O144" s="475" t="s">
        <v>713</v>
      </c>
      <c r="P144" s="472" t="s">
        <v>714</v>
      </c>
      <c r="Q144" s="473"/>
      <c r="R144" s="473"/>
      <c r="S144" s="474"/>
      <c r="T144" s="475" t="s">
        <v>710</v>
      </c>
      <c r="U144" s="472" t="s">
        <v>714</v>
      </c>
      <c r="V144" s="473"/>
      <c r="W144" s="473"/>
      <c r="X144" s="474"/>
      <c r="Y144" s="475" t="s">
        <v>710</v>
      </c>
      <c r="Z144" s="472" t="s">
        <v>714</v>
      </c>
      <c r="AA144" s="473"/>
      <c r="AB144" s="473"/>
      <c r="AC144" s="474"/>
      <c r="AD144" s="475" t="s">
        <v>710</v>
      </c>
      <c r="AE144" s="472" t="s">
        <v>714</v>
      </c>
      <c r="AF144" s="473"/>
      <c r="AG144" s="473"/>
      <c r="AH144" s="474"/>
      <c r="AI144" s="475" t="s">
        <v>710</v>
      </c>
      <c r="AJ144" s="472" t="s">
        <v>714</v>
      </c>
      <c r="AK144" s="473"/>
      <c r="AL144" s="473"/>
      <c r="AM144" s="474"/>
      <c r="AN144" s="475" t="s">
        <v>710</v>
      </c>
      <c r="AO144" s="472" t="s">
        <v>714</v>
      </c>
      <c r="AP144" s="473"/>
      <c r="AQ144" s="473"/>
      <c r="AR144" s="474"/>
      <c r="AS144" s="475" t="s">
        <v>710</v>
      </c>
      <c r="AT144" s="472" t="s">
        <v>714</v>
      </c>
      <c r="AU144" s="473"/>
      <c r="AV144" s="473"/>
      <c r="AW144" s="474"/>
      <c r="AX144" s="475" t="s">
        <v>710</v>
      </c>
    </row>
    <row r="145" spans="2:50">
      <c r="B145" s="475"/>
      <c r="C145" s="475"/>
      <c r="D145" s="475"/>
      <c r="E145" s="475" t="s">
        <v>715</v>
      </c>
      <c r="F145" s="475"/>
      <c r="G145" s="475"/>
      <c r="H145" s="492"/>
      <c r="I145" s="459" t="s">
        <v>715</v>
      </c>
      <c r="J145" s="459"/>
      <c r="K145" s="459"/>
      <c r="L145" s="461"/>
      <c r="M145" s="467"/>
      <c r="N145" s="475"/>
      <c r="O145" s="475"/>
      <c r="P145" s="472" t="s">
        <v>716</v>
      </c>
      <c r="Q145" s="473"/>
      <c r="R145" s="473"/>
      <c r="S145" s="474"/>
      <c r="T145" s="475"/>
      <c r="U145" s="472" t="s">
        <v>716</v>
      </c>
      <c r="V145" s="473"/>
      <c r="W145" s="473"/>
      <c r="X145" s="474"/>
      <c r="Y145" s="475"/>
      <c r="Z145" s="472" t="s">
        <v>716</v>
      </c>
      <c r="AA145" s="473"/>
      <c r="AB145" s="473"/>
      <c r="AC145" s="474"/>
      <c r="AD145" s="475"/>
      <c r="AE145" s="472" t="s">
        <v>716</v>
      </c>
      <c r="AF145" s="473"/>
      <c r="AG145" s="473"/>
      <c r="AH145" s="474"/>
      <c r="AI145" s="475"/>
      <c r="AJ145" s="472" t="s">
        <v>716</v>
      </c>
      <c r="AK145" s="473"/>
      <c r="AL145" s="473"/>
      <c r="AM145" s="474"/>
      <c r="AN145" s="475"/>
      <c r="AO145" s="472" t="s">
        <v>716</v>
      </c>
      <c r="AP145" s="473"/>
      <c r="AQ145" s="473"/>
      <c r="AR145" s="474"/>
      <c r="AS145" s="475"/>
      <c r="AT145" s="472" t="s">
        <v>716</v>
      </c>
      <c r="AU145" s="473"/>
      <c r="AV145" s="473"/>
      <c r="AW145" s="474"/>
      <c r="AX145" s="475"/>
    </row>
    <row r="146" spans="2:50">
      <c r="B146" s="475"/>
      <c r="C146" s="475"/>
      <c r="D146" s="475"/>
      <c r="E146" s="335" t="s">
        <v>717</v>
      </c>
      <c r="F146" s="335" t="s">
        <v>718</v>
      </c>
      <c r="G146" s="335" t="s">
        <v>719</v>
      </c>
      <c r="H146" s="493"/>
      <c r="I146" s="337" t="s">
        <v>717</v>
      </c>
      <c r="J146" s="337" t="s">
        <v>718</v>
      </c>
      <c r="K146" s="337" t="s">
        <v>719</v>
      </c>
      <c r="L146" s="462"/>
      <c r="M146" s="468"/>
      <c r="N146" s="475"/>
      <c r="O146" s="475"/>
      <c r="P146" s="335" t="s">
        <v>717</v>
      </c>
      <c r="Q146" s="335" t="s">
        <v>718</v>
      </c>
      <c r="R146" s="335" t="s">
        <v>719</v>
      </c>
      <c r="S146" s="335" t="s">
        <v>712</v>
      </c>
      <c r="T146" s="475"/>
      <c r="U146" s="335" t="s">
        <v>717</v>
      </c>
      <c r="V146" s="335" t="s">
        <v>718</v>
      </c>
      <c r="W146" s="335" t="s">
        <v>719</v>
      </c>
      <c r="X146" s="335" t="s">
        <v>712</v>
      </c>
      <c r="Y146" s="475"/>
      <c r="Z146" s="335" t="s">
        <v>717</v>
      </c>
      <c r="AA146" s="335" t="s">
        <v>718</v>
      </c>
      <c r="AB146" s="335" t="s">
        <v>719</v>
      </c>
      <c r="AC146" s="335" t="s">
        <v>712</v>
      </c>
      <c r="AD146" s="475"/>
      <c r="AE146" s="335" t="s">
        <v>717</v>
      </c>
      <c r="AF146" s="335" t="s">
        <v>718</v>
      </c>
      <c r="AG146" s="335" t="s">
        <v>719</v>
      </c>
      <c r="AH146" s="335" t="s">
        <v>712</v>
      </c>
      <c r="AI146" s="475"/>
      <c r="AJ146" s="335" t="s">
        <v>717</v>
      </c>
      <c r="AK146" s="335" t="s">
        <v>718</v>
      </c>
      <c r="AL146" s="335" t="s">
        <v>719</v>
      </c>
      <c r="AM146" s="335" t="s">
        <v>712</v>
      </c>
      <c r="AN146" s="475"/>
      <c r="AO146" s="335" t="s">
        <v>717</v>
      </c>
      <c r="AP146" s="335" t="s">
        <v>718</v>
      </c>
      <c r="AQ146" s="335" t="s">
        <v>719</v>
      </c>
      <c r="AR146" s="335" t="s">
        <v>712</v>
      </c>
      <c r="AS146" s="475"/>
      <c r="AT146" s="335" t="s">
        <v>717</v>
      </c>
      <c r="AU146" s="335" t="s">
        <v>718</v>
      </c>
      <c r="AV146" s="335" t="s">
        <v>719</v>
      </c>
      <c r="AW146" s="335" t="s">
        <v>712</v>
      </c>
      <c r="AX146" s="475"/>
    </row>
    <row r="147" spans="2:50">
      <c r="B147" s="483" t="s">
        <v>158</v>
      </c>
      <c r="C147" s="334">
        <v>1</v>
      </c>
      <c r="D147" s="334"/>
      <c r="E147" s="334"/>
      <c r="F147" s="334"/>
      <c r="G147" s="334"/>
      <c r="H147" s="484" t="e">
        <f>AVERAGE(G147:G176)</f>
        <v>#DIV/0!</v>
      </c>
      <c r="I147" s="219" t="e">
        <f>AVERAGE(P147,U147,Z147,AE147,AJ147,AO147,AT147)</f>
        <v>#DIV/0!</v>
      </c>
      <c r="J147" s="219" t="e">
        <f>AVERAGE(Q147,V147,AA147,AF147,AK147,AP147,AU147)</f>
        <v>#DIV/0!</v>
      </c>
      <c r="K147" s="220" t="e">
        <f>AVERAGE(R147,W147,AB147,AG147,AL147,AQ147,AV147)</f>
        <v>#DIV/0!</v>
      </c>
      <c r="L147" s="456" t="str">
        <f>IFERROR(AVERAGE(K147:K176),"-")</f>
        <v>-</v>
      </c>
      <c r="M147" s="219" t="e">
        <f>RANK(K147, K$147:$K$176)</f>
        <v>#DIV/0!</v>
      </c>
      <c r="N147" s="475"/>
      <c r="O147" s="475"/>
      <c r="P147" s="334"/>
      <c r="Q147" s="187"/>
      <c r="R147" s="336"/>
      <c r="S147" s="334" t="e">
        <f>RANK(R147, R$147:R$176)</f>
        <v>#N/A</v>
      </c>
      <c r="T147" s="484" t="e">
        <f>AVERAGE(R147:R176)</f>
        <v>#DIV/0!</v>
      </c>
      <c r="U147" s="334"/>
      <c r="V147" s="187"/>
      <c r="W147" s="336"/>
      <c r="X147" s="334" t="e">
        <f>RANK(W147, W$147:W$176)</f>
        <v>#N/A</v>
      </c>
      <c r="Y147" s="484" t="e">
        <f>AVERAGE(W147:W176)</f>
        <v>#DIV/0!</v>
      </c>
      <c r="Z147" s="334"/>
      <c r="AA147" s="187"/>
      <c r="AB147" s="336"/>
      <c r="AC147" s="334" t="e">
        <f>RANK(AB147, AB$147:AB$176)</f>
        <v>#N/A</v>
      </c>
      <c r="AD147" s="484" t="e">
        <f>AVERAGE(AB147:AB176)</f>
        <v>#DIV/0!</v>
      </c>
      <c r="AE147" s="334"/>
      <c r="AF147" s="187"/>
      <c r="AG147" s="336"/>
      <c r="AH147" s="334" t="e">
        <f>RANK(AG147, AG$147:AG$176)</f>
        <v>#N/A</v>
      </c>
      <c r="AI147" s="484" t="e">
        <f>AVERAGE(AG147:AG176)</f>
        <v>#DIV/0!</v>
      </c>
      <c r="AJ147" s="334"/>
      <c r="AK147" s="187"/>
      <c r="AL147" s="336"/>
      <c r="AM147" s="334" t="e">
        <f>RANK(AL147, AL$147:AL$176)</f>
        <v>#N/A</v>
      </c>
      <c r="AN147" s="484" t="e">
        <f>AVERAGE(AL147:AL176)</f>
        <v>#DIV/0!</v>
      </c>
      <c r="AO147" s="334"/>
      <c r="AP147" s="187"/>
      <c r="AQ147" s="187"/>
      <c r="AR147" s="334" t="e">
        <f>RANK(AQ147, AQ$147:AQ$176)</f>
        <v>#N/A</v>
      </c>
      <c r="AS147" s="484" t="e">
        <f>AVERAGE(AQ147:AQ176)</f>
        <v>#DIV/0!</v>
      </c>
      <c r="AT147" s="334"/>
      <c r="AU147" s="187"/>
      <c r="AV147" s="187"/>
      <c r="AW147" s="334" t="e">
        <f>RANK(AV147, AV$147:AV$176)</f>
        <v>#N/A</v>
      </c>
      <c r="AX147" s="484" t="e">
        <f>AVERAGE(AV147:AV176)</f>
        <v>#DIV/0!</v>
      </c>
    </row>
    <row r="148" spans="2:50">
      <c r="B148" s="483"/>
      <c r="C148" s="334">
        <v>2</v>
      </c>
      <c r="D148" s="334"/>
      <c r="E148" s="334"/>
      <c r="F148" s="334"/>
      <c r="G148" s="334"/>
      <c r="H148" s="485"/>
      <c r="I148" s="219" t="e">
        <f t="shared" ref="I148:I156" si="52">AVERAGE(P148,U148,Z148,AE148,AJ148,AO148,AT148)</f>
        <v>#DIV/0!</v>
      </c>
      <c r="J148" s="219" t="e">
        <f t="shared" ref="J148:J156" si="53">AVERAGE(Q148,V148,AA148,AF148,AK148,AP148,AU148)</f>
        <v>#DIV/0!</v>
      </c>
      <c r="K148" s="220" t="e">
        <f t="shared" ref="K148:K156" si="54">AVERAGE(R148,W148,AB148,AG148,AL148,AQ148,AV148)</f>
        <v>#DIV/0!</v>
      </c>
      <c r="L148" s="457"/>
      <c r="M148" s="219" t="e">
        <f>RANK(K148, K$147:$K$176)</f>
        <v>#DIV/0!</v>
      </c>
      <c r="N148" s="475"/>
      <c r="O148" s="475"/>
      <c r="P148" s="334"/>
      <c r="Q148" s="187"/>
      <c r="R148" s="336"/>
      <c r="S148" s="334" t="e">
        <f t="shared" ref="S148:S176" si="55">RANK(R148, R$147:R$176)</f>
        <v>#N/A</v>
      </c>
      <c r="T148" s="485"/>
      <c r="U148" s="334"/>
      <c r="V148" s="187"/>
      <c r="W148" s="336"/>
      <c r="X148" s="334" t="e">
        <f t="shared" ref="X148:X176" si="56">RANK(W148, W$147:W$176)</f>
        <v>#N/A</v>
      </c>
      <c r="Y148" s="485"/>
      <c r="Z148" s="334"/>
      <c r="AA148" s="187"/>
      <c r="AB148" s="336"/>
      <c r="AC148" s="334" t="e">
        <f t="shared" ref="AC148:AC176" si="57">RANK(AB148, AB$147:AB$176)</f>
        <v>#N/A</v>
      </c>
      <c r="AD148" s="485"/>
      <c r="AE148" s="334"/>
      <c r="AF148" s="187"/>
      <c r="AG148" s="336"/>
      <c r="AH148" s="334" t="e">
        <f t="shared" ref="AH148:AH176" si="58">RANK(AG148, AG$147:AG$176)</f>
        <v>#N/A</v>
      </c>
      <c r="AI148" s="485"/>
      <c r="AJ148" s="334"/>
      <c r="AK148" s="187"/>
      <c r="AL148" s="336"/>
      <c r="AM148" s="334" t="e">
        <f t="shared" ref="AM148:AM176" si="59">RANK(AL148, AL$147:AL$176)</f>
        <v>#N/A</v>
      </c>
      <c r="AN148" s="485"/>
      <c r="AO148" s="334"/>
      <c r="AP148" s="187"/>
      <c r="AQ148" s="187"/>
      <c r="AR148" s="334" t="e">
        <f t="shared" ref="AR148:AR176" si="60">RANK(AQ148, AQ$147:AQ$176)</f>
        <v>#N/A</v>
      </c>
      <c r="AS148" s="485"/>
      <c r="AT148" s="334"/>
      <c r="AU148" s="187"/>
      <c r="AV148" s="187"/>
      <c r="AW148" s="334" t="e">
        <f t="shared" ref="AW148:AW176" si="61">RANK(AV148, AV$147:AV$176)</f>
        <v>#N/A</v>
      </c>
      <c r="AX148" s="485"/>
    </row>
    <row r="149" spans="2:50">
      <c r="B149" s="483"/>
      <c r="C149" s="334">
        <v>3</v>
      </c>
      <c r="D149" s="334"/>
      <c r="E149" s="334"/>
      <c r="F149" s="334"/>
      <c r="G149" s="334"/>
      <c r="H149" s="485"/>
      <c r="I149" s="219" t="e">
        <f t="shared" si="52"/>
        <v>#DIV/0!</v>
      </c>
      <c r="J149" s="219" t="e">
        <f t="shared" si="53"/>
        <v>#DIV/0!</v>
      </c>
      <c r="K149" s="220" t="e">
        <f t="shared" si="54"/>
        <v>#DIV/0!</v>
      </c>
      <c r="L149" s="457"/>
      <c r="M149" s="219" t="e">
        <f>RANK(K149, K$147:$K$176)</f>
        <v>#DIV/0!</v>
      </c>
      <c r="N149" s="475"/>
      <c r="O149" s="475"/>
      <c r="P149" s="334"/>
      <c r="Q149" s="187"/>
      <c r="R149" s="336"/>
      <c r="S149" s="334" t="e">
        <f t="shared" si="55"/>
        <v>#N/A</v>
      </c>
      <c r="T149" s="485"/>
      <c r="U149" s="334"/>
      <c r="V149" s="187"/>
      <c r="W149" s="336"/>
      <c r="X149" s="334" t="e">
        <f t="shared" si="56"/>
        <v>#N/A</v>
      </c>
      <c r="Y149" s="485"/>
      <c r="Z149" s="334"/>
      <c r="AA149" s="187"/>
      <c r="AB149" s="336"/>
      <c r="AC149" s="334" t="e">
        <f t="shared" si="57"/>
        <v>#N/A</v>
      </c>
      <c r="AD149" s="485"/>
      <c r="AE149" s="334"/>
      <c r="AF149" s="187"/>
      <c r="AG149" s="336"/>
      <c r="AH149" s="334" t="e">
        <f t="shared" si="58"/>
        <v>#N/A</v>
      </c>
      <c r="AI149" s="485"/>
      <c r="AJ149" s="334"/>
      <c r="AK149" s="187"/>
      <c r="AL149" s="336"/>
      <c r="AM149" s="334" t="e">
        <f t="shared" si="59"/>
        <v>#N/A</v>
      </c>
      <c r="AN149" s="485"/>
      <c r="AO149" s="334"/>
      <c r="AP149" s="187"/>
      <c r="AQ149" s="187"/>
      <c r="AR149" s="334" t="e">
        <f t="shared" si="60"/>
        <v>#N/A</v>
      </c>
      <c r="AS149" s="485"/>
      <c r="AT149" s="334"/>
      <c r="AU149" s="187"/>
      <c r="AV149" s="187"/>
      <c r="AW149" s="334" t="e">
        <f t="shared" si="61"/>
        <v>#N/A</v>
      </c>
      <c r="AX149" s="485"/>
    </row>
    <row r="150" spans="2:50">
      <c r="B150" s="483"/>
      <c r="C150" s="334">
        <v>4</v>
      </c>
      <c r="D150" s="334"/>
      <c r="E150" s="334"/>
      <c r="F150" s="334"/>
      <c r="G150" s="334"/>
      <c r="H150" s="485"/>
      <c r="I150" s="219" t="e">
        <f t="shared" si="52"/>
        <v>#DIV/0!</v>
      </c>
      <c r="J150" s="219" t="e">
        <f t="shared" si="53"/>
        <v>#DIV/0!</v>
      </c>
      <c r="K150" s="220" t="e">
        <f t="shared" si="54"/>
        <v>#DIV/0!</v>
      </c>
      <c r="L150" s="457"/>
      <c r="M150" s="219" t="e">
        <f>RANK(K150, K$147:$K$176)</f>
        <v>#DIV/0!</v>
      </c>
      <c r="N150" s="475"/>
      <c r="O150" s="475"/>
      <c r="P150" s="334"/>
      <c r="Q150" s="187"/>
      <c r="R150" s="336"/>
      <c r="S150" s="334" t="e">
        <f t="shared" si="55"/>
        <v>#N/A</v>
      </c>
      <c r="T150" s="485"/>
      <c r="U150" s="334"/>
      <c r="V150" s="187"/>
      <c r="W150" s="336"/>
      <c r="X150" s="334" t="e">
        <f t="shared" si="56"/>
        <v>#N/A</v>
      </c>
      <c r="Y150" s="485"/>
      <c r="Z150" s="334"/>
      <c r="AA150" s="187"/>
      <c r="AB150" s="336"/>
      <c r="AC150" s="334" t="e">
        <f t="shared" si="57"/>
        <v>#N/A</v>
      </c>
      <c r="AD150" s="485"/>
      <c r="AE150" s="334"/>
      <c r="AF150" s="187"/>
      <c r="AG150" s="336"/>
      <c r="AH150" s="334" t="e">
        <f t="shared" si="58"/>
        <v>#N/A</v>
      </c>
      <c r="AI150" s="485"/>
      <c r="AJ150" s="334"/>
      <c r="AK150" s="187"/>
      <c r="AL150" s="336"/>
      <c r="AM150" s="334" t="e">
        <f t="shared" si="59"/>
        <v>#N/A</v>
      </c>
      <c r="AN150" s="485"/>
      <c r="AO150" s="334"/>
      <c r="AP150" s="187"/>
      <c r="AQ150" s="187"/>
      <c r="AR150" s="334" t="e">
        <f t="shared" si="60"/>
        <v>#N/A</v>
      </c>
      <c r="AS150" s="485"/>
      <c r="AT150" s="334"/>
      <c r="AU150" s="187"/>
      <c r="AV150" s="187"/>
      <c r="AW150" s="334" t="e">
        <f t="shared" si="61"/>
        <v>#N/A</v>
      </c>
      <c r="AX150" s="485"/>
    </row>
    <row r="151" spans="2:50">
      <c r="B151" s="483"/>
      <c r="C151" s="334">
        <v>5</v>
      </c>
      <c r="D151" s="334"/>
      <c r="E151" s="334"/>
      <c r="F151" s="334"/>
      <c r="G151" s="334"/>
      <c r="H151" s="485"/>
      <c r="I151" s="219" t="e">
        <f t="shared" si="52"/>
        <v>#DIV/0!</v>
      </c>
      <c r="J151" s="219" t="e">
        <f t="shared" si="53"/>
        <v>#DIV/0!</v>
      </c>
      <c r="K151" s="220" t="e">
        <f t="shared" si="54"/>
        <v>#DIV/0!</v>
      </c>
      <c r="L151" s="457"/>
      <c r="M151" s="219" t="e">
        <f>RANK(K151, K$147:$K$176)</f>
        <v>#DIV/0!</v>
      </c>
      <c r="N151" s="475"/>
      <c r="O151" s="475"/>
      <c r="P151" s="334"/>
      <c r="Q151" s="187"/>
      <c r="R151" s="336"/>
      <c r="S151" s="334" t="e">
        <f t="shared" si="55"/>
        <v>#N/A</v>
      </c>
      <c r="T151" s="485"/>
      <c r="U151" s="334"/>
      <c r="V151" s="187"/>
      <c r="W151" s="336"/>
      <c r="X151" s="334" t="e">
        <f t="shared" si="56"/>
        <v>#N/A</v>
      </c>
      <c r="Y151" s="485"/>
      <c r="Z151" s="334"/>
      <c r="AA151" s="187"/>
      <c r="AB151" s="336"/>
      <c r="AC151" s="334" t="e">
        <f t="shared" si="57"/>
        <v>#N/A</v>
      </c>
      <c r="AD151" s="485"/>
      <c r="AE151" s="334"/>
      <c r="AF151" s="187"/>
      <c r="AG151" s="336"/>
      <c r="AH151" s="334" t="e">
        <f t="shared" si="58"/>
        <v>#N/A</v>
      </c>
      <c r="AI151" s="485"/>
      <c r="AJ151" s="334"/>
      <c r="AK151" s="187"/>
      <c r="AL151" s="336"/>
      <c r="AM151" s="334" t="e">
        <f t="shared" si="59"/>
        <v>#N/A</v>
      </c>
      <c r="AN151" s="485"/>
      <c r="AO151" s="334"/>
      <c r="AP151" s="187"/>
      <c r="AQ151" s="187"/>
      <c r="AR151" s="334" t="e">
        <f t="shared" si="60"/>
        <v>#N/A</v>
      </c>
      <c r="AS151" s="485"/>
      <c r="AT151" s="334"/>
      <c r="AU151" s="187"/>
      <c r="AV151" s="187"/>
      <c r="AW151" s="334" t="e">
        <f t="shared" si="61"/>
        <v>#N/A</v>
      </c>
      <c r="AX151" s="485"/>
    </row>
    <row r="152" spans="2:50">
      <c r="B152" s="483"/>
      <c r="C152" s="334">
        <v>6</v>
      </c>
      <c r="D152" s="334"/>
      <c r="E152" s="334"/>
      <c r="F152" s="334"/>
      <c r="G152" s="334"/>
      <c r="H152" s="485"/>
      <c r="I152" s="219" t="e">
        <f t="shared" si="52"/>
        <v>#DIV/0!</v>
      </c>
      <c r="J152" s="219" t="e">
        <f t="shared" si="53"/>
        <v>#DIV/0!</v>
      </c>
      <c r="K152" s="220" t="e">
        <f t="shared" si="54"/>
        <v>#DIV/0!</v>
      </c>
      <c r="L152" s="457"/>
      <c r="M152" s="219" t="e">
        <f>RANK(K152, K$147:$K$176)</f>
        <v>#DIV/0!</v>
      </c>
      <c r="N152" s="475"/>
      <c r="O152" s="475"/>
      <c r="P152" s="334"/>
      <c r="Q152" s="187"/>
      <c r="R152" s="336"/>
      <c r="S152" s="334" t="e">
        <f t="shared" si="55"/>
        <v>#N/A</v>
      </c>
      <c r="T152" s="485"/>
      <c r="U152" s="334"/>
      <c r="V152" s="187"/>
      <c r="W152" s="336"/>
      <c r="X152" s="334" t="e">
        <f t="shared" si="56"/>
        <v>#N/A</v>
      </c>
      <c r="Y152" s="485"/>
      <c r="Z152" s="334"/>
      <c r="AA152" s="187"/>
      <c r="AB152" s="336"/>
      <c r="AC152" s="334" t="e">
        <f t="shared" si="57"/>
        <v>#N/A</v>
      </c>
      <c r="AD152" s="485"/>
      <c r="AE152" s="334"/>
      <c r="AF152" s="187"/>
      <c r="AG152" s="336"/>
      <c r="AH152" s="334" t="e">
        <f t="shared" si="58"/>
        <v>#N/A</v>
      </c>
      <c r="AI152" s="485"/>
      <c r="AJ152" s="334"/>
      <c r="AK152" s="187"/>
      <c r="AL152" s="336"/>
      <c r="AM152" s="334" t="e">
        <f t="shared" si="59"/>
        <v>#N/A</v>
      </c>
      <c r="AN152" s="485"/>
      <c r="AO152" s="334"/>
      <c r="AP152" s="187"/>
      <c r="AQ152" s="187"/>
      <c r="AR152" s="334" t="e">
        <f t="shared" si="60"/>
        <v>#N/A</v>
      </c>
      <c r="AS152" s="485"/>
      <c r="AT152" s="334"/>
      <c r="AU152" s="187"/>
      <c r="AV152" s="187"/>
      <c r="AW152" s="334" t="e">
        <f t="shared" si="61"/>
        <v>#N/A</v>
      </c>
      <c r="AX152" s="485"/>
    </row>
    <row r="153" spans="2:50">
      <c r="B153" s="483"/>
      <c r="C153" s="334">
        <v>7</v>
      </c>
      <c r="D153" s="334"/>
      <c r="E153" s="334"/>
      <c r="F153" s="334"/>
      <c r="G153" s="334"/>
      <c r="H153" s="485"/>
      <c r="I153" s="219" t="e">
        <f t="shared" si="52"/>
        <v>#DIV/0!</v>
      </c>
      <c r="J153" s="219" t="e">
        <f t="shared" si="53"/>
        <v>#DIV/0!</v>
      </c>
      <c r="K153" s="220" t="e">
        <f t="shared" si="54"/>
        <v>#DIV/0!</v>
      </c>
      <c r="L153" s="457"/>
      <c r="M153" s="219" t="e">
        <f>RANK(K153, K$147:$K$176)</f>
        <v>#DIV/0!</v>
      </c>
      <c r="N153" s="475"/>
      <c r="O153" s="475"/>
      <c r="P153" s="334"/>
      <c r="Q153" s="187"/>
      <c r="R153" s="336"/>
      <c r="S153" s="334" t="e">
        <f t="shared" si="55"/>
        <v>#N/A</v>
      </c>
      <c r="T153" s="485"/>
      <c r="U153" s="334"/>
      <c r="V153" s="187"/>
      <c r="W153" s="336"/>
      <c r="X153" s="334" t="e">
        <f t="shared" si="56"/>
        <v>#N/A</v>
      </c>
      <c r="Y153" s="485"/>
      <c r="Z153" s="334"/>
      <c r="AA153" s="187"/>
      <c r="AB153" s="336"/>
      <c r="AC153" s="334" t="e">
        <f t="shared" si="57"/>
        <v>#N/A</v>
      </c>
      <c r="AD153" s="485"/>
      <c r="AE153" s="334"/>
      <c r="AF153" s="187"/>
      <c r="AG153" s="336"/>
      <c r="AH153" s="334" t="e">
        <f t="shared" si="58"/>
        <v>#N/A</v>
      </c>
      <c r="AI153" s="485"/>
      <c r="AJ153" s="334"/>
      <c r="AK153" s="187"/>
      <c r="AL153" s="336"/>
      <c r="AM153" s="334" t="e">
        <f t="shared" si="59"/>
        <v>#N/A</v>
      </c>
      <c r="AN153" s="485"/>
      <c r="AO153" s="334"/>
      <c r="AP153" s="187"/>
      <c r="AQ153" s="187"/>
      <c r="AR153" s="334" t="e">
        <f t="shared" si="60"/>
        <v>#N/A</v>
      </c>
      <c r="AS153" s="485"/>
      <c r="AT153" s="334"/>
      <c r="AU153" s="187"/>
      <c r="AV153" s="187"/>
      <c r="AW153" s="334" t="e">
        <f t="shared" si="61"/>
        <v>#N/A</v>
      </c>
      <c r="AX153" s="485"/>
    </row>
    <row r="154" spans="2:50">
      <c r="B154" s="483"/>
      <c r="C154" s="334">
        <v>8</v>
      </c>
      <c r="D154" s="334"/>
      <c r="E154" s="334"/>
      <c r="F154" s="334"/>
      <c r="G154" s="334"/>
      <c r="H154" s="485"/>
      <c r="I154" s="219" t="e">
        <f t="shared" si="52"/>
        <v>#DIV/0!</v>
      </c>
      <c r="J154" s="219" t="e">
        <f t="shared" si="53"/>
        <v>#DIV/0!</v>
      </c>
      <c r="K154" s="220" t="e">
        <f t="shared" si="54"/>
        <v>#DIV/0!</v>
      </c>
      <c r="L154" s="457"/>
      <c r="M154" s="219" t="e">
        <f>RANK(K154, K$147:$K$176)</f>
        <v>#DIV/0!</v>
      </c>
      <c r="N154" s="475"/>
      <c r="O154" s="475"/>
      <c r="P154" s="334"/>
      <c r="Q154" s="187"/>
      <c r="R154" s="336"/>
      <c r="S154" s="334" t="e">
        <f t="shared" si="55"/>
        <v>#N/A</v>
      </c>
      <c r="T154" s="485"/>
      <c r="U154" s="334"/>
      <c r="V154" s="187"/>
      <c r="W154" s="336"/>
      <c r="X154" s="334" t="e">
        <f t="shared" si="56"/>
        <v>#N/A</v>
      </c>
      <c r="Y154" s="485"/>
      <c r="Z154" s="334"/>
      <c r="AA154" s="187"/>
      <c r="AB154" s="336"/>
      <c r="AC154" s="334" t="e">
        <f t="shared" si="57"/>
        <v>#N/A</v>
      </c>
      <c r="AD154" s="485"/>
      <c r="AE154" s="334"/>
      <c r="AF154" s="187"/>
      <c r="AG154" s="336"/>
      <c r="AH154" s="334" t="e">
        <f t="shared" si="58"/>
        <v>#N/A</v>
      </c>
      <c r="AI154" s="485"/>
      <c r="AJ154" s="334"/>
      <c r="AK154" s="187"/>
      <c r="AL154" s="336"/>
      <c r="AM154" s="334" t="e">
        <f t="shared" si="59"/>
        <v>#N/A</v>
      </c>
      <c r="AN154" s="485"/>
      <c r="AO154" s="334"/>
      <c r="AP154" s="187"/>
      <c r="AQ154" s="187"/>
      <c r="AR154" s="334" t="e">
        <f t="shared" si="60"/>
        <v>#N/A</v>
      </c>
      <c r="AS154" s="485"/>
      <c r="AT154" s="334"/>
      <c r="AU154" s="187"/>
      <c r="AV154" s="187"/>
      <c r="AW154" s="334" t="e">
        <f t="shared" si="61"/>
        <v>#N/A</v>
      </c>
      <c r="AX154" s="485"/>
    </row>
    <row r="155" spans="2:50">
      <c r="B155" s="483"/>
      <c r="C155" s="334">
        <v>9</v>
      </c>
      <c r="D155" s="334"/>
      <c r="E155" s="334"/>
      <c r="F155" s="334"/>
      <c r="G155" s="334"/>
      <c r="H155" s="485"/>
      <c r="I155" s="219" t="e">
        <f t="shared" si="52"/>
        <v>#DIV/0!</v>
      </c>
      <c r="J155" s="219" t="e">
        <f t="shared" si="53"/>
        <v>#DIV/0!</v>
      </c>
      <c r="K155" s="220" t="e">
        <f t="shared" si="54"/>
        <v>#DIV/0!</v>
      </c>
      <c r="L155" s="457"/>
      <c r="M155" s="219" t="e">
        <f>RANK(K155, K$147:$K$176)</f>
        <v>#DIV/0!</v>
      </c>
      <c r="N155" s="475"/>
      <c r="O155" s="475"/>
      <c r="P155" s="334"/>
      <c r="Q155" s="187"/>
      <c r="R155" s="336"/>
      <c r="S155" s="334" t="e">
        <f t="shared" si="55"/>
        <v>#N/A</v>
      </c>
      <c r="T155" s="485"/>
      <c r="U155" s="334"/>
      <c r="V155" s="187"/>
      <c r="W155" s="336"/>
      <c r="X155" s="334" t="e">
        <f t="shared" si="56"/>
        <v>#N/A</v>
      </c>
      <c r="Y155" s="485"/>
      <c r="Z155" s="334"/>
      <c r="AA155" s="187"/>
      <c r="AB155" s="336"/>
      <c r="AC155" s="334" t="e">
        <f t="shared" si="57"/>
        <v>#N/A</v>
      </c>
      <c r="AD155" s="485"/>
      <c r="AE155" s="334"/>
      <c r="AF155" s="187"/>
      <c r="AG155" s="336"/>
      <c r="AH155" s="334" t="e">
        <f t="shared" si="58"/>
        <v>#N/A</v>
      </c>
      <c r="AI155" s="485"/>
      <c r="AJ155" s="334"/>
      <c r="AK155" s="187"/>
      <c r="AL155" s="336"/>
      <c r="AM155" s="334" t="e">
        <f t="shared" si="59"/>
        <v>#N/A</v>
      </c>
      <c r="AN155" s="485"/>
      <c r="AO155" s="334"/>
      <c r="AP155" s="187"/>
      <c r="AQ155" s="187"/>
      <c r="AR155" s="334" t="e">
        <f t="shared" si="60"/>
        <v>#N/A</v>
      </c>
      <c r="AS155" s="485"/>
      <c r="AT155" s="334"/>
      <c r="AU155" s="187"/>
      <c r="AV155" s="187"/>
      <c r="AW155" s="334" t="e">
        <f t="shared" si="61"/>
        <v>#N/A</v>
      </c>
      <c r="AX155" s="485"/>
    </row>
    <row r="156" spans="2:50">
      <c r="B156" s="483"/>
      <c r="C156" s="334">
        <v>10</v>
      </c>
      <c r="D156" s="334"/>
      <c r="E156" s="334"/>
      <c r="F156" s="334"/>
      <c r="G156" s="334"/>
      <c r="H156" s="485"/>
      <c r="I156" s="219" t="e">
        <f t="shared" si="52"/>
        <v>#DIV/0!</v>
      </c>
      <c r="J156" s="219" t="e">
        <f t="shared" si="53"/>
        <v>#DIV/0!</v>
      </c>
      <c r="K156" s="220" t="e">
        <f t="shared" si="54"/>
        <v>#DIV/0!</v>
      </c>
      <c r="L156" s="457"/>
      <c r="M156" s="219" t="e">
        <f>RANK(K156, K$147:$K$176)</f>
        <v>#DIV/0!</v>
      </c>
      <c r="N156" s="475"/>
      <c r="O156" s="475"/>
      <c r="P156" s="334"/>
      <c r="Q156" s="187"/>
      <c r="R156" s="336"/>
      <c r="S156" s="334" t="e">
        <f t="shared" si="55"/>
        <v>#N/A</v>
      </c>
      <c r="T156" s="485"/>
      <c r="U156" s="334"/>
      <c r="V156" s="187"/>
      <c r="W156" s="336"/>
      <c r="X156" s="334" t="e">
        <f t="shared" si="56"/>
        <v>#N/A</v>
      </c>
      <c r="Y156" s="485"/>
      <c r="Z156" s="334"/>
      <c r="AA156" s="187"/>
      <c r="AB156" s="336"/>
      <c r="AC156" s="334" t="e">
        <f t="shared" si="57"/>
        <v>#N/A</v>
      </c>
      <c r="AD156" s="485"/>
      <c r="AE156" s="334"/>
      <c r="AF156" s="187"/>
      <c r="AG156" s="336"/>
      <c r="AH156" s="334" t="e">
        <f t="shared" si="58"/>
        <v>#N/A</v>
      </c>
      <c r="AI156" s="485"/>
      <c r="AJ156" s="334"/>
      <c r="AK156" s="187"/>
      <c r="AL156" s="336"/>
      <c r="AM156" s="334" t="e">
        <f t="shared" si="59"/>
        <v>#N/A</v>
      </c>
      <c r="AN156" s="485"/>
      <c r="AO156" s="334"/>
      <c r="AP156" s="187"/>
      <c r="AQ156" s="187"/>
      <c r="AR156" s="334" t="e">
        <f t="shared" si="60"/>
        <v>#N/A</v>
      </c>
      <c r="AS156" s="485"/>
      <c r="AT156" s="334"/>
      <c r="AU156" s="187"/>
      <c r="AV156" s="187"/>
      <c r="AW156" s="334" t="e">
        <f t="shared" si="61"/>
        <v>#N/A</v>
      </c>
      <c r="AX156" s="485"/>
    </row>
    <row r="157" spans="2:50">
      <c r="B157" s="483"/>
      <c r="C157" s="334">
        <v>11</v>
      </c>
      <c r="D157" s="334"/>
      <c r="E157" s="334"/>
      <c r="F157" s="334"/>
      <c r="G157" s="334"/>
      <c r="H157" s="485"/>
      <c r="I157" s="219" t="e">
        <f t="shared" ref="I157:I166" si="62">AVERAGE(P157,U157,Z157,AE157,AJ157,AO157,AT157)</f>
        <v>#DIV/0!</v>
      </c>
      <c r="J157" s="219" t="e">
        <f t="shared" ref="J157:J166" si="63">AVERAGE(Q157,V157,AA157,AF157,AK157,AP157,AU157)</f>
        <v>#DIV/0!</v>
      </c>
      <c r="K157" s="220" t="e">
        <f t="shared" ref="K157:K166" si="64">AVERAGE(R157,W157,AB157,AG157,AL157,AQ157,AV157)</f>
        <v>#DIV/0!</v>
      </c>
      <c r="L157" s="457"/>
      <c r="M157" s="219" t="e">
        <f>RANK(K157, K$147:$K$176)</f>
        <v>#DIV/0!</v>
      </c>
      <c r="N157" s="475"/>
      <c r="O157" s="475"/>
      <c r="P157" s="334"/>
      <c r="Q157" s="187"/>
      <c r="R157" s="336"/>
      <c r="S157" s="334" t="e">
        <f t="shared" si="55"/>
        <v>#N/A</v>
      </c>
      <c r="T157" s="485"/>
      <c r="U157" s="334"/>
      <c r="V157" s="187"/>
      <c r="W157" s="336"/>
      <c r="X157" s="334" t="e">
        <f t="shared" si="56"/>
        <v>#N/A</v>
      </c>
      <c r="Y157" s="485"/>
      <c r="Z157" s="334"/>
      <c r="AA157" s="187"/>
      <c r="AB157" s="336"/>
      <c r="AC157" s="334" t="e">
        <f t="shared" si="57"/>
        <v>#N/A</v>
      </c>
      <c r="AD157" s="485"/>
      <c r="AE157" s="334"/>
      <c r="AF157" s="187"/>
      <c r="AG157" s="336"/>
      <c r="AH157" s="334" t="e">
        <f t="shared" si="58"/>
        <v>#N/A</v>
      </c>
      <c r="AI157" s="485"/>
      <c r="AJ157" s="334"/>
      <c r="AK157" s="187"/>
      <c r="AL157" s="336"/>
      <c r="AM157" s="334" t="e">
        <f t="shared" si="59"/>
        <v>#N/A</v>
      </c>
      <c r="AN157" s="485"/>
      <c r="AO157" s="334"/>
      <c r="AP157" s="187"/>
      <c r="AQ157" s="187"/>
      <c r="AR157" s="334" t="e">
        <f t="shared" si="60"/>
        <v>#N/A</v>
      </c>
      <c r="AS157" s="485"/>
      <c r="AT157" s="334"/>
      <c r="AU157" s="187"/>
      <c r="AV157" s="187"/>
      <c r="AW157" s="334" t="e">
        <f t="shared" si="61"/>
        <v>#N/A</v>
      </c>
      <c r="AX157" s="485"/>
    </row>
    <row r="158" spans="2:50">
      <c r="B158" s="483"/>
      <c r="C158" s="334">
        <v>12</v>
      </c>
      <c r="D158" s="334"/>
      <c r="E158" s="334"/>
      <c r="F158" s="334"/>
      <c r="G158" s="334"/>
      <c r="H158" s="485"/>
      <c r="I158" s="219" t="e">
        <f t="shared" si="62"/>
        <v>#DIV/0!</v>
      </c>
      <c r="J158" s="219" t="e">
        <f t="shared" si="63"/>
        <v>#DIV/0!</v>
      </c>
      <c r="K158" s="220" t="e">
        <f t="shared" si="64"/>
        <v>#DIV/0!</v>
      </c>
      <c r="L158" s="457"/>
      <c r="M158" s="219" t="e">
        <f>RANK(K158, K$147:$K$176)</f>
        <v>#DIV/0!</v>
      </c>
      <c r="N158" s="475"/>
      <c r="O158" s="475"/>
      <c r="P158" s="334"/>
      <c r="Q158" s="187"/>
      <c r="R158" s="336"/>
      <c r="S158" s="334" t="e">
        <f t="shared" si="55"/>
        <v>#N/A</v>
      </c>
      <c r="T158" s="485"/>
      <c r="U158" s="334"/>
      <c r="V158" s="187"/>
      <c r="W158" s="336"/>
      <c r="X158" s="334" t="e">
        <f t="shared" si="56"/>
        <v>#N/A</v>
      </c>
      <c r="Y158" s="485"/>
      <c r="Z158" s="334"/>
      <c r="AA158" s="187"/>
      <c r="AB158" s="336"/>
      <c r="AC158" s="334" t="e">
        <f t="shared" si="57"/>
        <v>#N/A</v>
      </c>
      <c r="AD158" s="485"/>
      <c r="AE158" s="334"/>
      <c r="AF158" s="187"/>
      <c r="AG158" s="336"/>
      <c r="AH158" s="334" t="e">
        <f t="shared" si="58"/>
        <v>#N/A</v>
      </c>
      <c r="AI158" s="485"/>
      <c r="AJ158" s="334"/>
      <c r="AK158" s="187"/>
      <c r="AL158" s="336"/>
      <c r="AM158" s="334" t="e">
        <f t="shared" si="59"/>
        <v>#N/A</v>
      </c>
      <c r="AN158" s="485"/>
      <c r="AO158" s="334"/>
      <c r="AP158" s="187"/>
      <c r="AQ158" s="187"/>
      <c r="AR158" s="334" t="e">
        <f t="shared" si="60"/>
        <v>#N/A</v>
      </c>
      <c r="AS158" s="485"/>
      <c r="AT158" s="334"/>
      <c r="AU158" s="187"/>
      <c r="AV158" s="187"/>
      <c r="AW158" s="334" t="e">
        <f t="shared" si="61"/>
        <v>#N/A</v>
      </c>
      <c r="AX158" s="485"/>
    </row>
    <row r="159" spans="2:50">
      <c r="B159" s="483"/>
      <c r="C159" s="334">
        <v>13</v>
      </c>
      <c r="D159" s="334"/>
      <c r="E159" s="334"/>
      <c r="F159" s="334"/>
      <c r="G159" s="334"/>
      <c r="H159" s="485"/>
      <c r="I159" s="219" t="e">
        <f t="shared" si="62"/>
        <v>#DIV/0!</v>
      </c>
      <c r="J159" s="219" t="e">
        <f t="shared" si="63"/>
        <v>#DIV/0!</v>
      </c>
      <c r="K159" s="220" t="e">
        <f t="shared" si="64"/>
        <v>#DIV/0!</v>
      </c>
      <c r="L159" s="457"/>
      <c r="M159" s="219" t="e">
        <f>RANK(K159, K$147:$K$176)</f>
        <v>#DIV/0!</v>
      </c>
      <c r="N159" s="475"/>
      <c r="O159" s="475"/>
      <c r="P159" s="334"/>
      <c r="Q159" s="187"/>
      <c r="R159" s="336"/>
      <c r="S159" s="334" t="e">
        <f t="shared" si="55"/>
        <v>#N/A</v>
      </c>
      <c r="T159" s="485"/>
      <c r="U159" s="334"/>
      <c r="V159" s="187"/>
      <c r="W159" s="336"/>
      <c r="X159" s="334" t="e">
        <f t="shared" si="56"/>
        <v>#N/A</v>
      </c>
      <c r="Y159" s="485"/>
      <c r="Z159" s="334"/>
      <c r="AA159" s="187"/>
      <c r="AB159" s="336"/>
      <c r="AC159" s="334" t="e">
        <f t="shared" si="57"/>
        <v>#N/A</v>
      </c>
      <c r="AD159" s="485"/>
      <c r="AE159" s="334"/>
      <c r="AF159" s="187"/>
      <c r="AG159" s="336"/>
      <c r="AH159" s="334" t="e">
        <f t="shared" si="58"/>
        <v>#N/A</v>
      </c>
      <c r="AI159" s="485"/>
      <c r="AJ159" s="334"/>
      <c r="AK159" s="187"/>
      <c r="AL159" s="336"/>
      <c r="AM159" s="334" t="e">
        <f t="shared" si="59"/>
        <v>#N/A</v>
      </c>
      <c r="AN159" s="485"/>
      <c r="AO159" s="334"/>
      <c r="AP159" s="187"/>
      <c r="AQ159" s="187"/>
      <c r="AR159" s="334" t="e">
        <f t="shared" si="60"/>
        <v>#N/A</v>
      </c>
      <c r="AS159" s="485"/>
      <c r="AT159" s="334"/>
      <c r="AU159" s="187"/>
      <c r="AV159" s="187"/>
      <c r="AW159" s="334" t="e">
        <f t="shared" si="61"/>
        <v>#N/A</v>
      </c>
      <c r="AX159" s="485"/>
    </row>
    <row r="160" spans="2:50">
      <c r="B160" s="483"/>
      <c r="C160" s="334">
        <v>14</v>
      </c>
      <c r="D160" s="334"/>
      <c r="E160" s="334"/>
      <c r="F160" s="334"/>
      <c r="G160" s="334"/>
      <c r="H160" s="485"/>
      <c r="I160" s="219" t="e">
        <f t="shared" si="62"/>
        <v>#DIV/0!</v>
      </c>
      <c r="J160" s="219" t="e">
        <f t="shared" si="63"/>
        <v>#DIV/0!</v>
      </c>
      <c r="K160" s="220" t="e">
        <f t="shared" si="64"/>
        <v>#DIV/0!</v>
      </c>
      <c r="L160" s="457"/>
      <c r="M160" s="219" t="e">
        <f>RANK(K160, K$147:$K$176)</f>
        <v>#DIV/0!</v>
      </c>
      <c r="N160" s="475"/>
      <c r="O160" s="475"/>
      <c r="P160" s="334"/>
      <c r="Q160" s="187"/>
      <c r="R160" s="336"/>
      <c r="S160" s="334" t="e">
        <f t="shared" si="55"/>
        <v>#N/A</v>
      </c>
      <c r="T160" s="485"/>
      <c r="U160" s="334"/>
      <c r="V160" s="187"/>
      <c r="W160" s="336"/>
      <c r="X160" s="334" t="e">
        <f t="shared" si="56"/>
        <v>#N/A</v>
      </c>
      <c r="Y160" s="485"/>
      <c r="Z160" s="334"/>
      <c r="AA160" s="187"/>
      <c r="AB160" s="336"/>
      <c r="AC160" s="334" t="e">
        <f t="shared" si="57"/>
        <v>#N/A</v>
      </c>
      <c r="AD160" s="485"/>
      <c r="AE160" s="334"/>
      <c r="AF160" s="187"/>
      <c r="AG160" s="336"/>
      <c r="AH160" s="334" t="e">
        <f t="shared" si="58"/>
        <v>#N/A</v>
      </c>
      <c r="AI160" s="485"/>
      <c r="AJ160" s="334"/>
      <c r="AK160" s="187"/>
      <c r="AL160" s="336"/>
      <c r="AM160" s="334" t="e">
        <f t="shared" si="59"/>
        <v>#N/A</v>
      </c>
      <c r="AN160" s="485"/>
      <c r="AO160" s="334"/>
      <c r="AP160" s="187"/>
      <c r="AQ160" s="187"/>
      <c r="AR160" s="334" t="e">
        <f t="shared" si="60"/>
        <v>#N/A</v>
      </c>
      <c r="AS160" s="485"/>
      <c r="AT160" s="334"/>
      <c r="AU160" s="187"/>
      <c r="AV160" s="187"/>
      <c r="AW160" s="334" t="e">
        <f t="shared" si="61"/>
        <v>#N/A</v>
      </c>
      <c r="AX160" s="485"/>
    </row>
    <row r="161" spans="2:50">
      <c r="B161" s="483"/>
      <c r="C161" s="334">
        <v>15</v>
      </c>
      <c r="D161" s="334"/>
      <c r="E161" s="334"/>
      <c r="F161" s="334"/>
      <c r="G161" s="334"/>
      <c r="H161" s="485"/>
      <c r="I161" s="219" t="e">
        <f t="shared" si="62"/>
        <v>#DIV/0!</v>
      </c>
      <c r="J161" s="219" t="e">
        <f t="shared" si="63"/>
        <v>#DIV/0!</v>
      </c>
      <c r="K161" s="220" t="e">
        <f t="shared" si="64"/>
        <v>#DIV/0!</v>
      </c>
      <c r="L161" s="457"/>
      <c r="M161" s="219" t="e">
        <f>RANK(K161, K$147:$K$176)</f>
        <v>#DIV/0!</v>
      </c>
      <c r="N161" s="475"/>
      <c r="O161" s="475"/>
      <c r="P161" s="334"/>
      <c r="Q161" s="187"/>
      <c r="R161" s="336"/>
      <c r="S161" s="334" t="e">
        <f t="shared" ref="S161:S175" si="65">RANK(R161, R$147:R$176)</f>
        <v>#N/A</v>
      </c>
      <c r="T161" s="485"/>
      <c r="U161" s="334"/>
      <c r="V161" s="187"/>
      <c r="W161" s="336"/>
      <c r="X161" s="334" t="e">
        <f t="shared" ref="X161:X175" si="66">RANK(W161, W$147:W$176)</f>
        <v>#N/A</v>
      </c>
      <c r="Y161" s="485"/>
      <c r="Z161" s="334"/>
      <c r="AA161" s="187"/>
      <c r="AB161" s="336"/>
      <c r="AC161" s="334" t="e">
        <f t="shared" ref="AC161:AC175" si="67">RANK(AB161, AB$147:AB$176)</f>
        <v>#N/A</v>
      </c>
      <c r="AD161" s="485"/>
      <c r="AE161" s="334"/>
      <c r="AF161" s="187"/>
      <c r="AG161" s="336"/>
      <c r="AH161" s="334" t="e">
        <f t="shared" ref="AH161:AH175" si="68">RANK(AG161, AG$147:AG$176)</f>
        <v>#N/A</v>
      </c>
      <c r="AI161" s="485"/>
      <c r="AJ161" s="334"/>
      <c r="AK161" s="187"/>
      <c r="AL161" s="336"/>
      <c r="AM161" s="334" t="e">
        <f t="shared" ref="AM161:AM175" si="69">RANK(AL161, AL$147:AL$176)</f>
        <v>#N/A</v>
      </c>
      <c r="AN161" s="485"/>
      <c r="AO161" s="334"/>
      <c r="AP161" s="187"/>
      <c r="AQ161" s="187"/>
      <c r="AR161" s="334" t="e">
        <f t="shared" ref="AR161:AR175" si="70">RANK(AQ161, AQ$147:AQ$176)</f>
        <v>#N/A</v>
      </c>
      <c r="AS161" s="485"/>
      <c r="AT161" s="334"/>
      <c r="AU161" s="187"/>
      <c r="AV161" s="187"/>
      <c r="AW161" s="334" t="e">
        <f t="shared" ref="AW161:AW175" si="71">RANK(AV161, AV$147:AV$176)</f>
        <v>#N/A</v>
      </c>
      <c r="AX161" s="485"/>
    </row>
    <row r="162" spans="2:50">
      <c r="B162" s="483"/>
      <c r="C162" s="334">
        <v>16</v>
      </c>
      <c r="D162" s="334"/>
      <c r="E162" s="334"/>
      <c r="F162" s="334"/>
      <c r="G162" s="334"/>
      <c r="H162" s="485"/>
      <c r="I162" s="219" t="e">
        <f t="shared" si="62"/>
        <v>#DIV/0!</v>
      </c>
      <c r="J162" s="219" t="e">
        <f t="shared" si="63"/>
        <v>#DIV/0!</v>
      </c>
      <c r="K162" s="220" t="e">
        <f t="shared" si="64"/>
        <v>#DIV/0!</v>
      </c>
      <c r="L162" s="457"/>
      <c r="M162" s="219" t="e">
        <f>RANK(K162, K$147:$K$176)</f>
        <v>#DIV/0!</v>
      </c>
      <c r="N162" s="475"/>
      <c r="O162" s="475"/>
      <c r="P162" s="334"/>
      <c r="Q162" s="187"/>
      <c r="R162" s="336"/>
      <c r="S162" s="334" t="e">
        <f t="shared" si="65"/>
        <v>#N/A</v>
      </c>
      <c r="T162" s="485"/>
      <c r="U162" s="334"/>
      <c r="V162" s="187"/>
      <c r="W162" s="336"/>
      <c r="X162" s="334" t="e">
        <f t="shared" si="66"/>
        <v>#N/A</v>
      </c>
      <c r="Y162" s="485"/>
      <c r="Z162" s="334"/>
      <c r="AA162" s="187"/>
      <c r="AB162" s="336"/>
      <c r="AC162" s="334" t="e">
        <f t="shared" si="67"/>
        <v>#N/A</v>
      </c>
      <c r="AD162" s="485"/>
      <c r="AE162" s="334"/>
      <c r="AF162" s="187"/>
      <c r="AG162" s="336"/>
      <c r="AH162" s="334" t="e">
        <f t="shared" si="68"/>
        <v>#N/A</v>
      </c>
      <c r="AI162" s="485"/>
      <c r="AJ162" s="334"/>
      <c r="AK162" s="187"/>
      <c r="AL162" s="336"/>
      <c r="AM162" s="334" t="e">
        <f t="shared" si="69"/>
        <v>#N/A</v>
      </c>
      <c r="AN162" s="485"/>
      <c r="AO162" s="334"/>
      <c r="AP162" s="187"/>
      <c r="AQ162" s="187"/>
      <c r="AR162" s="334" t="e">
        <f t="shared" si="70"/>
        <v>#N/A</v>
      </c>
      <c r="AS162" s="485"/>
      <c r="AT162" s="334"/>
      <c r="AU162" s="187"/>
      <c r="AV162" s="187"/>
      <c r="AW162" s="334" t="e">
        <f t="shared" si="71"/>
        <v>#N/A</v>
      </c>
      <c r="AX162" s="485"/>
    </row>
    <row r="163" spans="2:50">
      <c r="B163" s="483"/>
      <c r="C163" s="334">
        <v>17</v>
      </c>
      <c r="D163" s="334"/>
      <c r="E163" s="334"/>
      <c r="F163" s="334"/>
      <c r="G163" s="334"/>
      <c r="H163" s="485"/>
      <c r="I163" s="219" t="e">
        <f t="shared" si="62"/>
        <v>#DIV/0!</v>
      </c>
      <c r="J163" s="219" t="e">
        <f t="shared" si="63"/>
        <v>#DIV/0!</v>
      </c>
      <c r="K163" s="220" t="e">
        <f t="shared" si="64"/>
        <v>#DIV/0!</v>
      </c>
      <c r="L163" s="457"/>
      <c r="M163" s="219" t="e">
        <f>RANK(K163, K$147:$K$176)</f>
        <v>#DIV/0!</v>
      </c>
      <c r="N163" s="475"/>
      <c r="O163" s="475"/>
      <c r="P163" s="334"/>
      <c r="Q163" s="187"/>
      <c r="R163" s="336"/>
      <c r="S163" s="334" t="e">
        <f t="shared" si="65"/>
        <v>#N/A</v>
      </c>
      <c r="T163" s="485"/>
      <c r="U163" s="334"/>
      <c r="V163" s="187"/>
      <c r="W163" s="336"/>
      <c r="X163" s="334" t="e">
        <f t="shared" si="66"/>
        <v>#N/A</v>
      </c>
      <c r="Y163" s="485"/>
      <c r="Z163" s="334"/>
      <c r="AA163" s="187"/>
      <c r="AB163" s="336"/>
      <c r="AC163" s="334" t="e">
        <f t="shared" si="67"/>
        <v>#N/A</v>
      </c>
      <c r="AD163" s="485"/>
      <c r="AE163" s="334"/>
      <c r="AF163" s="187"/>
      <c r="AG163" s="336"/>
      <c r="AH163" s="334" t="e">
        <f t="shared" si="68"/>
        <v>#N/A</v>
      </c>
      <c r="AI163" s="485"/>
      <c r="AJ163" s="334"/>
      <c r="AK163" s="187"/>
      <c r="AL163" s="336"/>
      <c r="AM163" s="334" t="e">
        <f t="shared" si="69"/>
        <v>#N/A</v>
      </c>
      <c r="AN163" s="485"/>
      <c r="AO163" s="334"/>
      <c r="AP163" s="187"/>
      <c r="AQ163" s="187"/>
      <c r="AR163" s="334" t="e">
        <f t="shared" si="70"/>
        <v>#N/A</v>
      </c>
      <c r="AS163" s="485"/>
      <c r="AT163" s="334"/>
      <c r="AU163" s="187"/>
      <c r="AV163" s="187"/>
      <c r="AW163" s="334" t="e">
        <f t="shared" si="71"/>
        <v>#N/A</v>
      </c>
      <c r="AX163" s="485"/>
    </row>
    <row r="164" spans="2:50">
      <c r="B164" s="483"/>
      <c r="C164" s="334">
        <v>18</v>
      </c>
      <c r="D164" s="334"/>
      <c r="E164" s="334"/>
      <c r="F164" s="334"/>
      <c r="G164" s="334"/>
      <c r="H164" s="485"/>
      <c r="I164" s="219" t="e">
        <f t="shared" si="62"/>
        <v>#DIV/0!</v>
      </c>
      <c r="J164" s="219" t="e">
        <f t="shared" si="63"/>
        <v>#DIV/0!</v>
      </c>
      <c r="K164" s="220" t="e">
        <f t="shared" si="64"/>
        <v>#DIV/0!</v>
      </c>
      <c r="L164" s="457"/>
      <c r="M164" s="219" t="e">
        <f>RANK(K164, K$147:$K$176)</f>
        <v>#DIV/0!</v>
      </c>
      <c r="N164" s="475"/>
      <c r="O164" s="475"/>
      <c r="P164" s="334"/>
      <c r="Q164" s="187"/>
      <c r="R164" s="336"/>
      <c r="S164" s="334" t="e">
        <f t="shared" si="65"/>
        <v>#N/A</v>
      </c>
      <c r="T164" s="485"/>
      <c r="U164" s="334"/>
      <c r="V164" s="187"/>
      <c r="W164" s="336"/>
      <c r="X164" s="334" t="e">
        <f t="shared" si="66"/>
        <v>#N/A</v>
      </c>
      <c r="Y164" s="485"/>
      <c r="Z164" s="334"/>
      <c r="AA164" s="187"/>
      <c r="AB164" s="336"/>
      <c r="AC164" s="334" t="e">
        <f t="shared" si="67"/>
        <v>#N/A</v>
      </c>
      <c r="AD164" s="485"/>
      <c r="AE164" s="334"/>
      <c r="AF164" s="187"/>
      <c r="AG164" s="336"/>
      <c r="AH164" s="334" t="e">
        <f t="shared" si="68"/>
        <v>#N/A</v>
      </c>
      <c r="AI164" s="485"/>
      <c r="AJ164" s="334"/>
      <c r="AK164" s="187"/>
      <c r="AL164" s="336"/>
      <c r="AM164" s="334" t="e">
        <f t="shared" si="69"/>
        <v>#N/A</v>
      </c>
      <c r="AN164" s="485"/>
      <c r="AO164" s="334"/>
      <c r="AP164" s="187"/>
      <c r="AQ164" s="187"/>
      <c r="AR164" s="334" t="e">
        <f t="shared" si="70"/>
        <v>#N/A</v>
      </c>
      <c r="AS164" s="485"/>
      <c r="AT164" s="334"/>
      <c r="AU164" s="187"/>
      <c r="AV164" s="187"/>
      <c r="AW164" s="334" t="e">
        <f t="shared" si="71"/>
        <v>#N/A</v>
      </c>
      <c r="AX164" s="485"/>
    </row>
    <row r="165" spans="2:50">
      <c r="B165" s="483"/>
      <c r="C165" s="334">
        <v>19</v>
      </c>
      <c r="D165" s="334"/>
      <c r="E165" s="334"/>
      <c r="F165" s="334"/>
      <c r="G165" s="334"/>
      <c r="H165" s="485"/>
      <c r="I165" s="219" t="e">
        <f t="shared" si="62"/>
        <v>#DIV/0!</v>
      </c>
      <c r="J165" s="219" t="e">
        <f t="shared" si="63"/>
        <v>#DIV/0!</v>
      </c>
      <c r="K165" s="220" t="e">
        <f t="shared" si="64"/>
        <v>#DIV/0!</v>
      </c>
      <c r="L165" s="457"/>
      <c r="M165" s="219" t="e">
        <f>RANK(K165, K$147:$K$176)</f>
        <v>#DIV/0!</v>
      </c>
      <c r="N165" s="475"/>
      <c r="O165" s="475"/>
      <c r="P165" s="334"/>
      <c r="Q165" s="187"/>
      <c r="R165" s="336"/>
      <c r="S165" s="334" t="e">
        <f t="shared" si="65"/>
        <v>#N/A</v>
      </c>
      <c r="T165" s="485"/>
      <c r="U165" s="334"/>
      <c r="V165" s="187"/>
      <c r="W165" s="336"/>
      <c r="X165" s="334" t="e">
        <f t="shared" si="66"/>
        <v>#N/A</v>
      </c>
      <c r="Y165" s="485"/>
      <c r="Z165" s="334"/>
      <c r="AA165" s="187"/>
      <c r="AB165" s="336"/>
      <c r="AC165" s="334" t="e">
        <f t="shared" si="67"/>
        <v>#N/A</v>
      </c>
      <c r="AD165" s="485"/>
      <c r="AE165" s="334"/>
      <c r="AF165" s="187"/>
      <c r="AG165" s="336"/>
      <c r="AH165" s="334" t="e">
        <f t="shared" si="68"/>
        <v>#N/A</v>
      </c>
      <c r="AI165" s="485"/>
      <c r="AJ165" s="334"/>
      <c r="AK165" s="187"/>
      <c r="AL165" s="336"/>
      <c r="AM165" s="334" t="e">
        <f t="shared" si="69"/>
        <v>#N/A</v>
      </c>
      <c r="AN165" s="485"/>
      <c r="AO165" s="334"/>
      <c r="AP165" s="187"/>
      <c r="AQ165" s="187"/>
      <c r="AR165" s="334" t="e">
        <f t="shared" si="70"/>
        <v>#N/A</v>
      </c>
      <c r="AS165" s="485"/>
      <c r="AT165" s="334"/>
      <c r="AU165" s="187"/>
      <c r="AV165" s="187"/>
      <c r="AW165" s="334" t="e">
        <f t="shared" si="71"/>
        <v>#N/A</v>
      </c>
      <c r="AX165" s="485"/>
    </row>
    <row r="166" spans="2:50">
      <c r="B166" s="483"/>
      <c r="C166" s="334">
        <v>20</v>
      </c>
      <c r="D166" s="334"/>
      <c r="E166" s="334"/>
      <c r="F166" s="334"/>
      <c r="G166" s="334"/>
      <c r="H166" s="485"/>
      <c r="I166" s="219" t="e">
        <f t="shared" si="62"/>
        <v>#DIV/0!</v>
      </c>
      <c r="J166" s="219" t="e">
        <f t="shared" si="63"/>
        <v>#DIV/0!</v>
      </c>
      <c r="K166" s="220" t="e">
        <f t="shared" si="64"/>
        <v>#DIV/0!</v>
      </c>
      <c r="L166" s="457"/>
      <c r="M166" s="219" t="e">
        <f>RANK(K166, K$147:$K$176)</f>
        <v>#DIV/0!</v>
      </c>
      <c r="N166" s="475"/>
      <c r="O166" s="475"/>
      <c r="P166" s="334"/>
      <c r="Q166" s="187"/>
      <c r="R166" s="336"/>
      <c r="S166" s="334" t="e">
        <f t="shared" si="65"/>
        <v>#N/A</v>
      </c>
      <c r="T166" s="485"/>
      <c r="U166" s="334"/>
      <c r="V166" s="187"/>
      <c r="W166" s="336"/>
      <c r="X166" s="334" t="e">
        <f t="shared" si="66"/>
        <v>#N/A</v>
      </c>
      <c r="Y166" s="485"/>
      <c r="Z166" s="334"/>
      <c r="AA166" s="187"/>
      <c r="AB166" s="336"/>
      <c r="AC166" s="334" t="e">
        <f t="shared" si="67"/>
        <v>#N/A</v>
      </c>
      <c r="AD166" s="485"/>
      <c r="AE166" s="334"/>
      <c r="AF166" s="187"/>
      <c r="AG166" s="336"/>
      <c r="AH166" s="334" t="e">
        <f t="shared" si="68"/>
        <v>#N/A</v>
      </c>
      <c r="AI166" s="485"/>
      <c r="AJ166" s="334"/>
      <c r="AK166" s="187"/>
      <c r="AL166" s="336"/>
      <c r="AM166" s="334" t="e">
        <f t="shared" si="69"/>
        <v>#N/A</v>
      </c>
      <c r="AN166" s="485"/>
      <c r="AO166" s="334"/>
      <c r="AP166" s="187"/>
      <c r="AQ166" s="187"/>
      <c r="AR166" s="334" t="e">
        <f t="shared" si="70"/>
        <v>#N/A</v>
      </c>
      <c r="AS166" s="485"/>
      <c r="AT166" s="334"/>
      <c r="AU166" s="187"/>
      <c r="AV166" s="187"/>
      <c r="AW166" s="334" t="e">
        <f t="shared" si="71"/>
        <v>#N/A</v>
      </c>
      <c r="AX166" s="485"/>
    </row>
    <row r="167" spans="2:50">
      <c r="B167" s="483"/>
      <c r="C167" s="334">
        <v>21</v>
      </c>
      <c r="D167" s="334"/>
      <c r="E167" s="334"/>
      <c r="F167" s="334"/>
      <c r="G167" s="334"/>
      <c r="H167" s="485"/>
      <c r="I167" s="222"/>
      <c r="J167" s="222"/>
      <c r="K167" s="222"/>
      <c r="L167" s="457"/>
      <c r="M167" s="219" t="e">
        <f>RANK(K167, K$147:$K$176)</f>
        <v>#DIV/0!</v>
      </c>
      <c r="N167" s="475"/>
      <c r="O167" s="475"/>
      <c r="P167" s="334"/>
      <c r="Q167" s="187"/>
      <c r="R167" s="336"/>
      <c r="S167" s="334" t="e">
        <f t="shared" si="65"/>
        <v>#N/A</v>
      </c>
      <c r="T167" s="485"/>
      <c r="U167" s="334"/>
      <c r="V167" s="187"/>
      <c r="W167" s="336"/>
      <c r="X167" s="334" t="e">
        <f t="shared" si="66"/>
        <v>#N/A</v>
      </c>
      <c r="Y167" s="485"/>
      <c r="Z167" s="334"/>
      <c r="AA167" s="187"/>
      <c r="AB167" s="336"/>
      <c r="AC167" s="334" t="e">
        <f t="shared" si="67"/>
        <v>#N/A</v>
      </c>
      <c r="AD167" s="485"/>
      <c r="AE167" s="334"/>
      <c r="AF167" s="187"/>
      <c r="AG167" s="336"/>
      <c r="AH167" s="334" t="e">
        <f t="shared" si="68"/>
        <v>#N/A</v>
      </c>
      <c r="AI167" s="485"/>
      <c r="AJ167" s="334"/>
      <c r="AK167" s="187"/>
      <c r="AL167" s="336"/>
      <c r="AM167" s="334" t="e">
        <f t="shared" si="69"/>
        <v>#N/A</v>
      </c>
      <c r="AN167" s="485"/>
      <c r="AO167" s="334"/>
      <c r="AP167" s="187"/>
      <c r="AQ167" s="187"/>
      <c r="AR167" s="334" t="e">
        <f t="shared" si="70"/>
        <v>#N/A</v>
      </c>
      <c r="AS167" s="485"/>
      <c r="AT167" s="334"/>
      <c r="AU167" s="187"/>
      <c r="AV167" s="187"/>
      <c r="AW167" s="334" t="e">
        <f t="shared" si="71"/>
        <v>#N/A</v>
      </c>
      <c r="AX167" s="485"/>
    </row>
    <row r="168" spans="2:50">
      <c r="B168" s="483"/>
      <c r="C168" s="334">
        <v>22</v>
      </c>
      <c r="D168" s="334"/>
      <c r="E168" s="334"/>
      <c r="F168" s="334"/>
      <c r="G168" s="334"/>
      <c r="H168" s="485"/>
      <c r="I168" s="222"/>
      <c r="J168" s="222"/>
      <c r="K168" s="222"/>
      <c r="L168" s="457"/>
      <c r="M168" s="219" t="e">
        <f>RANK(K168, K$147:$K$176)</f>
        <v>#DIV/0!</v>
      </c>
      <c r="N168" s="475"/>
      <c r="O168" s="475"/>
      <c r="P168" s="334"/>
      <c r="Q168" s="187"/>
      <c r="R168" s="336"/>
      <c r="S168" s="334" t="e">
        <f t="shared" si="65"/>
        <v>#N/A</v>
      </c>
      <c r="T168" s="485"/>
      <c r="U168" s="334"/>
      <c r="V168" s="187"/>
      <c r="W168" s="336"/>
      <c r="X168" s="334" t="e">
        <f t="shared" si="66"/>
        <v>#N/A</v>
      </c>
      <c r="Y168" s="485"/>
      <c r="Z168" s="334"/>
      <c r="AA168" s="187"/>
      <c r="AB168" s="336"/>
      <c r="AC168" s="334" t="e">
        <f t="shared" si="67"/>
        <v>#N/A</v>
      </c>
      <c r="AD168" s="485"/>
      <c r="AE168" s="334"/>
      <c r="AF168" s="187"/>
      <c r="AG168" s="336"/>
      <c r="AH168" s="334" t="e">
        <f t="shared" si="68"/>
        <v>#N/A</v>
      </c>
      <c r="AI168" s="485"/>
      <c r="AJ168" s="334"/>
      <c r="AK168" s="187"/>
      <c r="AL168" s="336"/>
      <c r="AM168" s="334" t="e">
        <f t="shared" si="69"/>
        <v>#N/A</v>
      </c>
      <c r="AN168" s="485"/>
      <c r="AO168" s="334"/>
      <c r="AP168" s="187"/>
      <c r="AQ168" s="187"/>
      <c r="AR168" s="334" t="e">
        <f t="shared" si="70"/>
        <v>#N/A</v>
      </c>
      <c r="AS168" s="485"/>
      <c r="AT168" s="334"/>
      <c r="AU168" s="187"/>
      <c r="AV168" s="187"/>
      <c r="AW168" s="334" t="e">
        <f t="shared" si="71"/>
        <v>#N/A</v>
      </c>
      <c r="AX168" s="485"/>
    </row>
    <row r="169" spans="2:50">
      <c r="B169" s="483"/>
      <c r="C169" s="334">
        <v>23</v>
      </c>
      <c r="D169" s="334"/>
      <c r="E169" s="334"/>
      <c r="F169" s="334"/>
      <c r="G169" s="334"/>
      <c r="H169" s="485"/>
      <c r="I169" s="222"/>
      <c r="J169" s="222"/>
      <c r="K169" s="222"/>
      <c r="L169" s="457"/>
      <c r="M169" s="219" t="e">
        <f>RANK(K169, K$147:$K$176)</f>
        <v>#DIV/0!</v>
      </c>
      <c r="N169" s="475"/>
      <c r="O169" s="475"/>
      <c r="P169" s="334"/>
      <c r="Q169" s="334"/>
      <c r="R169" s="336"/>
      <c r="S169" s="334" t="e">
        <f t="shared" si="65"/>
        <v>#N/A</v>
      </c>
      <c r="T169" s="485"/>
      <c r="U169" s="334"/>
      <c r="V169" s="187"/>
      <c r="W169" s="336"/>
      <c r="X169" s="334" t="e">
        <f t="shared" si="66"/>
        <v>#N/A</v>
      </c>
      <c r="Y169" s="485"/>
      <c r="Z169" s="334"/>
      <c r="AA169" s="187"/>
      <c r="AB169" s="336"/>
      <c r="AC169" s="334" t="e">
        <f t="shared" si="67"/>
        <v>#N/A</v>
      </c>
      <c r="AD169" s="485"/>
      <c r="AE169" s="334"/>
      <c r="AF169" s="187"/>
      <c r="AG169" s="336"/>
      <c r="AH169" s="334" t="e">
        <f t="shared" si="68"/>
        <v>#N/A</v>
      </c>
      <c r="AI169" s="485"/>
      <c r="AJ169" s="334"/>
      <c r="AK169" s="187"/>
      <c r="AL169" s="336"/>
      <c r="AM169" s="334" t="e">
        <f t="shared" si="69"/>
        <v>#N/A</v>
      </c>
      <c r="AN169" s="485"/>
      <c r="AO169" s="334"/>
      <c r="AP169" s="187"/>
      <c r="AQ169" s="187"/>
      <c r="AR169" s="334" t="e">
        <f t="shared" si="70"/>
        <v>#N/A</v>
      </c>
      <c r="AS169" s="485"/>
      <c r="AT169" s="334"/>
      <c r="AU169" s="187"/>
      <c r="AV169" s="187"/>
      <c r="AW169" s="334" t="e">
        <f t="shared" si="71"/>
        <v>#N/A</v>
      </c>
      <c r="AX169" s="485"/>
    </row>
    <row r="170" spans="2:50">
      <c r="B170" s="483"/>
      <c r="C170" s="334">
        <v>24</v>
      </c>
      <c r="D170" s="334"/>
      <c r="E170" s="334"/>
      <c r="F170" s="334"/>
      <c r="G170" s="334"/>
      <c r="H170" s="485"/>
      <c r="I170" s="222"/>
      <c r="J170" s="222"/>
      <c r="K170" s="222"/>
      <c r="L170" s="457"/>
      <c r="M170" s="219" t="e">
        <f>RANK(K170, K$147:$K$176)</f>
        <v>#DIV/0!</v>
      </c>
      <c r="N170" s="475"/>
      <c r="O170" s="475"/>
      <c r="P170" s="334"/>
      <c r="Q170" s="334"/>
      <c r="R170" s="334"/>
      <c r="S170" s="334" t="e">
        <f t="shared" si="65"/>
        <v>#N/A</v>
      </c>
      <c r="T170" s="485"/>
      <c r="U170" s="334"/>
      <c r="V170" s="334"/>
      <c r="W170" s="334"/>
      <c r="X170" s="334" t="e">
        <f t="shared" si="66"/>
        <v>#N/A</v>
      </c>
      <c r="Y170" s="485"/>
      <c r="Z170" s="334"/>
      <c r="AA170" s="334"/>
      <c r="AB170" s="334"/>
      <c r="AC170" s="334" t="e">
        <f t="shared" si="67"/>
        <v>#N/A</v>
      </c>
      <c r="AD170" s="485"/>
      <c r="AE170" s="334"/>
      <c r="AF170" s="334"/>
      <c r="AG170" s="334"/>
      <c r="AH170" s="334" t="e">
        <f t="shared" si="68"/>
        <v>#N/A</v>
      </c>
      <c r="AI170" s="485"/>
      <c r="AJ170" s="334"/>
      <c r="AK170" s="334"/>
      <c r="AL170" s="334"/>
      <c r="AM170" s="334" t="e">
        <f t="shared" si="69"/>
        <v>#N/A</v>
      </c>
      <c r="AN170" s="485"/>
      <c r="AO170" s="334"/>
      <c r="AP170" s="334"/>
      <c r="AQ170" s="334"/>
      <c r="AR170" s="334" t="e">
        <f t="shared" si="70"/>
        <v>#N/A</v>
      </c>
      <c r="AS170" s="485"/>
      <c r="AT170" s="334"/>
      <c r="AU170" s="334"/>
      <c r="AV170" s="334"/>
      <c r="AW170" s="334" t="e">
        <f t="shared" si="71"/>
        <v>#N/A</v>
      </c>
      <c r="AX170" s="485"/>
    </row>
    <row r="171" spans="2:50">
      <c r="B171" s="483"/>
      <c r="C171" s="334">
        <v>25</v>
      </c>
      <c r="D171" s="334"/>
      <c r="E171" s="334"/>
      <c r="F171" s="334"/>
      <c r="G171" s="334"/>
      <c r="H171" s="485"/>
      <c r="I171" s="222"/>
      <c r="J171" s="222"/>
      <c r="K171" s="222"/>
      <c r="L171" s="457"/>
      <c r="M171" s="219" t="e">
        <f>RANK(K171, K$147:$K$176)</f>
        <v>#DIV/0!</v>
      </c>
      <c r="N171" s="475"/>
      <c r="O171" s="475"/>
      <c r="P171" s="334"/>
      <c r="Q171" s="334"/>
      <c r="R171" s="334"/>
      <c r="S171" s="334" t="e">
        <f t="shared" si="65"/>
        <v>#N/A</v>
      </c>
      <c r="T171" s="485"/>
      <c r="U171" s="334"/>
      <c r="V171" s="334"/>
      <c r="W171" s="334"/>
      <c r="X171" s="334" t="e">
        <f t="shared" si="66"/>
        <v>#N/A</v>
      </c>
      <c r="Y171" s="485"/>
      <c r="Z171" s="334"/>
      <c r="AA171" s="334"/>
      <c r="AB171" s="334"/>
      <c r="AC171" s="334" t="e">
        <f t="shared" si="67"/>
        <v>#N/A</v>
      </c>
      <c r="AD171" s="485"/>
      <c r="AE171" s="334"/>
      <c r="AF171" s="334"/>
      <c r="AG171" s="334"/>
      <c r="AH171" s="334" t="e">
        <f t="shared" si="68"/>
        <v>#N/A</v>
      </c>
      <c r="AI171" s="485"/>
      <c r="AJ171" s="334"/>
      <c r="AK171" s="334"/>
      <c r="AL171" s="334"/>
      <c r="AM171" s="334" t="e">
        <f t="shared" si="69"/>
        <v>#N/A</v>
      </c>
      <c r="AN171" s="485"/>
      <c r="AO171" s="334"/>
      <c r="AP171" s="334"/>
      <c r="AQ171" s="334"/>
      <c r="AR171" s="334" t="e">
        <f t="shared" si="70"/>
        <v>#N/A</v>
      </c>
      <c r="AS171" s="485"/>
      <c r="AT171" s="334"/>
      <c r="AU171" s="334"/>
      <c r="AV171" s="334"/>
      <c r="AW171" s="334" t="e">
        <f t="shared" si="71"/>
        <v>#N/A</v>
      </c>
      <c r="AX171" s="485"/>
    </row>
    <row r="172" spans="2:50">
      <c r="B172" s="483"/>
      <c r="C172" s="334">
        <v>26</v>
      </c>
      <c r="D172" s="334"/>
      <c r="E172" s="334"/>
      <c r="F172" s="334"/>
      <c r="G172" s="334"/>
      <c r="H172" s="485"/>
      <c r="I172" s="222"/>
      <c r="J172" s="222"/>
      <c r="K172" s="222"/>
      <c r="L172" s="457"/>
      <c r="M172" s="219" t="e">
        <f>RANK(K172, K$147:$K$176)</f>
        <v>#DIV/0!</v>
      </c>
      <c r="N172" s="475"/>
      <c r="O172" s="475"/>
      <c r="P172" s="334"/>
      <c r="Q172" s="334"/>
      <c r="R172" s="334"/>
      <c r="S172" s="334" t="e">
        <f t="shared" si="65"/>
        <v>#N/A</v>
      </c>
      <c r="T172" s="485"/>
      <c r="U172" s="334"/>
      <c r="V172" s="334"/>
      <c r="W172" s="334"/>
      <c r="X172" s="334" t="e">
        <f t="shared" si="66"/>
        <v>#N/A</v>
      </c>
      <c r="Y172" s="485"/>
      <c r="Z172" s="334"/>
      <c r="AA172" s="334"/>
      <c r="AB172" s="334"/>
      <c r="AC172" s="334" t="e">
        <f t="shared" si="67"/>
        <v>#N/A</v>
      </c>
      <c r="AD172" s="485"/>
      <c r="AE172" s="334"/>
      <c r="AF172" s="334"/>
      <c r="AG172" s="334"/>
      <c r="AH172" s="334" t="e">
        <f t="shared" si="68"/>
        <v>#N/A</v>
      </c>
      <c r="AI172" s="485"/>
      <c r="AJ172" s="334"/>
      <c r="AK172" s="334"/>
      <c r="AL172" s="334"/>
      <c r="AM172" s="334" t="e">
        <f t="shared" si="69"/>
        <v>#N/A</v>
      </c>
      <c r="AN172" s="485"/>
      <c r="AO172" s="334"/>
      <c r="AP172" s="334"/>
      <c r="AQ172" s="334"/>
      <c r="AR172" s="334" t="e">
        <f t="shared" si="70"/>
        <v>#N/A</v>
      </c>
      <c r="AS172" s="485"/>
      <c r="AT172" s="334"/>
      <c r="AU172" s="334"/>
      <c r="AV172" s="334"/>
      <c r="AW172" s="334" t="e">
        <f t="shared" si="71"/>
        <v>#N/A</v>
      </c>
      <c r="AX172" s="485"/>
    </row>
    <row r="173" spans="2:50">
      <c r="B173" s="483"/>
      <c r="C173" s="334">
        <v>27</v>
      </c>
      <c r="D173" s="334"/>
      <c r="E173" s="334"/>
      <c r="F173" s="334"/>
      <c r="G173" s="334"/>
      <c r="H173" s="485"/>
      <c r="I173" s="222"/>
      <c r="J173" s="222"/>
      <c r="K173" s="222"/>
      <c r="L173" s="457"/>
      <c r="M173" s="219" t="e">
        <f>RANK(K173, K$147:$K$176)</f>
        <v>#DIV/0!</v>
      </c>
      <c r="N173" s="475"/>
      <c r="O173" s="475"/>
      <c r="P173" s="334"/>
      <c r="Q173" s="334"/>
      <c r="R173" s="334"/>
      <c r="S173" s="334" t="e">
        <f t="shared" si="65"/>
        <v>#N/A</v>
      </c>
      <c r="T173" s="485"/>
      <c r="U173" s="334"/>
      <c r="V173" s="334"/>
      <c r="W173" s="334"/>
      <c r="X173" s="334" t="e">
        <f t="shared" si="66"/>
        <v>#N/A</v>
      </c>
      <c r="Y173" s="485"/>
      <c r="Z173" s="334"/>
      <c r="AA173" s="334"/>
      <c r="AB173" s="334"/>
      <c r="AC173" s="334" t="e">
        <f t="shared" si="67"/>
        <v>#N/A</v>
      </c>
      <c r="AD173" s="485"/>
      <c r="AE173" s="334"/>
      <c r="AF173" s="334"/>
      <c r="AG173" s="334"/>
      <c r="AH173" s="334" t="e">
        <f t="shared" si="68"/>
        <v>#N/A</v>
      </c>
      <c r="AI173" s="485"/>
      <c r="AJ173" s="334"/>
      <c r="AK173" s="334"/>
      <c r="AL173" s="334"/>
      <c r="AM173" s="334" t="e">
        <f t="shared" si="69"/>
        <v>#N/A</v>
      </c>
      <c r="AN173" s="485"/>
      <c r="AO173" s="334"/>
      <c r="AP173" s="334"/>
      <c r="AQ173" s="334"/>
      <c r="AR173" s="334" t="e">
        <f t="shared" si="70"/>
        <v>#N/A</v>
      </c>
      <c r="AS173" s="485"/>
      <c r="AT173" s="334"/>
      <c r="AU173" s="334"/>
      <c r="AV173" s="334"/>
      <c r="AW173" s="334" t="e">
        <f t="shared" si="71"/>
        <v>#N/A</v>
      </c>
      <c r="AX173" s="485"/>
    </row>
    <row r="174" spans="2:50">
      <c r="B174" s="483"/>
      <c r="C174" s="334">
        <v>28</v>
      </c>
      <c r="D174" s="334"/>
      <c r="E174" s="334"/>
      <c r="F174" s="334"/>
      <c r="G174" s="334"/>
      <c r="H174" s="485"/>
      <c r="I174" s="222"/>
      <c r="J174" s="222"/>
      <c r="K174" s="222"/>
      <c r="L174" s="457"/>
      <c r="M174" s="219" t="e">
        <f>RANK(K174, K$147:$K$176)</f>
        <v>#DIV/0!</v>
      </c>
      <c r="N174" s="475"/>
      <c r="O174" s="475"/>
      <c r="P174" s="334"/>
      <c r="Q174" s="334"/>
      <c r="R174" s="334"/>
      <c r="S174" s="334" t="e">
        <f t="shared" si="65"/>
        <v>#N/A</v>
      </c>
      <c r="T174" s="485"/>
      <c r="U174" s="334"/>
      <c r="V174" s="334"/>
      <c r="W174" s="334"/>
      <c r="X174" s="334" t="e">
        <f t="shared" si="66"/>
        <v>#N/A</v>
      </c>
      <c r="Y174" s="485"/>
      <c r="Z174" s="334"/>
      <c r="AA174" s="334"/>
      <c r="AB174" s="334"/>
      <c r="AC174" s="334" t="e">
        <f t="shared" si="67"/>
        <v>#N/A</v>
      </c>
      <c r="AD174" s="485"/>
      <c r="AE174" s="334"/>
      <c r="AF174" s="334"/>
      <c r="AG174" s="334"/>
      <c r="AH174" s="334" t="e">
        <f t="shared" si="68"/>
        <v>#N/A</v>
      </c>
      <c r="AI174" s="485"/>
      <c r="AJ174" s="334"/>
      <c r="AK174" s="334"/>
      <c r="AL174" s="334"/>
      <c r="AM174" s="334" t="e">
        <f t="shared" si="69"/>
        <v>#N/A</v>
      </c>
      <c r="AN174" s="485"/>
      <c r="AO174" s="334"/>
      <c r="AP174" s="334"/>
      <c r="AQ174" s="334"/>
      <c r="AR174" s="334" t="e">
        <f t="shared" si="70"/>
        <v>#N/A</v>
      </c>
      <c r="AS174" s="485"/>
      <c r="AT174" s="334"/>
      <c r="AU174" s="334"/>
      <c r="AV174" s="334"/>
      <c r="AW174" s="334" t="e">
        <f t="shared" si="71"/>
        <v>#N/A</v>
      </c>
      <c r="AX174" s="485"/>
    </row>
    <row r="175" spans="2:50">
      <c r="B175" s="483"/>
      <c r="C175" s="334">
        <v>29</v>
      </c>
      <c r="D175" s="334"/>
      <c r="E175" s="334"/>
      <c r="F175" s="334"/>
      <c r="G175" s="334"/>
      <c r="H175" s="485"/>
      <c r="I175" s="222"/>
      <c r="J175" s="222"/>
      <c r="K175" s="222"/>
      <c r="L175" s="457"/>
      <c r="M175" s="219" t="e">
        <f>RANK(K175, K$147:$K$176)</f>
        <v>#DIV/0!</v>
      </c>
      <c r="N175" s="475"/>
      <c r="O175" s="475"/>
      <c r="P175" s="334"/>
      <c r="Q175" s="334"/>
      <c r="R175" s="334"/>
      <c r="S175" s="334" t="e">
        <f t="shared" si="65"/>
        <v>#N/A</v>
      </c>
      <c r="T175" s="485"/>
      <c r="U175" s="334"/>
      <c r="V175" s="334"/>
      <c r="W175" s="334"/>
      <c r="X175" s="334" t="e">
        <f t="shared" si="66"/>
        <v>#N/A</v>
      </c>
      <c r="Y175" s="485"/>
      <c r="Z175" s="334"/>
      <c r="AA175" s="334"/>
      <c r="AB175" s="334"/>
      <c r="AC175" s="334" t="e">
        <f t="shared" si="67"/>
        <v>#N/A</v>
      </c>
      <c r="AD175" s="485"/>
      <c r="AE175" s="334"/>
      <c r="AF175" s="334"/>
      <c r="AG175" s="334"/>
      <c r="AH175" s="334" t="e">
        <f t="shared" si="68"/>
        <v>#N/A</v>
      </c>
      <c r="AI175" s="485"/>
      <c r="AJ175" s="334"/>
      <c r="AK175" s="334"/>
      <c r="AL175" s="334"/>
      <c r="AM175" s="334" t="e">
        <f t="shared" si="69"/>
        <v>#N/A</v>
      </c>
      <c r="AN175" s="485"/>
      <c r="AO175" s="334"/>
      <c r="AP175" s="334"/>
      <c r="AQ175" s="334"/>
      <c r="AR175" s="334" t="e">
        <f t="shared" si="70"/>
        <v>#N/A</v>
      </c>
      <c r="AS175" s="485"/>
      <c r="AT175" s="334"/>
      <c r="AU175" s="334"/>
      <c r="AV175" s="334"/>
      <c r="AW175" s="334" t="e">
        <f t="shared" si="71"/>
        <v>#N/A</v>
      </c>
      <c r="AX175" s="485"/>
    </row>
    <row r="176" spans="2:50">
      <c r="B176" s="483"/>
      <c r="C176" s="334">
        <v>30</v>
      </c>
      <c r="D176" s="334"/>
      <c r="E176" s="334"/>
      <c r="F176" s="334"/>
      <c r="G176" s="334"/>
      <c r="H176" s="486"/>
      <c r="I176" s="222"/>
      <c r="J176" s="222"/>
      <c r="K176" s="222"/>
      <c r="L176" s="458"/>
      <c r="M176" s="219" t="e">
        <f>RANK(K176, K$147:$K$176)</f>
        <v>#DIV/0!</v>
      </c>
      <c r="N176" s="475"/>
      <c r="O176" s="475"/>
      <c r="P176" s="334"/>
      <c r="Q176" s="334"/>
      <c r="R176" s="334"/>
      <c r="S176" s="334" t="e">
        <f t="shared" si="55"/>
        <v>#N/A</v>
      </c>
      <c r="T176" s="486"/>
      <c r="U176" s="334"/>
      <c r="V176" s="334"/>
      <c r="W176" s="334"/>
      <c r="X176" s="334" t="e">
        <f t="shared" si="56"/>
        <v>#N/A</v>
      </c>
      <c r="Y176" s="486"/>
      <c r="Z176" s="334"/>
      <c r="AA176" s="334"/>
      <c r="AB176" s="334"/>
      <c r="AC176" s="334" t="e">
        <f t="shared" si="57"/>
        <v>#N/A</v>
      </c>
      <c r="AD176" s="486"/>
      <c r="AE176" s="334"/>
      <c r="AF176" s="334"/>
      <c r="AG176" s="334"/>
      <c r="AH176" s="334" t="e">
        <f t="shared" si="58"/>
        <v>#N/A</v>
      </c>
      <c r="AI176" s="486"/>
      <c r="AJ176" s="334"/>
      <c r="AK176" s="334"/>
      <c r="AL176" s="334"/>
      <c r="AM176" s="334" t="e">
        <f t="shared" si="59"/>
        <v>#N/A</v>
      </c>
      <c r="AN176" s="486"/>
      <c r="AO176" s="334"/>
      <c r="AP176" s="334"/>
      <c r="AQ176" s="334"/>
      <c r="AR176" s="334" t="e">
        <f t="shared" si="60"/>
        <v>#N/A</v>
      </c>
      <c r="AS176" s="486"/>
      <c r="AT176" s="334"/>
      <c r="AU176" s="334"/>
      <c r="AV176" s="334"/>
      <c r="AW176" s="334" t="e">
        <f t="shared" si="61"/>
        <v>#N/A</v>
      </c>
      <c r="AX176" s="486"/>
    </row>
  </sheetData>
  <mergeCells count="295"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="50" zoomScaleNormal="50" workbookViewId="0">
      <pane xSplit="15" topLeftCell="S1" activePane="topRight" state="frozen"/>
      <selection sqref="A1:L2"/>
      <selection pane="topRight" sqref="A1:L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7" t="s">
        <v>381</v>
      </c>
      <c r="C1" s="248">
        <f>AVERAGE(L7,L27,L47,L67,L87)</f>
        <v>203.29611575395774</v>
      </c>
    </row>
    <row r="2" spans="1:50" ht="15.75">
      <c r="A2" s="81"/>
      <c r="B2" s="487" t="s">
        <v>172</v>
      </c>
      <c r="C2" s="487"/>
      <c r="D2" s="487"/>
      <c r="E2" s="487"/>
      <c r="F2" s="487"/>
      <c r="G2" s="487"/>
      <c r="H2" s="487"/>
      <c r="I2" s="352"/>
      <c r="J2" s="352"/>
      <c r="K2" s="352"/>
      <c r="L2" s="352"/>
      <c r="M2" s="217"/>
      <c r="N2" s="476" t="s">
        <v>164</v>
      </c>
      <c r="O2" s="476" t="s">
        <v>163</v>
      </c>
      <c r="P2" s="479">
        <v>45895</v>
      </c>
      <c r="Q2" s="480"/>
      <c r="R2" s="480"/>
      <c r="S2" s="480"/>
      <c r="T2" s="481"/>
      <c r="U2" s="482">
        <f>P2+1</f>
        <v>45896</v>
      </c>
      <c r="V2" s="483"/>
      <c r="W2" s="483"/>
      <c r="X2" s="483"/>
      <c r="Y2" s="483"/>
      <c r="Z2" s="482">
        <f>U2+1</f>
        <v>45897</v>
      </c>
      <c r="AA2" s="483"/>
      <c r="AB2" s="483"/>
      <c r="AC2" s="483"/>
      <c r="AD2" s="483"/>
      <c r="AE2" s="482">
        <f>Z2+1</f>
        <v>45898</v>
      </c>
      <c r="AF2" s="483"/>
      <c r="AG2" s="483"/>
      <c r="AH2" s="483"/>
      <c r="AI2" s="483"/>
      <c r="AJ2" s="482">
        <f>AE2+1</f>
        <v>45899</v>
      </c>
      <c r="AK2" s="483"/>
      <c r="AL2" s="483"/>
      <c r="AM2" s="483"/>
      <c r="AN2" s="483"/>
      <c r="AO2" s="482">
        <f>AJ2+1</f>
        <v>45900</v>
      </c>
      <c r="AP2" s="483"/>
      <c r="AQ2" s="483"/>
      <c r="AR2" s="483"/>
      <c r="AS2" s="483"/>
      <c r="AT2" s="482">
        <f>AO2+1</f>
        <v>45901</v>
      </c>
      <c r="AU2" s="483"/>
      <c r="AV2" s="483"/>
      <c r="AW2" s="483"/>
      <c r="AX2" s="483"/>
    </row>
    <row r="3" spans="1:50" ht="15.75">
      <c r="A3" s="81"/>
      <c r="B3" s="504"/>
      <c r="C3" s="504"/>
      <c r="D3" s="504"/>
      <c r="E3" s="504"/>
      <c r="F3" s="504"/>
      <c r="G3" s="504"/>
      <c r="H3" s="504"/>
      <c r="I3" s="353"/>
      <c r="J3" s="353"/>
      <c r="K3" s="353"/>
      <c r="L3" s="353"/>
      <c r="M3" s="218"/>
      <c r="N3" s="478"/>
      <c r="O3" s="478"/>
      <c r="P3" s="479" t="s">
        <v>166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168</v>
      </c>
      <c r="AA3" s="480"/>
      <c r="AB3" s="480"/>
      <c r="AC3" s="480"/>
      <c r="AD3" s="481"/>
      <c r="AE3" s="479" t="s">
        <v>165</v>
      </c>
      <c r="AF3" s="480"/>
      <c r="AG3" s="480"/>
      <c r="AH3" s="480"/>
      <c r="AI3" s="481"/>
      <c r="AJ3" s="479" t="s">
        <v>169</v>
      </c>
      <c r="AK3" s="480"/>
      <c r="AL3" s="480"/>
      <c r="AM3" s="480"/>
      <c r="AN3" s="481"/>
      <c r="AO3" s="479" t="s">
        <v>170</v>
      </c>
      <c r="AP3" s="480"/>
      <c r="AQ3" s="480"/>
      <c r="AR3" s="480"/>
      <c r="AS3" s="481"/>
      <c r="AT3" s="479" t="s">
        <v>171</v>
      </c>
      <c r="AU3" s="480"/>
      <c r="AV3" s="480"/>
      <c r="AW3" s="480"/>
      <c r="AX3" s="481"/>
    </row>
    <row r="4" spans="1:50">
      <c r="A4" s="81"/>
      <c r="B4" s="475" t="s">
        <v>766</v>
      </c>
      <c r="C4" s="475" t="s">
        <v>767</v>
      </c>
      <c r="D4" s="475"/>
      <c r="E4" s="475" t="s">
        <v>768</v>
      </c>
      <c r="F4" s="475"/>
      <c r="G4" s="475"/>
      <c r="H4" s="491" t="s">
        <v>769</v>
      </c>
      <c r="I4" s="459" t="s">
        <v>770</v>
      </c>
      <c r="J4" s="459"/>
      <c r="K4" s="459"/>
      <c r="L4" s="460" t="s">
        <v>769</v>
      </c>
      <c r="M4" s="466" t="s">
        <v>771</v>
      </c>
      <c r="N4" s="475"/>
      <c r="O4" s="475" t="s">
        <v>772</v>
      </c>
      <c r="P4" s="472" t="s">
        <v>773</v>
      </c>
      <c r="Q4" s="473"/>
      <c r="R4" s="473"/>
      <c r="S4" s="474"/>
      <c r="T4" s="475" t="s">
        <v>769</v>
      </c>
      <c r="U4" s="472" t="s">
        <v>773</v>
      </c>
      <c r="V4" s="473"/>
      <c r="W4" s="473"/>
      <c r="X4" s="474"/>
      <c r="Y4" s="475" t="s">
        <v>769</v>
      </c>
      <c r="Z4" s="472" t="s">
        <v>773</v>
      </c>
      <c r="AA4" s="473"/>
      <c r="AB4" s="473"/>
      <c r="AC4" s="474"/>
      <c r="AD4" s="475" t="s">
        <v>769</v>
      </c>
      <c r="AE4" s="472" t="s">
        <v>773</v>
      </c>
      <c r="AF4" s="473"/>
      <c r="AG4" s="473"/>
      <c r="AH4" s="474"/>
      <c r="AI4" s="475" t="s">
        <v>769</v>
      </c>
      <c r="AJ4" s="472" t="s">
        <v>773</v>
      </c>
      <c r="AK4" s="473"/>
      <c r="AL4" s="473"/>
      <c r="AM4" s="474"/>
      <c r="AN4" s="475" t="s">
        <v>769</v>
      </c>
      <c r="AO4" s="472" t="s">
        <v>773</v>
      </c>
      <c r="AP4" s="473"/>
      <c r="AQ4" s="473"/>
      <c r="AR4" s="474"/>
      <c r="AS4" s="475" t="s">
        <v>769</v>
      </c>
      <c r="AT4" s="472" t="s">
        <v>773</v>
      </c>
      <c r="AU4" s="473"/>
      <c r="AV4" s="473"/>
      <c r="AW4" s="474"/>
      <c r="AX4" s="475" t="s">
        <v>769</v>
      </c>
    </row>
    <row r="5" spans="1:50">
      <c r="A5" s="81"/>
      <c r="B5" s="475"/>
      <c r="C5" s="475"/>
      <c r="D5" s="475"/>
      <c r="E5" s="475" t="s">
        <v>774</v>
      </c>
      <c r="F5" s="475"/>
      <c r="G5" s="475"/>
      <c r="H5" s="492"/>
      <c r="I5" s="459" t="s">
        <v>774</v>
      </c>
      <c r="J5" s="459"/>
      <c r="K5" s="459"/>
      <c r="L5" s="461"/>
      <c r="M5" s="467"/>
      <c r="N5" s="475"/>
      <c r="O5" s="475"/>
      <c r="P5" s="472" t="s">
        <v>775</v>
      </c>
      <c r="Q5" s="473"/>
      <c r="R5" s="473"/>
      <c r="S5" s="474"/>
      <c r="T5" s="475"/>
      <c r="U5" s="472" t="s">
        <v>775</v>
      </c>
      <c r="V5" s="473"/>
      <c r="W5" s="473"/>
      <c r="X5" s="474"/>
      <c r="Y5" s="475"/>
      <c r="Z5" s="472" t="s">
        <v>775</v>
      </c>
      <c r="AA5" s="473"/>
      <c r="AB5" s="473"/>
      <c r="AC5" s="474"/>
      <c r="AD5" s="475"/>
      <c r="AE5" s="472" t="s">
        <v>775</v>
      </c>
      <c r="AF5" s="473"/>
      <c r="AG5" s="473"/>
      <c r="AH5" s="474"/>
      <c r="AI5" s="475"/>
      <c r="AJ5" s="472" t="s">
        <v>775</v>
      </c>
      <c r="AK5" s="473"/>
      <c r="AL5" s="473"/>
      <c r="AM5" s="474"/>
      <c r="AN5" s="475"/>
      <c r="AO5" s="472" t="s">
        <v>775</v>
      </c>
      <c r="AP5" s="473"/>
      <c r="AQ5" s="473"/>
      <c r="AR5" s="474"/>
      <c r="AS5" s="475"/>
      <c r="AT5" s="472" t="s">
        <v>775</v>
      </c>
      <c r="AU5" s="473"/>
      <c r="AV5" s="473"/>
      <c r="AW5" s="474"/>
      <c r="AX5" s="475"/>
    </row>
    <row r="6" spans="1:50">
      <c r="A6" s="79"/>
      <c r="B6" s="475"/>
      <c r="C6" s="475"/>
      <c r="D6" s="475"/>
      <c r="E6" s="369" t="s">
        <v>776</v>
      </c>
      <c r="F6" s="369" t="s">
        <v>777</v>
      </c>
      <c r="G6" s="369" t="s">
        <v>778</v>
      </c>
      <c r="H6" s="493"/>
      <c r="I6" s="370" t="s">
        <v>776</v>
      </c>
      <c r="J6" s="370" t="s">
        <v>777</v>
      </c>
      <c r="K6" s="370" t="s">
        <v>778</v>
      </c>
      <c r="L6" s="462"/>
      <c r="M6" s="468"/>
      <c r="N6" s="475"/>
      <c r="O6" s="475"/>
      <c r="P6" s="369" t="s">
        <v>776</v>
      </c>
      <c r="Q6" s="369" t="s">
        <v>777</v>
      </c>
      <c r="R6" s="369" t="s">
        <v>778</v>
      </c>
      <c r="S6" s="369" t="s">
        <v>771</v>
      </c>
      <c r="T6" s="475"/>
      <c r="U6" s="369" t="s">
        <v>776</v>
      </c>
      <c r="V6" s="369" t="s">
        <v>777</v>
      </c>
      <c r="W6" s="369" t="s">
        <v>778</v>
      </c>
      <c r="X6" s="369" t="s">
        <v>771</v>
      </c>
      <c r="Y6" s="475"/>
      <c r="Z6" s="369" t="s">
        <v>776</v>
      </c>
      <c r="AA6" s="369" t="s">
        <v>777</v>
      </c>
      <c r="AB6" s="369" t="s">
        <v>778</v>
      </c>
      <c r="AC6" s="369" t="s">
        <v>771</v>
      </c>
      <c r="AD6" s="475"/>
      <c r="AE6" s="369" t="s">
        <v>776</v>
      </c>
      <c r="AF6" s="369" t="s">
        <v>777</v>
      </c>
      <c r="AG6" s="369" t="s">
        <v>778</v>
      </c>
      <c r="AH6" s="369" t="s">
        <v>771</v>
      </c>
      <c r="AI6" s="475"/>
      <c r="AJ6" s="369" t="s">
        <v>776</v>
      </c>
      <c r="AK6" s="369" t="s">
        <v>777</v>
      </c>
      <c r="AL6" s="369" t="s">
        <v>778</v>
      </c>
      <c r="AM6" s="369" t="s">
        <v>771</v>
      </c>
      <c r="AN6" s="475"/>
      <c r="AO6" s="369" t="s">
        <v>776</v>
      </c>
      <c r="AP6" s="369" t="s">
        <v>777</v>
      </c>
      <c r="AQ6" s="369" t="s">
        <v>778</v>
      </c>
      <c r="AR6" s="369" t="s">
        <v>771</v>
      </c>
      <c r="AS6" s="475"/>
      <c r="AT6" s="369" t="s">
        <v>776</v>
      </c>
      <c r="AU6" s="369" t="s">
        <v>777</v>
      </c>
      <c r="AV6" s="369" t="s">
        <v>778</v>
      </c>
      <c r="AW6" s="369" t="s">
        <v>771</v>
      </c>
      <c r="AX6" s="475"/>
    </row>
    <row r="7" spans="1:50">
      <c r="A7" s="81"/>
      <c r="B7" s="505" t="s">
        <v>779</v>
      </c>
      <c r="C7" s="368">
        <v>1</v>
      </c>
      <c r="D7" s="368" t="s">
        <v>457</v>
      </c>
      <c r="E7" s="368">
        <v>15</v>
      </c>
      <c r="F7" s="368">
        <v>1200</v>
      </c>
      <c r="G7" s="368">
        <v>80</v>
      </c>
      <c r="H7" s="507">
        <f>AVERAGE(G7:G21)</f>
        <v>194.65</v>
      </c>
      <c r="I7" s="219">
        <f>AVERAGE(P7,U7,Z7,AE7,AJ7,AO7,AT7)</f>
        <v>13</v>
      </c>
      <c r="J7" s="219">
        <f>AVERAGE(Q7,V7,AA7,AF7,AK7,AP7,AU7)</f>
        <v>1181.657142857144</v>
      </c>
      <c r="K7" s="220">
        <f>AVERAGE(R7,W7,AB7,AG7,AL7,AQ7,AV7)</f>
        <v>90.896703296703365</v>
      </c>
      <c r="L7" s="456">
        <f>IFERROR(AVERAGE(K7:K21),"-")</f>
        <v>204.4683929351593</v>
      </c>
      <c r="M7" s="221">
        <f>RANK(K7, K$7:$K$21)</f>
        <v>7</v>
      </c>
      <c r="N7" s="475"/>
      <c r="O7" s="475"/>
      <c r="P7" s="368">
        <v>13</v>
      </c>
      <c r="Q7" s="187">
        <v>1080.0000000000014</v>
      </c>
      <c r="R7" s="371">
        <v>83.07692307692318</v>
      </c>
      <c r="S7" s="368">
        <f t="shared" ref="S7:S21" si="0">RANK(R7, R$7:R$21)</f>
        <v>8</v>
      </c>
      <c r="T7" s="506">
        <f>AVERAGE(R7:R21)</f>
        <v>195.78366338176343</v>
      </c>
      <c r="U7" s="368">
        <v>13</v>
      </c>
      <c r="V7" s="187">
        <v>1238.0000000000014</v>
      </c>
      <c r="W7" s="371">
        <v>95.23076923076934</v>
      </c>
      <c r="X7" s="368">
        <f t="shared" ref="X7:X21" si="1">RANK(W7, W$7:W$21)</f>
        <v>8</v>
      </c>
      <c r="Y7" s="506">
        <f>AVERAGE(W7:W21)</f>
        <v>196.31076458138037</v>
      </c>
      <c r="Z7" s="368">
        <v>13</v>
      </c>
      <c r="AA7" s="187">
        <v>1167.999999999998</v>
      </c>
      <c r="AB7" s="371">
        <v>89.846153846153683</v>
      </c>
      <c r="AC7" s="368">
        <f t="shared" ref="AC7:AC21" si="2">RANK(AB7, AB$7:AB$21)</f>
        <v>8</v>
      </c>
      <c r="AD7" s="506">
        <f>AVERAGE(AB7:AB21)</f>
        <v>198.41235639360633</v>
      </c>
      <c r="AE7" s="368">
        <v>13</v>
      </c>
      <c r="AF7" s="187">
        <v>1212.0000000000005</v>
      </c>
      <c r="AG7" s="371">
        <v>93.230769230769269</v>
      </c>
      <c r="AH7" s="368">
        <f t="shared" ref="AH7:AH21" si="3">RANK(AG7, AG$7:AG$21)</f>
        <v>8</v>
      </c>
      <c r="AI7" s="506">
        <f>AVERAGE(AG7:AG21)</f>
        <v>206.59098089410617</v>
      </c>
      <c r="AJ7" s="368">
        <v>13</v>
      </c>
      <c r="AK7" s="187">
        <v>1161.6000000000004</v>
      </c>
      <c r="AL7" s="371">
        <v>89.353846153846177</v>
      </c>
      <c r="AM7" s="368">
        <f t="shared" ref="AM7:AM21" si="4">RANK(AL7, AL$7:AL$21)</f>
        <v>8</v>
      </c>
      <c r="AN7" s="506">
        <f>AVERAGE(AL7:AL21)</f>
        <v>193.39419018481505</v>
      </c>
      <c r="AO7" s="368">
        <v>13</v>
      </c>
      <c r="AP7" s="187">
        <v>1226.0000000000043</v>
      </c>
      <c r="AQ7" s="371">
        <v>94.307692307692633</v>
      </c>
      <c r="AR7" s="368">
        <f t="shared" ref="AR7:AR21" si="5">RANK(AQ7, AQ$7:AQ$21)</f>
        <v>8</v>
      </c>
      <c r="AS7" s="484">
        <f>AVERAGE(AQ7:AQ21)</f>
        <v>193.92896478521479</v>
      </c>
      <c r="AT7" s="374">
        <v>13</v>
      </c>
      <c r="AU7" s="187">
        <v>1186.0000000000011</v>
      </c>
      <c r="AV7" s="375">
        <v>91.230769230769312</v>
      </c>
      <c r="AW7" s="374">
        <f t="shared" ref="AW7:AW21" si="6">RANK(AV7, AV$7:AV$21)</f>
        <v>7</v>
      </c>
      <c r="AX7" s="484">
        <f>AVERAGE(AV7:AV21)</f>
        <v>205.87878920333554</v>
      </c>
    </row>
    <row r="8" spans="1:50" ht="15" customHeight="1">
      <c r="A8" s="81"/>
      <c r="B8" s="483"/>
      <c r="C8" s="368">
        <v>2</v>
      </c>
      <c r="D8" s="368" t="s">
        <v>458</v>
      </c>
      <c r="E8" s="368">
        <v>10</v>
      </c>
      <c r="F8" s="368">
        <v>1500</v>
      </c>
      <c r="G8" s="368">
        <v>150</v>
      </c>
      <c r="H8" s="508"/>
      <c r="I8" s="219">
        <f t="shared" ref="I8:K13" si="7">AVERAGE(P8,U8,Z8,AE8,AJ8,AO8,AT8)</f>
        <v>10</v>
      </c>
      <c r="J8" s="219">
        <f t="shared" si="7"/>
        <v>1497.8129251700673</v>
      </c>
      <c r="K8" s="220">
        <f t="shared" si="7"/>
        <v>149.78129251700673</v>
      </c>
      <c r="L8" s="457"/>
      <c r="M8" s="221">
        <f>RANK(K8, K$7:$K$21)</f>
        <v>5</v>
      </c>
      <c r="N8" s="475"/>
      <c r="O8" s="475"/>
      <c r="P8" s="368">
        <v>10</v>
      </c>
      <c r="Q8" s="187">
        <v>1550.9999999999995</v>
      </c>
      <c r="R8" s="371">
        <v>155.09999999999997</v>
      </c>
      <c r="S8" s="368">
        <f t="shared" si="0"/>
        <v>5</v>
      </c>
      <c r="T8" s="506"/>
      <c r="U8" s="368">
        <v>10</v>
      </c>
      <c r="V8" s="187">
        <v>1544.9999999999993</v>
      </c>
      <c r="W8" s="371">
        <v>154.49999999999994</v>
      </c>
      <c r="X8" s="368">
        <f t="shared" si="1"/>
        <v>4</v>
      </c>
      <c r="Y8" s="506"/>
      <c r="Z8" s="368">
        <v>10</v>
      </c>
      <c r="AA8" s="187">
        <v>1517.9999999999961</v>
      </c>
      <c r="AB8" s="371">
        <v>151.79999999999961</v>
      </c>
      <c r="AC8" s="368">
        <f t="shared" si="2"/>
        <v>7</v>
      </c>
      <c r="AD8" s="506"/>
      <c r="AE8" s="368">
        <v>10</v>
      </c>
      <c r="AF8" s="187">
        <v>1450.2857142857129</v>
      </c>
      <c r="AG8" s="371">
        <v>145.0285714285713</v>
      </c>
      <c r="AH8" s="368">
        <f t="shared" si="3"/>
        <v>6</v>
      </c>
      <c r="AI8" s="506"/>
      <c r="AJ8" s="368">
        <v>10</v>
      </c>
      <c r="AK8" s="187">
        <v>1412.5714285714303</v>
      </c>
      <c r="AL8" s="371">
        <v>141.25714285714304</v>
      </c>
      <c r="AM8" s="368">
        <f t="shared" si="4"/>
        <v>7</v>
      </c>
      <c r="AN8" s="506"/>
      <c r="AO8" s="368">
        <v>10</v>
      </c>
      <c r="AP8" s="187">
        <v>1449.3333333333333</v>
      </c>
      <c r="AQ8" s="371">
        <v>144.93333333333334</v>
      </c>
      <c r="AR8" s="368">
        <f t="shared" si="5"/>
        <v>5</v>
      </c>
      <c r="AS8" s="485"/>
      <c r="AT8" s="374">
        <v>10</v>
      </c>
      <c r="AU8" s="187">
        <v>1558.4999999999995</v>
      </c>
      <c r="AV8" s="375">
        <v>155.84999999999997</v>
      </c>
      <c r="AW8" s="374">
        <f t="shared" si="6"/>
        <v>5</v>
      </c>
      <c r="AX8" s="485"/>
    </row>
    <row r="9" spans="1:50">
      <c r="A9" s="81"/>
      <c r="B9" s="483"/>
      <c r="C9" s="368">
        <v>3</v>
      </c>
      <c r="D9" s="368" t="s">
        <v>459</v>
      </c>
      <c r="E9" s="368">
        <v>10</v>
      </c>
      <c r="F9" s="368">
        <v>1636</v>
      </c>
      <c r="G9" s="368">
        <v>163.6</v>
      </c>
      <c r="H9" s="508"/>
      <c r="I9" s="219">
        <f t="shared" si="7"/>
        <v>12</v>
      </c>
      <c r="J9" s="219">
        <f t="shared" si="7"/>
        <v>1772.6666666666656</v>
      </c>
      <c r="K9" s="220">
        <f t="shared" si="7"/>
        <v>147.72222222222214</v>
      </c>
      <c r="L9" s="457"/>
      <c r="M9" s="221">
        <f>RANK(K9, K$7:$K$21)</f>
        <v>6</v>
      </c>
      <c r="N9" s="475"/>
      <c r="O9" s="475"/>
      <c r="P9" s="368">
        <v>12</v>
      </c>
      <c r="Q9" s="187">
        <v>1907.9999999999993</v>
      </c>
      <c r="R9" s="371">
        <v>158.99999999999994</v>
      </c>
      <c r="S9" s="368">
        <f t="shared" si="0"/>
        <v>4</v>
      </c>
      <c r="T9" s="506"/>
      <c r="U9" s="368">
        <v>12</v>
      </c>
      <c r="V9" s="187">
        <v>1704</v>
      </c>
      <c r="W9" s="371">
        <v>142</v>
      </c>
      <c r="X9" s="368">
        <f t="shared" si="1"/>
        <v>7</v>
      </c>
      <c r="Y9" s="506"/>
      <c r="Z9" s="368">
        <v>12</v>
      </c>
      <c r="AA9" s="187">
        <v>1880.9999999999955</v>
      </c>
      <c r="AB9" s="371">
        <v>156.74999999999963</v>
      </c>
      <c r="AC9" s="368">
        <f t="shared" si="2"/>
        <v>5</v>
      </c>
      <c r="AD9" s="506"/>
      <c r="AE9" s="368">
        <v>12</v>
      </c>
      <c r="AF9" s="187">
        <v>1708.4999999999995</v>
      </c>
      <c r="AG9" s="371">
        <v>142.37499999999997</v>
      </c>
      <c r="AH9" s="368">
        <f t="shared" si="3"/>
        <v>7</v>
      </c>
      <c r="AI9" s="506"/>
      <c r="AJ9" s="368">
        <v>12</v>
      </c>
      <c r="AK9" s="187">
        <v>1720.4999999999993</v>
      </c>
      <c r="AL9" s="371">
        <v>143.37499999999994</v>
      </c>
      <c r="AM9" s="368">
        <f t="shared" si="4"/>
        <v>6</v>
      </c>
      <c r="AN9" s="506"/>
      <c r="AO9" s="368">
        <v>12</v>
      </c>
      <c r="AP9" s="187">
        <v>1691.9999999999977</v>
      </c>
      <c r="AQ9" s="371">
        <v>140.9999999999998</v>
      </c>
      <c r="AR9" s="368">
        <f t="shared" si="5"/>
        <v>7</v>
      </c>
      <c r="AS9" s="485"/>
      <c r="AT9" s="374">
        <v>12</v>
      </c>
      <c r="AU9" s="187">
        <v>1794.6666666666667</v>
      </c>
      <c r="AV9" s="375">
        <v>149.55555555555557</v>
      </c>
      <c r="AW9" s="374">
        <f t="shared" si="6"/>
        <v>6</v>
      </c>
      <c r="AX9" s="485"/>
    </row>
    <row r="10" spans="1:50">
      <c r="A10" s="81"/>
      <c r="B10" s="483"/>
      <c r="C10" s="368">
        <v>4</v>
      </c>
      <c r="D10" s="368" t="s">
        <v>460</v>
      </c>
      <c r="E10" s="368">
        <v>10</v>
      </c>
      <c r="F10" s="368">
        <v>1636</v>
      </c>
      <c r="G10" s="368">
        <v>163.6</v>
      </c>
      <c r="H10" s="508"/>
      <c r="I10" s="219">
        <f t="shared" si="7"/>
        <v>12</v>
      </c>
      <c r="J10" s="219">
        <f t="shared" si="7"/>
        <v>1814.2142857142851</v>
      </c>
      <c r="K10" s="220">
        <f t="shared" si="7"/>
        <v>151.18452380952377</v>
      </c>
      <c r="L10" s="457"/>
      <c r="M10" s="221">
        <f>RANK(K10, K$7:$K$21)</f>
        <v>4</v>
      </c>
      <c r="N10" s="475"/>
      <c r="O10" s="475"/>
      <c r="P10" s="368">
        <v>12</v>
      </c>
      <c r="Q10" s="187">
        <v>1765.4999999999993</v>
      </c>
      <c r="R10" s="371">
        <v>147.12499999999994</v>
      </c>
      <c r="S10" s="368">
        <f t="shared" si="0"/>
        <v>7</v>
      </c>
      <c r="T10" s="506"/>
      <c r="U10" s="368">
        <v>12</v>
      </c>
      <c r="V10" s="187">
        <v>1756.4999999999993</v>
      </c>
      <c r="W10" s="371">
        <v>146.37499999999994</v>
      </c>
      <c r="X10" s="368">
        <f t="shared" si="1"/>
        <v>6</v>
      </c>
      <c r="Y10" s="506"/>
      <c r="Z10" s="368">
        <v>12</v>
      </c>
      <c r="AA10" s="187">
        <v>1954.2857142857124</v>
      </c>
      <c r="AB10" s="371">
        <v>162.85714285714269</v>
      </c>
      <c r="AC10" s="368">
        <f t="shared" si="2"/>
        <v>4</v>
      </c>
      <c r="AD10" s="506"/>
      <c r="AE10" s="368">
        <v>12</v>
      </c>
      <c r="AF10" s="187">
        <v>1774.2857142857124</v>
      </c>
      <c r="AG10" s="371">
        <v>147.85714285714269</v>
      </c>
      <c r="AH10" s="368">
        <f t="shared" si="3"/>
        <v>4</v>
      </c>
      <c r="AI10" s="506"/>
      <c r="AJ10" s="368">
        <v>12</v>
      </c>
      <c r="AK10" s="187">
        <v>1839.4285714285695</v>
      </c>
      <c r="AL10" s="371">
        <v>153.28571428571414</v>
      </c>
      <c r="AM10" s="368">
        <f t="shared" si="4"/>
        <v>4</v>
      </c>
      <c r="AN10" s="506"/>
      <c r="AO10" s="368">
        <v>12</v>
      </c>
      <c r="AP10" s="187">
        <v>1736.000000000003</v>
      </c>
      <c r="AQ10" s="371">
        <v>144.66666666666691</v>
      </c>
      <c r="AR10" s="368">
        <f t="shared" si="5"/>
        <v>6</v>
      </c>
      <c r="AS10" s="485"/>
      <c r="AT10" s="374">
        <v>12</v>
      </c>
      <c r="AU10" s="187">
        <v>1873.4999999999993</v>
      </c>
      <c r="AV10" s="375">
        <v>156.12499999999994</v>
      </c>
      <c r="AW10" s="374">
        <f t="shared" si="6"/>
        <v>4</v>
      </c>
      <c r="AX10" s="485"/>
    </row>
    <row r="11" spans="1:50">
      <c r="A11" s="81"/>
      <c r="B11" s="483"/>
      <c r="C11" s="368">
        <v>5</v>
      </c>
      <c r="D11" s="368" t="s">
        <v>461</v>
      </c>
      <c r="E11" s="368">
        <v>6</v>
      </c>
      <c r="F11" s="368">
        <v>1500</v>
      </c>
      <c r="G11" s="368">
        <v>250</v>
      </c>
      <c r="H11" s="508"/>
      <c r="I11" s="219">
        <f t="shared" si="7"/>
        <v>5</v>
      </c>
      <c r="J11" s="219">
        <f t="shared" si="7"/>
        <v>1472.7467532467526</v>
      </c>
      <c r="K11" s="220">
        <f t="shared" si="7"/>
        <v>294.54935064935052</v>
      </c>
      <c r="L11" s="457"/>
      <c r="M11" s="221">
        <f>RANK(K11, K$7:$K$21)</f>
        <v>3</v>
      </c>
      <c r="N11" s="475"/>
      <c r="O11" s="475"/>
      <c r="P11" s="368">
        <v>5</v>
      </c>
      <c r="Q11" s="187">
        <v>1433.6842105263147</v>
      </c>
      <c r="R11" s="371">
        <v>286.73684210526295</v>
      </c>
      <c r="S11" s="368">
        <f t="shared" si="0"/>
        <v>2</v>
      </c>
      <c r="T11" s="506"/>
      <c r="U11" s="368">
        <v>5</v>
      </c>
      <c r="V11" s="187">
        <v>1503.1578947368409</v>
      </c>
      <c r="W11" s="371">
        <v>300.63157894736821</v>
      </c>
      <c r="X11" s="368">
        <f t="shared" si="1"/>
        <v>1</v>
      </c>
      <c r="Y11" s="506"/>
      <c r="Z11" s="368">
        <v>5</v>
      </c>
      <c r="AA11" s="187">
        <v>1448.9999999999995</v>
      </c>
      <c r="AB11" s="371">
        <v>289.7999999999999</v>
      </c>
      <c r="AC11" s="368">
        <f t="shared" si="2"/>
        <v>3</v>
      </c>
      <c r="AD11" s="506"/>
      <c r="AE11" s="368">
        <v>5</v>
      </c>
      <c r="AF11" s="187">
        <v>1485.0000000000018</v>
      </c>
      <c r="AG11" s="371">
        <v>297.00000000000034</v>
      </c>
      <c r="AH11" s="368">
        <f t="shared" si="3"/>
        <v>2</v>
      </c>
      <c r="AI11" s="506"/>
      <c r="AJ11" s="368">
        <v>5</v>
      </c>
      <c r="AK11" s="187">
        <v>1492.4999999999982</v>
      </c>
      <c r="AL11" s="371">
        <v>298.49999999999966</v>
      </c>
      <c r="AM11" s="368">
        <f t="shared" si="4"/>
        <v>1</v>
      </c>
      <c r="AN11" s="506"/>
      <c r="AO11" s="368">
        <v>5</v>
      </c>
      <c r="AP11" s="187">
        <v>1442.7272727272727</v>
      </c>
      <c r="AQ11" s="371">
        <v>288.54545454545456</v>
      </c>
      <c r="AR11" s="368">
        <f t="shared" si="5"/>
        <v>3</v>
      </c>
      <c r="AS11" s="485"/>
      <c r="AT11" s="374">
        <v>5</v>
      </c>
      <c r="AU11" s="187">
        <v>1503.1578947368409</v>
      </c>
      <c r="AV11" s="375">
        <v>300.63157894736821</v>
      </c>
      <c r="AW11" s="374">
        <f t="shared" si="6"/>
        <v>1</v>
      </c>
      <c r="AX11" s="485"/>
    </row>
    <row r="12" spans="1:50">
      <c r="A12" s="81"/>
      <c r="B12" s="483"/>
      <c r="C12" s="368">
        <v>6</v>
      </c>
      <c r="D12" s="368" t="s">
        <v>462</v>
      </c>
      <c r="E12" s="368">
        <v>5</v>
      </c>
      <c r="F12" s="368">
        <v>1500</v>
      </c>
      <c r="G12" s="368">
        <v>300</v>
      </c>
      <c r="H12" s="508"/>
      <c r="I12" s="219">
        <f t="shared" si="7"/>
        <v>5</v>
      </c>
      <c r="J12" s="219">
        <f t="shared" si="7"/>
        <v>1477.7566854327945</v>
      </c>
      <c r="K12" s="220">
        <f t="shared" si="7"/>
        <v>295.55133708655887</v>
      </c>
      <c r="L12" s="457"/>
      <c r="M12" s="221">
        <f>RANK(K12, K$7:$K$21)</f>
        <v>2</v>
      </c>
      <c r="N12" s="475"/>
      <c r="O12" s="475"/>
      <c r="P12" s="368">
        <v>5</v>
      </c>
      <c r="Q12" s="187">
        <v>1491.7241379310356</v>
      </c>
      <c r="R12" s="371">
        <v>298.34482758620709</v>
      </c>
      <c r="S12" s="368">
        <f t="shared" si="0"/>
        <v>1</v>
      </c>
      <c r="T12" s="506"/>
      <c r="U12" s="368">
        <v>5</v>
      </c>
      <c r="V12" s="187">
        <v>1475.1724137931026</v>
      </c>
      <c r="W12" s="371">
        <v>295.03448275862053</v>
      </c>
      <c r="X12" s="368">
        <f t="shared" si="1"/>
        <v>2</v>
      </c>
      <c r="Y12" s="506"/>
      <c r="Z12" s="368">
        <v>5</v>
      </c>
      <c r="AA12" s="187">
        <v>1467.857142857144</v>
      </c>
      <c r="AB12" s="371">
        <v>293.57142857142878</v>
      </c>
      <c r="AC12" s="368">
        <f t="shared" si="2"/>
        <v>1</v>
      </c>
      <c r="AD12" s="506"/>
      <c r="AE12" s="368">
        <v>5</v>
      </c>
      <c r="AF12" s="187">
        <v>1452.000000000003</v>
      </c>
      <c r="AG12" s="371">
        <v>290.4000000000006</v>
      </c>
      <c r="AH12" s="368">
        <f t="shared" si="3"/>
        <v>3</v>
      </c>
      <c r="AI12" s="506"/>
      <c r="AJ12" s="368">
        <v>5</v>
      </c>
      <c r="AK12" s="187">
        <v>1489.9999999999977</v>
      </c>
      <c r="AL12" s="371">
        <v>297.99999999999955</v>
      </c>
      <c r="AM12" s="368">
        <f t="shared" si="4"/>
        <v>2</v>
      </c>
      <c r="AN12" s="506"/>
      <c r="AO12" s="368">
        <v>5</v>
      </c>
      <c r="AP12" s="187">
        <v>1473.7500000000018</v>
      </c>
      <c r="AQ12" s="371">
        <v>294.75000000000034</v>
      </c>
      <c r="AR12" s="368">
        <f t="shared" si="5"/>
        <v>1</v>
      </c>
      <c r="AS12" s="485"/>
      <c r="AT12" s="374">
        <v>5</v>
      </c>
      <c r="AU12" s="187">
        <v>1493.793103448277</v>
      </c>
      <c r="AV12" s="375">
        <v>298.7586206896554</v>
      </c>
      <c r="AW12" s="374">
        <f t="shared" si="6"/>
        <v>2</v>
      </c>
      <c r="AX12" s="485"/>
    </row>
    <row r="13" spans="1:50">
      <c r="A13" s="81"/>
      <c r="B13" s="483"/>
      <c r="C13" s="368">
        <v>7</v>
      </c>
      <c r="D13" s="368" t="s">
        <v>463</v>
      </c>
      <c r="E13" s="368">
        <v>5</v>
      </c>
      <c r="F13" s="368">
        <v>1500</v>
      </c>
      <c r="G13" s="368">
        <v>300</v>
      </c>
      <c r="H13" s="508"/>
      <c r="I13" s="219">
        <f t="shared" si="7"/>
        <v>5</v>
      </c>
      <c r="J13" s="219">
        <f t="shared" si="7"/>
        <v>1507.9666048237475</v>
      </c>
      <c r="K13" s="220">
        <f t="shared" si="7"/>
        <v>301.59332096474952</v>
      </c>
      <c r="L13" s="457"/>
      <c r="M13" s="221">
        <f>RANK(K13, K$7:$K$21)</f>
        <v>1</v>
      </c>
      <c r="N13" s="475"/>
      <c r="O13" s="475"/>
      <c r="P13" s="368">
        <v>5</v>
      </c>
      <c r="Q13" s="187">
        <v>1425.0000000000005</v>
      </c>
      <c r="R13" s="371">
        <v>285.00000000000011</v>
      </c>
      <c r="S13" s="368">
        <f t="shared" si="0"/>
        <v>3</v>
      </c>
      <c r="T13" s="506"/>
      <c r="U13" s="368">
        <v>5</v>
      </c>
      <c r="V13" s="187">
        <v>1439.9999999999955</v>
      </c>
      <c r="W13" s="371">
        <v>287.99999999999909</v>
      </c>
      <c r="X13" s="368">
        <f t="shared" si="1"/>
        <v>3</v>
      </c>
      <c r="Y13" s="506"/>
      <c r="Z13" s="368">
        <v>5</v>
      </c>
      <c r="AA13" s="187">
        <v>1450.909090909091</v>
      </c>
      <c r="AB13" s="371">
        <v>290.18181818181819</v>
      </c>
      <c r="AC13" s="368">
        <f t="shared" si="2"/>
        <v>2</v>
      </c>
      <c r="AD13" s="506"/>
      <c r="AE13" s="368">
        <v>5</v>
      </c>
      <c r="AF13" s="187">
        <v>1950.0000000000068</v>
      </c>
      <c r="AG13" s="371">
        <v>390.00000000000136</v>
      </c>
      <c r="AH13" s="368">
        <f t="shared" si="3"/>
        <v>1</v>
      </c>
      <c r="AI13" s="506"/>
      <c r="AJ13" s="368">
        <v>5</v>
      </c>
      <c r="AK13" s="187">
        <v>1391.9999999999995</v>
      </c>
      <c r="AL13" s="371">
        <v>278.39999999999992</v>
      </c>
      <c r="AM13" s="368">
        <f t="shared" si="4"/>
        <v>3</v>
      </c>
      <c r="AN13" s="506"/>
      <c r="AO13" s="368">
        <v>5</v>
      </c>
      <c r="AP13" s="187">
        <v>1452.8571428571397</v>
      </c>
      <c r="AQ13" s="371">
        <v>290.57142857142793</v>
      </c>
      <c r="AR13" s="368">
        <f t="shared" si="5"/>
        <v>2</v>
      </c>
      <c r="AS13" s="485"/>
      <c r="AT13" s="374">
        <v>5</v>
      </c>
      <c r="AU13" s="187">
        <v>1445.0000000000005</v>
      </c>
      <c r="AV13" s="375">
        <v>289.00000000000011</v>
      </c>
      <c r="AW13" s="374">
        <f t="shared" si="6"/>
        <v>3</v>
      </c>
      <c r="AX13" s="485"/>
    </row>
    <row r="14" spans="1:50">
      <c r="A14" s="81"/>
      <c r="B14" s="483"/>
      <c r="C14" s="368">
        <v>8</v>
      </c>
      <c r="D14" s="368" t="s">
        <v>691</v>
      </c>
      <c r="E14" s="368">
        <v>10</v>
      </c>
      <c r="F14" s="368">
        <v>1500</v>
      </c>
      <c r="G14" s="368">
        <v>150</v>
      </c>
      <c r="H14" s="508"/>
      <c r="I14" s="219"/>
      <c r="J14" s="219"/>
      <c r="K14" s="220"/>
      <c r="L14" s="457"/>
      <c r="M14" s="221" t="e">
        <f>RANK(K14, K$7:$K$21)</f>
        <v>#N/A</v>
      </c>
      <c r="N14" s="475"/>
      <c r="O14" s="475"/>
      <c r="P14" s="368">
        <v>10</v>
      </c>
      <c r="Q14" s="187">
        <v>1518.8571428571431</v>
      </c>
      <c r="R14" s="371">
        <v>151.8857142857143</v>
      </c>
      <c r="S14" s="368">
        <f t="shared" si="0"/>
        <v>6</v>
      </c>
      <c r="T14" s="506"/>
      <c r="U14" s="368">
        <v>10</v>
      </c>
      <c r="V14" s="187">
        <v>1487.1428571428576</v>
      </c>
      <c r="W14" s="371">
        <v>148.71428571428575</v>
      </c>
      <c r="X14" s="368">
        <f t="shared" si="1"/>
        <v>5</v>
      </c>
      <c r="Y14" s="506"/>
      <c r="Z14" s="368">
        <v>10</v>
      </c>
      <c r="AA14" s="187">
        <v>1524.9230769230808</v>
      </c>
      <c r="AB14" s="371">
        <v>152.49230769230809</v>
      </c>
      <c r="AC14" s="368">
        <f t="shared" si="2"/>
        <v>6</v>
      </c>
      <c r="AD14" s="506"/>
      <c r="AE14" s="368">
        <v>10</v>
      </c>
      <c r="AF14" s="187">
        <v>1468.3636363636372</v>
      </c>
      <c r="AG14" s="371">
        <v>146.83636363636373</v>
      </c>
      <c r="AH14" s="368">
        <f t="shared" si="3"/>
        <v>5</v>
      </c>
      <c r="AI14" s="506"/>
      <c r="AJ14" s="368">
        <v>10</v>
      </c>
      <c r="AK14" s="187">
        <v>1449.8181818181808</v>
      </c>
      <c r="AL14" s="371">
        <v>144.98181818181808</v>
      </c>
      <c r="AM14" s="368">
        <f t="shared" si="4"/>
        <v>5</v>
      </c>
      <c r="AN14" s="506"/>
      <c r="AO14" s="368">
        <v>10</v>
      </c>
      <c r="AP14" s="187">
        <v>1526.5714285714271</v>
      </c>
      <c r="AQ14" s="371">
        <v>152.6571428571427</v>
      </c>
      <c r="AR14" s="368">
        <f t="shared" si="5"/>
        <v>4</v>
      </c>
      <c r="AS14" s="485"/>
      <c r="AT14" s="374"/>
      <c r="AU14" s="187"/>
      <c r="AV14" s="375"/>
      <c r="AW14" s="374" t="e">
        <f t="shared" si="6"/>
        <v>#N/A</v>
      </c>
      <c r="AX14" s="485"/>
    </row>
    <row r="15" spans="1:50">
      <c r="A15" s="81"/>
      <c r="B15" s="483"/>
      <c r="C15" s="368">
        <v>9</v>
      </c>
      <c r="D15" s="368"/>
      <c r="E15" s="368"/>
      <c r="F15" s="368"/>
      <c r="G15" s="368"/>
      <c r="H15" s="508"/>
      <c r="I15" s="219"/>
      <c r="J15" s="219"/>
      <c r="K15" s="220"/>
      <c r="L15" s="457"/>
      <c r="M15" s="221" t="e">
        <f>RANK(K15, K$7:$K$21)</f>
        <v>#N/A</v>
      </c>
      <c r="N15" s="475"/>
      <c r="O15" s="475"/>
      <c r="P15" s="368"/>
      <c r="Q15" s="187"/>
      <c r="R15" s="371"/>
      <c r="S15" s="368" t="e">
        <f t="shared" si="0"/>
        <v>#N/A</v>
      </c>
      <c r="T15" s="506"/>
      <c r="U15" s="368"/>
      <c r="V15" s="187"/>
      <c r="W15" s="371"/>
      <c r="X15" s="368" t="e">
        <f t="shared" si="1"/>
        <v>#N/A</v>
      </c>
      <c r="Y15" s="506"/>
      <c r="Z15" s="368"/>
      <c r="AA15" s="187"/>
      <c r="AB15" s="371"/>
      <c r="AC15" s="368" t="e">
        <f t="shared" si="2"/>
        <v>#N/A</v>
      </c>
      <c r="AD15" s="506"/>
      <c r="AE15" s="368"/>
      <c r="AF15" s="187"/>
      <c r="AG15" s="371"/>
      <c r="AH15" s="368" t="e">
        <f t="shared" si="3"/>
        <v>#N/A</v>
      </c>
      <c r="AI15" s="506"/>
      <c r="AJ15" s="368"/>
      <c r="AK15" s="187"/>
      <c r="AL15" s="371"/>
      <c r="AM15" s="368" t="e">
        <f t="shared" si="4"/>
        <v>#N/A</v>
      </c>
      <c r="AN15" s="506"/>
      <c r="AO15" s="368"/>
      <c r="AP15" s="187"/>
      <c r="AQ15" s="371"/>
      <c r="AR15" s="368" t="e">
        <f t="shared" si="5"/>
        <v>#N/A</v>
      </c>
      <c r="AS15" s="485"/>
      <c r="AT15" s="374"/>
      <c r="AU15" s="187"/>
      <c r="AV15" s="375"/>
      <c r="AW15" s="374" t="e">
        <f t="shared" si="6"/>
        <v>#N/A</v>
      </c>
      <c r="AX15" s="485"/>
    </row>
    <row r="16" spans="1:50">
      <c r="A16" s="81"/>
      <c r="B16" s="483"/>
      <c r="C16" s="368">
        <v>10</v>
      </c>
      <c r="D16" s="368"/>
      <c r="E16" s="368"/>
      <c r="F16" s="368"/>
      <c r="G16" s="368"/>
      <c r="H16" s="508"/>
      <c r="I16" s="219"/>
      <c r="J16" s="219"/>
      <c r="K16" s="220"/>
      <c r="L16" s="457"/>
      <c r="M16" s="221" t="e">
        <f>RANK(K16, K$7:$K$21)</f>
        <v>#N/A</v>
      </c>
      <c r="N16" s="475"/>
      <c r="O16" s="475"/>
      <c r="P16" s="368"/>
      <c r="Q16" s="187"/>
      <c r="R16" s="371"/>
      <c r="S16" s="368" t="e">
        <f t="shared" si="0"/>
        <v>#N/A</v>
      </c>
      <c r="T16" s="506"/>
      <c r="U16" s="368"/>
      <c r="V16" s="187"/>
      <c r="W16" s="371"/>
      <c r="X16" s="368" t="e">
        <f t="shared" si="1"/>
        <v>#N/A</v>
      </c>
      <c r="Y16" s="506"/>
      <c r="Z16" s="368"/>
      <c r="AA16" s="187"/>
      <c r="AB16" s="371"/>
      <c r="AC16" s="368" t="e">
        <f t="shared" si="2"/>
        <v>#N/A</v>
      </c>
      <c r="AD16" s="506"/>
      <c r="AE16" s="368"/>
      <c r="AF16" s="187"/>
      <c r="AG16" s="371"/>
      <c r="AH16" s="368" t="e">
        <f t="shared" si="3"/>
        <v>#N/A</v>
      </c>
      <c r="AI16" s="506"/>
      <c r="AJ16" s="368"/>
      <c r="AK16" s="187"/>
      <c r="AL16" s="371"/>
      <c r="AM16" s="368" t="e">
        <f t="shared" si="4"/>
        <v>#N/A</v>
      </c>
      <c r="AN16" s="506"/>
      <c r="AO16" s="368"/>
      <c r="AP16" s="187"/>
      <c r="AQ16" s="371"/>
      <c r="AR16" s="368" t="e">
        <f t="shared" si="5"/>
        <v>#N/A</v>
      </c>
      <c r="AS16" s="485"/>
      <c r="AT16" s="374"/>
      <c r="AU16" s="187"/>
      <c r="AV16" s="375"/>
      <c r="AW16" s="374" t="e">
        <f t="shared" si="6"/>
        <v>#N/A</v>
      </c>
      <c r="AX16" s="485"/>
    </row>
    <row r="17" spans="2:50">
      <c r="B17" s="483"/>
      <c r="C17" s="368">
        <v>11</v>
      </c>
      <c r="D17" s="368"/>
      <c r="E17" s="368"/>
      <c r="F17" s="368"/>
      <c r="G17" s="368"/>
      <c r="H17" s="508"/>
      <c r="I17" s="222"/>
      <c r="J17" s="222"/>
      <c r="K17" s="222"/>
      <c r="L17" s="457"/>
      <c r="M17" s="221" t="e">
        <f>RANK(K17, K$7:$K$21)</f>
        <v>#N/A</v>
      </c>
      <c r="N17" s="475"/>
      <c r="O17" s="475"/>
      <c r="P17" s="368"/>
      <c r="Q17" s="368"/>
      <c r="R17" s="368"/>
      <c r="S17" s="368" t="e">
        <f t="shared" si="0"/>
        <v>#N/A</v>
      </c>
      <c r="T17" s="506"/>
      <c r="U17" s="368"/>
      <c r="V17" s="368"/>
      <c r="W17" s="368"/>
      <c r="X17" s="368" t="e">
        <f t="shared" si="1"/>
        <v>#N/A</v>
      </c>
      <c r="Y17" s="506"/>
      <c r="Z17" s="368"/>
      <c r="AA17" s="368"/>
      <c r="AB17" s="368"/>
      <c r="AC17" s="368" t="e">
        <f t="shared" si="2"/>
        <v>#N/A</v>
      </c>
      <c r="AD17" s="506"/>
      <c r="AE17" s="368"/>
      <c r="AF17" s="368"/>
      <c r="AG17" s="368"/>
      <c r="AH17" s="368" t="e">
        <f t="shared" si="3"/>
        <v>#N/A</v>
      </c>
      <c r="AI17" s="506"/>
      <c r="AJ17" s="368"/>
      <c r="AK17" s="368"/>
      <c r="AL17" s="368"/>
      <c r="AM17" s="368" t="e">
        <f t="shared" si="4"/>
        <v>#N/A</v>
      </c>
      <c r="AN17" s="506"/>
      <c r="AO17" s="368"/>
      <c r="AP17" s="368"/>
      <c r="AQ17" s="368"/>
      <c r="AR17" s="368" t="e">
        <f t="shared" si="5"/>
        <v>#N/A</v>
      </c>
      <c r="AS17" s="485"/>
      <c r="AT17" s="374"/>
      <c r="AU17" s="374"/>
      <c r="AV17" s="374"/>
      <c r="AW17" s="374" t="e">
        <f t="shared" si="6"/>
        <v>#N/A</v>
      </c>
      <c r="AX17" s="485"/>
    </row>
    <row r="18" spans="2:50">
      <c r="B18" s="483"/>
      <c r="C18" s="368">
        <v>12</v>
      </c>
      <c r="D18" s="368"/>
      <c r="E18" s="368"/>
      <c r="F18" s="368"/>
      <c r="G18" s="368"/>
      <c r="H18" s="508"/>
      <c r="I18" s="222"/>
      <c r="J18" s="222"/>
      <c r="K18" s="222"/>
      <c r="L18" s="457"/>
      <c r="M18" s="221" t="e">
        <f>RANK(K18, K$7:$K$21)</f>
        <v>#N/A</v>
      </c>
      <c r="N18" s="475"/>
      <c r="O18" s="475"/>
      <c r="P18" s="368"/>
      <c r="Q18" s="368"/>
      <c r="R18" s="368"/>
      <c r="S18" s="368" t="e">
        <f t="shared" si="0"/>
        <v>#N/A</v>
      </c>
      <c r="T18" s="506"/>
      <c r="U18" s="368"/>
      <c r="V18" s="368"/>
      <c r="W18" s="368"/>
      <c r="X18" s="368" t="e">
        <f t="shared" si="1"/>
        <v>#N/A</v>
      </c>
      <c r="Y18" s="506"/>
      <c r="Z18" s="368"/>
      <c r="AA18" s="368"/>
      <c r="AB18" s="368"/>
      <c r="AC18" s="368" t="e">
        <f t="shared" si="2"/>
        <v>#N/A</v>
      </c>
      <c r="AD18" s="506"/>
      <c r="AE18" s="368"/>
      <c r="AF18" s="368"/>
      <c r="AG18" s="368"/>
      <c r="AH18" s="368" t="e">
        <f t="shared" si="3"/>
        <v>#N/A</v>
      </c>
      <c r="AI18" s="506"/>
      <c r="AJ18" s="368"/>
      <c r="AK18" s="368"/>
      <c r="AL18" s="368"/>
      <c r="AM18" s="368" t="e">
        <f t="shared" si="4"/>
        <v>#N/A</v>
      </c>
      <c r="AN18" s="506"/>
      <c r="AO18" s="368"/>
      <c r="AP18" s="368"/>
      <c r="AQ18" s="368"/>
      <c r="AR18" s="368" t="e">
        <f t="shared" si="5"/>
        <v>#N/A</v>
      </c>
      <c r="AS18" s="485"/>
      <c r="AT18" s="374"/>
      <c r="AU18" s="374"/>
      <c r="AV18" s="374"/>
      <c r="AW18" s="374" t="e">
        <f t="shared" si="6"/>
        <v>#N/A</v>
      </c>
      <c r="AX18" s="485"/>
    </row>
    <row r="19" spans="2:50">
      <c r="B19" s="483"/>
      <c r="C19" s="368">
        <v>13</v>
      </c>
      <c r="D19" s="368"/>
      <c r="E19" s="368"/>
      <c r="F19" s="368"/>
      <c r="G19" s="368"/>
      <c r="H19" s="508"/>
      <c r="I19" s="222"/>
      <c r="J19" s="222"/>
      <c r="K19" s="222"/>
      <c r="L19" s="457"/>
      <c r="M19" s="221" t="e">
        <f>RANK(K19, K$7:$K$21)</f>
        <v>#N/A</v>
      </c>
      <c r="N19" s="475"/>
      <c r="O19" s="475"/>
      <c r="P19" s="368"/>
      <c r="Q19" s="368"/>
      <c r="R19" s="368"/>
      <c r="S19" s="368" t="e">
        <f t="shared" si="0"/>
        <v>#N/A</v>
      </c>
      <c r="T19" s="506"/>
      <c r="U19" s="368"/>
      <c r="V19" s="368"/>
      <c r="W19" s="368"/>
      <c r="X19" s="368" t="e">
        <f t="shared" si="1"/>
        <v>#N/A</v>
      </c>
      <c r="Y19" s="506"/>
      <c r="Z19" s="368"/>
      <c r="AA19" s="368"/>
      <c r="AB19" s="368"/>
      <c r="AC19" s="368" t="e">
        <f t="shared" si="2"/>
        <v>#N/A</v>
      </c>
      <c r="AD19" s="506"/>
      <c r="AE19" s="368"/>
      <c r="AF19" s="368"/>
      <c r="AG19" s="368"/>
      <c r="AH19" s="368" t="e">
        <f t="shared" si="3"/>
        <v>#N/A</v>
      </c>
      <c r="AI19" s="506"/>
      <c r="AJ19" s="368"/>
      <c r="AK19" s="368"/>
      <c r="AL19" s="368"/>
      <c r="AM19" s="368" t="e">
        <f t="shared" si="4"/>
        <v>#N/A</v>
      </c>
      <c r="AN19" s="506"/>
      <c r="AO19" s="368"/>
      <c r="AP19" s="368"/>
      <c r="AQ19" s="368"/>
      <c r="AR19" s="368" t="e">
        <f t="shared" si="5"/>
        <v>#N/A</v>
      </c>
      <c r="AS19" s="485"/>
      <c r="AT19" s="374"/>
      <c r="AU19" s="374"/>
      <c r="AV19" s="374"/>
      <c r="AW19" s="374" t="e">
        <f t="shared" si="6"/>
        <v>#N/A</v>
      </c>
      <c r="AX19" s="485"/>
    </row>
    <row r="20" spans="2:50">
      <c r="B20" s="483"/>
      <c r="C20" s="368">
        <v>14</v>
      </c>
      <c r="D20" s="368"/>
      <c r="E20" s="368"/>
      <c r="F20" s="368"/>
      <c r="G20" s="368"/>
      <c r="H20" s="508"/>
      <c r="I20" s="222"/>
      <c r="J20" s="222"/>
      <c r="K20" s="222"/>
      <c r="L20" s="457"/>
      <c r="M20" s="221" t="e">
        <f>RANK(K20, K$7:$K$21)</f>
        <v>#N/A</v>
      </c>
      <c r="N20" s="475"/>
      <c r="O20" s="475"/>
      <c r="P20" s="368"/>
      <c r="Q20" s="368"/>
      <c r="R20" s="368"/>
      <c r="S20" s="368" t="e">
        <f t="shared" si="0"/>
        <v>#N/A</v>
      </c>
      <c r="T20" s="506"/>
      <c r="U20" s="368"/>
      <c r="V20" s="368"/>
      <c r="W20" s="368"/>
      <c r="X20" s="368" t="e">
        <f t="shared" si="1"/>
        <v>#N/A</v>
      </c>
      <c r="Y20" s="506"/>
      <c r="Z20" s="368"/>
      <c r="AA20" s="368"/>
      <c r="AB20" s="368"/>
      <c r="AC20" s="368" t="e">
        <f t="shared" si="2"/>
        <v>#N/A</v>
      </c>
      <c r="AD20" s="506"/>
      <c r="AE20" s="368"/>
      <c r="AF20" s="368"/>
      <c r="AG20" s="368"/>
      <c r="AH20" s="368" t="e">
        <f t="shared" si="3"/>
        <v>#N/A</v>
      </c>
      <c r="AI20" s="506"/>
      <c r="AJ20" s="368"/>
      <c r="AK20" s="368"/>
      <c r="AL20" s="368"/>
      <c r="AM20" s="368" t="e">
        <f t="shared" si="4"/>
        <v>#N/A</v>
      </c>
      <c r="AN20" s="506"/>
      <c r="AO20" s="368"/>
      <c r="AP20" s="368"/>
      <c r="AQ20" s="368"/>
      <c r="AR20" s="368" t="e">
        <f t="shared" si="5"/>
        <v>#N/A</v>
      </c>
      <c r="AS20" s="485"/>
      <c r="AT20" s="374"/>
      <c r="AU20" s="374"/>
      <c r="AV20" s="374"/>
      <c r="AW20" s="374" t="e">
        <f t="shared" si="6"/>
        <v>#N/A</v>
      </c>
      <c r="AX20" s="485"/>
    </row>
    <row r="21" spans="2:50">
      <c r="B21" s="483"/>
      <c r="C21" s="368">
        <v>15</v>
      </c>
      <c r="D21" s="368"/>
      <c r="E21" s="368"/>
      <c r="F21" s="368"/>
      <c r="G21" s="368"/>
      <c r="H21" s="509"/>
      <c r="I21" s="222"/>
      <c r="J21" s="222"/>
      <c r="K21" s="222"/>
      <c r="L21" s="458"/>
      <c r="M21" s="219" t="e">
        <f>RANK(K21, K$7:$K$21)</f>
        <v>#N/A</v>
      </c>
      <c r="N21" s="475"/>
      <c r="O21" s="475"/>
      <c r="P21" s="368"/>
      <c r="Q21" s="368"/>
      <c r="R21" s="368"/>
      <c r="S21" s="368" t="e">
        <f t="shared" si="0"/>
        <v>#N/A</v>
      </c>
      <c r="T21" s="506"/>
      <c r="U21" s="368"/>
      <c r="V21" s="368"/>
      <c r="W21" s="368"/>
      <c r="X21" s="368" t="e">
        <f t="shared" si="1"/>
        <v>#N/A</v>
      </c>
      <c r="Y21" s="506"/>
      <c r="Z21" s="368"/>
      <c r="AA21" s="368"/>
      <c r="AB21" s="368"/>
      <c r="AC21" s="368" t="e">
        <f t="shared" si="2"/>
        <v>#N/A</v>
      </c>
      <c r="AD21" s="506"/>
      <c r="AE21" s="368"/>
      <c r="AF21" s="368"/>
      <c r="AG21" s="368"/>
      <c r="AH21" s="368" t="e">
        <f t="shared" si="3"/>
        <v>#N/A</v>
      </c>
      <c r="AI21" s="506"/>
      <c r="AJ21" s="368"/>
      <c r="AK21" s="368"/>
      <c r="AL21" s="368"/>
      <c r="AM21" s="368" t="e">
        <f t="shared" si="4"/>
        <v>#N/A</v>
      </c>
      <c r="AN21" s="506"/>
      <c r="AO21" s="368"/>
      <c r="AP21" s="368"/>
      <c r="AQ21" s="368"/>
      <c r="AR21" s="368" t="e">
        <f t="shared" si="5"/>
        <v>#N/A</v>
      </c>
      <c r="AS21" s="486"/>
      <c r="AT21" s="374"/>
      <c r="AU21" s="374"/>
      <c r="AV21" s="374"/>
      <c r="AW21" s="374" t="e">
        <f t="shared" si="6"/>
        <v>#N/A</v>
      </c>
      <c r="AX21" s="486"/>
    </row>
    <row r="22" spans="2:50" ht="15.75">
      <c r="B22" s="500" t="s">
        <v>172</v>
      </c>
      <c r="C22" s="501"/>
      <c r="D22" s="501"/>
      <c r="E22" s="501"/>
      <c r="F22" s="501"/>
      <c r="G22" s="501"/>
      <c r="H22" s="501"/>
      <c r="I22" s="223"/>
      <c r="J22" s="223"/>
      <c r="K22" s="223"/>
      <c r="L22" s="223"/>
      <c r="M22" s="224"/>
      <c r="N22" s="476" t="s">
        <v>164</v>
      </c>
      <c r="O22" s="476" t="s">
        <v>105</v>
      </c>
      <c r="P22" s="502">
        <f>AT2+1</f>
        <v>45902</v>
      </c>
      <c r="Q22" s="503"/>
      <c r="R22" s="503"/>
      <c r="S22" s="503"/>
      <c r="T22" s="503"/>
      <c r="U22" s="482">
        <f>P22+1</f>
        <v>45903</v>
      </c>
      <c r="V22" s="483"/>
      <c r="W22" s="483"/>
      <c r="X22" s="483"/>
      <c r="Y22" s="483"/>
      <c r="Z22" s="482">
        <f>U22+1</f>
        <v>45904</v>
      </c>
      <c r="AA22" s="483"/>
      <c r="AB22" s="483"/>
      <c r="AC22" s="483"/>
      <c r="AD22" s="483"/>
      <c r="AE22" s="482">
        <f>Z22+1</f>
        <v>45905</v>
      </c>
      <c r="AF22" s="483"/>
      <c r="AG22" s="483"/>
      <c r="AH22" s="483"/>
      <c r="AI22" s="483"/>
      <c r="AJ22" s="482">
        <f>AE22+1</f>
        <v>45906</v>
      </c>
      <c r="AK22" s="483"/>
      <c r="AL22" s="483"/>
      <c r="AM22" s="483"/>
      <c r="AN22" s="483"/>
      <c r="AO22" s="482">
        <f>AJ22+1</f>
        <v>45907</v>
      </c>
      <c r="AP22" s="483"/>
      <c r="AQ22" s="483"/>
      <c r="AR22" s="483"/>
      <c r="AS22" s="483"/>
      <c r="AT22" s="482">
        <f>AO22+1</f>
        <v>45908</v>
      </c>
      <c r="AU22" s="483"/>
      <c r="AV22" s="483"/>
      <c r="AW22" s="483"/>
      <c r="AX22" s="483"/>
    </row>
    <row r="23" spans="2:50" ht="15.75">
      <c r="B23" s="490"/>
      <c r="C23" s="490"/>
      <c r="D23" s="490"/>
      <c r="E23" s="490"/>
      <c r="F23" s="490"/>
      <c r="G23" s="490"/>
      <c r="H23" s="490"/>
      <c r="I23" s="225"/>
      <c r="J23" s="225"/>
      <c r="K23" s="225"/>
      <c r="L23" s="225"/>
      <c r="M23" s="226"/>
      <c r="N23" s="478"/>
      <c r="O23" s="478"/>
      <c r="P23" s="482" t="s">
        <v>393</v>
      </c>
      <c r="Q23" s="483"/>
      <c r="R23" s="483"/>
      <c r="S23" s="483"/>
      <c r="T23" s="483"/>
      <c r="U23" s="482" t="s">
        <v>394</v>
      </c>
      <c r="V23" s="483"/>
      <c r="W23" s="483"/>
      <c r="X23" s="483"/>
      <c r="Y23" s="483"/>
      <c r="Z23" s="482" t="s">
        <v>395</v>
      </c>
      <c r="AA23" s="483"/>
      <c r="AB23" s="483"/>
      <c r="AC23" s="483"/>
      <c r="AD23" s="483"/>
      <c r="AE23" s="482" t="s">
        <v>396</v>
      </c>
      <c r="AF23" s="483"/>
      <c r="AG23" s="483"/>
      <c r="AH23" s="483"/>
      <c r="AI23" s="483"/>
      <c r="AJ23" s="482" t="s">
        <v>397</v>
      </c>
      <c r="AK23" s="483"/>
      <c r="AL23" s="483"/>
      <c r="AM23" s="483"/>
      <c r="AN23" s="483"/>
      <c r="AO23" s="482" t="s">
        <v>398</v>
      </c>
      <c r="AP23" s="483"/>
      <c r="AQ23" s="483"/>
      <c r="AR23" s="483"/>
      <c r="AS23" s="483"/>
      <c r="AT23" s="482" t="s">
        <v>399</v>
      </c>
      <c r="AU23" s="483"/>
      <c r="AV23" s="483"/>
      <c r="AW23" s="483"/>
      <c r="AX23" s="483"/>
    </row>
    <row r="24" spans="2:50">
      <c r="B24" s="475" t="s">
        <v>799</v>
      </c>
      <c r="C24" s="475" t="s">
        <v>644</v>
      </c>
      <c r="D24" s="475"/>
      <c r="E24" s="475" t="s">
        <v>635</v>
      </c>
      <c r="F24" s="475"/>
      <c r="G24" s="475"/>
      <c r="H24" s="491" t="s">
        <v>631</v>
      </c>
      <c r="I24" s="459" t="s">
        <v>636</v>
      </c>
      <c r="J24" s="459"/>
      <c r="K24" s="459"/>
      <c r="L24" s="460" t="s">
        <v>631</v>
      </c>
      <c r="M24" s="466" t="s">
        <v>632</v>
      </c>
      <c r="N24" s="475"/>
      <c r="O24" s="475" t="s">
        <v>800</v>
      </c>
      <c r="P24" s="472" t="s">
        <v>633</v>
      </c>
      <c r="Q24" s="473"/>
      <c r="R24" s="473"/>
      <c r="S24" s="474"/>
      <c r="T24" s="475" t="s">
        <v>631</v>
      </c>
      <c r="U24" s="472" t="s">
        <v>801</v>
      </c>
      <c r="V24" s="473"/>
      <c r="W24" s="473"/>
      <c r="X24" s="474"/>
      <c r="Y24" s="475" t="s">
        <v>631</v>
      </c>
      <c r="Z24" s="472" t="s">
        <v>633</v>
      </c>
      <c r="AA24" s="473"/>
      <c r="AB24" s="473"/>
      <c r="AC24" s="474"/>
      <c r="AD24" s="475" t="s">
        <v>631</v>
      </c>
      <c r="AE24" s="472" t="s">
        <v>633</v>
      </c>
      <c r="AF24" s="473"/>
      <c r="AG24" s="473"/>
      <c r="AH24" s="474"/>
      <c r="AI24" s="475" t="s">
        <v>802</v>
      </c>
      <c r="AJ24" s="472" t="s">
        <v>801</v>
      </c>
      <c r="AK24" s="473"/>
      <c r="AL24" s="473"/>
      <c r="AM24" s="474"/>
      <c r="AN24" s="475" t="s">
        <v>631</v>
      </c>
      <c r="AO24" s="472" t="s">
        <v>633</v>
      </c>
      <c r="AP24" s="473"/>
      <c r="AQ24" s="473"/>
      <c r="AR24" s="474"/>
      <c r="AS24" s="475" t="s">
        <v>631</v>
      </c>
      <c r="AT24" s="472" t="s">
        <v>633</v>
      </c>
      <c r="AU24" s="473"/>
      <c r="AV24" s="473"/>
      <c r="AW24" s="474"/>
      <c r="AX24" s="475" t="s">
        <v>631</v>
      </c>
    </row>
    <row r="25" spans="2:50">
      <c r="B25" s="475"/>
      <c r="C25" s="475"/>
      <c r="D25" s="475"/>
      <c r="E25" s="475" t="s">
        <v>638</v>
      </c>
      <c r="F25" s="475"/>
      <c r="G25" s="475"/>
      <c r="H25" s="492"/>
      <c r="I25" s="459" t="s">
        <v>638</v>
      </c>
      <c r="J25" s="459"/>
      <c r="K25" s="459"/>
      <c r="L25" s="461"/>
      <c r="M25" s="467"/>
      <c r="N25" s="475"/>
      <c r="O25" s="475"/>
      <c r="P25" s="472" t="s">
        <v>639</v>
      </c>
      <c r="Q25" s="473"/>
      <c r="R25" s="473"/>
      <c r="S25" s="474"/>
      <c r="T25" s="475"/>
      <c r="U25" s="472" t="s">
        <v>803</v>
      </c>
      <c r="V25" s="473"/>
      <c r="W25" s="473"/>
      <c r="X25" s="474"/>
      <c r="Y25" s="475"/>
      <c r="Z25" s="472" t="s">
        <v>639</v>
      </c>
      <c r="AA25" s="473"/>
      <c r="AB25" s="473"/>
      <c r="AC25" s="474"/>
      <c r="AD25" s="475"/>
      <c r="AE25" s="472" t="s">
        <v>639</v>
      </c>
      <c r="AF25" s="473"/>
      <c r="AG25" s="473"/>
      <c r="AH25" s="474"/>
      <c r="AI25" s="475"/>
      <c r="AJ25" s="472" t="s">
        <v>639</v>
      </c>
      <c r="AK25" s="473"/>
      <c r="AL25" s="473"/>
      <c r="AM25" s="474"/>
      <c r="AN25" s="475"/>
      <c r="AO25" s="472" t="s">
        <v>803</v>
      </c>
      <c r="AP25" s="473"/>
      <c r="AQ25" s="473"/>
      <c r="AR25" s="474"/>
      <c r="AS25" s="475"/>
      <c r="AT25" s="472" t="s">
        <v>639</v>
      </c>
      <c r="AU25" s="473"/>
      <c r="AV25" s="473"/>
      <c r="AW25" s="474"/>
      <c r="AX25" s="475"/>
    </row>
    <row r="26" spans="2:50">
      <c r="B26" s="475"/>
      <c r="C26" s="475"/>
      <c r="D26" s="475"/>
      <c r="E26" s="373" t="s">
        <v>640</v>
      </c>
      <c r="F26" s="373" t="s">
        <v>641</v>
      </c>
      <c r="G26" s="373" t="s">
        <v>642</v>
      </c>
      <c r="H26" s="493"/>
      <c r="I26" s="372" t="s">
        <v>640</v>
      </c>
      <c r="J26" s="372" t="s">
        <v>641</v>
      </c>
      <c r="K26" s="372" t="s">
        <v>642</v>
      </c>
      <c r="L26" s="462"/>
      <c r="M26" s="468"/>
      <c r="N26" s="475"/>
      <c r="O26" s="475"/>
      <c r="P26" s="373" t="s">
        <v>640</v>
      </c>
      <c r="Q26" s="373" t="s">
        <v>641</v>
      </c>
      <c r="R26" s="373" t="s">
        <v>642</v>
      </c>
      <c r="S26" s="373" t="s">
        <v>804</v>
      </c>
      <c r="T26" s="475"/>
      <c r="U26" s="373" t="s">
        <v>640</v>
      </c>
      <c r="V26" s="373" t="s">
        <v>805</v>
      </c>
      <c r="W26" s="373" t="s">
        <v>806</v>
      </c>
      <c r="X26" s="373" t="s">
        <v>632</v>
      </c>
      <c r="Y26" s="475"/>
      <c r="Z26" s="373" t="s">
        <v>640</v>
      </c>
      <c r="AA26" s="373" t="s">
        <v>641</v>
      </c>
      <c r="AB26" s="373" t="s">
        <v>642</v>
      </c>
      <c r="AC26" s="373" t="s">
        <v>632</v>
      </c>
      <c r="AD26" s="475"/>
      <c r="AE26" s="373" t="s">
        <v>640</v>
      </c>
      <c r="AF26" s="373" t="s">
        <v>641</v>
      </c>
      <c r="AG26" s="373" t="s">
        <v>642</v>
      </c>
      <c r="AH26" s="373" t="s">
        <v>632</v>
      </c>
      <c r="AI26" s="475"/>
      <c r="AJ26" s="373" t="s">
        <v>640</v>
      </c>
      <c r="AK26" s="373" t="s">
        <v>641</v>
      </c>
      <c r="AL26" s="373" t="s">
        <v>642</v>
      </c>
      <c r="AM26" s="373" t="s">
        <v>632</v>
      </c>
      <c r="AN26" s="475"/>
      <c r="AO26" s="373" t="s">
        <v>640</v>
      </c>
      <c r="AP26" s="373" t="s">
        <v>805</v>
      </c>
      <c r="AQ26" s="373" t="s">
        <v>642</v>
      </c>
      <c r="AR26" s="373" t="s">
        <v>632</v>
      </c>
      <c r="AS26" s="475"/>
      <c r="AT26" s="373" t="s">
        <v>640</v>
      </c>
      <c r="AU26" s="373" t="s">
        <v>641</v>
      </c>
      <c r="AV26" s="373" t="s">
        <v>642</v>
      </c>
      <c r="AW26" s="373" t="s">
        <v>632</v>
      </c>
      <c r="AX26" s="475"/>
    </row>
    <row r="27" spans="2:50">
      <c r="B27" s="505" t="s">
        <v>692</v>
      </c>
      <c r="C27" s="374">
        <v>1</v>
      </c>
      <c r="D27" s="374" t="s">
        <v>457</v>
      </c>
      <c r="E27" s="374">
        <v>13</v>
      </c>
      <c r="F27" s="374">
        <v>1286.4000000000003</v>
      </c>
      <c r="G27" s="374">
        <v>98.953846153846172</v>
      </c>
      <c r="H27" s="507">
        <f>AVERAGE(G27:G41)</f>
        <v>196.72798076923081</v>
      </c>
      <c r="I27" s="219">
        <f>AVERAGE(P27,U27,Z27,AE27,AJ27,AO27,AT27)</f>
        <v>13</v>
      </c>
      <c r="J27" s="219">
        <f>AVERAGE(Q27,V27,AA27,AF27,AK27,AP27,AU27)</f>
        <v>1286.4000000000003</v>
      </c>
      <c r="K27" s="220">
        <f>AVERAGE(R27,W27,AB27,AG27,AL27,AQ27,AV27)</f>
        <v>98.953846153846172</v>
      </c>
      <c r="L27" s="456">
        <f>IFERROR(AVERAGE(K27:K41),"-")</f>
        <v>202.12383857275614</v>
      </c>
      <c r="M27" s="221">
        <f>RANK(K27, K$27:$K$41)</f>
        <v>7</v>
      </c>
      <c r="N27" s="475"/>
      <c r="O27" s="475"/>
      <c r="P27" s="374">
        <v>13</v>
      </c>
      <c r="Q27" s="187">
        <v>1286.4000000000003</v>
      </c>
      <c r="R27" s="375">
        <v>98.953846153846172</v>
      </c>
      <c r="S27" s="374">
        <f t="shared" ref="S27:S41" si="8">RANK(R27, R$27:R$41)</f>
        <v>8</v>
      </c>
      <c r="T27" s="506">
        <f>AVERAGE(R27:R41)</f>
        <v>196.72798076923081</v>
      </c>
      <c r="U27" s="374"/>
      <c r="V27" s="187"/>
      <c r="W27" s="375"/>
      <c r="X27" s="374" t="e">
        <f t="shared" ref="X27:X41" si="9">RANK(W27, W$27:W$41)</f>
        <v>#N/A</v>
      </c>
      <c r="Y27" s="506">
        <f>AVERAGE(W27:W41)</f>
        <v>212.59081349958205</v>
      </c>
      <c r="Z27" s="374"/>
      <c r="AA27" s="187"/>
      <c r="AB27" s="375"/>
      <c r="AC27" s="374" t="e">
        <f t="shared" ref="AC27:AC41" si="10">RANK(AB27, AB$27:AB$41)</f>
        <v>#N/A</v>
      </c>
      <c r="AD27" s="506">
        <f>AVERAGE(AB27:AB41)</f>
        <v>211.72951707296551</v>
      </c>
      <c r="AE27" s="374"/>
      <c r="AF27" s="187"/>
      <c r="AG27" s="375"/>
      <c r="AH27" s="374" t="e">
        <f t="shared" ref="AH27:AH41" si="11">RANK(AG27, AG$27:AG$41)</f>
        <v>#N/A</v>
      </c>
      <c r="AI27" s="506">
        <f>AVERAGE(AG27:AG41)</f>
        <v>197.15053724053766</v>
      </c>
      <c r="AJ27" s="374"/>
      <c r="AK27" s="187"/>
      <c r="AL27" s="375"/>
      <c r="AM27" s="374" t="e">
        <f t="shared" ref="AM27:AM41" si="12">RANK(AL27, AL$27:AL$41)</f>
        <v>#N/A</v>
      </c>
      <c r="AN27" s="506">
        <f>AVERAGE(AL27:AL41)</f>
        <v>209.86735308170071</v>
      </c>
      <c r="AO27" s="374"/>
      <c r="AP27" s="187"/>
      <c r="AQ27" s="375"/>
      <c r="AR27" s="374" t="e">
        <f t="shared" ref="AR27:AR41" si="13">RANK(AQ27, AQ$27:AQ$41)</f>
        <v>#N/A</v>
      </c>
      <c r="AS27" s="484">
        <f>AVERAGE(AQ27:AQ41)</f>
        <v>212.18077804548403</v>
      </c>
      <c r="AT27" s="374"/>
      <c r="AU27" s="187"/>
      <c r="AV27" s="375"/>
      <c r="AW27" s="374" t="e">
        <f t="shared" ref="AW27:AW41" si="14">RANK(AV27, AV$27:AV$41)</f>
        <v>#N/A</v>
      </c>
      <c r="AX27" s="484">
        <f>AVERAGE(AV27:AV41)</f>
        <v>209.31545348660552</v>
      </c>
    </row>
    <row r="28" spans="2:50">
      <c r="B28" s="483"/>
      <c r="C28" s="374">
        <v>2</v>
      </c>
      <c r="D28" s="374" t="s">
        <v>458</v>
      </c>
      <c r="E28" s="374">
        <v>10</v>
      </c>
      <c r="F28" s="374">
        <v>1447.4999999999995</v>
      </c>
      <c r="G28" s="374">
        <v>144.74999999999994</v>
      </c>
      <c r="H28" s="508"/>
      <c r="I28" s="219">
        <f t="shared" ref="I28:I33" si="15">AVERAGE(P28,U28,Z28,AE28,AJ28,AO28,AT28)</f>
        <v>12.571428571428571</v>
      </c>
      <c r="J28" s="219">
        <f t="shared" ref="J28:J33" si="16">AVERAGE(Q28,V28,AA28,AF28,AK28,AP28,AU28)</f>
        <v>1456.5714285714294</v>
      </c>
      <c r="K28" s="220">
        <f t="shared" ref="K28:K33" si="17">AVERAGE(R28,W28,AB28,AG28,AL28,AQ28,AV28)</f>
        <v>116.81593406593413</v>
      </c>
      <c r="L28" s="457"/>
      <c r="M28" s="221">
        <f>RANK(K28, K$27:$K$41)</f>
        <v>6</v>
      </c>
      <c r="N28" s="475"/>
      <c r="O28" s="475"/>
      <c r="P28" s="374">
        <v>10</v>
      </c>
      <c r="Q28" s="187">
        <v>1447.4999999999995</v>
      </c>
      <c r="R28" s="375">
        <v>144.74999999999994</v>
      </c>
      <c r="S28" s="374">
        <f t="shared" si="8"/>
        <v>7</v>
      </c>
      <c r="T28" s="506"/>
      <c r="U28" s="374">
        <v>13</v>
      </c>
      <c r="V28" s="187">
        <v>1394.9999999999966</v>
      </c>
      <c r="W28" s="375">
        <v>107.30769230769205</v>
      </c>
      <c r="X28" s="374">
        <f t="shared" si="9"/>
        <v>7</v>
      </c>
      <c r="Y28" s="506"/>
      <c r="Z28" s="374">
        <v>13</v>
      </c>
      <c r="AA28" s="187">
        <v>1356.0000000000023</v>
      </c>
      <c r="AB28" s="375">
        <v>104.30769230769248</v>
      </c>
      <c r="AC28" s="374">
        <f t="shared" si="10"/>
        <v>7</v>
      </c>
      <c r="AD28" s="506"/>
      <c r="AE28" s="374">
        <v>13</v>
      </c>
      <c r="AF28" s="187">
        <v>1514.0000000000014</v>
      </c>
      <c r="AG28" s="375">
        <v>116.46153846153857</v>
      </c>
      <c r="AH28" s="374">
        <f t="shared" si="11"/>
        <v>7</v>
      </c>
      <c r="AI28" s="506"/>
      <c r="AJ28" s="374">
        <v>13</v>
      </c>
      <c r="AK28" s="187">
        <v>1542.0000000000014</v>
      </c>
      <c r="AL28" s="375">
        <v>118.61538461538473</v>
      </c>
      <c r="AM28" s="374">
        <f t="shared" si="12"/>
        <v>7</v>
      </c>
      <c r="AN28" s="506"/>
      <c r="AO28" s="374">
        <v>13</v>
      </c>
      <c r="AP28" s="187">
        <v>1531.5000000000025</v>
      </c>
      <c r="AQ28" s="375">
        <v>117.80769230769251</v>
      </c>
      <c r="AR28" s="374">
        <f t="shared" si="13"/>
        <v>7</v>
      </c>
      <c r="AS28" s="485"/>
      <c r="AT28" s="374">
        <v>13</v>
      </c>
      <c r="AU28" s="187">
        <v>1410.0000000000023</v>
      </c>
      <c r="AV28" s="375">
        <v>108.46153846153864</v>
      </c>
      <c r="AW28" s="374">
        <f t="shared" si="14"/>
        <v>7</v>
      </c>
      <c r="AX28" s="485"/>
    </row>
    <row r="29" spans="2:50">
      <c r="B29" s="483"/>
      <c r="C29" s="374">
        <v>3</v>
      </c>
      <c r="D29" s="374" t="s">
        <v>459</v>
      </c>
      <c r="E29" s="374">
        <v>12</v>
      </c>
      <c r="F29" s="374">
        <v>1857.3333333333333</v>
      </c>
      <c r="G29" s="374">
        <v>154.77777777777777</v>
      </c>
      <c r="H29" s="508"/>
      <c r="I29" s="219">
        <f t="shared" si="15"/>
        <v>10.285714285714286</v>
      </c>
      <c r="J29" s="219">
        <f t="shared" si="16"/>
        <v>1753.2047619047628</v>
      </c>
      <c r="K29" s="220">
        <f t="shared" si="17"/>
        <v>170.89825396825401</v>
      </c>
      <c r="L29" s="457"/>
      <c r="M29" s="221">
        <f>RANK(K29, K$27:$K$41)</f>
        <v>4</v>
      </c>
      <c r="N29" s="475"/>
      <c r="O29" s="475"/>
      <c r="P29" s="374">
        <v>12</v>
      </c>
      <c r="Q29" s="187">
        <v>1857.3333333333333</v>
      </c>
      <c r="R29" s="375">
        <v>154.77777777777777</v>
      </c>
      <c r="S29" s="374">
        <f t="shared" si="8"/>
        <v>4</v>
      </c>
      <c r="T29" s="506"/>
      <c r="U29" s="374">
        <v>10</v>
      </c>
      <c r="V29" s="187">
        <v>1804.7999999999977</v>
      </c>
      <c r="W29" s="375">
        <v>180.47999999999976</v>
      </c>
      <c r="X29" s="374">
        <f t="shared" si="9"/>
        <v>4</v>
      </c>
      <c r="Y29" s="506"/>
      <c r="Z29" s="374">
        <v>10</v>
      </c>
      <c r="AA29" s="187">
        <v>1807.2000000000037</v>
      </c>
      <c r="AB29" s="375">
        <v>180.72000000000037</v>
      </c>
      <c r="AC29" s="374">
        <f t="shared" si="10"/>
        <v>4</v>
      </c>
      <c r="AD29" s="506"/>
      <c r="AE29" s="374">
        <v>10</v>
      </c>
      <c r="AF29" s="187">
        <v>1422.0000000000027</v>
      </c>
      <c r="AG29" s="375">
        <v>142.20000000000027</v>
      </c>
      <c r="AH29" s="374">
        <f t="shared" si="11"/>
        <v>4</v>
      </c>
      <c r="AI29" s="506"/>
      <c r="AJ29" s="374">
        <v>10</v>
      </c>
      <c r="AK29" s="187">
        <v>1735.4999999999957</v>
      </c>
      <c r="AL29" s="375">
        <v>173.54999999999956</v>
      </c>
      <c r="AM29" s="374">
        <f t="shared" si="12"/>
        <v>4</v>
      </c>
      <c r="AN29" s="506"/>
      <c r="AO29" s="374">
        <v>10</v>
      </c>
      <c r="AP29" s="187">
        <v>1776.0000000000011</v>
      </c>
      <c r="AQ29" s="375">
        <v>177.60000000000011</v>
      </c>
      <c r="AR29" s="374">
        <f t="shared" si="13"/>
        <v>4</v>
      </c>
      <c r="AS29" s="485"/>
      <c r="AT29" s="374">
        <v>10</v>
      </c>
      <c r="AU29" s="187">
        <v>1869.6000000000035</v>
      </c>
      <c r="AV29" s="375">
        <v>186.96000000000035</v>
      </c>
      <c r="AW29" s="374">
        <f t="shared" si="14"/>
        <v>4</v>
      </c>
      <c r="AX29" s="485"/>
    </row>
    <row r="30" spans="2:50">
      <c r="B30" s="483"/>
      <c r="C30" s="374">
        <v>4</v>
      </c>
      <c r="D30" s="374" t="s">
        <v>460</v>
      </c>
      <c r="E30" s="374">
        <v>12</v>
      </c>
      <c r="F30" s="374">
        <v>1850.6666666666667</v>
      </c>
      <c r="G30" s="374">
        <v>154.22222222222223</v>
      </c>
      <c r="H30" s="508"/>
      <c r="I30" s="219">
        <f t="shared" si="15"/>
        <v>12</v>
      </c>
      <c r="J30" s="219">
        <f t="shared" si="16"/>
        <v>1807.3333333333328</v>
      </c>
      <c r="K30" s="220">
        <f t="shared" si="17"/>
        <v>150.61111111111106</v>
      </c>
      <c r="L30" s="457"/>
      <c r="M30" s="221">
        <f>RANK(K30, K$27:$K$41)</f>
        <v>5</v>
      </c>
      <c r="N30" s="475"/>
      <c r="O30" s="475"/>
      <c r="P30" s="374">
        <v>12</v>
      </c>
      <c r="Q30" s="187">
        <v>1850.6666666666667</v>
      </c>
      <c r="R30" s="375">
        <v>154.22222222222223</v>
      </c>
      <c r="S30" s="374">
        <f t="shared" si="8"/>
        <v>5</v>
      </c>
      <c r="T30" s="506"/>
      <c r="U30" s="374">
        <v>12</v>
      </c>
      <c r="V30" s="187">
        <v>1942.6666666666667</v>
      </c>
      <c r="W30" s="375">
        <v>161.88888888888889</v>
      </c>
      <c r="X30" s="374">
        <f t="shared" si="9"/>
        <v>5</v>
      </c>
      <c r="Y30" s="506"/>
      <c r="Z30" s="374">
        <v>12</v>
      </c>
      <c r="AA30" s="187">
        <v>1889.3333333333333</v>
      </c>
      <c r="AB30" s="375">
        <v>157.44444444444443</v>
      </c>
      <c r="AC30" s="374">
        <f t="shared" si="10"/>
        <v>5</v>
      </c>
      <c r="AD30" s="506"/>
      <c r="AE30" s="374">
        <v>12</v>
      </c>
      <c r="AF30" s="187">
        <v>1454.6666666666665</v>
      </c>
      <c r="AG30" s="375">
        <v>121.22222222222221</v>
      </c>
      <c r="AH30" s="374">
        <f t="shared" si="11"/>
        <v>6</v>
      </c>
      <c r="AI30" s="506"/>
      <c r="AJ30" s="374">
        <v>12</v>
      </c>
      <c r="AK30" s="187">
        <v>1835.9999999999982</v>
      </c>
      <c r="AL30" s="375">
        <v>152.99999999999986</v>
      </c>
      <c r="AM30" s="374">
        <f t="shared" si="12"/>
        <v>5</v>
      </c>
      <c r="AN30" s="506"/>
      <c r="AO30" s="374">
        <v>12</v>
      </c>
      <c r="AP30" s="187">
        <v>1891.1999999999975</v>
      </c>
      <c r="AQ30" s="375">
        <v>157.5999999999998</v>
      </c>
      <c r="AR30" s="374">
        <f t="shared" si="13"/>
        <v>5</v>
      </c>
      <c r="AS30" s="485"/>
      <c r="AT30" s="374">
        <v>12</v>
      </c>
      <c r="AU30" s="187">
        <v>1786.8000000000004</v>
      </c>
      <c r="AV30" s="375">
        <v>148.90000000000003</v>
      </c>
      <c r="AW30" s="374">
        <f t="shared" si="14"/>
        <v>6</v>
      </c>
      <c r="AX30" s="485"/>
    </row>
    <row r="31" spans="2:50">
      <c r="B31" s="483"/>
      <c r="C31" s="374">
        <v>5</v>
      </c>
      <c r="D31" s="374" t="s">
        <v>461</v>
      </c>
      <c r="E31" s="374">
        <v>5</v>
      </c>
      <c r="F31" s="374">
        <v>1460.9999999999995</v>
      </c>
      <c r="G31" s="374">
        <v>292.19999999999993</v>
      </c>
      <c r="H31" s="508"/>
      <c r="I31" s="219">
        <f t="shared" si="15"/>
        <v>5</v>
      </c>
      <c r="J31" s="219">
        <f t="shared" si="16"/>
        <v>1457.4030612244896</v>
      </c>
      <c r="K31" s="220">
        <f t="shared" si="17"/>
        <v>291.48061224489794</v>
      </c>
      <c r="L31" s="457"/>
      <c r="M31" s="221">
        <f>RANK(K31, K$27:$K$41)</f>
        <v>2</v>
      </c>
      <c r="N31" s="475"/>
      <c r="O31" s="475"/>
      <c r="P31" s="374">
        <v>5</v>
      </c>
      <c r="Q31" s="187">
        <v>1460.9999999999995</v>
      </c>
      <c r="R31" s="375">
        <v>292.19999999999993</v>
      </c>
      <c r="S31" s="374">
        <f t="shared" si="8"/>
        <v>2</v>
      </c>
      <c r="T31" s="506"/>
      <c r="U31" s="374">
        <v>5</v>
      </c>
      <c r="V31" s="187">
        <v>1487.9999999999993</v>
      </c>
      <c r="W31" s="375">
        <v>297.59999999999985</v>
      </c>
      <c r="X31" s="374">
        <f t="shared" si="9"/>
        <v>3</v>
      </c>
      <c r="Y31" s="506"/>
      <c r="Z31" s="374">
        <v>5</v>
      </c>
      <c r="AA31" s="187">
        <v>1477.1428571428567</v>
      </c>
      <c r="AB31" s="375">
        <v>295.42857142857133</v>
      </c>
      <c r="AC31" s="374">
        <f t="shared" si="10"/>
        <v>2</v>
      </c>
      <c r="AD31" s="506"/>
      <c r="AE31" s="374">
        <v>5</v>
      </c>
      <c r="AF31" s="187">
        <v>1436.2500000000016</v>
      </c>
      <c r="AG31" s="375">
        <v>287.25000000000034</v>
      </c>
      <c r="AH31" s="374">
        <f t="shared" si="11"/>
        <v>2</v>
      </c>
      <c r="AI31" s="506"/>
      <c r="AJ31" s="374">
        <v>5</v>
      </c>
      <c r="AK31" s="187">
        <v>1448.0000000000014</v>
      </c>
      <c r="AL31" s="375">
        <v>289.60000000000025</v>
      </c>
      <c r="AM31" s="374">
        <f t="shared" si="12"/>
        <v>3</v>
      </c>
      <c r="AN31" s="506"/>
      <c r="AO31" s="374">
        <v>5</v>
      </c>
      <c r="AP31" s="187">
        <v>1439.9999999999977</v>
      </c>
      <c r="AQ31" s="375">
        <v>287.99999999999955</v>
      </c>
      <c r="AR31" s="374">
        <f t="shared" si="13"/>
        <v>2</v>
      </c>
      <c r="AS31" s="485"/>
      <c r="AT31" s="374">
        <v>5</v>
      </c>
      <c r="AU31" s="187">
        <v>1451.4285714285709</v>
      </c>
      <c r="AV31" s="375">
        <v>290.28571428571416</v>
      </c>
      <c r="AW31" s="374">
        <f t="shared" si="14"/>
        <v>2</v>
      </c>
      <c r="AX31" s="485"/>
    </row>
    <row r="32" spans="2:50">
      <c r="B32" s="483"/>
      <c r="C32" s="374">
        <v>6</v>
      </c>
      <c r="D32" s="374" t="s">
        <v>462</v>
      </c>
      <c r="E32" s="374">
        <v>5</v>
      </c>
      <c r="F32" s="374">
        <v>1504.0000000000014</v>
      </c>
      <c r="G32" s="374">
        <v>300.8000000000003</v>
      </c>
      <c r="H32" s="508"/>
      <c r="I32" s="219">
        <f t="shared" si="15"/>
        <v>5</v>
      </c>
      <c r="J32" s="219">
        <f t="shared" si="16"/>
        <v>1481.1622129865116</v>
      </c>
      <c r="K32" s="220">
        <f t="shared" si="17"/>
        <v>296.23244259730234</v>
      </c>
      <c r="L32" s="457"/>
      <c r="M32" s="221">
        <f>RANK(K32, K$27:$K$41)</f>
        <v>1</v>
      </c>
      <c r="N32" s="475"/>
      <c r="O32" s="475"/>
      <c r="P32" s="374">
        <v>5</v>
      </c>
      <c r="Q32" s="187">
        <v>1504.0000000000014</v>
      </c>
      <c r="R32" s="375">
        <v>300.8000000000003</v>
      </c>
      <c r="S32" s="374">
        <f t="shared" si="8"/>
        <v>1</v>
      </c>
      <c r="T32" s="506"/>
      <c r="U32" s="374">
        <v>5</v>
      </c>
      <c r="V32" s="187">
        <v>1491.7241379310337</v>
      </c>
      <c r="W32" s="375">
        <v>298.34482758620675</v>
      </c>
      <c r="X32" s="374">
        <f t="shared" si="9"/>
        <v>2</v>
      </c>
      <c r="Y32" s="506"/>
      <c r="Z32" s="374">
        <v>5</v>
      </c>
      <c r="AA32" s="187">
        <v>1475.1724137931046</v>
      </c>
      <c r="AB32" s="375">
        <v>295.03448275862092</v>
      </c>
      <c r="AC32" s="374">
        <f t="shared" si="10"/>
        <v>3</v>
      </c>
      <c r="AD32" s="506"/>
      <c r="AE32" s="374">
        <v>5</v>
      </c>
      <c r="AF32" s="187">
        <v>1455.0000000000027</v>
      </c>
      <c r="AG32" s="375">
        <v>291.00000000000057</v>
      </c>
      <c r="AH32" s="374">
        <f t="shared" si="11"/>
        <v>1</v>
      </c>
      <c r="AI32" s="506"/>
      <c r="AJ32" s="374">
        <v>5</v>
      </c>
      <c r="AK32" s="187">
        <v>1479.1304347826115</v>
      </c>
      <c r="AL32" s="375">
        <v>295.82608695652232</v>
      </c>
      <c r="AM32" s="374">
        <f t="shared" si="12"/>
        <v>1</v>
      </c>
      <c r="AN32" s="506"/>
      <c r="AO32" s="374">
        <v>5</v>
      </c>
      <c r="AP32" s="187">
        <v>1501.818181818182</v>
      </c>
      <c r="AQ32" s="375">
        <v>300.36363636363637</v>
      </c>
      <c r="AR32" s="374">
        <f t="shared" si="13"/>
        <v>1</v>
      </c>
      <c r="AS32" s="485"/>
      <c r="AT32" s="374">
        <v>5</v>
      </c>
      <c r="AU32" s="187">
        <v>1461.2903225806444</v>
      </c>
      <c r="AV32" s="375">
        <v>292.25806451612891</v>
      </c>
      <c r="AW32" s="374">
        <f t="shared" si="14"/>
        <v>1</v>
      </c>
      <c r="AX32" s="485"/>
    </row>
    <row r="33" spans="2:50">
      <c r="B33" s="483"/>
      <c r="C33" s="374">
        <v>7</v>
      </c>
      <c r="D33" s="374" t="s">
        <v>463</v>
      </c>
      <c r="E33" s="374">
        <v>5</v>
      </c>
      <c r="F33" s="374">
        <v>1408.0000000000014</v>
      </c>
      <c r="G33" s="374">
        <v>281.60000000000025</v>
      </c>
      <c r="H33" s="508"/>
      <c r="I33" s="219">
        <f t="shared" si="15"/>
        <v>5</v>
      </c>
      <c r="J33" s="219">
        <f t="shared" si="16"/>
        <v>1449.3733493397369</v>
      </c>
      <c r="K33" s="220">
        <f t="shared" si="17"/>
        <v>289.87466986794732</v>
      </c>
      <c r="L33" s="457"/>
      <c r="M33" s="221">
        <f>RANK(K33, K$27:$K$41)</f>
        <v>3</v>
      </c>
      <c r="N33" s="475"/>
      <c r="O33" s="475"/>
      <c r="P33" s="374">
        <v>5</v>
      </c>
      <c r="Q33" s="187">
        <v>1408.0000000000014</v>
      </c>
      <c r="R33" s="375">
        <v>281.60000000000025</v>
      </c>
      <c r="S33" s="374">
        <f t="shared" si="8"/>
        <v>3</v>
      </c>
      <c r="T33" s="506"/>
      <c r="U33" s="374">
        <v>5</v>
      </c>
      <c r="V33" s="187">
        <v>1508.5714285714339</v>
      </c>
      <c r="W33" s="375">
        <v>301.7142857142868</v>
      </c>
      <c r="X33" s="374">
        <f t="shared" si="9"/>
        <v>1</v>
      </c>
      <c r="Y33" s="506"/>
      <c r="Z33" s="374">
        <v>5</v>
      </c>
      <c r="AA33" s="187">
        <v>1482.857142857144</v>
      </c>
      <c r="AB33" s="375">
        <v>296.57142857142878</v>
      </c>
      <c r="AC33" s="374">
        <f t="shared" si="10"/>
        <v>1</v>
      </c>
      <c r="AD33" s="506"/>
      <c r="AE33" s="374">
        <v>5</v>
      </c>
      <c r="AF33" s="187">
        <v>1404.000000000005</v>
      </c>
      <c r="AG33" s="375">
        <v>280.80000000000098</v>
      </c>
      <c r="AH33" s="374">
        <f t="shared" si="11"/>
        <v>3</v>
      </c>
      <c r="AI33" s="506"/>
      <c r="AJ33" s="374">
        <v>5</v>
      </c>
      <c r="AK33" s="187">
        <v>1469.9999999999907</v>
      </c>
      <c r="AL33" s="375">
        <v>293.99999999999812</v>
      </c>
      <c r="AM33" s="374">
        <f t="shared" si="12"/>
        <v>2</v>
      </c>
      <c r="AN33" s="506"/>
      <c r="AO33" s="374">
        <v>5</v>
      </c>
      <c r="AP33" s="187">
        <v>1436.4705882352991</v>
      </c>
      <c r="AQ33" s="375">
        <v>287.29411764705981</v>
      </c>
      <c r="AR33" s="374">
        <f t="shared" si="13"/>
        <v>3</v>
      </c>
      <c r="AS33" s="485"/>
      <c r="AT33" s="374">
        <v>5</v>
      </c>
      <c r="AU33" s="187">
        <v>1435.7142857142826</v>
      </c>
      <c r="AV33" s="375">
        <v>287.14285714285654</v>
      </c>
      <c r="AW33" s="374">
        <f t="shared" si="14"/>
        <v>3</v>
      </c>
      <c r="AX33" s="485"/>
    </row>
    <row r="34" spans="2:50">
      <c r="B34" s="483"/>
      <c r="C34" s="374">
        <v>8</v>
      </c>
      <c r="D34" s="374" t="s">
        <v>691</v>
      </c>
      <c r="E34" s="374">
        <v>10</v>
      </c>
      <c r="F34" s="374">
        <v>1465.1999999999982</v>
      </c>
      <c r="G34" s="374">
        <v>146.51999999999981</v>
      </c>
      <c r="H34" s="508"/>
      <c r="I34" s="219"/>
      <c r="J34" s="219"/>
      <c r="K34" s="220"/>
      <c r="L34" s="457"/>
      <c r="M34" s="221" t="e">
        <f>RANK(K34, K$27:$K$41)</f>
        <v>#N/A</v>
      </c>
      <c r="N34" s="475"/>
      <c r="O34" s="475"/>
      <c r="P34" s="374">
        <v>10</v>
      </c>
      <c r="Q34" s="187">
        <v>1465.1999999999982</v>
      </c>
      <c r="R34" s="375">
        <v>146.51999999999981</v>
      </c>
      <c r="S34" s="374">
        <f t="shared" si="8"/>
        <v>6</v>
      </c>
      <c r="T34" s="506"/>
      <c r="U34" s="374">
        <v>10</v>
      </c>
      <c r="V34" s="187">
        <v>1408.0000000000025</v>
      </c>
      <c r="W34" s="375">
        <v>140.80000000000024</v>
      </c>
      <c r="X34" s="374">
        <f t="shared" si="9"/>
        <v>6</v>
      </c>
      <c r="Y34" s="506"/>
      <c r="Z34" s="374">
        <v>10</v>
      </c>
      <c r="AA34" s="187">
        <v>1526.0000000000016</v>
      </c>
      <c r="AB34" s="375">
        <v>152.60000000000016</v>
      </c>
      <c r="AC34" s="374">
        <f t="shared" si="10"/>
        <v>6</v>
      </c>
      <c r="AD34" s="506"/>
      <c r="AE34" s="374">
        <v>10</v>
      </c>
      <c r="AF34" s="187">
        <v>1411.200000000005</v>
      </c>
      <c r="AG34" s="375">
        <v>141.12000000000052</v>
      </c>
      <c r="AH34" s="374">
        <f t="shared" si="11"/>
        <v>5</v>
      </c>
      <c r="AI34" s="506"/>
      <c r="AJ34" s="374">
        <v>10</v>
      </c>
      <c r="AK34" s="187">
        <v>1444.8000000000004</v>
      </c>
      <c r="AL34" s="375">
        <v>144.48000000000005</v>
      </c>
      <c r="AM34" s="374">
        <f t="shared" si="12"/>
        <v>6</v>
      </c>
      <c r="AN34" s="506"/>
      <c r="AO34" s="374">
        <v>10</v>
      </c>
      <c r="AP34" s="187">
        <v>1566.0000000000016</v>
      </c>
      <c r="AQ34" s="375">
        <v>156.60000000000016</v>
      </c>
      <c r="AR34" s="374">
        <f t="shared" si="13"/>
        <v>6</v>
      </c>
      <c r="AS34" s="485"/>
      <c r="AT34" s="374">
        <v>10</v>
      </c>
      <c r="AU34" s="187">
        <v>1512.0000000000005</v>
      </c>
      <c r="AV34" s="375">
        <v>151.20000000000005</v>
      </c>
      <c r="AW34" s="374">
        <f t="shared" si="14"/>
        <v>5</v>
      </c>
      <c r="AX34" s="485"/>
    </row>
    <row r="35" spans="2:50">
      <c r="B35" s="483"/>
      <c r="C35" s="374">
        <v>9</v>
      </c>
      <c r="D35" s="374"/>
      <c r="E35" s="374"/>
      <c r="F35" s="374"/>
      <c r="G35" s="374"/>
      <c r="H35" s="508"/>
      <c r="I35" s="219"/>
      <c r="J35" s="219"/>
      <c r="K35" s="220"/>
      <c r="L35" s="457"/>
      <c r="M35" s="221" t="e">
        <f>RANK(K35, K$27:$K$41)</f>
        <v>#N/A</v>
      </c>
      <c r="N35" s="475"/>
      <c r="O35" s="475"/>
      <c r="P35" s="374"/>
      <c r="Q35" s="187"/>
      <c r="R35" s="375"/>
      <c r="S35" s="374" t="e">
        <f t="shared" si="8"/>
        <v>#N/A</v>
      </c>
      <c r="T35" s="506"/>
      <c r="U35" s="374"/>
      <c r="V35" s="187"/>
      <c r="W35" s="375"/>
      <c r="X35" s="374" t="e">
        <f t="shared" si="9"/>
        <v>#N/A</v>
      </c>
      <c r="Y35" s="506"/>
      <c r="Z35" s="374"/>
      <c r="AA35" s="187"/>
      <c r="AB35" s="375"/>
      <c r="AC35" s="374" t="e">
        <f t="shared" si="10"/>
        <v>#N/A</v>
      </c>
      <c r="AD35" s="506"/>
      <c r="AE35" s="374"/>
      <c r="AF35" s="187"/>
      <c r="AG35" s="375"/>
      <c r="AH35" s="374" t="e">
        <f t="shared" si="11"/>
        <v>#N/A</v>
      </c>
      <c r="AI35" s="506"/>
      <c r="AJ35" s="374"/>
      <c r="AK35" s="187"/>
      <c r="AL35" s="375"/>
      <c r="AM35" s="374" t="e">
        <f t="shared" si="12"/>
        <v>#N/A</v>
      </c>
      <c r="AN35" s="506"/>
      <c r="AO35" s="374"/>
      <c r="AP35" s="187"/>
      <c r="AQ35" s="375"/>
      <c r="AR35" s="374" t="e">
        <f t="shared" si="13"/>
        <v>#N/A</v>
      </c>
      <c r="AS35" s="485"/>
      <c r="AT35" s="374"/>
      <c r="AU35" s="187"/>
      <c r="AV35" s="375"/>
      <c r="AW35" s="374" t="e">
        <f t="shared" si="14"/>
        <v>#N/A</v>
      </c>
      <c r="AX35" s="485"/>
    </row>
    <row r="36" spans="2:50">
      <c r="B36" s="483"/>
      <c r="C36" s="374">
        <v>10</v>
      </c>
      <c r="D36" s="374"/>
      <c r="E36" s="374"/>
      <c r="F36" s="374"/>
      <c r="G36" s="374"/>
      <c r="H36" s="508"/>
      <c r="I36" s="219"/>
      <c r="J36" s="219"/>
      <c r="K36" s="220"/>
      <c r="L36" s="457"/>
      <c r="M36" s="221" t="e">
        <f>RANK(K36, K$27:$K$41)</f>
        <v>#N/A</v>
      </c>
      <c r="N36" s="475"/>
      <c r="O36" s="475"/>
      <c r="P36" s="374"/>
      <c r="Q36" s="187"/>
      <c r="R36" s="375"/>
      <c r="S36" s="374" t="e">
        <f t="shared" si="8"/>
        <v>#N/A</v>
      </c>
      <c r="T36" s="506"/>
      <c r="U36" s="374"/>
      <c r="V36" s="187"/>
      <c r="W36" s="375"/>
      <c r="X36" s="374" t="e">
        <f t="shared" si="9"/>
        <v>#N/A</v>
      </c>
      <c r="Y36" s="506"/>
      <c r="Z36" s="374"/>
      <c r="AA36" s="187"/>
      <c r="AB36" s="375"/>
      <c r="AC36" s="374" t="e">
        <f t="shared" si="10"/>
        <v>#N/A</v>
      </c>
      <c r="AD36" s="506"/>
      <c r="AE36" s="374"/>
      <c r="AF36" s="187"/>
      <c r="AG36" s="375"/>
      <c r="AH36" s="374" t="e">
        <f t="shared" si="11"/>
        <v>#N/A</v>
      </c>
      <c r="AI36" s="506"/>
      <c r="AJ36" s="374"/>
      <c r="AK36" s="187"/>
      <c r="AL36" s="375"/>
      <c r="AM36" s="374" t="e">
        <f t="shared" si="12"/>
        <v>#N/A</v>
      </c>
      <c r="AN36" s="506"/>
      <c r="AO36" s="374"/>
      <c r="AP36" s="187"/>
      <c r="AQ36" s="375"/>
      <c r="AR36" s="374" t="e">
        <f t="shared" si="13"/>
        <v>#N/A</v>
      </c>
      <c r="AS36" s="485"/>
      <c r="AT36" s="374"/>
      <c r="AU36" s="187"/>
      <c r="AV36" s="375"/>
      <c r="AW36" s="374" t="e">
        <f t="shared" si="14"/>
        <v>#N/A</v>
      </c>
      <c r="AX36" s="485"/>
    </row>
    <row r="37" spans="2:50">
      <c r="B37" s="483"/>
      <c r="C37" s="374">
        <v>11</v>
      </c>
      <c r="D37" s="374"/>
      <c r="E37" s="374"/>
      <c r="F37" s="374"/>
      <c r="G37" s="374"/>
      <c r="H37" s="508"/>
      <c r="I37" s="222"/>
      <c r="J37" s="222"/>
      <c r="K37" s="222"/>
      <c r="L37" s="457"/>
      <c r="M37" s="221" t="e">
        <f>RANK(K37, K$27:$K$41)</f>
        <v>#N/A</v>
      </c>
      <c r="N37" s="475"/>
      <c r="O37" s="475"/>
      <c r="P37" s="374"/>
      <c r="Q37" s="374"/>
      <c r="R37" s="374"/>
      <c r="S37" s="374" t="e">
        <f t="shared" si="8"/>
        <v>#N/A</v>
      </c>
      <c r="T37" s="506"/>
      <c r="U37" s="374"/>
      <c r="V37" s="374"/>
      <c r="W37" s="374"/>
      <c r="X37" s="374" t="e">
        <f t="shared" si="9"/>
        <v>#N/A</v>
      </c>
      <c r="Y37" s="506"/>
      <c r="Z37" s="374"/>
      <c r="AA37" s="374"/>
      <c r="AB37" s="374"/>
      <c r="AC37" s="374" t="e">
        <f t="shared" si="10"/>
        <v>#N/A</v>
      </c>
      <c r="AD37" s="506"/>
      <c r="AE37" s="374"/>
      <c r="AF37" s="374"/>
      <c r="AG37" s="374"/>
      <c r="AH37" s="374" t="e">
        <f t="shared" si="11"/>
        <v>#N/A</v>
      </c>
      <c r="AI37" s="506"/>
      <c r="AJ37" s="374"/>
      <c r="AK37" s="374"/>
      <c r="AL37" s="374"/>
      <c r="AM37" s="374" t="e">
        <f t="shared" si="12"/>
        <v>#N/A</v>
      </c>
      <c r="AN37" s="506"/>
      <c r="AO37" s="374"/>
      <c r="AP37" s="374"/>
      <c r="AQ37" s="374"/>
      <c r="AR37" s="374" t="e">
        <f t="shared" si="13"/>
        <v>#N/A</v>
      </c>
      <c r="AS37" s="485"/>
      <c r="AT37" s="374"/>
      <c r="AU37" s="374"/>
      <c r="AV37" s="374"/>
      <c r="AW37" s="374" t="e">
        <f t="shared" si="14"/>
        <v>#N/A</v>
      </c>
      <c r="AX37" s="485"/>
    </row>
    <row r="38" spans="2:50">
      <c r="B38" s="483"/>
      <c r="C38" s="374">
        <v>12</v>
      </c>
      <c r="D38" s="374"/>
      <c r="E38" s="374"/>
      <c r="F38" s="374"/>
      <c r="G38" s="374"/>
      <c r="H38" s="508"/>
      <c r="I38" s="222"/>
      <c r="J38" s="222"/>
      <c r="K38" s="222"/>
      <c r="L38" s="457"/>
      <c r="M38" s="221" t="e">
        <f>RANK(K38, K$27:$K$41)</f>
        <v>#N/A</v>
      </c>
      <c r="N38" s="475"/>
      <c r="O38" s="475"/>
      <c r="P38" s="374"/>
      <c r="Q38" s="374"/>
      <c r="R38" s="374"/>
      <c r="S38" s="374" t="e">
        <f t="shared" si="8"/>
        <v>#N/A</v>
      </c>
      <c r="T38" s="506"/>
      <c r="U38" s="374"/>
      <c r="V38" s="374"/>
      <c r="W38" s="374"/>
      <c r="X38" s="374" t="e">
        <f t="shared" si="9"/>
        <v>#N/A</v>
      </c>
      <c r="Y38" s="506"/>
      <c r="Z38" s="374"/>
      <c r="AA38" s="374"/>
      <c r="AB38" s="374"/>
      <c r="AC38" s="374" t="e">
        <f t="shared" si="10"/>
        <v>#N/A</v>
      </c>
      <c r="AD38" s="506"/>
      <c r="AE38" s="374"/>
      <c r="AF38" s="374"/>
      <c r="AG38" s="374"/>
      <c r="AH38" s="374" t="e">
        <f t="shared" si="11"/>
        <v>#N/A</v>
      </c>
      <c r="AI38" s="506"/>
      <c r="AJ38" s="374"/>
      <c r="AK38" s="374"/>
      <c r="AL38" s="374"/>
      <c r="AM38" s="374" t="e">
        <f t="shared" si="12"/>
        <v>#N/A</v>
      </c>
      <c r="AN38" s="506"/>
      <c r="AO38" s="374"/>
      <c r="AP38" s="374"/>
      <c r="AQ38" s="374"/>
      <c r="AR38" s="374" t="e">
        <f t="shared" si="13"/>
        <v>#N/A</v>
      </c>
      <c r="AS38" s="485"/>
      <c r="AT38" s="374"/>
      <c r="AU38" s="374"/>
      <c r="AV38" s="374"/>
      <c r="AW38" s="374" t="e">
        <f t="shared" si="14"/>
        <v>#N/A</v>
      </c>
      <c r="AX38" s="485"/>
    </row>
    <row r="39" spans="2:50">
      <c r="B39" s="483"/>
      <c r="C39" s="374">
        <v>13</v>
      </c>
      <c r="D39" s="374"/>
      <c r="E39" s="374"/>
      <c r="F39" s="374"/>
      <c r="G39" s="374"/>
      <c r="H39" s="508"/>
      <c r="I39" s="222"/>
      <c r="J39" s="222"/>
      <c r="K39" s="222"/>
      <c r="L39" s="457"/>
      <c r="M39" s="221" t="e">
        <f>RANK(K39, K$27:$K$41)</f>
        <v>#N/A</v>
      </c>
      <c r="N39" s="475"/>
      <c r="O39" s="475"/>
      <c r="P39" s="374"/>
      <c r="Q39" s="374"/>
      <c r="R39" s="374"/>
      <c r="S39" s="374" t="e">
        <f t="shared" si="8"/>
        <v>#N/A</v>
      </c>
      <c r="T39" s="506"/>
      <c r="U39" s="374"/>
      <c r="V39" s="374"/>
      <c r="W39" s="374"/>
      <c r="X39" s="374" t="e">
        <f t="shared" si="9"/>
        <v>#N/A</v>
      </c>
      <c r="Y39" s="506"/>
      <c r="Z39" s="374"/>
      <c r="AA39" s="374"/>
      <c r="AB39" s="374"/>
      <c r="AC39" s="374" t="e">
        <f t="shared" si="10"/>
        <v>#N/A</v>
      </c>
      <c r="AD39" s="506"/>
      <c r="AE39" s="374"/>
      <c r="AF39" s="374"/>
      <c r="AG39" s="374"/>
      <c r="AH39" s="374" t="e">
        <f t="shared" si="11"/>
        <v>#N/A</v>
      </c>
      <c r="AI39" s="506"/>
      <c r="AJ39" s="374"/>
      <c r="AK39" s="374"/>
      <c r="AL39" s="374"/>
      <c r="AM39" s="374" t="e">
        <f t="shared" si="12"/>
        <v>#N/A</v>
      </c>
      <c r="AN39" s="506"/>
      <c r="AO39" s="374"/>
      <c r="AP39" s="374"/>
      <c r="AQ39" s="374"/>
      <c r="AR39" s="374" t="e">
        <f t="shared" si="13"/>
        <v>#N/A</v>
      </c>
      <c r="AS39" s="485"/>
      <c r="AT39" s="374"/>
      <c r="AU39" s="374"/>
      <c r="AV39" s="374"/>
      <c r="AW39" s="374" t="e">
        <f t="shared" si="14"/>
        <v>#N/A</v>
      </c>
      <c r="AX39" s="485"/>
    </row>
    <row r="40" spans="2:50">
      <c r="B40" s="483"/>
      <c r="C40" s="374">
        <v>14</v>
      </c>
      <c r="D40" s="374"/>
      <c r="E40" s="374"/>
      <c r="F40" s="374"/>
      <c r="G40" s="374"/>
      <c r="H40" s="508"/>
      <c r="I40" s="222"/>
      <c r="J40" s="222"/>
      <c r="K40" s="222"/>
      <c r="L40" s="457"/>
      <c r="M40" s="221" t="e">
        <f>RANK(K40, K$27:$K$41)</f>
        <v>#N/A</v>
      </c>
      <c r="N40" s="475"/>
      <c r="O40" s="475"/>
      <c r="P40" s="374"/>
      <c r="Q40" s="374"/>
      <c r="R40" s="374"/>
      <c r="S40" s="374" t="e">
        <f t="shared" si="8"/>
        <v>#N/A</v>
      </c>
      <c r="T40" s="506"/>
      <c r="U40" s="374"/>
      <c r="V40" s="374"/>
      <c r="W40" s="374"/>
      <c r="X40" s="374" t="e">
        <f t="shared" si="9"/>
        <v>#N/A</v>
      </c>
      <c r="Y40" s="506"/>
      <c r="Z40" s="374"/>
      <c r="AA40" s="374"/>
      <c r="AB40" s="374"/>
      <c r="AC40" s="374" t="e">
        <f t="shared" si="10"/>
        <v>#N/A</v>
      </c>
      <c r="AD40" s="506"/>
      <c r="AE40" s="374"/>
      <c r="AF40" s="374"/>
      <c r="AG40" s="374"/>
      <c r="AH40" s="374" t="e">
        <f t="shared" si="11"/>
        <v>#N/A</v>
      </c>
      <c r="AI40" s="506"/>
      <c r="AJ40" s="374"/>
      <c r="AK40" s="374"/>
      <c r="AL40" s="374"/>
      <c r="AM40" s="374" t="e">
        <f t="shared" si="12"/>
        <v>#N/A</v>
      </c>
      <c r="AN40" s="506"/>
      <c r="AO40" s="374"/>
      <c r="AP40" s="374"/>
      <c r="AQ40" s="374"/>
      <c r="AR40" s="374" t="e">
        <f t="shared" si="13"/>
        <v>#N/A</v>
      </c>
      <c r="AS40" s="485"/>
      <c r="AT40" s="374"/>
      <c r="AU40" s="374"/>
      <c r="AV40" s="374"/>
      <c r="AW40" s="374" t="e">
        <f t="shared" si="14"/>
        <v>#N/A</v>
      </c>
      <c r="AX40" s="485"/>
    </row>
    <row r="41" spans="2:50">
      <c r="B41" s="483"/>
      <c r="C41" s="374">
        <v>15</v>
      </c>
      <c r="D41" s="374"/>
      <c r="E41" s="374"/>
      <c r="F41" s="374"/>
      <c r="G41" s="374"/>
      <c r="H41" s="509"/>
      <c r="I41" s="222"/>
      <c r="J41" s="222"/>
      <c r="K41" s="222"/>
      <c r="L41" s="458"/>
      <c r="M41" s="219" t="e">
        <f>RANK(K41, K$27:$K$41)</f>
        <v>#N/A</v>
      </c>
      <c r="N41" s="475"/>
      <c r="O41" s="475"/>
      <c r="P41" s="374"/>
      <c r="Q41" s="374"/>
      <c r="R41" s="374"/>
      <c r="S41" s="374" t="e">
        <f t="shared" si="8"/>
        <v>#N/A</v>
      </c>
      <c r="T41" s="506"/>
      <c r="U41" s="374"/>
      <c r="V41" s="374"/>
      <c r="W41" s="374"/>
      <c r="X41" s="374" t="e">
        <f t="shared" si="9"/>
        <v>#N/A</v>
      </c>
      <c r="Y41" s="506"/>
      <c r="Z41" s="374"/>
      <c r="AA41" s="374"/>
      <c r="AB41" s="374"/>
      <c r="AC41" s="374" t="e">
        <f t="shared" si="10"/>
        <v>#N/A</v>
      </c>
      <c r="AD41" s="506"/>
      <c r="AE41" s="374"/>
      <c r="AF41" s="374"/>
      <c r="AG41" s="374"/>
      <c r="AH41" s="374" t="e">
        <f t="shared" si="11"/>
        <v>#N/A</v>
      </c>
      <c r="AI41" s="506"/>
      <c r="AJ41" s="374"/>
      <c r="AK41" s="374"/>
      <c r="AL41" s="374"/>
      <c r="AM41" s="374" t="e">
        <f t="shared" si="12"/>
        <v>#N/A</v>
      </c>
      <c r="AN41" s="506"/>
      <c r="AO41" s="374"/>
      <c r="AP41" s="374"/>
      <c r="AQ41" s="374"/>
      <c r="AR41" s="374" t="e">
        <f t="shared" si="13"/>
        <v>#N/A</v>
      </c>
      <c r="AS41" s="486"/>
      <c r="AT41" s="374"/>
      <c r="AU41" s="374"/>
      <c r="AV41" s="374"/>
      <c r="AW41" s="374" t="e">
        <f t="shared" si="14"/>
        <v>#N/A</v>
      </c>
      <c r="AX41" s="486"/>
    </row>
    <row r="42" spans="2:50" ht="15.75">
      <c r="B42" s="500" t="s">
        <v>172</v>
      </c>
      <c r="C42" s="501"/>
      <c r="D42" s="501"/>
      <c r="E42" s="501"/>
      <c r="F42" s="501"/>
      <c r="G42" s="501"/>
      <c r="H42" s="501"/>
      <c r="I42" s="228"/>
      <c r="J42" s="223"/>
      <c r="K42" s="228"/>
      <c r="L42" s="228"/>
      <c r="M42" s="224"/>
      <c r="N42" s="476" t="s">
        <v>164</v>
      </c>
      <c r="O42" s="476" t="s">
        <v>105</v>
      </c>
      <c r="P42" s="482">
        <f>P22+7</f>
        <v>45909</v>
      </c>
      <c r="Q42" s="483"/>
      <c r="R42" s="483"/>
      <c r="S42" s="483"/>
      <c r="T42" s="483"/>
      <c r="U42" s="479">
        <f>P42+1</f>
        <v>45910</v>
      </c>
      <c r="V42" s="480"/>
      <c r="W42" s="480"/>
      <c r="X42" s="480"/>
      <c r="Y42" s="481"/>
      <c r="Z42" s="479">
        <f>U42+1</f>
        <v>45911</v>
      </c>
      <c r="AA42" s="480"/>
      <c r="AB42" s="480"/>
      <c r="AC42" s="480"/>
      <c r="AD42" s="481"/>
      <c r="AE42" s="479">
        <f t="shared" ref="AE42" si="18">Z42+1</f>
        <v>45912</v>
      </c>
      <c r="AF42" s="480"/>
      <c r="AG42" s="480"/>
      <c r="AH42" s="480"/>
      <c r="AI42" s="481"/>
      <c r="AJ42" s="479">
        <f t="shared" ref="AJ42" si="19">AE42+1</f>
        <v>45913</v>
      </c>
      <c r="AK42" s="480"/>
      <c r="AL42" s="480"/>
      <c r="AM42" s="480"/>
      <c r="AN42" s="481"/>
      <c r="AO42" s="479">
        <f t="shared" ref="AO42" si="20">AJ42+1</f>
        <v>45914</v>
      </c>
      <c r="AP42" s="480"/>
      <c r="AQ42" s="480"/>
      <c r="AR42" s="480"/>
      <c r="AS42" s="481"/>
      <c r="AT42" s="479">
        <f t="shared" ref="AT42" si="21">AO42+1</f>
        <v>45915</v>
      </c>
      <c r="AU42" s="480"/>
      <c r="AV42" s="480"/>
      <c r="AW42" s="480"/>
      <c r="AX42" s="481"/>
    </row>
    <row r="43" spans="2:50" ht="15.75">
      <c r="B43" s="490"/>
      <c r="C43" s="490"/>
      <c r="D43" s="490"/>
      <c r="E43" s="490"/>
      <c r="F43" s="490"/>
      <c r="G43" s="490"/>
      <c r="H43" s="490"/>
      <c r="I43" s="225"/>
      <c r="J43" s="225"/>
      <c r="K43" s="225"/>
      <c r="L43" s="225"/>
      <c r="M43" s="226"/>
      <c r="N43" s="478"/>
      <c r="O43" s="478"/>
      <c r="P43" s="482" t="s">
        <v>393</v>
      </c>
      <c r="Q43" s="483"/>
      <c r="R43" s="483"/>
      <c r="S43" s="483"/>
      <c r="T43" s="483"/>
      <c r="U43" s="482" t="s">
        <v>394</v>
      </c>
      <c r="V43" s="483"/>
      <c r="W43" s="483"/>
      <c r="X43" s="483"/>
      <c r="Y43" s="483"/>
      <c r="Z43" s="482" t="s">
        <v>395</v>
      </c>
      <c r="AA43" s="483"/>
      <c r="AB43" s="483"/>
      <c r="AC43" s="483"/>
      <c r="AD43" s="483"/>
      <c r="AE43" s="482" t="s">
        <v>396</v>
      </c>
      <c r="AF43" s="483"/>
      <c r="AG43" s="483"/>
      <c r="AH43" s="483"/>
      <c r="AI43" s="483"/>
      <c r="AJ43" s="482" t="s">
        <v>397</v>
      </c>
      <c r="AK43" s="483"/>
      <c r="AL43" s="483"/>
      <c r="AM43" s="483"/>
      <c r="AN43" s="483"/>
      <c r="AO43" s="482" t="s">
        <v>398</v>
      </c>
      <c r="AP43" s="483"/>
      <c r="AQ43" s="483"/>
      <c r="AR43" s="483"/>
      <c r="AS43" s="483"/>
      <c r="AT43" s="482" t="s">
        <v>399</v>
      </c>
      <c r="AU43" s="483"/>
      <c r="AV43" s="483"/>
      <c r="AW43" s="483"/>
      <c r="AX43" s="483"/>
    </row>
    <row r="44" spans="2:50">
      <c r="B44" s="475" t="s">
        <v>634</v>
      </c>
      <c r="C44" s="475" t="s">
        <v>644</v>
      </c>
      <c r="D44" s="475"/>
      <c r="E44" s="475" t="s">
        <v>635</v>
      </c>
      <c r="F44" s="475"/>
      <c r="G44" s="475"/>
      <c r="H44" s="491" t="s">
        <v>631</v>
      </c>
      <c r="I44" s="459" t="s">
        <v>636</v>
      </c>
      <c r="J44" s="459"/>
      <c r="K44" s="459"/>
      <c r="L44" s="460" t="s">
        <v>631</v>
      </c>
      <c r="M44" s="466" t="s">
        <v>632</v>
      </c>
      <c r="N44" s="475"/>
      <c r="O44" s="475" t="s">
        <v>637</v>
      </c>
      <c r="P44" s="472" t="s">
        <v>633</v>
      </c>
      <c r="Q44" s="473"/>
      <c r="R44" s="473"/>
      <c r="S44" s="474"/>
      <c r="T44" s="475" t="s">
        <v>631</v>
      </c>
      <c r="U44" s="472" t="s">
        <v>633</v>
      </c>
      <c r="V44" s="473"/>
      <c r="W44" s="473"/>
      <c r="X44" s="474"/>
      <c r="Y44" s="475" t="s">
        <v>631</v>
      </c>
      <c r="Z44" s="472" t="s">
        <v>633</v>
      </c>
      <c r="AA44" s="473"/>
      <c r="AB44" s="473"/>
      <c r="AC44" s="474"/>
      <c r="AD44" s="475" t="s">
        <v>631</v>
      </c>
      <c r="AE44" s="472" t="s">
        <v>633</v>
      </c>
      <c r="AF44" s="473"/>
      <c r="AG44" s="473"/>
      <c r="AH44" s="474"/>
      <c r="AI44" s="475" t="s">
        <v>631</v>
      </c>
      <c r="AJ44" s="472" t="s">
        <v>633</v>
      </c>
      <c r="AK44" s="473"/>
      <c r="AL44" s="473"/>
      <c r="AM44" s="474"/>
      <c r="AN44" s="475" t="s">
        <v>631</v>
      </c>
      <c r="AO44" s="472" t="s">
        <v>633</v>
      </c>
      <c r="AP44" s="473"/>
      <c r="AQ44" s="473"/>
      <c r="AR44" s="474"/>
      <c r="AS44" s="475" t="s">
        <v>631</v>
      </c>
      <c r="AT44" s="472" t="s">
        <v>633</v>
      </c>
      <c r="AU44" s="473"/>
      <c r="AV44" s="473"/>
      <c r="AW44" s="474"/>
      <c r="AX44" s="475" t="s">
        <v>631</v>
      </c>
    </row>
    <row r="45" spans="2:50">
      <c r="B45" s="475"/>
      <c r="C45" s="475"/>
      <c r="D45" s="475"/>
      <c r="E45" s="475" t="s">
        <v>638</v>
      </c>
      <c r="F45" s="475"/>
      <c r="G45" s="475"/>
      <c r="H45" s="492"/>
      <c r="I45" s="459" t="s">
        <v>638</v>
      </c>
      <c r="J45" s="459"/>
      <c r="K45" s="459"/>
      <c r="L45" s="461"/>
      <c r="M45" s="467"/>
      <c r="N45" s="475"/>
      <c r="O45" s="475"/>
      <c r="P45" s="472" t="s">
        <v>639</v>
      </c>
      <c r="Q45" s="473"/>
      <c r="R45" s="473"/>
      <c r="S45" s="474"/>
      <c r="T45" s="475"/>
      <c r="U45" s="472" t="s">
        <v>639</v>
      </c>
      <c r="V45" s="473"/>
      <c r="W45" s="473"/>
      <c r="X45" s="474"/>
      <c r="Y45" s="475"/>
      <c r="Z45" s="472" t="s">
        <v>639</v>
      </c>
      <c r="AA45" s="473"/>
      <c r="AB45" s="473"/>
      <c r="AC45" s="474"/>
      <c r="AD45" s="475"/>
      <c r="AE45" s="472" t="s">
        <v>639</v>
      </c>
      <c r="AF45" s="473"/>
      <c r="AG45" s="473"/>
      <c r="AH45" s="474"/>
      <c r="AI45" s="475"/>
      <c r="AJ45" s="472" t="s">
        <v>639</v>
      </c>
      <c r="AK45" s="473"/>
      <c r="AL45" s="473"/>
      <c r="AM45" s="474"/>
      <c r="AN45" s="475"/>
      <c r="AO45" s="472" t="s">
        <v>639</v>
      </c>
      <c r="AP45" s="473"/>
      <c r="AQ45" s="473"/>
      <c r="AR45" s="474"/>
      <c r="AS45" s="475"/>
      <c r="AT45" s="472" t="s">
        <v>639</v>
      </c>
      <c r="AU45" s="473"/>
      <c r="AV45" s="473"/>
      <c r="AW45" s="474"/>
      <c r="AX45" s="475"/>
    </row>
    <row r="46" spans="2:50">
      <c r="B46" s="475"/>
      <c r="C46" s="475"/>
      <c r="D46" s="475"/>
      <c r="E46" s="350" t="s">
        <v>640</v>
      </c>
      <c r="F46" s="350" t="s">
        <v>641</v>
      </c>
      <c r="G46" s="350" t="s">
        <v>642</v>
      </c>
      <c r="H46" s="493"/>
      <c r="I46" s="349" t="s">
        <v>640</v>
      </c>
      <c r="J46" s="349" t="s">
        <v>641</v>
      </c>
      <c r="K46" s="349" t="s">
        <v>642</v>
      </c>
      <c r="L46" s="462"/>
      <c r="M46" s="468"/>
      <c r="N46" s="475"/>
      <c r="O46" s="475"/>
      <c r="P46" s="350" t="s">
        <v>640</v>
      </c>
      <c r="Q46" s="350" t="s">
        <v>641</v>
      </c>
      <c r="R46" s="350" t="s">
        <v>642</v>
      </c>
      <c r="S46" s="350" t="s">
        <v>632</v>
      </c>
      <c r="T46" s="475"/>
      <c r="U46" s="350" t="s">
        <v>640</v>
      </c>
      <c r="V46" s="350" t="s">
        <v>641</v>
      </c>
      <c r="W46" s="350" t="s">
        <v>642</v>
      </c>
      <c r="X46" s="350" t="s">
        <v>632</v>
      </c>
      <c r="Y46" s="475"/>
      <c r="Z46" s="350" t="s">
        <v>640</v>
      </c>
      <c r="AA46" s="350" t="s">
        <v>641</v>
      </c>
      <c r="AB46" s="350" t="s">
        <v>642</v>
      </c>
      <c r="AC46" s="350" t="s">
        <v>632</v>
      </c>
      <c r="AD46" s="475"/>
      <c r="AE46" s="350" t="s">
        <v>640</v>
      </c>
      <c r="AF46" s="350" t="s">
        <v>641</v>
      </c>
      <c r="AG46" s="350" t="s">
        <v>642</v>
      </c>
      <c r="AH46" s="350" t="s">
        <v>632</v>
      </c>
      <c r="AI46" s="475"/>
      <c r="AJ46" s="350" t="s">
        <v>640</v>
      </c>
      <c r="AK46" s="350" t="s">
        <v>641</v>
      </c>
      <c r="AL46" s="350" t="s">
        <v>642</v>
      </c>
      <c r="AM46" s="350" t="s">
        <v>632</v>
      </c>
      <c r="AN46" s="475"/>
      <c r="AO46" s="350" t="s">
        <v>640</v>
      </c>
      <c r="AP46" s="350" t="s">
        <v>641</v>
      </c>
      <c r="AQ46" s="350" t="s">
        <v>642</v>
      </c>
      <c r="AR46" s="350" t="s">
        <v>632</v>
      </c>
      <c r="AS46" s="475"/>
      <c r="AT46" s="350" t="s">
        <v>640</v>
      </c>
      <c r="AU46" s="350" t="s">
        <v>641</v>
      </c>
      <c r="AV46" s="350" t="s">
        <v>642</v>
      </c>
      <c r="AW46" s="350" t="s">
        <v>632</v>
      </c>
      <c r="AX46" s="475"/>
    </row>
    <row r="47" spans="2:50">
      <c r="B47" s="505" t="s">
        <v>692</v>
      </c>
      <c r="C47" s="351">
        <v>1</v>
      </c>
      <c r="D47" s="351"/>
      <c r="E47" s="351"/>
      <c r="F47" s="351"/>
      <c r="G47" s="351"/>
      <c r="H47" s="507" t="e">
        <f>AVERAGE(G47:G61)</f>
        <v>#DIV/0!</v>
      </c>
      <c r="I47" s="219" t="e">
        <f>AVERAGE(P47,U47,Z47,AE47,AJ47,AO47,AT47)</f>
        <v>#DIV/0!</v>
      </c>
      <c r="J47" s="219" t="e">
        <f>AVERAGE(Q47,V47,AA47,AF47,AK47,AP47,AU47)</f>
        <v>#DIV/0!</v>
      </c>
      <c r="K47" s="220" t="e">
        <f>AVERAGE(R47,W47,AB47,AG47,AL47,AQ47,AV47)</f>
        <v>#DIV/0!</v>
      </c>
      <c r="L47" s="456" t="str">
        <f>IFERROR(AVERAGE(K47:K61),"-")</f>
        <v>-</v>
      </c>
      <c r="M47" s="221" t="e">
        <f>RANK(K47, K$87:$K$101)</f>
        <v>#DIV/0!</v>
      </c>
      <c r="N47" s="475"/>
      <c r="O47" s="475"/>
      <c r="P47" s="351"/>
      <c r="Q47" s="187"/>
      <c r="R47" s="354"/>
      <c r="S47" s="351" t="e">
        <f>RANK(R47, R$87:R$101)</f>
        <v>#N/A</v>
      </c>
      <c r="T47" s="506" t="e">
        <f>AVERAGE(R47:R61)</f>
        <v>#DIV/0!</v>
      </c>
      <c r="U47" s="351"/>
      <c r="V47" s="187"/>
      <c r="W47" s="354"/>
      <c r="X47" s="351" t="e">
        <f>RANK(W47, W$87:W$101)</f>
        <v>#N/A</v>
      </c>
      <c r="Y47" s="506" t="e">
        <f>AVERAGE(W47:W61)</f>
        <v>#DIV/0!</v>
      </c>
      <c r="Z47" s="351"/>
      <c r="AA47" s="187"/>
      <c r="AB47" s="354"/>
      <c r="AC47" s="351" t="e">
        <f>RANK(AB47, AB$87:AB$101)</f>
        <v>#N/A</v>
      </c>
      <c r="AD47" s="506" t="e">
        <f>AVERAGE(AB47:AB61)</f>
        <v>#DIV/0!</v>
      </c>
      <c r="AE47" s="351"/>
      <c r="AF47" s="187"/>
      <c r="AG47" s="354"/>
      <c r="AH47" s="351" t="e">
        <f>RANK(AG47, AG$87:AG$101)</f>
        <v>#N/A</v>
      </c>
      <c r="AI47" s="506" t="e">
        <f>AVERAGE(AG47:AG61)</f>
        <v>#DIV/0!</v>
      </c>
      <c r="AJ47" s="351"/>
      <c r="AK47" s="187"/>
      <c r="AL47" s="354"/>
      <c r="AM47" s="351" t="e">
        <f>RANK(AL47, AL$87:AL$101)</f>
        <v>#N/A</v>
      </c>
      <c r="AN47" s="506" t="e">
        <f>AVERAGE(AL47:AL61)</f>
        <v>#DIV/0!</v>
      </c>
      <c r="AO47" s="351"/>
      <c r="AP47" s="187"/>
      <c r="AQ47" s="354"/>
      <c r="AR47" s="351" t="e">
        <f>RANK(AQ47, AQ$87:AQ$101)</f>
        <v>#N/A</v>
      </c>
      <c r="AS47" s="506" t="e">
        <f>AVERAGE(AQ47:AQ61)</f>
        <v>#DIV/0!</v>
      </c>
      <c r="AT47" s="351"/>
      <c r="AU47" s="187"/>
      <c r="AV47" s="354"/>
      <c r="AW47" s="351" t="e">
        <f>RANK(AV47, AV$87:AV$101)</f>
        <v>#N/A</v>
      </c>
      <c r="AX47" s="506" t="e">
        <f>AVERAGE(AV47:AV61)</f>
        <v>#DIV/0!</v>
      </c>
    </row>
    <row r="48" spans="2:50">
      <c r="B48" s="483"/>
      <c r="C48" s="351">
        <v>2</v>
      </c>
      <c r="D48" s="351"/>
      <c r="E48" s="351"/>
      <c r="F48" s="351"/>
      <c r="G48" s="351"/>
      <c r="H48" s="508"/>
      <c r="I48" s="219" t="e">
        <f t="shared" ref="I48:I53" si="22">AVERAGE(P48,U48,Z48,AE48,AJ48,AO48,AT48)</f>
        <v>#DIV/0!</v>
      </c>
      <c r="J48" s="219" t="e">
        <f t="shared" ref="J48:J53" si="23">AVERAGE(Q48,V48,AA48,AF48,AK48,AP48,AU48)</f>
        <v>#DIV/0!</v>
      </c>
      <c r="K48" s="220" t="e">
        <f t="shared" ref="K48:K53" si="24">AVERAGE(R48,W48,AB48,AG48,AL48,AQ48,AV48)</f>
        <v>#DIV/0!</v>
      </c>
      <c r="L48" s="457"/>
      <c r="M48" s="221" t="e">
        <f>RANK(K48, K$87:$K$101)</f>
        <v>#DIV/0!</v>
      </c>
      <c r="N48" s="475"/>
      <c r="O48" s="475"/>
      <c r="P48" s="351"/>
      <c r="Q48" s="187"/>
      <c r="R48" s="354"/>
      <c r="S48" s="351" t="e">
        <f t="shared" ref="S48:S61" si="25">RANK(R48, R$87:R$101)</f>
        <v>#N/A</v>
      </c>
      <c r="T48" s="506"/>
      <c r="U48" s="351"/>
      <c r="V48" s="187"/>
      <c r="W48" s="354"/>
      <c r="X48" s="351" t="e">
        <f t="shared" ref="X48:X61" si="26">RANK(W48, W$87:W$101)</f>
        <v>#N/A</v>
      </c>
      <c r="Y48" s="506"/>
      <c r="Z48" s="351"/>
      <c r="AA48" s="187"/>
      <c r="AB48" s="354"/>
      <c r="AC48" s="351" t="e">
        <f t="shared" ref="AC48:AC61" si="27">RANK(AB48, AB$87:AB$101)</f>
        <v>#N/A</v>
      </c>
      <c r="AD48" s="506"/>
      <c r="AE48" s="351"/>
      <c r="AF48" s="187"/>
      <c r="AG48" s="354"/>
      <c r="AH48" s="351" t="e">
        <f t="shared" ref="AH48:AH61" si="28">RANK(AG48, AG$87:AG$101)</f>
        <v>#N/A</v>
      </c>
      <c r="AI48" s="506"/>
      <c r="AJ48" s="351"/>
      <c r="AK48" s="187"/>
      <c r="AL48" s="354"/>
      <c r="AM48" s="351" t="e">
        <f t="shared" ref="AM48:AM61" si="29">RANK(AL48, AL$87:AL$101)</f>
        <v>#N/A</v>
      </c>
      <c r="AN48" s="506"/>
      <c r="AO48" s="351"/>
      <c r="AP48" s="187"/>
      <c r="AQ48" s="354"/>
      <c r="AR48" s="351" t="e">
        <f t="shared" ref="AR48:AR61" si="30">RANK(AQ48, AQ$87:AQ$101)</f>
        <v>#N/A</v>
      </c>
      <c r="AS48" s="506"/>
      <c r="AT48" s="351"/>
      <c r="AU48" s="187"/>
      <c r="AV48" s="354"/>
      <c r="AW48" s="351" t="e">
        <f t="shared" ref="AW48:AW61" si="31">RANK(AV48, AV$87:AV$101)</f>
        <v>#N/A</v>
      </c>
      <c r="AX48" s="506"/>
    </row>
    <row r="49" spans="2:50">
      <c r="B49" s="483"/>
      <c r="C49" s="351">
        <v>3</v>
      </c>
      <c r="D49" s="351"/>
      <c r="E49" s="351"/>
      <c r="F49" s="351"/>
      <c r="G49" s="351"/>
      <c r="H49" s="508"/>
      <c r="I49" s="219" t="e">
        <f t="shared" si="22"/>
        <v>#DIV/0!</v>
      </c>
      <c r="J49" s="219" t="e">
        <f t="shared" si="23"/>
        <v>#DIV/0!</v>
      </c>
      <c r="K49" s="220" t="e">
        <f t="shared" si="24"/>
        <v>#DIV/0!</v>
      </c>
      <c r="L49" s="457"/>
      <c r="M49" s="221" t="e">
        <f>RANK(K49, K$87:$K$101)</f>
        <v>#DIV/0!</v>
      </c>
      <c r="N49" s="475"/>
      <c r="O49" s="475"/>
      <c r="P49" s="351"/>
      <c r="Q49" s="187"/>
      <c r="R49" s="354"/>
      <c r="S49" s="351" t="e">
        <f t="shared" si="25"/>
        <v>#N/A</v>
      </c>
      <c r="T49" s="506"/>
      <c r="U49" s="351"/>
      <c r="V49" s="187"/>
      <c r="W49" s="354"/>
      <c r="X49" s="351" t="e">
        <f t="shared" si="26"/>
        <v>#N/A</v>
      </c>
      <c r="Y49" s="506"/>
      <c r="Z49" s="351"/>
      <c r="AA49" s="187"/>
      <c r="AB49" s="354"/>
      <c r="AC49" s="351" t="e">
        <f t="shared" si="27"/>
        <v>#N/A</v>
      </c>
      <c r="AD49" s="506"/>
      <c r="AE49" s="351"/>
      <c r="AF49" s="187"/>
      <c r="AG49" s="354"/>
      <c r="AH49" s="351" t="e">
        <f t="shared" si="28"/>
        <v>#N/A</v>
      </c>
      <c r="AI49" s="506"/>
      <c r="AJ49" s="351"/>
      <c r="AK49" s="187"/>
      <c r="AL49" s="354"/>
      <c r="AM49" s="351" t="e">
        <f t="shared" si="29"/>
        <v>#N/A</v>
      </c>
      <c r="AN49" s="506"/>
      <c r="AO49" s="351"/>
      <c r="AP49" s="187"/>
      <c r="AQ49" s="354"/>
      <c r="AR49" s="351" t="e">
        <f t="shared" si="30"/>
        <v>#N/A</v>
      </c>
      <c r="AS49" s="506"/>
      <c r="AT49" s="351"/>
      <c r="AU49" s="187"/>
      <c r="AV49" s="354"/>
      <c r="AW49" s="351" t="e">
        <f t="shared" si="31"/>
        <v>#N/A</v>
      </c>
      <c r="AX49" s="506"/>
    </row>
    <row r="50" spans="2:50">
      <c r="B50" s="483"/>
      <c r="C50" s="351">
        <v>4</v>
      </c>
      <c r="D50" s="351"/>
      <c r="E50" s="351"/>
      <c r="F50" s="351"/>
      <c r="G50" s="351"/>
      <c r="H50" s="508"/>
      <c r="I50" s="219" t="e">
        <f t="shared" si="22"/>
        <v>#DIV/0!</v>
      </c>
      <c r="J50" s="219" t="e">
        <f t="shared" si="23"/>
        <v>#DIV/0!</v>
      </c>
      <c r="K50" s="220" t="e">
        <f t="shared" si="24"/>
        <v>#DIV/0!</v>
      </c>
      <c r="L50" s="457"/>
      <c r="M50" s="221" t="e">
        <f>RANK(K50, K$87:$K$101)</f>
        <v>#DIV/0!</v>
      </c>
      <c r="N50" s="475"/>
      <c r="O50" s="475"/>
      <c r="P50" s="351"/>
      <c r="Q50" s="187"/>
      <c r="R50" s="354"/>
      <c r="S50" s="351" t="e">
        <f t="shared" si="25"/>
        <v>#N/A</v>
      </c>
      <c r="T50" s="506"/>
      <c r="U50" s="351"/>
      <c r="V50" s="187"/>
      <c r="W50" s="354"/>
      <c r="X50" s="351" t="e">
        <f t="shared" si="26"/>
        <v>#N/A</v>
      </c>
      <c r="Y50" s="506"/>
      <c r="Z50" s="351"/>
      <c r="AA50" s="187"/>
      <c r="AB50" s="354"/>
      <c r="AC50" s="351" t="e">
        <f t="shared" si="27"/>
        <v>#N/A</v>
      </c>
      <c r="AD50" s="506"/>
      <c r="AE50" s="351"/>
      <c r="AF50" s="187"/>
      <c r="AG50" s="354"/>
      <c r="AH50" s="351" t="e">
        <f t="shared" si="28"/>
        <v>#N/A</v>
      </c>
      <c r="AI50" s="506"/>
      <c r="AJ50" s="351"/>
      <c r="AK50" s="187"/>
      <c r="AL50" s="354"/>
      <c r="AM50" s="351" t="e">
        <f t="shared" si="29"/>
        <v>#N/A</v>
      </c>
      <c r="AN50" s="506"/>
      <c r="AO50" s="351"/>
      <c r="AP50" s="187"/>
      <c r="AQ50" s="354"/>
      <c r="AR50" s="351" t="e">
        <f t="shared" si="30"/>
        <v>#N/A</v>
      </c>
      <c r="AS50" s="506"/>
      <c r="AT50" s="351"/>
      <c r="AU50" s="187"/>
      <c r="AV50" s="354"/>
      <c r="AW50" s="351" t="e">
        <f t="shared" si="31"/>
        <v>#N/A</v>
      </c>
      <c r="AX50" s="506"/>
    </row>
    <row r="51" spans="2:50">
      <c r="B51" s="483"/>
      <c r="C51" s="351">
        <v>5</v>
      </c>
      <c r="D51" s="351"/>
      <c r="E51" s="351"/>
      <c r="F51" s="351"/>
      <c r="G51" s="351"/>
      <c r="H51" s="508"/>
      <c r="I51" s="219" t="e">
        <f t="shared" si="22"/>
        <v>#DIV/0!</v>
      </c>
      <c r="J51" s="219" t="e">
        <f t="shared" si="23"/>
        <v>#DIV/0!</v>
      </c>
      <c r="K51" s="220" t="e">
        <f t="shared" si="24"/>
        <v>#DIV/0!</v>
      </c>
      <c r="L51" s="457"/>
      <c r="M51" s="221" t="e">
        <f>RANK(K51, K$87:$K$101)</f>
        <v>#DIV/0!</v>
      </c>
      <c r="N51" s="475"/>
      <c r="O51" s="475"/>
      <c r="P51" s="351"/>
      <c r="Q51" s="187"/>
      <c r="R51" s="354"/>
      <c r="S51" s="351" t="e">
        <f t="shared" si="25"/>
        <v>#N/A</v>
      </c>
      <c r="T51" s="506"/>
      <c r="U51" s="351"/>
      <c r="V51" s="187"/>
      <c r="W51" s="354"/>
      <c r="X51" s="351" t="e">
        <f t="shared" si="26"/>
        <v>#N/A</v>
      </c>
      <c r="Y51" s="506"/>
      <c r="Z51" s="351"/>
      <c r="AA51" s="187"/>
      <c r="AB51" s="354"/>
      <c r="AC51" s="351" t="e">
        <f t="shared" si="27"/>
        <v>#N/A</v>
      </c>
      <c r="AD51" s="506"/>
      <c r="AE51" s="351"/>
      <c r="AF51" s="187"/>
      <c r="AG51" s="354"/>
      <c r="AH51" s="351" t="e">
        <f t="shared" si="28"/>
        <v>#N/A</v>
      </c>
      <c r="AI51" s="506"/>
      <c r="AJ51" s="351"/>
      <c r="AK51" s="187"/>
      <c r="AL51" s="354"/>
      <c r="AM51" s="351" t="e">
        <f t="shared" si="29"/>
        <v>#N/A</v>
      </c>
      <c r="AN51" s="506"/>
      <c r="AO51" s="351"/>
      <c r="AP51" s="187"/>
      <c r="AQ51" s="354"/>
      <c r="AR51" s="351" t="e">
        <f t="shared" si="30"/>
        <v>#N/A</v>
      </c>
      <c r="AS51" s="506"/>
      <c r="AT51" s="351"/>
      <c r="AU51" s="187"/>
      <c r="AV51" s="354"/>
      <c r="AW51" s="351" t="e">
        <f t="shared" si="31"/>
        <v>#N/A</v>
      </c>
      <c r="AX51" s="506"/>
    </row>
    <row r="52" spans="2:50">
      <c r="B52" s="483"/>
      <c r="C52" s="351">
        <v>6</v>
      </c>
      <c r="D52" s="351"/>
      <c r="E52" s="351"/>
      <c r="F52" s="351"/>
      <c r="G52" s="351"/>
      <c r="H52" s="508"/>
      <c r="I52" s="219" t="e">
        <f t="shared" si="22"/>
        <v>#DIV/0!</v>
      </c>
      <c r="J52" s="219" t="e">
        <f t="shared" si="23"/>
        <v>#DIV/0!</v>
      </c>
      <c r="K52" s="220" t="e">
        <f t="shared" si="24"/>
        <v>#DIV/0!</v>
      </c>
      <c r="L52" s="457"/>
      <c r="M52" s="221" t="e">
        <f>RANK(K52, K$87:$K$101)</f>
        <v>#DIV/0!</v>
      </c>
      <c r="N52" s="475"/>
      <c r="O52" s="475"/>
      <c r="P52" s="351"/>
      <c r="Q52" s="187"/>
      <c r="R52" s="354"/>
      <c r="S52" s="351" t="e">
        <f t="shared" si="25"/>
        <v>#N/A</v>
      </c>
      <c r="T52" s="506"/>
      <c r="U52" s="351"/>
      <c r="V52" s="187"/>
      <c r="W52" s="354"/>
      <c r="X52" s="351" t="e">
        <f t="shared" si="26"/>
        <v>#N/A</v>
      </c>
      <c r="Y52" s="506"/>
      <c r="Z52" s="351"/>
      <c r="AA52" s="187"/>
      <c r="AB52" s="354"/>
      <c r="AC52" s="351" t="e">
        <f t="shared" si="27"/>
        <v>#N/A</v>
      </c>
      <c r="AD52" s="506"/>
      <c r="AE52" s="351"/>
      <c r="AF52" s="187"/>
      <c r="AG52" s="354"/>
      <c r="AH52" s="351" t="e">
        <f t="shared" si="28"/>
        <v>#N/A</v>
      </c>
      <c r="AI52" s="506"/>
      <c r="AJ52" s="351"/>
      <c r="AK52" s="187"/>
      <c r="AL52" s="354"/>
      <c r="AM52" s="351" t="e">
        <f t="shared" si="29"/>
        <v>#N/A</v>
      </c>
      <c r="AN52" s="506"/>
      <c r="AO52" s="351"/>
      <c r="AP52" s="187"/>
      <c r="AQ52" s="354"/>
      <c r="AR52" s="351" t="e">
        <f t="shared" si="30"/>
        <v>#N/A</v>
      </c>
      <c r="AS52" s="506"/>
      <c r="AT52" s="351"/>
      <c r="AU52" s="187"/>
      <c r="AV52" s="354"/>
      <c r="AW52" s="351" t="e">
        <f t="shared" si="31"/>
        <v>#N/A</v>
      </c>
      <c r="AX52" s="506"/>
    </row>
    <row r="53" spans="2:50">
      <c r="B53" s="483"/>
      <c r="C53" s="351">
        <v>7</v>
      </c>
      <c r="D53" s="351"/>
      <c r="E53" s="351"/>
      <c r="F53" s="351"/>
      <c r="G53" s="351"/>
      <c r="H53" s="508"/>
      <c r="I53" s="219" t="e">
        <f t="shared" si="22"/>
        <v>#DIV/0!</v>
      </c>
      <c r="J53" s="219" t="e">
        <f t="shared" si="23"/>
        <v>#DIV/0!</v>
      </c>
      <c r="K53" s="220" t="e">
        <f t="shared" si="24"/>
        <v>#DIV/0!</v>
      </c>
      <c r="L53" s="457"/>
      <c r="M53" s="221" t="e">
        <f>RANK(K53, K$87:$K$101)</f>
        <v>#DIV/0!</v>
      </c>
      <c r="N53" s="475"/>
      <c r="O53" s="475"/>
      <c r="P53" s="351"/>
      <c r="Q53" s="187"/>
      <c r="R53" s="354"/>
      <c r="S53" s="351" t="e">
        <f t="shared" si="25"/>
        <v>#N/A</v>
      </c>
      <c r="T53" s="506"/>
      <c r="U53" s="351"/>
      <c r="V53" s="187"/>
      <c r="W53" s="354"/>
      <c r="X53" s="351" t="e">
        <f t="shared" si="26"/>
        <v>#N/A</v>
      </c>
      <c r="Y53" s="506"/>
      <c r="Z53" s="351"/>
      <c r="AA53" s="187"/>
      <c r="AB53" s="354"/>
      <c r="AC53" s="351" t="e">
        <f t="shared" si="27"/>
        <v>#N/A</v>
      </c>
      <c r="AD53" s="506"/>
      <c r="AE53" s="351"/>
      <c r="AF53" s="187"/>
      <c r="AG53" s="354"/>
      <c r="AH53" s="351" t="e">
        <f t="shared" si="28"/>
        <v>#N/A</v>
      </c>
      <c r="AI53" s="506"/>
      <c r="AJ53" s="351"/>
      <c r="AK53" s="187"/>
      <c r="AL53" s="354"/>
      <c r="AM53" s="351" t="e">
        <f t="shared" si="29"/>
        <v>#N/A</v>
      </c>
      <c r="AN53" s="506"/>
      <c r="AO53" s="351"/>
      <c r="AP53" s="187"/>
      <c r="AQ53" s="354"/>
      <c r="AR53" s="351" t="e">
        <f t="shared" si="30"/>
        <v>#N/A</v>
      </c>
      <c r="AS53" s="506"/>
      <c r="AT53" s="351"/>
      <c r="AU53" s="187"/>
      <c r="AV53" s="354"/>
      <c r="AW53" s="351" t="e">
        <f t="shared" si="31"/>
        <v>#N/A</v>
      </c>
      <c r="AX53" s="506"/>
    </row>
    <row r="54" spans="2:50">
      <c r="B54" s="483"/>
      <c r="C54" s="351">
        <v>8</v>
      </c>
      <c r="D54" s="351"/>
      <c r="E54" s="351"/>
      <c r="F54" s="351"/>
      <c r="G54" s="351"/>
      <c r="H54" s="508"/>
      <c r="I54" s="219"/>
      <c r="J54" s="219"/>
      <c r="K54" s="220"/>
      <c r="L54" s="457"/>
      <c r="M54" s="221" t="e">
        <f>RANK(K54, K$87:$K$101)</f>
        <v>#DIV/0!</v>
      </c>
      <c r="N54" s="475"/>
      <c r="O54" s="475"/>
      <c r="P54" s="351"/>
      <c r="Q54" s="187"/>
      <c r="R54" s="354"/>
      <c r="S54" s="351" t="e">
        <f t="shared" si="25"/>
        <v>#N/A</v>
      </c>
      <c r="T54" s="506"/>
      <c r="U54" s="351"/>
      <c r="V54" s="187"/>
      <c r="W54" s="354"/>
      <c r="X54" s="351" t="e">
        <f t="shared" si="26"/>
        <v>#N/A</v>
      </c>
      <c r="Y54" s="506"/>
      <c r="Z54" s="351"/>
      <c r="AA54" s="187"/>
      <c r="AB54" s="354"/>
      <c r="AC54" s="351" t="e">
        <f t="shared" si="27"/>
        <v>#N/A</v>
      </c>
      <c r="AD54" s="506"/>
      <c r="AE54" s="351"/>
      <c r="AF54" s="187"/>
      <c r="AG54" s="354"/>
      <c r="AH54" s="351" t="e">
        <f t="shared" si="28"/>
        <v>#N/A</v>
      </c>
      <c r="AI54" s="506"/>
      <c r="AJ54" s="351"/>
      <c r="AK54" s="187"/>
      <c r="AL54" s="354"/>
      <c r="AM54" s="351" t="e">
        <f t="shared" si="29"/>
        <v>#N/A</v>
      </c>
      <c r="AN54" s="506"/>
      <c r="AO54" s="351"/>
      <c r="AP54" s="187"/>
      <c r="AQ54" s="354"/>
      <c r="AR54" s="351" t="e">
        <f t="shared" si="30"/>
        <v>#N/A</v>
      </c>
      <c r="AS54" s="506"/>
      <c r="AT54" s="351"/>
      <c r="AU54" s="187"/>
      <c r="AV54" s="354"/>
      <c r="AW54" s="351" t="e">
        <f t="shared" si="31"/>
        <v>#N/A</v>
      </c>
      <c r="AX54" s="506"/>
    </row>
    <row r="55" spans="2:50">
      <c r="B55" s="483"/>
      <c r="C55" s="351">
        <v>9</v>
      </c>
      <c r="D55" s="351"/>
      <c r="E55" s="351"/>
      <c r="F55" s="351"/>
      <c r="G55" s="351"/>
      <c r="H55" s="508"/>
      <c r="I55" s="219"/>
      <c r="J55" s="219"/>
      <c r="K55" s="220"/>
      <c r="L55" s="457"/>
      <c r="M55" s="221" t="e">
        <f>RANK(K55, K$87:$K$101)</f>
        <v>#DIV/0!</v>
      </c>
      <c r="N55" s="475"/>
      <c r="O55" s="475"/>
      <c r="P55" s="351"/>
      <c r="Q55" s="187"/>
      <c r="R55" s="354"/>
      <c r="S55" s="351" t="e">
        <f t="shared" si="25"/>
        <v>#N/A</v>
      </c>
      <c r="T55" s="506"/>
      <c r="U55" s="351"/>
      <c r="V55" s="187"/>
      <c r="W55" s="354"/>
      <c r="X55" s="351" t="e">
        <f t="shared" si="26"/>
        <v>#N/A</v>
      </c>
      <c r="Y55" s="506"/>
      <c r="Z55" s="351"/>
      <c r="AA55" s="187"/>
      <c r="AB55" s="354"/>
      <c r="AC55" s="351" t="e">
        <f t="shared" si="27"/>
        <v>#N/A</v>
      </c>
      <c r="AD55" s="506"/>
      <c r="AE55" s="351"/>
      <c r="AF55" s="187"/>
      <c r="AG55" s="354"/>
      <c r="AH55" s="351" t="e">
        <f t="shared" si="28"/>
        <v>#N/A</v>
      </c>
      <c r="AI55" s="506"/>
      <c r="AJ55" s="351"/>
      <c r="AK55" s="187"/>
      <c r="AL55" s="354"/>
      <c r="AM55" s="351" t="e">
        <f t="shared" si="29"/>
        <v>#N/A</v>
      </c>
      <c r="AN55" s="506"/>
      <c r="AO55" s="351"/>
      <c r="AP55" s="187"/>
      <c r="AQ55" s="354"/>
      <c r="AR55" s="351" t="e">
        <f t="shared" si="30"/>
        <v>#N/A</v>
      </c>
      <c r="AS55" s="506"/>
      <c r="AT55" s="351"/>
      <c r="AU55" s="187"/>
      <c r="AV55" s="354"/>
      <c r="AW55" s="351" t="e">
        <f t="shared" si="31"/>
        <v>#N/A</v>
      </c>
      <c r="AX55" s="506"/>
    </row>
    <row r="56" spans="2:50">
      <c r="B56" s="483"/>
      <c r="C56" s="351">
        <v>10</v>
      </c>
      <c r="D56" s="351"/>
      <c r="E56" s="351"/>
      <c r="F56" s="351"/>
      <c r="G56" s="351"/>
      <c r="H56" s="508"/>
      <c r="I56" s="219"/>
      <c r="J56" s="219"/>
      <c r="K56" s="220"/>
      <c r="L56" s="457"/>
      <c r="M56" s="221" t="e">
        <f>RANK(K56, K$87:$K$101)</f>
        <v>#DIV/0!</v>
      </c>
      <c r="N56" s="475"/>
      <c r="O56" s="475"/>
      <c r="P56" s="351"/>
      <c r="Q56" s="187"/>
      <c r="R56" s="354"/>
      <c r="S56" s="351" t="e">
        <f t="shared" si="25"/>
        <v>#N/A</v>
      </c>
      <c r="T56" s="506"/>
      <c r="U56" s="351"/>
      <c r="V56" s="187"/>
      <c r="W56" s="354"/>
      <c r="X56" s="351" t="e">
        <f t="shared" si="26"/>
        <v>#N/A</v>
      </c>
      <c r="Y56" s="506"/>
      <c r="Z56" s="351"/>
      <c r="AA56" s="187"/>
      <c r="AB56" s="354"/>
      <c r="AC56" s="351" t="e">
        <f t="shared" si="27"/>
        <v>#N/A</v>
      </c>
      <c r="AD56" s="506"/>
      <c r="AE56" s="351"/>
      <c r="AF56" s="187"/>
      <c r="AG56" s="354"/>
      <c r="AH56" s="351" t="e">
        <f t="shared" si="28"/>
        <v>#N/A</v>
      </c>
      <c r="AI56" s="506"/>
      <c r="AJ56" s="351"/>
      <c r="AK56" s="187"/>
      <c r="AL56" s="354"/>
      <c r="AM56" s="351" t="e">
        <f t="shared" si="29"/>
        <v>#N/A</v>
      </c>
      <c r="AN56" s="506"/>
      <c r="AO56" s="351"/>
      <c r="AP56" s="187"/>
      <c r="AQ56" s="354"/>
      <c r="AR56" s="351" t="e">
        <f t="shared" si="30"/>
        <v>#N/A</v>
      </c>
      <c r="AS56" s="506"/>
      <c r="AT56" s="351"/>
      <c r="AU56" s="187"/>
      <c r="AV56" s="354"/>
      <c r="AW56" s="351" t="e">
        <f t="shared" si="31"/>
        <v>#N/A</v>
      </c>
      <c r="AX56" s="506"/>
    </row>
    <row r="57" spans="2:50">
      <c r="B57" s="483"/>
      <c r="C57" s="351">
        <v>11</v>
      </c>
      <c r="D57" s="351"/>
      <c r="E57" s="351"/>
      <c r="F57" s="351"/>
      <c r="G57" s="351"/>
      <c r="H57" s="508"/>
      <c r="I57" s="222"/>
      <c r="J57" s="222"/>
      <c r="K57" s="222"/>
      <c r="L57" s="457"/>
      <c r="M57" s="221" t="e">
        <f>RANK(K57, K$87:$K$101)</f>
        <v>#DIV/0!</v>
      </c>
      <c r="N57" s="475"/>
      <c r="O57" s="475"/>
      <c r="P57" s="351"/>
      <c r="Q57" s="351"/>
      <c r="R57" s="351"/>
      <c r="S57" s="351" t="e">
        <f t="shared" si="25"/>
        <v>#N/A</v>
      </c>
      <c r="T57" s="506"/>
      <c r="U57" s="351"/>
      <c r="V57" s="351"/>
      <c r="W57" s="351"/>
      <c r="X57" s="351" t="e">
        <f t="shared" si="26"/>
        <v>#N/A</v>
      </c>
      <c r="Y57" s="506"/>
      <c r="Z57" s="351"/>
      <c r="AA57" s="351"/>
      <c r="AB57" s="351"/>
      <c r="AC57" s="351" t="e">
        <f t="shared" si="27"/>
        <v>#N/A</v>
      </c>
      <c r="AD57" s="506"/>
      <c r="AE57" s="351"/>
      <c r="AF57" s="351"/>
      <c r="AG57" s="351"/>
      <c r="AH57" s="351" t="e">
        <f t="shared" si="28"/>
        <v>#N/A</v>
      </c>
      <c r="AI57" s="506"/>
      <c r="AJ57" s="351"/>
      <c r="AK57" s="351"/>
      <c r="AL57" s="351"/>
      <c r="AM57" s="351" t="e">
        <f t="shared" si="29"/>
        <v>#N/A</v>
      </c>
      <c r="AN57" s="506"/>
      <c r="AO57" s="351"/>
      <c r="AP57" s="351"/>
      <c r="AQ57" s="351"/>
      <c r="AR57" s="351" t="e">
        <f t="shared" si="30"/>
        <v>#N/A</v>
      </c>
      <c r="AS57" s="506"/>
      <c r="AT57" s="351"/>
      <c r="AU57" s="351"/>
      <c r="AV57" s="351"/>
      <c r="AW57" s="351" t="e">
        <f t="shared" si="31"/>
        <v>#N/A</v>
      </c>
      <c r="AX57" s="506"/>
    </row>
    <row r="58" spans="2:50">
      <c r="B58" s="483"/>
      <c r="C58" s="351">
        <v>12</v>
      </c>
      <c r="D58" s="351"/>
      <c r="E58" s="351"/>
      <c r="F58" s="351"/>
      <c r="G58" s="351"/>
      <c r="H58" s="508"/>
      <c r="I58" s="222"/>
      <c r="J58" s="222"/>
      <c r="K58" s="222"/>
      <c r="L58" s="457"/>
      <c r="M58" s="221" t="e">
        <f>RANK(K58, K$87:$K$101)</f>
        <v>#DIV/0!</v>
      </c>
      <c r="N58" s="475"/>
      <c r="O58" s="475"/>
      <c r="P58" s="351"/>
      <c r="Q58" s="351"/>
      <c r="R58" s="351"/>
      <c r="S58" s="351" t="e">
        <f t="shared" si="25"/>
        <v>#N/A</v>
      </c>
      <c r="T58" s="506"/>
      <c r="U58" s="351"/>
      <c r="V58" s="351"/>
      <c r="W58" s="351"/>
      <c r="X58" s="351" t="e">
        <f t="shared" si="26"/>
        <v>#N/A</v>
      </c>
      <c r="Y58" s="506"/>
      <c r="Z58" s="351"/>
      <c r="AA58" s="351"/>
      <c r="AB58" s="351"/>
      <c r="AC58" s="351" t="e">
        <f t="shared" si="27"/>
        <v>#N/A</v>
      </c>
      <c r="AD58" s="506"/>
      <c r="AE58" s="351"/>
      <c r="AF58" s="351"/>
      <c r="AG58" s="351"/>
      <c r="AH58" s="351" t="e">
        <f t="shared" si="28"/>
        <v>#N/A</v>
      </c>
      <c r="AI58" s="506"/>
      <c r="AJ58" s="351"/>
      <c r="AK58" s="351"/>
      <c r="AL58" s="351"/>
      <c r="AM58" s="351" t="e">
        <f t="shared" si="29"/>
        <v>#N/A</v>
      </c>
      <c r="AN58" s="506"/>
      <c r="AO58" s="351"/>
      <c r="AP58" s="351"/>
      <c r="AQ58" s="351"/>
      <c r="AR58" s="351" t="e">
        <f t="shared" si="30"/>
        <v>#N/A</v>
      </c>
      <c r="AS58" s="506"/>
      <c r="AT58" s="351"/>
      <c r="AU58" s="351"/>
      <c r="AV58" s="351"/>
      <c r="AW58" s="351" t="e">
        <f t="shared" si="31"/>
        <v>#N/A</v>
      </c>
      <c r="AX58" s="506"/>
    </row>
    <row r="59" spans="2:50">
      <c r="B59" s="483"/>
      <c r="C59" s="351">
        <v>13</v>
      </c>
      <c r="D59" s="351"/>
      <c r="E59" s="351"/>
      <c r="F59" s="351"/>
      <c r="G59" s="351"/>
      <c r="H59" s="508"/>
      <c r="I59" s="222"/>
      <c r="J59" s="222"/>
      <c r="K59" s="222"/>
      <c r="L59" s="457"/>
      <c r="M59" s="221" t="e">
        <f>RANK(K59, K$87:$K$101)</f>
        <v>#DIV/0!</v>
      </c>
      <c r="N59" s="475"/>
      <c r="O59" s="475"/>
      <c r="P59" s="351"/>
      <c r="Q59" s="351"/>
      <c r="R59" s="351"/>
      <c r="S59" s="351" t="e">
        <f t="shared" si="25"/>
        <v>#N/A</v>
      </c>
      <c r="T59" s="506"/>
      <c r="U59" s="351"/>
      <c r="V59" s="351"/>
      <c r="W59" s="351"/>
      <c r="X59" s="351" t="e">
        <f t="shared" si="26"/>
        <v>#N/A</v>
      </c>
      <c r="Y59" s="506"/>
      <c r="Z59" s="351"/>
      <c r="AA59" s="351"/>
      <c r="AB59" s="351"/>
      <c r="AC59" s="351" t="e">
        <f t="shared" si="27"/>
        <v>#N/A</v>
      </c>
      <c r="AD59" s="506"/>
      <c r="AE59" s="351"/>
      <c r="AF59" s="351"/>
      <c r="AG59" s="351"/>
      <c r="AH59" s="351" t="e">
        <f t="shared" si="28"/>
        <v>#N/A</v>
      </c>
      <c r="AI59" s="506"/>
      <c r="AJ59" s="351"/>
      <c r="AK59" s="351"/>
      <c r="AL59" s="351"/>
      <c r="AM59" s="351" t="e">
        <f t="shared" si="29"/>
        <v>#N/A</v>
      </c>
      <c r="AN59" s="506"/>
      <c r="AO59" s="351"/>
      <c r="AP59" s="351"/>
      <c r="AQ59" s="351"/>
      <c r="AR59" s="351" t="e">
        <f t="shared" si="30"/>
        <v>#N/A</v>
      </c>
      <c r="AS59" s="506"/>
      <c r="AT59" s="351"/>
      <c r="AU59" s="351"/>
      <c r="AV59" s="351"/>
      <c r="AW59" s="351" t="e">
        <f t="shared" si="31"/>
        <v>#N/A</v>
      </c>
      <c r="AX59" s="506"/>
    </row>
    <row r="60" spans="2:50">
      <c r="B60" s="483"/>
      <c r="C60" s="351">
        <v>14</v>
      </c>
      <c r="D60" s="351"/>
      <c r="E60" s="351"/>
      <c r="F60" s="351"/>
      <c r="G60" s="351"/>
      <c r="H60" s="508"/>
      <c r="I60" s="222"/>
      <c r="J60" s="222"/>
      <c r="K60" s="222"/>
      <c r="L60" s="457"/>
      <c r="M60" s="221" t="e">
        <f>RANK(K60, K$87:$K$101)</f>
        <v>#DIV/0!</v>
      </c>
      <c r="N60" s="475"/>
      <c r="O60" s="475"/>
      <c r="P60" s="351"/>
      <c r="Q60" s="351"/>
      <c r="R60" s="351"/>
      <c r="S60" s="351" t="e">
        <f t="shared" si="25"/>
        <v>#N/A</v>
      </c>
      <c r="T60" s="506"/>
      <c r="U60" s="351"/>
      <c r="V60" s="351"/>
      <c r="W60" s="351"/>
      <c r="X60" s="351" t="e">
        <f t="shared" si="26"/>
        <v>#N/A</v>
      </c>
      <c r="Y60" s="506"/>
      <c r="Z60" s="351"/>
      <c r="AA60" s="351"/>
      <c r="AB60" s="351"/>
      <c r="AC60" s="351" t="e">
        <f t="shared" si="27"/>
        <v>#N/A</v>
      </c>
      <c r="AD60" s="506"/>
      <c r="AE60" s="351"/>
      <c r="AF60" s="351"/>
      <c r="AG60" s="351"/>
      <c r="AH60" s="351" t="e">
        <f t="shared" si="28"/>
        <v>#N/A</v>
      </c>
      <c r="AI60" s="506"/>
      <c r="AJ60" s="351"/>
      <c r="AK60" s="351"/>
      <c r="AL60" s="351"/>
      <c r="AM60" s="351" t="e">
        <f t="shared" si="29"/>
        <v>#N/A</v>
      </c>
      <c r="AN60" s="506"/>
      <c r="AO60" s="351"/>
      <c r="AP60" s="351"/>
      <c r="AQ60" s="351"/>
      <c r="AR60" s="351" t="e">
        <f t="shared" si="30"/>
        <v>#N/A</v>
      </c>
      <c r="AS60" s="506"/>
      <c r="AT60" s="351"/>
      <c r="AU60" s="351"/>
      <c r="AV60" s="351"/>
      <c r="AW60" s="351" t="e">
        <f t="shared" si="31"/>
        <v>#N/A</v>
      </c>
      <c r="AX60" s="506"/>
    </row>
    <row r="61" spans="2:50">
      <c r="B61" s="483"/>
      <c r="C61" s="351">
        <v>15</v>
      </c>
      <c r="D61" s="351"/>
      <c r="E61" s="351"/>
      <c r="F61" s="351"/>
      <c r="G61" s="351"/>
      <c r="H61" s="509"/>
      <c r="I61" s="222"/>
      <c r="J61" s="222"/>
      <c r="K61" s="222"/>
      <c r="L61" s="458"/>
      <c r="M61" s="219" t="e">
        <f>RANK(K61, K$87:$K$101)</f>
        <v>#DIV/0!</v>
      </c>
      <c r="N61" s="475"/>
      <c r="O61" s="475"/>
      <c r="P61" s="351"/>
      <c r="Q61" s="351"/>
      <c r="R61" s="351"/>
      <c r="S61" s="351" t="e">
        <f t="shared" si="25"/>
        <v>#N/A</v>
      </c>
      <c r="T61" s="506"/>
      <c r="U61" s="351"/>
      <c r="V61" s="351"/>
      <c r="W61" s="351"/>
      <c r="X61" s="351" t="e">
        <f t="shared" si="26"/>
        <v>#N/A</v>
      </c>
      <c r="Y61" s="506"/>
      <c r="Z61" s="351"/>
      <c r="AA61" s="351"/>
      <c r="AB61" s="351"/>
      <c r="AC61" s="351" t="e">
        <f t="shared" si="27"/>
        <v>#N/A</v>
      </c>
      <c r="AD61" s="506"/>
      <c r="AE61" s="351"/>
      <c r="AF61" s="351"/>
      <c r="AG61" s="351"/>
      <c r="AH61" s="351" t="e">
        <f t="shared" si="28"/>
        <v>#N/A</v>
      </c>
      <c r="AI61" s="506"/>
      <c r="AJ61" s="351"/>
      <c r="AK61" s="351"/>
      <c r="AL61" s="351"/>
      <c r="AM61" s="351" t="e">
        <f t="shared" si="29"/>
        <v>#N/A</v>
      </c>
      <c r="AN61" s="506"/>
      <c r="AO61" s="351"/>
      <c r="AP61" s="351"/>
      <c r="AQ61" s="351"/>
      <c r="AR61" s="351" t="e">
        <f t="shared" si="30"/>
        <v>#N/A</v>
      </c>
      <c r="AS61" s="506"/>
      <c r="AT61" s="351"/>
      <c r="AU61" s="351"/>
      <c r="AV61" s="351"/>
      <c r="AW61" s="351" t="e">
        <f t="shared" si="31"/>
        <v>#N/A</v>
      </c>
      <c r="AX61" s="506"/>
    </row>
    <row r="62" spans="2:50" ht="15.75">
      <c r="B62" s="487" t="s">
        <v>172</v>
      </c>
      <c r="C62" s="488"/>
      <c r="D62" s="488"/>
      <c r="E62" s="488"/>
      <c r="F62" s="488"/>
      <c r="G62" s="488"/>
      <c r="H62" s="489"/>
      <c r="I62" s="228"/>
      <c r="J62" s="228"/>
      <c r="K62" s="228"/>
      <c r="L62" s="228"/>
      <c r="M62" s="227"/>
      <c r="N62" s="476" t="s">
        <v>164</v>
      </c>
      <c r="O62" s="476" t="s">
        <v>105</v>
      </c>
      <c r="P62" s="482">
        <f>P42+7</f>
        <v>45916</v>
      </c>
      <c r="Q62" s="483"/>
      <c r="R62" s="483"/>
      <c r="S62" s="483"/>
      <c r="T62" s="483"/>
      <c r="U62" s="479">
        <f>P62+1</f>
        <v>45917</v>
      </c>
      <c r="V62" s="480"/>
      <c r="W62" s="480"/>
      <c r="X62" s="480"/>
      <c r="Y62" s="481"/>
      <c r="Z62" s="479">
        <f>U62+1</f>
        <v>45918</v>
      </c>
      <c r="AA62" s="480"/>
      <c r="AB62" s="480"/>
      <c r="AC62" s="480"/>
      <c r="AD62" s="481"/>
      <c r="AE62" s="479">
        <f t="shared" ref="AE62" si="32">Z62+1</f>
        <v>45919</v>
      </c>
      <c r="AF62" s="480"/>
      <c r="AG62" s="480"/>
      <c r="AH62" s="480"/>
      <c r="AI62" s="481"/>
      <c r="AJ62" s="479">
        <f t="shared" ref="AJ62" si="33">AE62+1</f>
        <v>45920</v>
      </c>
      <c r="AK62" s="480"/>
      <c r="AL62" s="480"/>
      <c r="AM62" s="480"/>
      <c r="AN62" s="481"/>
      <c r="AO62" s="479">
        <f t="shared" ref="AO62" si="34">AJ62+1</f>
        <v>45921</v>
      </c>
      <c r="AP62" s="480"/>
      <c r="AQ62" s="480"/>
      <c r="AR62" s="480"/>
      <c r="AS62" s="481"/>
      <c r="AT62" s="479">
        <f t="shared" ref="AT62" si="35">AO62+1</f>
        <v>45922</v>
      </c>
      <c r="AU62" s="480"/>
      <c r="AV62" s="480"/>
      <c r="AW62" s="480"/>
      <c r="AX62" s="481"/>
    </row>
    <row r="63" spans="2:50" ht="15.75">
      <c r="B63" s="490"/>
      <c r="C63" s="490"/>
      <c r="D63" s="490"/>
      <c r="E63" s="490"/>
      <c r="F63" s="490"/>
      <c r="G63" s="490"/>
      <c r="H63" s="490"/>
      <c r="I63" s="225"/>
      <c r="J63" s="225"/>
      <c r="K63" s="225"/>
      <c r="L63" s="225"/>
      <c r="M63" s="226"/>
      <c r="N63" s="478"/>
      <c r="O63" s="478"/>
      <c r="P63" s="482" t="s">
        <v>393</v>
      </c>
      <c r="Q63" s="483"/>
      <c r="R63" s="483"/>
      <c r="S63" s="483"/>
      <c r="T63" s="483"/>
      <c r="U63" s="482" t="s">
        <v>394</v>
      </c>
      <c r="V63" s="483"/>
      <c r="W63" s="483"/>
      <c r="X63" s="483"/>
      <c r="Y63" s="483"/>
      <c r="Z63" s="482" t="s">
        <v>395</v>
      </c>
      <c r="AA63" s="483"/>
      <c r="AB63" s="483"/>
      <c r="AC63" s="483"/>
      <c r="AD63" s="483"/>
      <c r="AE63" s="482" t="s">
        <v>396</v>
      </c>
      <c r="AF63" s="483"/>
      <c r="AG63" s="483"/>
      <c r="AH63" s="483"/>
      <c r="AI63" s="483"/>
      <c r="AJ63" s="482" t="s">
        <v>397</v>
      </c>
      <c r="AK63" s="483"/>
      <c r="AL63" s="483"/>
      <c r="AM63" s="483"/>
      <c r="AN63" s="483"/>
      <c r="AO63" s="482" t="s">
        <v>398</v>
      </c>
      <c r="AP63" s="483"/>
      <c r="AQ63" s="483"/>
      <c r="AR63" s="483"/>
      <c r="AS63" s="483"/>
      <c r="AT63" s="482" t="s">
        <v>399</v>
      </c>
      <c r="AU63" s="483"/>
      <c r="AV63" s="483"/>
      <c r="AW63" s="483"/>
      <c r="AX63" s="483"/>
    </row>
    <row r="64" spans="2:50">
      <c r="B64" s="475" t="s">
        <v>634</v>
      </c>
      <c r="C64" s="475" t="s">
        <v>644</v>
      </c>
      <c r="D64" s="475"/>
      <c r="E64" s="475" t="s">
        <v>635</v>
      </c>
      <c r="F64" s="475"/>
      <c r="G64" s="475"/>
      <c r="H64" s="491" t="s">
        <v>631</v>
      </c>
      <c r="I64" s="459" t="s">
        <v>636</v>
      </c>
      <c r="J64" s="459"/>
      <c r="K64" s="459"/>
      <c r="L64" s="460" t="s">
        <v>631</v>
      </c>
      <c r="M64" s="466" t="s">
        <v>632</v>
      </c>
      <c r="N64" s="475"/>
      <c r="O64" s="475" t="s">
        <v>637</v>
      </c>
      <c r="P64" s="472" t="s">
        <v>633</v>
      </c>
      <c r="Q64" s="473"/>
      <c r="R64" s="473"/>
      <c r="S64" s="474"/>
      <c r="T64" s="475" t="s">
        <v>631</v>
      </c>
      <c r="U64" s="472" t="s">
        <v>633</v>
      </c>
      <c r="V64" s="473"/>
      <c r="W64" s="473"/>
      <c r="X64" s="474"/>
      <c r="Y64" s="475" t="s">
        <v>631</v>
      </c>
      <c r="Z64" s="472" t="s">
        <v>633</v>
      </c>
      <c r="AA64" s="473"/>
      <c r="AB64" s="473"/>
      <c r="AC64" s="474"/>
      <c r="AD64" s="475" t="s">
        <v>631</v>
      </c>
      <c r="AE64" s="472" t="s">
        <v>633</v>
      </c>
      <c r="AF64" s="473"/>
      <c r="AG64" s="473"/>
      <c r="AH64" s="474"/>
      <c r="AI64" s="475" t="s">
        <v>631</v>
      </c>
      <c r="AJ64" s="472" t="s">
        <v>633</v>
      </c>
      <c r="AK64" s="473"/>
      <c r="AL64" s="473"/>
      <c r="AM64" s="474"/>
      <c r="AN64" s="475" t="s">
        <v>631</v>
      </c>
      <c r="AO64" s="472" t="s">
        <v>633</v>
      </c>
      <c r="AP64" s="473"/>
      <c r="AQ64" s="473"/>
      <c r="AR64" s="474"/>
      <c r="AS64" s="475" t="s">
        <v>631</v>
      </c>
      <c r="AT64" s="472" t="s">
        <v>633</v>
      </c>
      <c r="AU64" s="473"/>
      <c r="AV64" s="473"/>
      <c r="AW64" s="474"/>
      <c r="AX64" s="475" t="s">
        <v>631</v>
      </c>
    </row>
    <row r="65" spans="2:50">
      <c r="B65" s="475"/>
      <c r="C65" s="475"/>
      <c r="D65" s="475"/>
      <c r="E65" s="475" t="s">
        <v>638</v>
      </c>
      <c r="F65" s="475"/>
      <c r="G65" s="475"/>
      <c r="H65" s="492"/>
      <c r="I65" s="459" t="s">
        <v>638</v>
      </c>
      <c r="J65" s="459"/>
      <c r="K65" s="459"/>
      <c r="L65" s="461"/>
      <c r="M65" s="467"/>
      <c r="N65" s="475"/>
      <c r="O65" s="475"/>
      <c r="P65" s="472" t="s">
        <v>639</v>
      </c>
      <c r="Q65" s="473"/>
      <c r="R65" s="473"/>
      <c r="S65" s="474"/>
      <c r="T65" s="475"/>
      <c r="U65" s="472" t="s">
        <v>639</v>
      </c>
      <c r="V65" s="473"/>
      <c r="W65" s="473"/>
      <c r="X65" s="474"/>
      <c r="Y65" s="475"/>
      <c r="Z65" s="472" t="s">
        <v>639</v>
      </c>
      <c r="AA65" s="473"/>
      <c r="AB65" s="473"/>
      <c r="AC65" s="474"/>
      <c r="AD65" s="475"/>
      <c r="AE65" s="472" t="s">
        <v>639</v>
      </c>
      <c r="AF65" s="473"/>
      <c r="AG65" s="473"/>
      <c r="AH65" s="474"/>
      <c r="AI65" s="475"/>
      <c r="AJ65" s="472" t="s">
        <v>639</v>
      </c>
      <c r="AK65" s="473"/>
      <c r="AL65" s="473"/>
      <c r="AM65" s="474"/>
      <c r="AN65" s="475"/>
      <c r="AO65" s="472" t="s">
        <v>639</v>
      </c>
      <c r="AP65" s="473"/>
      <c r="AQ65" s="473"/>
      <c r="AR65" s="474"/>
      <c r="AS65" s="475"/>
      <c r="AT65" s="472" t="s">
        <v>639</v>
      </c>
      <c r="AU65" s="473"/>
      <c r="AV65" s="473"/>
      <c r="AW65" s="474"/>
      <c r="AX65" s="475"/>
    </row>
    <row r="66" spans="2:50">
      <c r="B66" s="475"/>
      <c r="C66" s="475"/>
      <c r="D66" s="475"/>
      <c r="E66" s="350" t="s">
        <v>640</v>
      </c>
      <c r="F66" s="350" t="s">
        <v>641</v>
      </c>
      <c r="G66" s="350" t="s">
        <v>642</v>
      </c>
      <c r="H66" s="493"/>
      <c r="I66" s="349" t="s">
        <v>640</v>
      </c>
      <c r="J66" s="349" t="s">
        <v>641</v>
      </c>
      <c r="K66" s="349" t="s">
        <v>642</v>
      </c>
      <c r="L66" s="462"/>
      <c r="M66" s="468"/>
      <c r="N66" s="475"/>
      <c r="O66" s="475"/>
      <c r="P66" s="350" t="s">
        <v>640</v>
      </c>
      <c r="Q66" s="350" t="s">
        <v>641</v>
      </c>
      <c r="R66" s="350" t="s">
        <v>642</v>
      </c>
      <c r="S66" s="350" t="s">
        <v>632</v>
      </c>
      <c r="T66" s="475"/>
      <c r="U66" s="350" t="s">
        <v>640</v>
      </c>
      <c r="V66" s="350" t="s">
        <v>641</v>
      </c>
      <c r="W66" s="350" t="s">
        <v>642</v>
      </c>
      <c r="X66" s="350" t="s">
        <v>632</v>
      </c>
      <c r="Y66" s="475"/>
      <c r="Z66" s="350" t="s">
        <v>640</v>
      </c>
      <c r="AA66" s="350" t="s">
        <v>641</v>
      </c>
      <c r="AB66" s="350" t="s">
        <v>642</v>
      </c>
      <c r="AC66" s="350" t="s">
        <v>632</v>
      </c>
      <c r="AD66" s="475"/>
      <c r="AE66" s="350" t="s">
        <v>640</v>
      </c>
      <c r="AF66" s="350" t="s">
        <v>641</v>
      </c>
      <c r="AG66" s="350" t="s">
        <v>642</v>
      </c>
      <c r="AH66" s="350" t="s">
        <v>632</v>
      </c>
      <c r="AI66" s="475"/>
      <c r="AJ66" s="350" t="s">
        <v>640</v>
      </c>
      <c r="AK66" s="350" t="s">
        <v>641</v>
      </c>
      <c r="AL66" s="350" t="s">
        <v>642</v>
      </c>
      <c r="AM66" s="350" t="s">
        <v>632</v>
      </c>
      <c r="AN66" s="475"/>
      <c r="AO66" s="350" t="s">
        <v>640</v>
      </c>
      <c r="AP66" s="350" t="s">
        <v>641</v>
      </c>
      <c r="AQ66" s="350" t="s">
        <v>642</v>
      </c>
      <c r="AR66" s="350" t="s">
        <v>632</v>
      </c>
      <c r="AS66" s="475"/>
      <c r="AT66" s="350" t="s">
        <v>640</v>
      </c>
      <c r="AU66" s="350" t="s">
        <v>641</v>
      </c>
      <c r="AV66" s="350" t="s">
        <v>642</v>
      </c>
      <c r="AW66" s="350" t="s">
        <v>632</v>
      </c>
      <c r="AX66" s="475"/>
    </row>
    <row r="67" spans="2:50">
      <c r="B67" s="505" t="s">
        <v>692</v>
      </c>
      <c r="C67" s="351">
        <v>1</v>
      </c>
      <c r="D67" s="351"/>
      <c r="E67" s="351"/>
      <c r="F67" s="351"/>
      <c r="G67" s="351"/>
      <c r="H67" s="507" t="e">
        <f>AVERAGE(G67:G81)</f>
        <v>#DIV/0!</v>
      </c>
      <c r="I67" s="219" t="e">
        <f>AVERAGE(P67,U67,Z67,AE67,AJ67,AO67,AT67)</f>
        <v>#DIV/0!</v>
      </c>
      <c r="J67" s="219" t="e">
        <f>AVERAGE(Q67,V67,AA67,AF67,AK67,AP67,AU67)</f>
        <v>#DIV/0!</v>
      </c>
      <c r="K67" s="220" t="e">
        <f>AVERAGE(R67,W67,AB67,AG67,AL67,AQ67,AV67)</f>
        <v>#DIV/0!</v>
      </c>
      <c r="L67" s="456" t="str">
        <f>IFERROR(AVERAGE(K67:K81),"-")</f>
        <v>-</v>
      </c>
      <c r="M67" s="221" t="e">
        <f>RANK(K67, K$87:$K$101)</f>
        <v>#DIV/0!</v>
      </c>
      <c r="N67" s="475"/>
      <c r="O67" s="475"/>
      <c r="P67" s="351"/>
      <c r="Q67" s="187"/>
      <c r="R67" s="354"/>
      <c r="S67" s="351" t="e">
        <f>RANK(R67, R$87:R$101)</f>
        <v>#N/A</v>
      </c>
      <c r="T67" s="506" t="e">
        <f>AVERAGE(R67:R81)</f>
        <v>#DIV/0!</v>
      </c>
      <c r="U67" s="351"/>
      <c r="V67" s="187"/>
      <c r="W67" s="354"/>
      <c r="X67" s="351" t="e">
        <f>RANK(W67, W$87:W$101)</f>
        <v>#N/A</v>
      </c>
      <c r="Y67" s="506" t="e">
        <f>AVERAGE(W67:W81)</f>
        <v>#DIV/0!</v>
      </c>
      <c r="Z67" s="351"/>
      <c r="AA67" s="187"/>
      <c r="AB67" s="354"/>
      <c r="AC67" s="351" t="e">
        <f>RANK(AB67, AB$87:AB$101)</f>
        <v>#N/A</v>
      </c>
      <c r="AD67" s="506" t="e">
        <f>AVERAGE(AB67:AB81)</f>
        <v>#DIV/0!</v>
      </c>
      <c r="AE67" s="351"/>
      <c r="AF67" s="187"/>
      <c r="AG67" s="354"/>
      <c r="AH67" s="351" t="e">
        <f>RANK(AG67, AG$87:AG$101)</f>
        <v>#N/A</v>
      </c>
      <c r="AI67" s="506" t="e">
        <f>AVERAGE(AG67:AG81)</f>
        <v>#DIV/0!</v>
      </c>
      <c r="AJ67" s="351"/>
      <c r="AK67" s="187"/>
      <c r="AL67" s="354"/>
      <c r="AM67" s="351" t="e">
        <f>RANK(AL67, AL$87:AL$101)</f>
        <v>#N/A</v>
      </c>
      <c r="AN67" s="506" t="e">
        <f>AVERAGE(AL67:AL81)</f>
        <v>#DIV/0!</v>
      </c>
      <c r="AO67" s="351"/>
      <c r="AP67" s="187"/>
      <c r="AQ67" s="354"/>
      <c r="AR67" s="351" t="e">
        <f>RANK(AQ67, AQ$87:AQ$101)</f>
        <v>#N/A</v>
      </c>
      <c r="AS67" s="506" t="e">
        <f>AVERAGE(AQ67:AQ81)</f>
        <v>#DIV/0!</v>
      </c>
      <c r="AT67" s="351"/>
      <c r="AU67" s="187"/>
      <c r="AV67" s="354"/>
      <c r="AW67" s="351" t="e">
        <f>RANK(AV67, AV$87:AV$101)</f>
        <v>#N/A</v>
      </c>
      <c r="AX67" s="506" t="e">
        <f>AVERAGE(AV67:AV81)</f>
        <v>#DIV/0!</v>
      </c>
    </row>
    <row r="68" spans="2:50">
      <c r="B68" s="483"/>
      <c r="C68" s="351">
        <v>2</v>
      </c>
      <c r="D68" s="351"/>
      <c r="E68" s="351"/>
      <c r="F68" s="351"/>
      <c r="G68" s="351"/>
      <c r="H68" s="508"/>
      <c r="I68" s="219" t="e">
        <f t="shared" ref="I68:I73" si="36">AVERAGE(P68,U68,Z68,AE68,AJ68,AO68,AT68)</f>
        <v>#DIV/0!</v>
      </c>
      <c r="J68" s="219" t="e">
        <f t="shared" ref="J68:J73" si="37">AVERAGE(Q68,V68,AA68,AF68,AK68,AP68,AU68)</f>
        <v>#DIV/0!</v>
      </c>
      <c r="K68" s="220" t="e">
        <f t="shared" ref="K68:K73" si="38">AVERAGE(R68,W68,AB68,AG68,AL68,AQ68,AV68)</f>
        <v>#DIV/0!</v>
      </c>
      <c r="L68" s="457"/>
      <c r="M68" s="221" t="e">
        <f>RANK(K68, K$87:$K$101)</f>
        <v>#DIV/0!</v>
      </c>
      <c r="N68" s="475"/>
      <c r="O68" s="475"/>
      <c r="P68" s="351"/>
      <c r="Q68" s="187"/>
      <c r="R68" s="354"/>
      <c r="S68" s="351" t="e">
        <f t="shared" ref="S68:S81" si="39">RANK(R68, R$87:R$101)</f>
        <v>#N/A</v>
      </c>
      <c r="T68" s="506"/>
      <c r="U68" s="351"/>
      <c r="V68" s="187"/>
      <c r="W68" s="354"/>
      <c r="X68" s="351" t="e">
        <f t="shared" ref="X68:X81" si="40">RANK(W68, W$87:W$101)</f>
        <v>#N/A</v>
      </c>
      <c r="Y68" s="506"/>
      <c r="Z68" s="351"/>
      <c r="AA68" s="187"/>
      <c r="AB68" s="354"/>
      <c r="AC68" s="351" t="e">
        <f t="shared" ref="AC68:AC81" si="41">RANK(AB68, AB$87:AB$101)</f>
        <v>#N/A</v>
      </c>
      <c r="AD68" s="506"/>
      <c r="AE68" s="351"/>
      <c r="AF68" s="187"/>
      <c r="AG68" s="354"/>
      <c r="AH68" s="351" t="e">
        <f t="shared" ref="AH68:AH81" si="42">RANK(AG68, AG$87:AG$101)</f>
        <v>#N/A</v>
      </c>
      <c r="AI68" s="506"/>
      <c r="AJ68" s="351"/>
      <c r="AK68" s="187"/>
      <c r="AL68" s="354"/>
      <c r="AM68" s="351" t="e">
        <f t="shared" ref="AM68:AM81" si="43">RANK(AL68, AL$87:AL$101)</f>
        <v>#N/A</v>
      </c>
      <c r="AN68" s="506"/>
      <c r="AO68" s="351"/>
      <c r="AP68" s="187"/>
      <c r="AQ68" s="354"/>
      <c r="AR68" s="351" t="e">
        <f t="shared" ref="AR68:AR81" si="44">RANK(AQ68, AQ$87:AQ$101)</f>
        <v>#N/A</v>
      </c>
      <c r="AS68" s="506"/>
      <c r="AT68" s="351"/>
      <c r="AU68" s="187"/>
      <c r="AV68" s="354"/>
      <c r="AW68" s="351" t="e">
        <f t="shared" ref="AW68:AW81" si="45">RANK(AV68, AV$87:AV$101)</f>
        <v>#N/A</v>
      </c>
      <c r="AX68" s="506"/>
    </row>
    <row r="69" spans="2:50">
      <c r="B69" s="483"/>
      <c r="C69" s="351">
        <v>3</v>
      </c>
      <c r="D69" s="351"/>
      <c r="E69" s="351"/>
      <c r="F69" s="351"/>
      <c r="G69" s="351"/>
      <c r="H69" s="508"/>
      <c r="I69" s="219" t="e">
        <f t="shared" si="36"/>
        <v>#DIV/0!</v>
      </c>
      <c r="J69" s="219" t="e">
        <f t="shared" si="37"/>
        <v>#DIV/0!</v>
      </c>
      <c r="K69" s="220" t="e">
        <f t="shared" si="38"/>
        <v>#DIV/0!</v>
      </c>
      <c r="L69" s="457"/>
      <c r="M69" s="221" t="e">
        <f>RANK(K69, K$87:$K$101)</f>
        <v>#DIV/0!</v>
      </c>
      <c r="N69" s="475"/>
      <c r="O69" s="475"/>
      <c r="P69" s="351"/>
      <c r="Q69" s="187"/>
      <c r="R69" s="354"/>
      <c r="S69" s="351" t="e">
        <f t="shared" si="39"/>
        <v>#N/A</v>
      </c>
      <c r="T69" s="506"/>
      <c r="U69" s="351"/>
      <c r="V69" s="187"/>
      <c r="W69" s="354"/>
      <c r="X69" s="351" t="e">
        <f t="shared" si="40"/>
        <v>#N/A</v>
      </c>
      <c r="Y69" s="506"/>
      <c r="Z69" s="351"/>
      <c r="AA69" s="187"/>
      <c r="AB69" s="354"/>
      <c r="AC69" s="351" t="e">
        <f t="shared" si="41"/>
        <v>#N/A</v>
      </c>
      <c r="AD69" s="506"/>
      <c r="AE69" s="351"/>
      <c r="AF69" s="187"/>
      <c r="AG69" s="354"/>
      <c r="AH69" s="351" t="e">
        <f t="shared" si="42"/>
        <v>#N/A</v>
      </c>
      <c r="AI69" s="506"/>
      <c r="AJ69" s="351"/>
      <c r="AK69" s="187"/>
      <c r="AL69" s="354"/>
      <c r="AM69" s="351" t="e">
        <f t="shared" si="43"/>
        <v>#N/A</v>
      </c>
      <c r="AN69" s="506"/>
      <c r="AO69" s="351"/>
      <c r="AP69" s="187"/>
      <c r="AQ69" s="354"/>
      <c r="AR69" s="351" t="e">
        <f t="shared" si="44"/>
        <v>#N/A</v>
      </c>
      <c r="AS69" s="506"/>
      <c r="AT69" s="351"/>
      <c r="AU69" s="187"/>
      <c r="AV69" s="354"/>
      <c r="AW69" s="351" t="e">
        <f t="shared" si="45"/>
        <v>#N/A</v>
      </c>
      <c r="AX69" s="506"/>
    </row>
    <row r="70" spans="2:50">
      <c r="B70" s="483"/>
      <c r="C70" s="351">
        <v>4</v>
      </c>
      <c r="D70" s="351"/>
      <c r="E70" s="351"/>
      <c r="F70" s="351"/>
      <c r="G70" s="351"/>
      <c r="H70" s="508"/>
      <c r="I70" s="219" t="e">
        <f t="shared" si="36"/>
        <v>#DIV/0!</v>
      </c>
      <c r="J70" s="219" t="e">
        <f t="shared" si="37"/>
        <v>#DIV/0!</v>
      </c>
      <c r="K70" s="220" t="e">
        <f t="shared" si="38"/>
        <v>#DIV/0!</v>
      </c>
      <c r="L70" s="457"/>
      <c r="M70" s="221" t="e">
        <f>RANK(K70, K$87:$K$101)</f>
        <v>#DIV/0!</v>
      </c>
      <c r="N70" s="475"/>
      <c r="O70" s="475"/>
      <c r="P70" s="351"/>
      <c r="Q70" s="187"/>
      <c r="R70" s="354"/>
      <c r="S70" s="351" t="e">
        <f t="shared" si="39"/>
        <v>#N/A</v>
      </c>
      <c r="T70" s="506"/>
      <c r="U70" s="351"/>
      <c r="V70" s="187"/>
      <c r="W70" s="354"/>
      <c r="X70" s="351" t="e">
        <f t="shared" si="40"/>
        <v>#N/A</v>
      </c>
      <c r="Y70" s="506"/>
      <c r="Z70" s="351"/>
      <c r="AA70" s="187"/>
      <c r="AB70" s="354"/>
      <c r="AC70" s="351" t="e">
        <f t="shared" si="41"/>
        <v>#N/A</v>
      </c>
      <c r="AD70" s="506"/>
      <c r="AE70" s="351"/>
      <c r="AF70" s="187"/>
      <c r="AG70" s="354"/>
      <c r="AH70" s="351" t="e">
        <f t="shared" si="42"/>
        <v>#N/A</v>
      </c>
      <c r="AI70" s="506"/>
      <c r="AJ70" s="351"/>
      <c r="AK70" s="187"/>
      <c r="AL70" s="354"/>
      <c r="AM70" s="351" t="e">
        <f t="shared" si="43"/>
        <v>#N/A</v>
      </c>
      <c r="AN70" s="506"/>
      <c r="AO70" s="351"/>
      <c r="AP70" s="187"/>
      <c r="AQ70" s="354"/>
      <c r="AR70" s="351" t="e">
        <f t="shared" si="44"/>
        <v>#N/A</v>
      </c>
      <c r="AS70" s="506"/>
      <c r="AT70" s="351"/>
      <c r="AU70" s="187"/>
      <c r="AV70" s="354"/>
      <c r="AW70" s="351" t="e">
        <f t="shared" si="45"/>
        <v>#N/A</v>
      </c>
      <c r="AX70" s="506"/>
    </row>
    <row r="71" spans="2:50">
      <c r="B71" s="483"/>
      <c r="C71" s="351">
        <v>5</v>
      </c>
      <c r="D71" s="351"/>
      <c r="E71" s="351"/>
      <c r="F71" s="351"/>
      <c r="G71" s="351"/>
      <c r="H71" s="508"/>
      <c r="I71" s="219" t="e">
        <f t="shared" si="36"/>
        <v>#DIV/0!</v>
      </c>
      <c r="J71" s="219" t="e">
        <f t="shared" si="37"/>
        <v>#DIV/0!</v>
      </c>
      <c r="K71" s="220" t="e">
        <f t="shared" si="38"/>
        <v>#DIV/0!</v>
      </c>
      <c r="L71" s="457"/>
      <c r="M71" s="221" t="e">
        <f>RANK(K71, K$87:$K$101)</f>
        <v>#DIV/0!</v>
      </c>
      <c r="N71" s="475"/>
      <c r="O71" s="475"/>
      <c r="P71" s="351"/>
      <c r="Q71" s="187"/>
      <c r="R71" s="354"/>
      <c r="S71" s="351" t="e">
        <f t="shared" si="39"/>
        <v>#N/A</v>
      </c>
      <c r="T71" s="506"/>
      <c r="U71" s="351"/>
      <c r="V71" s="187"/>
      <c r="W71" s="354"/>
      <c r="X71" s="351" t="e">
        <f t="shared" si="40"/>
        <v>#N/A</v>
      </c>
      <c r="Y71" s="506"/>
      <c r="Z71" s="351"/>
      <c r="AA71" s="187"/>
      <c r="AB71" s="354"/>
      <c r="AC71" s="351" t="e">
        <f t="shared" si="41"/>
        <v>#N/A</v>
      </c>
      <c r="AD71" s="506"/>
      <c r="AE71" s="351"/>
      <c r="AF71" s="187"/>
      <c r="AG71" s="354"/>
      <c r="AH71" s="351" t="e">
        <f t="shared" si="42"/>
        <v>#N/A</v>
      </c>
      <c r="AI71" s="506"/>
      <c r="AJ71" s="351"/>
      <c r="AK71" s="187"/>
      <c r="AL71" s="354"/>
      <c r="AM71" s="351" t="e">
        <f t="shared" si="43"/>
        <v>#N/A</v>
      </c>
      <c r="AN71" s="506"/>
      <c r="AO71" s="351"/>
      <c r="AP71" s="187"/>
      <c r="AQ71" s="354"/>
      <c r="AR71" s="351" t="e">
        <f t="shared" si="44"/>
        <v>#N/A</v>
      </c>
      <c r="AS71" s="506"/>
      <c r="AT71" s="351"/>
      <c r="AU71" s="187"/>
      <c r="AV71" s="354"/>
      <c r="AW71" s="351" t="e">
        <f t="shared" si="45"/>
        <v>#N/A</v>
      </c>
      <c r="AX71" s="506"/>
    </row>
    <row r="72" spans="2:50">
      <c r="B72" s="483"/>
      <c r="C72" s="351">
        <v>6</v>
      </c>
      <c r="D72" s="351"/>
      <c r="E72" s="351"/>
      <c r="F72" s="351"/>
      <c r="G72" s="351"/>
      <c r="H72" s="508"/>
      <c r="I72" s="219" t="e">
        <f t="shared" si="36"/>
        <v>#DIV/0!</v>
      </c>
      <c r="J72" s="219" t="e">
        <f t="shared" si="37"/>
        <v>#DIV/0!</v>
      </c>
      <c r="K72" s="220" t="e">
        <f t="shared" si="38"/>
        <v>#DIV/0!</v>
      </c>
      <c r="L72" s="457"/>
      <c r="M72" s="221" t="e">
        <f>RANK(K72, K$87:$K$101)</f>
        <v>#DIV/0!</v>
      </c>
      <c r="N72" s="475"/>
      <c r="O72" s="475"/>
      <c r="P72" s="351"/>
      <c r="Q72" s="187"/>
      <c r="R72" s="354"/>
      <c r="S72" s="351" t="e">
        <f t="shared" si="39"/>
        <v>#N/A</v>
      </c>
      <c r="T72" s="506"/>
      <c r="U72" s="351"/>
      <c r="V72" s="187"/>
      <c r="W72" s="354"/>
      <c r="X72" s="351" t="e">
        <f t="shared" si="40"/>
        <v>#N/A</v>
      </c>
      <c r="Y72" s="506"/>
      <c r="Z72" s="351"/>
      <c r="AA72" s="187"/>
      <c r="AB72" s="354"/>
      <c r="AC72" s="351" t="e">
        <f t="shared" si="41"/>
        <v>#N/A</v>
      </c>
      <c r="AD72" s="506"/>
      <c r="AE72" s="351"/>
      <c r="AF72" s="187"/>
      <c r="AG72" s="354"/>
      <c r="AH72" s="351" t="e">
        <f t="shared" si="42"/>
        <v>#N/A</v>
      </c>
      <c r="AI72" s="506"/>
      <c r="AJ72" s="351"/>
      <c r="AK72" s="187"/>
      <c r="AL72" s="354"/>
      <c r="AM72" s="351" t="e">
        <f t="shared" si="43"/>
        <v>#N/A</v>
      </c>
      <c r="AN72" s="506"/>
      <c r="AO72" s="351"/>
      <c r="AP72" s="187"/>
      <c r="AQ72" s="354"/>
      <c r="AR72" s="351" t="e">
        <f t="shared" si="44"/>
        <v>#N/A</v>
      </c>
      <c r="AS72" s="506"/>
      <c r="AT72" s="351"/>
      <c r="AU72" s="187"/>
      <c r="AV72" s="354"/>
      <c r="AW72" s="351" t="e">
        <f t="shared" si="45"/>
        <v>#N/A</v>
      </c>
      <c r="AX72" s="506"/>
    </row>
    <row r="73" spans="2:50">
      <c r="B73" s="483"/>
      <c r="C73" s="351">
        <v>7</v>
      </c>
      <c r="D73" s="351"/>
      <c r="E73" s="351"/>
      <c r="F73" s="351"/>
      <c r="G73" s="351"/>
      <c r="H73" s="508"/>
      <c r="I73" s="219" t="e">
        <f t="shared" si="36"/>
        <v>#DIV/0!</v>
      </c>
      <c r="J73" s="219" t="e">
        <f t="shared" si="37"/>
        <v>#DIV/0!</v>
      </c>
      <c r="K73" s="220" t="e">
        <f t="shared" si="38"/>
        <v>#DIV/0!</v>
      </c>
      <c r="L73" s="457"/>
      <c r="M73" s="221" t="e">
        <f>RANK(K73, K$87:$K$101)</f>
        <v>#DIV/0!</v>
      </c>
      <c r="N73" s="475"/>
      <c r="O73" s="475"/>
      <c r="P73" s="351"/>
      <c r="Q73" s="187"/>
      <c r="R73" s="354"/>
      <c r="S73" s="351" t="e">
        <f t="shared" si="39"/>
        <v>#N/A</v>
      </c>
      <c r="T73" s="506"/>
      <c r="U73" s="351"/>
      <c r="V73" s="187"/>
      <c r="W73" s="354"/>
      <c r="X73" s="351" t="e">
        <f t="shared" si="40"/>
        <v>#N/A</v>
      </c>
      <c r="Y73" s="506"/>
      <c r="Z73" s="351"/>
      <c r="AA73" s="187"/>
      <c r="AB73" s="354"/>
      <c r="AC73" s="351" t="e">
        <f t="shared" si="41"/>
        <v>#N/A</v>
      </c>
      <c r="AD73" s="506"/>
      <c r="AE73" s="351"/>
      <c r="AF73" s="187"/>
      <c r="AG73" s="354"/>
      <c r="AH73" s="351" t="e">
        <f t="shared" si="42"/>
        <v>#N/A</v>
      </c>
      <c r="AI73" s="506"/>
      <c r="AJ73" s="351"/>
      <c r="AK73" s="187"/>
      <c r="AL73" s="354"/>
      <c r="AM73" s="351" t="e">
        <f t="shared" si="43"/>
        <v>#N/A</v>
      </c>
      <c r="AN73" s="506"/>
      <c r="AO73" s="351"/>
      <c r="AP73" s="187"/>
      <c r="AQ73" s="354"/>
      <c r="AR73" s="351" t="e">
        <f t="shared" si="44"/>
        <v>#N/A</v>
      </c>
      <c r="AS73" s="506"/>
      <c r="AT73" s="351"/>
      <c r="AU73" s="187"/>
      <c r="AV73" s="354"/>
      <c r="AW73" s="351" t="e">
        <f t="shared" si="45"/>
        <v>#N/A</v>
      </c>
      <c r="AX73" s="506"/>
    </row>
    <row r="74" spans="2:50">
      <c r="B74" s="483"/>
      <c r="C74" s="351">
        <v>8</v>
      </c>
      <c r="D74" s="351"/>
      <c r="E74" s="351"/>
      <c r="F74" s="351"/>
      <c r="G74" s="351"/>
      <c r="H74" s="508"/>
      <c r="I74" s="219"/>
      <c r="J74" s="219"/>
      <c r="K74" s="220"/>
      <c r="L74" s="457"/>
      <c r="M74" s="221" t="e">
        <f>RANK(K74, K$87:$K$101)</f>
        <v>#DIV/0!</v>
      </c>
      <c r="N74" s="475"/>
      <c r="O74" s="475"/>
      <c r="P74" s="351"/>
      <c r="Q74" s="187"/>
      <c r="R74" s="354"/>
      <c r="S74" s="351" t="e">
        <f t="shared" si="39"/>
        <v>#N/A</v>
      </c>
      <c r="T74" s="506"/>
      <c r="U74" s="351"/>
      <c r="V74" s="187"/>
      <c r="W74" s="354"/>
      <c r="X74" s="351" t="e">
        <f t="shared" si="40"/>
        <v>#N/A</v>
      </c>
      <c r="Y74" s="506"/>
      <c r="Z74" s="351"/>
      <c r="AA74" s="187"/>
      <c r="AB74" s="354"/>
      <c r="AC74" s="351" t="e">
        <f t="shared" si="41"/>
        <v>#N/A</v>
      </c>
      <c r="AD74" s="506"/>
      <c r="AE74" s="351"/>
      <c r="AF74" s="187"/>
      <c r="AG74" s="354"/>
      <c r="AH74" s="351" t="e">
        <f t="shared" si="42"/>
        <v>#N/A</v>
      </c>
      <c r="AI74" s="506"/>
      <c r="AJ74" s="351"/>
      <c r="AK74" s="187"/>
      <c r="AL74" s="354"/>
      <c r="AM74" s="351" t="e">
        <f t="shared" si="43"/>
        <v>#N/A</v>
      </c>
      <c r="AN74" s="506"/>
      <c r="AO74" s="351"/>
      <c r="AP74" s="187"/>
      <c r="AQ74" s="354"/>
      <c r="AR74" s="351" t="e">
        <f t="shared" si="44"/>
        <v>#N/A</v>
      </c>
      <c r="AS74" s="506"/>
      <c r="AT74" s="351"/>
      <c r="AU74" s="187"/>
      <c r="AV74" s="354"/>
      <c r="AW74" s="351" t="e">
        <f t="shared" si="45"/>
        <v>#N/A</v>
      </c>
      <c r="AX74" s="506"/>
    </row>
    <row r="75" spans="2:50">
      <c r="B75" s="483"/>
      <c r="C75" s="351">
        <v>9</v>
      </c>
      <c r="D75" s="351"/>
      <c r="E75" s="351"/>
      <c r="F75" s="351"/>
      <c r="G75" s="351"/>
      <c r="H75" s="508"/>
      <c r="I75" s="219"/>
      <c r="J75" s="219"/>
      <c r="K75" s="220"/>
      <c r="L75" s="457"/>
      <c r="M75" s="221" t="e">
        <f>RANK(K75, K$87:$K$101)</f>
        <v>#DIV/0!</v>
      </c>
      <c r="N75" s="475"/>
      <c r="O75" s="475"/>
      <c r="P75" s="351"/>
      <c r="Q75" s="187"/>
      <c r="R75" s="354"/>
      <c r="S75" s="351" t="e">
        <f t="shared" si="39"/>
        <v>#N/A</v>
      </c>
      <c r="T75" s="506"/>
      <c r="U75" s="351"/>
      <c r="V75" s="187"/>
      <c r="W75" s="354"/>
      <c r="X75" s="351" t="e">
        <f t="shared" si="40"/>
        <v>#N/A</v>
      </c>
      <c r="Y75" s="506"/>
      <c r="Z75" s="351"/>
      <c r="AA75" s="187"/>
      <c r="AB75" s="354"/>
      <c r="AC75" s="351" t="e">
        <f t="shared" si="41"/>
        <v>#N/A</v>
      </c>
      <c r="AD75" s="506"/>
      <c r="AE75" s="351"/>
      <c r="AF75" s="187"/>
      <c r="AG75" s="354"/>
      <c r="AH75" s="351" t="e">
        <f t="shared" si="42"/>
        <v>#N/A</v>
      </c>
      <c r="AI75" s="506"/>
      <c r="AJ75" s="351"/>
      <c r="AK75" s="187"/>
      <c r="AL75" s="354"/>
      <c r="AM75" s="351" t="e">
        <f t="shared" si="43"/>
        <v>#N/A</v>
      </c>
      <c r="AN75" s="506"/>
      <c r="AO75" s="351"/>
      <c r="AP75" s="187"/>
      <c r="AQ75" s="354"/>
      <c r="AR75" s="351" t="e">
        <f t="shared" si="44"/>
        <v>#N/A</v>
      </c>
      <c r="AS75" s="506"/>
      <c r="AT75" s="351"/>
      <c r="AU75" s="187"/>
      <c r="AV75" s="354"/>
      <c r="AW75" s="351" t="e">
        <f t="shared" si="45"/>
        <v>#N/A</v>
      </c>
      <c r="AX75" s="506"/>
    </row>
    <row r="76" spans="2:50">
      <c r="B76" s="483"/>
      <c r="C76" s="351">
        <v>10</v>
      </c>
      <c r="D76" s="351"/>
      <c r="E76" s="351"/>
      <c r="F76" s="351"/>
      <c r="G76" s="351"/>
      <c r="H76" s="508"/>
      <c r="I76" s="219"/>
      <c r="J76" s="219"/>
      <c r="K76" s="220"/>
      <c r="L76" s="457"/>
      <c r="M76" s="221" t="e">
        <f>RANK(K76, K$87:$K$101)</f>
        <v>#DIV/0!</v>
      </c>
      <c r="N76" s="475"/>
      <c r="O76" s="475"/>
      <c r="P76" s="351"/>
      <c r="Q76" s="187"/>
      <c r="R76" s="354"/>
      <c r="S76" s="351" t="e">
        <f t="shared" si="39"/>
        <v>#N/A</v>
      </c>
      <c r="T76" s="506"/>
      <c r="U76" s="351"/>
      <c r="V76" s="187"/>
      <c r="W76" s="354"/>
      <c r="X76" s="351" t="e">
        <f t="shared" si="40"/>
        <v>#N/A</v>
      </c>
      <c r="Y76" s="506"/>
      <c r="Z76" s="351"/>
      <c r="AA76" s="187"/>
      <c r="AB76" s="354"/>
      <c r="AC76" s="351" t="e">
        <f t="shared" si="41"/>
        <v>#N/A</v>
      </c>
      <c r="AD76" s="506"/>
      <c r="AE76" s="351"/>
      <c r="AF76" s="187"/>
      <c r="AG76" s="354"/>
      <c r="AH76" s="351" t="e">
        <f t="shared" si="42"/>
        <v>#N/A</v>
      </c>
      <c r="AI76" s="506"/>
      <c r="AJ76" s="351"/>
      <c r="AK76" s="187"/>
      <c r="AL76" s="354"/>
      <c r="AM76" s="351" t="e">
        <f t="shared" si="43"/>
        <v>#N/A</v>
      </c>
      <c r="AN76" s="506"/>
      <c r="AO76" s="351"/>
      <c r="AP76" s="187"/>
      <c r="AQ76" s="354"/>
      <c r="AR76" s="351" t="e">
        <f t="shared" si="44"/>
        <v>#N/A</v>
      </c>
      <c r="AS76" s="506"/>
      <c r="AT76" s="351"/>
      <c r="AU76" s="187"/>
      <c r="AV76" s="354"/>
      <c r="AW76" s="351" t="e">
        <f t="shared" si="45"/>
        <v>#N/A</v>
      </c>
      <c r="AX76" s="506"/>
    </row>
    <row r="77" spans="2:50">
      <c r="B77" s="483"/>
      <c r="C77" s="351">
        <v>11</v>
      </c>
      <c r="D77" s="351"/>
      <c r="E77" s="351"/>
      <c r="F77" s="351"/>
      <c r="G77" s="351"/>
      <c r="H77" s="508"/>
      <c r="I77" s="222"/>
      <c r="J77" s="222"/>
      <c r="K77" s="222"/>
      <c r="L77" s="457"/>
      <c r="M77" s="221" t="e">
        <f>RANK(K77, K$87:$K$101)</f>
        <v>#DIV/0!</v>
      </c>
      <c r="N77" s="475"/>
      <c r="O77" s="475"/>
      <c r="P77" s="351"/>
      <c r="Q77" s="351"/>
      <c r="R77" s="351"/>
      <c r="S77" s="351" t="e">
        <f t="shared" si="39"/>
        <v>#N/A</v>
      </c>
      <c r="T77" s="506"/>
      <c r="U77" s="351"/>
      <c r="V77" s="351"/>
      <c r="W77" s="351"/>
      <c r="X77" s="351" t="e">
        <f t="shared" si="40"/>
        <v>#N/A</v>
      </c>
      <c r="Y77" s="506"/>
      <c r="Z77" s="351"/>
      <c r="AA77" s="351"/>
      <c r="AB77" s="351"/>
      <c r="AC77" s="351" t="e">
        <f t="shared" si="41"/>
        <v>#N/A</v>
      </c>
      <c r="AD77" s="506"/>
      <c r="AE77" s="351"/>
      <c r="AF77" s="351"/>
      <c r="AG77" s="351"/>
      <c r="AH77" s="351" t="e">
        <f t="shared" si="42"/>
        <v>#N/A</v>
      </c>
      <c r="AI77" s="506"/>
      <c r="AJ77" s="351"/>
      <c r="AK77" s="351"/>
      <c r="AL77" s="351"/>
      <c r="AM77" s="351" t="e">
        <f t="shared" si="43"/>
        <v>#N/A</v>
      </c>
      <c r="AN77" s="506"/>
      <c r="AO77" s="351"/>
      <c r="AP77" s="351"/>
      <c r="AQ77" s="351"/>
      <c r="AR77" s="351" t="e">
        <f t="shared" si="44"/>
        <v>#N/A</v>
      </c>
      <c r="AS77" s="506"/>
      <c r="AT77" s="351"/>
      <c r="AU77" s="351"/>
      <c r="AV77" s="351"/>
      <c r="AW77" s="351" t="e">
        <f t="shared" si="45"/>
        <v>#N/A</v>
      </c>
      <c r="AX77" s="506"/>
    </row>
    <row r="78" spans="2:50">
      <c r="B78" s="483"/>
      <c r="C78" s="351">
        <v>12</v>
      </c>
      <c r="D78" s="351"/>
      <c r="E78" s="351"/>
      <c r="F78" s="351"/>
      <c r="G78" s="351"/>
      <c r="H78" s="508"/>
      <c r="I78" s="222"/>
      <c r="J78" s="222"/>
      <c r="K78" s="222"/>
      <c r="L78" s="457"/>
      <c r="M78" s="221" t="e">
        <f>RANK(K78, K$87:$K$101)</f>
        <v>#DIV/0!</v>
      </c>
      <c r="N78" s="475"/>
      <c r="O78" s="475"/>
      <c r="P78" s="351"/>
      <c r="Q78" s="351"/>
      <c r="R78" s="351"/>
      <c r="S78" s="351" t="e">
        <f t="shared" si="39"/>
        <v>#N/A</v>
      </c>
      <c r="T78" s="506"/>
      <c r="U78" s="351"/>
      <c r="V78" s="351"/>
      <c r="W78" s="351"/>
      <c r="X78" s="351" t="e">
        <f t="shared" si="40"/>
        <v>#N/A</v>
      </c>
      <c r="Y78" s="506"/>
      <c r="Z78" s="351"/>
      <c r="AA78" s="351"/>
      <c r="AB78" s="351"/>
      <c r="AC78" s="351" t="e">
        <f t="shared" si="41"/>
        <v>#N/A</v>
      </c>
      <c r="AD78" s="506"/>
      <c r="AE78" s="351"/>
      <c r="AF78" s="351"/>
      <c r="AG78" s="351"/>
      <c r="AH78" s="351" t="e">
        <f t="shared" si="42"/>
        <v>#N/A</v>
      </c>
      <c r="AI78" s="506"/>
      <c r="AJ78" s="351"/>
      <c r="AK78" s="351"/>
      <c r="AL78" s="351"/>
      <c r="AM78" s="351" t="e">
        <f t="shared" si="43"/>
        <v>#N/A</v>
      </c>
      <c r="AN78" s="506"/>
      <c r="AO78" s="351"/>
      <c r="AP78" s="351"/>
      <c r="AQ78" s="351"/>
      <c r="AR78" s="351" t="e">
        <f t="shared" si="44"/>
        <v>#N/A</v>
      </c>
      <c r="AS78" s="506"/>
      <c r="AT78" s="351"/>
      <c r="AU78" s="351"/>
      <c r="AV78" s="351"/>
      <c r="AW78" s="351" t="e">
        <f t="shared" si="45"/>
        <v>#N/A</v>
      </c>
      <c r="AX78" s="506"/>
    </row>
    <row r="79" spans="2:50">
      <c r="B79" s="483"/>
      <c r="C79" s="351">
        <v>13</v>
      </c>
      <c r="D79" s="351"/>
      <c r="E79" s="351"/>
      <c r="F79" s="351"/>
      <c r="G79" s="351"/>
      <c r="H79" s="508"/>
      <c r="I79" s="222"/>
      <c r="J79" s="222"/>
      <c r="K79" s="222"/>
      <c r="L79" s="457"/>
      <c r="M79" s="221" t="e">
        <f>RANK(K79, K$87:$K$101)</f>
        <v>#DIV/0!</v>
      </c>
      <c r="N79" s="475"/>
      <c r="O79" s="475"/>
      <c r="P79" s="351"/>
      <c r="Q79" s="351"/>
      <c r="R79" s="351"/>
      <c r="S79" s="351" t="e">
        <f t="shared" si="39"/>
        <v>#N/A</v>
      </c>
      <c r="T79" s="506"/>
      <c r="U79" s="351"/>
      <c r="V79" s="351"/>
      <c r="W79" s="351"/>
      <c r="X79" s="351" t="e">
        <f t="shared" si="40"/>
        <v>#N/A</v>
      </c>
      <c r="Y79" s="506"/>
      <c r="Z79" s="351"/>
      <c r="AA79" s="351"/>
      <c r="AB79" s="351"/>
      <c r="AC79" s="351" t="e">
        <f t="shared" si="41"/>
        <v>#N/A</v>
      </c>
      <c r="AD79" s="506"/>
      <c r="AE79" s="351"/>
      <c r="AF79" s="351"/>
      <c r="AG79" s="351"/>
      <c r="AH79" s="351" t="e">
        <f t="shared" si="42"/>
        <v>#N/A</v>
      </c>
      <c r="AI79" s="506"/>
      <c r="AJ79" s="351"/>
      <c r="AK79" s="351"/>
      <c r="AL79" s="351"/>
      <c r="AM79" s="351" t="e">
        <f t="shared" si="43"/>
        <v>#N/A</v>
      </c>
      <c r="AN79" s="506"/>
      <c r="AO79" s="351"/>
      <c r="AP79" s="351"/>
      <c r="AQ79" s="351"/>
      <c r="AR79" s="351" t="e">
        <f t="shared" si="44"/>
        <v>#N/A</v>
      </c>
      <c r="AS79" s="506"/>
      <c r="AT79" s="351"/>
      <c r="AU79" s="351"/>
      <c r="AV79" s="351"/>
      <c r="AW79" s="351" t="e">
        <f t="shared" si="45"/>
        <v>#N/A</v>
      </c>
      <c r="AX79" s="506"/>
    </row>
    <row r="80" spans="2:50">
      <c r="B80" s="483"/>
      <c r="C80" s="351">
        <v>14</v>
      </c>
      <c r="D80" s="351"/>
      <c r="E80" s="351"/>
      <c r="F80" s="351"/>
      <c r="G80" s="351"/>
      <c r="H80" s="508"/>
      <c r="I80" s="222"/>
      <c r="J80" s="222"/>
      <c r="K80" s="222"/>
      <c r="L80" s="457"/>
      <c r="M80" s="221" t="e">
        <f>RANK(K80, K$87:$K$101)</f>
        <v>#DIV/0!</v>
      </c>
      <c r="N80" s="475"/>
      <c r="O80" s="475"/>
      <c r="P80" s="351"/>
      <c r="Q80" s="351"/>
      <c r="R80" s="351"/>
      <c r="S80" s="351" t="e">
        <f t="shared" si="39"/>
        <v>#N/A</v>
      </c>
      <c r="T80" s="506"/>
      <c r="U80" s="351"/>
      <c r="V80" s="351"/>
      <c r="W80" s="351"/>
      <c r="X80" s="351" t="e">
        <f t="shared" si="40"/>
        <v>#N/A</v>
      </c>
      <c r="Y80" s="506"/>
      <c r="Z80" s="351"/>
      <c r="AA80" s="351"/>
      <c r="AB80" s="351"/>
      <c r="AC80" s="351" t="e">
        <f t="shared" si="41"/>
        <v>#N/A</v>
      </c>
      <c r="AD80" s="506"/>
      <c r="AE80" s="351"/>
      <c r="AF80" s="351"/>
      <c r="AG80" s="351"/>
      <c r="AH80" s="351" t="e">
        <f t="shared" si="42"/>
        <v>#N/A</v>
      </c>
      <c r="AI80" s="506"/>
      <c r="AJ80" s="351"/>
      <c r="AK80" s="351"/>
      <c r="AL80" s="351"/>
      <c r="AM80" s="351" t="e">
        <f t="shared" si="43"/>
        <v>#N/A</v>
      </c>
      <c r="AN80" s="506"/>
      <c r="AO80" s="351"/>
      <c r="AP80" s="351"/>
      <c r="AQ80" s="351"/>
      <c r="AR80" s="351" t="e">
        <f t="shared" si="44"/>
        <v>#N/A</v>
      </c>
      <c r="AS80" s="506"/>
      <c r="AT80" s="351"/>
      <c r="AU80" s="351"/>
      <c r="AV80" s="351"/>
      <c r="AW80" s="351" t="e">
        <f t="shared" si="45"/>
        <v>#N/A</v>
      </c>
      <c r="AX80" s="506"/>
    </row>
    <row r="81" spans="2:50">
      <c r="B81" s="483"/>
      <c r="C81" s="351">
        <v>15</v>
      </c>
      <c r="D81" s="351"/>
      <c r="E81" s="351"/>
      <c r="F81" s="351"/>
      <c r="G81" s="351"/>
      <c r="H81" s="509"/>
      <c r="I81" s="222"/>
      <c r="J81" s="222"/>
      <c r="K81" s="222"/>
      <c r="L81" s="458"/>
      <c r="M81" s="219" t="e">
        <f>RANK(K81, K$87:$K$101)</f>
        <v>#DIV/0!</v>
      </c>
      <c r="N81" s="475"/>
      <c r="O81" s="475"/>
      <c r="P81" s="351"/>
      <c r="Q81" s="351"/>
      <c r="R81" s="351"/>
      <c r="S81" s="351" t="e">
        <f t="shared" si="39"/>
        <v>#N/A</v>
      </c>
      <c r="T81" s="506"/>
      <c r="U81" s="351"/>
      <c r="V81" s="351"/>
      <c r="W81" s="351"/>
      <c r="X81" s="351" t="e">
        <f t="shared" si="40"/>
        <v>#N/A</v>
      </c>
      <c r="Y81" s="506"/>
      <c r="Z81" s="351"/>
      <c r="AA81" s="351"/>
      <c r="AB81" s="351"/>
      <c r="AC81" s="351" t="e">
        <f t="shared" si="41"/>
        <v>#N/A</v>
      </c>
      <c r="AD81" s="506"/>
      <c r="AE81" s="351"/>
      <c r="AF81" s="351"/>
      <c r="AG81" s="351"/>
      <c r="AH81" s="351" t="e">
        <f t="shared" si="42"/>
        <v>#N/A</v>
      </c>
      <c r="AI81" s="506"/>
      <c r="AJ81" s="351"/>
      <c r="AK81" s="351"/>
      <c r="AL81" s="351"/>
      <c r="AM81" s="351" t="e">
        <f t="shared" si="43"/>
        <v>#N/A</v>
      </c>
      <c r="AN81" s="506"/>
      <c r="AO81" s="351"/>
      <c r="AP81" s="351"/>
      <c r="AQ81" s="351"/>
      <c r="AR81" s="351" t="e">
        <f t="shared" si="44"/>
        <v>#N/A</v>
      </c>
      <c r="AS81" s="506"/>
      <c r="AT81" s="351"/>
      <c r="AU81" s="351"/>
      <c r="AV81" s="351"/>
      <c r="AW81" s="351" t="e">
        <f t="shared" si="45"/>
        <v>#N/A</v>
      </c>
      <c r="AX81" s="506"/>
    </row>
    <row r="82" spans="2:50" ht="15.75">
      <c r="B82" s="487" t="s">
        <v>172</v>
      </c>
      <c r="C82" s="488"/>
      <c r="D82" s="488"/>
      <c r="E82" s="488"/>
      <c r="F82" s="488"/>
      <c r="G82" s="488"/>
      <c r="H82" s="489"/>
      <c r="I82" s="228"/>
      <c r="J82" s="228"/>
      <c r="K82" s="228"/>
      <c r="L82" s="228"/>
      <c r="M82" s="227"/>
      <c r="N82" s="476" t="s">
        <v>164</v>
      </c>
      <c r="O82" s="476" t="s">
        <v>105</v>
      </c>
      <c r="P82" s="482">
        <f>P62+7</f>
        <v>45923</v>
      </c>
      <c r="Q82" s="483"/>
      <c r="R82" s="483"/>
      <c r="S82" s="483"/>
      <c r="T82" s="483"/>
      <c r="U82" s="479">
        <f>P82+1</f>
        <v>45924</v>
      </c>
      <c r="V82" s="480"/>
      <c r="W82" s="480"/>
      <c r="X82" s="480"/>
      <c r="Y82" s="481"/>
      <c r="Z82" s="479">
        <f>U82+1</f>
        <v>45925</v>
      </c>
      <c r="AA82" s="480"/>
      <c r="AB82" s="480"/>
      <c r="AC82" s="480"/>
      <c r="AD82" s="481"/>
      <c r="AE82" s="479">
        <f t="shared" ref="AE82" si="46">Z82+1</f>
        <v>45926</v>
      </c>
      <c r="AF82" s="480"/>
      <c r="AG82" s="480"/>
      <c r="AH82" s="480"/>
      <c r="AI82" s="481"/>
      <c r="AJ82" s="479">
        <f t="shared" ref="AJ82" si="47">AE82+1</f>
        <v>45927</v>
      </c>
      <c r="AK82" s="480"/>
      <c r="AL82" s="480"/>
      <c r="AM82" s="480"/>
      <c r="AN82" s="481"/>
      <c r="AO82" s="479">
        <f t="shared" ref="AO82" si="48">AJ82+1</f>
        <v>45928</v>
      </c>
      <c r="AP82" s="480"/>
      <c r="AQ82" s="480"/>
      <c r="AR82" s="480"/>
      <c r="AS82" s="481"/>
      <c r="AT82" s="479">
        <f t="shared" ref="AT82" si="49">AO82+1</f>
        <v>45929</v>
      </c>
      <c r="AU82" s="480"/>
      <c r="AV82" s="480"/>
      <c r="AW82" s="480"/>
      <c r="AX82" s="481"/>
    </row>
    <row r="83" spans="2:50" ht="15.75">
      <c r="B83" s="490"/>
      <c r="C83" s="490"/>
      <c r="D83" s="490"/>
      <c r="E83" s="490"/>
      <c r="F83" s="490"/>
      <c r="G83" s="490"/>
      <c r="H83" s="490"/>
      <c r="I83" s="225"/>
      <c r="J83" s="225"/>
      <c r="K83" s="225"/>
      <c r="L83" s="225"/>
      <c r="M83" s="226"/>
      <c r="N83" s="478"/>
      <c r="O83" s="478"/>
      <c r="P83" s="482" t="s">
        <v>393</v>
      </c>
      <c r="Q83" s="483"/>
      <c r="R83" s="483"/>
      <c r="S83" s="483"/>
      <c r="T83" s="483"/>
      <c r="U83" s="482" t="s">
        <v>394</v>
      </c>
      <c r="V83" s="483"/>
      <c r="W83" s="483"/>
      <c r="X83" s="483"/>
      <c r="Y83" s="483"/>
      <c r="Z83" s="482" t="s">
        <v>395</v>
      </c>
      <c r="AA83" s="483"/>
      <c r="AB83" s="483"/>
      <c r="AC83" s="483"/>
      <c r="AD83" s="483"/>
      <c r="AE83" s="482" t="s">
        <v>396</v>
      </c>
      <c r="AF83" s="483"/>
      <c r="AG83" s="483"/>
      <c r="AH83" s="483"/>
      <c r="AI83" s="483"/>
      <c r="AJ83" s="482" t="s">
        <v>397</v>
      </c>
      <c r="AK83" s="483"/>
      <c r="AL83" s="483"/>
      <c r="AM83" s="483"/>
      <c r="AN83" s="483"/>
      <c r="AO83" s="482" t="s">
        <v>398</v>
      </c>
      <c r="AP83" s="483"/>
      <c r="AQ83" s="483"/>
      <c r="AR83" s="483"/>
      <c r="AS83" s="483"/>
      <c r="AT83" s="482" t="s">
        <v>399</v>
      </c>
      <c r="AU83" s="483"/>
      <c r="AV83" s="483"/>
      <c r="AW83" s="483"/>
      <c r="AX83" s="483"/>
    </row>
    <row r="84" spans="2:50">
      <c r="B84" s="475" t="s">
        <v>707</v>
      </c>
      <c r="C84" s="475" t="s">
        <v>708</v>
      </c>
      <c r="D84" s="475"/>
      <c r="E84" s="475" t="s">
        <v>709</v>
      </c>
      <c r="F84" s="475"/>
      <c r="G84" s="475"/>
      <c r="H84" s="491" t="s">
        <v>710</v>
      </c>
      <c r="I84" s="459" t="s">
        <v>711</v>
      </c>
      <c r="J84" s="459"/>
      <c r="K84" s="459"/>
      <c r="L84" s="460" t="s">
        <v>710</v>
      </c>
      <c r="M84" s="466" t="s">
        <v>712</v>
      </c>
      <c r="N84" s="475"/>
      <c r="O84" s="475" t="s">
        <v>713</v>
      </c>
      <c r="P84" s="472" t="s">
        <v>714</v>
      </c>
      <c r="Q84" s="473"/>
      <c r="R84" s="473"/>
      <c r="S84" s="474"/>
      <c r="T84" s="475" t="s">
        <v>710</v>
      </c>
      <c r="U84" s="472" t="s">
        <v>714</v>
      </c>
      <c r="V84" s="473"/>
      <c r="W84" s="473"/>
      <c r="X84" s="474"/>
      <c r="Y84" s="475" t="s">
        <v>710</v>
      </c>
      <c r="Z84" s="472" t="s">
        <v>714</v>
      </c>
      <c r="AA84" s="473"/>
      <c r="AB84" s="473"/>
      <c r="AC84" s="474"/>
      <c r="AD84" s="475" t="s">
        <v>710</v>
      </c>
      <c r="AE84" s="472" t="s">
        <v>714</v>
      </c>
      <c r="AF84" s="473"/>
      <c r="AG84" s="473"/>
      <c r="AH84" s="474"/>
      <c r="AI84" s="475" t="s">
        <v>710</v>
      </c>
      <c r="AJ84" s="472" t="s">
        <v>714</v>
      </c>
      <c r="AK84" s="473"/>
      <c r="AL84" s="473"/>
      <c r="AM84" s="474"/>
      <c r="AN84" s="475" t="s">
        <v>710</v>
      </c>
      <c r="AO84" s="472" t="s">
        <v>714</v>
      </c>
      <c r="AP84" s="473"/>
      <c r="AQ84" s="473"/>
      <c r="AR84" s="474"/>
      <c r="AS84" s="475" t="s">
        <v>710</v>
      </c>
      <c r="AT84" s="472" t="s">
        <v>714</v>
      </c>
      <c r="AU84" s="473"/>
      <c r="AV84" s="473"/>
      <c r="AW84" s="474"/>
      <c r="AX84" s="475" t="s">
        <v>710</v>
      </c>
    </row>
    <row r="85" spans="2:50">
      <c r="B85" s="475"/>
      <c r="C85" s="475"/>
      <c r="D85" s="475"/>
      <c r="E85" s="475" t="s">
        <v>715</v>
      </c>
      <c r="F85" s="475"/>
      <c r="G85" s="475"/>
      <c r="H85" s="492"/>
      <c r="I85" s="459" t="s">
        <v>715</v>
      </c>
      <c r="J85" s="459"/>
      <c r="K85" s="459"/>
      <c r="L85" s="461"/>
      <c r="M85" s="467"/>
      <c r="N85" s="475"/>
      <c r="O85" s="475"/>
      <c r="P85" s="472" t="s">
        <v>716</v>
      </c>
      <c r="Q85" s="473"/>
      <c r="R85" s="473"/>
      <c r="S85" s="474"/>
      <c r="T85" s="475"/>
      <c r="U85" s="472" t="s">
        <v>716</v>
      </c>
      <c r="V85" s="473"/>
      <c r="W85" s="473"/>
      <c r="X85" s="474"/>
      <c r="Y85" s="475"/>
      <c r="Z85" s="472" t="s">
        <v>716</v>
      </c>
      <c r="AA85" s="473"/>
      <c r="AB85" s="473"/>
      <c r="AC85" s="474"/>
      <c r="AD85" s="475"/>
      <c r="AE85" s="472" t="s">
        <v>716</v>
      </c>
      <c r="AF85" s="473"/>
      <c r="AG85" s="473"/>
      <c r="AH85" s="474"/>
      <c r="AI85" s="475"/>
      <c r="AJ85" s="472" t="s">
        <v>716</v>
      </c>
      <c r="AK85" s="473"/>
      <c r="AL85" s="473"/>
      <c r="AM85" s="474"/>
      <c r="AN85" s="475"/>
      <c r="AO85" s="472" t="s">
        <v>716</v>
      </c>
      <c r="AP85" s="473"/>
      <c r="AQ85" s="473"/>
      <c r="AR85" s="474"/>
      <c r="AS85" s="475"/>
      <c r="AT85" s="472" t="s">
        <v>716</v>
      </c>
      <c r="AU85" s="473"/>
      <c r="AV85" s="473"/>
      <c r="AW85" s="474"/>
      <c r="AX85" s="475"/>
    </row>
    <row r="86" spans="2:50">
      <c r="B86" s="475"/>
      <c r="C86" s="475"/>
      <c r="D86" s="475"/>
      <c r="E86" s="335" t="s">
        <v>717</v>
      </c>
      <c r="F86" s="335" t="s">
        <v>718</v>
      </c>
      <c r="G86" s="335" t="s">
        <v>719</v>
      </c>
      <c r="H86" s="493"/>
      <c r="I86" s="337" t="s">
        <v>717</v>
      </c>
      <c r="J86" s="337" t="s">
        <v>718</v>
      </c>
      <c r="K86" s="337" t="s">
        <v>719</v>
      </c>
      <c r="L86" s="462"/>
      <c r="M86" s="468"/>
      <c r="N86" s="475"/>
      <c r="O86" s="475"/>
      <c r="P86" s="335" t="s">
        <v>717</v>
      </c>
      <c r="Q86" s="335" t="s">
        <v>718</v>
      </c>
      <c r="R86" s="335" t="s">
        <v>719</v>
      </c>
      <c r="S86" s="335" t="s">
        <v>712</v>
      </c>
      <c r="T86" s="475"/>
      <c r="U86" s="335" t="s">
        <v>717</v>
      </c>
      <c r="V86" s="335" t="s">
        <v>718</v>
      </c>
      <c r="W86" s="335" t="s">
        <v>719</v>
      </c>
      <c r="X86" s="335" t="s">
        <v>712</v>
      </c>
      <c r="Y86" s="475"/>
      <c r="Z86" s="335" t="s">
        <v>717</v>
      </c>
      <c r="AA86" s="335" t="s">
        <v>718</v>
      </c>
      <c r="AB86" s="335" t="s">
        <v>719</v>
      </c>
      <c r="AC86" s="335" t="s">
        <v>712</v>
      </c>
      <c r="AD86" s="475"/>
      <c r="AE86" s="335" t="s">
        <v>717</v>
      </c>
      <c r="AF86" s="335" t="s">
        <v>718</v>
      </c>
      <c r="AG86" s="335" t="s">
        <v>719</v>
      </c>
      <c r="AH86" s="335" t="s">
        <v>712</v>
      </c>
      <c r="AI86" s="475"/>
      <c r="AJ86" s="335" t="s">
        <v>717</v>
      </c>
      <c r="AK86" s="335" t="s">
        <v>718</v>
      </c>
      <c r="AL86" s="335" t="s">
        <v>719</v>
      </c>
      <c r="AM86" s="335" t="s">
        <v>712</v>
      </c>
      <c r="AN86" s="475"/>
      <c r="AO86" s="335" t="s">
        <v>717</v>
      </c>
      <c r="AP86" s="335" t="s">
        <v>718</v>
      </c>
      <c r="AQ86" s="335" t="s">
        <v>719</v>
      </c>
      <c r="AR86" s="335" t="s">
        <v>712</v>
      </c>
      <c r="AS86" s="475"/>
      <c r="AT86" s="335" t="s">
        <v>717</v>
      </c>
      <c r="AU86" s="335" t="s">
        <v>718</v>
      </c>
      <c r="AV86" s="335" t="s">
        <v>719</v>
      </c>
      <c r="AW86" s="335" t="s">
        <v>712</v>
      </c>
      <c r="AX86" s="475"/>
    </row>
    <row r="87" spans="2:50">
      <c r="B87" s="505" t="s">
        <v>720</v>
      </c>
      <c r="C87" s="334">
        <v>1</v>
      </c>
      <c r="D87" s="334"/>
      <c r="E87" s="334"/>
      <c r="F87" s="334"/>
      <c r="G87" s="334"/>
      <c r="H87" s="507" t="e">
        <f>AVERAGE(G87:G101)</f>
        <v>#DIV/0!</v>
      </c>
      <c r="I87" s="219" t="e">
        <f>AVERAGE(P87,U87,Z87,AE87,AJ87,AO87,AT87)</f>
        <v>#DIV/0!</v>
      </c>
      <c r="J87" s="219" t="e">
        <f>AVERAGE(Q87,V87,AA87,AF87,AK87,AP87,AU87)</f>
        <v>#DIV/0!</v>
      </c>
      <c r="K87" s="220" t="e">
        <f>AVERAGE(R87,W87,AB87,AG87,AL87,AQ87,AV87)</f>
        <v>#DIV/0!</v>
      </c>
      <c r="L87" s="456" t="str">
        <f>IFERROR(AVERAGE(K87:K101),"-")</f>
        <v>-</v>
      </c>
      <c r="M87" s="221" t="e">
        <f>RANK(K87, K$87:$K$101)</f>
        <v>#DIV/0!</v>
      </c>
      <c r="N87" s="475"/>
      <c r="O87" s="475"/>
      <c r="P87" s="334"/>
      <c r="Q87" s="187"/>
      <c r="R87" s="336"/>
      <c r="S87" s="334" t="e">
        <f>RANK(R87, R$87:R$101)</f>
        <v>#N/A</v>
      </c>
      <c r="T87" s="506" t="e">
        <f>AVERAGE(R87:R101)</f>
        <v>#DIV/0!</v>
      </c>
      <c r="U87" s="351"/>
      <c r="V87" s="187"/>
      <c r="W87" s="354"/>
      <c r="X87" s="334" t="e">
        <f>RANK(W87, W$87:W$101)</f>
        <v>#N/A</v>
      </c>
      <c r="Y87" s="506" t="e">
        <f>AVERAGE(W87:W101)</f>
        <v>#DIV/0!</v>
      </c>
      <c r="Z87" s="351"/>
      <c r="AA87" s="187"/>
      <c r="AB87" s="354"/>
      <c r="AC87" s="334" t="e">
        <f>RANK(AB87, AB$87:AB$101)</f>
        <v>#N/A</v>
      </c>
      <c r="AD87" s="506" t="e">
        <f>AVERAGE(AB87:AB101)</f>
        <v>#DIV/0!</v>
      </c>
      <c r="AE87" s="351"/>
      <c r="AF87" s="187"/>
      <c r="AG87" s="354"/>
      <c r="AH87" s="334" t="e">
        <f>RANK(AG87, AG$87:AG$101)</f>
        <v>#N/A</v>
      </c>
      <c r="AI87" s="506" t="e">
        <f>AVERAGE(AG87:AG101)</f>
        <v>#DIV/0!</v>
      </c>
      <c r="AJ87" s="351"/>
      <c r="AK87" s="187"/>
      <c r="AL87" s="354"/>
      <c r="AM87" s="334" t="e">
        <f>RANK(AL87, AL$87:AL$101)</f>
        <v>#N/A</v>
      </c>
      <c r="AN87" s="506" t="e">
        <f>AVERAGE(AL87:AL101)</f>
        <v>#DIV/0!</v>
      </c>
      <c r="AO87" s="351"/>
      <c r="AP87" s="187"/>
      <c r="AQ87" s="354"/>
      <c r="AR87" s="334" t="e">
        <f>RANK(AQ87, AQ$87:AQ$101)</f>
        <v>#N/A</v>
      </c>
      <c r="AS87" s="506" t="e">
        <f>AVERAGE(AQ87:AQ101)</f>
        <v>#DIV/0!</v>
      </c>
      <c r="AT87" s="334"/>
      <c r="AU87" s="187"/>
      <c r="AV87" s="336"/>
      <c r="AW87" s="334" t="e">
        <f>RANK(AV87, AV$87:AV$101)</f>
        <v>#N/A</v>
      </c>
      <c r="AX87" s="506" t="e">
        <f>AVERAGE(AV87:AV101)</f>
        <v>#DIV/0!</v>
      </c>
    </row>
    <row r="88" spans="2:50">
      <c r="B88" s="483"/>
      <c r="C88" s="334">
        <v>2</v>
      </c>
      <c r="D88" s="334"/>
      <c r="E88" s="334"/>
      <c r="F88" s="334"/>
      <c r="G88" s="334"/>
      <c r="H88" s="508"/>
      <c r="I88" s="219" t="e">
        <f t="shared" ref="I88:I93" si="50">AVERAGE(P88,U88,Z88,AE88,AJ88,AO88,AT88)</f>
        <v>#DIV/0!</v>
      </c>
      <c r="J88" s="219" t="e">
        <f t="shared" ref="J88:J93" si="51">AVERAGE(Q88,V88,AA88,AF88,AK88,AP88,AU88)</f>
        <v>#DIV/0!</v>
      </c>
      <c r="K88" s="220" t="e">
        <f t="shared" ref="K88:K93" si="52">AVERAGE(R88,W88,AB88,AG88,AL88,AQ88,AV88)</f>
        <v>#DIV/0!</v>
      </c>
      <c r="L88" s="457"/>
      <c r="M88" s="221" t="e">
        <f>RANK(K88, K$87:$K$101)</f>
        <v>#DIV/0!</v>
      </c>
      <c r="N88" s="475"/>
      <c r="O88" s="475"/>
      <c r="P88" s="334"/>
      <c r="Q88" s="187"/>
      <c r="R88" s="336"/>
      <c r="S88" s="334" t="e">
        <f t="shared" ref="S88:S101" si="53">RANK(R88, R$87:R$101)</f>
        <v>#N/A</v>
      </c>
      <c r="T88" s="506"/>
      <c r="U88" s="351"/>
      <c r="V88" s="187"/>
      <c r="W88" s="354"/>
      <c r="X88" s="334" t="e">
        <f t="shared" ref="X88:X101" si="54">RANK(W88, W$87:W$101)</f>
        <v>#N/A</v>
      </c>
      <c r="Y88" s="506"/>
      <c r="Z88" s="351"/>
      <c r="AA88" s="187"/>
      <c r="AB88" s="354"/>
      <c r="AC88" s="334" t="e">
        <f t="shared" ref="AC88:AC101" si="55">RANK(AB88, AB$87:AB$101)</f>
        <v>#N/A</v>
      </c>
      <c r="AD88" s="506"/>
      <c r="AE88" s="351"/>
      <c r="AF88" s="187"/>
      <c r="AG88" s="354"/>
      <c r="AH88" s="334" t="e">
        <f t="shared" ref="AH88:AH101" si="56">RANK(AG88, AG$87:AG$101)</f>
        <v>#N/A</v>
      </c>
      <c r="AI88" s="506"/>
      <c r="AJ88" s="351"/>
      <c r="AK88" s="187"/>
      <c r="AL88" s="354"/>
      <c r="AM88" s="334" t="e">
        <f t="shared" ref="AM88:AM101" si="57">RANK(AL88, AL$87:AL$101)</f>
        <v>#N/A</v>
      </c>
      <c r="AN88" s="506"/>
      <c r="AO88" s="351"/>
      <c r="AP88" s="187"/>
      <c r="AQ88" s="354"/>
      <c r="AR88" s="334" t="e">
        <f t="shared" ref="AR88:AR101" si="58">RANK(AQ88, AQ$87:AQ$101)</f>
        <v>#N/A</v>
      </c>
      <c r="AS88" s="506"/>
      <c r="AT88" s="334"/>
      <c r="AU88" s="187"/>
      <c r="AV88" s="336"/>
      <c r="AW88" s="334" t="e">
        <f t="shared" ref="AW88:AW101" si="59">RANK(AV88, AV$87:AV$101)</f>
        <v>#N/A</v>
      </c>
      <c r="AX88" s="506"/>
    </row>
    <row r="89" spans="2:50">
      <c r="B89" s="483"/>
      <c r="C89" s="334">
        <v>3</v>
      </c>
      <c r="D89" s="334"/>
      <c r="E89" s="334"/>
      <c r="F89" s="334"/>
      <c r="G89" s="334"/>
      <c r="H89" s="508"/>
      <c r="I89" s="219" t="e">
        <f t="shared" si="50"/>
        <v>#DIV/0!</v>
      </c>
      <c r="J89" s="219" t="e">
        <f t="shared" si="51"/>
        <v>#DIV/0!</v>
      </c>
      <c r="K89" s="220" t="e">
        <f t="shared" si="52"/>
        <v>#DIV/0!</v>
      </c>
      <c r="L89" s="457"/>
      <c r="M89" s="221" t="e">
        <f>RANK(K89, K$87:$K$101)</f>
        <v>#DIV/0!</v>
      </c>
      <c r="N89" s="475"/>
      <c r="O89" s="475"/>
      <c r="P89" s="334"/>
      <c r="Q89" s="187"/>
      <c r="R89" s="336"/>
      <c r="S89" s="334" t="e">
        <f t="shared" si="53"/>
        <v>#N/A</v>
      </c>
      <c r="T89" s="506"/>
      <c r="U89" s="351"/>
      <c r="V89" s="187"/>
      <c r="W89" s="354"/>
      <c r="X89" s="334" t="e">
        <f t="shared" si="54"/>
        <v>#N/A</v>
      </c>
      <c r="Y89" s="506"/>
      <c r="Z89" s="351"/>
      <c r="AA89" s="187"/>
      <c r="AB89" s="354"/>
      <c r="AC89" s="334" t="e">
        <f t="shared" si="55"/>
        <v>#N/A</v>
      </c>
      <c r="AD89" s="506"/>
      <c r="AE89" s="351"/>
      <c r="AF89" s="187"/>
      <c r="AG89" s="354"/>
      <c r="AH89" s="334" t="e">
        <f t="shared" si="56"/>
        <v>#N/A</v>
      </c>
      <c r="AI89" s="506"/>
      <c r="AJ89" s="351"/>
      <c r="AK89" s="187"/>
      <c r="AL89" s="354"/>
      <c r="AM89" s="334" t="e">
        <f t="shared" si="57"/>
        <v>#N/A</v>
      </c>
      <c r="AN89" s="506"/>
      <c r="AO89" s="351"/>
      <c r="AP89" s="187"/>
      <c r="AQ89" s="354"/>
      <c r="AR89" s="334" t="e">
        <f t="shared" si="58"/>
        <v>#N/A</v>
      </c>
      <c r="AS89" s="506"/>
      <c r="AT89" s="334"/>
      <c r="AU89" s="187"/>
      <c r="AV89" s="336"/>
      <c r="AW89" s="334" t="e">
        <f t="shared" si="59"/>
        <v>#N/A</v>
      </c>
      <c r="AX89" s="506"/>
    </row>
    <row r="90" spans="2:50">
      <c r="B90" s="483"/>
      <c r="C90" s="334">
        <v>4</v>
      </c>
      <c r="D90" s="334"/>
      <c r="E90" s="334"/>
      <c r="F90" s="334"/>
      <c r="G90" s="334"/>
      <c r="H90" s="508"/>
      <c r="I90" s="219" t="e">
        <f t="shared" si="50"/>
        <v>#DIV/0!</v>
      </c>
      <c r="J90" s="219" t="e">
        <f t="shared" si="51"/>
        <v>#DIV/0!</v>
      </c>
      <c r="K90" s="220" t="e">
        <f t="shared" si="52"/>
        <v>#DIV/0!</v>
      </c>
      <c r="L90" s="457"/>
      <c r="M90" s="221" t="e">
        <f>RANK(K90, K$87:$K$101)</f>
        <v>#DIV/0!</v>
      </c>
      <c r="N90" s="475"/>
      <c r="O90" s="475"/>
      <c r="P90" s="334"/>
      <c r="Q90" s="187"/>
      <c r="R90" s="336"/>
      <c r="S90" s="334" t="e">
        <f t="shared" si="53"/>
        <v>#N/A</v>
      </c>
      <c r="T90" s="506"/>
      <c r="U90" s="351"/>
      <c r="V90" s="187"/>
      <c r="W90" s="354"/>
      <c r="X90" s="334" t="e">
        <f t="shared" si="54"/>
        <v>#N/A</v>
      </c>
      <c r="Y90" s="506"/>
      <c r="Z90" s="351"/>
      <c r="AA90" s="187"/>
      <c r="AB90" s="354"/>
      <c r="AC90" s="334" t="e">
        <f t="shared" si="55"/>
        <v>#N/A</v>
      </c>
      <c r="AD90" s="506"/>
      <c r="AE90" s="351"/>
      <c r="AF90" s="187"/>
      <c r="AG90" s="354"/>
      <c r="AH90" s="334" t="e">
        <f t="shared" si="56"/>
        <v>#N/A</v>
      </c>
      <c r="AI90" s="506"/>
      <c r="AJ90" s="351"/>
      <c r="AK90" s="187"/>
      <c r="AL90" s="354"/>
      <c r="AM90" s="334" t="e">
        <f t="shared" si="57"/>
        <v>#N/A</v>
      </c>
      <c r="AN90" s="506"/>
      <c r="AO90" s="351"/>
      <c r="AP90" s="187"/>
      <c r="AQ90" s="354"/>
      <c r="AR90" s="334" t="e">
        <f t="shared" si="58"/>
        <v>#N/A</v>
      </c>
      <c r="AS90" s="506"/>
      <c r="AT90" s="334"/>
      <c r="AU90" s="187"/>
      <c r="AV90" s="336"/>
      <c r="AW90" s="334" t="e">
        <f t="shared" si="59"/>
        <v>#N/A</v>
      </c>
      <c r="AX90" s="506"/>
    </row>
    <row r="91" spans="2:50">
      <c r="B91" s="483"/>
      <c r="C91" s="334">
        <v>5</v>
      </c>
      <c r="D91" s="334"/>
      <c r="E91" s="334"/>
      <c r="F91" s="334"/>
      <c r="G91" s="334"/>
      <c r="H91" s="508"/>
      <c r="I91" s="219" t="e">
        <f t="shared" si="50"/>
        <v>#DIV/0!</v>
      </c>
      <c r="J91" s="219" t="e">
        <f t="shared" si="51"/>
        <v>#DIV/0!</v>
      </c>
      <c r="K91" s="220" t="e">
        <f t="shared" si="52"/>
        <v>#DIV/0!</v>
      </c>
      <c r="L91" s="457"/>
      <c r="M91" s="221" t="e">
        <f>RANK(K91, K$87:$K$101)</f>
        <v>#DIV/0!</v>
      </c>
      <c r="N91" s="475"/>
      <c r="O91" s="475"/>
      <c r="P91" s="334"/>
      <c r="Q91" s="187"/>
      <c r="R91" s="336"/>
      <c r="S91" s="334" t="e">
        <f t="shared" si="53"/>
        <v>#N/A</v>
      </c>
      <c r="T91" s="506"/>
      <c r="U91" s="351"/>
      <c r="V91" s="187"/>
      <c r="W91" s="354"/>
      <c r="X91" s="334" t="e">
        <f t="shared" si="54"/>
        <v>#N/A</v>
      </c>
      <c r="Y91" s="506"/>
      <c r="Z91" s="351"/>
      <c r="AA91" s="187"/>
      <c r="AB91" s="354"/>
      <c r="AC91" s="334" t="e">
        <f t="shared" si="55"/>
        <v>#N/A</v>
      </c>
      <c r="AD91" s="506"/>
      <c r="AE91" s="351"/>
      <c r="AF91" s="187"/>
      <c r="AG91" s="354"/>
      <c r="AH91" s="334" t="e">
        <f t="shared" si="56"/>
        <v>#N/A</v>
      </c>
      <c r="AI91" s="506"/>
      <c r="AJ91" s="351"/>
      <c r="AK91" s="187"/>
      <c r="AL91" s="354"/>
      <c r="AM91" s="334" t="e">
        <f t="shared" si="57"/>
        <v>#N/A</v>
      </c>
      <c r="AN91" s="506"/>
      <c r="AO91" s="351"/>
      <c r="AP91" s="187"/>
      <c r="AQ91" s="354"/>
      <c r="AR91" s="334" t="e">
        <f t="shared" si="58"/>
        <v>#N/A</v>
      </c>
      <c r="AS91" s="506"/>
      <c r="AT91" s="334"/>
      <c r="AU91" s="187"/>
      <c r="AV91" s="336"/>
      <c r="AW91" s="334" t="e">
        <f t="shared" si="59"/>
        <v>#N/A</v>
      </c>
      <c r="AX91" s="506"/>
    </row>
    <row r="92" spans="2:50">
      <c r="B92" s="483"/>
      <c r="C92" s="334">
        <v>6</v>
      </c>
      <c r="D92" s="334"/>
      <c r="E92" s="334"/>
      <c r="F92" s="334"/>
      <c r="G92" s="334"/>
      <c r="H92" s="508"/>
      <c r="I92" s="219" t="e">
        <f t="shared" si="50"/>
        <v>#DIV/0!</v>
      </c>
      <c r="J92" s="219" t="e">
        <f t="shared" si="51"/>
        <v>#DIV/0!</v>
      </c>
      <c r="K92" s="220" t="e">
        <f t="shared" si="52"/>
        <v>#DIV/0!</v>
      </c>
      <c r="L92" s="457"/>
      <c r="M92" s="221" t="e">
        <f>RANK(K92, K$87:$K$101)</f>
        <v>#DIV/0!</v>
      </c>
      <c r="N92" s="475"/>
      <c r="O92" s="475"/>
      <c r="P92" s="334"/>
      <c r="Q92" s="187"/>
      <c r="R92" s="336"/>
      <c r="S92" s="334" t="e">
        <f t="shared" si="53"/>
        <v>#N/A</v>
      </c>
      <c r="T92" s="506"/>
      <c r="U92" s="351"/>
      <c r="V92" s="187"/>
      <c r="W92" s="354"/>
      <c r="X92" s="334" t="e">
        <f t="shared" si="54"/>
        <v>#N/A</v>
      </c>
      <c r="Y92" s="506"/>
      <c r="Z92" s="351"/>
      <c r="AA92" s="187"/>
      <c r="AB92" s="354"/>
      <c r="AC92" s="334" t="e">
        <f t="shared" si="55"/>
        <v>#N/A</v>
      </c>
      <c r="AD92" s="506"/>
      <c r="AE92" s="351"/>
      <c r="AF92" s="187"/>
      <c r="AG92" s="354"/>
      <c r="AH92" s="334" t="e">
        <f t="shared" si="56"/>
        <v>#N/A</v>
      </c>
      <c r="AI92" s="506"/>
      <c r="AJ92" s="351"/>
      <c r="AK92" s="187"/>
      <c r="AL92" s="354"/>
      <c r="AM92" s="334" t="e">
        <f t="shared" si="57"/>
        <v>#N/A</v>
      </c>
      <c r="AN92" s="506"/>
      <c r="AO92" s="351"/>
      <c r="AP92" s="187"/>
      <c r="AQ92" s="354"/>
      <c r="AR92" s="334" t="e">
        <f t="shared" si="58"/>
        <v>#N/A</v>
      </c>
      <c r="AS92" s="506"/>
      <c r="AT92" s="334"/>
      <c r="AU92" s="187"/>
      <c r="AV92" s="336"/>
      <c r="AW92" s="334" t="e">
        <f t="shared" si="59"/>
        <v>#N/A</v>
      </c>
      <c r="AX92" s="506"/>
    </row>
    <row r="93" spans="2:50">
      <c r="B93" s="483"/>
      <c r="C93" s="334">
        <v>7</v>
      </c>
      <c r="D93" s="334"/>
      <c r="E93" s="334"/>
      <c r="F93" s="334"/>
      <c r="G93" s="334"/>
      <c r="H93" s="508"/>
      <c r="I93" s="219" t="e">
        <f t="shared" si="50"/>
        <v>#DIV/0!</v>
      </c>
      <c r="J93" s="219" t="e">
        <f t="shared" si="51"/>
        <v>#DIV/0!</v>
      </c>
      <c r="K93" s="220" t="e">
        <f t="shared" si="52"/>
        <v>#DIV/0!</v>
      </c>
      <c r="L93" s="457"/>
      <c r="M93" s="221" t="e">
        <f>RANK(K93, K$87:$K$101)</f>
        <v>#DIV/0!</v>
      </c>
      <c r="N93" s="475"/>
      <c r="O93" s="475"/>
      <c r="P93" s="334"/>
      <c r="Q93" s="187"/>
      <c r="R93" s="336"/>
      <c r="S93" s="334" t="e">
        <f t="shared" si="53"/>
        <v>#N/A</v>
      </c>
      <c r="T93" s="506"/>
      <c r="U93" s="351"/>
      <c r="V93" s="187"/>
      <c r="W93" s="354"/>
      <c r="X93" s="334" t="e">
        <f t="shared" si="54"/>
        <v>#N/A</v>
      </c>
      <c r="Y93" s="506"/>
      <c r="Z93" s="351"/>
      <c r="AA93" s="187"/>
      <c r="AB93" s="354"/>
      <c r="AC93" s="334" t="e">
        <f t="shared" si="55"/>
        <v>#N/A</v>
      </c>
      <c r="AD93" s="506"/>
      <c r="AE93" s="351"/>
      <c r="AF93" s="187"/>
      <c r="AG93" s="354"/>
      <c r="AH93" s="334" t="e">
        <f t="shared" si="56"/>
        <v>#N/A</v>
      </c>
      <c r="AI93" s="506"/>
      <c r="AJ93" s="351"/>
      <c r="AK93" s="187"/>
      <c r="AL93" s="354"/>
      <c r="AM93" s="334" t="e">
        <f t="shared" si="57"/>
        <v>#N/A</v>
      </c>
      <c r="AN93" s="506"/>
      <c r="AO93" s="351"/>
      <c r="AP93" s="187"/>
      <c r="AQ93" s="354"/>
      <c r="AR93" s="334" t="e">
        <f t="shared" si="58"/>
        <v>#N/A</v>
      </c>
      <c r="AS93" s="506"/>
      <c r="AT93" s="334"/>
      <c r="AU93" s="187"/>
      <c r="AV93" s="336"/>
      <c r="AW93" s="334" t="e">
        <f t="shared" si="59"/>
        <v>#N/A</v>
      </c>
      <c r="AX93" s="506"/>
    </row>
    <row r="94" spans="2:50">
      <c r="B94" s="483"/>
      <c r="C94" s="334">
        <v>8</v>
      </c>
      <c r="D94" s="334"/>
      <c r="E94" s="334"/>
      <c r="F94" s="334"/>
      <c r="G94" s="334"/>
      <c r="H94" s="508"/>
      <c r="I94" s="219"/>
      <c r="J94" s="219"/>
      <c r="K94" s="220"/>
      <c r="L94" s="457"/>
      <c r="M94" s="221" t="e">
        <f>RANK(K94, K$87:$K$101)</f>
        <v>#DIV/0!</v>
      </c>
      <c r="N94" s="475"/>
      <c r="O94" s="475"/>
      <c r="P94" s="334"/>
      <c r="Q94" s="187"/>
      <c r="R94" s="336"/>
      <c r="S94" s="334" t="e">
        <f t="shared" si="53"/>
        <v>#N/A</v>
      </c>
      <c r="T94" s="506"/>
      <c r="U94" s="351"/>
      <c r="V94" s="187"/>
      <c r="W94" s="354"/>
      <c r="X94" s="334" t="e">
        <f t="shared" si="54"/>
        <v>#N/A</v>
      </c>
      <c r="Y94" s="506"/>
      <c r="Z94" s="351"/>
      <c r="AA94" s="187"/>
      <c r="AB94" s="354"/>
      <c r="AC94" s="334" t="e">
        <f t="shared" si="55"/>
        <v>#N/A</v>
      </c>
      <c r="AD94" s="506"/>
      <c r="AE94" s="351"/>
      <c r="AF94" s="187"/>
      <c r="AG94" s="354"/>
      <c r="AH94" s="334" t="e">
        <f t="shared" si="56"/>
        <v>#N/A</v>
      </c>
      <c r="AI94" s="506"/>
      <c r="AJ94" s="351"/>
      <c r="AK94" s="187"/>
      <c r="AL94" s="354"/>
      <c r="AM94" s="334" t="e">
        <f t="shared" si="57"/>
        <v>#N/A</v>
      </c>
      <c r="AN94" s="506"/>
      <c r="AO94" s="351"/>
      <c r="AP94" s="187"/>
      <c r="AQ94" s="354"/>
      <c r="AR94" s="334" t="e">
        <f t="shared" si="58"/>
        <v>#N/A</v>
      </c>
      <c r="AS94" s="506"/>
      <c r="AT94" s="334"/>
      <c r="AU94" s="187"/>
      <c r="AV94" s="336"/>
      <c r="AW94" s="334" t="e">
        <f t="shared" si="59"/>
        <v>#N/A</v>
      </c>
      <c r="AX94" s="506"/>
    </row>
    <row r="95" spans="2:50">
      <c r="B95" s="483"/>
      <c r="C95" s="334">
        <v>9</v>
      </c>
      <c r="D95" s="334"/>
      <c r="E95" s="334"/>
      <c r="F95" s="334"/>
      <c r="G95" s="334"/>
      <c r="H95" s="508"/>
      <c r="I95" s="219"/>
      <c r="J95" s="219"/>
      <c r="K95" s="220"/>
      <c r="L95" s="457"/>
      <c r="M95" s="221" t="e">
        <f>RANK(K95, K$87:$K$101)</f>
        <v>#DIV/0!</v>
      </c>
      <c r="N95" s="475"/>
      <c r="O95" s="475"/>
      <c r="P95" s="334"/>
      <c r="Q95" s="187"/>
      <c r="R95" s="336"/>
      <c r="S95" s="334" t="e">
        <f t="shared" si="53"/>
        <v>#N/A</v>
      </c>
      <c r="T95" s="506"/>
      <c r="U95" s="351"/>
      <c r="V95" s="187"/>
      <c r="W95" s="354"/>
      <c r="X95" s="334" t="e">
        <f t="shared" si="54"/>
        <v>#N/A</v>
      </c>
      <c r="Y95" s="506"/>
      <c r="Z95" s="351"/>
      <c r="AA95" s="187"/>
      <c r="AB95" s="354"/>
      <c r="AC95" s="334" t="e">
        <f t="shared" si="55"/>
        <v>#N/A</v>
      </c>
      <c r="AD95" s="506"/>
      <c r="AE95" s="351"/>
      <c r="AF95" s="187"/>
      <c r="AG95" s="354"/>
      <c r="AH95" s="334" t="e">
        <f t="shared" si="56"/>
        <v>#N/A</v>
      </c>
      <c r="AI95" s="506"/>
      <c r="AJ95" s="351"/>
      <c r="AK95" s="187"/>
      <c r="AL95" s="354"/>
      <c r="AM95" s="334" t="e">
        <f t="shared" si="57"/>
        <v>#N/A</v>
      </c>
      <c r="AN95" s="506"/>
      <c r="AO95" s="351"/>
      <c r="AP95" s="187"/>
      <c r="AQ95" s="354"/>
      <c r="AR95" s="334" t="e">
        <f t="shared" si="58"/>
        <v>#N/A</v>
      </c>
      <c r="AS95" s="506"/>
      <c r="AT95" s="334"/>
      <c r="AU95" s="187"/>
      <c r="AV95" s="336"/>
      <c r="AW95" s="334" t="e">
        <f t="shared" si="59"/>
        <v>#N/A</v>
      </c>
      <c r="AX95" s="506"/>
    </row>
    <row r="96" spans="2:50">
      <c r="B96" s="483"/>
      <c r="C96" s="334">
        <v>10</v>
      </c>
      <c r="D96" s="334"/>
      <c r="E96" s="334"/>
      <c r="F96" s="334"/>
      <c r="G96" s="334"/>
      <c r="H96" s="508"/>
      <c r="I96" s="219"/>
      <c r="J96" s="219"/>
      <c r="K96" s="220"/>
      <c r="L96" s="457"/>
      <c r="M96" s="221" t="e">
        <f>RANK(K96, K$87:$K$101)</f>
        <v>#DIV/0!</v>
      </c>
      <c r="N96" s="475"/>
      <c r="O96" s="475"/>
      <c r="P96" s="334"/>
      <c r="Q96" s="187"/>
      <c r="R96" s="336"/>
      <c r="S96" s="334" t="e">
        <f t="shared" si="53"/>
        <v>#N/A</v>
      </c>
      <c r="T96" s="506"/>
      <c r="U96" s="351"/>
      <c r="V96" s="187"/>
      <c r="W96" s="354"/>
      <c r="X96" s="334" t="e">
        <f t="shared" si="54"/>
        <v>#N/A</v>
      </c>
      <c r="Y96" s="506"/>
      <c r="Z96" s="351"/>
      <c r="AA96" s="187"/>
      <c r="AB96" s="354"/>
      <c r="AC96" s="334" t="e">
        <f t="shared" si="55"/>
        <v>#N/A</v>
      </c>
      <c r="AD96" s="506"/>
      <c r="AE96" s="351"/>
      <c r="AF96" s="187"/>
      <c r="AG96" s="354"/>
      <c r="AH96" s="334" t="e">
        <f t="shared" si="56"/>
        <v>#N/A</v>
      </c>
      <c r="AI96" s="506"/>
      <c r="AJ96" s="351"/>
      <c r="AK96" s="187"/>
      <c r="AL96" s="354"/>
      <c r="AM96" s="334" t="e">
        <f t="shared" si="57"/>
        <v>#N/A</v>
      </c>
      <c r="AN96" s="506"/>
      <c r="AO96" s="351"/>
      <c r="AP96" s="187"/>
      <c r="AQ96" s="354"/>
      <c r="AR96" s="334" t="e">
        <f t="shared" si="58"/>
        <v>#N/A</v>
      </c>
      <c r="AS96" s="506"/>
      <c r="AT96" s="334"/>
      <c r="AU96" s="187"/>
      <c r="AV96" s="336"/>
      <c r="AW96" s="334" t="e">
        <f t="shared" si="59"/>
        <v>#N/A</v>
      </c>
      <c r="AX96" s="506"/>
    </row>
    <row r="97" spans="2:50">
      <c r="B97" s="483"/>
      <c r="C97" s="334">
        <v>11</v>
      </c>
      <c r="D97" s="334"/>
      <c r="E97" s="334"/>
      <c r="F97" s="334"/>
      <c r="G97" s="334"/>
      <c r="H97" s="508"/>
      <c r="I97" s="222"/>
      <c r="J97" s="222"/>
      <c r="K97" s="222"/>
      <c r="L97" s="457"/>
      <c r="M97" s="221" t="e">
        <f>RANK(K97, K$87:$K$101)</f>
        <v>#DIV/0!</v>
      </c>
      <c r="N97" s="475"/>
      <c r="O97" s="475"/>
      <c r="P97" s="334"/>
      <c r="Q97" s="334"/>
      <c r="R97" s="334"/>
      <c r="S97" s="334" t="e">
        <f t="shared" si="53"/>
        <v>#N/A</v>
      </c>
      <c r="T97" s="506"/>
      <c r="U97" s="351"/>
      <c r="V97" s="351"/>
      <c r="W97" s="351"/>
      <c r="X97" s="334" t="e">
        <f t="shared" si="54"/>
        <v>#N/A</v>
      </c>
      <c r="Y97" s="506"/>
      <c r="Z97" s="351"/>
      <c r="AA97" s="351"/>
      <c r="AB97" s="351"/>
      <c r="AC97" s="334" t="e">
        <f t="shared" si="55"/>
        <v>#N/A</v>
      </c>
      <c r="AD97" s="506"/>
      <c r="AE97" s="351"/>
      <c r="AF97" s="351"/>
      <c r="AG97" s="351"/>
      <c r="AH97" s="334" t="e">
        <f t="shared" si="56"/>
        <v>#N/A</v>
      </c>
      <c r="AI97" s="506"/>
      <c r="AJ97" s="351"/>
      <c r="AK97" s="351"/>
      <c r="AL97" s="351"/>
      <c r="AM97" s="334" t="e">
        <f t="shared" si="57"/>
        <v>#N/A</v>
      </c>
      <c r="AN97" s="506"/>
      <c r="AO97" s="351"/>
      <c r="AP97" s="351"/>
      <c r="AQ97" s="351"/>
      <c r="AR97" s="334" t="e">
        <f t="shared" si="58"/>
        <v>#N/A</v>
      </c>
      <c r="AS97" s="506"/>
      <c r="AT97" s="334"/>
      <c r="AU97" s="334"/>
      <c r="AV97" s="334"/>
      <c r="AW97" s="334" t="e">
        <f t="shared" si="59"/>
        <v>#N/A</v>
      </c>
      <c r="AX97" s="506"/>
    </row>
    <row r="98" spans="2:50">
      <c r="B98" s="483"/>
      <c r="C98" s="334">
        <v>12</v>
      </c>
      <c r="D98" s="334"/>
      <c r="E98" s="334"/>
      <c r="F98" s="334"/>
      <c r="G98" s="334"/>
      <c r="H98" s="508"/>
      <c r="I98" s="222"/>
      <c r="J98" s="222"/>
      <c r="K98" s="222"/>
      <c r="L98" s="457"/>
      <c r="M98" s="221" t="e">
        <f>RANK(K98, K$87:$K$101)</f>
        <v>#DIV/0!</v>
      </c>
      <c r="N98" s="475"/>
      <c r="O98" s="475"/>
      <c r="P98" s="334"/>
      <c r="Q98" s="334"/>
      <c r="R98" s="334"/>
      <c r="S98" s="334" t="e">
        <f t="shared" si="53"/>
        <v>#N/A</v>
      </c>
      <c r="T98" s="506"/>
      <c r="U98" s="351"/>
      <c r="V98" s="351"/>
      <c r="W98" s="351"/>
      <c r="X98" s="334" t="e">
        <f t="shared" si="54"/>
        <v>#N/A</v>
      </c>
      <c r="Y98" s="506"/>
      <c r="Z98" s="351"/>
      <c r="AA98" s="351"/>
      <c r="AB98" s="351"/>
      <c r="AC98" s="334" t="e">
        <f t="shared" si="55"/>
        <v>#N/A</v>
      </c>
      <c r="AD98" s="506"/>
      <c r="AE98" s="351"/>
      <c r="AF98" s="351"/>
      <c r="AG98" s="351"/>
      <c r="AH98" s="334" t="e">
        <f t="shared" si="56"/>
        <v>#N/A</v>
      </c>
      <c r="AI98" s="506"/>
      <c r="AJ98" s="351"/>
      <c r="AK98" s="351"/>
      <c r="AL98" s="351"/>
      <c r="AM98" s="334" t="e">
        <f t="shared" si="57"/>
        <v>#N/A</v>
      </c>
      <c r="AN98" s="506"/>
      <c r="AO98" s="351"/>
      <c r="AP98" s="351"/>
      <c r="AQ98" s="351"/>
      <c r="AR98" s="334" t="e">
        <f t="shared" si="58"/>
        <v>#N/A</v>
      </c>
      <c r="AS98" s="506"/>
      <c r="AT98" s="334"/>
      <c r="AU98" s="334"/>
      <c r="AV98" s="334"/>
      <c r="AW98" s="334" t="e">
        <f t="shared" si="59"/>
        <v>#N/A</v>
      </c>
      <c r="AX98" s="506"/>
    </row>
    <row r="99" spans="2:50">
      <c r="B99" s="483"/>
      <c r="C99" s="334">
        <v>13</v>
      </c>
      <c r="D99" s="334"/>
      <c r="E99" s="334"/>
      <c r="F99" s="334"/>
      <c r="G99" s="334"/>
      <c r="H99" s="508"/>
      <c r="I99" s="222"/>
      <c r="J99" s="222"/>
      <c r="K99" s="222"/>
      <c r="L99" s="457"/>
      <c r="M99" s="221" t="e">
        <f>RANK(K99, K$87:$K$101)</f>
        <v>#DIV/0!</v>
      </c>
      <c r="N99" s="475"/>
      <c r="O99" s="475"/>
      <c r="P99" s="334"/>
      <c r="Q99" s="334"/>
      <c r="R99" s="334"/>
      <c r="S99" s="334" t="e">
        <f t="shared" si="53"/>
        <v>#N/A</v>
      </c>
      <c r="T99" s="506"/>
      <c r="U99" s="351"/>
      <c r="V99" s="351"/>
      <c r="W99" s="351"/>
      <c r="X99" s="334" t="e">
        <f t="shared" si="54"/>
        <v>#N/A</v>
      </c>
      <c r="Y99" s="506"/>
      <c r="Z99" s="351"/>
      <c r="AA99" s="351"/>
      <c r="AB99" s="351"/>
      <c r="AC99" s="334" t="e">
        <f t="shared" si="55"/>
        <v>#N/A</v>
      </c>
      <c r="AD99" s="506"/>
      <c r="AE99" s="351"/>
      <c r="AF99" s="351"/>
      <c r="AG99" s="351"/>
      <c r="AH99" s="334" t="e">
        <f t="shared" si="56"/>
        <v>#N/A</v>
      </c>
      <c r="AI99" s="506"/>
      <c r="AJ99" s="351"/>
      <c r="AK99" s="351"/>
      <c r="AL99" s="351"/>
      <c r="AM99" s="334" t="e">
        <f t="shared" si="57"/>
        <v>#N/A</v>
      </c>
      <c r="AN99" s="506"/>
      <c r="AO99" s="351"/>
      <c r="AP99" s="351"/>
      <c r="AQ99" s="351"/>
      <c r="AR99" s="334" t="e">
        <f t="shared" si="58"/>
        <v>#N/A</v>
      </c>
      <c r="AS99" s="506"/>
      <c r="AT99" s="334"/>
      <c r="AU99" s="334"/>
      <c r="AV99" s="334"/>
      <c r="AW99" s="334" t="e">
        <f t="shared" si="59"/>
        <v>#N/A</v>
      </c>
      <c r="AX99" s="506"/>
    </row>
    <row r="100" spans="2:50">
      <c r="B100" s="483"/>
      <c r="C100" s="334">
        <v>14</v>
      </c>
      <c r="D100" s="334"/>
      <c r="E100" s="334"/>
      <c r="F100" s="334"/>
      <c r="G100" s="334"/>
      <c r="H100" s="508"/>
      <c r="I100" s="222"/>
      <c r="J100" s="222"/>
      <c r="K100" s="222"/>
      <c r="L100" s="457"/>
      <c r="M100" s="221" t="e">
        <f>RANK(K100, K$87:$K$101)</f>
        <v>#DIV/0!</v>
      </c>
      <c r="N100" s="475"/>
      <c r="O100" s="475"/>
      <c r="P100" s="334"/>
      <c r="Q100" s="334"/>
      <c r="R100" s="334"/>
      <c r="S100" s="334" t="e">
        <f t="shared" si="53"/>
        <v>#N/A</v>
      </c>
      <c r="T100" s="506"/>
      <c r="U100" s="351"/>
      <c r="V100" s="351"/>
      <c r="W100" s="351"/>
      <c r="X100" s="334" t="e">
        <f t="shared" si="54"/>
        <v>#N/A</v>
      </c>
      <c r="Y100" s="506"/>
      <c r="Z100" s="351"/>
      <c r="AA100" s="351"/>
      <c r="AB100" s="351"/>
      <c r="AC100" s="334" t="e">
        <f t="shared" si="55"/>
        <v>#N/A</v>
      </c>
      <c r="AD100" s="506"/>
      <c r="AE100" s="351"/>
      <c r="AF100" s="351"/>
      <c r="AG100" s="351"/>
      <c r="AH100" s="334" t="e">
        <f t="shared" si="56"/>
        <v>#N/A</v>
      </c>
      <c r="AI100" s="506"/>
      <c r="AJ100" s="351"/>
      <c r="AK100" s="351"/>
      <c r="AL100" s="351"/>
      <c r="AM100" s="334" t="e">
        <f t="shared" si="57"/>
        <v>#N/A</v>
      </c>
      <c r="AN100" s="506"/>
      <c r="AO100" s="351"/>
      <c r="AP100" s="351"/>
      <c r="AQ100" s="351"/>
      <c r="AR100" s="334" t="e">
        <f t="shared" si="58"/>
        <v>#N/A</v>
      </c>
      <c r="AS100" s="506"/>
      <c r="AT100" s="334"/>
      <c r="AU100" s="334"/>
      <c r="AV100" s="334"/>
      <c r="AW100" s="334" t="e">
        <f t="shared" si="59"/>
        <v>#N/A</v>
      </c>
      <c r="AX100" s="506"/>
    </row>
    <row r="101" spans="2:50">
      <c r="B101" s="483"/>
      <c r="C101" s="334">
        <v>15</v>
      </c>
      <c r="D101" s="334"/>
      <c r="E101" s="334"/>
      <c r="F101" s="334"/>
      <c r="G101" s="334"/>
      <c r="H101" s="509"/>
      <c r="I101" s="222"/>
      <c r="J101" s="222"/>
      <c r="K101" s="222"/>
      <c r="L101" s="458"/>
      <c r="M101" s="219" t="e">
        <f>RANK(K101, K$87:$K$101)</f>
        <v>#DIV/0!</v>
      </c>
      <c r="N101" s="475"/>
      <c r="O101" s="475"/>
      <c r="P101" s="334"/>
      <c r="Q101" s="334"/>
      <c r="R101" s="334"/>
      <c r="S101" s="334" t="e">
        <f t="shared" si="53"/>
        <v>#N/A</v>
      </c>
      <c r="T101" s="506"/>
      <c r="U101" s="351"/>
      <c r="V101" s="351"/>
      <c r="W101" s="351"/>
      <c r="X101" s="334" t="e">
        <f t="shared" si="54"/>
        <v>#N/A</v>
      </c>
      <c r="Y101" s="506"/>
      <c r="Z101" s="351"/>
      <c r="AA101" s="351"/>
      <c r="AB101" s="351"/>
      <c r="AC101" s="334" t="e">
        <f t="shared" si="55"/>
        <v>#N/A</v>
      </c>
      <c r="AD101" s="506"/>
      <c r="AE101" s="351"/>
      <c r="AF101" s="351"/>
      <c r="AG101" s="351"/>
      <c r="AH101" s="334" t="e">
        <f t="shared" si="56"/>
        <v>#N/A</v>
      </c>
      <c r="AI101" s="506"/>
      <c r="AJ101" s="351"/>
      <c r="AK101" s="351"/>
      <c r="AL101" s="351"/>
      <c r="AM101" s="334" t="e">
        <f t="shared" si="57"/>
        <v>#N/A</v>
      </c>
      <c r="AN101" s="506"/>
      <c r="AO101" s="351"/>
      <c r="AP101" s="351"/>
      <c r="AQ101" s="351"/>
      <c r="AR101" s="334" t="e">
        <f t="shared" si="58"/>
        <v>#N/A</v>
      </c>
      <c r="AS101" s="506"/>
      <c r="AT101" s="334"/>
      <c r="AU101" s="334"/>
      <c r="AV101" s="334"/>
      <c r="AW101" s="334" t="e">
        <f t="shared" si="59"/>
        <v>#N/A</v>
      </c>
      <c r="AX101" s="506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="50" zoomScaleNormal="50" workbookViewId="0">
      <pane xSplit="15" topLeftCell="P1" activePane="topRight" state="frozen"/>
      <selection sqref="A1:L2"/>
      <selection pane="topRight" sqref="A1:L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7" t="s">
        <v>381</v>
      </c>
      <c r="C1" s="107">
        <f>AVERAGE(L7,L27,L47,L67,L87)</f>
        <v>254.18662941081439</v>
      </c>
    </row>
    <row r="2" spans="1:50" ht="15.75">
      <c r="A2" s="81"/>
      <c r="B2" s="487" t="s">
        <v>172</v>
      </c>
      <c r="C2" s="487"/>
      <c r="D2" s="487"/>
      <c r="E2" s="487"/>
      <c r="F2" s="487"/>
      <c r="G2" s="487"/>
      <c r="H2" s="487"/>
      <c r="I2" s="352"/>
      <c r="J2" s="352"/>
      <c r="K2" s="352"/>
      <c r="L2" s="352"/>
      <c r="M2" s="217"/>
      <c r="N2" s="476" t="s">
        <v>164</v>
      </c>
      <c r="O2" s="476" t="s">
        <v>163</v>
      </c>
      <c r="P2" s="479">
        <v>45895</v>
      </c>
      <c r="Q2" s="480"/>
      <c r="R2" s="480"/>
      <c r="S2" s="480"/>
      <c r="T2" s="481"/>
      <c r="U2" s="482">
        <f>P2+1</f>
        <v>45896</v>
      </c>
      <c r="V2" s="483"/>
      <c r="W2" s="483"/>
      <c r="X2" s="483"/>
      <c r="Y2" s="483"/>
      <c r="Z2" s="482">
        <f>U2+1</f>
        <v>45897</v>
      </c>
      <c r="AA2" s="483"/>
      <c r="AB2" s="483"/>
      <c r="AC2" s="483"/>
      <c r="AD2" s="483"/>
      <c r="AE2" s="482">
        <f>Z2+1</f>
        <v>45898</v>
      </c>
      <c r="AF2" s="483"/>
      <c r="AG2" s="483"/>
      <c r="AH2" s="483"/>
      <c r="AI2" s="483"/>
      <c r="AJ2" s="482">
        <f>AE2+1</f>
        <v>45899</v>
      </c>
      <c r="AK2" s="483"/>
      <c r="AL2" s="483"/>
      <c r="AM2" s="483"/>
      <c r="AN2" s="483"/>
      <c r="AO2" s="482">
        <f>AJ2+1</f>
        <v>45900</v>
      </c>
      <c r="AP2" s="483"/>
      <c r="AQ2" s="483"/>
      <c r="AR2" s="483"/>
      <c r="AS2" s="483"/>
      <c r="AT2" s="482">
        <f>AO2+1</f>
        <v>45901</v>
      </c>
      <c r="AU2" s="483"/>
      <c r="AV2" s="483"/>
      <c r="AW2" s="483"/>
      <c r="AX2" s="483"/>
    </row>
    <row r="3" spans="1:50" ht="15.75">
      <c r="A3" s="81"/>
      <c r="B3" s="504"/>
      <c r="C3" s="504"/>
      <c r="D3" s="504"/>
      <c r="E3" s="504"/>
      <c r="F3" s="504"/>
      <c r="G3" s="504"/>
      <c r="H3" s="504"/>
      <c r="I3" s="353"/>
      <c r="J3" s="353"/>
      <c r="K3" s="353"/>
      <c r="L3" s="353"/>
      <c r="M3" s="218"/>
      <c r="N3" s="478"/>
      <c r="O3" s="478"/>
      <c r="P3" s="479" t="s">
        <v>166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168</v>
      </c>
      <c r="AA3" s="480"/>
      <c r="AB3" s="480"/>
      <c r="AC3" s="480"/>
      <c r="AD3" s="481"/>
      <c r="AE3" s="479" t="s">
        <v>165</v>
      </c>
      <c r="AF3" s="480"/>
      <c r="AG3" s="480"/>
      <c r="AH3" s="480"/>
      <c r="AI3" s="481"/>
      <c r="AJ3" s="479" t="s">
        <v>169</v>
      </c>
      <c r="AK3" s="480"/>
      <c r="AL3" s="480"/>
      <c r="AM3" s="480"/>
      <c r="AN3" s="481"/>
      <c r="AO3" s="479" t="s">
        <v>170</v>
      </c>
      <c r="AP3" s="480"/>
      <c r="AQ3" s="480"/>
      <c r="AR3" s="480"/>
      <c r="AS3" s="481"/>
      <c r="AT3" s="479" t="s">
        <v>171</v>
      </c>
      <c r="AU3" s="480"/>
      <c r="AV3" s="480"/>
      <c r="AW3" s="480"/>
      <c r="AX3" s="481"/>
    </row>
    <row r="4" spans="1:50">
      <c r="A4" s="81"/>
      <c r="B4" s="475" t="s">
        <v>766</v>
      </c>
      <c r="C4" s="475" t="s">
        <v>767</v>
      </c>
      <c r="D4" s="475"/>
      <c r="E4" s="475" t="s">
        <v>768</v>
      </c>
      <c r="F4" s="475"/>
      <c r="G4" s="475"/>
      <c r="H4" s="491" t="s">
        <v>769</v>
      </c>
      <c r="I4" s="459" t="s">
        <v>770</v>
      </c>
      <c r="J4" s="459"/>
      <c r="K4" s="459"/>
      <c r="L4" s="460" t="s">
        <v>769</v>
      </c>
      <c r="M4" s="466" t="s">
        <v>771</v>
      </c>
      <c r="N4" s="475"/>
      <c r="O4" s="475" t="s">
        <v>772</v>
      </c>
      <c r="P4" s="472" t="s">
        <v>773</v>
      </c>
      <c r="Q4" s="473"/>
      <c r="R4" s="473"/>
      <c r="S4" s="474"/>
      <c r="T4" s="475" t="s">
        <v>769</v>
      </c>
      <c r="U4" s="472" t="s">
        <v>773</v>
      </c>
      <c r="V4" s="473"/>
      <c r="W4" s="473"/>
      <c r="X4" s="474"/>
      <c r="Y4" s="475" t="s">
        <v>769</v>
      </c>
      <c r="Z4" s="472" t="s">
        <v>773</v>
      </c>
      <c r="AA4" s="473"/>
      <c r="AB4" s="473"/>
      <c r="AC4" s="474"/>
      <c r="AD4" s="475" t="s">
        <v>769</v>
      </c>
      <c r="AE4" s="472" t="s">
        <v>773</v>
      </c>
      <c r="AF4" s="473"/>
      <c r="AG4" s="473"/>
      <c r="AH4" s="474"/>
      <c r="AI4" s="475" t="s">
        <v>769</v>
      </c>
      <c r="AJ4" s="472" t="s">
        <v>773</v>
      </c>
      <c r="AK4" s="473"/>
      <c r="AL4" s="473"/>
      <c r="AM4" s="474"/>
      <c r="AN4" s="475" t="s">
        <v>769</v>
      </c>
      <c r="AO4" s="472" t="s">
        <v>773</v>
      </c>
      <c r="AP4" s="473"/>
      <c r="AQ4" s="473"/>
      <c r="AR4" s="474"/>
      <c r="AS4" s="475" t="s">
        <v>769</v>
      </c>
      <c r="AT4" s="472" t="s">
        <v>773</v>
      </c>
      <c r="AU4" s="473"/>
      <c r="AV4" s="473"/>
      <c r="AW4" s="474"/>
      <c r="AX4" s="475" t="s">
        <v>769</v>
      </c>
    </row>
    <row r="5" spans="1:50">
      <c r="A5" s="81"/>
      <c r="B5" s="475"/>
      <c r="C5" s="475"/>
      <c r="D5" s="475"/>
      <c r="E5" s="475" t="s">
        <v>774</v>
      </c>
      <c r="F5" s="475"/>
      <c r="G5" s="475"/>
      <c r="H5" s="492"/>
      <c r="I5" s="459" t="s">
        <v>774</v>
      </c>
      <c r="J5" s="459"/>
      <c r="K5" s="459"/>
      <c r="L5" s="461"/>
      <c r="M5" s="467"/>
      <c r="N5" s="475"/>
      <c r="O5" s="475"/>
      <c r="P5" s="472" t="s">
        <v>775</v>
      </c>
      <c r="Q5" s="473"/>
      <c r="R5" s="473"/>
      <c r="S5" s="474"/>
      <c r="T5" s="475"/>
      <c r="U5" s="472" t="s">
        <v>775</v>
      </c>
      <c r="V5" s="473"/>
      <c r="W5" s="473"/>
      <c r="X5" s="474"/>
      <c r="Y5" s="475"/>
      <c r="Z5" s="472" t="s">
        <v>775</v>
      </c>
      <c r="AA5" s="473"/>
      <c r="AB5" s="473"/>
      <c r="AC5" s="474"/>
      <c r="AD5" s="475"/>
      <c r="AE5" s="472" t="s">
        <v>775</v>
      </c>
      <c r="AF5" s="473"/>
      <c r="AG5" s="473"/>
      <c r="AH5" s="474"/>
      <c r="AI5" s="475"/>
      <c r="AJ5" s="472" t="s">
        <v>775</v>
      </c>
      <c r="AK5" s="473"/>
      <c r="AL5" s="473"/>
      <c r="AM5" s="474"/>
      <c r="AN5" s="475"/>
      <c r="AO5" s="472" t="s">
        <v>775</v>
      </c>
      <c r="AP5" s="473"/>
      <c r="AQ5" s="473"/>
      <c r="AR5" s="474"/>
      <c r="AS5" s="475"/>
      <c r="AT5" s="472" t="s">
        <v>775</v>
      </c>
      <c r="AU5" s="473"/>
      <c r="AV5" s="473"/>
      <c r="AW5" s="474"/>
      <c r="AX5" s="475"/>
    </row>
    <row r="6" spans="1:50">
      <c r="A6" s="79"/>
      <c r="B6" s="475"/>
      <c r="C6" s="475"/>
      <c r="D6" s="475"/>
      <c r="E6" s="369" t="s">
        <v>776</v>
      </c>
      <c r="F6" s="369" t="s">
        <v>777</v>
      </c>
      <c r="G6" s="369" t="s">
        <v>778</v>
      </c>
      <c r="H6" s="493"/>
      <c r="I6" s="370" t="s">
        <v>776</v>
      </c>
      <c r="J6" s="370" t="s">
        <v>777</v>
      </c>
      <c r="K6" s="370" t="s">
        <v>778</v>
      </c>
      <c r="L6" s="462"/>
      <c r="M6" s="468"/>
      <c r="N6" s="475"/>
      <c r="O6" s="475"/>
      <c r="P6" s="369" t="s">
        <v>776</v>
      </c>
      <c r="Q6" s="369" t="s">
        <v>777</v>
      </c>
      <c r="R6" s="369" t="s">
        <v>778</v>
      </c>
      <c r="S6" s="369" t="s">
        <v>771</v>
      </c>
      <c r="T6" s="475"/>
      <c r="U6" s="369" t="s">
        <v>776</v>
      </c>
      <c r="V6" s="369" t="s">
        <v>777</v>
      </c>
      <c r="W6" s="369" t="s">
        <v>778</v>
      </c>
      <c r="X6" s="369" t="s">
        <v>771</v>
      </c>
      <c r="Y6" s="475"/>
      <c r="Z6" s="369" t="s">
        <v>776</v>
      </c>
      <c r="AA6" s="369" t="s">
        <v>777</v>
      </c>
      <c r="AB6" s="369" t="s">
        <v>778</v>
      </c>
      <c r="AC6" s="369" t="s">
        <v>771</v>
      </c>
      <c r="AD6" s="475"/>
      <c r="AE6" s="369" t="s">
        <v>776</v>
      </c>
      <c r="AF6" s="369" t="s">
        <v>777</v>
      </c>
      <c r="AG6" s="369" t="s">
        <v>778</v>
      </c>
      <c r="AH6" s="369" t="s">
        <v>771</v>
      </c>
      <c r="AI6" s="475"/>
      <c r="AJ6" s="369" t="s">
        <v>776</v>
      </c>
      <c r="AK6" s="369" t="s">
        <v>777</v>
      </c>
      <c r="AL6" s="369" t="s">
        <v>778</v>
      </c>
      <c r="AM6" s="369" t="s">
        <v>771</v>
      </c>
      <c r="AN6" s="475"/>
      <c r="AO6" s="369" t="s">
        <v>776</v>
      </c>
      <c r="AP6" s="369" t="s">
        <v>777</v>
      </c>
      <c r="AQ6" s="369" t="s">
        <v>778</v>
      </c>
      <c r="AR6" s="369" t="s">
        <v>771</v>
      </c>
      <c r="AS6" s="475"/>
      <c r="AT6" s="369" t="s">
        <v>776</v>
      </c>
      <c r="AU6" s="369" t="s">
        <v>777</v>
      </c>
      <c r="AV6" s="369" t="s">
        <v>778</v>
      </c>
      <c r="AW6" s="369" t="s">
        <v>771</v>
      </c>
      <c r="AX6" s="475"/>
    </row>
    <row r="7" spans="1:50">
      <c r="A7" s="81"/>
      <c r="B7" s="505" t="s">
        <v>780</v>
      </c>
      <c r="C7" s="368">
        <v>1</v>
      </c>
      <c r="D7" s="257" t="s">
        <v>438</v>
      </c>
      <c r="E7" s="187">
        <v>4</v>
      </c>
      <c r="F7" s="368">
        <v>2000</v>
      </c>
      <c r="G7" s="371">
        <v>500</v>
      </c>
      <c r="H7" s="507">
        <f>AVERAGE(G7:G21)</f>
        <v>283.6489898989899</v>
      </c>
      <c r="I7" s="219">
        <f>AVERAGE(P7,U7,Z7,AE7,AJ7,AO7,AT7)</f>
        <v>4.1428571428571432</v>
      </c>
      <c r="J7" s="219">
        <f>AVERAGE(Q7,V7,AA7,AF7,AK7,AP7,AU7)</f>
        <v>1862.1344537815105</v>
      </c>
      <c r="K7" s="220">
        <f>AVERAGE(R7,W7,AB7,AG7,AL7,AQ7,AV7)</f>
        <v>452.55742296918709</v>
      </c>
      <c r="L7" s="456">
        <f>IFERROR(AVERAGE(K7:K21),"-")</f>
        <v>249.26805571889889</v>
      </c>
      <c r="M7" s="221">
        <f>RANK(K7, K$7:$K$21)</f>
        <v>1</v>
      </c>
      <c r="N7" s="475"/>
      <c r="O7" s="475"/>
      <c r="P7" s="187">
        <v>5</v>
      </c>
      <c r="Q7" s="187">
        <v>1816.6666666666652</v>
      </c>
      <c r="R7" s="187">
        <v>363.33333333333303</v>
      </c>
      <c r="S7" s="368">
        <f t="shared" ref="S7:S21" si="0">RANK(R7, R$7:R$21)</f>
        <v>3</v>
      </c>
      <c r="T7" s="506">
        <f>AVERAGE(R7:R21)</f>
        <v>233.52913586922696</v>
      </c>
      <c r="U7" s="187">
        <v>4</v>
      </c>
      <c r="V7" s="187">
        <v>1842.3529411764682</v>
      </c>
      <c r="W7" s="187">
        <v>460.58823529411706</v>
      </c>
      <c r="X7" s="368">
        <f t="shared" ref="X7:X21" si="1">RANK(W7, W$7:W$21)</f>
        <v>1</v>
      </c>
      <c r="Y7" s="506">
        <f>AVERAGE(W7:W21)</f>
        <v>252.08228396776136</v>
      </c>
      <c r="Z7" s="187">
        <v>4</v>
      </c>
      <c r="AA7" s="187">
        <v>1817.6470588235272</v>
      </c>
      <c r="AB7" s="187">
        <v>454.41176470588181</v>
      </c>
      <c r="AC7" s="368">
        <f t="shared" ref="AC7:AC21" si="2">RANK(AB7, AB$7:AB$21)</f>
        <v>2</v>
      </c>
      <c r="AD7" s="506">
        <f>AVERAGE(AB7:AB21)</f>
        <v>251.73073223730324</v>
      </c>
      <c r="AE7" s="187">
        <v>4</v>
      </c>
      <c r="AF7" s="187">
        <v>1891.9999999999966</v>
      </c>
      <c r="AG7" s="187">
        <v>472.99999999999915</v>
      </c>
      <c r="AH7" s="368">
        <f t="shared" ref="AH7:AH21" si="3">RANK(AG7, AG$7:AG$21)</f>
        <v>1</v>
      </c>
      <c r="AI7" s="506">
        <f>AVERAGE(AG7:AG21)</f>
        <v>251.37675520518738</v>
      </c>
      <c r="AJ7" s="187">
        <v>4</v>
      </c>
      <c r="AK7" s="187">
        <v>1833.3333333333319</v>
      </c>
      <c r="AL7" s="187">
        <v>458.33333333333297</v>
      </c>
      <c r="AM7" s="368">
        <f t="shared" ref="AM7:AM21" si="4">RANK(AL7, AL$7:AL$21)</f>
        <v>1</v>
      </c>
      <c r="AN7" s="506">
        <f>AVERAGE(AL7:AL21)</f>
        <v>250.08599002058764</v>
      </c>
      <c r="AO7" s="187">
        <v>4</v>
      </c>
      <c r="AP7" s="187">
        <v>1948.2352941176448</v>
      </c>
      <c r="AQ7" s="187">
        <v>487.0588235294112</v>
      </c>
      <c r="AR7" s="368">
        <f t="shared" ref="AR7:AR21" si="5">RANK(AQ7, AQ$7:AQ$21)</f>
        <v>1</v>
      </c>
      <c r="AS7" s="506">
        <f>AVERAGE(AQ7:AQ21)</f>
        <v>255.87062122798656</v>
      </c>
      <c r="AT7" s="187">
        <v>4</v>
      </c>
      <c r="AU7" s="187">
        <v>1884.7058823529387</v>
      </c>
      <c r="AV7" s="187">
        <v>471.17647058823468</v>
      </c>
      <c r="AW7" s="368">
        <f t="shared" ref="AW7:AW21" si="6">RANK(AV7, AV$7:AV$21)</f>
        <v>1</v>
      </c>
      <c r="AX7" s="506">
        <f>AVERAGE(AV7:AV21)</f>
        <v>250.20087150423888</v>
      </c>
    </row>
    <row r="8" spans="1:50" ht="15" customHeight="1">
      <c r="A8" s="81"/>
      <c r="B8" s="483"/>
      <c r="C8" s="368">
        <v>2</v>
      </c>
      <c r="D8" s="257" t="s">
        <v>506</v>
      </c>
      <c r="E8" s="187">
        <v>4</v>
      </c>
      <c r="F8" s="368">
        <v>2000</v>
      </c>
      <c r="G8" s="371">
        <v>500</v>
      </c>
      <c r="H8" s="508"/>
      <c r="I8" s="219">
        <f t="shared" ref="I8:K16" si="7">AVERAGE(P8,U8,Z8,AE8,AJ8,AO8,AT8)</f>
        <v>4.1428571428571432</v>
      </c>
      <c r="J8" s="219">
        <f t="shared" si="7"/>
        <v>1852.8897611676225</v>
      </c>
      <c r="K8" s="220">
        <f t="shared" si="7"/>
        <v>450.07065457761991</v>
      </c>
      <c r="L8" s="457"/>
      <c r="M8" s="221">
        <f>RANK(K8, K$7:$K$21)</f>
        <v>2</v>
      </c>
      <c r="N8" s="475"/>
      <c r="O8" s="475"/>
      <c r="P8" s="187">
        <v>5</v>
      </c>
      <c r="Q8" s="187">
        <v>1841.2499999999975</v>
      </c>
      <c r="R8" s="187">
        <v>368.24999999999949</v>
      </c>
      <c r="S8" s="368">
        <f t="shared" si="0"/>
        <v>2</v>
      </c>
      <c r="T8" s="506"/>
      <c r="U8" s="187">
        <v>4</v>
      </c>
      <c r="V8" s="187">
        <v>1818.7499999999977</v>
      </c>
      <c r="W8" s="187">
        <v>454.68749999999943</v>
      </c>
      <c r="X8" s="368">
        <f t="shared" si="1"/>
        <v>3</v>
      </c>
      <c r="Y8" s="506"/>
      <c r="Z8" s="187">
        <v>4</v>
      </c>
      <c r="AA8" s="187">
        <v>1897.4999999999975</v>
      </c>
      <c r="AB8" s="187">
        <v>474.37499999999937</v>
      </c>
      <c r="AC8" s="368">
        <f t="shared" si="2"/>
        <v>1</v>
      </c>
      <c r="AD8" s="506"/>
      <c r="AE8" s="187">
        <v>4</v>
      </c>
      <c r="AF8" s="187">
        <v>1844.9999999999975</v>
      </c>
      <c r="AG8" s="187">
        <v>461.24999999999937</v>
      </c>
      <c r="AH8" s="368">
        <f t="shared" si="3"/>
        <v>2</v>
      </c>
      <c r="AI8" s="506"/>
      <c r="AJ8" s="187">
        <v>4</v>
      </c>
      <c r="AK8" s="187">
        <v>1818.7499999999977</v>
      </c>
      <c r="AL8" s="187">
        <v>454.68749999999943</v>
      </c>
      <c r="AM8" s="368">
        <f t="shared" si="4"/>
        <v>2</v>
      </c>
      <c r="AN8" s="506"/>
      <c r="AO8" s="187">
        <v>4</v>
      </c>
      <c r="AP8" s="187">
        <v>1895.2941176470563</v>
      </c>
      <c r="AQ8" s="187">
        <v>473.82352941176407</v>
      </c>
      <c r="AR8" s="368">
        <f t="shared" si="5"/>
        <v>2</v>
      </c>
      <c r="AS8" s="506"/>
      <c r="AT8" s="187">
        <v>4</v>
      </c>
      <c r="AU8" s="187">
        <v>1853.6842105263142</v>
      </c>
      <c r="AV8" s="187">
        <v>463.42105263157856</v>
      </c>
      <c r="AW8" s="368">
        <f t="shared" si="6"/>
        <v>2</v>
      </c>
      <c r="AX8" s="506"/>
    </row>
    <row r="9" spans="1:50">
      <c r="A9" s="81"/>
      <c r="B9" s="483"/>
      <c r="C9" s="368">
        <v>3</v>
      </c>
      <c r="D9" s="257" t="s">
        <v>781</v>
      </c>
      <c r="E9" s="187">
        <v>4</v>
      </c>
      <c r="F9" s="368">
        <v>2000</v>
      </c>
      <c r="G9" s="371">
        <v>500</v>
      </c>
      <c r="H9" s="508"/>
      <c r="I9" s="219">
        <f t="shared" si="7"/>
        <v>5</v>
      </c>
      <c r="J9" s="219">
        <f t="shared" si="7"/>
        <v>2210.7822480464847</v>
      </c>
      <c r="K9" s="220">
        <f t="shared" si="7"/>
        <v>442.15644960929694</v>
      </c>
      <c r="L9" s="457"/>
      <c r="M9" s="221">
        <f>RANK(K9, K$7:$K$21)</f>
        <v>3</v>
      </c>
      <c r="N9" s="475"/>
      <c r="O9" s="475"/>
      <c r="P9" s="187">
        <v>5</v>
      </c>
      <c r="Q9" s="187">
        <v>2198.4000000000005</v>
      </c>
      <c r="R9" s="187">
        <v>439.68000000000012</v>
      </c>
      <c r="S9" s="368">
        <f t="shared" si="0"/>
        <v>1</v>
      </c>
      <c r="T9" s="506"/>
      <c r="U9" s="187">
        <v>5</v>
      </c>
      <c r="V9" s="187">
        <v>2274.782608695652</v>
      </c>
      <c r="W9" s="187">
        <v>454.95652173913038</v>
      </c>
      <c r="X9" s="368">
        <f t="shared" si="1"/>
        <v>2</v>
      </c>
      <c r="Y9" s="506"/>
      <c r="Z9" s="187">
        <v>5</v>
      </c>
      <c r="AA9" s="187">
        <v>2178.260869565217</v>
      </c>
      <c r="AB9" s="187">
        <v>435.65217391304338</v>
      </c>
      <c r="AC9" s="368">
        <f t="shared" si="2"/>
        <v>3</v>
      </c>
      <c r="AD9" s="506"/>
      <c r="AE9" s="187">
        <v>5</v>
      </c>
      <c r="AF9" s="187">
        <v>2195.0000000000005</v>
      </c>
      <c r="AG9" s="187">
        <v>439.00000000000011</v>
      </c>
      <c r="AH9" s="368">
        <f t="shared" si="3"/>
        <v>3</v>
      </c>
      <c r="AI9" s="506"/>
      <c r="AJ9" s="187">
        <v>5</v>
      </c>
      <c r="AK9" s="187">
        <v>2220.0000000000014</v>
      </c>
      <c r="AL9" s="187">
        <v>444.00000000000028</v>
      </c>
      <c r="AM9" s="368">
        <f t="shared" si="4"/>
        <v>3</v>
      </c>
      <c r="AN9" s="506"/>
      <c r="AO9" s="187">
        <v>5</v>
      </c>
      <c r="AP9" s="187">
        <v>2264.5161290322603</v>
      </c>
      <c r="AQ9" s="187">
        <v>452.90322580645204</v>
      </c>
      <c r="AR9" s="368">
        <f t="shared" si="5"/>
        <v>3</v>
      </c>
      <c r="AS9" s="506"/>
      <c r="AT9" s="187">
        <v>5</v>
      </c>
      <c r="AU9" s="187">
        <v>2144.5161290322603</v>
      </c>
      <c r="AV9" s="187">
        <v>428.90322580645204</v>
      </c>
      <c r="AW9" s="368">
        <f t="shared" si="6"/>
        <v>3</v>
      </c>
      <c r="AX9" s="506"/>
    </row>
    <row r="10" spans="1:50">
      <c r="A10" s="81"/>
      <c r="B10" s="483"/>
      <c r="C10" s="368">
        <v>4</v>
      </c>
      <c r="D10" s="257" t="s">
        <v>507</v>
      </c>
      <c r="E10" s="187">
        <v>12</v>
      </c>
      <c r="F10" s="368">
        <v>2250</v>
      </c>
      <c r="G10" s="371">
        <v>187.5</v>
      </c>
      <c r="H10" s="508"/>
      <c r="I10" s="219">
        <f t="shared" si="7"/>
        <v>12</v>
      </c>
      <c r="J10" s="219">
        <f t="shared" si="7"/>
        <v>1965.9679556174447</v>
      </c>
      <c r="K10" s="220">
        <f t="shared" si="7"/>
        <v>163.83066296812038</v>
      </c>
      <c r="L10" s="457"/>
      <c r="M10" s="221">
        <f>RANK(K10, K$7:$K$21)</f>
        <v>8</v>
      </c>
      <c r="N10" s="475"/>
      <c r="O10" s="475"/>
      <c r="P10" s="187">
        <v>12</v>
      </c>
      <c r="Q10" s="187">
        <v>2012.4590163934429</v>
      </c>
      <c r="R10" s="187">
        <v>167.70491803278691</v>
      </c>
      <c r="S10" s="368">
        <f t="shared" si="0"/>
        <v>7</v>
      </c>
      <c r="T10" s="506"/>
      <c r="U10" s="187">
        <v>12</v>
      </c>
      <c r="V10" s="187">
        <v>1925.6249999999995</v>
      </c>
      <c r="W10" s="187">
        <v>160.46874999999997</v>
      </c>
      <c r="X10" s="368">
        <f t="shared" si="1"/>
        <v>8</v>
      </c>
      <c r="Y10" s="506"/>
      <c r="Z10" s="187">
        <v>12</v>
      </c>
      <c r="AA10" s="187">
        <v>2008.4745762711866</v>
      </c>
      <c r="AB10" s="187">
        <v>167.37288135593221</v>
      </c>
      <c r="AC10" s="368">
        <f t="shared" si="2"/>
        <v>7</v>
      </c>
      <c r="AD10" s="506"/>
      <c r="AE10" s="187">
        <v>12</v>
      </c>
      <c r="AF10" s="187">
        <v>1910.6896551724139</v>
      </c>
      <c r="AG10" s="187">
        <v>159.22413793103451</v>
      </c>
      <c r="AH10" s="368">
        <f t="shared" si="3"/>
        <v>8</v>
      </c>
      <c r="AI10" s="506"/>
      <c r="AJ10" s="187">
        <v>12</v>
      </c>
      <c r="AK10" s="187">
        <v>1975.9322033898306</v>
      </c>
      <c r="AL10" s="187">
        <v>164.66101694915255</v>
      </c>
      <c r="AM10" s="368">
        <f t="shared" si="4"/>
        <v>7</v>
      </c>
      <c r="AN10" s="506"/>
      <c r="AO10" s="187">
        <v>12</v>
      </c>
      <c r="AP10" s="187">
        <v>1999.1666666666656</v>
      </c>
      <c r="AQ10" s="187">
        <v>166.59722222222214</v>
      </c>
      <c r="AR10" s="368">
        <f t="shared" si="5"/>
        <v>7</v>
      </c>
      <c r="AS10" s="506"/>
      <c r="AT10" s="187">
        <v>12</v>
      </c>
      <c r="AU10" s="187">
        <v>1929.428571428572</v>
      </c>
      <c r="AV10" s="187">
        <v>160.78571428571433</v>
      </c>
      <c r="AW10" s="368">
        <f t="shared" si="6"/>
        <v>8</v>
      </c>
      <c r="AX10" s="506"/>
    </row>
    <row r="11" spans="1:50">
      <c r="A11" s="81"/>
      <c r="B11" s="483"/>
      <c r="C11" s="368">
        <v>5</v>
      </c>
      <c r="D11" s="257" t="s">
        <v>508</v>
      </c>
      <c r="E11" s="187">
        <v>12</v>
      </c>
      <c r="F11" s="368">
        <v>2250</v>
      </c>
      <c r="G11" s="371">
        <v>187.5</v>
      </c>
      <c r="H11" s="508"/>
      <c r="I11" s="219">
        <f t="shared" si="7"/>
        <v>12</v>
      </c>
      <c r="J11" s="219">
        <f t="shared" si="7"/>
        <v>1970.3153683477224</v>
      </c>
      <c r="K11" s="220">
        <f t="shared" si="7"/>
        <v>164.19294736231021</v>
      </c>
      <c r="L11" s="457"/>
      <c r="M11" s="221">
        <f>RANK(K11, K$7:$K$21)</f>
        <v>7</v>
      </c>
      <c r="N11" s="475"/>
      <c r="O11" s="475"/>
      <c r="P11" s="187">
        <v>12</v>
      </c>
      <c r="Q11" s="187">
        <v>1952.0689655172409</v>
      </c>
      <c r="R11" s="187">
        <v>162.6724137931034</v>
      </c>
      <c r="S11" s="368">
        <f t="shared" si="0"/>
        <v>8</v>
      </c>
      <c r="T11" s="506"/>
      <c r="U11" s="187">
        <v>12</v>
      </c>
      <c r="V11" s="187">
        <v>2003.6697247706418</v>
      </c>
      <c r="W11" s="187">
        <v>166.97247706422016</v>
      </c>
      <c r="X11" s="368">
        <f t="shared" si="1"/>
        <v>7</v>
      </c>
      <c r="Y11" s="506"/>
      <c r="Z11" s="187">
        <v>12</v>
      </c>
      <c r="AA11" s="187">
        <v>1982.3529411764705</v>
      </c>
      <c r="AB11" s="187">
        <v>165.19607843137254</v>
      </c>
      <c r="AC11" s="368">
        <f t="shared" si="2"/>
        <v>8</v>
      </c>
      <c r="AD11" s="506"/>
      <c r="AE11" s="187">
        <v>12</v>
      </c>
      <c r="AF11" s="187">
        <v>2000.454545454546</v>
      </c>
      <c r="AG11" s="187">
        <v>166.7045454545455</v>
      </c>
      <c r="AH11" s="368">
        <f t="shared" si="3"/>
        <v>7</v>
      </c>
      <c r="AI11" s="506"/>
      <c r="AJ11" s="187">
        <v>12</v>
      </c>
      <c r="AK11" s="187">
        <v>1971.5151515151508</v>
      </c>
      <c r="AL11" s="187">
        <v>164.29292929292924</v>
      </c>
      <c r="AM11" s="368">
        <f t="shared" si="4"/>
        <v>8</v>
      </c>
      <c r="AN11" s="506"/>
      <c r="AO11" s="187">
        <v>12</v>
      </c>
      <c r="AP11" s="187">
        <v>1943.9062500000005</v>
      </c>
      <c r="AQ11" s="187">
        <v>161.99218750000003</v>
      </c>
      <c r="AR11" s="368">
        <f t="shared" si="5"/>
        <v>8</v>
      </c>
      <c r="AS11" s="506"/>
      <c r="AT11" s="187">
        <v>12</v>
      </c>
      <c r="AU11" s="187">
        <v>1938.2400000000071</v>
      </c>
      <c r="AV11" s="187">
        <v>161.52000000000058</v>
      </c>
      <c r="AW11" s="368">
        <f t="shared" si="6"/>
        <v>7</v>
      </c>
      <c r="AX11" s="506"/>
    </row>
    <row r="12" spans="1:50">
      <c r="A12" s="81"/>
      <c r="B12" s="483"/>
      <c r="C12" s="368">
        <v>6</v>
      </c>
      <c r="D12" s="257" t="s">
        <v>509</v>
      </c>
      <c r="E12" s="187">
        <v>11</v>
      </c>
      <c r="F12" s="368">
        <v>2250</v>
      </c>
      <c r="G12" s="371">
        <v>204.54545454545453</v>
      </c>
      <c r="H12" s="508"/>
      <c r="I12" s="219">
        <f t="shared" si="7"/>
        <v>11</v>
      </c>
      <c r="J12" s="219">
        <f t="shared" si="7"/>
        <v>1971.7671995670396</v>
      </c>
      <c r="K12" s="220">
        <f t="shared" si="7"/>
        <v>179.25156359700358</v>
      </c>
      <c r="L12" s="457"/>
      <c r="M12" s="221">
        <f>RANK(K12, K$7:$K$21)</f>
        <v>6</v>
      </c>
      <c r="N12" s="475"/>
      <c r="O12" s="475"/>
      <c r="P12" s="187">
        <v>11</v>
      </c>
      <c r="Q12" s="187">
        <v>2017.4999999999995</v>
      </c>
      <c r="R12" s="187">
        <v>183.40909090909088</v>
      </c>
      <c r="S12" s="368">
        <f t="shared" si="0"/>
        <v>6</v>
      </c>
      <c r="T12" s="506"/>
      <c r="U12" s="187">
        <v>11</v>
      </c>
      <c r="V12" s="187">
        <v>2000.8163265306125</v>
      </c>
      <c r="W12" s="187">
        <v>181.89239332096477</v>
      </c>
      <c r="X12" s="368">
        <f t="shared" si="1"/>
        <v>6</v>
      </c>
      <c r="Y12" s="506"/>
      <c r="Z12" s="187">
        <v>11</v>
      </c>
      <c r="AA12" s="187">
        <v>1948.484848484849</v>
      </c>
      <c r="AB12" s="187">
        <v>177.13498622589535</v>
      </c>
      <c r="AC12" s="368">
        <f t="shared" si="2"/>
        <v>6</v>
      </c>
      <c r="AD12" s="506"/>
      <c r="AE12" s="187">
        <v>11</v>
      </c>
      <c r="AF12" s="187">
        <v>1973.6470588235293</v>
      </c>
      <c r="AG12" s="187">
        <v>179.42245989304811</v>
      </c>
      <c r="AH12" s="368">
        <f t="shared" si="3"/>
        <v>6</v>
      </c>
      <c r="AI12" s="506"/>
      <c r="AJ12" s="187">
        <v>11</v>
      </c>
      <c r="AK12" s="187">
        <v>1959.782608695652</v>
      </c>
      <c r="AL12" s="187">
        <v>178.16205533596838</v>
      </c>
      <c r="AM12" s="368">
        <f t="shared" si="4"/>
        <v>6</v>
      </c>
      <c r="AN12" s="506"/>
      <c r="AO12" s="187">
        <v>11</v>
      </c>
      <c r="AP12" s="187">
        <v>1953.9344262295076</v>
      </c>
      <c r="AQ12" s="187">
        <v>177.63040238450068</v>
      </c>
      <c r="AR12" s="368">
        <f t="shared" si="5"/>
        <v>6</v>
      </c>
      <c r="AS12" s="506"/>
      <c r="AT12" s="187">
        <v>11</v>
      </c>
      <c r="AU12" s="187">
        <v>1948.2051282051284</v>
      </c>
      <c r="AV12" s="187">
        <v>177.10955710955713</v>
      </c>
      <c r="AW12" s="368">
        <f t="shared" si="6"/>
        <v>6</v>
      </c>
      <c r="AX12" s="506"/>
    </row>
    <row r="13" spans="1:50">
      <c r="A13" s="81"/>
      <c r="B13" s="483"/>
      <c r="C13" s="368">
        <v>7</v>
      </c>
      <c r="D13" s="257" t="s">
        <v>510</v>
      </c>
      <c r="E13" s="187">
        <v>12</v>
      </c>
      <c r="F13" s="368">
        <v>2250</v>
      </c>
      <c r="G13" s="371">
        <v>187.5</v>
      </c>
      <c r="H13" s="508"/>
      <c r="I13" s="219">
        <f t="shared" si="7"/>
        <v>12</v>
      </c>
      <c r="J13" s="219">
        <f t="shared" si="7"/>
        <v>1672.9567882359386</v>
      </c>
      <c r="K13" s="220">
        <f t="shared" si="7"/>
        <v>139.41306568632822</v>
      </c>
      <c r="L13" s="457"/>
      <c r="M13" s="221">
        <f>RANK(K13, K$7:$K$21)</f>
        <v>9</v>
      </c>
      <c r="N13" s="475"/>
      <c r="O13" s="475"/>
      <c r="P13" s="187">
        <v>12</v>
      </c>
      <c r="Q13" s="187">
        <v>1705.5555555555566</v>
      </c>
      <c r="R13" s="187">
        <v>142.1296296296297</v>
      </c>
      <c r="S13" s="368">
        <f t="shared" si="0"/>
        <v>9</v>
      </c>
      <c r="T13" s="506"/>
      <c r="U13" s="187">
        <v>12</v>
      </c>
      <c r="V13" s="187">
        <v>1677.7358490566048</v>
      </c>
      <c r="W13" s="187">
        <v>139.81132075471706</v>
      </c>
      <c r="X13" s="368">
        <f t="shared" si="1"/>
        <v>9</v>
      </c>
      <c r="Y13" s="506"/>
      <c r="Z13" s="187">
        <v>12</v>
      </c>
      <c r="AA13" s="187">
        <v>1677.7777777777785</v>
      </c>
      <c r="AB13" s="187">
        <v>139.81481481481487</v>
      </c>
      <c r="AC13" s="368">
        <f t="shared" si="2"/>
        <v>9</v>
      </c>
      <c r="AD13" s="506"/>
      <c r="AE13" s="187">
        <v>12</v>
      </c>
      <c r="AF13" s="187">
        <v>1680</v>
      </c>
      <c r="AG13" s="187">
        <v>140</v>
      </c>
      <c r="AH13" s="368">
        <f t="shared" si="3"/>
        <v>9</v>
      </c>
      <c r="AI13" s="506"/>
      <c r="AJ13" s="187">
        <v>12</v>
      </c>
      <c r="AK13" s="187">
        <v>1668.9795918367354</v>
      </c>
      <c r="AL13" s="187">
        <v>139.08163265306129</v>
      </c>
      <c r="AM13" s="368">
        <f t="shared" si="4"/>
        <v>9</v>
      </c>
      <c r="AN13" s="506"/>
      <c r="AO13" s="187">
        <v>12</v>
      </c>
      <c r="AP13" s="187">
        <v>1658.2758620689644</v>
      </c>
      <c r="AQ13" s="187">
        <v>138.18965517241369</v>
      </c>
      <c r="AR13" s="368">
        <f t="shared" si="5"/>
        <v>9</v>
      </c>
      <c r="AS13" s="506"/>
      <c r="AT13" s="187">
        <v>12</v>
      </c>
      <c r="AU13" s="187">
        <v>1642.3728813559314</v>
      </c>
      <c r="AV13" s="187">
        <v>136.86440677966095</v>
      </c>
      <c r="AW13" s="368">
        <f t="shared" si="6"/>
        <v>9</v>
      </c>
      <c r="AX13" s="506"/>
    </row>
    <row r="14" spans="1:50">
      <c r="A14" s="81"/>
      <c r="B14" s="483"/>
      <c r="C14" s="368">
        <v>8</v>
      </c>
      <c r="D14" s="257" t="s">
        <v>511</v>
      </c>
      <c r="E14" s="187">
        <v>9</v>
      </c>
      <c r="F14" s="368">
        <v>2250</v>
      </c>
      <c r="G14" s="371">
        <v>250</v>
      </c>
      <c r="H14" s="508"/>
      <c r="I14" s="219">
        <f t="shared" si="7"/>
        <v>9</v>
      </c>
      <c r="J14" s="219">
        <f t="shared" si="7"/>
        <v>1657.1517362189627</v>
      </c>
      <c r="K14" s="220">
        <f t="shared" si="7"/>
        <v>184.12797069099585</v>
      </c>
      <c r="L14" s="457"/>
      <c r="M14" s="221">
        <f>RANK(K14, K$7:$K$21)</f>
        <v>5</v>
      </c>
      <c r="N14" s="475"/>
      <c r="O14" s="475"/>
      <c r="P14" s="187">
        <v>9</v>
      </c>
      <c r="Q14" s="187">
        <v>1681.714285714284</v>
      </c>
      <c r="R14" s="187">
        <v>186.85714285714266</v>
      </c>
      <c r="S14" s="368">
        <f t="shared" si="0"/>
        <v>5</v>
      </c>
      <c r="T14" s="506"/>
      <c r="U14" s="187">
        <v>9</v>
      </c>
      <c r="V14" s="187">
        <v>1643.3333333333321</v>
      </c>
      <c r="W14" s="187">
        <v>182.59259259259247</v>
      </c>
      <c r="X14" s="368">
        <f t="shared" si="1"/>
        <v>5</v>
      </c>
      <c r="Y14" s="506"/>
      <c r="Z14" s="187">
        <v>9</v>
      </c>
      <c r="AA14" s="187">
        <v>1687.0588235294097</v>
      </c>
      <c r="AB14" s="187">
        <v>187.45098039215662</v>
      </c>
      <c r="AC14" s="368">
        <f t="shared" si="2"/>
        <v>5</v>
      </c>
      <c r="AD14" s="506"/>
      <c r="AE14" s="187">
        <v>9</v>
      </c>
      <c r="AF14" s="187">
        <v>1674.5454545454563</v>
      </c>
      <c r="AG14" s="187">
        <v>186.06060606060626</v>
      </c>
      <c r="AH14" s="368">
        <f t="shared" si="3"/>
        <v>5</v>
      </c>
      <c r="AI14" s="506"/>
      <c r="AJ14" s="187">
        <v>9</v>
      </c>
      <c r="AK14" s="187">
        <v>1658.3333333333321</v>
      </c>
      <c r="AL14" s="187">
        <v>184.25925925925912</v>
      </c>
      <c r="AM14" s="368">
        <f t="shared" si="4"/>
        <v>5</v>
      </c>
      <c r="AN14" s="506"/>
      <c r="AO14" s="187">
        <v>9</v>
      </c>
      <c r="AP14" s="187">
        <v>1623.0769230769254</v>
      </c>
      <c r="AQ14" s="187">
        <v>180.3418803418806</v>
      </c>
      <c r="AR14" s="368">
        <f t="shared" si="5"/>
        <v>5</v>
      </c>
      <c r="AS14" s="506"/>
      <c r="AT14" s="187">
        <v>9</v>
      </c>
      <c r="AU14" s="187">
        <v>1631.9999999999993</v>
      </c>
      <c r="AV14" s="187">
        <v>181.33333333333326</v>
      </c>
      <c r="AW14" s="368">
        <f t="shared" si="6"/>
        <v>5</v>
      </c>
      <c r="AX14" s="506"/>
    </row>
    <row r="15" spans="1:50">
      <c r="A15" s="81"/>
      <c r="B15" s="483"/>
      <c r="C15" s="368">
        <v>9</v>
      </c>
      <c r="D15" s="257" t="s">
        <v>512</v>
      </c>
      <c r="E15" s="187">
        <v>9</v>
      </c>
      <c r="F15" s="368">
        <v>2250</v>
      </c>
      <c r="G15" s="371">
        <v>250</v>
      </c>
      <c r="H15" s="508"/>
      <c r="I15" s="219">
        <f t="shared" si="7"/>
        <v>9</v>
      </c>
      <c r="J15" s="219">
        <f t="shared" si="7"/>
        <v>1991.5435450165735</v>
      </c>
      <c r="K15" s="220">
        <f t="shared" si="7"/>
        <v>221.28261611295264</v>
      </c>
      <c r="L15" s="457"/>
      <c r="M15" s="221">
        <f>RANK(K15, K$7:$K$21)</f>
        <v>4</v>
      </c>
      <c r="N15" s="475"/>
      <c r="O15" s="475"/>
      <c r="P15" s="187">
        <v>9</v>
      </c>
      <c r="Q15" s="187">
        <v>2030.7142857142869</v>
      </c>
      <c r="R15" s="187">
        <v>225.63492063492077</v>
      </c>
      <c r="S15" s="368">
        <f t="shared" si="0"/>
        <v>4</v>
      </c>
      <c r="T15" s="506"/>
      <c r="U15" s="187">
        <v>9</v>
      </c>
      <c r="V15" s="187">
        <v>2016.4285714285709</v>
      </c>
      <c r="W15" s="187">
        <v>224.04761904761898</v>
      </c>
      <c r="X15" s="368">
        <f t="shared" si="1"/>
        <v>4</v>
      </c>
      <c r="Y15" s="506"/>
      <c r="Z15" s="187">
        <v>9</v>
      </c>
      <c r="AA15" s="187">
        <v>1975.7647058823543</v>
      </c>
      <c r="AB15" s="187">
        <v>219.52941176470603</v>
      </c>
      <c r="AC15" s="368">
        <f t="shared" si="2"/>
        <v>4</v>
      </c>
      <c r="AD15" s="506"/>
      <c r="AE15" s="187">
        <v>9</v>
      </c>
      <c r="AF15" s="187">
        <v>1923.7037037037046</v>
      </c>
      <c r="AG15" s="187">
        <v>213.74485596707828</v>
      </c>
      <c r="AH15" s="368">
        <f t="shared" si="3"/>
        <v>4</v>
      </c>
      <c r="AI15" s="506"/>
      <c r="AJ15" s="187">
        <v>9</v>
      </c>
      <c r="AK15" s="187">
        <v>1960.0000000000011</v>
      </c>
      <c r="AL15" s="187">
        <v>217.77777777777791</v>
      </c>
      <c r="AM15" s="368">
        <f t="shared" si="4"/>
        <v>4</v>
      </c>
      <c r="AN15" s="506"/>
      <c r="AO15" s="187">
        <v>9</v>
      </c>
      <c r="AP15" s="187">
        <v>2009.677419354839</v>
      </c>
      <c r="AQ15" s="187">
        <v>223.29749103942655</v>
      </c>
      <c r="AR15" s="368">
        <f t="shared" si="5"/>
        <v>4</v>
      </c>
      <c r="AS15" s="506"/>
      <c r="AT15" s="187">
        <v>9</v>
      </c>
      <c r="AU15" s="187">
        <v>2024.5161290322585</v>
      </c>
      <c r="AV15" s="187">
        <v>224.94623655913983</v>
      </c>
      <c r="AW15" s="368">
        <f t="shared" si="6"/>
        <v>4</v>
      </c>
      <c r="AX15" s="506"/>
    </row>
    <row r="16" spans="1:50">
      <c r="A16" s="81"/>
      <c r="B16" s="483"/>
      <c r="C16" s="368">
        <v>10</v>
      </c>
      <c r="D16" s="257" t="s">
        <v>505</v>
      </c>
      <c r="E16" s="187">
        <v>18</v>
      </c>
      <c r="F16" s="368">
        <v>1250</v>
      </c>
      <c r="G16" s="371">
        <v>69.444444444444443</v>
      </c>
      <c r="H16" s="508"/>
      <c r="I16" s="219">
        <f t="shared" si="7"/>
        <v>13</v>
      </c>
      <c r="J16" s="219">
        <f t="shared" si="7"/>
        <v>1245.3636469972607</v>
      </c>
      <c r="K16" s="220">
        <f t="shared" si="7"/>
        <v>95.797203615173899</v>
      </c>
      <c r="L16" s="457"/>
      <c r="M16" s="221">
        <f>RANK(K16, K$7:$K$21)</f>
        <v>10</v>
      </c>
      <c r="N16" s="475"/>
      <c r="O16" s="475"/>
      <c r="P16" s="187">
        <v>13</v>
      </c>
      <c r="Q16" s="187">
        <v>1243.0588235294126</v>
      </c>
      <c r="R16" s="187">
        <v>95.619909502262516</v>
      </c>
      <c r="S16" s="368">
        <f t="shared" si="0"/>
        <v>10</v>
      </c>
      <c r="T16" s="506"/>
      <c r="U16" s="187">
        <v>13</v>
      </c>
      <c r="V16" s="187">
        <v>1232.4705882352948</v>
      </c>
      <c r="W16" s="187">
        <v>94.805429864253455</v>
      </c>
      <c r="X16" s="368">
        <f t="shared" si="1"/>
        <v>10</v>
      </c>
      <c r="Y16" s="506"/>
      <c r="Z16" s="187">
        <v>13</v>
      </c>
      <c r="AA16" s="187">
        <v>1252.8000000000006</v>
      </c>
      <c r="AB16" s="187">
        <v>96.369230769230825</v>
      </c>
      <c r="AC16" s="368">
        <f t="shared" si="2"/>
        <v>10</v>
      </c>
      <c r="AD16" s="506"/>
      <c r="AE16" s="187">
        <v>13</v>
      </c>
      <c r="AF16" s="187">
        <v>1239.6923076923081</v>
      </c>
      <c r="AG16" s="187">
        <v>95.36094674556216</v>
      </c>
      <c r="AH16" s="368">
        <f t="shared" si="3"/>
        <v>10</v>
      </c>
      <c r="AI16" s="506"/>
      <c r="AJ16" s="187">
        <v>13</v>
      </c>
      <c r="AK16" s="187">
        <v>1242.8571428571436</v>
      </c>
      <c r="AL16" s="187">
        <v>95.604395604395663</v>
      </c>
      <c r="AM16" s="368">
        <f t="shared" si="4"/>
        <v>10</v>
      </c>
      <c r="AN16" s="506"/>
      <c r="AO16" s="187">
        <v>13</v>
      </c>
      <c r="AP16" s="187">
        <v>1259.3333333333333</v>
      </c>
      <c r="AQ16" s="187">
        <v>96.871794871794862</v>
      </c>
      <c r="AR16" s="368">
        <f t="shared" si="5"/>
        <v>10</v>
      </c>
      <c r="AS16" s="506"/>
      <c r="AT16" s="187">
        <v>13</v>
      </c>
      <c r="AU16" s="187">
        <v>1247.3333333333333</v>
      </c>
      <c r="AV16" s="187">
        <v>95.948717948717942</v>
      </c>
      <c r="AW16" s="368">
        <f t="shared" si="6"/>
        <v>10</v>
      </c>
      <c r="AX16" s="506"/>
    </row>
    <row r="17" spans="2:50">
      <c r="B17" s="483"/>
      <c r="C17" s="368">
        <v>11</v>
      </c>
      <c r="D17" s="257"/>
      <c r="E17" s="187"/>
      <c r="F17" s="368"/>
      <c r="G17" s="371"/>
      <c r="H17" s="508"/>
      <c r="I17" s="222"/>
      <c r="J17" s="222"/>
      <c r="K17" s="222"/>
      <c r="L17" s="457"/>
      <c r="M17" s="221" t="e">
        <f>RANK(K17, K$7:$K$21)</f>
        <v>#N/A</v>
      </c>
      <c r="N17" s="475"/>
      <c r="O17" s="475"/>
      <c r="P17" s="187"/>
      <c r="Q17" s="187"/>
      <c r="R17" s="187"/>
      <c r="S17" s="368" t="e">
        <f t="shared" si="0"/>
        <v>#N/A</v>
      </c>
      <c r="T17" s="506"/>
      <c r="U17" s="187"/>
      <c r="V17" s="187"/>
      <c r="W17" s="187"/>
      <c r="X17" s="368" t="e">
        <f t="shared" si="1"/>
        <v>#N/A</v>
      </c>
      <c r="Y17" s="506"/>
      <c r="Z17" s="187"/>
      <c r="AA17" s="187"/>
      <c r="AB17" s="371"/>
      <c r="AC17" s="368" t="e">
        <f t="shared" si="2"/>
        <v>#N/A</v>
      </c>
      <c r="AD17" s="506"/>
      <c r="AE17" s="187"/>
      <c r="AF17" s="187"/>
      <c r="AG17" s="371"/>
      <c r="AH17" s="368" t="e">
        <f t="shared" si="3"/>
        <v>#N/A</v>
      </c>
      <c r="AI17" s="506"/>
      <c r="AJ17" s="187"/>
      <c r="AK17" s="187"/>
      <c r="AL17" s="371"/>
      <c r="AM17" s="368" t="e">
        <f t="shared" si="4"/>
        <v>#N/A</v>
      </c>
      <c r="AN17" s="506"/>
      <c r="AO17" s="187"/>
      <c r="AP17" s="187"/>
      <c r="AQ17" s="371"/>
      <c r="AR17" s="368" t="e">
        <f t="shared" si="5"/>
        <v>#N/A</v>
      </c>
      <c r="AS17" s="506"/>
      <c r="AT17" s="187"/>
      <c r="AU17" s="187"/>
      <c r="AV17" s="371"/>
      <c r="AW17" s="368" t="e">
        <f t="shared" si="6"/>
        <v>#N/A</v>
      </c>
      <c r="AX17" s="506"/>
    </row>
    <row r="18" spans="2:50">
      <c r="B18" s="483"/>
      <c r="C18" s="368">
        <v>12</v>
      </c>
      <c r="D18" s="257"/>
      <c r="E18" s="187"/>
      <c r="F18" s="368"/>
      <c r="G18" s="371"/>
      <c r="H18" s="508"/>
      <c r="I18" s="222"/>
      <c r="J18" s="222"/>
      <c r="K18" s="222"/>
      <c r="L18" s="457"/>
      <c r="M18" s="221" t="e">
        <f>RANK(K18, K$7:$K$21)</f>
        <v>#N/A</v>
      </c>
      <c r="N18" s="475"/>
      <c r="O18" s="475"/>
      <c r="P18" s="187"/>
      <c r="Q18" s="187"/>
      <c r="R18" s="187"/>
      <c r="S18" s="368" t="e">
        <f t="shared" si="0"/>
        <v>#N/A</v>
      </c>
      <c r="T18" s="506"/>
      <c r="U18" s="187"/>
      <c r="V18" s="187"/>
      <c r="W18" s="187"/>
      <c r="X18" s="368" t="e">
        <f t="shared" si="1"/>
        <v>#N/A</v>
      </c>
      <c r="Y18" s="506"/>
      <c r="Z18" s="187"/>
      <c r="AA18" s="187"/>
      <c r="AB18" s="371"/>
      <c r="AC18" s="368" t="e">
        <f t="shared" si="2"/>
        <v>#N/A</v>
      </c>
      <c r="AD18" s="506"/>
      <c r="AE18" s="187"/>
      <c r="AF18" s="187"/>
      <c r="AG18" s="371"/>
      <c r="AH18" s="368" t="e">
        <f t="shared" si="3"/>
        <v>#N/A</v>
      </c>
      <c r="AI18" s="506"/>
      <c r="AJ18" s="187"/>
      <c r="AK18" s="187"/>
      <c r="AL18" s="371"/>
      <c r="AM18" s="368" t="e">
        <f t="shared" si="4"/>
        <v>#N/A</v>
      </c>
      <c r="AN18" s="506"/>
      <c r="AO18" s="187"/>
      <c r="AP18" s="187"/>
      <c r="AQ18" s="371"/>
      <c r="AR18" s="368" t="e">
        <f t="shared" si="5"/>
        <v>#N/A</v>
      </c>
      <c r="AS18" s="506"/>
      <c r="AT18" s="187"/>
      <c r="AU18" s="187"/>
      <c r="AV18" s="371"/>
      <c r="AW18" s="368" t="e">
        <f t="shared" si="6"/>
        <v>#N/A</v>
      </c>
      <c r="AX18" s="506"/>
    </row>
    <row r="19" spans="2:50">
      <c r="B19" s="483"/>
      <c r="C19" s="368">
        <v>13</v>
      </c>
      <c r="D19" s="257"/>
      <c r="E19" s="187"/>
      <c r="F19" s="368"/>
      <c r="G19" s="371"/>
      <c r="H19" s="508"/>
      <c r="I19" s="222"/>
      <c r="J19" s="222"/>
      <c r="K19" s="222"/>
      <c r="L19" s="457"/>
      <c r="M19" s="221" t="e">
        <f>RANK(K19, K$7:$K$21)</f>
        <v>#N/A</v>
      </c>
      <c r="N19" s="475"/>
      <c r="O19" s="475"/>
      <c r="P19" s="187"/>
      <c r="Q19" s="187"/>
      <c r="R19" s="371"/>
      <c r="S19" s="368" t="e">
        <f t="shared" si="0"/>
        <v>#N/A</v>
      </c>
      <c r="T19" s="506"/>
      <c r="U19" s="187"/>
      <c r="V19" s="187"/>
      <c r="W19" s="187"/>
      <c r="X19" s="368" t="e">
        <f t="shared" si="1"/>
        <v>#N/A</v>
      </c>
      <c r="Y19" s="506"/>
      <c r="Z19" s="187"/>
      <c r="AA19" s="187"/>
      <c r="AB19" s="371"/>
      <c r="AC19" s="368" t="e">
        <f t="shared" si="2"/>
        <v>#N/A</v>
      </c>
      <c r="AD19" s="506"/>
      <c r="AE19" s="187"/>
      <c r="AF19" s="187"/>
      <c r="AG19" s="371"/>
      <c r="AH19" s="368" t="e">
        <f t="shared" si="3"/>
        <v>#N/A</v>
      </c>
      <c r="AI19" s="506"/>
      <c r="AJ19" s="187"/>
      <c r="AK19" s="187"/>
      <c r="AL19" s="371"/>
      <c r="AM19" s="368" t="e">
        <f t="shared" si="4"/>
        <v>#N/A</v>
      </c>
      <c r="AN19" s="506"/>
      <c r="AO19" s="187"/>
      <c r="AP19" s="187"/>
      <c r="AQ19" s="371"/>
      <c r="AR19" s="368" t="e">
        <f t="shared" si="5"/>
        <v>#N/A</v>
      </c>
      <c r="AS19" s="506"/>
      <c r="AT19" s="187"/>
      <c r="AU19" s="187"/>
      <c r="AV19" s="371"/>
      <c r="AW19" s="368" t="e">
        <f t="shared" si="6"/>
        <v>#N/A</v>
      </c>
      <c r="AX19" s="506"/>
    </row>
    <row r="20" spans="2:50">
      <c r="B20" s="483"/>
      <c r="C20" s="368">
        <v>14</v>
      </c>
      <c r="D20" s="257"/>
      <c r="E20" s="187"/>
      <c r="F20" s="368"/>
      <c r="G20" s="371"/>
      <c r="H20" s="508"/>
      <c r="I20" s="222"/>
      <c r="J20" s="222"/>
      <c r="K20" s="222"/>
      <c r="L20" s="457"/>
      <c r="M20" s="221" t="e">
        <f>RANK(K20, K$7:$K$21)</f>
        <v>#N/A</v>
      </c>
      <c r="N20" s="475"/>
      <c r="O20" s="475"/>
      <c r="P20" s="187"/>
      <c r="Q20" s="187"/>
      <c r="R20" s="371"/>
      <c r="S20" s="368" t="e">
        <f t="shared" si="0"/>
        <v>#N/A</v>
      </c>
      <c r="T20" s="506"/>
      <c r="U20" s="187"/>
      <c r="V20" s="187"/>
      <c r="W20" s="187"/>
      <c r="X20" s="368" t="e">
        <f t="shared" si="1"/>
        <v>#N/A</v>
      </c>
      <c r="Y20" s="506"/>
      <c r="Z20" s="187"/>
      <c r="AA20" s="187"/>
      <c r="AB20" s="371"/>
      <c r="AC20" s="368" t="e">
        <f t="shared" si="2"/>
        <v>#N/A</v>
      </c>
      <c r="AD20" s="506"/>
      <c r="AE20" s="187"/>
      <c r="AF20" s="187"/>
      <c r="AG20" s="371"/>
      <c r="AH20" s="368" t="e">
        <f t="shared" si="3"/>
        <v>#N/A</v>
      </c>
      <c r="AI20" s="506"/>
      <c r="AJ20" s="187"/>
      <c r="AK20" s="187"/>
      <c r="AL20" s="371"/>
      <c r="AM20" s="368" t="e">
        <f t="shared" si="4"/>
        <v>#N/A</v>
      </c>
      <c r="AN20" s="506"/>
      <c r="AO20" s="187"/>
      <c r="AP20" s="187"/>
      <c r="AQ20" s="371"/>
      <c r="AR20" s="368" t="e">
        <f t="shared" si="5"/>
        <v>#N/A</v>
      </c>
      <c r="AS20" s="506"/>
      <c r="AT20" s="187"/>
      <c r="AU20" s="187"/>
      <c r="AV20" s="371"/>
      <c r="AW20" s="368" t="e">
        <f t="shared" si="6"/>
        <v>#N/A</v>
      </c>
      <c r="AX20" s="506"/>
    </row>
    <row r="21" spans="2:50">
      <c r="B21" s="483"/>
      <c r="C21" s="368">
        <v>15</v>
      </c>
      <c r="D21" s="257"/>
      <c r="E21" s="187"/>
      <c r="F21" s="368"/>
      <c r="G21" s="371"/>
      <c r="H21" s="509"/>
      <c r="I21" s="222"/>
      <c r="J21" s="222"/>
      <c r="K21" s="222"/>
      <c r="L21" s="458"/>
      <c r="M21" s="219" t="e">
        <f>RANK(K21, K$7:$K$21)</f>
        <v>#N/A</v>
      </c>
      <c r="N21" s="475"/>
      <c r="O21" s="475"/>
      <c r="P21" s="187"/>
      <c r="Q21" s="187"/>
      <c r="R21" s="371"/>
      <c r="S21" s="368" t="e">
        <f t="shared" si="0"/>
        <v>#N/A</v>
      </c>
      <c r="T21" s="506"/>
      <c r="U21" s="187"/>
      <c r="V21" s="187"/>
      <c r="W21" s="187"/>
      <c r="X21" s="368" t="e">
        <f t="shared" si="1"/>
        <v>#N/A</v>
      </c>
      <c r="Y21" s="506"/>
      <c r="Z21" s="187"/>
      <c r="AA21" s="187"/>
      <c r="AB21" s="371"/>
      <c r="AC21" s="368" t="e">
        <f t="shared" si="2"/>
        <v>#N/A</v>
      </c>
      <c r="AD21" s="506"/>
      <c r="AE21" s="187"/>
      <c r="AF21" s="187"/>
      <c r="AG21" s="371"/>
      <c r="AH21" s="368" t="e">
        <f t="shared" si="3"/>
        <v>#N/A</v>
      </c>
      <c r="AI21" s="506"/>
      <c r="AJ21" s="187"/>
      <c r="AK21" s="187"/>
      <c r="AL21" s="371"/>
      <c r="AM21" s="368" t="e">
        <f t="shared" si="4"/>
        <v>#N/A</v>
      </c>
      <c r="AN21" s="506"/>
      <c r="AO21" s="187"/>
      <c r="AP21" s="187"/>
      <c r="AQ21" s="371"/>
      <c r="AR21" s="368" t="e">
        <f t="shared" si="5"/>
        <v>#N/A</v>
      </c>
      <c r="AS21" s="506"/>
      <c r="AT21" s="187"/>
      <c r="AU21" s="187"/>
      <c r="AV21" s="371"/>
      <c r="AW21" s="368" t="e">
        <f t="shared" si="6"/>
        <v>#N/A</v>
      </c>
      <c r="AX21" s="506"/>
    </row>
    <row r="22" spans="2:50" ht="15.75">
      <c r="B22" s="500" t="s">
        <v>172</v>
      </c>
      <c r="C22" s="501"/>
      <c r="D22" s="501"/>
      <c r="E22" s="501"/>
      <c r="F22" s="501"/>
      <c r="G22" s="501"/>
      <c r="H22" s="501"/>
      <c r="I22" s="223"/>
      <c r="J22" s="223"/>
      <c r="K22" s="223"/>
      <c r="L22" s="223"/>
      <c r="M22" s="224"/>
      <c r="N22" s="476" t="s">
        <v>164</v>
      </c>
      <c r="O22" s="476" t="s">
        <v>105</v>
      </c>
      <c r="P22" s="502">
        <f>AT2+1</f>
        <v>45902</v>
      </c>
      <c r="Q22" s="503"/>
      <c r="R22" s="503"/>
      <c r="S22" s="503"/>
      <c r="T22" s="503"/>
      <c r="U22" s="482">
        <f>P22+1</f>
        <v>45903</v>
      </c>
      <c r="V22" s="483"/>
      <c r="W22" s="483"/>
      <c r="X22" s="483"/>
      <c r="Y22" s="483"/>
      <c r="Z22" s="482">
        <f>U22+1</f>
        <v>45904</v>
      </c>
      <c r="AA22" s="483"/>
      <c r="AB22" s="483"/>
      <c r="AC22" s="483"/>
      <c r="AD22" s="483"/>
      <c r="AE22" s="482">
        <f>Z22+1</f>
        <v>45905</v>
      </c>
      <c r="AF22" s="483"/>
      <c r="AG22" s="483"/>
      <c r="AH22" s="483"/>
      <c r="AI22" s="483"/>
      <c r="AJ22" s="482">
        <f>AE22+1</f>
        <v>45906</v>
      </c>
      <c r="AK22" s="483"/>
      <c r="AL22" s="483"/>
      <c r="AM22" s="483"/>
      <c r="AN22" s="483"/>
      <c r="AO22" s="482">
        <f>AJ22+1</f>
        <v>45907</v>
      </c>
      <c r="AP22" s="483"/>
      <c r="AQ22" s="483"/>
      <c r="AR22" s="483"/>
      <c r="AS22" s="483"/>
      <c r="AT22" s="482">
        <f>AO22+1</f>
        <v>45908</v>
      </c>
      <c r="AU22" s="483"/>
      <c r="AV22" s="483"/>
      <c r="AW22" s="483"/>
      <c r="AX22" s="483"/>
    </row>
    <row r="23" spans="2:50" ht="15.75">
      <c r="B23" s="490"/>
      <c r="C23" s="490"/>
      <c r="D23" s="490"/>
      <c r="E23" s="490"/>
      <c r="F23" s="490"/>
      <c r="G23" s="490"/>
      <c r="H23" s="490"/>
      <c r="I23" s="225"/>
      <c r="J23" s="225"/>
      <c r="K23" s="225"/>
      <c r="L23" s="225"/>
      <c r="M23" s="226"/>
      <c r="N23" s="478"/>
      <c r="O23" s="478"/>
      <c r="P23" s="482" t="s">
        <v>393</v>
      </c>
      <c r="Q23" s="483"/>
      <c r="R23" s="483"/>
      <c r="S23" s="483"/>
      <c r="T23" s="483"/>
      <c r="U23" s="482" t="s">
        <v>394</v>
      </c>
      <c r="V23" s="483"/>
      <c r="W23" s="483"/>
      <c r="X23" s="483"/>
      <c r="Y23" s="483"/>
      <c r="Z23" s="482" t="s">
        <v>395</v>
      </c>
      <c r="AA23" s="483"/>
      <c r="AB23" s="483"/>
      <c r="AC23" s="483"/>
      <c r="AD23" s="483"/>
      <c r="AE23" s="482" t="s">
        <v>396</v>
      </c>
      <c r="AF23" s="483"/>
      <c r="AG23" s="483"/>
      <c r="AH23" s="483"/>
      <c r="AI23" s="483"/>
      <c r="AJ23" s="482" t="s">
        <v>397</v>
      </c>
      <c r="AK23" s="483"/>
      <c r="AL23" s="483"/>
      <c r="AM23" s="483"/>
      <c r="AN23" s="483"/>
      <c r="AO23" s="482" t="s">
        <v>398</v>
      </c>
      <c r="AP23" s="483"/>
      <c r="AQ23" s="483"/>
      <c r="AR23" s="483"/>
      <c r="AS23" s="483"/>
      <c r="AT23" s="482" t="s">
        <v>399</v>
      </c>
      <c r="AU23" s="483"/>
      <c r="AV23" s="483"/>
      <c r="AW23" s="483"/>
      <c r="AX23" s="483"/>
    </row>
    <row r="24" spans="2:50">
      <c r="B24" s="475" t="s">
        <v>634</v>
      </c>
      <c r="C24" s="475" t="s">
        <v>644</v>
      </c>
      <c r="D24" s="475"/>
      <c r="E24" s="475" t="s">
        <v>635</v>
      </c>
      <c r="F24" s="475"/>
      <c r="G24" s="475"/>
      <c r="H24" s="491" t="s">
        <v>631</v>
      </c>
      <c r="I24" s="459" t="s">
        <v>636</v>
      </c>
      <c r="J24" s="459"/>
      <c r="K24" s="459"/>
      <c r="L24" s="460" t="s">
        <v>631</v>
      </c>
      <c r="M24" s="466" t="s">
        <v>632</v>
      </c>
      <c r="N24" s="475"/>
      <c r="O24" s="475" t="s">
        <v>637</v>
      </c>
      <c r="P24" s="472" t="s">
        <v>633</v>
      </c>
      <c r="Q24" s="473"/>
      <c r="R24" s="473"/>
      <c r="S24" s="474"/>
      <c r="T24" s="475" t="s">
        <v>631</v>
      </c>
      <c r="U24" s="472" t="s">
        <v>633</v>
      </c>
      <c r="V24" s="473"/>
      <c r="W24" s="473"/>
      <c r="X24" s="474"/>
      <c r="Y24" s="475" t="s">
        <v>631</v>
      </c>
      <c r="Z24" s="472" t="s">
        <v>633</v>
      </c>
      <c r="AA24" s="473"/>
      <c r="AB24" s="473"/>
      <c r="AC24" s="474"/>
      <c r="AD24" s="475" t="s">
        <v>631</v>
      </c>
      <c r="AE24" s="472" t="s">
        <v>633</v>
      </c>
      <c r="AF24" s="473"/>
      <c r="AG24" s="473"/>
      <c r="AH24" s="474"/>
      <c r="AI24" s="475" t="s">
        <v>631</v>
      </c>
      <c r="AJ24" s="472" t="s">
        <v>633</v>
      </c>
      <c r="AK24" s="473"/>
      <c r="AL24" s="473"/>
      <c r="AM24" s="474"/>
      <c r="AN24" s="475" t="s">
        <v>631</v>
      </c>
      <c r="AO24" s="472" t="s">
        <v>633</v>
      </c>
      <c r="AP24" s="473"/>
      <c r="AQ24" s="473"/>
      <c r="AR24" s="474"/>
      <c r="AS24" s="475" t="s">
        <v>631</v>
      </c>
      <c r="AT24" s="472" t="s">
        <v>633</v>
      </c>
      <c r="AU24" s="473"/>
      <c r="AV24" s="473"/>
      <c r="AW24" s="474"/>
      <c r="AX24" s="475" t="s">
        <v>631</v>
      </c>
    </row>
    <row r="25" spans="2:50">
      <c r="B25" s="475"/>
      <c r="C25" s="475"/>
      <c r="D25" s="475"/>
      <c r="E25" s="475" t="s">
        <v>638</v>
      </c>
      <c r="F25" s="475"/>
      <c r="G25" s="475"/>
      <c r="H25" s="492"/>
      <c r="I25" s="459" t="s">
        <v>638</v>
      </c>
      <c r="J25" s="459"/>
      <c r="K25" s="459"/>
      <c r="L25" s="461"/>
      <c r="M25" s="467"/>
      <c r="N25" s="475"/>
      <c r="O25" s="475"/>
      <c r="P25" s="472" t="s">
        <v>639</v>
      </c>
      <c r="Q25" s="473"/>
      <c r="R25" s="473"/>
      <c r="S25" s="474"/>
      <c r="T25" s="475"/>
      <c r="U25" s="472" t="s">
        <v>639</v>
      </c>
      <c r="V25" s="473"/>
      <c r="W25" s="473"/>
      <c r="X25" s="474"/>
      <c r="Y25" s="475"/>
      <c r="Z25" s="472" t="s">
        <v>639</v>
      </c>
      <c r="AA25" s="473"/>
      <c r="AB25" s="473"/>
      <c r="AC25" s="474"/>
      <c r="AD25" s="475"/>
      <c r="AE25" s="472" t="s">
        <v>639</v>
      </c>
      <c r="AF25" s="473"/>
      <c r="AG25" s="473"/>
      <c r="AH25" s="474"/>
      <c r="AI25" s="475"/>
      <c r="AJ25" s="472" t="s">
        <v>639</v>
      </c>
      <c r="AK25" s="473"/>
      <c r="AL25" s="473"/>
      <c r="AM25" s="474"/>
      <c r="AN25" s="475"/>
      <c r="AO25" s="472" t="s">
        <v>639</v>
      </c>
      <c r="AP25" s="473"/>
      <c r="AQ25" s="473"/>
      <c r="AR25" s="474"/>
      <c r="AS25" s="475"/>
      <c r="AT25" s="472" t="s">
        <v>639</v>
      </c>
      <c r="AU25" s="473"/>
      <c r="AV25" s="473"/>
      <c r="AW25" s="474"/>
      <c r="AX25" s="475"/>
    </row>
    <row r="26" spans="2:50">
      <c r="B26" s="475"/>
      <c r="C26" s="475"/>
      <c r="D26" s="475"/>
      <c r="E26" s="350" t="s">
        <v>640</v>
      </c>
      <c r="F26" s="350" t="s">
        <v>641</v>
      </c>
      <c r="G26" s="350" t="s">
        <v>642</v>
      </c>
      <c r="H26" s="493"/>
      <c r="I26" s="349" t="s">
        <v>640</v>
      </c>
      <c r="J26" s="349" t="s">
        <v>641</v>
      </c>
      <c r="K26" s="349" t="s">
        <v>642</v>
      </c>
      <c r="L26" s="462"/>
      <c r="M26" s="468"/>
      <c r="N26" s="475"/>
      <c r="O26" s="475"/>
      <c r="P26" s="350" t="s">
        <v>640</v>
      </c>
      <c r="Q26" s="350" t="s">
        <v>641</v>
      </c>
      <c r="R26" s="350" t="s">
        <v>642</v>
      </c>
      <c r="S26" s="350" t="s">
        <v>632</v>
      </c>
      <c r="T26" s="475"/>
      <c r="U26" s="350" t="s">
        <v>640</v>
      </c>
      <c r="V26" s="350" t="s">
        <v>641</v>
      </c>
      <c r="W26" s="350" t="s">
        <v>642</v>
      </c>
      <c r="X26" s="350" t="s">
        <v>632</v>
      </c>
      <c r="Y26" s="475"/>
      <c r="Z26" s="350" t="s">
        <v>640</v>
      </c>
      <c r="AA26" s="350" t="s">
        <v>641</v>
      </c>
      <c r="AB26" s="350" t="s">
        <v>642</v>
      </c>
      <c r="AC26" s="350" t="s">
        <v>632</v>
      </c>
      <c r="AD26" s="475"/>
      <c r="AE26" s="350" t="s">
        <v>640</v>
      </c>
      <c r="AF26" s="350" t="s">
        <v>641</v>
      </c>
      <c r="AG26" s="350" t="s">
        <v>642</v>
      </c>
      <c r="AH26" s="350" t="s">
        <v>632</v>
      </c>
      <c r="AI26" s="475"/>
      <c r="AJ26" s="350" t="s">
        <v>640</v>
      </c>
      <c r="AK26" s="350" t="s">
        <v>641</v>
      </c>
      <c r="AL26" s="350" t="s">
        <v>642</v>
      </c>
      <c r="AM26" s="350" t="s">
        <v>632</v>
      </c>
      <c r="AN26" s="475"/>
      <c r="AO26" s="350" t="s">
        <v>640</v>
      </c>
      <c r="AP26" s="350" t="s">
        <v>641</v>
      </c>
      <c r="AQ26" s="350" t="s">
        <v>642</v>
      </c>
      <c r="AR26" s="350" t="s">
        <v>632</v>
      </c>
      <c r="AS26" s="475"/>
      <c r="AT26" s="350" t="s">
        <v>640</v>
      </c>
      <c r="AU26" s="350" t="s">
        <v>641</v>
      </c>
      <c r="AV26" s="350" t="s">
        <v>642</v>
      </c>
      <c r="AW26" s="350" t="s">
        <v>632</v>
      </c>
      <c r="AX26" s="475"/>
    </row>
    <row r="27" spans="2:50">
      <c r="B27" s="505" t="s">
        <v>643</v>
      </c>
      <c r="C27" s="351">
        <v>1</v>
      </c>
      <c r="D27" s="257" t="s">
        <v>438</v>
      </c>
      <c r="E27" s="187">
        <v>4</v>
      </c>
      <c r="F27" s="351">
        <v>2000</v>
      </c>
      <c r="G27" s="354">
        <v>500</v>
      </c>
      <c r="H27" s="507">
        <f>AVERAGE(G27:G41)</f>
        <v>283.6489898989899</v>
      </c>
      <c r="I27" s="219">
        <f>AVERAGE(P27,U27,Z27,AE27,AJ27,AO27,AT27)</f>
        <v>4.7142857142857144</v>
      </c>
      <c r="J27" s="219">
        <f>AVERAGE(Q27,V27,AA27,AF27,AK27,AP27,AU27)</f>
        <v>2123.0447178871514</v>
      </c>
      <c r="K27" s="220">
        <f>AVERAGE(R27,W27,AB27,AG27,AL27,AQ27,AV27)</f>
        <v>455.66934273709415</v>
      </c>
      <c r="L27" s="456">
        <f>IFERROR(AVERAGE(K27:K41),"-")</f>
        <v>259.10520310272989</v>
      </c>
      <c r="M27" s="221">
        <f>RANK(K27, K$27:$K$41)</f>
        <v>3</v>
      </c>
      <c r="N27" s="475"/>
      <c r="O27" s="475"/>
      <c r="P27" s="187">
        <v>5</v>
      </c>
      <c r="Q27" s="187">
        <v>2089.4117647058797</v>
      </c>
      <c r="R27" s="187">
        <v>417.88235294117595</v>
      </c>
      <c r="S27" s="351">
        <f t="shared" ref="S27:S41" si="8">RANK(R27, R$27:R$41)</f>
        <v>3</v>
      </c>
      <c r="T27" s="506">
        <f>AVERAGE(R27:R41)</f>
        <v>246.92551404047131</v>
      </c>
      <c r="U27" s="187">
        <v>5</v>
      </c>
      <c r="V27" s="187">
        <v>2107.058823529409</v>
      </c>
      <c r="W27" s="187">
        <v>421.41176470588181</v>
      </c>
      <c r="X27" s="351">
        <f t="shared" ref="X27:X41" si="9">RANK(W27, W$27:W$41)</f>
        <v>3</v>
      </c>
      <c r="Y27" s="506">
        <f>AVERAGE(W27:W41)</f>
        <v>250.45999674303948</v>
      </c>
      <c r="Z27" s="187">
        <v>5</v>
      </c>
      <c r="AA27" s="187">
        <v>2163.5294117647031</v>
      </c>
      <c r="AB27" s="187">
        <v>432.70588235294065</v>
      </c>
      <c r="AC27" s="351">
        <f t="shared" ref="AC27:AC41" si="10">RANK(AB27, AB$27:AB$41)</f>
        <v>1</v>
      </c>
      <c r="AD27" s="506">
        <f>AVERAGE(AB27:AB41)</f>
        <v>251.06028056372088</v>
      </c>
      <c r="AE27" s="187">
        <v>5</v>
      </c>
      <c r="AF27" s="187">
        <v>2095.7142857142812</v>
      </c>
      <c r="AG27" s="187">
        <v>419.14285714285626</v>
      </c>
      <c r="AH27" s="351">
        <f t="shared" ref="AH27:AH41" si="11">RANK(AG27, AG$27:AG$41)</f>
        <v>2</v>
      </c>
      <c r="AI27" s="506">
        <f>AVERAGE(AG27:AG41)</f>
        <v>247.89014787792613</v>
      </c>
      <c r="AJ27" s="187">
        <v>5</v>
      </c>
      <c r="AK27" s="187">
        <v>2057.1428571428528</v>
      </c>
      <c r="AL27" s="187">
        <v>411.42857142857054</v>
      </c>
      <c r="AM27" s="351">
        <f t="shared" ref="AM27:AM41" si="12">RANK(AL27, AL$27:AL$41)</f>
        <v>3</v>
      </c>
      <c r="AN27" s="506">
        <f>AVERAGE(AL27:AL41)</f>
        <v>248.24703052336855</v>
      </c>
      <c r="AO27" s="187">
        <v>4</v>
      </c>
      <c r="AP27" s="187">
        <v>2184.7058823529383</v>
      </c>
      <c r="AQ27" s="187">
        <v>546.17647058823457</v>
      </c>
      <c r="AR27" s="351">
        <f t="shared" ref="AR27:AR41" si="13">RANK(AQ27, AQ$27:AQ$41)</f>
        <v>1</v>
      </c>
      <c r="AS27" s="506">
        <f>AVERAGE(AQ27:AQ41)</f>
        <v>285.2928111454969</v>
      </c>
      <c r="AT27" s="187">
        <v>4</v>
      </c>
      <c r="AU27" s="187">
        <v>2163.7499999999968</v>
      </c>
      <c r="AV27" s="187">
        <v>540.9374999999992</v>
      </c>
      <c r="AW27" s="351">
        <f t="shared" ref="AW27:AW41" si="14">RANK(AV27, AV$27:AV$41)</f>
        <v>2</v>
      </c>
      <c r="AX27" s="506">
        <f>AVERAGE(AV27:AV41)</f>
        <v>283.86064082508614</v>
      </c>
    </row>
    <row r="28" spans="2:50">
      <c r="B28" s="483"/>
      <c r="C28" s="351">
        <v>2</v>
      </c>
      <c r="D28" s="257" t="s">
        <v>506</v>
      </c>
      <c r="E28" s="187">
        <v>4</v>
      </c>
      <c r="F28" s="351">
        <v>2000</v>
      </c>
      <c r="G28" s="354">
        <v>500</v>
      </c>
      <c r="H28" s="508"/>
      <c r="I28" s="219">
        <f t="shared" ref="I28:I36" si="15">AVERAGE(P28,U28,Z28,AE28,AJ28,AO28,AT28)</f>
        <v>4.7142857142857144</v>
      </c>
      <c r="J28" s="219">
        <f t="shared" ref="J28:J36" si="16">AVERAGE(Q28,V28,AA28,AF28,AK28,AP28,AU28)</f>
        <v>2135.3589435774275</v>
      </c>
      <c r="K28" s="220">
        <f t="shared" ref="K28:K36" si="17">AVERAGE(R28,W28,AB28,AG28,AL28,AQ28,AV28)</f>
        <v>457.87851140456121</v>
      </c>
      <c r="L28" s="457"/>
      <c r="M28" s="221">
        <f>RANK(K28, K$27:$K$41)</f>
        <v>2</v>
      </c>
      <c r="N28" s="475"/>
      <c r="O28" s="475"/>
      <c r="P28" s="187">
        <v>5</v>
      </c>
      <c r="Q28" s="187">
        <v>2089.9999999999986</v>
      </c>
      <c r="R28" s="187">
        <v>417.99999999999972</v>
      </c>
      <c r="S28" s="351">
        <f t="shared" si="8"/>
        <v>2</v>
      </c>
      <c r="T28" s="506"/>
      <c r="U28" s="187">
        <v>5</v>
      </c>
      <c r="V28" s="187">
        <v>2175.9999999999959</v>
      </c>
      <c r="W28" s="187">
        <v>435.19999999999919</v>
      </c>
      <c r="X28" s="351">
        <f t="shared" si="9"/>
        <v>2</v>
      </c>
      <c r="Y28" s="506"/>
      <c r="Z28" s="187">
        <v>5</v>
      </c>
      <c r="AA28" s="187">
        <v>2159.9999999999973</v>
      </c>
      <c r="AB28" s="187">
        <v>431.99999999999943</v>
      </c>
      <c r="AC28" s="351">
        <f t="shared" si="10"/>
        <v>2</v>
      </c>
      <c r="AD28" s="506"/>
      <c r="AE28" s="187">
        <v>5</v>
      </c>
      <c r="AF28" s="187">
        <v>2091.428571428567</v>
      </c>
      <c r="AG28" s="187">
        <v>418.28571428571342</v>
      </c>
      <c r="AH28" s="351">
        <f t="shared" si="11"/>
        <v>3</v>
      </c>
      <c r="AI28" s="506"/>
      <c r="AJ28" s="187">
        <v>5</v>
      </c>
      <c r="AK28" s="187">
        <v>2117.1428571428523</v>
      </c>
      <c r="AL28" s="187">
        <v>423.42857142857048</v>
      </c>
      <c r="AM28" s="351">
        <f t="shared" si="12"/>
        <v>2</v>
      </c>
      <c r="AN28" s="506"/>
      <c r="AO28" s="187">
        <v>4</v>
      </c>
      <c r="AP28" s="187">
        <v>2174.1176470588207</v>
      </c>
      <c r="AQ28" s="187">
        <v>543.52941176470517</v>
      </c>
      <c r="AR28" s="351">
        <f t="shared" si="13"/>
        <v>2</v>
      </c>
      <c r="AS28" s="506"/>
      <c r="AT28" s="187">
        <v>4</v>
      </c>
      <c r="AU28" s="187">
        <v>2138.8235294117621</v>
      </c>
      <c r="AV28" s="187">
        <v>534.70588235294053</v>
      </c>
      <c r="AW28" s="351">
        <f t="shared" si="14"/>
        <v>3</v>
      </c>
      <c r="AX28" s="506"/>
    </row>
    <row r="29" spans="2:50">
      <c r="B29" s="483"/>
      <c r="C29" s="351">
        <v>3</v>
      </c>
      <c r="D29" s="257" t="s">
        <v>781</v>
      </c>
      <c r="E29" s="187">
        <v>4</v>
      </c>
      <c r="F29" s="351">
        <v>2000</v>
      </c>
      <c r="G29" s="354">
        <v>500</v>
      </c>
      <c r="H29" s="508"/>
      <c r="I29" s="219">
        <f t="shared" si="15"/>
        <v>4.7142857142857144</v>
      </c>
      <c r="J29" s="219">
        <f t="shared" si="16"/>
        <v>2159.7142038086145</v>
      </c>
      <c r="K29" s="220">
        <f t="shared" si="17"/>
        <v>462.93773872090662</v>
      </c>
      <c r="L29" s="457"/>
      <c r="M29" s="221">
        <f>RANK(K29, K$27:$K$41)</f>
        <v>1</v>
      </c>
      <c r="N29" s="475"/>
      <c r="O29" s="475"/>
      <c r="P29" s="187">
        <v>5</v>
      </c>
      <c r="Q29" s="187">
        <v>2118.4615384615395</v>
      </c>
      <c r="R29" s="187">
        <v>423.69230769230791</v>
      </c>
      <c r="S29" s="351">
        <f t="shared" si="8"/>
        <v>1</v>
      </c>
      <c r="T29" s="506"/>
      <c r="U29" s="187">
        <v>5</v>
      </c>
      <c r="V29" s="187">
        <v>2191.2000000000007</v>
      </c>
      <c r="W29" s="187">
        <v>438.24000000000012</v>
      </c>
      <c r="X29" s="351">
        <f t="shared" si="9"/>
        <v>1</v>
      </c>
      <c r="Y29" s="506"/>
      <c r="Z29" s="187">
        <v>5</v>
      </c>
      <c r="AA29" s="187">
        <v>2138.4000000000005</v>
      </c>
      <c r="AB29" s="187">
        <v>427.68000000000012</v>
      </c>
      <c r="AC29" s="351">
        <f t="shared" si="10"/>
        <v>3</v>
      </c>
      <c r="AD29" s="506"/>
      <c r="AE29" s="187">
        <v>5</v>
      </c>
      <c r="AF29" s="187">
        <v>2175.6521739130435</v>
      </c>
      <c r="AG29" s="187">
        <v>435.13043478260869</v>
      </c>
      <c r="AH29" s="351">
        <f t="shared" si="11"/>
        <v>1</v>
      </c>
      <c r="AI29" s="506"/>
      <c r="AJ29" s="187">
        <v>5</v>
      </c>
      <c r="AK29" s="187">
        <v>2155.0000000000009</v>
      </c>
      <c r="AL29" s="187">
        <v>431.00000000000017</v>
      </c>
      <c r="AM29" s="351">
        <f t="shared" si="12"/>
        <v>1</v>
      </c>
      <c r="AN29" s="506"/>
      <c r="AO29" s="187">
        <v>4</v>
      </c>
      <c r="AP29" s="187">
        <v>2149.285714285716</v>
      </c>
      <c r="AQ29" s="187">
        <v>537.32142857142901</v>
      </c>
      <c r="AR29" s="351">
        <f t="shared" si="13"/>
        <v>3</v>
      </c>
      <c r="AS29" s="506"/>
      <c r="AT29" s="187">
        <v>4</v>
      </c>
      <c r="AU29" s="187">
        <v>2190.0000000000018</v>
      </c>
      <c r="AV29" s="187">
        <v>547.50000000000045</v>
      </c>
      <c r="AW29" s="351">
        <f t="shared" si="14"/>
        <v>1</v>
      </c>
      <c r="AX29" s="506"/>
    </row>
    <row r="30" spans="2:50">
      <c r="B30" s="483"/>
      <c r="C30" s="351">
        <v>4</v>
      </c>
      <c r="D30" s="257" t="s">
        <v>507</v>
      </c>
      <c r="E30" s="187">
        <v>12</v>
      </c>
      <c r="F30" s="351">
        <v>2250</v>
      </c>
      <c r="G30" s="354">
        <v>187.5</v>
      </c>
      <c r="H30" s="508"/>
      <c r="I30" s="219">
        <f t="shared" si="15"/>
        <v>12</v>
      </c>
      <c r="J30" s="219">
        <f t="shared" si="16"/>
        <v>1966.7990029466491</v>
      </c>
      <c r="K30" s="220">
        <f t="shared" si="17"/>
        <v>163.89991691222073</v>
      </c>
      <c r="L30" s="457"/>
      <c r="M30" s="221">
        <f>RANK(K30, K$27:$K$41)</f>
        <v>9</v>
      </c>
      <c r="N30" s="475"/>
      <c r="O30" s="475"/>
      <c r="P30" s="187">
        <v>12</v>
      </c>
      <c r="Q30" s="187">
        <v>1976.4705882352939</v>
      </c>
      <c r="R30" s="187">
        <v>164.70588235294116</v>
      </c>
      <c r="S30" s="351">
        <f t="shared" si="8"/>
        <v>8</v>
      </c>
      <c r="T30" s="506"/>
      <c r="U30" s="187">
        <v>12</v>
      </c>
      <c r="V30" s="187">
        <v>1966.5671641791046</v>
      </c>
      <c r="W30" s="187">
        <v>163.88059701492537</v>
      </c>
      <c r="X30" s="351">
        <f t="shared" si="9"/>
        <v>9</v>
      </c>
      <c r="Y30" s="506"/>
      <c r="Z30" s="187">
        <v>12</v>
      </c>
      <c r="AA30" s="187">
        <v>1936.8749999999995</v>
      </c>
      <c r="AB30" s="187">
        <v>161.40624999999997</v>
      </c>
      <c r="AC30" s="351">
        <f t="shared" si="10"/>
        <v>9</v>
      </c>
      <c r="AD30" s="506"/>
      <c r="AE30" s="187">
        <v>12</v>
      </c>
      <c r="AF30" s="187">
        <v>1963.9285714285713</v>
      </c>
      <c r="AG30" s="187">
        <v>163.66071428571428</v>
      </c>
      <c r="AH30" s="351">
        <f t="shared" si="11"/>
        <v>8</v>
      </c>
      <c r="AI30" s="506"/>
      <c r="AJ30" s="187">
        <v>12</v>
      </c>
      <c r="AK30" s="187">
        <v>1997.8947368421054</v>
      </c>
      <c r="AL30" s="187">
        <v>166.49122807017545</v>
      </c>
      <c r="AM30" s="351">
        <f t="shared" si="12"/>
        <v>8</v>
      </c>
      <c r="AN30" s="506"/>
      <c r="AO30" s="187">
        <v>12</v>
      </c>
      <c r="AP30" s="187">
        <v>1934.0259740259739</v>
      </c>
      <c r="AQ30" s="187">
        <v>161.16883116883116</v>
      </c>
      <c r="AR30" s="351">
        <f t="shared" si="13"/>
        <v>9</v>
      </c>
      <c r="AS30" s="506"/>
      <c r="AT30" s="187">
        <v>12</v>
      </c>
      <c r="AU30" s="187">
        <v>1991.8309859154936</v>
      </c>
      <c r="AV30" s="187">
        <v>165.98591549295779</v>
      </c>
      <c r="AW30" s="351">
        <f t="shared" si="14"/>
        <v>8</v>
      </c>
      <c r="AX30" s="506"/>
    </row>
    <row r="31" spans="2:50">
      <c r="B31" s="483"/>
      <c r="C31" s="351">
        <v>5</v>
      </c>
      <c r="D31" s="257" t="s">
        <v>508</v>
      </c>
      <c r="E31" s="187">
        <v>12</v>
      </c>
      <c r="F31" s="351">
        <v>2250</v>
      </c>
      <c r="G31" s="354">
        <v>187.5</v>
      </c>
      <c r="H31" s="508"/>
      <c r="I31" s="219">
        <f t="shared" si="15"/>
        <v>11.857142857142858</v>
      </c>
      <c r="J31" s="219">
        <f t="shared" si="16"/>
        <v>2049.5839076069674</v>
      </c>
      <c r="K31" s="220">
        <f t="shared" si="17"/>
        <v>172.88523905382741</v>
      </c>
      <c r="L31" s="457"/>
      <c r="M31" s="221">
        <f>RANK(K31, K$27:$K$41)</f>
        <v>7</v>
      </c>
      <c r="N31" s="475"/>
      <c r="O31" s="475"/>
      <c r="P31" s="187">
        <v>12</v>
      </c>
      <c r="Q31" s="187">
        <v>2060.7079646017701</v>
      </c>
      <c r="R31" s="187">
        <v>171.72566371681418</v>
      </c>
      <c r="S31" s="351">
        <f t="shared" si="8"/>
        <v>7</v>
      </c>
      <c r="T31" s="506"/>
      <c r="U31" s="187">
        <v>12</v>
      </c>
      <c r="V31" s="187">
        <v>2052.3364485981306</v>
      </c>
      <c r="W31" s="187">
        <v>171.02803738317755</v>
      </c>
      <c r="X31" s="351">
        <f t="shared" si="9"/>
        <v>7</v>
      </c>
      <c r="Y31" s="506"/>
      <c r="Z31" s="187">
        <v>12</v>
      </c>
      <c r="AA31" s="187">
        <v>2039.3939393939397</v>
      </c>
      <c r="AB31" s="187">
        <v>169.94949494949498</v>
      </c>
      <c r="AC31" s="351">
        <f t="shared" si="10"/>
        <v>7</v>
      </c>
      <c r="AD31" s="506"/>
      <c r="AE31" s="187">
        <v>12</v>
      </c>
      <c r="AF31" s="187">
        <v>2114.6341463414637</v>
      </c>
      <c r="AG31" s="187">
        <v>176.21951219512198</v>
      </c>
      <c r="AH31" s="351">
        <f t="shared" si="11"/>
        <v>7</v>
      </c>
      <c r="AI31" s="506"/>
      <c r="AJ31" s="187">
        <v>12</v>
      </c>
      <c r="AK31" s="187">
        <v>2103.3707865168531</v>
      </c>
      <c r="AL31" s="187">
        <v>175.28089887640442</v>
      </c>
      <c r="AM31" s="351">
        <f t="shared" si="12"/>
        <v>7</v>
      </c>
      <c r="AN31" s="506"/>
      <c r="AO31" s="187">
        <v>12</v>
      </c>
      <c r="AP31" s="187">
        <v>2048.6440677966098</v>
      </c>
      <c r="AQ31" s="187">
        <v>170.72033898305082</v>
      </c>
      <c r="AR31" s="351">
        <f t="shared" si="13"/>
        <v>7</v>
      </c>
      <c r="AS31" s="506"/>
      <c r="AT31" s="187">
        <v>11</v>
      </c>
      <c r="AU31" s="187">
        <v>1928.0000000000068</v>
      </c>
      <c r="AV31" s="187">
        <v>175.27272727272791</v>
      </c>
      <c r="AW31" s="351">
        <f t="shared" si="14"/>
        <v>7</v>
      </c>
      <c r="AX31" s="506"/>
    </row>
    <row r="32" spans="2:50">
      <c r="B32" s="483"/>
      <c r="C32" s="351">
        <v>6</v>
      </c>
      <c r="D32" s="257" t="s">
        <v>509</v>
      </c>
      <c r="E32" s="187">
        <v>11</v>
      </c>
      <c r="F32" s="351">
        <v>2250</v>
      </c>
      <c r="G32" s="354">
        <v>204.54545454545453</v>
      </c>
      <c r="H32" s="508"/>
      <c r="I32" s="219">
        <f t="shared" si="15"/>
        <v>11</v>
      </c>
      <c r="J32" s="219">
        <f t="shared" si="16"/>
        <v>1973.5138616639931</v>
      </c>
      <c r="K32" s="220">
        <f t="shared" si="17"/>
        <v>179.41035106036298</v>
      </c>
      <c r="L32" s="457"/>
      <c r="M32" s="221">
        <f>RANK(K32, K$27:$K$41)</f>
        <v>6</v>
      </c>
      <c r="N32" s="475"/>
      <c r="O32" s="475"/>
      <c r="P32" s="187">
        <v>11</v>
      </c>
      <c r="Q32" s="187">
        <v>1958.7272727272725</v>
      </c>
      <c r="R32" s="187">
        <v>178.06611570247932</v>
      </c>
      <c r="S32" s="351">
        <f t="shared" si="8"/>
        <v>6</v>
      </c>
      <c r="T32" s="506"/>
      <c r="U32" s="187">
        <v>11</v>
      </c>
      <c r="V32" s="187">
        <v>1947.4285714285709</v>
      </c>
      <c r="W32" s="187">
        <v>177.03896103896099</v>
      </c>
      <c r="X32" s="351">
        <f t="shared" si="9"/>
        <v>6</v>
      </c>
      <c r="Y32" s="506"/>
      <c r="Z32" s="187">
        <v>11</v>
      </c>
      <c r="AA32" s="187">
        <v>2018.7500000000005</v>
      </c>
      <c r="AB32" s="187">
        <v>183.52272727272731</v>
      </c>
      <c r="AC32" s="351">
        <f t="shared" si="10"/>
        <v>6</v>
      </c>
      <c r="AD32" s="506"/>
      <c r="AE32" s="187">
        <v>11</v>
      </c>
      <c r="AF32" s="187">
        <v>1954.2857142857138</v>
      </c>
      <c r="AG32" s="187">
        <v>177.66233766233762</v>
      </c>
      <c r="AH32" s="351">
        <f t="shared" si="11"/>
        <v>6</v>
      </c>
      <c r="AI32" s="506"/>
      <c r="AJ32" s="187">
        <v>11</v>
      </c>
      <c r="AK32" s="187">
        <v>1977.9775280898878</v>
      </c>
      <c r="AL32" s="187">
        <v>179.81613891726252</v>
      </c>
      <c r="AM32" s="351">
        <f t="shared" si="12"/>
        <v>6</v>
      </c>
      <c r="AN32" s="506"/>
      <c r="AO32" s="187">
        <v>11</v>
      </c>
      <c r="AP32" s="187">
        <v>2027.339449541284</v>
      </c>
      <c r="AQ32" s="187">
        <v>184.30358632193492</v>
      </c>
      <c r="AR32" s="351">
        <f t="shared" si="13"/>
        <v>6</v>
      </c>
      <c r="AS32" s="506"/>
      <c r="AT32" s="187">
        <v>11</v>
      </c>
      <c r="AU32" s="187">
        <v>1930.0884955752215</v>
      </c>
      <c r="AV32" s="187">
        <v>175.46259050683832</v>
      </c>
      <c r="AW32" s="351">
        <f t="shared" si="14"/>
        <v>6</v>
      </c>
      <c r="AX32" s="506"/>
    </row>
    <row r="33" spans="2:50">
      <c r="B33" s="483"/>
      <c r="C33" s="351">
        <v>7</v>
      </c>
      <c r="D33" s="257" t="s">
        <v>510</v>
      </c>
      <c r="E33" s="187">
        <v>12</v>
      </c>
      <c r="F33" s="351">
        <v>2250</v>
      </c>
      <c r="G33" s="354">
        <v>187.5</v>
      </c>
      <c r="H33" s="508"/>
      <c r="I33" s="219">
        <f t="shared" si="15"/>
        <v>12</v>
      </c>
      <c r="J33" s="219">
        <f t="shared" si="16"/>
        <v>1972.2216612187626</v>
      </c>
      <c r="K33" s="220">
        <f t="shared" si="17"/>
        <v>164.35180510156357</v>
      </c>
      <c r="L33" s="457"/>
      <c r="M33" s="221">
        <f>RANK(K33, K$27:$K$41)</f>
        <v>8</v>
      </c>
      <c r="N33" s="475"/>
      <c r="O33" s="475"/>
      <c r="P33" s="187">
        <v>12</v>
      </c>
      <c r="Q33" s="187">
        <v>1945.3846153846164</v>
      </c>
      <c r="R33" s="187">
        <v>162.1153846153847</v>
      </c>
      <c r="S33" s="351">
        <f t="shared" si="8"/>
        <v>9</v>
      </c>
      <c r="T33" s="506"/>
      <c r="U33" s="187">
        <v>12</v>
      </c>
      <c r="V33" s="187">
        <v>1987.5000000000005</v>
      </c>
      <c r="W33" s="187">
        <v>165.62500000000003</v>
      </c>
      <c r="X33" s="351">
        <f t="shared" si="9"/>
        <v>8</v>
      </c>
      <c r="Y33" s="506"/>
      <c r="Z33" s="187">
        <v>12</v>
      </c>
      <c r="AA33" s="187">
        <v>2004</v>
      </c>
      <c r="AB33" s="187">
        <v>167</v>
      </c>
      <c r="AC33" s="351">
        <f t="shared" si="10"/>
        <v>8</v>
      </c>
      <c r="AD33" s="506"/>
      <c r="AE33" s="187">
        <v>12</v>
      </c>
      <c r="AF33" s="187">
        <v>1936.4999999999995</v>
      </c>
      <c r="AG33" s="187">
        <v>161.37499999999997</v>
      </c>
      <c r="AH33" s="351">
        <f t="shared" si="11"/>
        <v>9</v>
      </c>
      <c r="AI33" s="506"/>
      <c r="AJ33" s="187">
        <v>12</v>
      </c>
      <c r="AK33" s="187">
        <v>1987.317073170731</v>
      </c>
      <c r="AL33" s="187">
        <v>165.6097560975609</v>
      </c>
      <c r="AM33" s="351">
        <f t="shared" si="12"/>
        <v>9</v>
      </c>
      <c r="AN33" s="506"/>
      <c r="AO33" s="187">
        <v>12</v>
      </c>
      <c r="AP33" s="187">
        <v>1983.6734693877556</v>
      </c>
      <c r="AQ33" s="187">
        <v>165.30612244897964</v>
      </c>
      <c r="AR33" s="351">
        <f t="shared" si="13"/>
        <v>8</v>
      </c>
      <c r="AS33" s="506"/>
      <c r="AT33" s="187">
        <v>12</v>
      </c>
      <c r="AU33" s="187">
        <v>1961.1764705882363</v>
      </c>
      <c r="AV33" s="187">
        <v>163.4313725490197</v>
      </c>
      <c r="AW33" s="351">
        <f t="shared" si="14"/>
        <v>9</v>
      </c>
      <c r="AX33" s="506"/>
    </row>
    <row r="34" spans="2:50">
      <c r="B34" s="483"/>
      <c r="C34" s="351">
        <v>8</v>
      </c>
      <c r="D34" s="257" t="s">
        <v>511</v>
      </c>
      <c r="E34" s="187">
        <v>9</v>
      </c>
      <c r="F34" s="351">
        <v>2250</v>
      </c>
      <c r="G34" s="354">
        <v>250</v>
      </c>
      <c r="H34" s="508"/>
      <c r="I34" s="219">
        <f t="shared" si="15"/>
        <v>9</v>
      </c>
      <c r="J34" s="219">
        <f t="shared" si="16"/>
        <v>1963.4973398450295</v>
      </c>
      <c r="K34" s="220">
        <f t="shared" si="17"/>
        <v>218.16637109389217</v>
      </c>
      <c r="L34" s="457"/>
      <c r="M34" s="221">
        <f>RANK(K34, K$27:$K$41)</f>
        <v>5</v>
      </c>
      <c r="N34" s="475"/>
      <c r="O34" s="475"/>
      <c r="P34" s="187">
        <v>9</v>
      </c>
      <c r="Q34" s="187">
        <v>1957.0588235294142</v>
      </c>
      <c r="R34" s="187">
        <v>217.45098039215713</v>
      </c>
      <c r="S34" s="351">
        <f t="shared" si="8"/>
        <v>5</v>
      </c>
      <c r="T34" s="506"/>
      <c r="U34" s="187">
        <v>9</v>
      </c>
      <c r="V34" s="187">
        <v>1970.625000000002</v>
      </c>
      <c r="W34" s="187">
        <v>218.95833333333357</v>
      </c>
      <c r="X34" s="351">
        <f t="shared" si="9"/>
        <v>4</v>
      </c>
      <c r="Y34" s="506"/>
      <c r="Z34" s="187">
        <v>9</v>
      </c>
      <c r="AA34" s="187">
        <v>1974.5454545454566</v>
      </c>
      <c r="AB34" s="187">
        <v>219.3939393939396</v>
      </c>
      <c r="AC34" s="351">
        <f t="shared" si="10"/>
        <v>5</v>
      </c>
      <c r="AD34" s="506"/>
      <c r="AE34" s="187">
        <v>9</v>
      </c>
      <c r="AF34" s="187">
        <v>1930.7142857142871</v>
      </c>
      <c r="AG34" s="187">
        <v>214.52380952380969</v>
      </c>
      <c r="AH34" s="351">
        <f t="shared" si="11"/>
        <v>5</v>
      </c>
      <c r="AI34" s="506"/>
      <c r="AJ34" s="187">
        <v>9</v>
      </c>
      <c r="AK34" s="187">
        <v>1952.1428571428587</v>
      </c>
      <c r="AL34" s="187">
        <v>216.90476190476207</v>
      </c>
      <c r="AM34" s="351">
        <f t="shared" si="12"/>
        <v>4</v>
      </c>
      <c r="AN34" s="506"/>
      <c r="AO34" s="187">
        <v>9</v>
      </c>
      <c r="AP34" s="187">
        <v>2000.5714285714264</v>
      </c>
      <c r="AQ34" s="187">
        <v>222.28571428571405</v>
      </c>
      <c r="AR34" s="351">
        <f t="shared" si="13"/>
        <v>5</v>
      </c>
      <c r="AS34" s="506"/>
      <c r="AT34" s="187">
        <v>9</v>
      </c>
      <c r="AU34" s="187">
        <v>1958.8235294117621</v>
      </c>
      <c r="AV34" s="187">
        <v>217.64705882352914</v>
      </c>
      <c r="AW34" s="351">
        <f t="shared" si="14"/>
        <v>5</v>
      </c>
      <c r="AX34" s="506"/>
    </row>
    <row r="35" spans="2:50">
      <c r="B35" s="483"/>
      <c r="C35" s="351">
        <v>9</v>
      </c>
      <c r="D35" s="257" t="s">
        <v>512</v>
      </c>
      <c r="E35" s="187">
        <v>9</v>
      </c>
      <c r="F35" s="351">
        <v>2250</v>
      </c>
      <c r="G35" s="354">
        <v>250</v>
      </c>
      <c r="H35" s="508"/>
      <c r="I35" s="219">
        <f t="shared" si="15"/>
        <v>9</v>
      </c>
      <c r="J35" s="219">
        <f t="shared" si="16"/>
        <v>1983.7510526814171</v>
      </c>
      <c r="K35" s="220">
        <f t="shared" si="17"/>
        <v>220.4167836312686</v>
      </c>
      <c r="L35" s="457"/>
      <c r="M35" s="221">
        <f>RANK(K35, K$27:$K$41)</f>
        <v>4</v>
      </c>
      <c r="N35" s="475"/>
      <c r="O35" s="475"/>
      <c r="P35" s="187">
        <v>9</v>
      </c>
      <c r="Q35" s="187">
        <v>1975.6250000000005</v>
      </c>
      <c r="R35" s="187">
        <v>219.51388888888894</v>
      </c>
      <c r="S35" s="351">
        <f t="shared" si="8"/>
        <v>4</v>
      </c>
      <c r="T35" s="506"/>
      <c r="U35" s="187">
        <v>9</v>
      </c>
      <c r="V35" s="187">
        <v>1969.2631578947357</v>
      </c>
      <c r="W35" s="187">
        <v>218.80701754385953</v>
      </c>
      <c r="X35" s="351">
        <f t="shared" si="9"/>
        <v>5</v>
      </c>
      <c r="Y35" s="506"/>
      <c r="Z35" s="187">
        <v>9</v>
      </c>
      <c r="AA35" s="187">
        <v>1977.9775280898857</v>
      </c>
      <c r="AB35" s="187">
        <v>219.77528089887619</v>
      </c>
      <c r="AC35" s="351">
        <f t="shared" si="10"/>
        <v>4</v>
      </c>
      <c r="AD35" s="506"/>
      <c r="AE35" s="187">
        <v>9</v>
      </c>
      <c r="AF35" s="187">
        <v>1979.9999999999986</v>
      </c>
      <c r="AG35" s="187">
        <v>219.99999999999986</v>
      </c>
      <c r="AH35" s="351">
        <f t="shared" si="11"/>
        <v>4</v>
      </c>
      <c r="AI35" s="506"/>
      <c r="AJ35" s="187">
        <v>9</v>
      </c>
      <c r="AK35" s="187">
        <v>1947.9999999999993</v>
      </c>
      <c r="AL35" s="187">
        <v>216.44444444444437</v>
      </c>
      <c r="AM35" s="351">
        <f t="shared" si="12"/>
        <v>5</v>
      </c>
      <c r="AN35" s="506"/>
      <c r="AO35" s="187">
        <v>9</v>
      </c>
      <c r="AP35" s="187">
        <v>2031.1363636363635</v>
      </c>
      <c r="AQ35" s="187">
        <v>225.68181818181816</v>
      </c>
      <c r="AR35" s="351">
        <f t="shared" si="13"/>
        <v>4</v>
      </c>
      <c r="AS35" s="506"/>
      <c r="AT35" s="187">
        <v>9</v>
      </c>
      <c r="AU35" s="187">
        <v>2004.2553191489367</v>
      </c>
      <c r="AV35" s="187">
        <v>222.69503546099295</v>
      </c>
      <c r="AW35" s="351">
        <f t="shared" si="14"/>
        <v>4</v>
      </c>
      <c r="AX35" s="506"/>
    </row>
    <row r="36" spans="2:50">
      <c r="B36" s="483"/>
      <c r="C36" s="351">
        <v>10</v>
      </c>
      <c r="D36" s="257" t="s">
        <v>505</v>
      </c>
      <c r="E36" s="187">
        <v>18</v>
      </c>
      <c r="F36" s="351">
        <v>1250</v>
      </c>
      <c r="G36" s="354">
        <v>69.444444444444443</v>
      </c>
      <c r="H36" s="508"/>
      <c r="I36" s="219">
        <f t="shared" si="15"/>
        <v>13</v>
      </c>
      <c r="J36" s="219">
        <f t="shared" si="16"/>
        <v>1240.667627050821</v>
      </c>
      <c r="K36" s="220">
        <f t="shared" si="17"/>
        <v>95.435971311601605</v>
      </c>
      <c r="L36" s="457"/>
      <c r="M36" s="221">
        <f>RANK(K36, K$27:$K$41)</f>
        <v>10</v>
      </c>
      <c r="N36" s="475"/>
      <c r="O36" s="475"/>
      <c r="P36" s="187">
        <v>13</v>
      </c>
      <c r="Q36" s="187">
        <v>1249.3333333333335</v>
      </c>
      <c r="R36" s="187">
        <v>96.102564102564116</v>
      </c>
      <c r="S36" s="351">
        <f t="shared" si="8"/>
        <v>10</v>
      </c>
      <c r="T36" s="506"/>
      <c r="U36" s="187">
        <v>13</v>
      </c>
      <c r="V36" s="187">
        <v>1227.3333333333333</v>
      </c>
      <c r="W36" s="187">
        <v>94.410256410256409</v>
      </c>
      <c r="X36" s="351">
        <f t="shared" si="9"/>
        <v>10</v>
      </c>
      <c r="Y36" s="506"/>
      <c r="Z36" s="187">
        <v>13</v>
      </c>
      <c r="AA36" s="187">
        <v>1263.2000000000005</v>
      </c>
      <c r="AB36" s="187">
        <v>97.169230769230808</v>
      </c>
      <c r="AC36" s="351">
        <f t="shared" si="10"/>
        <v>10</v>
      </c>
      <c r="AD36" s="506"/>
      <c r="AE36" s="187">
        <v>13</v>
      </c>
      <c r="AF36" s="187">
        <v>1207.7142857142865</v>
      </c>
      <c r="AG36" s="187">
        <v>92.901098901098962</v>
      </c>
      <c r="AH36" s="351">
        <f t="shared" si="11"/>
        <v>10</v>
      </c>
      <c r="AI36" s="506"/>
      <c r="AJ36" s="187">
        <v>13</v>
      </c>
      <c r="AK36" s="187">
        <v>1248.8571428571436</v>
      </c>
      <c r="AL36" s="187">
        <v>96.065934065934115</v>
      </c>
      <c r="AM36" s="351">
        <f t="shared" si="12"/>
        <v>10</v>
      </c>
      <c r="AN36" s="506"/>
      <c r="AO36" s="187">
        <v>13</v>
      </c>
      <c r="AP36" s="187">
        <v>1253.6470588235302</v>
      </c>
      <c r="AQ36" s="187">
        <v>96.434389140271549</v>
      </c>
      <c r="AR36" s="351">
        <f t="shared" si="13"/>
        <v>10</v>
      </c>
      <c r="AS36" s="506"/>
      <c r="AT36" s="187">
        <v>13</v>
      </c>
      <c r="AU36" s="187">
        <v>1234.5882352941185</v>
      </c>
      <c r="AV36" s="187">
        <v>94.968325791855264</v>
      </c>
      <c r="AW36" s="351">
        <f t="shared" si="14"/>
        <v>10</v>
      </c>
      <c r="AX36" s="506"/>
    </row>
    <row r="37" spans="2:50">
      <c r="B37" s="483"/>
      <c r="C37" s="351">
        <v>11</v>
      </c>
      <c r="D37" s="257"/>
      <c r="E37" s="187"/>
      <c r="F37" s="351"/>
      <c r="G37" s="354"/>
      <c r="H37" s="508"/>
      <c r="I37" s="222"/>
      <c r="J37" s="222"/>
      <c r="K37" s="222"/>
      <c r="L37" s="457"/>
      <c r="M37" s="221" t="e">
        <f>RANK(K37, K$27:$K$41)</f>
        <v>#N/A</v>
      </c>
      <c r="N37" s="475"/>
      <c r="O37" s="475"/>
      <c r="P37" s="187"/>
      <c r="Q37" s="187"/>
      <c r="R37" s="187"/>
      <c r="S37" s="351" t="e">
        <f t="shared" si="8"/>
        <v>#N/A</v>
      </c>
      <c r="T37" s="506"/>
      <c r="U37" s="187"/>
      <c r="V37" s="187"/>
      <c r="W37" s="187"/>
      <c r="X37" s="351" t="e">
        <f t="shared" si="9"/>
        <v>#N/A</v>
      </c>
      <c r="Y37" s="506"/>
      <c r="Z37" s="187"/>
      <c r="AA37" s="187"/>
      <c r="AB37" s="187"/>
      <c r="AC37" s="351" t="e">
        <f t="shared" si="10"/>
        <v>#N/A</v>
      </c>
      <c r="AD37" s="506"/>
      <c r="AE37" s="187"/>
      <c r="AF37" s="187"/>
      <c r="AG37" s="187"/>
      <c r="AH37" s="351" t="e">
        <f t="shared" si="11"/>
        <v>#N/A</v>
      </c>
      <c r="AI37" s="506"/>
      <c r="AJ37" s="187"/>
      <c r="AK37" s="187"/>
      <c r="AL37" s="187"/>
      <c r="AM37" s="351" t="e">
        <f t="shared" si="12"/>
        <v>#N/A</v>
      </c>
      <c r="AN37" s="506"/>
      <c r="AO37" s="187"/>
      <c r="AP37" s="187"/>
      <c r="AQ37" s="187"/>
      <c r="AR37" s="351" t="e">
        <f t="shared" si="13"/>
        <v>#N/A</v>
      </c>
      <c r="AS37" s="506"/>
      <c r="AT37" s="187"/>
      <c r="AU37" s="187"/>
      <c r="AV37" s="354"/>
      <c r="AW37" s="351" t="e">
        <f t="shared" si="14"/>
        <v>#N/A</v>
      </c>
      <c r="AX37" s="506"/>
    </row>
    <row r="38" spans="2:50">
      <c r="B38" s="483"/>
      <c r="C38" s="351">
        <v>12</v>
      </c>
      <c r="D38" s="257"/>
      <c r="E38" s="187"/>
      <c r="F38" s="351"/>
      <c r="G38" s="354"/>
      <c r="H38" s="508"/>
      <c r="I38" s="222"/>
      <c r="J38" s="222"/>
      <c r="K38" s="222"/>
      <c r="L38" s="457"/>
      <c r="M38" s="221" t="e">
        <f>RANK(K38, K$27:$K$41)</f>
        <v>#N/A</v>
      </c>
      <c r="N38" s="475"/>
      <c r="O38" s="475"/>
      <c r="P38" s="187"/>
      <c r="Q38" s="187"/>
      <c r="R38" s="187"/>
      <c r="S38" s="351" t="e">
        <f t="shared" si="8"/>
        <v>#N/A</v>
      </c>
      <c r="T38" s="506"/>
      <c r="U38" s="187"/>
      <c r="V38" s="187"/>
      <c r="W38" s="187"/>
      <c r="X38" s="351" t="e">
        <f t="shared" si="9"/>
        <v>#N/A</v>
      </c>
      <c r="Y38" s="506"/>
      <c r="Z38" s="187"/>
      <c r="AA38" s="187"/>
      <c r="AB38" s="187"/>
      <c r="AC38" s="351" t="e">
        <f t="shared" si="10"/>
        <v>#N/A</v>
      </c>
      <c r="AD38" s="506"/>
      <c r="AE38" s="187"/>
      <c r="AF38" s="187"/>
      <c r="AG38" s="187"/>
      <c r="AH38" s="351" t="e">
        <f t="shared" si="11"/>
        <v>#N/A</v>
      </c>
      <c r="AI38" s="506"/>
      <c r="AJ38" s="187"/>
      <c r="AK38" s="187"/>
      <c r="AL38" s="187"/>
      <c r="AM38" s="351" t="e">
        <f t="shared" si="12"/>
        <v>#N/A</v>
      </c>
      <c r="AN38" s="506"/>
      <c r="AO38" s="187"/>
      <c r="AP38" s="187"/>
      <c r="AQ38" s="187"/>
      <c r="AR38" s="351" t="e">
        <f t="shared" si="13"/>
        <v>#N/A</v>
      </c>
      <c r="AS38" s="506"/>
      <c r="AT38" s="187"/>
      <c r="AU38" s="187"/>
      <c r="AV38" s="354"/>
      <c r="AW38" s="351" t="e">
        <f t="shared" si="14"/>
        <v>#N/A</v>
      </c>
      <c r="AX38" s="506"/>
    </row>
    <row r="39" spans="2:50">
      <c r="B39" s="483"/>
      <c r="C39" s="351">
        <v>13</v>
      </c>
      <c r="D39" s="257"/>
      <c r="E39" s="187"/>
      <c r="F39" s="351"/>
      <c r="G39" s="354"/>
      <c r="H39" s="508"/>
      <c r="I39" s="222"/>
      <c r="J39" s="222"/>
      <c r="K39" s="222"/>
      <c r="L39" s="457"/>
      <c r="M39" s="221" t="e">
        <f>RANK(K39, K$27:$K$41)</f>
        <v>#N/A</v>
      </c>
      <c r="N39" s="475"/>
      <c r="O39" s="475"/>
      <c r="P39" s="187"/>
      <c r="Q39" s="187"/>
      <c r="R39" s="187"/>
      <c r="S39" s="351" t="e">
        <f t="shared" si="8"/>
        <v>#N/A</v>
      </c>
      <c r="T39" s="506"/>
      <c r="U39" s="187"/>
      <c r="V39" s="187"/>
      <c r="W39" s="187"/>
      <c r="X39" s="351" t="e">
        <f t="shared" si="9"/>
        <v>#N/A</v>
      </c>
      <c r="Y39" s="506"/>
      <c r="Z39" s="187"/>
      <c r="AA39" s="187"/>
      <c r="AB39" s="187"/>
      <c r="AC39" s="351" t="e">
        <f t="shared" si="10"/>
        <v>#N/A</v>
      </c>
      <c r="AD39" s="506"/>
      <c r="AE39" s="187"/>
      <c r="AF39" s="187"/>
      <c r="AG39" s="187"/>
      <c r="AH39" s="351" t="e">
        <f t="shared" si="11"/>
        <v>#N/A</v>
      </c>
      <c r="AI39" s="506"/>
      <c r="AJ39" s="187"/>
      <c r="AK39" s="187"/>
      <c r="AL39" s="187"/>
      <c r="AM39" s="351" t="e">
        <f t="shared" si="12"/>
        <v>#N/A</v>
      </c>
      <c r="AN39" s="506"/>
      <c r="AO39" s="187"/>
      <c r="AP39" s="187"/>
      <c r="AQ39" s="187"/>
      <c r="AR39" s="351" t="e">
        <f t="shared" si="13"/>
        <v>#N/A</v>
      </c>
      <c r="AS39" s="506"/>
      <c r="AT39" s="187"/>
      <c r="AU39" s="187"/>
      <c r="AV39" s="354"/>
      <c r="AW39" s="351" t="e">
        <f t="shared" si="14"/>
        <v>#N/A</v>
      </c>
      <c r="AX39" s="506"/>
    </row>
    <row r="40" spans="2:50">
      <c r="B40" s="483"/>
      <c r="C40" s="351">
        <v>14</v>
      </c>
      <c r="D40" s="257"/>
      <c r="E40" s="187"/>
      <c r="F40" s="351"/>
      <c r="G40" s="354"/>
      <c r="H40" s="508"/>
      <c r="I40" s="222"/>
      <c r="J40" s="222"/>
      <c r="K40" s="222"/>
      <c r="L40" s="457"/>
      <c r="M40" s="221" t="e">
        <f>RANK(K40, K$27:$K$41)</f>
        <v>#N/A</v>
      </c>
      <c r="N40" s="475"/>
      <c r="O40" s="475"/>
      <c r="P40" s="187"/>
      <c r="Q40" s="187"/>
      <c r="R40" s="187"/>
      <c r="S40" s="351" t="e">
        <f t="shared" si="8"/>
        <v>#N/A</v>
      </c>
      <c r="T40" s="506"/>
      <c r="U40" s="187"/>
      <c r="V40" s="187"/>
      <c r="W40" s="187"/>
      <c r="X40" s="351" t="e">
        <f t="shared" si="9"/>
        <v>#N/A</v>
      </c>
      <c r="Y40" s="506"/>
      <c r="Z40" s="187"/>
      <c r="AA40" s="187"/>
      <c r="AB40" s="187"/>
      <c r="AC40" s="351" t="e">
        <f t="shared" si="10"/>
        <v>#N/A</v>
      </c>
      <c r="AD40" s="506"/>
      <c r="AE40" s="187"/>
      <c r="AF40" s="187"/>
      <c r="AG40" s="187"/>
      <c r="AH40" s="351" t="e">
        <f t="shared" si="11"/>
        <v>#N/A</v>
      </c>
      <c r="AI40" s="506"/>
      <c r="AJ40" s="187"/>
      <c r="AK40" s="187"/>
      <c r="AL40" s="187"/>
      <c r="AM40" s="351" t="e">
        <f t="shared" si="12"/>
        <v>#N/A</v>
      </c>
      <c r="AN40" s="506"/>
      <c r="AO40" s="187"/>
      <c r="AP40" s="187"/>
      <c r="AQ40" s="187"/>
      <c r="AR40" s="351" t="e">
        <f t="shared" si="13"/>
        <v>#N/A</v>
      </c>
      <c r="AS40" s="506"/>
      <c r="AT40" s="187"/>
      <c r="AU40" s="187"/>
      <c r="AV40" s="354"/>
      <c r="AW40" s="351" t="e">
        <f t="shared" si="14"/>
        <v>#N/A</v>
      </c>
      <c r="AX40" s="506"/>
    </row>
    <row r="41" spans="2:50">
      <c r="B41" s="483"/>
      <c r="C41" s="351">
        <v>15</v>
      </c>
      <c r="D41" s="257"/>
      <c r="E41" s="187"/>
      <c r="F41" s="351"/>
      <c r="G41" s="354"/>
      <c r="H41" s="509"/>
      <c r="I41" s="222"/>
      <c r="J41" s="222"/>
      <c r="K41" s="222"/>
      <c r="L41" s="458"/>
      <c r="M41" s="219" t="e">
        <f>RANK(K41, K$27:$K$41)</f>
        <v>#N/A</v>
      </c>
      <c r="N41" s="475"/>
      <c r="O41" s="475"/>
      <c r="P41" s="187"/>
      <c r="Q41" s="187"/>
      <c r="R41" s="187"/>
      <c r="S41" s="351" t="e">
        <f t="shared" si="8"/>
        <v>#N/A</v>
      </c>
      <c r="T41" s="506"/>
      <c r="U41" s="187"/>
      <c r="V41" s="187"/>
      <c r="W41" s="187"/>
      <c r="X41" s="351" t="e">
        <f t="shared" si="9"/>
        <v>#N/A</v>
      </c>
      <c r="Y41" s="506"/>
      <c r="Z41" s="187"/>
      <c r="AA41" s="187"/>
      <c r="AB41" s="187"/>
      <c r="AC41" s="351" t="e">
        <f t="shared" si="10"/>
        <v>#N/A</v>
      </c>
      <c r="AD41" s="506"/>
      <c r="AE41" s="187"/>
      <c r="AF41" s="187"/>
      <c r="AG41" s="187"/>
      <c r="AH41" s="351" t="e">
        <f t="shared" si="11"/>
        <v>#N/A</v>
      </c>
      <c r="AI41" s="506"/>
      <c r="AJ41" s="187"/>
      <c r="AK41" s="187"/>
      <c r="AL41" s="187"/>
      <c r="AM41" s="351" t="e">
        <f t="shared" si="12"/>
        <v>#N/A</v>
      </c>
      <c r="AN41" s="506"/>
      <c r="AO41" s="187"/>
      <c r="AP41" s="187"/>
      <c r="AQ41" s="187"/>
      <c r="AR41" s="351" t="e">
        <f t="shared" si="13"/>
        <v>#N/A</v>
      </c>
      <c r="AS41" s="506"/>
      <c r="AT41" s="187"/>
      <c r="AU41" s="187"/>
      <c r="AV41" s="354"/>
      <c r="AW41" s="351" t="e">
        <f t="shared" si="14"/>
        <v>#N/A</v>
      </c>
      <c r="AX41" s="506"/>
    </row>
    <row r="42" spans="2:50" ht="15.75">
      <c r="B42" s="500" t="s">
        <v>172</v>
      </c>
      <c r="C42" s="501"/>
      <c r="D42" s="501"/>
      <c r="E42" s="501"/>
      <c r="F42" s="501"/>
      <c r="G42" s="501"/>
      <c r="H42" s="501"/>
      <c r="I42" s="228"/>
      <c r="J42" s="223"/>
      <c r="K42" s="228"/>
      <c r="L42" s="228"/>
      <c r="M42" s="224"/>
      <c r="N42" s="476" t="s">
        <v>164</v>
      </c>
      <c r="O42" s="476" t="s">
        <v>105</v>
      </c>
      <c r="P42" s="482">
        <f>P22+7</f>
        <v>45909</v>
      </c>
      <c r="Q42" s="483"/>
      <c r="R42" s="483"/>
      <c r="S42" s="483"/>
      <c r="T42" s="483"/>
      <c r="U42" s="479">
        <f>P42+1</f>
        <v>45910</v>
      </c>
      <c r="V42" s="480"/>
      <c r="W42" s="480"/>
      <c r="X42" s="480"/>
      <c r="Y42" s="481"/>
      <c r="Z42" s="479">
        <f>U42+1</f>
        <v>45911</v>
      </c>
      <c r="AA42" s="480"/>
      <c r="AB42" s="480"/>
      <c r="AC42" s="480"/>
      <c r="AD42" s="481"/>
      <c r="AE42" s="479">
        <f t="shared" ref="AE42" si="18">Z42+1</f>
        <v>45912</v>
      </c>
      <c r="AF42" s="480"/>
      <c r="AG42" s="480"/>
      <c r="AH42" s="480"/>
      <c r="AI42" s="481"/>
      <c r="AJ42" s="479">
        <f t="shared" ref="AJ42" si="19">AE42+1</f>
        <v>45913</v>
      </c>
      <c r="AK42" s="480"/>
      <c r="AL42" s="480"/>
      <c r="AM42" s="480"/>
      <c r="AN42" s="481"/>
      <c r="AO42" s="479">
        <f t="shared" ref="AO42" si="20">AJ42+1</f>
        <v>45914</v>
      </c>
      <c r="AP42" s="480"/>
      <c r="AQ42" s="480"/>
      <c r="AR42" s="480"/>
      <c r="AS42" s="481"/>
      <c r="AT42" s="479">
        <f t="shared" ref="AT42" si="21">AO42+1</f>
        <v>45915</v>
      </c>
      <c r="AU42" s="480"/>
      <c r="AV42" s="480"/>
      <c r="AW42" s="480"/>
      <c r="AX42" s="481"/>
    </row>
    <row r="43" spans="2:50" ht="15.75">
      <c r="B43" s="490"/>
      <c r="C43" s="490"/>
      <c r="D43" s="490"/>
      <c r="E43" s="490"/>
      <c r="F43" s="490"/>
      <c r="G43" s="490"/>
      <c r="H43" s="490"/>
      <c r="I43" s="225"/>
      <c r="J43" s="225"/>
      <c r="K43" s="225"/>
      <c r="L43" s="225"/>
      <c r="M43" s="226"/>
      <c r="N43" s="478"/>
      <c r="O43" s="478"/>
      <c r="P43" s="482" t="s">
        <v>393</v>
      </c>
      <c r="Q43" s="483"/>
      <c r="R43" s="483"/>
      <c r="S43" s="483"/>
      <c r="T43" s="483"/>
      <c r="U43" s="482" t="s">
        <v>394</v>
      </c>
      <c r="V43" s="483"/>
      <c r="W43" s="483"/>
      <c r="X43" s="483"/>
      <c r="Y43" s="483"/>
      <c r="Z43" s="482" t="s">
        <v>395</v>
      </c>
      <c r="AA43" s="483"/>
      <c r="AB43" s="483"/>
      <c r="AC43" s="483"/>
      <c r="AD43" s="483"/>
      <c r="AE43" s="482" t="s">
        <v>396</v>
      </c>
      <c r="AF43" s="483"/>
      <c r="AG43" s="483"/>
      <c r="AH43" s="483"/>
      <c r="AI43" s="483"/>
      <c r="AJ43" s="482" t="s">
        <v>397</v>
      </c>
      <c r="AK43" s="483"/>
      <c r="AL43" s="483"/>
      <c r="AM43" s="483"/>
      <c r="AN43" s="483"/>
      <c r="AO43" s="482" t="s">
        <v>398</v>
      </c>
      <c r="AP43" s="483"/>
      <c r="AQ43" s="483"/>
      <c r="AR43" s="483"/>
      <c r="AS43" s="483"/>
      <c r="AT43" s="482" t="s">
        <v>399</v>
      </c>
      <c r="AU43" s="483"/>
      <c r="AV43" s="483"/>
      <c r="AW43" s="483"/>
      <c r="AX43" s="483"/>
    </row>
    <row r="44" spans="2:50">
      <c r="B44" s="475" t="s">
        <v>634</v>
      </c>
      <c r="C44" s="475" t="s">
        <v>644</v>
      </c>
      <c r="D44" s="475"/>
      <c r="E44" s="475" t="s">
        <v>635</v>
      </c>
      <c r="F44" s="475"/>
      <c r="G44" s="475"/>
      <c r="H44" s="491" t="s">
        <v>631</v>
      </c>
      <c r="I44" s="459" t="s">
        <v>636</v>
      </c>
      <c r="J44" s="459"/>
      <c r="K44" s="459"/>
      <c r="L44" s="460" t="s">
        <v>631</v>
      </c>
      <c r="M44" s="466" t="s">
        <v>632</v>
      </c>
      <c r="N44" s="475"/>
      <c r="O44" s="475" t="s">
        <v>637</v>
      </c>
      <c r="P44" s="472" t="s">
        <v>633</v>
      </c>
      <c r="Q44" s="473"/>
      <c r="R44" s="473"/>
      <c r="S44" s="474"/>
      <c r="T44" s="475" t="s">
        <v>631</v>
      </c>
      <c r="U44" s="472" t="s">
        <v>633</v>
      </c>
      <c r="V44" s="473"/>
      <c r="W44" s="473"/>
      <c r="X44" s="474"/>
      <c r="Y44" s="475" t="s">
        <v>631</v>
      </c>
      <c r="Z44" s="472" t="s">
        <v>633</v>
      </c>
      <c r="AA44" s="473"/>
      <c r="AB44" s="473"/>
      <c r="AC44" s="474"/>
      <c r="AD44" s="475" t="s">
        <v>631</v>
      </c>
      <c r="AE44" s="472" t="s">
        <v>633</v>
      </c>
      <c r="AF44" s="473"/>
      <c r="AG44" s="473"/>
      <c r="AH44" s="474"/>
      <c r="AI44" s="475" t="s">
        <v>631</v>
      </c>
      <c r="AJ44" s="472" t="s">
        <v>633</v>
      </c>
      <c r="AK44" s="473"/>
      <c r="AL44" s="473"/>
      <c r="AM44" s="474"/>
      <c r="AN44" s="475" t="s">
        <v>631</v>
      </c>
      <c r="AO44" s="472" t="s">
        <v>633</v>
      </c>
      <c r="AP44" s="473"/>
      <c r="AQ44" s="473"/>
      <c r="AR44" s="474"/>
      <c r="AS44" s="475" t="s">
        <v>631</v>
      </c>
      <c r="AT44" s="472" t="s">
        <v>633</v>
      </c>
      <c r="AU44" s="473"/>
      <c r="AV44" s="473"/>
      <c r="AW44" s="474"/>
      <c r="AX44" s="475" t="s">
        <v>631</v>
      </c>
    </row>
    <row r="45" spans="2:50">
      <c r="B45" s="475"/>
      <c r="C45" s="475"/>
      <c r="D45" s="475"/>
      <c r="E45" s="475" t="s">
        <v>638</v>
      </c>
      <c r="F45" s="475"/>
      <c r="G45" s="475"/>
      <c r="H45" s="492"/>
      <c r="I45" s="459" t="s">
        <v>638</v>
      </c>
      <c r="J45" s="459"/>
      <c r="K45" s="459"/>
      <c r="L45" s="461"/>
      <c r="M45" s="467"/>
      <c r="N45" s="475"/>
      <c r="O45" s="475"/>
      <c r="P45" s="472" t="s">
        <v>639</v>
      </c>
      <c r="Q45" s="473"/>
      <c r="R45" s="473"/>
      <c r="S45" s="474"/>
      <c r="T45" s="475"/>
      <c r="U45" s="472" t="s">
        <v>639</v>
      </c>
      <c r="V45" s="473"/>
      <c r="W45" s="473"/>
      <c r="X45" s="474"/>
      <c r="Y45" s="475"/>
      <c r="Z45" s="472" t="s">
        <v>639</v>
      </c>
      <c r="AA45" s="473"/>
      <c r="AB45" s="473"/>
      <c r="AC45" s="474"/>
      <c r="AD45" s="475"/>
      <c r="AE45" s="472" t="s">
        <v>639</v>
      </c>
      <c r="AF45" s="473"/>
      <c r="AG45" s="473"/>
      <c r="AH45" s="474"/>
      <c r="AI45" s="475"/>
      <c r="AJ45" s="472" t="s">
        <v>639</v>
      </c>
      <c r="AK45" s="473"/>
      <c r="AL45" s="473"/>
      <c r="AM45" s="474"/>
      <c r="AN45" s="475"/>
      <c r="AO45" s="472" t="s">
        <v>639</v>
      </c>
      <c r="AP45" s="473"/>
      <c r="AQ45" s="473"/>
      <c r="AR45" s="474"/>
      <c r="AS45" s="475"/>
      <c r="AT45" s="472" t="s">
        <v>639</v>
      </c>
      <c r="AU45" s="473"/>
      <c r="AV45" s="473"/>
      <c r="AW45" s="474"/>
      <c r="AX45" s="475"/>
    </row>
    <row r="46" spans="2:50">
      <c r="B46" s="475"/>
      <c r="C46" s="475"/>
      <c r="D46" s="475"/>
      <c r="E46" s="350" t="s">
        <v>640</v>
      </c>
      <c r="F46" s="350" t="s">
        <v>641</v>
      </c>
      <c r="G46" s="350" t="s">
        <v>642</v>
      </c>
      <c r="H46" s="493"/>
      <c r="I46" s="349" t="s">
        <v>640</v>
      </c>
      <c r="J46" s="349" t="s">
        <v>641</v>
      </c>
      <c r="K46" s="349" t="s">
        <v>642</v>
      </c>
      <c r="L46" s="462"/>
      <c r="M46" s="468"/>
      <c r="N46" s="475"/>
      <c r="O46" s="475"/>
      <c r="P46" s="350" t="s">
        <v>640</v>
      </c>
      <c r="Q46" s="350" t="s">
        <v>641</v>
      </c>
      <c r="R46" s="350" t="s">
        <v>642</v>
      </c>
      <c r="S46" s="350" t="s">
        <v>632</v>
      </c>
      <c r="T46" s="475"/>
      <c r="U46" s="350" t="s">
        <v>640</v>
      </c>
      <c r="V46" s="350" t="s">
        <v>641</v>
      </c>
      <c r="W46" s="350" t="s">
        <v>642</v>
      </c>
      <c r="X46" s="350" t="s">
        <v>632</v>
      </c>
      <c r="Y46" s="475"/>
      <c r="Z46" s="350" t="s">
        <v>640</v>
      </c>
      <c r="AA46" s="350" t="s">
        <v>641</v>
      </c>
      <c r="AB46" s="350" t="s">
        <v>642</v>
      </c>
      <c r="AC46" s="350" t="s">
        <v>632</v>
      </c>
      <c r="AD46" s="475"/>
      <c r="AE46" s="350" t="s">
        <v>640</v>
      </c>
      <c r="AF46" s="350" t="s">
        <v>641</v>
      </c>
      <c r="AG46" s="350" t="s">
        <v>642</v>
      </c>
      <c r="AH46" s="350" t="s">
        <v>632</v>
      </c>
      <c r="AI46" s="475"/>
      <c r="AJ46" s="350" t="s">
        <v>640</v>
      </c>
      <c r="AK46" s="350" t="s">
        <v>641</v>
      </c>
      <c r="AL46" s="350" t="s">
        <v>642</v>
      </c>
      <c r="AM46" s="350" t="s">
        <v>632</v>
      </c>
      <c r="AN46" s="475"/>
      <c r="AO46" s="350" t="s">
        <v>640</v>
      </c>
      <c r="AP46" s="350" t="s">
        <v>641</v>
      </c>
      <c r="AQ46" s="350" t="s">
        <v>642</v>
      </c>
      <c r="AR46" s="350" t="s">
        <v>632</v>
      </c>
      <c r="AS46" s="475"/>
      <c r="AT46" s="350" t="s">
        <v>640</v>
      </c>
      <c r="AU46" s="350" t="s">
        <v>641</v>
      </c>
      <c r="AV46" s="350" t="s">
        <v>642</v>
      </c>
      <c r="AW46" s="350" t="s">
        <v>632</v>
      </c>
      <c r="AX46" s="475"/>
    </row>
    <row r="47" spans="2:50">
      <c r="B47" s="505" t="s">
        <v>643</v>
      </c>
      <c r="C47" s="351">
        <v>1</v>
      </c>
      <c r="D47" s="257"/>
      <c r="E47" s="187"/>
      <c r="F47" s="351"/>
      <c r="G47" s="354"/>
      <c r="H47" s="507" t="e">
        <f>AVERAGE(G47:G61)</f>
        <v>#DIV/0!</v>
      </c>
      <c r="I47" s="219" t="e">
        <f>AVERAGE(P47,U47,Z47,AE47,AJ47,AO47,AT47)</f>
        <v>#DIV/0!</v>
      </c>
      <c r="J47" s="219" t="e">
        <f>AVERAGE(Q47,V47,AA47,AF47,AK47,AP47,AU47)</f>
        <v>#DIV/0!</v>
      </c>
      <c r="K47" s="220" t="e">
        <f>AVERAGE(R47,W47,AB47,AG47,AL47,AQ47,AV47)</f>
        <v>#DIV/0!</v>
      </c>
      <c r="L47" s="456" t="str">
        <f>IFERROR(AVERAGE(K47:K61),"-")</f>
        <v>-</v>
      </c>
      <c r="M47" s="221" t="e">
        <f>RANK(K47, K$87:$K$101)</f>
        <v>#DIV/0!</v>
      </c>
      <c r="N47" s="475"/>
      <c r="O47" s="475"/>
      <c r="P47" s="187"/>
      <c r="Q47" s="187"/>
      <c r="R47" s="187"/>
      <c r="S47" s="351" t="e">
        <f>RANK(R47, R$87:R$101)</f>
        <v>#N/A</v>
      </c>
      <c r="T47" s="506" t="e">
        <f>AVERAGE(R47:R61)</f>
        <v>#DIV/0!</v>
      </c>
      <c r="U47" s="187"/>
      <c r="V47" s="187"/>
      <c r="W47" s="187"/>
      <c r="X47" s="351" t="e">
        <f>RANK(W47, W$87:W$101)</f>
        <v>#N/A</v>
      </c>
      <c r="Y47" s="506" t="e">
        <f>AVERAGE(W47:W61)</f>
        <v>#DIV/0!</v>
      </c>
      <c r="Z47" s="187"/>
      <c r="AA47" s="187"/>
      <c r="AB47" s="187"/>
      <c r="AC47" s="351" t="e">
        <f>RANK(AB47, AB$87:AB$101)</f>
        <v>#N/A</v>
      </c>
      <c r="AD47" s="506" t="e">
        <f>AVERAGE(AB47:AB61)</f>
        <v>#DIV/0!</v>
      </c>
      <c r="AE47" s="187"/>
      <c r="AF47" s="187"/>
      <c r="AG47" s="187"/>
      <c r="AH47" s="351" t="e">
        <f>RANK(AG47, AG$87:AG$101)</f>
        <v>#N/A</v>
      </c>
      <c r="AI47" s="506" t="e">
        <f>AVERAGE(AG47:AG61)</f>
        <v>#DIV/0!</v>
      </c>
      <c r="AJ47" s="187"/>
      <c r="AK47" s="187"/>
      <c r="AL47" s="187"/>
      <c r="AM47" s="351" t="e">
        <f>RANK(AL47, AL$87:AL$101)</f>
        <v>#N/A</v>
      </c>
      <c r="AN47" s="506" t="e">
        <f>AVERAGE(AL47:AL61)</f>
        <v>#DIV/0!</v>
      </c>
      <c r="AO47" s="187"/>
      <c r="AP47" s="187"/>
      <c r="AQ47" s="187"/>
      <c r="AR47" s="351" t="e">
        <f>RANK(AQ47, AQ$87:AQ$101)</f>
        <v>#N/A</v>
      </c>
      <c r="AS47" s="506" t="e">
        <f>AVERAGE(AQ47:AQ61)</f>
        <v>#DIV/0!</v>
      </c>
      <c r="AT47" s="187"/>
      <c r="AU47" s="187"/>
      <c r="AV47" s="187"/>
      <c r="AW47" s="351" t="e">
        <f>RANK(AV47, AV$87:AV$101)</f>
        <v>#N/A</v>
      </c>
      <c r="AX47" s="506" t="e">
        <f>AVERAGE(AV47:AV61)</f>
        <v>#DIV/0!</v>
      </c>
    </row>
    <row r="48" spans="2:50">
      <c r="B48" s="483"/>
      <c r="C48" s="351">
        <v>2</v>
      </c>
      <c r="D48" s="257"/>
      <c r="E48" s="187"/>
      <c r="F48" s="351"/>
      <c r="G48" s="354"/>
      <c r="H48" s="508"/>
      <c r="I48" s="219" t="e">
        <f t="shared" ref="I48:I56" si="22">AVERAGE(P48,U48,Z48,AE48,AJ48,AO48,AT48)</f>
        <v>#DIV/0!</v>
      </c>
      <c r="J48" s="219" t="e">
        <f t="shared" ref="J48:J56" si="23">AVERAGE(Q48,V48,AA48,AF48,AK48,AP48,AU48)</f>
        <v>#DIV/0!</v>
      </c>
      <c r="K48" s="220" t="e">
        <f t="shared" ref="K48:K56" si="24">AVERAGE(R48,W48,AB48,AG48,AL48,AQ48,AV48)</f>
        <v>#DIV/0!</v>
      </c>
      <c r="L48" s="457"/>
      <c r="M48" s="221" t="e">
        <f>RANK(K48, K$87:$K$101)</f>
        <v>#DIV/0!</v>
      </c>
      <c r="N48" s="475"/>
      <c r="O48" s="475"/>
      <c r="P48" s="187"/>
      <c r="Q48" s="187"/>
      <c r="R48" s="187"/>
      <c r="S48" s="351" t="e">
        <f t="shared" ref="S48:S61" si="25">RANK(R48, R$87:R$101)</f>
        <v>#N/A</v>
      </c>
      <c r="T48" s="506"/>
      <c r="U48" s="187"/>
      <c r="V48" s="187"/>
      <c r="W48" s="187"/>
      <c r="X48" s="351" t="e">
        <f t="shared" ref="X48:X61" si="26">RANK(W48, W$87:W$101)</f>
        <v>#N/A</v>
      </c>
      <c r="Y48" s="506"/>
      <c r="Z48" s="187"/>
      <c r="AA48" s="187"/>
      <c r="AB48" s="187"/>
      <c r="AC48" s="351" t="e">
        <f t="shared" ref="AC48:AC61" si="27">RANK(AB48, AB$87:AB$101)</f>
        <v>#N/A</v>
      </c>
      <c r="AD48" s="506"/>
      <c r="AE48" s="187"/>
      <c r="AF48" s="187"/>
      <c r="AG48" s="187"/>
      <c r="AH48" s="351" t="e">
        <f t="shared" ref="AH48:AH61" si="28">RANK(AG48, AG$87:AG$101)</f>
        <v>#N/A</v>
      </c>
      <c r="AI48" s="506"/>
      <c r="AJ48" s="187"/>
      <c r="AK48" s="187"/>
      <c r="AL48" s="187"/>
      <c r="AM48" s="351" t="e">
        <f t="shared" ref="AM48:AM61" si="29">RANK(AL48, AL$87:AL$101)</f>
        <v>#N/A</v>
      </c>
      <c r="AN48" s="506"/>
      <c r="AO48" s="187"/>
      <c r="AP48" s="187"/>
      <c r="AQ48" s="187"/>
      <c r="AR48" s="351" t="e">
        <f t="shared" ref="AR48:AR61" si="30">RANK(AQ48, AQ$87:AQ$101)</f>
        <v>#N/A</v>
      </c>
      <c r="AS48" s="506"/>
      <c r="AT48" s="187"/>
      <c r="AU48" s="187"/>
      <c r="AV48" s="187"/>
      <c r="AW48" s="351" t="e">
        <f t="shared" ref="AW48:AW61" si="31">RANK(AV48, AV$87:AV$101)</f>
        <v>#N/A</v>
      </c>
      <c r="AX48" s="506"/>
    </row>
    <row r="49" spans="2:50">
      <c r="B49" s="483"/>
      <c r="C49" s="351">
        <v>3</v>
      </c>
      <c r="D49" s="257"/>
      <c r="E49" s="187"/>
      <c r="F49" s="351"/>
      <c r="G49" s="354"/>
      <c r="H49" s="508"/>
      <c r="I49" s="219" t="e">
        <f t="shared" si="22"/>
        <v>#DIV/0!</v>
      </c>
      <c r="J49" s="219" t="e">
        <f t="shared" si="23"/>
        <v>#DIV/0!</v>
      </c>
      <c r="K49" s="220" t="e">
        <f t="shared" si="24"/>
        <v>#DIV/0!</v>
      </c>
      <c r="L49" s="457"/>
      <c r="M49" s="221" t="e">
        <f>RANK(K49, K$87:$K$101)</f>
        <v>#DIV/0!</v>
      </c>
      <c r="N49" s="475"/>
      <c r="O49" s="475"/>
      <c r="P49" s="187"/>
      <c r="Q49" s="187"/>
      <c r="R49" s="187"/>
      <c r="S49" s="351" t="e">
        <f t="shared" si="25"/>
        <v>#N/A</v>
      </c>
      <c r="T49" s="506"/>
      <c r="U49" s="187"/>
      <c r="V49" s="187"/>
      <c r="W49" s="187"/>
      <c r="X49" s="351" t="e">
        <f t="shared" si="26"/>
        <v>#N/A</v>
      </c>
      <c r="Y49" s="506"/>
      <c r="Z49" s="187"/>
      <c r="AA49" s="187"/>
      <c r="AB49" s="187"/>
      <c r="AC49" s="351" t="e">
        <f t="shared" si="27"/>
        <v>#N/A</v>
      </c>
      <c r="AD49" s="506"/>
      <c r="AE49" s="187"/>
      <c r="AF49" s="187"/>
      <c r="AG49" s="187"/>
      <c r="AH49" s="351" t="e">
        <f t="shared" si="28"/>
        <v>#N/A</v>
      </c>
      <c r="AI49" s="506"/>
      <c r="AJ49" s="187"/>
      <c r="AK49" s="187"/>
      <c r="AL49" s="187"/>
      <c r="AM49" s="351" t="e">
        <f t="shared" si="29"/>
        <v>#N/A</v>
      </c>
      <c r="AN49" s="506"/>
      <c r="AO49" s="187"/>
      <c r="AP49" s="187"/>
      <c r="AQ49" s="187"/>
      <c r="AR49" s="351" t="e">
        <f t="shared" si="30"/>
        <v>#N/A</v>
      </c>
      <c r="AS49" s="506"/>
      <c r="AT49" s="187"/>
      <c r="AU49" s="187"/>
      <c r="AV49" s="187"/>
      <c r="AW49" s="351" t="e">
        <f t="shared" si="31"/>
        <v>#N/A</v>
      </c>
      <c r="AX49" s="506"/>
    </row>
    <row r="50" spans="2:50">
      <c r="B50" s="483"/>
      <c r="C50" s="351">
        <v>4</v>
      </c>
      <c r="D50" s="257"/>
      <c r="E50" s="187"/>
      <c r="F50" s="351"/>
      <c r="G50" s="354"/>
      <c r="H50" s="508"/>
      <c r="I50" s="219" t="e">
        <f t="shared" si="22"/>
        <v>#DIV/0!</v>
      </c>
      <c r="J50" s="219" t="e">
        <f t="shared" si="23"/>
        <v>#DIV/0!</v>
      </c>
      <c r="K50" s="220" t="e">
        <f t="shared" si="24"/>
        <v>#DIV/0!</v>
      </c>
      <c r="L50" s="457"/>
      <c r="M50" s="221" t="e">
        <f>RANK(K50, K$87:$K$101)</f>
        <v>#DIV/0!</v>
      </c>
      <c r="N50" s="475"/>
      <c r="O50" s="475"/>
      <c r="P50" s="187"/>
      <c r="Q50" s="187"/>
      <c r="R50" s="187"/>
      <c r="S50" s="351" t="e">
        <f t="shared" si="25"/>
        <v>#N/A</v>
      </c>
      <c r="T50" s="506"/>
      <c r="U50" s="187"/>
      <c r="V50" s="187"/>
      <c r="W50" s="187"/>
      <c r="X50" s="351" t="e">
        <f t="shared" si="26"/>
        <v>#N/A</v>
      </c>
      <c r="Y50" s="506"/>
      <c r="Z50" s="187"/>
      <c r="AA50" s="187"/>
      <c r="AB50" s="187"/>
      <c r="AC50" s="351" t="e">
        <f t="shared" si="27"/>
        <v>#N/A</v>
      </c>
      <c r="AD50" s="506"/>
      <c r="AE50" s="187"/>
      <c r="AF50" s="187"/>
      <c r="AG50" s="187"/>
      <c r="AH50" s="351" t="e">
        <f t="shared" si="28"/>
        <v>#N/A</v>
      </c>
      <c r="AI50" s="506"/>
      <c r="AJ50" s="187"/>
      <c r="AK50" s="187"/>
      <c r="AL50" s="187"/>
      <c r="AM50" s="351" t="e">
        <f t="shared" si="29"/>
        <v>#N/A</v>
      </c>
      <c r="AN50" s="506"/>
      <c r="AO50" s="187"/>
      <c r="AP50" s="187"/>
      <c r="AQ50" s="187"/>
      <c r="AR50" s="351" t="e">
        <f t="shared" si="30"/>
        <v>#N/A</v>
      </c>
      <c r="AS50" s="506"/>
      <c r="AT50" s="187"/>
      <c r="AU50" s="187"/>
      <c r="AV50" s="187"/>
      <c r="AW50" s="351" t="e">
        <f t="shared" si="31"/>
        <v>#N/A</v>
      </c>
      <c r="AX50" s="506"/>
    </row>
    <row r="51" spans="2:50">
      <c r="B51" s="483"/>
      <c r="C51" s="351">
        <v>5</v>
      </c>
      <c r="D51" s="257"/>
      <c r="E51" s="187"/>
      <c r="F51" s="351"/>
      <c r="G51" s="354"/>
      <c r="H51" s="508"/>
      <c r="I51" s="219" t="e">
        <f t="shared" si="22"/>
        <v>#DIV/0!</v>
      </c>
      <c r="J51" s="219" t="e">
        <f t="shared" si="23"/>
        <v>#DIV/0!</v>
      </c>
      <c r="K51" s="220" t="e">
        <f t="shared" si="24"/>
        <v>#DIV/0!</v>
      </c>
      <c r="L51" s="457"/>
      <c r="M51" s="221" t="e">
        <f>RANK(K51, K$87:$K$101)</f>
        <v>#DIV/0!</v>
      </c>
      <c r="N51" s="475"/>
      <c r="O51" s="475"/>
      <c r="P51" s="187"/>
      <c r="Q51" s="187"/>
      <c r="R51" s="187"/>
      <c r="S51" s="351" t="e">
        <f t="shared" si="25"/>
        <v>#N/A</v>
      </c>
      <c r="T51" s="506"/>
      <c r="U51" s="187"/>
      <c r="V51" s="187"/>
      <c r="W51" s="187"/>
      <c r="X51" s="351" t="e">
        <f t="shared" si="26"/>
        <v>#N/A</v>
      </c>
      <c r="Y51" s="506"/>
      <c r="Z51" s="187"/>
      <c r="AA51" s="187"/>
      <c r="AB51" s="187"/>
      <c r="AC51" s="351" t="e">
        <f t="shared" si="27"/>
        <v>#N/A</v>
      </c>
      <c r="AD51" s="506"/>
      <c r="AE51" s="187"/>
      <c r="AF51" s="187"/>
      <c r="AG51" s="187"/>
      <c r="AH51" s="351" t="e">
        <f t="shared" si="28"/>
        <v>#N/A</v>
      </c>
      <c r="AI51" s="506"/>
      <c r="AJ51" s="187"/>
      <c r="AK51" s="187"/>
      <c r="AL51" s="187"/>
      <c r="AM51" s="351" t="e">
        <f t="shared" si="29"/>
        <v>#N/A</v>
      </c>
      <c r="AN51" s="506"/>
      <c r="AO51" s="187"/>
      <c r="AP51" s="187"/>
      <c r="AQ51" s="187"/>
      <c r="AR51" s="351" t="e">
        <f t="shared" si="30"/>
        <v>#N/A</v>
      </c>
      <c r="AS51" s="506"/>
      <c r="AT51" s="187"/>
      <c r="AU51" s="187"/>
      <c r="AV51" s="187"/>
      <c r="AW51" s="351" t="e">
        <f t="shared" si="31"/>
        <v>#N/A</v>
      </c>
      <c r="AX51" s="506"/>
    </row>
    <row r="52" spans="2:50">
      <c r="B52" s="483"/>
      <c r="C52" s="351">
        <v>6</v>
      </c>
      <c r="D52" s="257"/>
      <c r="E52" s="187"/>
      <c r="F52" s="351"/>
      <c r="G52" s="354"/>
      <c r="H52" s="508"/>
      <c r="I52" s="219" t="e">
        <f t="shared" si="22"/>
        <v>#DIV/0!</v>
      </c>
      <c r="J52" s="219" t="e">
        <f t="shared" si="23"/>
        <v>#DIV/0!</v>
      </c>
      <c r="K52" s="220" t="e">
        <f t="shared" si="24"/>
        <v>#DIV/0!</v>
      </c>
      <c r="L52" s="457"/>
      <c r="M52" s="221" t="e">
        <f>RANK(K52, K$87:$K$101)</f>
        <v>#DIV/0!</v>
      </c>
      <c r="N52" s="475"/>
      <c r="O52" s="475"/>
      <c r="P52" s="187"/>
      <c r="Q52" s="187"/>
      <c r="R52" s="187"/>
      <c r="S52" s="351" t="e">
        <f t="shared" si="25"/>
        <v>#N/A</v>
      </c>
      <c r="T52" s="506"/>
      <c r="U52" s="187"/>
      <c r="V52" s="187"/>
      <c r="W52" s="187"/>
      <c r="X52" s="351" t="e">
        <f t="shared" si="26"/>
        <v>#N/A</v>
      </c>
      <c r="Y52" s="506"/>
      <c r="Z52" s="187"/>
      <c r="AA52" s="187"/>
      <c r="AB52" s="187"/>
      <c r="AC52" s="351" t="e">
        <f t="shared" si="27"/>
        <v>#N/A</v>
      </c>
      <c r="AD52" s="506"/>
      <c r="AE52" s="187"/>
      <c r="AF52" s="187"/>
      <c r="AG52" s="187"/>
      <c r="AH52" s="351" t="e">
        <f t="shared" si="28"/>
        <v>#N/A</v>
      </c>
      <c r="AI52" s="506"/>
      <c r="AJ52" s="187"/>
      <c r="AK52" s="187"/>
      <c r="AL52" s="187"/>
      <c r="AM52" s="351" t="e">
        <f t="shared" si="29"/>
        <v>#N/A</v>
      </c>
      <c r="AN52" s="506"/>
      <c r="AO52" s="187"/>
      <c r="AP52" s="187"/>
      <c r="AQ52" s="187"/>
      <c r="AR52" s="351" t="e">
        <f t="shared" si="30"/>
        <v>#N/A</v>
      </c>
      <c r="AS52" s="506"/>
      <c r="AT52" s="187"/>
      <c r="AU52" s="187"/>
      <c r="AV52" s="187"/>
      <c r="AW52" s="351" t="e">
        <f t="shared" si="31"/>
        <v>#N/A</v>
      </c>
      <c r="AX52" s="506"/>
    </row>
    <row r="53" spans="2:50">
      <c r="B53" s="483"/>
      <c r="C53" s="351">
        <v>7</v>
      </c>
      <c r="D53" s="257"/>
      <c r="E53" s="187"/>
      <c r="F53" s="351"/>
      <c r="G53" s="354"/>
      <c r="H53" s="508"/>
      <c r="I53" s="219" t="e">
        <f t="shared" si="22"/>
        <v>#DIV/0!</v>
      </c>
      <c r="J53" s="219" t="e">
        <f t="shared" si="23"/>
        <v>#DIV/0!</v>
      </c>
      <c r="K53" s="220" t="e">
        <f t="shared" si="24"/>
        <v>#DIV/0!</v>
      </c>
      <c r="L53" s="457"/>
      <c r="M53" s="221" t="e">
        <f>RANK(K53, K$87:$K$101)</f>
        <v>#DIV/0!</v>
      </c>
      <c r="N53" s="475"/>
      <c r="O53" s="475"/>
      <c r="P53" s="187"/>
      <c r="Q53" s="187"/>
      <c r="R53" s="187"/>
      <c r="S53" s="351" t="e">
        <f t="shared" si="25"/>
        <v>#N/A</v>
      </c>
      <c r="T53" s="506"/>
      <c r="U53" s="187"/>
      <c r="V53" s="187"/>
      <c r="W53" s="187"/>
      <c r="X53" s="351" t="e">
        <f t="shared" si="26"/>
        <v>#N/A</v>
      </c>
      <c r="Y53" s="506"/>
      <c r="Z53" s="187"/>
      <c r="AA53" s="187"/>
      <c r="AB53" s="187"/>
      <c r="AC53" s="351" t="e">
        <f t="shared" si="27"/>
        <v>#N/A</v>
      </c>
      <c r="AD53" s="506"/>
      <c r="AE53" s="187"/>
      <c r="AF53" s="187"/>
      <c r="AG53" s="187"/>
      <c r="AH53" s="351" t="e">
        <f t="shared" si="28"/>
        <v>#N/A</v>
      </c>
      <c r="AI53" s="506"/>
      <c r="AJ53" s="187"/>
      <c r="AK53" s="187"/>
      <c r="AL53" s="187"/>
      <c r="AM53" s="351" t="e">
        <f t="shared" si="29"/>
        <v>#N/A</v>
      </c>
      <c r="AN53" s="506"/>
      <c r="AO53" s="187"/>
      <c r="AP53" s="187"/>
      <c r="AQ53" s="187"/>
      <c r="AR53" s="351" t="e">
        <f t="shared" si="30"/>
        <v>#N/A</v>
      </c>
      <c r="AS53" s="506"/>
      <c r="AT53" s="187"/>
      <c r="AU53" s="187"/>
      <c r="AV53" s="187"/>
      <c r="AW53" s="351" t="e">
        <f t="shared" si="31"/>
        <v>#N/A</v>
      </c>
      <c r="AX53" s="506"/>
    </row>
    <row r="54" spans="2:50">
      <c r="B54" s="483"/>
      <c r="C54" s="351">
        <v>8</v>
      </c>
      <c r="D54" s="257"/>
      <c r="E54" s="187"/>
      <c r="F54" s="351"/>
      <c r="G54" s="354"/>
      <c r="H54" s="508"/>
      <c r="I54" s="219" t="e">
        <f t="shared" si="22"/>
        <v>#DIV/0!</v>
      </c>
      <c r="J54" s="219" t="e">
        <f t="shared" si="23"/>
        <v>#DIV/0!</v>
      </c>
      <c r="K54" s="220" t="e">
        <f t="shared" si="24"/>
        <v>#DIV/0!</v>
      </c>
      <c r="L54" s="457"/>
      <c r="M54" s="221" t="e">
        <f>RANK(K54, K$87:$K$101)</f>
        <v>#DIV/0!</v>
      </c>
      <c r="N54" s="475"/>
      <c r="O54" s="475"/>
      <c r="P54" s="187"/>
      <c r="Q54" s="187"/>
      <c r="R54" s="187"/>
      <c r="S54" s="351" t="e">
        <f t="shared" si="25"/>
        <v>#N/A</v>
      </c>
      <c r="T54" s="506"/>
      <c r="U54" s="187"/>
      <c r="V54" s="187"/>
      <c r="W54" s="187"/>
      <c r="X54" s="351" t="e">
        <f t="shared" si="26"/>
        <v>#N/A</v>
      </c>
      <c r="Y54" s="506"/>
      <c r="Z54" s="187"/>
      <c r="AA54" s="187"/>
      <c r="AB54" s="187"/>
      <c r="AC54" s="351" t="e">
        <f t="shared" si="27"/>
        <v>#N/A</v>
      </c>
      <c r="AD54" s="506"/>
      <c r="AE54" s="187"/>
      <c r="AF54" s="187"/>
      <c r="AG54" s="187"/>
      <c r="AH54" s="351" t="e">
        <f t="shared" si="28"/>
        <v>#N/A</v>
      </c>
      <c r="AI54" s="506"/>
      <c r="AJ54" s="187"/>
      <c r="AK54" s="187"/>
      <c r="AL54" s="187"/>
      <c r="AM54" s="351" t="e">
        <f t="shared" si="29"/>
        <v>#N/A</v>
      </c>
      <c r="AN54" s="506"/>
      <c r="AO54" s="187"/>
      <c r="AP54" s="187"/>
      <c r="AQ54" s="187"/>
      <c r="AR54" s="351" t="e">
        <f t="shared" si="30"/>
        <v>#N/A</v>
      </c>
      <c r="AS54" s="506"/>
      <c r="AT54" s="187"/>
      <c r="AU54" s="187"/>
      <c r="AV54" s="187"/>
      <c r="AW54" s="351" t="e">
        <f t="shared" si="31"/>
        <v>#N/A</v>
      </c>
      <c r="AX54" s="506"/>
    </row>
    <row r="55" spans="2:50">
      <c r="B55" s="483"/>
      <c r="C55" s="351">
        <v>9</v>
      </c>
      <c r="D55" s="257"/>
      <c r="E55" s="187"/>
      <c r="F55" s="351"/>
      <c r="G55" s="354"/>
      <c r="H55" s="508"/>
      <c r="I55" s="219" t="e">
        <f t="shared" si="22"/>
        <v>#DIV/0!</v>
      </c>
      <c r="J55" s="219" t="e">
        <f t="shared" si="23"/>
        <v>#DIV/0!</v>
      </c>
      <c r="K55" s="220" t="e">
        <f t="shared" si="24"/>
        <v>#DIV/0!</v>
      </c>
      <c r="L55" s="457"/>
      <c r="M55" s="221" t="e">
        <f>RANK(K55, K$87:$K$101)</f>
        <v>#DIV/0!</v>
      </c>
      <c r="N55" s="475"/>
      <c r="O55" s="475"/>
      <c r="P55" s="187"/>
      <c r="Q55" s="187"/>
      <c r="R55" s="187"/>
      <c r="S55" s="351" t="e">
        <f t="shared" si="25"/>
        <v>#N/A</v>
      </c>
      <c r="T55" s="506"/>
      <c r="U55" s="187"/>
      <c r="V55" s="187"/>
      <c r="W55" s="187"/>
      <c r="X55" s="351" t="e">
        <f t="shared" si="26"/>
        <v>#N/A</v>
      </c>
      <c r="Y55" s="506"/>
      <c r="Z55" s="187"/>
      <c r="AA55" s="187"/>
      <c r="AB55" s="187"/>
      <c r="AC55" s="351" t="e">
        <f t="shared" si="27"/>
        <v>#N/A</v>
      </c>
      <c r="AD55" s="506"/>
      <c r="AE55" s="187"/>
      <c r="AF55" s="187"/>
      <c r="AG55" s="187"/>
      <c r="AH55" s="351" t="e">
        <f t="shared" si="28"/>
        <v>#N/A</v>
      </c>
      <c r="AI55" s="506"/>
      <c r="AJ55" s="187"/>
      <c r="AK55" s="187"/>
      <c r="AL55" s="187"/>
      <c r="AM55" s="351" t="e">
        <f t="shared" si="29"/>
        <v>#N/A</v>
      </c>
      <c r="AN55" s="506"/>
      <c r="AO55" s="187"/>
      <c r="AP55" s="187"/>
      <c r="AQ55" s="187"/>
      <c r="AR55" s="351" t="e">
        <f t="shared" si="30"/>
        <v>#N/A</v>
      </c>
      <c r="AS55" s="506"/>
      <c r="AT55" s="187"/>
      <c r="AU55" s="187"/>
      <c r="AV55" s="187"/>
      <c r="AW55" s="351" t="e">
        <f t="shared" si="31"/>
        <v>#N/A</v>
      </c>
      <c r="AX55" s="506"/>
    </row>
    <row r="56" spans="2:50">
      <c r="B56" s="483"/>
      <c r="C56" s="351">
        <v>10</v>
      </c>
      <c r="D56" s="257"/>
      <c r="E56" s="187"/>
      <c r="F56" s="351"/>
      <c r="G56" s="354"/>
      <c r="H56" s="508"/>
      <c r="I56" s="219" t="e">
        <f t="shared" si="22"/>
        <v>#DIV/0!</v>
      </c>
      <c r="J56" s="219" t="e">
        <f t="shared" si="23"/>
        <v>#DIV/0!</v>
      </c>
      <c r="K56" s="220" t="e">
        <f t="shared" si="24"/>
        <v>#DIV/0!</v>
      </c>
      <c r="L56" s="457"/>
      <c r="M56" s="221" t="e">
        <f>RANK(K56, K$87:$K$101)</f>
        <v>#DIV/0!</v>
      </c>
      <c r="N56" s="475"/>
      <c r="O56" s="475"/>
      <c r="P56" s="187"/>
      <c r="Q56" s="187"/>
      <c r="R56" s="187"/>
      <c r="S56" s="351" t="e">
        <f t="shared" si="25"/>
        <v>#N/A</v>
      </c>
      <c r="T56" s="506"/>
      <c r="U56" s="187"/>
      <c r="V56" s="187"/>
      <c r="W56" s="187"/>
      <c r="X56" s="351" t="e">
        <f t="shared" si="26"/>
        <v>#N/A</v>
      </c>
      <c r="Y56" s="506"/>
      <c r="Z56" s="187"/>
      <c r="AA56" s="187"/>
      <c r="AB56" s="187"/>
      <c r="AC56" s="351" t="e">
        <f t="shared" si="27"/>
        <v>#N/A</v>
      </c>
      <c r="AD56" s="506"/>
      <c r="AE56" s="187"/>
      <c r="AF56" s="187"/>
      <c r="AG56" s="187"/>
      <c r="AH56" s="351" t="e">
        <f t="shared" si="28"/>
        <v>#N/A</v>
      </c>
      <c r="AI56" s="506"/>
      <c r="AJ56" s="187"/>
      <c r="AK56" s="187"/>
      <c r="AL56" s="187"/>
      <c r="AM56" s="351" t="e">
        <f t="shared" si="29"/>
        <v>#N/A</v>
      </c>
      <c r="AN56" s="506"/>
      <c r="AO56" s="187"/>
      <c r="AP56" s="187"/>
      <c r="AQ56" s="187"/>
      <c r="AR56" s="351" t="e">
        <f t="shared" si="30"/>
        <v>#N/A</v>
      </c>
      <c r="AS56" s="506"/>
      <c r="AT56" s="187"/>
      <c r="AU56" s="187"/>
      <c r="AV56" s="187"/>
      <c r="AW56" s="351" t="e">
        <f t="shared" si="31"/>
        <v>#N/A</v>
      </c>
      <c r="AX56" s="506"/>
    </row>
    <row r="57" spans="2:50">
      <c r="B57" s="483"/>
      <c r="C57" s="351">
        <v>11</v>
      </c>
      <c r="D57" s="257"/>
      <c r="E57" s="187"/>
      <c r="F57" s="351"/>
      <c r="G57" s="354"/>
      <c r="H57" s="508"/>
      <c r="I57" s="222"/>
      <c r="J57" s="222"/>
      <c r="K57" s="222"/>
      <c r="L57" s="457"/>
      <c r="M57" s="221" t="e">
        <f>RANK(K57, K$87:$K$101)</f>
        <v>#DIV/0!</v>
      </c>
      <c r="N57" s="475"/>
      <c r="O57" s="475"/>
      <c r="P57" s="187"/>
      <c r="Q57" s="187"/>
      <c r="R57" s="187"/>
      <c r="S57" s="351" t="e">
        <f t="shared" si="25"/>
        <v>#N/A</v>
      </c>
      <c r="T57" s="506"/>
      <c r="U57" s="187"/>
      <c r="V57" s="187"/>
      <c r="W57" s="187"/>
      <c r="X57" s="351" t="e">
        <f t="shared" si="26"/>
        <v>#N/A</v>
      </c>
      <c r="Y57" s="506"/>
      <c r="Z57" s="187"/>
      <c r="AA57" s="187"/>
      <c r="AB57" s="187"/>
      <c r="AC57" s="351" t="e">
        <f t="shared" si="27"/>
        <v>#N/A</v>
      </c>
      <c r="AD57" s="506"/>
      <c r="AE57" s="187"/>
      <c r="AF57" s="187"/>
      <c r="AG57" s="187"/>
      <c r="AH57" s="351" t="e">
        <f t="shared" si="28"/>
        <v>#N/A</v>
      </c>
      <c r="AI57" s="506"/>
      <c r="AJ57" s="187"/>
      <c r="AK57" s="187"/>
      <c r="AL57" s="187"/>
      <c r="AM57" s="351" t="e">
        <f t="shared" si="29"/>
        <v>#N/A</v>
      </c>
      <c r="AN57" s="506"/>
      <c r="AO57" s="187"/>
      <c r="AP57" s="187"/>
      <c r="AQ57" s="187"/>
      <c r="AR57" s="351" t="e">
        <f t="shared" si="30"/>
        <v>#N/A</v>
      </c>
      <c r="AS57" s="506"/>
      <c r="AT57" s="187"/>
      <c r="AU57" s="187"/>
      <c r="AV57" s="354"/>
      <c r="AW57" s="351" t="e">
        <f t="shared" si="31"/>
        <v>#N/A</v>
      </c>
      <c r="AX57" s="506"/>
    </row>
    <row r="58" spans="2:50">
      <c r="B58" s="483"/>
      <c r="C58" s="351">
        <v>12</v>
      </c>
      <c r="D58" s="257"/>
      <c r="E58" s="187"/>
      <c r="F58" s="351"/>
      <c r="G58" s="354"/>
      <c r="H58" s="508"/>
      <c r="I58" s="222"/>
      <c r="J58" s="222"/>
      <c r="K58" s="222"/>
      <c r="L58" s="457"/>
      <c r="M58" s="221" t="e">
        <f>RANK(K58, K$87:$K$101)</f>
        <v>#DIV/0!</v>
      </c>
      <c r="N58" s="475"/>
      <c r="O58" s="475"/>
      <c r="P58" s="187"/>
      <c r="Q58" s="187"/>
      <c r="R58" s="187"/>
      <c r="S58" s="351" t="e">
        <f t="shared" si="25"/>
        <v>#N/A</v>
      </c>
      <c r="T58" s="506"/>
      <c r="U58" s="187"/>
      <c r="V58" s="187"/>
      <c r="W58" s="187"/>
      <c r="X58" s="351" t="e">
        <f t="shared" si="26"/>
        <v>#N/A</v>
      </c>
      <c r="Y58" s="506"/>
      <c r="Z58" s="187"/>
      <c r="AA58" s="187"/>
      <c r="AB58" s="187"/>
      <c r="AC58" s="351" t="e">
        <f t="shared" si="27"/>
        <v>#N/A</v>
      </c>
      <c r="AD58" s="506"/>
      <c r="AE58" s="187"/>
      <c r="AF58" s="187"/>
      <c r="AG58" s="187"/>
      <c r="AH58" s="351" t="e">
        <f t="shared" si="28"/>
        <v>#N/A</v>
      </c>
      <c r="AI58" s="506"/>
      <c r="AJ58" s="187"/>
      <c r="AK58" s="187"/>
      <c r="AL58" s="187"/>
      <c r="AM58" s="351" t="e">
        <f t="shared" si="29"/>
        <v>#N/A</v>
      </c>
      <c r="AN58" s="506"/>
      <c r="AO58" s="187"/>
      <c r="AP58" s="187"/>
      <c r="AQ58" s="187"/>
      <c r="AR58" s="351" t="e">
        <f t="shared" si="30"/>
        <v>#N/A</v>
      </c>
      <c r="AS58" s="506"/>
      <c r="AT58" s="187"/>
      <c r="AU58" s="187"/>
      <c r="AV58" s="354"/>
      <c r="AW58" s="351" t="e">
        <f t="shared" si="31"/>
        <v>#N/A</v>
      </c>
      <c r="AX58" s="506"/>
    </row>
    <row r="59" spans="2:50">
      <c r="B59" s="483"/>
      <c r="C59" s="351">
        <v>13</v>
      </c>
      <c r="D59" s="257"/>
      <c r="E59" s="187"/>
      <c r="F59" s="351"/>
      <c r="G59" s="354"/>
      <c r="H59" s="508"/>
      <c r="I59" s="222"/>
      <c r="J59" s="222"/>
      <c r="K59" s="222"/>
      <c r="L59" s="457"/>
      <c r="M59" s="221" t="e">
        <f>RANK(K59, K$87:$K$101)</f>
        <v>#DIV/0!</v>
      </c>
      <c r="N59" s="475"/>
      <c r="O59" s="475"/>
      <c r="P59" s="187"/>
      <c r="Q59" s="187"/>
      <c r="R59" s="187"/>
      <c r="S59" s="351" t="e">
        <f t="shared" si="25"/>
        <v>#N/A</v>
      </c>
      <c r="T59" s="506"/>
      <c r="U59" s="187"/>
      <c r="V59" s="187"/>
      <c r="W59" s="187"/>
      <c r="X59" s="351" t="e">
        <f t="shared" si="26"/>
        <v>#N/A</v>
      </c>
      <c r="Y59" s="506"/>
      <c r="Z59" s="187"/>
      <c r="AA59" s="187"/>
      <c r="AB59" s="187"/>
      <c r="AC59" s="351" t="e">
        <f t="shared" si="27"/>
        <v>#N/A</v>
      </c>
      <c r="AD59" s="506"/>
      <c r="AE59" s="187"/>
      <c r="AF59" s="187"/>
      <c r="AG59" s="187"/>
      <c r="AH59" s="351" t="e">
        <f t="shared" si="28"/>
        <v>#N/A</v>
      </c>
      <c r="AI59" s="506"/>
      <c r="AJ59" s="187"/>
      <c r="AK59" s="187"/>
      <c r="AL59" s="187"/>
      <c r="AM59" s="351" t="e">
        <f t="shared" si="29"/>
        <v>#N/A</v>
      </c>
      <c r="AN59" s="506"/>
      <c r="AO59" s="187"/>
      <c r="AP59" s="187"/>
      <c r="AQ59" s="187"/>
      <c r="AR59" s="351" t="e">
        <f t="shared" si="30"/>
        <v>#N/A</v>
      </c>
      <c r="AS59" s="506"/>
      <c r="AT59" s="187"/>
      <c r="AU59" s="187"/>
      <c r="AV59" s="354"/>
      <c r="AW59" s="351" t="e">
        <f t="shared" si="31"/>
        <v>#N/A</v>
      </c>
      <c r="AX59" s="506"/>
    </row>
    <row r="60" spans="2:50">
      <c r="B60" s="483"/>
      <c r="C60" s="351">
        <v>14</v>
      </c>
      <c r="D60" s="257"/>
      <c r="E60" s="187"/>
      <c r="F60" s="351"/>
      <c r="G60" s="354"/>
      <c r="H60" s="508"/>
      <c r="I60" s="222"/>
      <c r="J60" s="222"/>
      <c r="K60" s="222"/>
      <c r="L60" s="457"/>
      <c r="M60" s="221" t="e">
        <f>RANK(K60, K$87:$K$101)</f>
        <v>#DIV/0!</v>
      </c>
      <c r="N60" s="475"/>
      <c r="O60" s="475"/>
      <c r="P60" s="187"/>
      <c r="Q60" s="187"/>
      <c r="R60" s="187"/>
      <c r="S60" s="351" t="e">
        <f t="shared" si="25"/>
        <v>#N/A</v>
      </c>
      <c r="T60" s="506"/>
      <c r="U60" s="187"/>
      <c r="V60" s="187"/>
      <c r="W60" s="187"/>
      <c r="X60" s="351" t="e">
        <f t="shared" si="26"/>
        <v>#N/A</v>
      </c>
      <c r="Y60" s="506"/>
      <c r="Z60" s="187"/>
      <c r="AA60" s="187"/>
      <c r="AB60" s="187"/>
      <c r="AC60" s="351" t="e">
        <f t="shared" si="27"/>
        <v>#N/A</v>
      </c>
      <c r="AD60" s="506"/>
      <c r="AE60" s="187"/>
      <c r="AF60" s="187"/>
      <c r="AG60" s="187"/>
      <c r="AH60" s="351" t="e">
        <f t="shared" si="28"/>
        <v>#N/A</v>
      </c>
      <c r="AI60" s="506"/>
      <c r="AJ60" s="187"/>
      <c r="AK60" s="187"/>
      <c r="AL60" s="187"/>
      <c r="AM60" s="351" t="e">
        <f t="shared" si="29"/>
        <v>#N/A</v>
      </c>
      <c r="AN60" s="506"/>
      <c r="AO60" s="187"/>
      <c r="AP60" s="187"/>
      <c r="AQ60" s="187"/>
      <c r="AR60" s="351" t="e">
        <f t="shared" si="30"/>
        <v>#N/A</v>
      </c>
      <c r="AS60" s="506"/>
      <c r="AT60" s="187"/>
      <c r="AU60" s="187"/>
      <c r="AV60" s="354"/>
      <c r="AW60" s="351" t="e">
        <f t="shared" si="31"/>
        <v>#N/A</v>
      </c>
      <c r="AX60" s="506"/>
    </row>
    <row r="61" spans="2:50">
      <c r="B61" s="483"/>
      <c r="C61" s="351">
        <v>15</v>
      </c>
      <c r="D61" s="257"/>
      <c r="E61" s="187"/>
      <c r="F61" s="351"/>
      <c r="G61" s="354"/>
      <c r="H61" s="509"/>
      <c r="I61" s="222"/>
      <c r="J61" s="222"/>
      <c r="K61" s="222"/>
      <c r="L61" s="458"/>
      <c r="M61" s="219" t="e">
        <f>RANK(K61, K$87:$K$101)</f>
        <v>#DIV/0!</v>
      </c>
      <c r="N61" s="475"/>
      <c r="O61" s="475"/>
      <c r="P61" s="187"/>
      <c r="Q61" s="187"/>
      <c r="R61" s="187"/>
      <c r="S61" s="351" t="e">
        <f t="shared" si="25"/>
        <v>#N/A</v>
      </c>
      <c r="T61" s="506"/>
      <c r="U61" s="187"/>
      <c r="V61" s="187"/>
      <c r="W61" s="187"/>
      <c r="X61" s="351" t="e">
        <f t="shared" si="26"/>
        <v>#N/A</v>
      </c>
      <c r="Y61" s="506"/>
      <c r="Z61" s="187"/>
      <c r="AA61" s="187"/>
      <c r="AB61" s="187"/>
      <c r="AC61" s="351" t="e">
        <f t="shared" si="27"/>
        <v>#N/A</v>
      </c>
      <c r="AD61" s="506"/>
      <c r="AE61" s="187"/>
      <c r="AF61" s="187"/>
      <c r="AG61" s="187"/>
      <c r="AH61" s="351" t="e">
        <f t="shared" si="28"/>
        <v>#N/A</v>
      </c>
      <c r="AI61" s="506"/>
      <c r="AJ61" s="187"/>
      <c r="AK61" s="187"/>
      <c r="AL61" s="187"/>
      <c r="AM61" s="351" t="e">
        <f t="shared" si="29"/>
        <v>#N/A</v>
      </c>
      <c r="AN61" s="506"/>
      <c r="AO61" s="187"/>
      <c r="AP61" s="187"/>
      <c r="AQ61" s="187"/>
      <c r="AR61" s="351" t="e">
        <f t="shared" si="30"/>
        <v>#N/A</v>
      </c>
      <c r="AS61" s="506"/>
      <c r="AT61" s="187"/>
      <c r="AU61" s="187"/>
      <c r="AV61" s="354"/>
      <c r="AW61" s="351" t="e">
        <f t="shared" si="31"/>
        <v>#N/A</v>
      </c>
      <c r="AX61" s="506"/>
    </row>
    <row r="62" spans="2:50" ht="15.75">
      <c r="B62" s="487" t="s">
        <v>172</v>
      </c>
      <c r="C62" s="488"/>
      <c r="D62" s="488"/>
      <c r="E62" s="488"/>
      <c r="F62" s="488"/>
      <c r="G62" s="488"/>
      <c r="H62" s="489"/>
      <c r="I62" s="228"/>
      <c r="J62" s="228"/>
      <c r="K62" s="228"/>
      <c r="L62" s="228"/>
      <c r="M62" s="227"/>
      <c r="N62" s="476" t="s">
        <v>164</v>
      </c>
      <c r="O62" s="476" t="s">
        <v>105</v>
      </c>
      <c r="P62" s="482">
        <f>P42+7</f>
        <v>45916</v>
      </c>
      <c r="Q62" s="483"/>
      <c r="R62" s="483"/>
      <c r="S62" s="483"/>
      <c r="T62" s="483"/>
      <c r="U62" s="479">
        <f>P62+1</f>
        <v>45917</v>
      </c>
      <c r="V62" s="480"/>
      <c r="W62" s="480"/>
      <c r="X62" s="480"/>
      <c r="Y62" s="481"/>
      <c r="Z62" s="479">
        <f>U62+1</f>
        <v>45918</v>
      </c>
      <c r="AA62" s="480"/>
      <c r="AB62" s="480"/>
      <c r="AC62" s="480"/>
      <c r="AD62" s="481"/>
      <c r="AE62" s="479">
        <f t="shared" ref="AE62" si="32">Z62+1</f>
        <v>45919</v>
      </c>
      <c r="AF62" s="480"/>
      <c r="AG62" s="480"/>
      <c r="AH62" s="480"/>
      <c r="AI62" s="481"/>
      <c r="AJ62" s="479">
        <f t="shared" ref="AJ62" si="33">AE62+1</f>
        <v>45920</v>
      </c>
      <c r="AK62" s="480"/>
      <c r="AL62" s="480"/>
      <c r="AM62" s="480"/>
      <c r="AN62" s="481"/>
      <c r="AO62" s="479">
        <f t="shared" ref="AO62" si="34">AJ62+1</f>
        <v>45921</v>
      </c>
      <c r="AP62" s="480"/>
      <c r="AQ62" s="480"/>
      <c r="AR62" s="480"/>
      <c r="AS62" s="481"/>
      <c r="AT62" s="479">
        <f t="shared" ref="AT62" si="35">AO62+1</f>
        <v>45922</v>
      </c>
      <c r="AU62" s="480"/>
      <c r="AV62" s="480"/>
      <c r="AW62" s="480"/>
      <c r="AX62" s="481"/>
    </row>
    <row r="63" spans="2:50" ht="15.75">
      <c r="B63" s="490"/>
      <c r="C63" s="490"/>
      <c r="D63" s="490"/>
      <c r="E63" s="490"/>
      <c r="F63" s="490"/>
      <c r="G63" s="490"/>
      <c r="H63" s="490"/>
      <c r="I63" s="225"/>
      <c r="J63" s="225"/>
      <c r="K63" s="225"/>
      <c r="L63" s="225"/>
      <c r="M63" s="226"/>
      <c r="N63" s="478"/>
      <c r="O63" s="478"/>
      <c r="P63" s="482" t="s">
        <v>393</v>
      </c>
      <c r="Q63" s="483"/>
      <c r="R63" s="483"/>
      <c r="S63" s="483"/>
      <c r="T63" s="483"/>
      <c r="U63" s="482" t="s">
        <v>394</v>
      </c>
      <c r="V63" s="483"/>
      <c r="W63" s="483"/>
      <c r="X63" s="483"/>
      <c r="Y63" s="483"/>
      <c r="Z63" s="482" t="s">
        <v>395</v>
      </c>
      <c r="AA63" s="483"/>
      <c r="AB63" s="483"/>
      <c r="AC63" s="483"/>
      <c r="AD63" s="483"/>
      <c r="AE63" s="482" t="s">
        <v>396</v>
      </c>
      <c r="AF63" s="483"/>
      <c r="AG63" s="483"/>
      <c r="AH63" s="483"/>
      <c r="AI63" s="483"/>
      <c r="AJ63" s="482" t="s">
        <v>397</v>
      </c>
      <c r="AK63" s="483"/>
      <c r="AL63" s="483"/>
      <c r="AM63" s="483"/>
      <c r="AN63" s="483"/>
      <c r="AO63" s="482" t="s">
        <v>398</v>
      </c>
      <c r="AP63" s="483"/>
      <c r="AQ63" s="483"/>
      <c r="AR63" s="483"/>
      <c r="AS63" s="483"/>
      <c r="AT63" s="482" t="s">
        <v>399</v>
      </c>
      <c r="AU63" s="483"/>
      <c r="AV63" s="483"/>
      <c r="AW63" s="483"/>
      <c r="AX63" s="483"/>
    </row>
    <row r="64" spans="2:50">
      <c r="B64" s="475" t="s">
        <v>634</v>
      </c>
      <c r="C64" s="475" t="s">
        <v>644</v>
      </c>
      <c r="D64" s="475"/>
      <c r="E64" s="475" t="s">
        <v>635</v>
      </c>
      <c r="F64" s="475"/>
      <c r="G64" s="475"/>
      <c r="H64" s="491" t="s">
        <v>631</v>
      </c>
      <c r="I64" s="459" t="s">
        <v>636</v>
      </c>
      <c r="J64" s="459"/>
      <c r="K64" s="459"/>
      <c r="L64" s="460" t="s">
        <v>631</v>
      </c>
      <c r="M64" s="466" t="s">
        <v>632</v>
      </c>
      <c r="N64" s="475"/>
      <c r="O64" s="475" t="s">
        <v>637</v>
      </c>
      <c r="P64" s="472" t="s">
        <v>633</v>
      </c>
      <c r="Q64" s="473"/>
      <c r="R64" s="473"/>
      <c r="S64" s="474"/>
      <c r="T64" s="475" t="s">
        <v>631</v>
      </c>
      <c r="U64" s="472" t="s">
        <v>633</v>
      </c>
      <c r="V64" s="473"/>
      <c r="W64" s="473"/>
      <c r="X64" s="474"/>
      <c r="Y64" s="475" t="s">
        <v>631</v>
      </c>
      <c r="Z64" s="472" t="s">
        <v>633</v>
      </c>
      <c r="AA64" s="473"/>
      <c r="AB64" s="473"/>
      <c r="AC64" s="474"/>
      <c r="AD64" s="475" t="s">
        <v>631</v>
      </c>
      <c r="AE64" s="472" t="s">
        <v>633</v>
      </c>
      <c r="AF64" s="473"/>
      <c r="AG64" s="473"/>
      <c r="AH64" s="474"/>
      <c r="AI64" s="475" t="s">
        <v>631</v>
      </c>
      <c r="AJ64" s="472" t="s">
        <v>633</v>
      </c>
      <c r="AK64" s="473"/>
      <c r="AL64" s="473"/>
      <c r="AM64" s="474"/>
      <c r="AN64" s="475" t="s">
        <v>631</v>
      </c>
      <c r="AO64" s="472" t="s">
        <v>633</v>
      </c>
      <c r="AP64" s="473"/>
      <c r="AQ64" s="473"/>
      <c r="AR64" s="474"/>
      <c r="AS64" s="475" t="s">
        <v>631</v>
      </c>
      <c r="AT64" s="472" t="s">
        <v>633</v>
      </c>
      <c r="AU64" s="473"/>
      <c r="AV64" s="473"/>
      <c r="AW64" s="474"/>
      <c r="AX64" s="475" t="s">
        <v>631</v>
      </c>
    </row>
    <row r="65" spans="2:50">
      <c r="B65" s="475"/>
      <c r="C65" s="475"/>
      <c r="D65" s="475"/>
      <c r="E65" s="475" t="s">
        <v>638</v>
      </c>
      <c r="F65" s="475"/>
      <c r="G65" s="475"/>
      <c r="H65" s="492"/>
      <c r="I65" s="459" t="s">
        <v>638</v>
      </c>
      <c r="J65" s="459"/>
      <c r="K65" s="459"/>
      <c r="L65" s="461"/>
      <c r="M65" s="467"/>
      <c r="N65" s="475"/>
      <c r="O65" s="475"/>
      <c r="P65" s="472" t="s">
        <v>639</v>
      </c>
      <c r="Q65" s="473"/>
      <c r="R65" s="473"/>
      <c r="S65" s="474"/>
      <c r="T65" s="475"/>
      <c r="U65" s="472" t="s">
        <v>639</v>
      </c>
      <c r="V65" s="473"/>
      <c r="W65" s="473"/>
      <c r="X65" s="474"/>
      <c r="Y65" s="475"/>
      <c r="Z65" s="472" t="s">
        <v>639</v>
      </c>
      <c r="AA65" s="473"/>
      <c r="AB65" s="473"/>
      <c r="AC65" s="474"/>
      <c r="AD65" s="475"/>
      <c r="AE65" s="472" t="s">
        <v>639</v>
      </c>
      <c r="AF65" s="473"/>
      <c r="AG65" s="473"/>
      <c r="AH65" s="474"/>
      <c r="AI65" s="475"/>
      <c r="AJ65" s="472" t="s">
        <v>639</v>
      </c>
      <c r="AK65" s="473"/>
      <c r="AL65" s="473"/>
      <c r="AM65" s="474"/>
      <c r="AN65" s="475"/>
      <c r="AO65" s="472" t="s">
        <v>639</v>
      </c>
      <c r="AP65" s="473"/>
      <c r="AQ65" s="473"/>
      <c r="AR65" s="474"/>
      <c r="AS65" s="475"/>
      <c r="AT65" s="472" t="s">
        <v>639</v>
      </c>
      <c r="AU65" s="473"/>
      <c r="AV65" s="473"/>
      <c r="AW65" s="474"/>
      <c r="AX65" s="475"/>
    </row>
    <row r="66" spans="2:50">
      <c r="B66" s="475"/>
      <c r="C66" s="475"/>
      <c r="D66" s="475"/>
      <c r="E66" s="350" t="s">
        <v>640</v>
      </c>
      <c r="F66" s="350" t="s">
        <v>641</v>
      </c>
      <c r="G66" s="350" t="s">
        <v>642</v>
      </c>
      <c r="H66" s="493"/>
      <c r="I66" s="349" t="s">
        <v>640</v>
      </c>
      <c r="J66" s="349" t="s">
        <v>641</v>
      </c>
      <c r="K66" s="349" t="s">
        <v>642</v>
      </c>
      <c r="L66" s="462"/>
      <c r="M66" s="468"/>
      <c r="N66" s="475"/>
      <c r="O66" s="475"/>
      <c r="P66" s="350" t="s">
        <v>640</v>
      </c>
      <c r="Q66" s="350" t="s">
        <v>641</v>
      </c>
      <c r="R66" s="350" t="s">
        <v>642</v>
      </c>
      <c r="S66" s="350" t="s">
        <v>632</v>
      </c>
      <c r="T66" s="475"/>
      <c r="U66" s="350" t="s">
        <v>640</v>
      </c>
      <c r="V66" s="350" t="s">
        <v>641</v>
      </c>
      <c r="W66" s="350" t="s">
        <v>642</v>
      </c>
      <c r="X66" s="350" t="s">
        <v>632</v>
      </c>
      <c r="Y66" s="475"/>
      <c r="Z66" s="350" t="s">
        <v>640</v>
      </c>
      <c r="AA66" s="350" t="s">
        <v>641</v>
      </c>
      <c r="AB66" s="350" t="s">
        <v>642</v>
      </c>
      <c r="AC66" s="350" t="s">
        <v>632</v>
      </c>
      <c r="AD66" s="475"/>
      <c r="AE66" s="350" t="s">
        <v>640</v>
      </c>
      <c r="AF66" s="350" t="s">
        <v>641</v>
      </c>
      <c r="AG66" s="350" t="s">
        <v>642</v>
      </c>
      <c r="AH66" s="350" t="s">
        <v>632</v>
      </c>
      <c r="AI66" s="475"/>
      <c r="AJ66" s="350" t="s">
        <v>640</v>
      </c>
      <c r="AK66" s="350" t="s">
        <v>641</v>
      </c>
      <c r="AL66" s="350" t="s">
        <v>642</v>
      </c>
      <c r="AM66" s="350" t="s">
        <v>632</v>
      </c>
      <c r="AN66" s="475"/>
      <c r="AO66" s="350" t="s">
        <v>640</v>
      </c>
      <c r="AP66" s="350" t="s">
        <v>641</v>
      </c>
      <c r="AQ66" s="350" t="s">
        <v>642</v>
      </c>
      <c r="AR66" s="350" t="s">
        <v>632</v>
      </c>
      <c r="AS66" s="475"/>
      <c r="AT66" s="350" t="s">
        <v>640</v>
      </c>
      <c r="AU66" s="350" t="s">
        <v>641</v>
      </c>
      <c r="AV66" s="350" t="s">
        <v>642</v>
      </c>
      <c r="AW66" s="350" t="s">
        <v>632</v>
      </c>
      <c r="AX66" s="475"/>
    </row>
    <row r="67" spans="2:50">
      <c r="B67" s="505" t="s">
        <v>643</v>
      </c>
      <c r="C67" s="351">
        <v>1</v>
      </c>
      <c r="D67" s="257"/>
      <c r="E67" s="187"/>
      <c r="F67" s="351"/>
      <c r="G67" s="354"/>
      <c r="H67" s="507" t="e">
        <f>AVERAGE(G67:G81)</f>
        <v>#DIV/0!</v>
      </c>
      <c r="I67" s="219" t="e">
        <f>AVERAGE(P67,U67,Z67,AE67,AJ67,AO67,AT67)</f>
        <v>#DIV/0!</v>
      </c>
      <c r="J67" s="219" t="e">
        <f>AVERAGE(Q67,V67,AA67,AF67,AK67,AP67,AU67)</f>
        <v>#DIV/0!</v>
      </c>
      <c r="K67" s="220" t="e">
        <f>AVERAGE(R67,W67,AB67,AG67,AL67,AQ67,AV67)</f>
        <v>#DIV/0!</v>
      </c>
      <c r="L67" s="456" t="str">
        <f>IFERROR(AVERAGE(K67:K81),"-")</f>
        <v>-</v>
      </c>
      <c r="M67" s="221" t="e">
        <f>RANK(K67, K$87:$K$101)</f>
        <v>#DIV/0!</v>
      </c>
      <c r="N67" s="475"/>
      <c r="O67" s="475"/>
      <c r="P67" s="187"/>
      <c r="Q67" s="187"/>
      <c r="R67" s="187"/>
      <c r="S67" s="351" t="e">
        <f>RANK(R67, R$87:R$101)</f>
        <v>#N/A</v>
      </c>
      <c r="T67" s="506" t="e">
        <f>AVERAGE(R67:R81)</f>
        <v>#DIV/0!</v>
      </c>
      <c r="U67" s="187"/>
      <c r="V67" s="187"/>
      <c r="W67" s="187"/>
      <c r="X67" s="351" t="e">
        <f>RANK(W67, W$87:W$101)</f>
        <v>#N/A</v>
      </c>
      <c r="Y67" s="506" t="e">
        <f>AVERAGE(W67:W81)</f>
        <v>#DIV/0!</v>
      </c>
      <c r="Z67" s="187"/>
      <c r="AA67" s="187"/>
      <c r="AB67" s="187"/>
      <c r="AC67" s="351" t="e">
        <f>RANK(AB67, AB$87:AB$101)</f>
        <v>#N/A</v>
      </c>
      <c r="AD67" s="506" t="e">
        <f>AVERAGE(AB67:AB81)</f>
        <v>#DIV/0!</v>
      </c>
      <c r="AE67" s="187"/>
      <c r="AF67" s="187"/>
      <c r="AG67" s="187"/>
      <c r="AH67" s="351" t="e">
        <f>RANK(AG67, AG$87:AG$101)</f>
        <v>#N/A</v>
      </c>
      <c r="AI67" s="506" t="e">
        <f>AVERAGE(AG67:AG81)</f>
        <v>#DIV/0!</v>
      </c>
      <c r="AJ67" s="187"/>
      <c r="AK67" s="187"/>
      <c r="AL67" s="187"/>
      <c r="AM67" s="351" t="e">
        <f>RANK(AL67, AL$87:AL$101)</f>
        <v>#N/A</v>
      </c>
      <c r="AN67" s="506" t="e">
        <f>AVERAGE(AL67:AL81)</f>
        <v>#DIV/0!</v>
      </c>
      <c r="AO67" s="187"/>
      <c r="AP67" s="187"/>
      <c r="AQ67" s="187"/>
      <c r="AR67" s="351" t="e">
        <f>RANK(AQ67, AQ$87:AQ$101)</f>
        <v>#N/A</v>
      </c>
      <c r="AS67" s="506" t="e">
        <f>AVERAGE(AQ67:AQ81)</f>
        <v>#DIV/0!</v>
      </c>
      <c r="AT67" s="187"/>
      <c r="AU67" s="187"/>
      <c r="AV67" s="187"/>
      <c r="AW67" s="351" t="e">
        <f>RANK(AV67, AV$87:AV$101)</f>
        <v>#N/A</v>
      </c>
      <c r="AX67" s="506" t="e">
        <f>AVERAGE(AV67:AV81)</f>
        <v>#DIV/0!</v>
      </c>
    </row>
    <row r="68" spans="2:50">
      <c r="B68" s="483"/>
      <c r="C68" s="351">
        <v>2</v>
      </c>
      <c r="D68" s="257"/>
      <c r="E68" s="187"/>
      <c r="F68" s="351"/>
      <c r="G68" s="354"/>
      <c r="H68" s="508"/>
      <c r="I68" s="219" t="e">
        <f t="shared" ref="I68:I76" si="36">AVERAGE(P68,U68,Z68,AE68,AJ68,AO68,AT68)</f>
        <v>#DIV/0!</v>
      </c>
      <c r="J68" s="219" t="e">
        <f t="shared" ref="J68:J76" si="37">AVERAGE(Q68,V68,AA68,AF68,AK68,AP68,AU68)</f>
        <v>#DIV/0!</v>
      </c>
      <c r="K68" s="220" t="e">
        <f t="shared" ref="K68:K76" si="38">AVERAGE(R68,W68,AB68,AG68,AL68,AQ68,AV68)</f>
        <v>#DIV/0!</v>
      </c>
      <c r="L68" s="457"/>
      <c r="M68" s="221" t="e">
        <f>RANK(K68, K$87:$K$101)</f>
        <v>#DIV/0!</v>
      </c>
      <c r="N68" s="475"/>
      <c r="O68" s="475"/>
      <c r="P68" s="187"/>
      <c r="Q68" s="187"/>
      <c r="R68" s="187"/>
      <c r="S68" s="351" t="e">
        <f t="shared" ref="S68:S81" si="39">RANK(R68, R$87:R$101)</f>
        <v>#N/A</v>
      </c>
      <c r="T68" s="506"/>
      <c r="U68" s="187"/>
      <c r="V68" s="187"/>
      <c r="W68" s="187"/>
      <c r="X68" s="351" t="e">
        <f t="shared" ref="X68:X81" si="40">RANK(W68, W$87:W$101)</f>
        <v>#N/A</v>
      </c>
      <c r="Y68" s="506"/>
      <c r="Z68" s="187"/>
      <c r="AA68" s="187"/>
      <c r="AB68" s="187"/>
      <c r="AC68" s="351" t="e">
        <f t="shared" ref="AC68:AC81" si="41">RANK(AB68, AB$87:AB$101)</f>
        <v>#N/A</v>
      </c>
      <c r="AD68" s="506"/>
      <c r="AE68" s="187"/>
      <c r="AF68" s="187"/>
      <c r="AG68" s="187"/>
      <c r="AH68" s="351" t="e">
        <f t="shared" ref="AH68:AH81" si="42">RANK(AG68, AG$87:AG$101)</f>
        <v>#N/A</v>
      </c>
      <c r="AI68" s="506"/>
      <c r="AJ68" s="187"/>
      <c r="AK68" s="187"/>
      <c r="AL68" s="187"/>
      <c r="AM68" s="351" t="e">
        <f t="shared" ref="AM68:AM81" si="43">RANK(AL68, AL$87:AL$101)</f>
        <v>#N/A</v>
      </c>
      <c r="AN68" s="506"/>
      <c r="AO68" s="187"/>
      <c r="AP68" s="187"/>
      <c r="AQ68" s="187"/>
      <c r="AR68" s="351" t="e">
        <f t="shared" ref="AR68:AR81" si="44">RANK(AQ68, AQ$87:AQ$101)</f>
        <v>#N/A</v>
      </c>
      <c r="AS68" s="506"/>
      <c r="AT68" s="187"/>
      <c r="AU68" s="187"/>
      <c r="AV68" s="187"/>
      <c r="AW68" s="351" t="e">
        <f t="shared" ref="AW68:AW81" si="45">RANK(AV68, AV$87:AV$101)</f>
        <v>#N/A</v>
      </c>
      <c r="AX68" s="506"/>
    </row>
    <row r="69" spans="2:50">
      <c r="B69" s="483"/>
      <c r="C69" s="351">
        <v>3</v>
      </c>
      <c r="D69" s="257"/>
      <c r="E69" s="187"/>
      <c r="F69" s="351"/>
      <c r="G69" s="354"/>
      <c r="H69" s="508"/>
      <c r="I69" s="219" t="e">
        <f t="shared" si="36"/>
        <v>#DIV/0!</v>
      </c>
      <c r="J69" s="219" t="e">
        <f t="shared" si="37"/>
        <v>#DIV/0!</v>
      </c>
      <c r="K69" s="220" t="e">
        <f t="shared" si="38"/>
        <v>#DIV/0!</v>
      </c>
      <c r="L69" s="457"/>
      <c r="M69" s="221" t="e">
        <f>RANK(K69, K$87:$K$101)</f>
        <v>#DIV/0!</v>
      </c>
      <c r="N69" s="475"/>
      <c r="O69" s="475"/>
      <c r="P69" s="187"/>
      <c r="Q69" s="187"/>
      <c r="R69" s="187"/>
      <c r="S69" s="351" t="e">
        <f t="shared" si="39"/>
        <v>#N/A</v>
      </c>
      <c r="T69" s="506"/>
      <c r="U69" s="187"/>
      <c r="V69" s="187"/>
      <c r="W69" s="187"/>
      <c r="X69" s="351" t="e">
        <f t="shared" si="40"/>
        <v>#N/A</v>
      </c>
      <c r="Y69" s="506"/>
      <c r="Z69" s="187"/>
      <c r="AA69" s="187"/>
      <c r="AB69" s="187"/>
      <c r="AC69" s="351" t="e">
        <f t="shared" si="41"/>
        <v>#N/A</v>
      </c>
      <c r="AD69" s="506"/>
      <c r="AE69" s="187"/>
      <c r="AF69" s="187"/>
      <c r="AG69" s="187"/>
      <c r="AH69" s="351" t="e">
        <f t="shared" si="42"/>
        <v>#N/A</v>
      </c>
      <c r="AI69" s="506"/>
      <c r="AJ69" s="187"/>
      <c r="AK69" s="187"/>
      <c r="AL69" s="187"/>
      <c r="AM69" s="351" t="e">
        <f t="shared" si="43"/>
        <v>#N/A</v>
      </c>
      <c r="AN69" s="506"/>
      <c r="AO69" s="187"/>
      <c r="AP69" s="187"/>
      <c r="AQ69" s="187"/>
      <c r="AR69" s="351" t="e">
        <f t="shared" si="44"/>
        <v>#N/A</v>
      </c>
      <c r="AS69" s="506"/>
      <c r="AT69" s="187"/>
      <c r="AU69" s="187"/>
      <c r="AV69" s="187"/>
      <c r="AW69" s="351" t="e">
        <f t="shared" si="45"/>
        <v>#N/A</v>
      </c>
      <c r="AX69" s="506"/>
    </row>
    <row r="70" spans="2:50">
      <c r="B70" s="483"/>
      <c r="C70" s="351">
        <v>4</v>
      </c>
      <c r="D70" s="257"/>
      <c r="E70" s="187"/>
      <c r="F70" s="351"/>
      <c r="G70" s="354"/>
      <c r="H70" s="508"/>
      <c r="I70" s="219" t="e">
        <f t="shared" si="36"/>
        <v>#DIV/0!</v>
      </c>
      <c r="J70" s="219" t="e">
        <f t="shared" si="37"/>
        <v>#DIV/0!</v>
      </c>
      <c r="K70" s="220" t="e">
        <f t="shared" si="38"/>
        <v>#DIV/0!</v>
      </c>
      <c r="L70" s="457"/>
      <c r="M70" s="221" t="e">
        <f>RANK(K70, K$87:$K$101)</f>
        <v>#DIV/0!</v>
      </c>
      <c r="N70" s="475"/>
      <c r="O70" s="475"/>
      <c r="P70" s="187"/>
      <c r="Q70" s="187"/>
      <c r="R70" s="187"/>
      <c r="S70" s="351" t="e">
        <f t="shared" si="39"/>
        <v>#N/A</v>
      </c>
      <c r="T70" s="506"/>
      <c r="U70" s="187"/>
      <c r="V70" s="187"/>
      <c r="W70" s="187"/>
      <c r="X70" s="351" t="e">
        <f t="shared" si="40"/>
        <v>#N/A</v>
      </c>
      <c r="Y70" s="506"/>
      <c r="Z70" s="187"/>
      <c r="AA70" s="187"/>
      <c r="AB70" s="187"/>
      <c r="AC70" s="351" t="e">
        <f t="shared" si="41"/>
        <v>#N/A</v>
      </c>
      <c r="AD70" s="506"/>
      <c r="AE70" s="187"/>
      <c r="AF70" s="187"/>
      <c r="AG70" s="187"/>
      <c r="AH70" s="351" t="e">
        <f t="shared" si="42"/>
        <v>#N/A</v>
      </c>
      <c r="AI70" s="506"/>
      <c r="AJ70" s="187"/>
      <c r="AK70" s="187"/>
      <c r="AL70" s="187"/>
      <c r="AM70" s="351" t="e">
        <f t="shared" si="43"/>
        <v>#N/A</v>
      </c>
      <c r="AN70" s="506"/>
      <c r="AO70" s="187"/>
      <c r="AP70" s="187"/>
      <c r="AQ70" s="187"/>
      <c r="AR70" s="351" t="e">
        <f t="shared" si="44"/>
        <v>#N/A</v>
      </c>
      <c r="AS70" s="506"/>
      <c r="AT70" s="187"/>
      <c r="AU70" s="187"/>
      <c r="AV70" s="187"/>
      <c r="AW70" s="351" t="e">
        <f t="shared" si="45"/>
        <v>#N/A</v>
      </c>
      <c r="AX70" s="506"/>
    </row>
    <row r="71" spans="2:50">
      <c r="B71" s="483"/>
      <c r="C71" s="351">
        <v>5</v>
      </c>
      <c r="D71" s="257"/>
      <c r="E71" s="187"/>
      <c r="F71" s="351"/>
      <c r="G71" s="354"/>
      <c r="H71" s="508"/>
      <c r="I71" s="219" t="e">
        <f t="shared" si="36"/>
        <v>#DIV/0!</v>
      </c>
      <c r="J71" s="219" t="e">
        <f t="shared" si="37"/>
        <v>#DIV/0!</v>
      </c>
      <c r="K71" s="220" t="e">
        <f t="shared" si="38"/>
        <v>#DIV/0!</v>
      </c>
      <c r="L71" s="457"/>
      <c r="M71" s="221" t="e">
        <f>RANK(K71, K$87:$K$101)</f>
        <v>#DIV/0!</v>
      </c>
      <c r="N71" s="475"/>
      <c r="O71" s="475"/>
      <c r="P71" s="187"/>
      <c r="Q71" s="187"/>
      <c r="R71" s="187"/>
      <c r="S71" s="351" t="e">
        <f t="shared" si="39"/>
        <v>#N/A</v>
      </c>
      <c r="T71" s="506"/>
      <c r="U71" s="187"/>
      <c r="V71" s="187"/>
      <c r="W71" s="187"/>
      <c r="X71" s="351" t="e">
        <f t="shared" si="40"/>
        <v>#N/A</v>
      </c>
      <c r="Y71" s="506"/>
      <c r="Z71" s="187"/>
      <c r="AA71" s="187"/>
      <c r="AB71" s="187"/>
      <c r="AC71" s="351" t="e">
        <f t="shared" si="41"/>
        <v>#N/A</v>
      </c>
      <c r="AD71" s="506"/>
      <c r="AE71" s="187"/>
      <c r="AF71" s="187"/>
      <c r="AG71" s="187"/>
      <c r="AH71" s="351" t="e">
        <f t="shared" si="42"/>
        <v>#N/A</v>
      </c>
      <c r="AI71" s="506"/>
      <c r="AJ71" s="187"/>
      <c r="AK71" s="187"/>
      <c r="AL71" s="187"/>
      <c r="AM71" s="351" t="e">
        <f t="shared" si="43"/>
        <v>#N/A</v>
      </c>
      <c r="AN71" s="506"/>
      <c r="AO71" s="187"/>
      <c r="AP71" s="187"/>
      <c r="AQ71" s="187"/>
      <c r="AR71" s="351" t="e">
        <f t="shared" si="44"/>
        <v>#N/A</v>
      </c>
      <c r="AS71" s="506"/>
      <c r="AT71" s="187"/>
      <c r="AU71" s="187"/>
      <c r="AV71" s="187"/>
      <c r="AW71" s="351" t="e">
        <f t="shared" si="45"/>
        <v>#N/A</v>
      </c>
      <c r="AX71" s="506"/>
    </row>
    <row r="72" spans="2:50">
      <c r="B72" s="483"/>
      <c r="C72" s="351">
        <v>6</v>
      </c>
      <c r="D72" s="257"/>
      <c r="E72" s="187"/>
      <c r="F72" s="351"/>
      <c r="G72" s="354"/>
      <c r="H72" s="508"/>
      <c r="I72" s="219" t="e">
        <f t="shared" si="36"/>
        <v>#DIV/0!</v>
      </c>
      <c r="J72" s="219" t="e">
        <f t="shared" si="37"/>
        <v>#DIV/0!</v>
      </c>
      <c r="K72" s="220" t="e">
        <f t="shared" si="38"/>
        <v>#DIV/0!</v>
      </c>
      <c r="L72" s="457"/>
      <c r="M72" s="221" t="e">
        <f>RANK(K72, K$87:$K$101)</f>
        <v>#DIV/0!</v>
      </c>
      <c r="N72" s="475"/>
      <c r="O72" s="475"/>
      <c r="P72" s="187"/>
      <c r="Q72" s="187"/>
      <c r="R72" s="187"/>
      <c r="S72" s="351" t="e">
        <f t="shared" si="39"/>
        <v>#N/A</v>
      </c>
      <c r="T72" s="506"/>
      <c r="U72" s="187"/>
      <c r="V72" s="187"/>
      <c r="W72" s="187"/>
      <c r="X72" s="351" t="e">
        <f t="shared" si="40"/>
        <v>#N/A</v>
      </c>
      <c r="Y72" s="506"/>
      <c r="Z72" s="187"/>
      <c r="AA72" s="187"/>
      <c r="AB72" s="187"/>
      <c r="AC72" s="351" t="e">
        <f t="shared" si="41"/>
        <v>#N/A</v>
      </c>
      <c r="AD72" s="506"/>
      <c r="AE72" s="187"/>
      <c r="AF72" s="187"/>
      <c r="AG72" s="187"/>
      <c r="AH72" s="351" t="e">
        <f t="shared" si="42"/>
        <v>#N/A</v>
      </c>
      <c r="AI72" s="506"/>
      <c r="AJ72" s="187"/>
      <c r="AK72" s="187"/>
      <c r="AL72" s="187"/>
      <c r="AM72" s="351" t="e">
        <f t="shared" si="43"/>
        <v>#N/A</v>
      </c>
      <c r="AN72" s="506"/>
      <c r="AO72" s="187"/>
      <c r="AP72" s="187"/>
      <c r="AQ72" s="187"/>
      <c r="AR72" s="351" t="e">
        <f t="shared" si="44"/>
        <v>#N/A</v>
      </c>
      <c r="AS72" s="506"/>
      <c r="AT72" s="187"/>
      <c r="AU72" s="187"/>
      <c r="AV72" s="187"/>
      <c r="AW72" s="351" t="e">
        <f t="shared" si="45"/>
        <v>#N/A</v>
      </c>
      <c r="AX72" s="506"/>
    </row>
    <row r="73" spans="2:50">
      <c r="B73" s="483"/>
      <c r="C73" s="351">
        <v>7</v>
      </c>
      <c r="D73" s="257"/>
      <c r="E73" s="187"/>
      <c r="F73" s="351"/>
      <c r="G73" s="354"/>
      <c r="H73" s="508"/>
      <c r="I73" s="219" t="e">
        <f t="shared" si="36"/>
        <v>#DIV/0!</v>
      </c>
      <c r="J73" s="219" t="e">
        <f t="shared" si="37"/>
        <v>#DIV/0!</v>
      </c>
      <c r="K73" s="220" t="e">
        <f t="shared" si="38"/>
        <v>#DIV/0!</v>
      </c>
      <c r="L73" s="457"/>
      <c r="M73" s="221" t="e">
        <f>RANK(K73, K$87:$K$101)</f>
        <v>#DIV/0!</v>
      </c>
      <c r="N73" s="475"/>
      <c r="O73" s="475"/>
      <c r="P73" s="187"/>
      <c r="Q73" s="187"/>
      <c r="R73" s="187"/>
      <c r="S73" s="351" t="e">
        <f t="shared" si="39"/>
        <v>#N/A</v>
      </c>
      <c r="T73" s="506"/>
      <c r="U73" s="187"/>
      <c r="V73" s="187"/>
      <c r="W73" s="187"/>
      <c r="X73" s="351" t="e">
        <f t="shared" si="40"/>
        <v>#N/A</v>
      </c>
      <c r="Y73" s="506"/>
      <c r="Z73" s="187"/>
      <c r="AA73" s="187"/>
      <c r="AB73" s="187"/>
      <c r="AC73" s="351" t="e">
        <f t="shared" si="41"/>
        <v>#N/A</v>
      </c>
      <c r="AD73" s="506"/>
      <c r="AE73" s="187"/>
      <c r="AF73" s="187"/>
      <c r="AG73" s="187"/>
      <c r="AH73" s="351" t="e">
        <f t="shared" si="42"/>
        <v>#N/A</v>
      </c>
      <c r="AI73" s="506"/>
      <c r="AJ73" s="187"/>
      <c r="AK73" s="187"/>
      <c r="AL73" s="187"/>
      <c r="AM73" s="351" t="e">
        <f t="shared" si="43"/>
        <v>#N/A</v>
      </c>
      <c r="AN73" s="506"/>
      <c r="AO73" s="187"/>
      <c r="AP73" s="187"/>
      <c r="AQ73" s="187"/>
      <c r="AR73" s="351" t="e">
        <f t="shared" si="44"/>
        <v>#N/A</v>
      </c>
      <c r="AS73" s="506"/>
      <c r="AT73" s="187"/>
      <c r="AU73" s="187"/>
      <c r="AV73" s="187"/>
      <c r="AW73" s="351" t="e">
        <f t="shared" si="45"/>
        <v>#N/A</v>
      </c>
      <c r="AX73" s="506"/>
    </row>
    <row r="74" spans="2:50">
      <c r="B74" s="483"/>
      <c r="C74" s="351">
        <v>8</v>
      </c>
      <c r="D74" s="257"/>
      <c r="E74" s="187"/>
      <c r="F74" s="351"/>
      <c r="G74" s="354"/>
      <c r="H74" s="508"/>
      <c r="I74" s="219" t="e">
        <f t="shared" si="36"/>
        <v>#DIV/0!</v>
      </c>
      <c r="J74" s="219" t="e">
        <f t="shared" si="37"/>
        <v>#DIV/0!</v>
      </c>
      <c r="K74" s="220" t="e">
        <f t="shared" si="38"/>
        <v>#DIV/0!</v>
      </c>
      <c r="L74" s="457"/>
      <c r="M74" s="221" t="e">
        <f>RANK(K74, K$87:$K$101)</f>
        <v>#DIV/0!</v>
      </c>
      <c r="N74" s="475"/>
      <c r="O74" s="475"/>
      <c r="P74" s="187"/>
      <c r="Q74" s="187"/>
      <c r="R74" s="187"/>
      <c r="S74" s="351" t="e">
        <f t="shared" si="39"/>
        <v>#N/A</v>
      </c>
      <c r="T74" s="506"/>
      <c r="U74" s="187"/>
      <c r="V74" s="187"/>
      <c r="W74" s="187"/>
      <c r="X74" s="351" t="e">
        <f t="shared" si="40"/>
        <v>#N/A</v>
      </c>
      <c r="Y74" s="506"/>
      <c r="Z74" s="187"/>
      <c r="AA74" s="187"/>
      <c r="AB74" s="187"/>
      <c r="AC74" s="351" t="e">
        <f t="shared" si="41"/>
        <v>#N/A</v>
      </c>
      <c r="AD74" s="506"/>
      <c r="AE74" s="187"/>
      <c r="AF74" s="187"/>
      <c r="AG74" s="187"/>
      <c r="AH74" s="351" t="e">
        <f t="shared" si="42"/>
        <v>#N/A</v>
      </c>
      <c r="AI74" s="506"/>
      <c r="AJ74" s="187"/>
      <c r="AK74" s="187"/>
      <c r="AL74" s="187"/>
      <c r="AM74" s="351" t="e">
        <f t="shared" si="43"/>
        <v>#N/A</v>
      </c>
      <c r="AN74" s="506"/>
      <c r="AO74" s="187"/>
      <c r="AP74" s="187"/>
      <c r="AQ74" s="187"/>
      <c r="AR74" s="351" t="e">
        <f t="shared" si="44"/>
        <v>#N/A</v>
      </c>
      <c r="AS74" s="506"/>
      <c r="AT74" s="187"/>
      <c r="AU74" s="187"/>
      <c r="AV74" s="187"/>
      <c r="AW74" s="351" t="e">
        <f t="shared" si="45"/>
        <v>#N/A</v>
      </c>
      <c r="AX74" s="506"/>
    </row>
    <row r="75" spans="2:50">
      <c r="B75" s="483"/>
      <c r="C75" s="351">
        <v>9</v>
      </c>
      <c r="D75" s="257"/>
      <c r="E75" s="187"/>
      <c r="F75" s="351"/>
      <c r="G75" s="354"/>
      <c r="H75" s="508"/>
      <c r="I75" s="219" t="e">
        <f t="shared" si="36"/>
        <v>#DIV/0!</v>
      </c>
      <c r="J75" s="219" t="e">
        <f t="shared" si="37"/>
        <v>#DIV/0!</v>
      </c>
      <c r="K75" s="220" t="e">
        <f t="shared" si="38"/>
        <v>#DIV/0!</v>
      </c>
      <c r="L75" s="457"/>
      <c r="M75" s="221" t="e">
        <f>RANK(K75, K$87:$K$101)</f>
        <v>#DIV/0!</v>
      </c>
      <c r="N75" s="475"/>
      <c r="O75" s="475"/>
      <c r="P75" s="187"/>
      <c r="Q75" s="187"/>
      <c r="R75" s="187"/>
      <c r="S75" s="351" t="e">
        <f t="shared" si="39"/>
        <v>#N/A</v>
      </c>
      <c r="T75" s="506"/>
      <c r="U75" s="187"/>
      <c r="V75" s="187"/>
      <c r="W75" s="187"/>
      <c r="X75" s="351" t="e">
        <f t="shared" si="40"/>
        <v>#N/A</v>
      </c>
      <c r="Y75" s="506"/>
      <c r="Z75" s="187"/>
      <c r="AA75" s="187"/>
      <c r="AB75" s="187"/>
      <c r="AC75" s="351" t="e">
        <f t="shared" si="41"/>
        <v>#N/A</v>
      </c>
      <c r="AD75" s="506"/>
      <c r="AE75" s="187"/>
      <c r="AF75" s="187"/>
      <c r="AG75" s="187"/>
      <c r="AH75" s="351" t="e">
        <f t="shared" si="42"/>
        <v>#N/A</v>
      </c>
      <c r="AI75" s="506"/>
      <c r="AJ75" s="187"/>
      <c r="AK75" s="187"/>
      <c r="AL75" s="187"/>
      <c r="AM75" s="351" t="e">
        <f t="shared" si="43"/>
        <v>#N/A</v>
      </c>
      <c r="AN75" s="506"/>
      <c r="AO75" s="187"/>
      <c r="AP75" s="187"/>
      <c r="AQ75" s="187"/>
      <c r="AR75" s="351" t="e">
        <f t="shared" si="44"/>
        <v>#N/A</v>
      </c>
      <c r="AS75" s="506"/>
      <c r="AT75" s="187"/>
      <c r="AU75" s="187"/>
      <c r="AV75" s="187"/>
      <c r="AW75" s="351" t="e">
        <f t="shared" si="45"/>
        <v>#N/A</v>
      </c>
      <c r="AX75" s="506"/>
    </row>
    <row r="76" spans="2:50">
      <c r="B76" s="483"/>
      <c r="C76" s="351">
        <v>10</v>
      </c>
      <c r="D76" s="257"/>
      <c r="E76" s="187"/>
      <c r="F76" s="351"/>
      <c r="G76" s="354"/>
      <c r="H76" s="508"/>
      <c r="I76" s="219" t="e">
        <f t="shared" si="36"/>
        <v>#DIV/0!</v>
      </c>
      <c r="J76" s="219" t="e">
        <f t="shared" si="37"/>
        <v>#DIV/0!</v>
      </c>
      <c r="K76" s="220" t="e">
        <f t="shared" si="38"/>
        <v>#DIV/0!</v>
      </c>
      <c r="L76" s="457"/>
      <c r="M76" s="221" t="e">
        <f>RANK(K76, K$87:$K$101)</f>
        <v>#DIV/0!</v>
      </c>
      <c r="N76" s="475"/>
      <c r="O76" s="475"/>
      <c r="P76" s="187"/>
      <c r="Q76" s="187"/>
      <c r="R76" s="187"/>
      <c r="S76" s="351" t="e">
        <f t="shared" si="39"/>
        <v>#N/A</v>
      </c>
      <c r="T76" s="506"/>
      <c r="U76" s="187"/>
      <c r="V76" s="187"/>
      <c r="W76" s="187"/>
      <c r="X76" s="351" t="e">
        <f t="shared" si="40"/>
        <v>#N/A</v>
      </c>
      <c r="Y76" s="506"/>
      <c r="Z76" s="187"/>
      <c r="AA76" s="187"/>
      <c r="AB76" s="187"/>
      <c r="AC76" s="351" t="e">
        <f t="shared" si="41"/>
        <v>#N/A</v>
      </c>
      <c r="AD76" s="506"/>
      <c r="AE76" s="187"/>
      <c r="AF76" s="187"/>
      <c r="AG76" s="187"/>
      <c r="AH76" s="351" t="e">
        <f t="shared" si="42"/>
        <v>#N/A</v>
      </c>
      <c r="AI76" s="506"/>
      <c r="AJ76" s="187"/>
      <c r="AK76" s="187"/>
      <c r="AL76" s="187"/>
      <c r="AM76" s="351" t="e">
        <f t="shared" si="43"/>
        <v>#N/A</v>
      </c>
      <c r="AN76" s="506"/>
      <c r="AO76" s="187"/>
      <c r="AP76" s="187"/>
      <c r="AQ76" s="187"/>
      <c r="AR76" s="351" t="e">
        <f t="shared" si="44"/>
        <v>#N/A</v>
      </c>
      <c r="AS76" s="506"/>
      <c r="AT76" s="187"/>
      <c r="AU76" s="187"/>
      <c r="AV76" s="187"/>
      <c r="AW76" s="351" t="e">
        <f t="shared" si="45"/>
        <v>#N/A</v>
      </c>
      <c r="AX76" s="506"/>
    </row>
    <row r="77" spans="2:50">
      <c r="B77" s="483"/>
      <c r="C77" s="351">
        <v>11</v>
      </c>
      <c r="D77" s="257"/>
      <c r="E77" s="187"/>
      <c r="F77" s="351"/>
      <c r="G77" s="354"/>
      <c r="H77" s="508"/>
      <c r="I77" s="222"/>
      <c r="J77" s="222"/>
      <c r="K77" s="222"/>
      <c r="L77" s="457"/>
      <c r="M77" s="221" t="e">
        <f>RANK(K77, K$87:$K$101)</f>
        <v>#DIV/0!</v>
      </c>
      <c r="N77" s="475"/>
      <c r="O77" s="475"/>
      <c r="P77" s="187"/>
      <c r="Q77" s="187"/>
      <c r="R77" s="187"/>
      <c r="S77" s="351" t="e">
        <f t="shared" si="39"/>
        <v>#N/A</v>
      </c>
      <c r="T77" s="506"/>
      <c r="U77" s="187"/>
      <c r="V77" s="187"/>
      <c r="W77" s="187"/>
      <c r="X77" s="351" t="e">
        <f t="shared" si="40"/>
        <v>#N/A</v>
      </c>
      <c r="Y77" s="506"/>
      <c r="Z77" s="187"/>
      <c r="AA77" s="187"/>
      <c r="AB77" s="187"/>
      <c r="AC77" s="351" t="e">
        <f t="shared" si="41"/>
        <v>#N/A</v>
      </c>
      <c r="AD77" s="506"/>
      <c r="AE77" s="187"/>
      <c r="AF77" s="187"/>
      <c r="AG77" s="187"/>
      <c r="AH77" s="351" t="e">
        <f t="shared" si="42"/>
        <v>#N/A</v>
      </c>
      <c r="AI77" s="506"/>
      <c r="AJ77" s="187"/>
      <c r="AK77" s="187"/>
      <c r="AL77" s="187"/>
      <c r="AM77" s="351" t="e">
        <f t="shared" si="43"/>
        <v>#N/A</v>
      </c>
      <c r="AN77" s="506"/>
      <c r="AO77" s="187"/>
      <c r="AP77" s="187"/>
      <c r="AQ77" s="187"/>
      <c r="AR77" s="351" t="e">
        <f t="shared" si="44"/>
        <v>#N/A</v>
      </c>
      <c r="AS77" s="506"/>
      <c r="AT77" s="187"/>
      <c r="AU77" s="187"/>
      <c r="AV77" s="354"/>
      <c r="AW77" s="351" t="e">
        <f t="shared" si="45"/>
        <v>#N/A</v>
      </c>
      <c r="AX77" s="506"/>
    </row>
    <row r="78" spans="2:50">
      <c r="B78" s="483"/>
      <c r="C78" s="351">
        <v>12</v>
      </c>
      <c r="D78" s="257"/>
      <c r="E78" s="187"/>
      <c r="F78" s="351"/>
      <c r="G78" s="354"/>
      <c r="H78" s="508"/>
      <c r="I78" s="222"/>
      <c r="J78" s="222"/>
      <c r="K78" s="222"/>
      <c r="L78" s="457"/>
      <c r="M78" s="221" t="e">
        <f>RANK(K78, K$87:$K$101)</f>
        <v>#DIV/0!</v>
      </c>
      <c r="N78" s="475"/>
      <c r="O78" s="475"/>
      <c r="P78" s="187"/>
      <c r="Q78" s="187"/>
      <c r="R78" s="187"/>
      <c r="S78" s="351" t="e">
        <f t="shared" si="39"/>
        <v>#N/A</v>
      </c>
      <c r="T78" s="506"/>
      <c r="U78" s="187"/>
      <c r="V78" s="187"/>
      <c r="W78" s="187"/>
      <c r="X78" s="351" t="e">
        <f t="shared" si="40"/>
        <v>#N/A</v>
      </c>
      <c r="Y78" s="506"/>
      <c r="Z78" s="187"/>
      <c r="AA78" s="187"/>
      <c r="AB78" s="187"/>
      <c r="AC78" s="351" t="e">
        <f t="shared" si="41"/>
        <v>#N/A</v>
      </c>
      <c r="AD78" s="506"/>
      <c r="AE78" s="187"/>
      <c r="AF78" s="187"/>
      <c r="AG78" s="187"/>
      <c r="AH78" s="351" t="e">
        <f t="shared" si="42"/>
        <v>#N/A</v>
      </c>
      <c r="AI78" s="506"/>
      <c r="AJ78" s="187"/>
      <c r="AK78" s="187"/>
      <c r="AL78" s="187"/>
      <c r="AM78" s="351" t="e">
        <f t="shared" si="43"/>
        <v>#N/A</v>
      </c>
      <c r="AN78" s="506"/>
      <c r="AO78" s="187"/>
      <c r="AP78" s="187"/>
      <c r="AQ78" s="187"/>
      <c r="AR78" s="351" t="e">
        <f t="shared" si="44"/>
        <v>#N/A</v>
      </c>
      <c r="AS78" s="506"/>
      <c r="AT78" s="187"/>
      <c r="AU78" s="187"/>
      <c r="AV78" s="354"/>
      <c r="AW78" s="351" t="e">
        <f t="shared" si="45"/>
        <v>#N/A</v>
      </c>
      <c r="AX78" s="506"/>
    </row>
    <row r="79" spans="2:50">
      <c r="B79" s="483"/>
      <c r="C79" s="351">
        <v>13</v>
      </c>
      <c r="D79" s="257"/>
      <c r="E79" s="187"/>
      <c r="F79" s="351"/>
      <c r="G79" s="354"/>
      <c r="H79" s="508"/>
      <c r="I79" s="222"/>
      <c r="J79" s="222"/>
      <c r="K79" s="222"/>
      <c r="L79" s="457"/>
      <c r="M79" s="221" t="e">
        <f>RANK(K79, K$87:$K$101)</f>
        <v>#DIV/0!</v>
      </c>
      <c r="N79" s="475"/>
      <c r="O79" s="475"/>
      <c r="P79" s="187"/>
      <c r="Q79" s="187"/>
      <c r="R79" s="187"/>
      <c r="S79" s="351" t="e">
        <f t="shared" si="39"/>
        <v>#N/A</v>
      </c>
      <c r="T79" s="506"/>
      <c r="U79" s="187"/>
      <c r="V79" s="187"/>
      <c r="W79" s="187"/>
      <c r="X79" s="351" t="e">
        <f t="shared" si="40"/>
        <v>#N/A</v>
      </c>
      <c r="Y79" s="506"/>
      <c r="Z79" s="187"/>
      <c r="AA79" s="187"/>
      <c r="AB79" s="187"/>
      <c r="AC79" s="351" t="e">
        <f t="shared" si="41"/>
        <v>#N/A</v>
      </c>
      <c r="AD79" s="506"/>
      <c r="AE79" s="187"/>
      <c r="AF79" s="187"/>
      <c r="AG79" s="187"/>
      <c r="AH79" s="351" t="e">
        <f t="shared" si="42"/>
        <v>#N/A</v>
      </c>
      <c r="AI79" s="506"/>
      <c r="AJ79" s="187"/>
      <c r="AK79" s="187"/>
      <c r="AL79" s="187"/>
      <c r="AM79" s="351" t="e">
        <f t="shared" si="43"/>
        <v>#N/A</v>
      </c>
      <c r="AN79" s="506"/>
      <c r="AO79" s="187"/>
      <c r="AP79" s="187"/>
      <c r="AQ79" s="187"/>
      <c r="AR79" s="351" t="e">
        <f t="shared" si="44"/>
        <v>#N/A</v>
      </c>
      <c r="AS79" s="506"/>
      <c r="AT79" s="187"/>
      <c r="AU79" s="187"/>
      <c r="AV79" s="354"/>
      <c r="AW79" s="351" t="e">
        <f t="shared" si="45"/>
        <v>#N/A</v>
      </c>
      <c r="AX79" s="506"/>
    </row>
    <row r="80" spans="2:50">
      <c r="B80" s="483"/>
      <c r="C80" s="351">
        <v>14</v>
      </c>
      <c r="D80" s="257"/>
      <c r="E80" s="187"/>
      <c r="F80" s="351"/>
      <c r="G80" s="354"/>
      <c r="H80" s="508"/>
      <c r="I80" s="222"/>
      <c r="J80" s="222"/>
      <c r="K80" s="222"/>
      <c r="L80" s="457"/>
      <c r="M80" s="221" t="e">
        <f>RANK(K80, K$87:$K$101)</f>
        <v>#DIV/0!</v>
      </c>
      <c r="N80" s="475"/>
      <c r="O80" s="475"/>
      <c r="P80" s="187"/>
      <c r="Q80" s="187"/>
      <c r="R80" s="187"/>
      <c r="S80" s="351" t="e">
        <f t="shared" si="39"/>
        <v>#N/A</v>
      </c>
      <c r="T80" s="506"/>
      <c r="U80" s="187"/>
      <c r="V80" s="187"/>
      <c r="W80" s="187"/>
      <c r="X80" s="351" t="e">
        <f t="shared" si="40"/>
        <v>#N/A</v>
      </c>
      <c r="Y80" s="506"/>
      <c r="Z80" s="187"/>
      <c r="AA80" s="187"/>
      <c r="AB80" s="187"/>
      <c r="AC80" s="351" t="e">
        <f t="shared" si="41"/>
        <v>#N/A</v>
      </c>
      <c r="AD80" s="506"/>
      <c r="AE80" s="187"/>
      <c r="AF80" s="187"/>
      <c r="AG80" s="187"/>
      <c r="AH80" s="351" t="e">
        <f t="shared" si="42"/>
        <v>#N/A</v>
      </c>
      <c r="AI80" s="506"/>
      <c r="AJ80" s="187"/>
      <c r="AK80" s="187"/>
      <c r="AL80" s="187"/>
      <c r="AM80" s="351" t="e">
        <f t="shared" si="43"/>
        <v>#N/A</v>
      </c>
      <c r="AN80" s="506"/>
      <c r="AO80" s="187"/>
      <c r="AP80" s="187"/>
      <c r="AQ80" s="187"/>
      <c r="AR80" s="351" t="e">
        <f t="shared" si="44"/>
        <v>#N/A</v>
      </c>
      <c r="AS80" s="506"/>
      <c r="AT80" s="187"/>
      <c r="AU80" s="187"/>
      <c r="AV80" s="354"/>
      <c r="AW80" s="351" t="e">
        <f t="shared" si="45"/>
        <v>#N/A</v>
      </c>
      <c r="AX80" s="506"/>
    </row>
    <row r="81" spans="2:50">
      <c r="B81" s="483"/>
      <c r="C81" s="351">
        <v>15</v>
      </c>
      <c r="D81" s="257"/>
      <c r="E81" s="187"/>
      <c r="F81" s="351"/>
      <c r="G81" s="354"/>
      <c r="H81" s="509"/>
      <c r="I81" s="222"/>
      <c r="J81" s="222"/>
      <c r="K81" s="222"/>
      <c r="L81" s="458"/>
      <c r="M81" s="219" t="e">
        <f>RANK(K81, K$87:$K$101)</f>
        <v>#DIV/0!</v>
      </c>
      <c r="N81" s="475"/>
      <c r="O81" s="475"/>
      <c r="P81" s="187"/>
      <c r="Q81" s="187"/>
      <c r="R81" s="187"/>
      <c r="S81" s="351" t="e">
        <f t="shared" si="39"/>
        <v>#N/A</v>
      </c>
      <c r="T81" s="506"/>
      <c r="U81" s="187"/>
      <c r="V81" s="187"/>
      <c r="W81" s="187"/>
      <c r="X81" s="351" t="e">
        <f t="shared" si="40"/>
        <v>#N/A</v>
      </c>
      <c r="Y81" s="506"/>
      <c r="Z81" s="187"/>
      <c r="AA81" s="187"/>
      <c r="AB81" s="187"/>
      <c r="AC81" s="351" t="e">
        <f t="shared" si="41"/>
        <v>#N/A</v>
      </c>
      <c r="AD81" s="506"/>
      <c r="AE81" s="187"/>
      <c r="AF81" s="187"/>
      <c r="AG81" s="187"/>
      <c r="AH81" s="351" t="e">
        <f t="shared" si="42"/>
        <v>#N/A</v>
      </c>
      <c r="AI81" s="506"/>
      <c r="AJ81" s="187"/>
      <c r="AK81" s="187"/>
      <c r="AL81" s="187"/>
      <c r="AM81" s="351" t="e">
        <f t="shared" si="43"/>
        <v>#N/A</v>
      </c>
      <c r="AN81" s="506"/>
      <c r="AO81" s="187"/>
      <c r="AP81" s="187"/>
      <c r="AQ81" s="187"/>
      <c r="AR81" s="351" t="e">
        <f t="shared" si="44"/>
        <v>#N/A</v>
      </c>
      <c r="AS81" s="506"/>
      <c r="AT81" s="187"/>
      <c r="AU81" s="187"/>
      <c r="AV81" s="354"/>
      <c r="AW81" s="351" t="e">
        <f t="shared" si="45"/>
        <v>#N/A</v>
      </c>
      <c r="AX81" s="506"/>
    </row>
    <row r="82" spans="2:50" ht="15.75">
      <c r="B82" s="487" t="s">
        <v>172</v>
      </c>
      <c r="C82" s="488"/>
      <c r="D82" s="488"/>
      <c r="E82" s="488"/>
      <c r="F82" s="488"/>
      <c r="G82" s="488"/>
      <c r="H82" s="489"/>
      <c r="I82" s="228"/>
      <c r="J82" s="228"/>
      <c r="K82" s="228"/>
      <c r="L82" s="228"/>
      <c r="M82" s="227"/>
      <c r="N82" s="476" t="s">
        <v>164</v>
      </c>
      <c r="O82" s="476" t="s">
        <v>105</v>
      </c>
      <c r="P82" s="482">
        <f>P62+7</f>
        <v>45923</v>
      </c>
      <c r="Q82" s="483"/>
      <c r="R82" s="483"/>
      <c r="S82" s="483"/>
      <c r="T82" s="483"/>
      <c r="U82" s="479">
        <f>P82+1</f>
        <v>45924</v>
      </c>
      <c r="V82" s="480"/>
      <c r="W82" s="480"/>
      <c r="X82" s="480"/>
      <c r="Y82" s="481"/>
      <c r="Z82" s="479">
        <f>U82+1</f>
        <v>45925</v>
      </c>
      <c r="AA82" s="480"/>
      <c r="AB82" s="480"/>
      <c r="AC82" s="480"/>
      <c r="AD82" s="481"/>
      <c r="AE82" s="479">
        <f t="shared" ref="AE82" si="46">Z82+1</f>
        <v>45926</v>
      </c>
      <c r="AF82" s="480"/>
      <c r="AG82" s="480"/>
      <c r="AH82" s="480"/>
      <c r="AI82" s="481"/>
      <c r="AJ82" s="479">
        <f t="shared" ref="AJ82" si="47">AE82+1</f>
        <v>45927</v>
      </c>
      <c r="AK82" s="480"/>
      <c r="AL82" s="480"/>
      <c r="AM82" s="480"/>
      <c r="AN82" s="481"/>
      <c r="AO82" s="479">
        <f t="shared" ref="AO82" si="48">AJ82+1</f>
        <v>45928</v>
      </c>
      <c r="AP82" s="480"/>
      <c r="AQ82" s="480"/>
      <c r="AR82" s="480"/>
      <c r="AS82" s="481"/>
      <c r="AT82" s="479">
        <f t="shared" ref="AT82" si="49">AO82+1</f>
        <v>45929</v>
      </c>
      <c r="AU82" s="480"/>
      <c r="AV82" s="480"/>
      <c r="AW82" s="480"/>
      <c r="AX82" s="481"/>
    </row>
    <row r="83" spans="2:50" ht="15.75">
      <c r="B83" s="490"/>
      <c r="C83" s="490"/>
      <c r="D83" s="490"/>
      <c r="E83" s="490"/>
      <c r="F83" s="490"/>
      <c r="G83" s="490"/>
      <c r="H83" s="490"/>
      <c r="I83" s="225"/>
      <c r="J83" s="225"/>
      <c r="K83" s="225"/>
      <c r="L83" s="225"/>
      <c r="M83" s="226"/>
      <c r="N83" s="478"/>
      <c r="O83" s="478"/>
      <c r="P83" s="482" t="s">
        <v>393</v>
      </c>
      <c r="Q83" s="483"/>
      <c r="R83" s="483"/>
      <c r="S83" s="483"/>
      <c r="T83" s="483"/>
      <c r="U83" s="482" t="s">
        <v>394</v>
      </c>
      <c r="V83" s="483"/>
      <c r="W83" s="483"/>
      <c r="X83" s="483"/>
      <c r="Y83" s="483"/>
      <c r="Z83" s="482" t="s">
        <v>395</v>
      </c>
      <c r="AA83" s="483"/>
      <c r="AB83" s="483"/>
      <c r="AC83" s="483"/>
      <c r="AD83" s="483"/>
      <c r="AE83" s="482" t="s">
        <v>396</v>
      </c>
      <c r="AF83" s="483"/>
      <c r="AG83" s="483"/>
      <c r="AH83" s="483"/>
      <c r="AI83" s="483"/>
      <c r="AJ83" s="482" t="s">
        <v>397</v>
      </c>
      <c r="AK83" s="483"/>
      <c r="AL83" s="483"/>
      <c r="AM83" s="483"/>
      <c r="AN83" s="483"/>
      <c r="AO83" s="482" t="s">
        <v>398</v>
      </c>
      <c r="AP83" s="483"/>
      <c r="AQ83" s="483"/>
      <c r="AR83" s="483"/>
      <c r="AS83" s="483"/>
      <c r="AT83" s="482" t="s">
        <v>399</v>
      </c>
      <c r="AU83" s="483"/>
      <c r="AV83" s="483"/>
      <c r="AW83" s="483"/>
      <c r="AX83" s="483"/>
    </row>
    <row r="84" spans="2:50">
      <c r="B84" s="475" t="s">
        <v>707</v>
      </c>
      <c r="C84" s="475" t="s">
        <v>708</v>
      </c>
      <c r="D84" s="475"/>
      <c r="E84" s="475" t="s">
        <v>709</v>
      </c>
      <c r="F84" s="475"/>
      <c r="G84" s="475"/>
      <c r="H84" s="491" t="s">
        <v>710</v>
      </c>
      <c r="I84" s="459" t="s">
        <v>711</v>
      </c>
      <c r="J84" s="459"/>
      <c r="K84" s="459"/>
      <c r="L84" s="460" t="s">
        <v>710</v>
      </c>
      <c r="M84" s="466" t="s">
        <v>712</v>
      </c>
      <c r="N84" s="475"/>
      <c r="O84" s="475" t="s">
        <v>713</v>
      </c>
      <c r="P84" s="472" t="s">
        <v>714</v>
      </c>
      <c r="Q84" s="473"/>
      <c r="R84" s="473"/>
      <c r="S84" s="474"/>
      <c r="T84" s="475" t="s">
        <v>710</v>
      </c>
      <c r="U84" s="472" t="s">
        <v>714</v>
      </c>
      <c r="V84" s="473"/>
      <c r="W84" s="473"/>
      <c r="X84" s="474"/>
      <c r="Y84" s="475" t="s">
        <v>710</v>
      </c>
      <c r="Z84" s="472" t="s">
        <v>714</v>
      </c>
      <c r="AA84" s="473"/>
      <c r="AB84" s="473"/>
      <c r="AC84" s="474"/>
      <c r="AD84" s="475" t="s">
        <v>710</v>
      </c>
      <c r="AE84" s="472" t="s">
        <v>714</v>
      </c>
      <c r="AF84" s="473"/>
      <c r="AG84" s="473"/>
      <c r="AH84" s="474"/>
      <c r="AI84" s="475" t="s">
        <v>710</v>
      </c>
      <c r="AJ84" s="472" t="s">
        <v>714</v>
      </c>
      <c r="AK84" s="473"/>
      <c r="AL84" s="473"/>
      <c r="AM84" s="474"/>
      <c r="AN84" s="475" t="s">
        <v>710</v>
      </c>
      <c r="AO84" s="472" t="s">
        <v>714</v>
      </c>
      <c r="AP84" s="473"/>
      <c r="AQ84" s="473"/>
      <c r="AR84" s="474"/>
      <c r="AS84" s="475" t="s">
        <v>710</v>
      </c>
      <c r="AT84" s="472" t="s">
        <v>714</v>
      </c>
      <c r="AU84" s="473"/>
      <c r="AV84" s="473"/>
      <c r="AW84" s="474"/>
      <c r="AX84" s="475" t="s">
        <v>710</v>
      </c>
    </row>
    <row r="85" spans="2:50">
      <c r="B85" s="475"/>
      <c r="C85" s="475"/>
      <c r="D85" s="475"/>
      <c r="E85" s="475" t="s">
        <v>715</v>
      </c>
      <c r="F85" s="475"/>
      <c r="G85" s="475"/>
      <c r="H85" s="492"/>
      <c r="I85" s="459" t="s">
        <v>715</v>
      </c>
      <c r="J85" s="459"/>
      <c r="K85" s="459"/>
      <c r="L85" s="461"/>
      <c r="M85" s="467"/>
      <c r="N85" s="475"/>
      <c r="O85" s="475"/>
      <c r="P85" s="472" t="s">
        <v>716</v>
      </c>
      <c r="Q85" s="473"/>
      <c r="R85" s="473"/>
      <c r="S85" s="474"/>
      <c r="T85" s="475"/>
      <c r="U85" s="472" t="s">
        <v>716</v>
      </c>
      <c r="V85" s="473"/>
      <c r="W85" s="473"/>
      <c r="X85" s="474"/>
      <c r="Y85" s="475"/>
      <c r="Z85" s="472" t="s">
        <v>716</v>
      </c>
      <c r="AA85" s="473"/>
      <c r="AB85" s="473"/>
      <c r="AC85" s="474"/>
      <c r="AD85" s="475"/>
      <c r="AE85" s="472" t="s">
        <v>716</v>
      </c>
      <c r="AF85" s="473"/>
      <c r="AG85" s="473"/>
      <c r="AH85" s="474"/>
      <c r="AI85" s="475"/>
      <c r="AJ85" s="472" t="s">
        <v>716</v>
      </c>
      <c r="AK85" s="473"/>
      <c r="AL85" s="473"/>
      <c r="AM85" s="474"/>
      <c r="AN85" s="475"/>
      <c r="AO85" s="472" t="s">
        <v>716</v>
      </c>
      <c r="AP85" s="473"/>
      <c r="AQ85" s="473"/>
      <c r="AR85" s="474"/>
      <c r="AS85" s="475"/>
      <c r="AT85" s="472" t="s">
        <v>716</v>
      </c>
      <c r="AU85" s="473"/>
      <c r="AV85" s="473"/>
      <c r="AW85" s="474"/>
      <c r="AX85" s="475"/>
    </row>
    <row r="86" spans="2:50">
      <c r="B86" s="475"/>
      <c r="C86" s="475"/>
      <c r="D86" s="475"/>
      <c r="E86" s="335" t="s">
        <v>717</v>
      </c>
      <c r="F86" s="335" t="s">
        <v>718</v>
      </c>
      <c r="G86" s="335" t="s">
        <v>719</v>
      </c>
      <c r="H86" s="493"/>
      <c r="I86" s="337" t="s">
        <v>717</v>
      </c>
      <c r="J86" s="337" t="s">
        <v>718</v>
      </c>
      <c r="K86" s="337" t="s">
        <v>719</v>
      </c>
      <c r="L86" s="462"/>
      <c r="M86" s="468"/>
      <c r="N86" s="475"/>
      <c r="O86" s="475"/>
      <c r="P86" s="335" t="s">
        <v>717</v>
      </c>
      <c r="Q86" s="335" t="s">
        <v>718</v>
      </c>
      <c r="R86" s="335" t="s">
        <v>719</v>
      </c>
      <c r="S86" s="335" t="s">
        <v>712</v>
      </c>
      <c r="T86" s="475"/>
      <c r="U86" s="335" t="s">
        <v>717</v>
      </c>
      <c r="V86" s="335" t="s">
        <v>718</v>
      </c>
      <c r="W86" s="335" t="s">
        <v>719</v>
      </c>
      <c r="X86" s="335" t="s">
        <v>712</v>
      </c>
      <c r="Y86" s="475"/>
      <c r="Z86" s="335" t="s">
        <v>717</v>
      </c>
      <c r="AA86" s="335" t="s">
        <v>718</v>
      </c>
      <c r="AB86" s="335" t="s">
        <v>719</v>
      </c>
      <c r="AC86" s="335" t="s">
        <v>712</v>
      </c>
      <c r="AD86" s="475"/>
      <c r="AE86" s="335" t="s">
        <v>717</v>
      </c>
      <c r="AF86" s="335" t="s">
        <v>718</v>
      </c>
      <c r="AG86" s="335" t="s">
        <v>719</v>
      </c>
      <c r="AH86" s="335" t="s">
        <v>712</v>
      </c>
      <c r="AI86" s="475"/>
      <c r="AJ86" s="335" t="s">
        <v>717</v>
      </c>
      <c r="AK86" s="335" t="s">
        <v>718</v>
      </c>
      <c r="AL86" s="335" t="s">
        <v>719</v>
      </c>
      <c r="AM86" s="335" t="s">
        <v>712</v>
      </c>
      <c r="AN86" s="475"/>
      <c r="AO86" s="335" t="s">
        <v>717</v>
      </c>
      <c r="AP86" s="335" t="s">
        <v>718</v>
      </c>
      <c r="AQ86" s="335" t="s">
        <v>719</v>
      </c>
      <c r="AR86" s="335" t="s">
        <v>712</v>
      </c>
      <c r="AS86" s="475"/>
      <c r="AT86" s="335" t="s">
        <v>717</v>
      </c>
      <c r="AU86" s="335" t="s">
        <v>718</v>
      </c>
      <c r="AV86" s="335" t="s">
        <v>719</v>
      </c>
      <c r="AW86" s="335" t="s">
        <v>712</v>
      </c>
      <c r="AX86" s="475"/>
    </row>
    <row r="87" spans="2:50">
      <c r="B87" s="505" t="s">
        <v>721</v>
      </c>
      <c r="C87" s="334">
        <v>1</v>
      </c>
      <c r="D87" s="257"/>
      <c r="E87" s="187"/>
      <c r="F87" s="334"/>
      <c r="G87" s="336"/>
      <c r="H87" s="507" t="e">
        <f>AVERAGE(G87:G101)</f>
        <v>#DIV/0!</v>
      </c>
      <c r="I87" s="219" t="e">
        <f>AVERAGE(P87,U87,Z87,AE87,AJ87,AO87,AT87)</f>
        <v>#DIV/0!</v>
      </c>
      <c r="J87" s="219" t="e">
        <f>AVERAGE(Q87,V87,AA87,AF87,AK87,AP87,AU87)</f>
        <v>#DIV/0!</v>
      </c>
      <c r="K87" s="220" t="e">
        <f>AVERAGE(R87,W87,AB87,AG87,AL87,AQ87,AV87)</f>
        <v>#DIV/0!</v>
      </c>
      <c r="L87" s="456" t="str">
        <f>IFERROR(AVERAGE(K87:K101),"-")</f>
        <v>-</v>
      </c>
      <c r="M87" s="221" t="e">
        <f>RANK(K87, K$87:$K$101)</f>
        <v>#DIV/0!</v>
      </c>
      <c r="N87" s="475"/>
      <c r="O87" s="475"/>
      <c r="P87" s="187"/>
      <c r="Q87" s="187"/>
      <c r="R87" s="187"/>
      <c r="S87" s="334" t="e">
        <f>RANK(R87, R$87:R$101)</f>
        <v>#N/A</v>
      </c>
      <c r="T87" s="506" t="e">
        <f>AVERAGE(R87:R101)</f>
        <v>#DIV/0!</v>
      </c>
      <c r="U87" s="187"/>
      <c r="V87" s="187"/>
      <c r="W87" s="187"/>
      <c r="X87" s="334" t="e">
        <f>RANK(W87, W$87:W$101)</f>
        <v>#N/A</v>
      </c>
      <c r="Y87" s="506" t="e">
        <f>AVERAGE(W87:W101)</f>
        <v>#DIV/0!</v>
      </c>
      <c r="Z87" s="187"/>
      <c r="AA87" s="187"/>
      <c r="AB87" s="187"/>
      <c r="AC87" s="334" t="e">
        <f>RANK(AB87, AB$87:AB$101)</f>
        <v>#N/A</v>
      </c>
      <c r="AD87" s="506" t="e">
        <f>AVERAGE(AB87:AB101)</f>
        <v>#DIV/0!</v>
      </c>
      <c r="AE87" s="187"/>
      <c r="AF87" s="187"/>
      <c r="AG87" s="187"/>
      <c r="AH87" s="334" t="e">
        <f>RANK(AG87, AG$87:AG$101)</f>
        <v>#N/A</v>
      </c>
      <c r="AI87" s="506" t="e">
        <f>AVERAGE(AG87:AG101)</f>
        <v>#DIV/0!</v>
      </c>
      <c r="AJ87" s="187"/>
      <c r="AK87" s="187"/>
      <c r="AL87" s="187"/>
      <c r="AM87" s="334" t="e">
        <f>RANK(AL87, AL$87:AL$101)</f>
        <v>#N/A</v>
      </c>
      <c r="AN87" s="506" t="e">
        <f>AVERAGE(AL87:AL101)</f>
        <v>#DIV/0!</v>
      </c>
      <c r="AO87" s="187"/>
      <c r="AP87" s="187"/>
      <c r="AQ87" s="187"/>
      <c r="AR87" s="334" t="e">
        <f>RANK(AQ87, AQ$87:AQ$101)</f>
        <v>#N/A</v>
      </c>
      <c r="AS87" s="506" t="e">
        <f>AVERAGE(AQ87:AQ101)</f>
        <v>#DIV/0!</v>
      </c>
      <c r="AT87" s="187"/>
      <c r="AU87" s="187"/>
      <c r="AV87" s="187"/>
      <c r="AW87" s="334" t="e">
        <f>RANK(AV87, AV$87:AV$101)</f>
        <v>#N/A</v>
      </c>
      <c r="AX87" s="506" t="e">
        <f>AVERAGE(AV87:AV101)</f>
        <v>#DIV/0!</v>
      </c>
    </row>
    <row r="88" spans="2:50">
      <c r="B88" s="483"/>
      <c r="C88" s="334">
        <v>2</v>
      </c>
      <c r="D88" s="257"/>
      <c r="E88" s="187"/>
      <c r="F88" s="334"/>
      <c r="G88" s="336"/>
      <c r="H88" s="508"/>
      <c r="I88" s="219" t="e">
        <f t="shared" ref="I88:K96" si="50">AVERAGE(P88,U88,Z88,AE88,AJ88,AO88,AT88)</f>
        <v>#DIV/0!</v>
      </c>
      <c r="J88" s="219" t="e">
        <f t="shared" si="50"/>
        <v>#DIV/0!</v>
      </c>
      <c r="K88" s="220" t="e">
        <f t="shared" si="50"/>
        <v>#DIV/0!</v>
      </c>
      <c r="L88" s="457"/>
      <c r="M88" s="221" t="e">
        <f>RANK(K88, K$87:$K$101)</f>
        <v>#DIV/0!</v>
      </c>
      <c r="N88" s="475"/>
      <c r="O88" s="475"/>
      <c r="P88" s="187"/>
      <c r="Q88" s="187"/>
      <c r="R88" s="187"/>
      <c r="S88" s="334" t="e">
        <f t="shared" ref="S88:S101" si="51">RANK(R88, R$87:R$101)</f>
        <v>#N/A</v>
      </c>
      <c r="T88" s="506"/>
      <c r="U88" s="187"/>
      <c r="V88" s="187"/>
      <c r="W88" s="187"/>
      <c r="X88" s="334" t="e">
        <f t="shared" ref="X88:X101" si="52">RANK(W88, W$87:W$101)</f>
        <v>#N/A</v>
      </c>
      <c r="Y88" s="506"/>
      <c r="Z88" s="187"/>
      <c r="AA88" s="187"/>
      <c r="AB88" s="187"/>
      <c r="AC88" s="334" t="e">
        <f t="shared" ref="AC88:AC101" si="53">RANK(AB88, AB$87:AB$101)</f>
        <v>#N/A</v>
      </c>
      <c r="AD88" s="506"/>
      <c r="AE88" s="187"/>
      <c r="AF88" s="187"/>
      <c r="AG88" s="187"/>
      <c r="AH88" s="334" t="e">
        <f t="shared" ref="AH88:AH101" si="54">RANK(AG88, AG$87:AG$101)</f>
        <v>#N/A</v>
      </c>
      <c r="AI88" s="506"/>
      <c r="AJ88" s="187"/>
      <c r="AK88" s="187"/>
      <c r="AL88" s="187"/>
      <c r="AM88" s="334" t="e">
        <f t="shared" ref="AM88:AM101" si="55">RANK(AL88, AL$87:AL$101)</f>
        <v>#N/A</v>
      </c>
      <c r="AN88" s="506"/>
      <c r="AO88" s="187"/>
      <c r="AP88" s="187"/>
      <c r="AQ88" s="187"/>
      <c r="AR88" s="334" t="e">
        <f t="shared" ref="AR88:AR101" si="56">RANK(AQ88, AQ$87:AQ$101)</f>
        <v>#N/A</v>
      </c>
      <c r="AS88" s="506"/>
      <c r="AT88" s="187"/>
      <c r="AU88" s="187"/>
      <c r="AV88" s="187"/>
      <c r="AW88" s="334" t="e">
        <f t="shared" ref="AW88:AW101" si="57">RANK(AV88, AV$87:AV$101)</f>
        <v>#N/A</v>
      </c>
      <c r="AX88" s="506"/>
    </row>
    <row r="89" spans="2:50">
      <c r="B89" s="483"/>
      <c r="C89" s="334">
        <v>3</v>
      </c>
      <c r="D89" s="257"/>
      <c r="E89" s="187"/>
      <c r="F89" s="334"/>
      <c r="G89" s="336"/>
      <c r="H89" s="508"/>
      <c r="I89" s="219" t="e">
        <f t="shared" si="50"/>
        <v>#DIV/0!</v>
      </c>
      <c r="J89" s="219" t="e">
        <f t="shared" si="50"/>
        <v>#DIV/0!</v>
      </c>
      <c r="K89" s="220" t="e">
        <f t="shared" si="50"/>
        <v>#DIV/0!</v>
      </c>
      <c r="L89" s="457"/>
      <c r="M89" s="221" t="e">
        <f>RANK(K89, K$87:$K$101)</f>
        <v>#DIV/0!</v>
      </c>
      <c r="N89" s="475"/>
      <c r="O89" s="475"/>
      <c r="P89" s="187"/>
      <c r="Q89" s="187"/>
      <c r="R89" s="187"/>
      <c r="S89" s="334" t="e">
        <f t="shared" si="51"/>
        <v>#N/A</v>
      </c>
      <c r="T89" s="506"/>
      <c r="U89" s="187"/>
      <c r="V89" s="187"/>
      <c r="W89" s="187"/>
      <c r="X89" s="334" t="e">
        <f t="shared" si="52"/>
        <v>#N/A</v>
      </c>
      <c r="Y89" s="506"/>
      <c r="Z89" s="187"/>
      <c r="AA89" s="187"/>
      <c r="AB89" s="187"/>
      <c r="AC89" s="334" t="e">
        <f t="shared" si="53"/>
        <v>#N/A</v>
      </c>
      <c r="AD89" s="506"/>
      <c r="AE89" s="187"/>
      <c r="AF89" s="187"/>
      <c r="AG89" s="187"/>
      <c r="AH89" s="334" t="e">
        <f t="shared" si="54"/>
        <v>#N/A</v>
      </c>
      <c r="AI89" s="506"/>
      <c r="AJ89" s="187"/>
      <c r="AK89" s="187"/>
      <c r="AL89" s="187"/>
      <c r="AM89" s="334" t="e">
        <f t="shared" si="55"/>
        <v>#N/A</v>
      </c>
      <c r="AN89" s="506"/>
      <c r="AO89" s="187"/>
      <c r="AP89" s="187"/>
      <c r="AQ89" s="187"/>
      <c r="AR89" s="334" t="e">
        <f t="shared" si="56"/>
        <v>#N/A</v>
      </c>
      <c r="AS89" s="506"/>
      <c r="AT89" s="187"/>
      <c r="AU89" s="187"/>
      <c r="AV89" s="187"/>
      <c r="AW89" s="334" t="e">
        <f t="shared" si="57"/>
        <v>#N/A</v>
      </c>
      <c r="AX89" s="506"/>
    </row>
    <row r="90" spans="2:50">
      <c r="B90" s="483"/>
      <c r="C90" s="334">
        <v>4</v>
      </c>
      <c r="D90" s="257"/>
      <c r="E90" s="187"/>
      <c r="F90" s="334"/>
      <c r="G90" s="336"/>
      <c r="H90" s="508"/>
      <c r="I90" s="219" t="e">
        <f t="shared" si="50"/>
        <v>#DIV/0!</v>
      </c>
      <c r="J90" s="219" t="e">
        <f t="shared" si="50"/>
        <v>#DIV/0!</v>
      </c>
      <c r="K90" s="220" t="e">
        <f t="shared" si="50"/>
        <v>#DIV/0!</v>
      </c>
      <c r="L90" s="457"/>
      <c r="M90" s="221" t="e">
        <f>RANK(K90, K$87:$K$101)</f>
        <v>#DIV/0!</v>
      </c>
      <c r="N90" s="475"/>
      <c r="O90" s="475"/>
      <c r="P90" s="187"/>
      <c r="Q90" s="187"/>
      <c r="R90" s="187"/>
      <c r="S90" s="334" t="e">
        <f t="shared" si="51"/>
        <v>#N/A</v>
      </c>
      <c r="T90" s="506"/>
      <c r="U90" s="187"/>
      <c r="V90" s="187"/>
      <c r="W90" s="187"/>
      <c r="X90" s="334" t="e">
        <f t="shared" si="52"/>
        <v>#N/A</v>
      </c>
      <c r="Y90" s="506"/>
      <c r="Z90" s="187"/>
      <c r="AA90" s="187"/>
      <c r="AB90" s="187"/>
      <c r="AC90" s="334" t="e">
        <f t="shared" si="53"/>
        <v>#N/A</v>
      </c>
      <c r="AD90" s="506"/>
      <c r="AE90" s="187"/>
      <c r="AF90" s="187"/>
      <c r="AG90" s="187"/>
      <c r="AH90" s="334" t="e">
        <f t="shared" si="54"/>
        <v>#N/A</v>
      </c>
      <c r="AI90" s="506"/>
      <c r="AJ90" s="187"/>
      <c r="AK90" s="187"/>
      <c r="AL90" s="187"/>
      <c r="AM90" s="334" t="e">
        <f t="shared" si="55"/>
        <v>#N/A</v>
      </c>
      <c r="AN90" s="506"/>
      <c r="AO90" s="187"/>
      <c r="AP90" s="187"/>
      <c r="AQ90" s="187"/>
      <c r="AR90" s="334" t="e">
        <f t="shared" si="56"/>
        <v>#N/A</v>
      </c>
      <c r="AS90" s="506"/>
      <c r="AT90" s="187"/>
      <c r="AU90" s="187"/>
      <c r="AV90" s="187"/>
      <c r="AW90" s="334" t="e">
        <f t="shared" si="57"/>
        <v>#N/A</v>
      </c>
      <c r="AX90" s="506"/>
    </row>
    <row r="91" spans="2:50">
      <c r="B91" s="483"/>
      <c r="C91" s="334">
        <v>5</v>
      </c>
      <c r="D91" s="257"/>
      <c r="E91" s="187"/>
      <c r="F91" s="334"/>
      <c r="G91" s="336"/>
      <c r="H91" s="508"/>
      <c r="I91" s="219" t="e">
        <f t="shared" si="50"/>
        <v>#DIV/0!</v>
      </c>
      <c r="J91" s="219" t="e">
        <f t="shared" si="50"/>
        <v>#DIV/0!</v>
      </c>
      <c r="K91" s="220" t="e">
        <f t="shared" si="50"/>
        <v>#DIV/0!</v>
      </c>
      <c r="L91" s="457"/>
      <c r="M91" s="221" t="e">
        <f>RANK(K91, K$87:$K$101)</f>
        <v>#DIV/0!</v>
      </c>
      <c r="N91" s="475"/>
      <c r="O91" s="475"/>
      <c r="P91" s="187"/>
      <c r="Q91" s="187"/>
      <c r="R91" s="187"/>
      <c r="S91" s="334" t="e">
        <f t="shared" si="51"/>
        <v>#N/A</v>
      </c>
      <c r="T91" s="506"/>
      <c r="U91" s="187"/>
      <c r="V91" s="187"/>
      <c r="W91" s="187"/>
      <c r="X91" s="334" t="e">
        <f t="shared" si="52"/>
        <v>#N/A</v>
      </c>
      <c r="Y91" s="506"/>
      <c r="Z91" s="187"/>
      <c r="AA91" s="187"/>
      <c r="AB91" s="187"/>
      <c r="AC91" s="334" t="e">
        <f t="shared" si="53"/>
        <v>#N/A</v>
      </c>
      <c r="AD91" s="506"/>
      <c r="AE91" s="187"/>
      <c r="AF91" s="187"/>
      <c r="AG91" s="187"/>
      <c r="AH91" s="334" t="e">
        <f t="shared" si="54"/>
        <v>#N/A</v>
      </c>
      <c r="AI91" s="506"/>
      <c r="AJ91" s="187"/>
      <c r="AK91" s="187"/>
      <c r="AL91" s="187"/>
      <c r="AM91" s="334" t="e">
        <f t="shared" si="55"/>
        <v>#N/A</v>
      </c>
      <c r="AN91" s="506"/>
      <c r="AO91" s="187"/>
      <c r="AP91" s="187"/>
      <c r="AQ91" s="187"/>
      <c r="AR91" s="334" t="e">
        <f t="shared" si="56"/>
        <v>#N/A</v>
      </c>
      <c r="AS91" s="506"/>
      <c r="AT91" s="187"/>
      <c r="AU91" s="187"/>
      <c r="AV91" s="187"/>
      <c r="AW91" s="334" t="e">
        <f t="shared" si="57"/>
        <v>#N/A</v>
      </c>
      <c r="AX91" s="506"/>
    </row>
    <row r="92" spans="2:50">
      <c r="B92" s="483"/>
      <c r="C92" s="334">
        <v>6</v>
      </c>
      <c r="D92" s="257"/>
      <c r="E92" s="187"/>
      <c r="F92" s="334"/>
      <c r="G92" s="336"/>
      <c r="H92" s="508"/>
      <c r="I92" s="219" t="e">
        <f t="shared" si="50"/>
        <v>#DIV/0!</v>
      </c>
      <c r="J92" s="219" t="e">
        <f t="shared" si="50"/>
        <v>#DIV/0!</v>
      </c>
      <c r="K92" s="220" t="e">
        <f t="shared" si="50"/>
        <v>#DIV/0!</v>
      </c>
      <c r="L92" s="457"/>
      <c r="M92" s="221" t="e">
        <f>RANK(K92, K$87:$K$101)</f>
        <v>#DIV/0!</v>
      </c>
      <c r="N92" s="475"/>
      <c r="O92" s="475"/>
      <c r="P92" s="187"/>
      <c r="Q92" s="187"/>
      <c r="R92" s="187"/>
      <c r="S92" s="334" t="e">
        <f t="shared" si="51"/>
        <v>#N/A</v>
      </c>
      <c r="T92" s="506"/>
      <c r="U92" s="187"/>
      <c r="V92" s="187"/>
      <c r="W92" s="187"/>
      <c r="X92" s="334" t="e">
        <f t="shared" si="52"/>
        <v>#N/A</v>
      </c>
      <c r="Y92" s="506"/>
      <c r="Z92" s="187"/>
      <c r="AA92" s="187"/>
      <c r="AB92" s="187"/>
      <c r="AC92" s="334" t="e">
        <f t="shared" si="53"/>
        <v>#N/A</v>
      </c>
      <c r="AD92" s="506"/>
      <c r="AE92" s="187"/>
      <c r="AF92" s="187"/>
      <c r="AG92" s="187"/>
      <c r="AH92" s="334" t="e">
        <f t="shared" si="54"/>
        <v>#N/A</v>
      </c>
      <c r="AI92" s="506"/>
      <c r="AJ92" s="187"/>
      <c r="AK92" s="187"/>
      <c r="AL92" s="187"/>
      <c r="AM92" s="334" t="e">
        <f t="shared" si="55"/>
        <v>#N/A</v>
      </c>
      <c r="AN92" s="506"/>
      <c r="AO92" s="187"/>
      <c r="AP92" s="187"/>
      <c r="AQ92" s="187"/>
      <c r="AR92" s="334" t="e">
        <f t="shared" si="56"/>
        <v>#N/A</v>
      </c>
      <c r="AS92" s="506"/>
      <c r="AT92" s="187"/>
      <c r="AU92" s="187"/>
      <c r="AV92" s="187"/>
      <c r="AW92" s="334" t="e">
        <f t="shared" si="57"/>
        <v>#N/A</v>
      </c>
      <c r="AX92" s="506"/>
    </row>
    <row r="93" spans="2:50">
      <c r="B93" s="483"/>
      <c r="C93" s="334">
        <v>7</v>
      </c>
      <c r="D93" s="257"/>
      <c r="E93" s="187"/>
      <c r="F93" s="334"/>
      <c r="G93" s="336"/>
      <c r="H93" s="508"/>
      <c r="I93" s="219" t="e">
        <f t="shared" si="50"/>
        <v>#DIV/0!</v>
      </c>
      <c r="J93" s="219" t="e">
        <f t="shared" si="50"/>
        <v>#DIV/0!</v>
      </c>
      <c r="K93" s="220" t="e">
        <f t="shared" si="50"/>
        <v>#DIV/0!</v>
      </c>
      <c r="L93" s="457"/>
      <c r="M93" s="221" t="e">
        <f>RANK(K93, K$87:$K$101)</f>
        <v>#DIV/0!</v>
      </c>
      <c r="N93" s="475"/>
      <c r="O93" s="475"/>
      <c r="P93" s="187"/>
      <c r="Q93" s="187"/>
      <c r="R93" s="187"/>
      <c r="S93" s="334" t="e">
        <f t="shared" si="51"/>
        <v>#N/A</v>
      </c>
      <c r="T93" s="506"/>
      <c r="U93" s="187"/>
      <c r="V93" s="187"/>
      <c r="W93" s="187"/>
      <c r="X93" s="334" t="e">
        <f t="shared" si="52"/>
        <v>#N/A</v>
      </c>
      <c r="Y93" s="506"/>
      <c r="Z93" s="187"/>
      <c r="AA93" s="187"/>
      <c r="AB93" s="187"/>
      <c r="AC93" s="334" t="e">
        <f t="shared" si="53"/>
        <v>#N/A</v>
      </c>
      <c r="AD93" s="506"/>
      <c r="AE93" s="187"/>
      <c r="AF93" s="187"/>
      <c r="AG93" s="187"/>
      <c r="AH93" s="334" t="e">
        <f t="shared" si="54"/>
        <v>#N/A</v>
      </c>
      <c r="AI93" s="506"/>
      <c r="AJ93" s="187"/>
      <c r="AK93" s="187"/>
      <c r="AL93" s="187"/>
      <c r="AM93" s="334" t="e">
        <f t="shared" si="55"/>
        <v>#N/A</v>
      </c>
      <c r="AN93" s="506"/>
      <c r="AO93" s="187"/>
      <c r="AP93" s="187"/>
      <c r="AQ93" s="187"/>
      <c r="AR93" s="334" t="e">
        <f t="shared" si="56"/>
        <v>#N/A</v>
      </c>
      <c r="AS93" s="506"/>
      <c r="AT93" s="187"/>
      <c r="AU93" s="187"/>
      <c r="AV93" s="187"/>
      <c r="AW93" s="334" t="e">
        <f t="shared" si="57"/>
        <v>#N/A</v>
      </c>
      <c r="AX93" s="506"/>
    </row>
    <row r="94" spans="2:50">
      <c r="B94" s="483"/>
      <c r="C94" s="334">
        <v>8</v>
      </c>
      <c r="D94" s="257"/>
      <c r="E94" s="187"/>
      <c r="F94" s="334"/>
      <c r="G94" s="336"/>
      <c r="H94" s="508"/>
      <c r="I94" s="219" t="e">
        <f t="shared" si="50"/>
        <v>#DIV/0!</v>
      </c>
      <c r="J94" s="219" t="e">
        <f t="shared" si="50"/>
        <v>#DIV/0!</v>
      </c>
      <c r="K94" s="220" t="e">
        <f t="shared" si="50"/>
        <v>#DIV/0!</v>
      </c>
      <c r="L94" s="457"/>
      <c r="M94" s="221" t="e">
        <f>RANK(K94, K$87:$K$101)</f>
        <v>#DIV/0!</v>
      </c>
      <c r="N94" s="475"/>
      <c r="O94" s="475"/>
      <c r="P94" s="187"/>
      <c r="Q94" s="187"/>
      <c r="R94" s="187"/>
      <c r="S94" s="334" t="e">
        <f t="shared" si="51"/>
        <v>#N/A</v>
      </c>
      <c r="T94" s="506"/>
      <c r="U94" s="187"/>
      <c r="V94" s="187"/>
      <c r="W94" s="187"/>
      <c r="X94" s="334" t="e">
        <f t="shared" si="52"/>
        <v>#N/A</v>
      </c>
      <c r="Y94" s="506"/>
      <c r="Z94" s="187"/>
      <c r="AA94" s="187"/>
      <c r="AB94" s="187"/>
      <c r="AC94" s="334" t="e">
        <f t="shared" si="53"/>
        <v>#N/A</v>
      </c>
      <c r="AD94" s="506"/>
      <c r="AE94" s="187"/>
      <c r="AF94" s="187"/>
      <c r="AG94" s="187"/>
      <c r="AH94" s="334" t="e">
        <f t="shared" si="54"/>
        <v>#N/A</v>
      </c>
      <c r="AI94" s="506"/>
      <c r="AJ94" s="187"/>
      <c r="AK94" s="187"/>
      <c r="AL94" s="187"/>
      <c r="AM94" s="334" t="e">
        <f t="shared" si="55"/>
        <v>#N/A</v>
      </c>
      <c r="AN94" s="506"/>
      <c r="AO94" s="187"/>
      <c r="AP94" s="187"/>
      <c r="AQ94" s="187"/>
      <c r="AR94" s="334" t="e">
        <f t="shared" si="56"/>
        <v>#N/A</v>
      </c>
      <c r="AS94" s="506"/>
      <c r="AT94" s="187"/>
      <c r="AU94" s="187"/>
      <c r="AV94" s="187"/>
      <c r="AW94" s="334" t="e">
        <f t="shared" si="57"/>
        <v>#N/A</v>
      </c>
      <c r="AX94" s="506"/>
    </row>
    <row r="95" spans="2:50">
      <c r="B95" s="483"/>
      <c r="C95" s="334">
        <v>9</v>
      </c>
      <c r="D95" s="257"/>
      <c r="E95" s="187"/>
      <c r="F95" s="334"/>
      <c r="G95" s="336"/>
      <c r="H95" s="508"/>
      <c r="I95" s="219" t="e">
        <f t="shared" si="50"/>
        <v>#DIV/0!</v>
      </c>
      <c r="J95" s="219" t="e">
        <f t="shared" si="50"/>
        <v>#DIV/0!</v>
      </c>
      <c r="K95" s="220" t="e">
        <f t="shared" si="50"/>
        <v>#DIV/0!</v>
      </c>
      <c r="L95" s="457"/>
      <c r="M95" s="221" t="e">
        <f>RANK(K95, K$87:$K$101)</f>
        <v>#DIV/0!</v>
      </c>
      <c r="N95" s="475"/>
      <c r="O95" s="475"/>
      <c r="P95" s="187"/>
      <c r="Q95" s="187"/>
      <c r="R95" s="187"/>
      <c r="S95" s="334" t="e">
        <f t="shared" si="51"/>
        <v>#N/A</v>
      </c>
      <c r="T95" s="506"/>
      <c r="U95" s="187"/>
      <c r="V95" s="187"/>
      <c r="W95" s="187"/>
      <c r="X95" s="334" t="e">
        <f t="shared" si="52"/>
        <v>#N/A</v>
      </c>
      <c r="Y95" s="506"/>
      <c r="Z95" s="187"/>
      <c r="AA95" s="187"/>
      <c r="AB95" s="187"/>
      <c r="AC95" s="334" t="e">
        <f t="shared" si="53"/>
        <v>#N/A</v>
      </c>
      <c r="AD95" s="506"/>
      <c r="AE95" s="187"/>
      <c r="AF95" s="187"/>
      <c r="AG95" s="187"/>
      <c r="AH95" s="334" t="e">
        <f t="shared" si="54"/>
        <v>#N/A</v>
      </c>
      <c r="AI95" s="506"/>
      <c r="AJ95" s="187"/>
      <c r="AK95" s="187"/>
      <c r="AL95" s="187"/>
      <c r="AM95" s="334" t="e">
        <f t="shared" si="55"/>
        <v>#N/A</v>
      </c>
      <c r="AN95" s="506"/>
      <c r="AO95" s="187"/>
      <c r="AP95" s="187"/>
      <c r="AQ95" s="187"/>
      <c r="AR95" s="334" t="e">
        <f t="shared" si="56"/>
        <v>#N/A</v>
      </c>
      <c r="AS95" s="506"/>
      <c r="AT95" s="187"/>
      <c r="AU95" s="187"/>
      <c r="AV95" s="187"/>
      <c r="AW95" s="334" t="e">
        <f t="shared" si="57"/>
        <v>#N/A</v>
      </c>
      <c r="AX95" s="506"/>
    </row>
    <row r="96" spans="2:50">
      <c r="B96" s="483"/>
      <c r="C96" s="334">
        <v>10</v>
      </c>
      <c r="D96" s="257"/>
      <c r="E96" s="187"/>
      <c r="F96" s="334"/>
      <c r="G96" s="336"/>
      <c r="H96" s="508"/>
      <c r="I96" s="219" t="e">
        <f t="shared" si="50"/>
        <v>#DIV/0!</v>
      </c>
      <c r="J96" s="219" t="e">
        <f t="shared" si="50"/>
        <v>#DIV/0!</v>
      </c>
      <c r="K96" s="220" t="e">
        <f t="shared" si="50"/>
        <v>#DIV/0!</v>
      </c>
      <c r="L96" s="457"/>
      <c r="M96" s="221" t="e">
        <f>RANK(K96, K$87:$K$101)</f>
        <v>#DIV/0!</v>
      </c>
      <c r="N96" s="475"/>
      <c r="O96" s="475"/>
      <c r="P96" s="187"/>
      <c r="Q96" s="187"/>
      <c r="R96" s="187"/>
      <c r="S96" s="334" t="e">
        <f t="shared" si="51"/>
        <v>#N/A</v>
      </c>
      <c r="T96" s="506"/>
      <c r="U96" s="187"/>
      <c r="V96" s="187"/>
      <c r="W96" s="187"/>
      <c r="X96" s="334" t="e">
        <f t="shared" si="52"/>
        <v>#N/A</v>
      </c>
      <c r="Y96" s="506"/>
      <c r="Z96" s="187"/>
      <c r="AA96" s="187"/>
      <c r="AB96" s="187"/>
      <c r="AC96" s="334" t="e">
        <f t="shared" si="53"/>
        <v>#N/A</v>
      </c>
      <c r="AD96" s="506"/>
      <c r="AE96" s="187"/>
      <c r="AF96" s="187"/>
      <c r="AG96" s="187"/>
      <c r="AH96" s="334" t="e">
        <f t="shared" si="54"/>
        <v>#N/A</v>
      </c>
      <c r="AI96" s="506"/>
      <c r="AJ96" s="187"/>
      <c r="AK96" s="187"/>
      <c r="AL96" s="187"/>
      <c r="AM96" s="334" t="e">
        <f t="shared" si="55"/>
        <v>#N/A</v>
      </c>
      <c r="AN96" s="506"/>
      <c r="AO96" s="187"/>
      <c r="AP96" s="187"/>
      <c r="AQ96" s="187"/>
      <c r="AR96" s="334" t="e">
        <f t="shared" si="56"/>
        <v>#N/A</v>
      </c>
      <c r="AS96" s="506"/>
      <c r="AT96" s="187"/>
      <c r="AU96" s="187"/>
      <c r="AV96" s="187"/>
      <c r="AW96" s="334" t="e">
        <f t="shared" si="57"/>
        <v>#N/A</v>
      </c>
      <c r="AX96" s="506"/>
    </row>
    <row r="97" spans="2:50">
      <c r="B97" s="483"/>
      <c r="C97" s="334">
        <v>11</v>
      </c>
      <c r="D97" s="257"/>
      <c r="E97" s="187"/>
      <c r="F97" s="334"/>
      <c r="G97" s="336"/>
      <c r="H97" s="508"/>
      <c r="I97" s="222"/>
      <c r="J97" s="222"/>
      <c r="K97" s="222"/>
      <c r="L97" s="457"/>
      <c r="M97" s="221" t="e">
        <f>RANK(K97, K$87:$K$101)</f>
        <v>#DIV/0!</v>
      </c>
      <c r="N97" s="475"/>
      <c r="O97" s="475"/>
      <c r="P97" s="187"/>
      <c r="Q97" s="187"/>
      <c r="R97" s="187"/>
      <c r="S97" s="334" t="e">
        <f t="shared" si="51"/>
        <v>#N/A</v>
      </c>
      <c r="T97" s="506"/>
      <c r="U97" s="187"/>
      <c r="V97" s="187"/>
      <c r="W97" s="187"/>
      <c r="X97" s="334" t="e">
        <f t="shared" si="52"/>
        <v>#N/A</v>
      </c>
      <c r="Y97" s="506"/>
      <c r="Z97" s="187"/>
      <c r="AA97" s="187"/>
      <c r="AB97" s="187"/>
      <c r="AC97" s="334" t="e">
        <f t="shared" si="53"/>
        <v>#N/A</v>
      </c>
      <c r="AD97" s="506"/>
      <c r="AE97" s="187"/>
      <c r="AF97" s="187"/>
      <c r="AG97" s="187"/>
      <c r="AH97" s="334" t="e">
        <f t="shared" si="54"/>
        <v>#N/A</v>
      </c>
      <c r="AI97" s="506"/>
      <c r="AJ97" s="187"/>
      <c r="AK97" s="187"/>
      <c r="AL97" s="187"/>
      <c r="AM97" s="334" t="e">
        <f t="shared" si="55"/>
        <v>#N/A</v>
      </c>
      <c r="AN97" s="506"/>
      <c r="AO97" s="187"/>
      <c r="AP97" s="187"/>
      <c r="AQ97" s="187"/>
      <c r="AR97" s="334" t="e">
        <f t="shared" si="56"/>
        <v>#N/A</v>
      </c>
      <c r="AS97" s="506"/>
      <c r="AT97" s="187"/>
      <c r="AU97" s="187"/>
      <c r="AV97" s="336"/>
      <c r="AW97" s="334" t="e">
        <f t="shared" si="57"/>
        <v>#N/A</v>
      </c>
      <c r="AX97" s="506"/>
    </row>
    <row r="98" spans="2:50">
      <c r="B98" s="483"/>
      <c r="C98" s="334">
        <v>12</v>
      </c>
      <c r="D98" s="257"/>
      <c r="E98" s="187"/>
      <c r="F98" s="334"/>
      <c r="G98" s="336"/>
      <c r="H98" s="508"/>
      <c r="I98" s="222"/>
      <c r="J98" s="222"/>
      <c r="K98" s="222"/>
      <c r="L98" s="457"/>
      <c r="M98" s="221" t="e">
        <f>RANK(K98, K$87:$K$101)</f>
        <v>#DIV/0!</v>
      </c>
      <c r="N98" s="475"/>
      <c r="O98" s="475"/>
      <c r="P98" s="187"/>
      <c r="Q98" s="187"/>
      <c r="R98" s="187"/>
      <c r="S98" s="334" t="e">
        <f t="shared" si="51"/>
        <v>#N/A</v>
      </c>
      <c r="T98" s="506"/>
      <c r="U98" s="187"/>
      <c r="V98" s="187"/>
      <c r="W98" s="187"/>
      <c r="X98" s="334" t="e">
        <f t="shared" si="52"/>
        <v>#N/A</v>
      </c>
      <c r="Y98" s="506"/>
      <c r="Z98" s="187"/>
      <c r="AA98" s="187"/>
      <c r="AB98" s="187"/>
      <c r="AC98" s="334" t="e">
        <f t="shared" si="53"/>
        <v>#N/A</v>
      </c>
      <c r="AD98" s="506"/>
      <c r="AE98" s="187"/>
      <c r="AF98" s="187"/>
      <c r="AG98" s="187"/>
      <c r="AH98" s="334" t="e">
        <f t="shared" si="54"/>
        <v>#N/A</v>
      </c>
      <c r="AI98" s="506"/>
      <c r="AJ98" s="187"/>
      <c r="AK98" s="187"/>
      <c r="AL98" s="187"/>
      <c r="AM98" s="334" t="e">
        <f t="shared" si="55"/>
        <v>#N/A</v>
      </c>
      <c r="AN98" s="506"/>
      <c r="AO98" s="187"/>
      <c r="AP98" s="187"/>
      <c r="AQ98" s="187"/>
      <c r="AR98" s="334" t="e">
        <f t="shared" si="56"/>
        <v>#N/A</v>
      </c>
      <c r="AS98" s="506"/>
      <c r="AT98" s="187"/>
      <c r="AU98" s="187"/>
      <c r="AV98" s="336"/>
      <c r="AW98" s="334" t="e">
        <f t="shared" si="57"/>
        <v>#N/A</v>
      </c>
      <c r="AX98" s="506"/>
    </row>
    <row r="99" spans="2:50">
      <c r="B99" s="483"/>
      <c r="C99" s="334">
        <v>13</v>
      </c>
      <c r="D99" s="257"/>
      <c r="E99" s="187"/>
      <c r="F99" s="334"/>
      <c r="G99" s="336"/>
      <c r="H99" s="508"/>
      <c r="I99" s="222"/>
      <c r="J99" s="222"/>
      <c r="K99" s="222"/>
      <c r="L99" s="457"/>
      <c r="M99" s="221" t="e">
        <f>RANK(K99, K$87:$K$101)</f>
        <v>#DIV/0!</v>
      </c>
      <c r="N99" s="475"/>
      <c r="O99" s="475"/>
      <c r="P99" s="187"/>
      <c r="Q99" s="187"/>
      <c r="R99" s="187"/>
      <c r="S99" s="334" t="e">
        <f t="shared" si="51"/>
        <v>#N/A</v>
      </c>
      <c r="T99" s="506"/>
      <c r="U99" s="187"/>
      <c r="V99" s="187"/>
      <c r="W99" s="187"/>
      <c r="X99" s="334" t="e">
        <f t="shared" si="52"/>
        <v>#N/A</v>
      </c>
      <c r="Y99" s="506"/>
      <c r="Z99" s="187"/>
      <c r="AA99" s="187"/>
      <c r="AB99" s="187"/>
      <c r="AC99" s="334" t="e">
        <f t="shared" si="53"/>
        <v>#N/A</v>
      </c>
      <c r="AD99" s="506"/>
      <c r="AE99" s="187"/>
      <c r="AF99" s="187"/>
      <c r="AG99" s="187"/>
      <c r="AH99" s="334" t="e">
        <f t="shared" si="54"/>
        <v>#N/A</v>
      </c>
      <c r="AI99" s="506"/>
      <c r="AJ99" s="187"/>
      <c r="AK99" s="187"/>
      <c r="AL99" s="187"/>
      <c r="AM99" s="334" t="e">
        <f t="shared" si="55"/>
        <v>#N/A</v>
      </c>
      <c r="AN99" s="506"/>
      <c r="AO99" s="187"/>
      <c r="AP99" s="187"/>
      <c r="AQ99" s="187"/>
      <c r="AR99" s="334" t="e">
        <f t="shared" si="56"/>
        <v>#N/A</v>
      </c>
      <c r="AS99" s="506"/>
      <c r="AT99" s="187"/>
      <c r="AU99" s="187"/>
      <c r="AV99" s="336"/>
      <c r="AW99" s="334" t="e">
        <f t="shared" si="57"/>
        <v>#N/A</v>
      </c>
      <c r="AX99" s="506"/>
    </row>
    <row r="100" spans="2:50">
      <c r="B100" s="483"/>
      <c r="C100" s="334">
        <v>14</v>
      </c>
      <c r="D100" s="257"/>
      <c r="E100" s="187"/>
      <c r="F100" s="334"/>
      <c r="G100" s="336"/>
      <c r="H100" s="508"/>
      <c r="I100" s="222"/>
      <c r="J100" s="222"/>
      <c r="K100" s="222"/>
      <c r="L100" s="457"/>
      <c r="M100" s="221" t="e">
        <f>RANK(K100, K$87:$K$101)</f>
        <v>#DIV/0!</v>
      </c>
      <c r="N100" s="475"/>
      <c r="O100" s="475"/>
      <c r="P100" s="187"/>
      <c r="Q100" s="187"/>
      <c r="R100" s="187"/>
      <c r="S100" s="334" t="e">
        <f t="shared" si="51"/>
        <v>#N/A</v>
      </c>
      <c r="T100" s="506"/>
      <c r="U100" s="187"/>
      <c r="V100" s="187"/>
      <c r="W100" s="187"/>
      <c r="X100" s="334" t="e">
        <f t="shared" si="52"/>
        <v>#N/A</v>
      </c>
      <c r="Y100" s="506"/>
      <c r="Z100" s="187"/>
      <c r="AA100" s="187"/>
      <c r="AB100" s="187"/>
      <c r="AC100" s="334" t="e">
        <f t="shared" si="53"/>
        <v>#N/A</v>
      </c>
      <c r="AD100" s="506"/>
      <c r="AE100" s="187"/>
      <c r="AF100" s="187"/>
      <c r="AG100" s="187"/>
      <c r="AH100" s="334" t="e">
        <f t="shared" si="54"/>
        <v>#N/A</v>
      </c>
      <c r="AI100" s="506"/>
      <c r="AJ100" s="187"/>
      <c r="AK100" s="187"/>
      <c r="AL100" s="187"/>
      <c r="AM100" s="334" t="e">
        <f t="shared" si="55"/>
        <v>#N/A</v>
      </c>
      <c r="AN100" s="506"/>
      <c r="AO100" s="187"/>
      <c r="AP100" s="187"/>
      <c r="AQ100" s="187"/>
      <c r="AR100" s="334" t="e">
        <f t="shared" si="56"/>
        <v>#N/A</v>
      </c>
      <c r="AS100" s="506"/>
      <c r="AT100" s="187"/>
      <c r="AU100" s="187"/>
      <c r="AV100" s="336"/>
      <c r="AW100" s="334" t="e">
        <f t="shared" si="57"/>
        <v>#N/A</v>
      </c>
      <c r="AX100" s="506"/>
    </row>
    <row r="101" spans="2:50">
      <c r="B101" s="483"/>
      <c r="C101" s="334">
        <v>15</v>
      </c>
      <c r="D101" s="257"/>
      <c r="E101" s="187"/>
      <c r="F101" s="334"/>
      <c r="G101" s="336"/>
      <c r="H101" s="509"/>
      <c r="I101" s="222"/>
      <c r="J101" s="222"/>
      <c r="K101" s="222"/>
      <c r="L101" s="458"/>
      <c r="M101" s="219" t="e">
        <f>RANK(K101, K$87:$K$101)</f>
        <v>#DIV/0!</v>
      </c>
      <c r="N101" s="475"/>
      <c r="O101" s="475"/>
      <c r="P101" s="187"/>
      <c r="Q101" s="187"/>
      <c r="R101" s="187"/>
      <c r="S101" s="334" t="e">
        <f t="shared" si="51"/>
        <v>#N/A</v>
      </c>
      <c r="T101" s="506"/>
      <c r="U101" s="187"/>
      <c r="V101" s="187"/>
      <c r="W101" s="187"/>
      <c r="X101" s="334" t="e">
        <f t="shared" si="52"/>
        <v>#N/A</v>
      </c>
      <c r="Y101" s="506"/>
      <c r="Z101" s="187"/>
      <c r="AA101" s="187"/>
      <c r="AB101" s="187"/>
      <c r="AC101" s="334" t="e">
        <f t="shared" si="53"/>
        <v>#N/A</v>
      </c>
      <c r="AD101" s="506"/>
      <c r="AE101" s="187"/>
      <c r="AF101" s="187"/>
      <c r="AG101" s="187"/>
      <c r="AH101" s="334" t="e">
        <f t="shared" si="54"/>
        <v>#N/A</v>
      </c>
      <c r="AI101" s="506"/>
      <c r="AJ101" s="187"/>
      <c r="AK101" s="187"/>
      <c r="AL101" s="187"/>
      <c r="AM101" s="334" t="e">
        <f t="shared" si="55"/>
        <v>#N/A</v>
      </c>
      <c r="AN101" s="506"/>
      <c r="AO101" s="187"/>
      <c r="AP101" s="187"/>
      <c r="AQ101" s="187"/>
      <c r="AR101" s="334" t="e">
        <f t="shared" si="56"/>
        <v>#N/A</v>
      </c>
      <c r="AS101" s="506"/>
      <c r="AT101" s="187"/>
      <c r="AU101" s="187"/>
      <c r="AV101" s="336"/>
      <c r="AW101" s="334" t="e">
        <f t="shared" si="57"/>
        <v>#N/A</v>
      </c>
      <c r="AX101" s="506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="50" zoomScaleNormal="50" workbookViewId="0">
      <pane xSplit="15" topLeftCell="S1" activePane="topRight" state="frozen"/>
      <selection sqref="A1:L2"/>
      <selection pane="topRight" sqref="A1:L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7" t="s">
        <v>381</v>
      </c>
      <c r="C1" s="248">
        <f>AVERAGE(L7,L27,L47,L67,L87)</f>
        <v>104.02417582417574</v>
      </c>
    </row>
    <row r="2" spans="1:50" ht="15.75">
      <c r="A2" s="81"/>
      <c r="B2" s="487" t="s">
        <v>172</v>
      </c>
      <c r="C2" s="487"/>
      <c r="D2" s="487"/>
      <c r="E2" s="487"/>
      <c r="F2" s="487"/>
      <c r="G2" s="487"/>
      <c r="H2" s="487"/>
      <c r="I2" s="352"/>
      <c r="J2" s="352"/>
      <c r="K2" s="352"/>
      <c r="L2" s="352"/>
      <c r="M2" s="217"/>
      <c r="N2" s="476" t="s">
        <v>164</v>
      </c>
      <c r="O2" s="476" t="s">
        <v>163</v>
      </c>
      <c r="P2" s="479">
        <v>45895</v>
      </c>
      <c r="Q2" s="480"/>
      <c r="R2" s="480"/>
      <c r="S2" s="480"/>
      <c r="T2" s="481"/>
      <c r="U2" s="482">
        <f>P2+1</f>
        <v>45896</v>
      </c>
      <c r="V2" s="483"/>
      <c r="W2" s="483"/>
      <c r="X2" s="483"/>
      <c r="Y2" s="483"/>
      <c r="Z2" s="482">
        <f>U2+1</f>
        <v>45897</v>
      </c>
      <c r="AA2" s="483"/>
      <c r="AB2" s="483"/>
      <c r="AC2" s="483"/>
      <c r="AD2" s="483"/>
      <c r="AE2" s="482">
        <f>Z2+1</f>
        <v>45898</v>
      </c>
      <c r="AF2" s="483"/>
      <c r="AG2" s="483"/>
      <c r="AH2" s="483"/>
      <c r="AI2" s="483"/>
      <c r="AJ2" s="482">
        <f>AE2+1</f>
        <v>45899</v>
      </c>
      <c r="AK2" s="483"/>
      <c r="AL2" s="483"/>
      <c r="AM2" s="483"/>
      <c r="AN2" s="483"/>
      <c r="AO2" s="482">
        <f>AJ2+1</f>
        <v>45900</v>
      </c>
      <c r="AP2" s="483"/>
      <c r="AQ2" s="483"/>
      <c r="AR2" s="483"/>
      <c r="AS2" s="483"/>
      <c r="AT2" s="482">
        <f>AO2+1</f>
        <v>45901</v>
      </c>
      <c r="AU2" s="483"/>
      <c r="AV2" s="483"/>
      <c r="AW2" s="483"/>
      <c r="AX2" s="483"/>
    </row>
    <row r="3" spans="1:50" ht="15.75">
      <c r="A3" s="81"/>
      <c r="B3" s="504"/>
      <c r="C3" s="504"/>
      <c r="D3" s="504"/>
      <c r="E3" s="504"/>
      <c r="F3" s="504"/>
      <c r="G3" s="504"/>
      <c r="H3" s="504"/>
      <c r="I3" s="353"/>
      <c r="J3" s="353"/>
      <c r="K3" s="353"/>
      <c r="L3" s="353"/>
      <c r="M3" s="218"/>
      <c r="N3" s="478"/>
      <c r="O3" s="478"/>
      <c r="P3" s="479" t="s">
        <v>166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168</v>
      </c>
      <c r="AA3" s="480"/>
      <c r="AB3" s="480"/>
      <c r="AC3" s="480"/>
      <c r="AD3" s="481"/>
      <c r="AE3" s="479" t="s">
        <v>165</v>
      </c>
      <c r="AF3" s="480"/>
      <c r="AG3" s="480"/>
      <c r="AH3" s="480"/>
      <c r="AI3" s="481"/>
      <c r="AJ3" s="479" t="s">
        <v>169</v>
      </c>
      <c r="AK3" s="480"/>
      <c r="AL3" s="480"/>
      <c r="AM3" s="480"/>
      <c r="AN3" s="481"/>
      <c r="AO3" s="479" t="s">
        <v>170</v>
      </c>
      <c r="AP3" s="480"/>
      <c r="AQ3" s="480"/>
      <c r="AR3" s="480"/>
      <c r="AS3" s="481"/>
      <c r="AT3" s="479" t="s">
        <v>171</v>
      </c>
      <c r="AU3" s="480"/>
      <c r="AV3" s="480"/>
      <c r="AW3" s="480"/>
      <c r="AX3" s="481"/>
    </row>
    <row r="4" spans="1:50">
      <c r="A4" s="81"/>
      <c r="B4" s="475" t="s">
        <v>766</v>
      </c>
      <c r="C4" s="475" t="s">
        <v>767</v>
      </c>
      <c r="D4" s="475"/>
      <c r="E4" s="475" t="s">
        <v>768</v>
      </c>
      <c r="F4" s="475"/>
      <c r="G4" s="475"/>
      <c r="H4" s="491" t="s">
        <v>769</v>
      </c>
      <c r="I4" s="459" t="s">
        <v>770</v>
      </c>
      <c r="J4" s="459"/>
      <c r="K4" s="459"/>
      <c r="L4" s="460" t="s">
        <v>769</v>
      </c>
      <c r="M4" s="466" t="s">
        <v>771</v>
      </c>
      <c r="N4" s="475"/>
      <c r="O4" s="475" t="s">
        <v>772</v>
      </c>
      <c r="P4" s="472" t="s">
        <v>773</v>
      </c>
      <c r="Q4" s="473"/>
      <c r="R4" s="473"/>
      <c r="S4" s="474"/>
      <c r="T4" s="475" t="s">
        <v>769</v>
      </c>
      <c r="U4" s="472" t="s">
        <v>773</v>
      </c>
      <c r="V4" s="473"/>
      <c r="W4" s="473"/>
      <c r="X4" s="474"/>
      <c r="Y4" s="475" t="s">
        <v>769</v>
      </c>
      <c r="Z4" s="472" t="s">
        <v>773</v>
      </c>
      <c r="AA4" s="473"/>
      <c r="AB4" s="473"/>
      <c r="AC4" s="474"/>
      <c r="AD4" s="475" t="s">
        <v>769</v>
      </c>
      <c r="AE4" s="472" t="s">
        <v>773</v>
      </c>
      <c r="AF4" s="473"/>
      <c r="AG4" s="473"/>
      <c r="AH4" s="474"/>
      <c r="AI4" s="475" t="s">
        <v>769</v>
      </c>
      <c r="AJ4" s="472" t="s">
        <v>773</v>
      </c>
      <c r="AK4" s="473"/>
      <c r="AL4" s="473"/>
      <c r="AM4" s="474"/>
      <c r="AN4" s="475" t="s">
        <v>769</v>
      </c>
      <c r="AO4" s="472" t="s">
        <v>773</v>
      </c>
      <c r="AP4" s="473"/>
      <c r="AQ4" s="473"/>
      <c r="AR4" s="474"/>
      <c r="AS4" s="475" t="s">
        <v>769</v>
      </c>
      <c r="AT4" s="472" t="s">
        <v>773</v>
      </c>
      <c r="AU4" s="473"/>
      <c r="AV4" s="473"/>
      <c r="AW4" s="474"/>
      <c r="AX4" s="475" t="s">
        <v>769</v>
      </c>
    </row>
    <row r="5" spans="1:50">
      <c r="A5" s="81"/>
      <c r="B5" s="475"/>
      <c r="C5" s="475"/>
      <c r="D5" s="475"/>
      <c r="E5" s="475" t="s">
        <v>774</v>
      </c>
      <c r="F5" s="475"/>
      <c r="G5" s="475"/>
      <c r="H5" s="492"/>
      <c r="I5" s="459" t="s">
        <v>774</v>
      </c>
      <c r="J5" s="459"/>
      <c r="K5" s="459"/>
      <c r="L5" s="461"/>
      <c r="M5" s="467"/>
      <c r="N5" s="475"/>
      <c r="O5" s="475"/>
      <c r="P5" s="472" t="s">
        <v>775</v>
      </c>
      <c r="Q5" s="473"/>
      <c r="R5" s="473"/>
      <c r="S5" s="474"/>
      <c r="T5" s="475"/>
      <c r="U5" s="472" t="s">
        <v>775</v>
      </c>
      <c r="V5" s="473"/>
      <c r="W5" s="473"/>
      <c r="X5" s="474"/>
      <c r="Y5" s="475"/>
      <c r="Z5" s="472" t="s">
        <v>775</v>
      </c>
      <c r="AA5" s="473"/>
      <c r="AB5" s="473"/>
      <c r="AC5" s="474"/>
      <c r="AD5" s="475"/>
      <c r="AE5" s="472" t="s">
        <v>775</v>
      </c>
      <c r="AF5" s="473"/>
      <c r="AG5" s="473"/>
      <c r="AH5" s="474"/>
      <c r="AI5" s="475"/>
      <c r="AJ5" s="472" t="s">
        <v>775</v>
      </c>
      <c r="AK5" s="473"/>
      <c r="AL5" s="473"/>
      <c r="AM5" s="474"/>
      <c r="AN5" s="475"/>
      <c r="AO5" s="472" t="s">
        <v>775</v>
      </c>
      <c r="AP5" s="473"/>
      <c r="AQ5" s="473"/>
      <c r="AR5" s="474"/>
      <c r="AS5" s="475"/>
      <c r="AT5" s="472" t="s">
        <v>775</v>
      </c>
      <c r="AU5" s="473"/>
      <c r="AV5" s="473"/>
      <c r="AW5" s="474"/>
      <c r="AX5" s="475"/>
    </row>
    <row r="6" spans="1:50">
      <c r="A6" s="79"/>
      <c r="B6" s="475"/>
      <c r="C6" s="475"/>
      <c r="D6" s="475"/>
      <c r="E6" s="369" t="s">
        <v>776</v>
      </c>
      <c r="F6" s="369" t="s">
        <v>777</v>
      </c>
      <c r="G6" s="369" t="s">
        <v>778</v>
      </c>
      <c r="H6" s="493"/>
      <c r="I6" s="370" t="s">
        <v>776</v>
      </c>
      <c r="J6" s="370" t="s">
        <v>777</v>
      </c>
      <c r="K6" s="370" t="s">
        <v>778</v>
      </c>
      <c r="L6" s="462"/>
      <c r="M6" s="468"/>
      <c r="N6" s="475"/>
      <c r="O6" s="475"/>
      <c r="P6" s="369" t="s">
        <v>776</v>
      </c>
      <c r="Q6" s="369" t="s">
        <v>777</v>
      </c>
      <c r="R6" s="369" t="s">
        <v>778</v>
      </c>
      <c r="S6" s="369" t="s">
        <v>771</v>
      </c>
      <c r="T6" s="475"/>
      <c r="U6" s="369" t="s">
        <v>776</v>
      </c>
      <c r="V6" s="369" t="s">
        <v>777</v>
      </c>
      <c r="W6" s="369" t="s">
        <v>778</v>
      </c>
      <c r="X6" s="369" t="s">
        <v>771</v>
      </c>
      <c r="Y6" s="475"/>
      <c r="Z6" s="369" t="s">
        <v>776</v>
      </c>
      <c r="AA6" s="369" t="s">
        <v>777</v>
      </c>
      <c r="AB6" s="369" t="s">
        <v>778</v>
      </c>
      <c r="AC6" s="369" t="s">
        <v>771</v>
      </c>
      <c r="AD6" s="475"/>
      <c r="AE6" s="369" t="s">
        <v>776</v>
      </c>
      <c r="AF6" s="369" t="s">
        <v>777</v>
      </c>
      <c r="AG6" s="369" t="s">
        <v>778</v>
      </c>
      <c r="AH6" s="369" t="s">
        <v>771</v>
      </c>
      <c r="AI6" s="475"/>
      <c r="AJ6" s="369" t="s">
        <v>776</v>
      </c>
      <c r="AK6" s="369" t="s">
        <v>777</v>
      </c>
      <c r="AL6" s="369" t="s">
        <v>778</v>
      </c>
      <c r="AM6" s="369" t="s">
        <v>771</v>
      </c>
      <c r="AN6" s="475"/>
      <c r="AO6" s="369" t="s">
        <v>776</v>
      </c>
      <c r="AP6" s="369" t="s">
        <v>777</v>
      </c>
      <c r="AQ6" s="369" t="s">
        <v>778</v>
      </c>
      <c r="AR6" s="369" t="s">
        <v>771</v>
      </c>
      <c r="AS6" s="475"/>
      <c r="AT6" s="369" t="s">
        <v>776</v>
      </c>
      <c r="AU6" s="369" t="s">
        <v>777</v>
      </c>
      <c r="AV6" s="369" t="s">
        <v>778</v>
      </c>
      <c r="AW6" s="369" t="s">
        <v>771</v>
      </c>
      <c r="AX6" s="475"/>
    </row>
    <row r="7" spans="1:50">
      <c r="A7" s="81"/>
      <c r="B7" s="475" t="s">
        <v>782</v>
      </c>
      <c r="C7" s="368">
        <v>1</v>
      </c>
      <c r="D7" s="257" t="s">
        <v>464</v>
      </c>
      <c r="E7" s="187">
        <v>13</v>
      </c>
      <c r="F7" s="368">
        <v>1607.9999999999993</v>
      </c>
      <c r="G7" s="371">
        <v>123.69230769230764</v>
      </c>
      <c r="H7" s="507">
        <f>AVERAGE(G7:G21)</f>
        <v>123.69230769230764</v>
      </c>
      <c r="I7" s="219">
        <f>AVERAGE(P7,U7,Z7,AE7,AJ7,AO7,AT7)</f>
        <v>13</v>
      </c>
      <c r="J7" s="219">
        <f>AVERAGE(Q7,V7,AA7,AF7,AK7,AP7,AU7)</f>
        <v>1336.4285714285693</v>
      </c>
      <c r="K7" s="220">
        <f>AVERAGE(R7,W7,AB7,AG7,AL7,AQ7,AV7)</f>
        <v>102.80219780219761</v>
      </c>
      <c r="L7" s="456">
        <f>IFERROR(AVERAGE(K7:K21),"-")</f>
        <v>102.80219780219761</v>
      </c>
      <c r="M7" s="221">
        <f>RANK(K7, K$7:$K$21)</f>
        <v>1</v>
      </c>
      <c r="N7" s="475"/>
      <c r="O7" s="475"/>
      <c r="P7" s="368">
        <v>13</v>
      </c>
      <c r="Q7" s="187">
        <v>1319.9999999999995</v>
      </c>
      <c r="R7" s="371">
        <v>101.5384615384615</v>
      </c>
      <c r="S7" s="368">
        <f t="shared" ref="S7:S21" si="0">RANK(R7, R$7:R$21)</f>
        <v>1</v>
      </c>
      <c r="T7" s="506">
        <f>AVERAGE(R7:R21)</f>
        <v>101.5384615384615</v>
      </c>
      <c r="U7" s="368">
        <v>13</v>
      </c>
      <c r="V7" s="187">
        <v>1244.9999999999945</v>
      </c>
      <c r="W7" s="371">
        <v>95.769230769230347</v>
      </c>
      <c r="X7" s="368">
        <f t="shared" ref="X7:X21" si="1">RANK(W7, W$7:W$21)</f>
        <v>1</v>
      </c>
      <c r="Y7" s="506">
        <f>AVERAGE(W7:W21)</f>
        <v>95.769230769230347</v>
      </c>
      <c r="Z7" s="368">
        <v>13</v>
      </c>
      <c r="AA7" s="187">
        <v>1256.9999999999943</v>
      </c>
      <c r="AB7" s="371">
        <v>96.692307692307253</v>
      </c>
      <c r="AC7" s="368">
        <f t="shared" ref="AC7:AC21" si="2">RANK(AB7, AB$7:AB$21)</f>
        <v>1</v>
      </c>
      <c r="AD7" s="506">
        <f>AVERAGE(AB7:AB21)</f>
        <v>96.692307692307253</v>
      </c>
      <c r="AE7" s="368">
        <v>13</v>
      </c>
      <c r="AF7" s="187">
        <v>1587.999999999997</v>
      </c>
      <c r="AG7" s="371">
        <v>122.15384615384593</v>
      </c>
      <c r="AH7" s="368">
        <f t="shared" ref="AH7:AH21" si="3">RANK(AG7, AG$7:AG$21)</f>
        <v>1</v>
      </c>
      <c r="AI7" s="506">
        <f>AVERAGE(AG7:AG21)</f>
        <v>122.15384615384593</v>
      </c>
      <c r="AJ7" s="368">
        <v>13</v>
      </c>
      <c r="AK7" s="187">
        <v>1307.9999999999995</v>
      </c>
      <c r="AL7" s="371">
        <v>100.61538461538458</v>
      </c>
      <c r="AM7" s="368">
        <f t="shared" ref="AM7:AM21" si="4">RANK(AL7, AL$7:AL$21)</f>
        <v>1</v>
      </c>
      <c r="AN7" s="506">
        <f>AVERAGE(AL7:AL21)</f>
        <v>100.61538461538458</v>
      </c>
      <c r="AO7" s="368">
        <v>13</v>
      </c>
      <c r="AP7" s="187">
        <v>1373.9999999999995</v>
      </c>
      <c r="AQ7" s="371">
        <v>105.69230769230765</v>
      </c>
      <c r="AR7" s="368">
        <f t="shared" ref="AR7:AR21" si="5">RANK(AQ7, AQ$7:AQ$21)</f>
        <v>1</v>
      </c>
      <c r="AS7" s="506">
        <f>AVERAGE(AQ7:AQ21)</f>
        <v>105.69230769230765</v>
      </c>
      <c r="AT7" s="374">
        <v>13</v>
      </c>
      <c r="AU7" s="187">
        <v>1262.9999999999995</v>
      </c>
      <c r="AV7" s="375">
        <v>97.153846153846118</v>
      </c>
      <c r="AW7" s="368">
        <f t="shared" ref="AW7:AW21" si="6">RANK(AV7, AV$7:AV$21)</f>
        <v>1</v>
      </c>
      <c r="AX7" s="506">
        <f>AVERAGE(AV7:AV21)</f>
        <v>97.153846153846118</v>
      </c>
    </row>
    <row r="8" spans="1:50" ht="15" customHeight="1">
      <c r="A8" s="81"/>
      <c r="B8" s="483"/>
      <c r="C8" s="368">
        <v>2</v>
      </c>
      <c r="D8" s="257"/>
      <c r="E8" s="187"/>
      <c r="F8" s="368"/>
      <c r="G8" s="371"/>
      <c r="H8" s="508"/>
      <c r="I8" s="219"/>
      <c r="J8" s="219"/>
      <c r="K8" s="220"/>
      <c r="L8" s="457"/>
      <c r="M8" s="221" t="e">
        <f>RANK(K8, K$7:$K$21)</f>
        <v>#N/A</v>
      </c>
      <c r="N8" s="475"/>
      <c r="O8" s="475"/>
      <c r="P8" s="368"/>
      <c r="Q8" s="368"/>
      <c r="R8" s="368"/>
      <c r="S8" s="368" t="e">
        <f t="shared" si="0"/>
        <v>#N/A</v>
      </c>
      <c r="T8" s="506"/>
      <c r="U8" s="368"/>
      <c r="V8" s="368"/>
      <c r="W8" s="368"/>
      <c r="X8" s="368" t="e">
        <f t="shared" si="1"/>
        <v>#N/A</v>
      </c>
      <c r="Y8" s="506"/>
      <c r="Z8" s="368"/>
      <c r="AA8" s="368"/>
      <c r="AB8" s="368"/>
      <c r="AC8" s="368" t="e">
        <f t="shared" si="2"/>
        <v>#N/A</v>
      </c>
      <c r="AD8" s="506"/>
      <c r="AE8" s="368"/>
      <c r="AF8" s="368"/>
      <c r="AG8" s="368"/>
      <c r="AH8" s="368" t="e">
        <f t="shared" si="3"/>
        <v>#N/A</v>
      </c>
      <c r="AI8" s="506"/>
      <c r="AJ8" s="368"/>
      <c r="AK8" s="368"/>
      <c r="AL8" s="368"/>
      <c r="AM8" s="368" t="e">
        <f t="shared" si="4"/>
        <v>#N/A</v>
      </c>
      <c r="AN8" s="506"/>
      <c r="AO8" s="368"/>
      <c r="AP8" s="368"/>
      <c r="AQ8" s="368"/>
      <c r="AR8" s="368" t="e">
        <f t="shared" si="5"/>
        <v>#N/A</v>
      </c>
      <c r="AS8" s="506"/>
      <c r="AT8" s="368"/>
      <c r="AU8" s="368"/>
      <c r="AV8" s="368"/>
      <c r="AW8" s="368" t="e">
        <f t="shared" si="6"/>
        <v>#N/A</v>
      </c>
      <c r="AX8" s="506"/>
    </row>
    <row r="9" spans="1:50">
      <c r="A9" s="81"/>
      <c r="B9" s="483"/>
      <c r="C9" s="368">
        <v>3</v>
      </c>
      <c r="D9" s="257"/>
      <c r="E9" s="187"/>
      <c r="F9" s="368"/>
      <c r="G9" s="371"/>
      <c r="H9" s="508"/>
      <c r="I9" s="219"/>
      <c r="J9" s="219"/>
      <c r="K9" s="220"/>
      <c r="L9" s="457"/>
      <c r="M9" s="221" t="e">
        <f>RANK(K9, K$7:$K$21)</f>
        <v>#N/A</v>
      </c>
      <c r="N9" s="475"/>
      <c r="O9" s="475"/>
      <c r="P9" s="368"/>
      <c r="Q9" s="368"/>
      <c r="R9" s="368"/>
      <c r="S9" s="368" t="e">
        <f t="shared" si="0"/>
        <v>#N/A</v>
      </c>
      <c r="T9" s="506"/>
      <c r="U9" s="368"/>
      <c r="V9" s="368"/>
      <c r="W9" s="368"/>
      <c r="X9" s="368" t="e">
        <f t="shared" si="1"/>
        <v>#N/A</v>
      </c>
      <c r="Y9" s="506"/>
      <c r="Z9" s="368"/>
      <c r="AA9" s="368"/>
      <c r="AB9" s="368"/>
      <c r="AC9" s="368" t="e">
        <f t="shared" si="2"/>
        <v>#N/A</v>
      </c>
      <c r="AD9" s="506"/>
      <c r="AE9" s="368"/>
      <c r="AF9" s="368"/>
      <c r="AG9" s="368"/>
      <c r="AH9" s="368" t="e">
        <f t="shared" si="3"/>
        <v>#N/A</v>
      </c>
      <c r="AI9" s="506"/>
      <c r="AJ9" s="368"/>
      <c r="AK9" s="368"/>
      <c r="AL9" s="368"/>
      <c r="AM9" s="368" t="e">
        <f t="shared" si="4"/>
        <v>#N/A</v>
      </c>
      <c r="AN9" s="506"/>
      <c r="AO9" s="368"/>
      <c r="AP9" s="368"/>
      <c r="AQ9" s="368"/>
      <c r="AR9" s="368" t="e">
        <f t="shared" si="5"/>
        <v>#N/A</v>
      </c>
      <c r="AS9" s="506"/>
      <c r="AT9" s="368"/>
      <c r="AU9" s="368"/>
      <c r="AV9" s="368"/>
      <c r="AW9" s="368" t="e">
        <f t="shared" si="6"/>
        <v>#N/A</v>
      </c>
      <c r="AX9" s="506"/>
    </row>
    <row r="10" spans="1:50">
      <c r="A10" s="81"/>
      <c r="B10" s="483"/>
      <c r="C10" s="368">
        <v>4</v>
      </c>
      <c r="D10" s="257"/>
      <c r="E10" s="187"/>
      <c r="F10" s="368"/>
      <c r="G10" s="371"/>
      <c r="H10" s="508"/>
      <c r="I10" s="219"/>
      <c r="J10" s="219"/>
      <c r="K10" s="220"/>
      <c r="L10" s="457"/>
      <c r="M10" s="221" t="e">
        <f>RANK(K10, K$7:$K$21)</f>
        <v>#N/A</v>
      </c>
      <c r="N10" s="475"/>
      <c r="O10" s="475"/>
      <c r="P10" s="368"/>
      <c r="Q10" s="368"/>
      <c r="R10" s="368"/>
      <c r="S10" s="368" t="e">
        <f t="shared" si="0"/>
        <v>#N/A</v>
      </c>
      <c r="T10" s="506"/>
      <c r="U10" s="368"/>
      <c r="V10" s="368"/>
      <c r="W10" s="368"/>
      <c r="X10" s="368" t="e">
        <f t="shared" si="1"/>
        <v>#N/A</v>
      </c>
      <c r="Y10" s="506"/>
      <c r="Z10" s="368"/>
      <c r="AA10" s="368"/>
      <c r="AB10" s="368"/>
      <c r="AC10" s="368" t="e">
        <f t="shared" si="2"/>
        <v>#N/A</v>
      </c>
      <c r="AD10" s="506"/>
      <c r="AE10" s="368"/>
      <c r="AF10" s="368"/>
      <c r="AG10" s="368"/>
      <c r="AH10" s="368" t="e">
        <f t="shared" si="3"/>
        <v>#N/A</v>
      </c>
      <c r="AI10" s="506"/>
      <c r="AJ10" s="368"/>
      <c r="AK10" s="368"/>
      <c r="AL10" s="368"/>
      <c r="AM10" s="368" t="e">
        <f t="shared" si="4"/>
        <v>#N/A</v>
      </c>
      <c r="AN10" s="506"/>
      <c r="AO10" s="368"/>
      <c r="AP10" s="368"/>
      <c r="AQ10" s="368"/>
      <c r="AR10" s="368" t="e">
        <f t="shared" si="5"/>
        <v>#N/A</v>
      </c>
      <c r="AS10" s="506"/>
      <c r="AT10" s="368"/>
      <c r="AU10" s="368"/>
      <c r="AV10" s="368"/>
      <c r="AW10" s="368" t="e">
        <f t="shared" si="6"/>
        <v>#N/A</v>
      </c>
      <c r="AX10" s="506"/>
    </row>
    <row r="11" spans="1:50">
      <c r="A11" s="81"/>
      <c r="B11" s="483"/>
      <c r="C11" s="368">
        <v>5</v>
      </c>
      <c r="D11" s="257"/>
      <c r="E11" s="187"/>
      <c r="F11" s="368"/>
      <c r="G11" s="371"/>
      <c r="H11" s="508"/>
      <c r="I11" s="219"/>
      <c r="J11" s="219"/>
      <c r="K11" s="220"/>
      <c r="L11" s="457"/>
      <c r="M11" s="221" t="e">
        <f>RANK(K11, K$7:$K$21)</f>
        <v>#N/A</v>
      </c>
      <c r="N11" s="475"/>
      <c r="O11" s="475"/>
      <c r="P11" s="368"/>
      <c r="Q11" s="368"/>
      <c r="R11" s="368"/>
      <c r="S11" s="368" t="e">
        <f t="shared" si="0"/>
        <v>#N/A</v>
      </c>
      <c r="T11" s="506"/>
      <c r="U11" s="368"/>
      <c r="V11" s="368"/>
      <c r="W11" s="368"/>
      <c r="X11" s="368" t="e">
        <f t="shared" si="1"/>
        <v>#N/A</v>
      </c>
      <c r="Y11" s="506"/>
      <c r="Z11" s="368"/>
      <c r="AA11" s="368"/>
      <c r="AB11" s="368"/>
      <c r="AC11" s="368" t="e">
        <f t="shared" si="2"/>
        <v>#N/A</v>
      </c>
      <c r="AD11" s="506"/>
      <c r="AE11" s="368"/>
      <c r="AF11" s="368"/>
      <c r="AG11" s="368"/>
      <c r="AH11" s="368" t="e">
        <f t="shared" si="3"/>
        <v>#N/A</v>
      </c>
      <c r="AI11" s="506"/>
      <c r="AJ11" s="368"/>
      <c r="AK11" s="368"/>
      <c r="AL11" s="368"/>
      <c r="AM11" s="368" t="e">
        <f t="shared" si="4"/>
        <v>#N/A</v>
      </c>
      <c r="AN11" s="506"/>
      <c r="AO11" s="368"/>
      <c r="AP11" s="368"/>
      <c r="AQ11" s="368"/>
      <c r="AR11" s="368" t="e">
        <f t="shared" si="5"/>
        <v>#N/A</v>
      </c>
      <c r="AS11" s="506"/>
      <c r="AT11" s="368"/>
      <c r="AU11" s="368"/>
      <c r="AV11" s="368"/>
      <c r="AW11" s="368" t="e">
        <f t="shared" si="6"/>
        <v>#N/A</v>
      </c>
      <c r="AX11" s="506"/>
    </row>
    <row r="12" spans="1:50">
      <c r="A12" s="81"/>
      <c r="B12" s="483"/>
      <c r="C12" s="368">
        <v>6</v>
      </c>
      <c r="D12" s="257"/>
      <c r="E12" s="187"/>
      <c r="F12" s="368"/>
      <c r="G12" s="371"/>
      <c r="H12" s="508"/>
      <c r="I12" s="219"/>
      <c r="J12" s="219"/>
      <c r="K12" s="220"/>
      <c r="L12" s="457"/>
      <c r="M12" s="221" t="e">
        <f>RANK(K12, K$7:$K$21)</f>
        <v>#N/A</v>
      </c>
      <c r="N12" s="475"/>
      <c r="O12" s="475"/>
      <c r="P12" s="368"/>
      <c r="Q12" s="368"/>
      <c r="R12" s="368"/>
      <c r="S12" s="368" t="e">
        <f t="shared" si="0"/>
        <v>#N/A</v>
      </c>
      <c r="T12" s="506"/>
      <c r="U12" s="368"/>
      <c r="V12" s="368"/>
      <c r="W12" s="368"/>
      <c r="X12" s="368" t="e">
        <f t="shared" si="1"/>
        <v>#N/A</v>
      </c>
      <c r="Y12" s="506"/>
      <c r="Z12" s="368"/>
      <c r="AA12" s="368"/>
      <c r="AB12" s="368"/>
      <c r="AC12" s="368" t="e">
        <f t="shared" si="2"/>
        <v>#N/A</v>
      </c>
      <c r="AD12" s="506"/>
      <c r="AE12" s="368"/>
      <c r="AF12" s="368"/>
      <c r="AG12" s="368"/>
      <c r="AH12" s="368" t="e">
        <f t="shared" si="3"/>
        <v>#N/A</v>
      </c>
      <c r="AI12" s="506"/>
      <c r="AJ12" s="368"/>
      <c r="AK12" s="368"/>
      <c r="AL12" s="368"/>
      <c r="AM12" s="368" t="e">
        <f t="shared" si="4"/>
        <v>#N/A</v>
      </c>
      <c r="AN12" s="506"/>
      <c r="AO12" s="368"/>
      <c r="AP12" s="368"/>
      <c r="AQ12" s="368"/>
      <c r="AR12" s="368" t="e">
        <f t="shared" si="5"/>
        <v>#N/A</v>
      </c>
      <c r="AS12" s="506"/>
      <c r="AT12" s="368"/>
      <c r="AU12" s="368"/>
      <c r="AV12" s="368"/>
      <c r="AW12" s="368" t="e">
        <f t="shared" si="6"/>
        <v>#N/A</v>
      </c>
      <c r="AX12" s="506"/>
    </row>
    <row r="13" spans="1:50">
      <c r="A13" s="81"/>
      <c r="B13" s="483"/>
      <c r="C13" s="368">
        <v>7</v>
      </c>
      <c r="D13" s="257"/>
      <c r="E13" s="187"/>
      <c r="F13" s="368"/>
      <c r="G13" s="371"/>
      <c r="H13" s="508"/>
      <c r="I13" s="219"/>
      <c r="J13" s="219"/>
      <c r="K13" s="220"/>
      <c r="L13" s="457"/>
      <c r="M13" s="221" t="e">
        <f>RANK(K13, K$7:$K$21)</f>
        <v>#N/A</v>
      </c>
      <c r="N13" s="475"/>
      <c r="O13" s="475"/>
      <c r="P13" s="368"/>
      <c r="Q13" s="368"/>
      <c r="R13" s="368"/>
      <c r="S13" s="368" t="e">
        <f t="shared" si="0"/>
        <v>#N/A</v>
      </c>
      <c r="T13" s="506"/>
      <c r="U13" s="368"/>
      <c r="V13" s="368"/>
      <c r="W13" s="368"/>
      <c r="X13" s="368" t="e">
        <f t="shared" si="1"/>
        <v>#N/A</v>
      </c>
      <c r="Y13" s="506"/>
      <c r="Z13" s="368"/>
      <c r="AA13" s="368"/>
      <c r="AB13" s="368"/>
      <c r="AC13" s="368" t="e">
        <f t="shared" si="2"/>
        <v>#N/A</v>
      </c>
      <c r="AD13" s="506"/>
      <c r="AE13" s="368"/>
      <c r="AF13" s="368"/>
      <c r="AG13" s="368"/>
      <c r="AH13" s="368" t="e">
        <f t="shared" si="3"/>
        <v>#N/A</v>
      </c>
      <c r="AI13" s="506"/>
      <c r="AJ13" s="368"/>
      <c r="AK13" s="368"/>
      <c r="AL13" s="368"/>
      <c r="AM13" s="368" t="e">
        <f t="shared" si="4"/>
        <v>#N/A</v>
      </c>
      <c r="AN13" s="506"/>
      <c r="AO13" s="368"/>
      <c r="AP13" s="368"/>
      <c r="AQ13" s="368"/>
      <c r="AR13" s="368" t="e">
        <f t="shared" si="5"/>
        <v>#N/A</v>
      </c>
      <c r="AS13" s="506"/>
      <c r="AT13" s="368"/>
      <c r="AU13" s="368"/>
      <c r="AV13" s="368"/>
      <c r="AW13" s="368" t="e">
        <f t="shared" si="6"/>
        <v>#N/A</v>
      </c>
      <c r="AX13" s="506"/>
    </row>
    <row r="14" spans="1:50">
      <c r="A14" s="81"/>
      <c r="B14" s="483"/>
      <c r="C14" s="368">
        <v>8</v>
      </c>
      <c r="D14" s="257"/>
      <c r="E14" s="187"/>
      <c r="F14" s="368"/>
      <c r="G14" s="371"/>
      <c r="H14" s="508"/>
      <c r="I14" s="219"/>
      <c r="J14" s="219"/>
      <c r="K14" s="220"/>
      <c r="L14" s="457"/>
      <c r="M14" s="221" t="e">
        <f>RANK(K14, K$7:$K$21)</f>
        <v>#N/A</v>
      </c>
      <c r="N14" s="475"/>
      <c r="O14" s="475"/>
      <c r="P14" s="368"/>
      <c r="Q14" s="368"/>
      <c r="R14" s="368"/>
      <c r="S14" s="368" t="e">
        <f t="shared" si="0"/>
        <v>#N/A</v>
      </c>
      <c r="T14" s="506"/>
      <c r="U14" s="368"/>
      <c r="V14" s="368"/>
      <c r="W14" s="368"/>
      <c r="X14" s="368" t="e">
        <f t="shared" si="1"/>
        <v>#N/A</v>
      </c>
      <c r="Y14" s="506"/>
      <c r="Z14" s="368"/>
      <c r="AA14" s="368"/>
      <c r="AB14" s="368"/>
      <c r="AC14" s="368" t="e">
        <f t="shared" si="2"/>
        <v>#N/A</v>
      </c>
      <c r="AD14" s="506"/>
      <c r="AE14" s="368"/>
      <c r="AF14" s="368"/>
      <c r="AG14" s="368"/>
      <c r="AH14" s="368" t="e">
        <f t="shared" si="3"/>
        <v>#N/A</v>
      </c>
      <c r="AI14" s="506"/>
      <c r="AJ14" s="368"/>
      <c r="AK14" s="368"/>
      <c r="AL14" s="368"/>
      <c r="AM14" s="368" t="e">
        <f t="shared" si="4"/>
        <v>#N/A</v>
      </c>
      <c r="AN14" s="506"/>
      <c r="AO14" s="368"/>
      <c r="AP14" s="368"/>
      <c r="AQ14" s="368"/>
      <c r="AR14" s="368" t="e">
        <f t="shared" si="5"/>
        <v>#N/A</v>
      </c>
      <c r="AS14" s="506"/>
      <c r="AT14" s="368"/>
      <c r="AU14" s="368"/>
      <c r="AV14" s="368"/>
      <c r="AW14" s="368" t="e">
        <f t="shared" si="6"/>
        <v>#N/A</v>
      </c>
      <c r="AX14" s="506"/>
    </row>
    <row r="15" spans="1:50">
      <c r="A15" s="81"/>
      <c r="B15" s="483"/>
      <c r="C15" s="368">
        <v>9</v>
      </c>
      <c r="D15" s="257"/>
      <c r="E15" s="187"/>
      <c r="F15" s="368"/>
      <c r="G15" s="371"/>
      <c r="H15" s="508"/>
      <c r="I15" s="219"/>
      <c r="J15" s="219"/>
      <c r="K15" s="220"/>
      <c r="L15" s="457"/>
      <c r="M15" s="221" t="e">
        <f>RANK(K15, K$7:$K$21)</f>
        <v>#N/A</v>
      </c>
      <c r="N15" s="475"/>
      <c r="O15" s="475"/>
      <c r="P15" s="368"/>
      <c r="Q15" s="368"/>
      <c r="R15" s="368"/>
      <c r="S15" s="368" t="e">
        <f t="shared" si="0"/>
        <v>#N/A</v>
      </c>
      <c r="T15" s="506"/>
      <c r="U15" s="368"/>
      <c r="V15" s="368"/>
      <c r="W15" s="368"/>
      <c r="X15" s="368" t="e">
        <f t="shared" si="1"/>
        <v>#N/A</v>
      </c>
      <c r="Y15" s="506"/>
      <c r="Z15" s="368"/>
      <c r="AA15" s="368"/>
      <c r="AB15" s="368"/>
      <c r="AC15" s="368" t="e">
        <f t="shared" si="2"/>
        <v>#N/A</v>
      </c>
      <c r="AD15" s="506"/>
      <c r="AE15" s="368"/>
      <c r="AF15" s="368"/>
      <c r="AG15" s="368"/>
      <c r="AH15" s="368" t="e">
        <f t="shared" si="3"/>
        <v>#N/A</v>
      </c>
      <c r="AI15" s="506"/>
      <c r="AJ15" s="368"/>
      <c r="AK15" s="368"/>
      <c r="AL15" s="368"/>
      <c r="AM15" s="368" t="e">
        <f t="shared" si="4"/>
        <v>#N/A</v>
      </c>
      <c r="AN15" s="506"/>
      <c r="AO15" s="368"/>
      <c r="AP15" s="368"/>
      <c r="AQ15" s="368"/>
      <c r="AR15" s="368" t="e">
        <f t="shared" si="5"/>
        <v>#N/A</v>
      </c>
      <c r="AS15" s="506"/>
      <c r="AT15" s="368"/>
      <c r="AU15" s="368"/>
      <c r="AV15" s="368"/>
      <c r="AW15" s="368" t="e">
        <f t="shared" si="6"/>
        <v>#N/A</v>
      </c>
      <c r="AX15" s="506"/>
    </row>
    <row r="16" spans="1:50">
      <c r="A16" s="81"/>
      <c r="B16" s="483"/>
      <c r="C16" s="368">
        <v>10</v>
      </c>
      <c r="D16" s="257"/>
      <c r="E16" s="187"/>
      <c r="F16" s="368"/>
      <c r="G16" s="371"/>
      <c r="H16" s="508"/>
      <c r="I16" s="219"/>
      <c r="J16" s="219"/>
      <c r="K16" s="220"/>
      <c r="L16" s="457"/>
      <c r="M16" s="221" t="e">
        <f>RANK(K16, K$7:$K$21)</f>
        <v>#N/A</v>
      </c>
      <c r="N16" s="475"/>
      <c r="O16" s="475"/>
      <c r="P16" s="368"/>
      <c r="Q16" s="368"/>
      <c r="R16" s="368"/>
      <c r="S16" s="368" t="e">
        <f t="shared" si="0"/>
        <v>#N/A</v>
      </c>
      <c r="T16" s="506"/>
      <c r="U16" s="368"/>
      <c r="V16" s="368"/>
      <c r="W16" s="368"/>
      <c r="X16" s="368" t="e">
        <f t="shared" si="1"/>
        <v>#N/A</v>
      </c>
      <c r="Y16" s="506"/>
      <c r="Z16" s="368"/>
      <c r="AA16" s="368"/>
      <c r="AB16" s="368"/>
      <c r="AC16" s="368" t="e">
        <f t="shared" si="2"/>
        <v>#N/A</v>
      </c>
      <c r="AD16" s="506"/>
      <c r="AE16" s="368"/>
      <c r="AF16" s="368"/>
      <c r="AG16" s="368"/>
      <c r="AH16" s="368" t="e">
        <f t="shared" si="3"/>
        <v>#N/A</v>
      </c>
      <c r="AI16" s="506"/>
      <c r="AJ16" s="368"/>
      <c r="AK16" s="368"/>
      <c r="AL16" s="368"/>
      <c r="AM16" s="368" t="e">
        <f t="shared" si="4"/>
        <v>#N/A</v>
      </c>
      <c r="AN16" s="506"/>
      <c r="AO16" s="368"/>
      <c r="AP16" s="368"/>
      <c r="AQ16" s="368"/>
      <c r="AR16" s="368" t="e">
        <f t="shared" si="5"/>
        <v>#N/A</v>
      </c>
      <c r="AS16" s="506"/>
      <c r="AT16" s="368"/>
      <c r="AU16" s="368"/>
      <c r="AV16" s="368"/>
      <c r="AW16" s="368" t="e">
        <f t="shared" si="6"/>
        <v>#N/A</v>
      </c>
      <c r="AX16" s="506"/>
    </row>
    <row r="17" spans="2:50">
      <c r="B17" s="483"/>
      <c r="C17" s="368">
        <v>11</v>
      </c>
      <c r="D17" s="257"/>
      <c r="E17" s="187"/>
      <c r="F17" s="368"/>
      <c r="G17" s="371"/>
      <c r="H17" s="508"/>
      <c r="I17" s="222"/>
      <c r="J17" s="222"/>
      <c r="K17" s="222"/>
      <c r="L17" s="457"/>
      <c r="M17" s="221" t="e">
        <f>RANK(K17, K$7:$K$21)</f>
        <v>#N/A</v>
      </c>
      <c r="N17" s="475"/>
      <c r="O17" s="475"/>
      <c r="P17" s="368"/>
      <c r="Q17" s="368"/>
      <c r="R17" s="368"/>
      <c r="S17" s="368" t="e">
        <f t="shared" si="0"/>
        <v>#N/A</v>
      </c>
      <c r="T17" s="506"/>
      <c r="U17" s="368"/>
      <c r="V17" s="368"/>
      <c r="W17" s="368"/>
      <c r="X17" s="368" t="e">
        <f t="shared" si="1"/>
        <v>#N/A</v>
      </c>
      <c r="Y17" s="506"/>
      <c r="Z17" s="368"/>
      <c r="AA17" s="368"/>
      <c r="AB17" s="368"/>
      <c r="AC17" s="368" t="e">
        <f t="shared" si="2"/>
        <v>#N/A</v>
      </c>
      <c r="AD17" s="506"/>
      <c r="AE17" s="368"/>
      <c r="AF17" s="368"/>
      <c r="AG17" s="368"/>
      <c r="AH17" s="368" t="e">
        <f t="shared" si="3"/>
        <v>#N/A</v>
      </c>
      <c r="AI17" s="506"/>
      <c r="AJ17" s="368"/>
      <c r="AK17" s="368"/>
      <c r="AL17" s="368"/>
      <c r="AM17" s="368" t="e">
        <f t="shared" si="4"/>
        <v>#N/A</v>
      </c>
      <c r="AN17" s="506"/>
      <c r="AO17" s="368"/>
      <c r="AP17" s="368"/>
      <c r="AQ17" s="368"/>
      <c r="AR17" s="368" t="e">
        <f t="shared" si="5"/>
        <v>#N/A</v>
      </c>
      <c r="AS17" s="506"/>
      <c r="AT17" s="368"/>
      <c r="AU17" s="368"/>
      <c r="AV17" s="368"/>
      <c r="AW17" s="368" t="e">
        <f t="shared" si="6"/>
        <v>#N/A</v>
      </c>
      <c r="AX17" s="506"/>
    </row>
    <row r="18" spans="2:50">
      <c r="B18" s="483"/>
      <c r="C18" s="368">
        <v>12</v>
      </c>
      <c r="D18" s="257"/>
      <c r="E18" s="187"/>
      <c r="F18" s="368"/>
      <c r="G18" s="371"/>
      <c r="H18" s="508"/>
      <c r="I18" s="222"/>
      <c r="J18" s="222"/>
      <c r="K18" s="222"/>
      <c r="L18" s="457"/>
      <c r="M18" s="221" t="e">
        <f>RANK(K18, K$7:$K$21)</f>
        <v>#N/A</v>
      </c>
      <c r="N18" s="475"/>
      <c r="O18" s="475"/>
      <c r="P18" s="368"/>
      <c r="Q18" s="368"/>
      <c r="R18" s="368"/>
      <c r="S18" s="368" t="e">
        <f t="shared" si="0"/>
        <v>#N/A</v>
      </c>
      <c r="T18" s="506"/>
      <c r="U18" s="368"/>
      <c r="V18" s="368"/>
      <c r="W18" s="368"/>
      <c r="X18" s="368" t="e">
        <f t="shared" si="1"/>
        <v>#N/A</v>
      </c>
      <c r="Y18" s="506"/>
      <c r="Z18" s="368"/>
      <c r="AA18" s="368"/>
      <c r="AB18" s="368"/>
      <c r="AC18" s="368" t="e">
        <f t="shared" si="2"/>
        <v>#N/A</v>
      </c>
      <c r="AD18" s="506"/>
      <c r="AE18" s="368"/>
      <c r="AF18" s="368"/>
      <c r="AG18" s="368"/>
      <c r="AH18" s="368" t="e">
        <f t="shared" si="3"/>
        <v>#N/A</v>
      </c>
      <c r="AI18" s="506"/>
      <c r="AJ18" s="368"/>
      <c r="AK18" s="368"/>
      <c r="AL18" s="368"/>
      <c r="AM18" s="368" t="e">
        <f t="shared" si="4"/>
        <v>#N/A</v>
      </c>
      <c r="AN18" s="506"/>
      <c r="AO18" s="368"/>
      <c r="AP18" s="368"/>
      <c r="AQ18" s="368"/>
      <c r="AR18" s="368" t="e">
        <f t="shared" si="5"/>
        <v>#N/A</v>
      </c>
      <c r="AS18" s="506"/>
      <c r="AT18" s="368"/>
      <c r="AU18" s="368"/>
      <c r="AV18" s="368"/>
      <c r="AW18" s="368" t="e">
        <f t="shared" si="6"/>
        <v>#N/A</v>
      </c>
      <c r="AX18" s="506"/>
    </row>
    <row r="19" spans="2:50">
      <c r="B19" s="483"/>
      <c r="C19" s="368">
        <v>13</v>
      </c>
      <c r="D19" s="257"/>
      <c r="E19" s="187"/>
      <c r="F19" s="368"/>
      <c r="G19" s="371"/>
      <c r="H19" s="508"/>
      <c r="I19" s="222"/>
      <c r="J19" s="222"/>
      <c r="K19" s="222"/>
      <c r="L19" s="457"/>
      <c r="M19" s="221" t="e">
        <f>RANK(K19, K$7:$K$21)</f>
        <v>#N/A</v>
      </c>
      <c r="N19" s="475"/>
      <c r="O19" s="475"/>
      <c r="P19" s="368"/>
      <c r="Q19" s="368"/>
      <c r="R19" s="368"/>
      <c r="S19" s="368" t="e">
        <f t="shared" si="0"/>
        <v>#N/A</v>
      </c>
      <c r="T19" s="506"/>
      <c r="U19" s="368"/>
      <c r="V19" s="368"/>
      <c r="W19" s="368"/>
      <c r="X19" s="368" t="e">
        <f t="shared" si="1"/>
        <v>#N/A</v>
      </c>
      <c r="Y19" s="506"/>
      <c r="Z19" s="368"/>
      <c r="AA19" s="368"/>
      <c r="AB19" s="368"/>
      <c r="AC19" s="368" t="e">
        <f t="shared" si="2"/>
        <v>#N/A</v>
      </c>
      <c r="AD19" s="506"/>
      <c r="AE19" s="368"/>
      <c r="AF19" s="368"/>
      <c r="AG19" s="368"/>
      <c r="AH19" s="368" t="e">
        <f t="shared" si="3"/>
        <v>#N/A</v>
      </c>
      <c r="AI19" s="506"/>
      <c r="AJ19" s="368"/>
      <c r="AK19" s="368"/>
      <c r="AL19" s="368"/>
      <c r="AM19" s="368" t="e">
        <f t="shared" si="4"/>
        <v>#N/A</v>
      </c>
      <c r="AN19" s="506"/>
      <c r="AO19" s="368"/>
      <c r="AP19" s="368"/>
      <c r="AQ19" s="368"/>
      <c r="AR19" s="368" t="e">
        <f t="shared" si="5"/>
        <v>#N/A</v>
      </c>
      <c r="AS19" s="506"/>
      <c r="AT19" s="368"/>
      <c r="AU19" s="368"/>
      <c r="AV19" s="368"/>
      <c r="AW19" s="368" t="e">
        <f t="shared" si="6"/>
        <v>#N/A</v>
      </c>
      <c r="AX19" s="506"/>
    </row>
    <row r="20" spans="2:50">
      <c r="B20" s="483"/>
      <c r="C20" s="368">
        <v>14</v>
      </c>
      <c r="D20" s="257"/>
      <c r="E20" s="187"/>
      <c r="F20" s="368"/>
      <c r="G20" s="371"/>
      <c r="H20" s="508"/>
      <c r="I20" s="222"/>
      <c r="J20" s="222"/>
      <c r="K20" s="222"/>
      <c r="L20" s="457"/>
      <c r="M20" s="221" t="e">
        <f>RANK(K20, K$7:$K$21)</f>
        <v>#N/A</v>
      </c>
      <c r="N20" s="475"/>
      <c r="O20" s="475"/>
      <c r="P20" s="368"/>
      <c r="Q20" s="368"/>
      <c r="R20" s="368"/>
      <c r="S20" s="368" t="e">
        <f t="shared" si="0"/>
        <v>#N/A</v>
      </c>
      <c r="T20" s="506"/>
      <c r="U20" s="368"/>
      <c r="V20" s="368"/>
      <c r="W20" s="368"/>
      <c r="X20" s="368" t="e">
        <f t="shared" si="1"/>
        <v>#N/A</v>
      </c>
      <c r="Y20" s="506"/>
      <c r="Z20" s="368"/>
      <c r="AA20" s="368"/>
      <c r="AB20" s="368"/>
      <c r="AC20" s="368" t="e">
        <f t="shared" si="2"/>
        <v>#N/A</v>
      </c>
      <c r="AD20" s="506"/>
      <c r="AE20" s="368"/>
      <c r="AF20" s="368"/>
      <c r="AG20" s="368"/>
      <c r="AH20" s="368" t="e">
        <f t="shared" si="3"/>
        <v>#N/A</v>
      </c>
      <c r="AI20" s="506"/>
      <c r="AJ20" s="368"/>
      <c r="AK20" s="368"/>
      <c r="AL20" s="368"/>
      <c r="AM20" s="368" t="e">
        <f t="shared" si="4"/>
        <v>#N/A</v>
      </c>
      <c r="AN20" s="506"/>
      <c r="AO20" s="368"/>
      <c r="AP20" s="368"/>
      <c r="AQ20" s="368"/>
      <c r="AR20" s="368" t="e">
        <f t="shared" si="5"/>
        <v>#N/A</v>
      </c>
      <c r="AS20" s="506"/>
      <c r="AT20" s="368"/>
      <c r="AU20" s="368"/>
      <c r="AV20" s="368"/>
      <c r="AW20" s="368" t="e">
        <f t="shared" si="6"/>
        <v>#N/A</v>
      </c>
      <c r="AX20" s="506"/>
    </row>
    <row r="21" spans="2:50">
      <c r="B21" s="483"/>
      <c r="C21" s="368">
        <v>15</v>
      </c>
      <c r="D21" s="257"/>
      <c r="E21" s="187"/>
      <c r="F21" s="368"/>
      <c r="G21" s="371"/>
      <c r="H21" s="509"/>
      <c r="I21" s="222"/>
      <c r="J21" s="222"/>
      <c r="K21" s="222"/>
      <c r="L21" s="458"/>
      <c r="M21" s="219" t="e">
        <f>RANK(K21, K$7:$K$21)</f>
        <v>#N/A</v>
      </c>
      <c r="N21" s="475"/>
      <c r="O21" s="475"/>
      <c r="P21" s="368"/>
      <c r="Q21" s="368"/>
      <c r="R21" s="368"/>
      <c r="S21" s="368" t="e">
        <f t="shared" si="0"/>
        <v>#N/A</v>
      </c>
      <c r="T21" s="506"/>
      <c r="U21" s="368"/>
      <c r="V21" s="368"/>
      <c r="W21" s="368"/>
      <c r="X21" s="368" t="e">
        <f t="shared" si="1"/>
        <v>#N/A</v>
      </c>
      <c r="Y21" s="506"/>
      <c r="Z21" s="368"/>
      <c r="AA21" s="368"/>
      <c r="AB21" s="368"/>
      <c r="AC21" s="368" t="e">
        <f t="shared" si="2"/>
        <v>#N/A</v>
      </c>
      <c r="AD21" s="506"/>
      <c r="AE21" s="368"/>
      <c r="AF21" s="368"/>
      <c r="AG21" s="368"/>
      <c r="AH21" s="368" t="e">
        <f t="shared" si="3"/>
        <v>#N/A</v>
      </c>
      <c r="AI21" s="506"/>
      <c r="AJ21" s="368"/>
      <c r="AK21" s="368"/>
      <c r="AL21" s="368"/>
      <c r="AM21" s="368" t="e">
        <f t="shared" si="4"/>
        <v>#N/A</v>
      </c>
      <c r="AN21" s="506"/>
      <c r="AO21" s="368"/>
      <c r="AP21" s="368"/>
      <c r="AQ21" s="368"/>
      <c r="AR21" s="368" t="e">
        <f t="shared" si="5"/>
        <v>#N/A</v>
      </c>
      <c r="AS21" s="506"/>
      <c r="AT21" s="368"/>
      <c r="AU21" s="368"/>
      <c r="AV21" s="368"/>
      <c r="AW21" s="368" t="e">
        <f t="shared" si="6"/>
        <v>#N/A</v>
      </c>
      <c r="AX21" s="506"/>
    </row>
    <row r="22" spans="2:50" ht="15.75">
      <c r="B22" s="500" t="s">
        <v>172</v>
      </c>
      <c r="C22" s="501"/>
      <c r="D22" s="501"/>
      <c r="E22" s="501"/>
      <c r="F22" s="501"/>
      <c r="G22" s="501"/>
      <c r="H22" s="501"/>
      <c r="I22" s="223"/>
      <c r="J22" s="223"/>
      <c r="K22" s="223"/>
      <c r="L22" s="223"/>
      <c r="M22" s="224"/>
      <c r="N22" s="476" t="s">
        <v>164</v>
      </c>
      <c r="O22" s="476" t="s">
        <v>105</v>
      </c>
      <c r="P22" s="502">
        <f>AT2+1</f>
        <v>45902</v>
      </c>
      <c r="Q22" s="503"/>
      <c r="R22" s="503"/>
      <c r="S22" s="503"/>
      <c r="T22" s="503"/>
      <c r="U22" s="482">
        <f>P22+1</f>
        <v>45903</v>
      </c>
      <c r="V22" s="483"/>
      <c r="W22" s="483"/>
      <c r="X22" s="483"/>
      <c r="Y22" s="483"/>
      <c r="Z22" s="482">
        <f>U22+1</f>
        <v>45904</v>
      </c>
      <c r="AA22" s="483"/>
      <c r="AB22" s="483"/>
      <c r="AC22" s="483"/>
      <c r="AD22" s="483"/>
      <c r="AE22" s="482">
        <f>Z22+1</f>
        <v>45905</v>
      </c>
      <c r="AF22" s="483"/>
      <c r="AG22" s="483"/>
      <c r="AH22" s="483"/>
      <c r="AI22" s="483"/>
      <c r="AJ22" s="482">
        <f>AE22+1</f>
        <v>45906</v>
      </c>
      <c r="AK22" s="483"/>
      <c r="AL22" s="483"/>
      <c r="AM22" s="483"/>
      <c r="AN22" s="483"/>
      <c r="AO22" s="482">
        <f>AJ22+1</f>
        <v>45907</v>
      </c>
      <c r="AP22" s="483"/>
      <c r="AQ22" s="483"/>
      <c r="AR22" s="483"/>
      <c r="AS22" s="483"/>
      <c r="AT22" s="482">
        <f>AO22+1</f>
        <v>45908</v>
      </c>
      <c r="AU22" s="483"/>
      <c r="AV22" s="483"/>
      <c r="AW22" s="483"/>
      <c r="AX22" s="483"/>
    </row>
    <row r="23" spans="2:50" ht="15.75">
      <c r="B23" s="490"/>
      <c r="C23" s="490"/>
      <c r="D23" s="490"/>
      <c r="E23" s="490"/>
      <c r="F23" s="490"/>
      <c r="G23" s="490"/>
      <c r="H23" s="490"/>
      <c r="I23" s="225"/>
      <c r="J23" s="225"/>
      <c r="K23" s="225"/>
      <c r="L23" s="225"/>
      <c r="M23" s="226"/>
      <c r="N23" s="478"/>
      <c r="O23" s="478"/>
      <c r="P23" s="482" t="s">
        <v>393</v>
      </c>
      <c r="Q23" s="483"/>
      <c r="R23" s="483"/>
      <c r="S23" s="483"/>
      <c r="T23" s="483"/>
      <c r="U23" s="482" t="s">
        <v>394</v>
      </c>
      <c r="V23" s="483"/>
      <c r="W23" s="483"/>
      <c r="X23" s="483"/>
      <c r="Y23" s="483"/>
      <c r="Z23" s="482" t="s">
        <v>395</v>
      </c>
      <c r="AA23" s="483"/>
      <c r="AB23" s="483"/>
      <c r="AC23" s="483"/>
      <c r="AD23" s="483"/>
      <c r="AE23" s="482" t="s">
        <v>396</v>
      </c>
      <c r="AF23" s="483"/>
      <c r="AG23" s="483"/>
      <c r="AH23" s="483"/>
      <c r="AI23" s="483"/>
      <c r="AJ23" s="482" t="s">
        <v>397</v>
      </c>
      <c r="AK23" s="483"/>
      <c r="AL23" s="483"/>
      <c r="AM23" s="483"/>
      <c r="AN23" s="483"/>
      <c r="AO23" s="482" t="s">
        <v>398</v>
      </c>
      <c r="AP23" s="483"/>
      <c r="AQ23" s="483"/>
      <c r="AR23" s="483"/>
      <c r="AS23" s="483"/>
      <c r="AT23" s="482" t="s">
        <v>399</v>
      </c>
      <c r="AU23" s="483"/>
      <c r="AV23" s="483"/>
      <c r="AW23" s="483"/>
      <c r="AX23" s="483"/>
    </row>
    <row r="24" spans="2:50">
      <c r="B24" s="475" t="s">
        <v>162</v>
      </c>
      <c r="C24" s="475" t="s">
        <v>644</v>
      </c>
      <c r="D24" s="475"/>
      <c r="E24" s="475" t="s">
        <v>635</v>
      </c>
      <c r="F24" s="475"/>
      <c r="G24" s="475"/>
      <c r="H24" s="491" t="s">
        <v>631</v>
      </c>
      <c r="I24" s="459" t="s">
        <v>636</v>
      </c>
      <c r="J24" s="459"/>
      <c r="K24" s="459"/>
      <c r="L24" s="460" t="s">
        <v>631</v>
      </c>
      <c r="M24" s="466" t="s">
        <v>632</v>
      </c>
      <c r="N24" s="475"/>
      <c r="O24" s="475" t="s">
        <v>637</v>
      </c>
      <c r="P24" s="472" t="s">
        <v>633</v>
      </c>
      <c r="Q24" s="473"/>
      <c r="R24" s="473"/>
      <c r="S24" s="474"/>
      <c r="T24" s="475" t="s">
        <v>631</v>
      </c>
      <c r="U24" s="472" t="s">
        <v>633</v>
      </c>
      <c r="V24" s="473"/>
      <c r="W24" s="473"/>
      <c r="X24" s="474"/>
      <c r="Y24" s="475" t="s">
        <v>631</v>
      </c>
      <c r="Z24" s="472" t="s">
        <v>633</v>
      </c>
      <c r="AA24" s="473"/>
      <c r="AB24" s="473"/>
      <c r="AC24" s="474"/>
      <c r="AD24" s="475" t="s">
        <v>631</v>
      </c>
      <c r="AE24" s="472" t="s">
        <v>633</v>
      </c>
      <c r="AF24" s="473"/>
      <c r="AG24" s="473"/>
      <c r="AH24" s="474"/>
      <c r="AI24" s="475" t="s">
        <v>631</v>
      </c>
      <c r="AJ24" s="472" t="s">
        <v>633</v>
      </c>
      <c r="AK24" s="473"/>
      <c r="AL24" s="473"/>
      <c r="AM24" s="474"/>
      <c r="AN24" s="475" t="s">
        <v>631</v>
      </c>
      <c r="AO24" s="472" t="s">
        <v>633</v>
      </c>
      <c r="AP24" s="473"/>
      <c r="AQ24" s="473"/>
      <c r="AR24" s="474"/>
      <c r="AS24" s="475" t="s">
        <v>631</v>
      </c>
      <c r="AT24" s="472" t="s">
        <v>633</v>
      </c>
      <c r="AU24" s="473"/>
      <c r="AV24" s="473"/>
      <c r="AW24" s="474"/>
      <c r="AX24" s="475" t="s">
        <v>631</v>
      </c>
    </row>
    <row r="25" spans="2:50">
      <c r="B25" s="475"/>
      <c r="C25" s="475"/>
      <c r="D25" s="475"/>
      <c r="E25" s="475" t="s">
        <v>638</v>
      </c>
      <c r="F25" s="475"/>
      <c r="G25" s="475"/>
      <c r="H25" s="492"/>
      <c r="I25" s="459" t="s">
        <v>638</v>
      </c>
      <c r="J25" s="459"/>
      <c r="K25" s="459"/>
      <c r="L25" s="461"/>
      <c r="M25" s="467"/>
      <c r="N25" s="475"/>
      <c r="O25" s="475"/>
      <c r="P25" s="472" t="s">
        <v>639</v>
      </c>
      <c r="Q25" s="473"/>
      <c r="R25" s="473"/>
      <c r="S25" s="474"/>
      <c r="T25" s="475"/>
      <c r="U25" s="472" t="s">
        <v>639</v>
      </c>
      <c r="V25" s="473"/>
      <c r="W25" s="473"/>
      <c r="X25" s="474"/>
      <c r="Y25" s="475"/>
      <c r="Z25" s="472" t="s">
        <v>639</v>
      </c>
      <c r="AA25" s="473"/>
      <c r="AB25" s="473"/>
      <c r="AC25" s="474"/>
      <c r="AD25" s="475"/>
      <c r="AE25" s="472" t="s">
        <v>639</v>
      </c>
      <c r="AF25" s="473"/>
      <c r="AG25" s="473"/>
      <c r="AH25" s="474"/>
      <c r="AI25" s="475"/>
      <c r="AJ25" s="472" t="s">
        <v>639</v>
      </c>
      <c r="AK25" s="473"/>
      <c r="AL25" s="473"/>
      <c r="AM25" s="474"/>
      <c r="AN25" s="475"/>
      <c r="AO25" s="472" t="s">
        <v>639</v>
      </c>
      <c r="AP25" s="473"/>
      <c r="AQ25" s="473"/>
      <c r="AR25" s="474"/>
      <c r="AS25" s="475"/>
      <c r="AT25" s="472" t="s">
        <v>808</v>
      </c>
      <c r="AU25" s="473"/>
      <c r="AV25" s="473"/>
      <c r="AW25" s="474"/>
      <c r="AX25" s="475"/>
    </row>
    <row r="26" spans="2:50">
      <c r="B26" s="475"/>
      <c r="C26" s="475"/>
      <c r="D26" s="475"/>
      <c r="E26" s="373" t="s">
        <v>640</v>
      </c>
      <c r="F26" s="373" t="s">
        <v>641</v>
      </c>
      <c r="G26" s="373" t="s">
        <v>642</v>
      </c>
      <c r="H26" s="493"/>
      <c r="I26" s="372" t="s">
        <v>640</v>
      </c>
      <c r="J26" s="372" t="s">
        <v>641</v>
      </c>
      <c r="K26" s="372" t="s">
        <v>642</v>
      </c>
      <c r="L26" s="462"/>
      <c r="M26" s="468"/>
      <c r="N26" s="475"/>
      <c r="O26" s="475"/>
      <c r="P26" s="373" t="s">
        <v>640</v>
      </c>
      <c r="Q26" s="373" t="s">
        <v>641</v>
      </c>
      <c r="R26" s="373" t="s">
        <v>642</v>
      </c>
      <c r="S26" s="373" t="s">
        <v>632</v>
      </c>
      <c r="T26" s="475"/>
      <c r="U26" s="373" t="s">
        <v>640</v>
      </c>
      <c r="V26" s="373" t="s">
        <v>641</v>
      </c>
      <c r="W26" s="373" t="s">
        <v>642</v>
      </c>
      <c r="X26" s="373" t="s">
        <v>809</v>
      </c>
      <c r="Y26" s="475"/>
      <c r="Z26" s="373" t="s">
        <v>810</v>
      </c>
      <c r="AA26" s="373" t="s">
        <v>641</v>
      </c>
      <c r="AB26" s="373" t="s">
        <v>642</v>
      </c>
      <c r="AC26" s="373" t="s">
        <v>632</v>
      </c>
      <c r="AD26" s="475"/>
      <c r="AE26" s="373" t="s">
        <v>811</v>
      </c>
      <c r="AF26" s="373" t="s">
        <v>812</v>
      </c>
      <c r="AG26" s="373" t="s">
        <v>642</v>
      </c>
      <c r="AH26" s="373" t="s">
        <v>632</v>
      </c>
      <c r="AI26" s="475"/>
      <c r="AJ26" s="373" t="s">
        <v>810</v>
      </c>
      <c r="AK26" s="373" t="s">
        <v>812</v>
      </c>
      <c r="AL26" s="373" t="s">
        <v>642</v>
      </c>
      <c r="AM26" s="373" t="s">
        <v>632</v>
      </c>
      <c r="AN26" s="475"/>
      <c r="AO26" s="373" t="s">
        <v>640</v>
      </c>
      <c r="AP26" s="373" t="s">
        <v>812</v>
      </c>
      <c r="AQ26" s="373" t="s">
        <v>642</v>
      </c>
      <c r="AR26" s="373" t="s">
        <v>632</v>
      </c>
      <c r="AS26" s="475"/>
      <c r="AT26" s="373" t="s">
        <v>810</v>
      </c>
      <c r="AU26" s="373" t="s">
        <v>812</v>
      </c>
      <c r="AV26" s="373" t="s">
        <v>642</v>
      </c>
      <c r="AW26" s="373" t="s">
        <v>632</v>
      </c>
      <c r="AX26" s="475"/>
    </row>
    <row r="27" spans="2:50">
      <c r="B27" s="475" t="s">
        <v>645</v>
      </c>
      <c r="C27" s="374">
        <v>1</v>
      </c>
      <c r="D27" s="257" t="s">
        <v>464</v>
      </c>
      <c r="E27" s="187">
        <v>13</v>
      </c>
      <c r="F27" s="374">
        <v>1607.9999999999993</v>
      </c>
      <c r="G27" s="375">
        <v>123.69230769230764</v>
      </c>
      <c r="H27" s="507">
        <f>AVERAGE(G27:G41)</f>
        <v>123.69230769230764</v>
      </c>
      <c r="I27" s="219">
        <f>AVERAGE(P27,U27,Z27,AE27,AJ27,AO27,AT27)</f>
        <v>13</v>
      </c>
      <c r="J27" s="219">
        <f>AVERAGE(Q27,V27,AA27,AF27,AK27,AP27,AU27)</f>
        <v>1368.2000000000005</v>
      </c>
      <c r="K27" s="220">
        <f>AVERAGE(R27,W27,AB27,AG27,AL27,AQ27,AV27)</f>
        <v>105.24615384615387</v>
      </c>
      <c r="L27" s="456">
        <f>IFERROR(AVERAGE(K27:K41),"-")</f>
        <v>105.24615384615387</v>
      </c>
      <c r="M27" s="221">
        <f>RANK(K27, K$27:$K$41)</f>
        <v>1</v>
      </c>
      <c r="N27" s="475"/>
      <c r="O27" s="475"/>
      <c r="P27" s="374">
        <v>13</v>
      </c>
      <c r="Q27" s="187">
        <v>1386.000000000005</v>
      </c>
      <c r="R27" s="375">
        <v>106.615384615385</v>
      </c>
      <c r="S27" s="374">
        <f t="shared" ref="S27:S41" si="7">RANK(R27, R$27:R$41)</f>
        <v>1</v>
      </c>
      <c r="T27" s="506">
        <f>AVERAGE(R27:R41)</f>
        <v>106.615384615385</v>
      </c>
      <c r="U27" s="374">
        <v>13</v>
      </c>
      <c r="V27" s="187">
        <v>1295.9999999999943</v>
      </c>
      <c r="W27" s="375">
        <v>99.692307692307253</v>
      </c>
      <c r="X27" s="374">
        <f t="shared" ref="X27:X41" si="8">RANK(W27, W$27:W$41)</f>
        <v>1</v>
      </c>
      <c r="Y27" s="506">
        <f>AVERAGE(W27:W41)</f>
        <v>99.692307692307253</v>
      </c>
      <c r="Z27" s="374">
        <v>13</v>
      </c>
      <c r="AA27" s="187">
        <v>1265.9999999999995</v>
      </c>
      <c r="AB27" s="375">
        <v>97.384615384615344</v>
      </c>
      <c r="AC27" s="374">
        <f t="shared" ref="AC27:AC41" si="9">RANK(AB27, AB$27:AB$41)</f>
        <v>1</v>
      </c>
      <c r="AD27" s="506">
        <f>AVERAGE(AB27:AB41)</f>
        <v>97.384615384615344</v>
      </c>
      <c r="AE27" s="374">
        <v>13</v>
      </c>
      <c r="AF27" s="187">
        <v>1484.0000000000052</v>
      </c>
      <c r="AG27" s="375">
        <v>114.15384615384656</v>
      </c>
      <c r="AH27" s="374">
        <f t="shared" ref="AH27:AH41" si="10">RANK(AG27, AG$27:AG$41)</f>
        <v>1</v>
      </c>
      <c r="AI27" s="506">
        <f>AVERAGE(AG27:AG41)</f>
        <v>114.15384615384656</v>
      </c>
      <c r="AJ27" s="374">
        <v>13</v>
      </c>
      <c r="AK27" s="187">
        <v>1223.9999999999995</v>
      </c>
      <c r="AL27" s="375">
        <v>94.153846153846118</v>
      </c>
      <c r="AM27" s="374">
        <f t="shared" ref="AM27:AM41" si="11">RANK(AL27, AL$27:AL$41)</f>
        <v>1</v>
      </c>
      <c r="AN27" s="506">
        <f>AVERAGE(AL27:AL41)</f>
        <v>94.153846153846118</v>
      </c>
      <c r="AO27" s="374">
        <v>13</v>
      </c>
      <c r="AP27" s="187">
        <v>1346.4000000000003</v>
      </c>
      <c r="AQ27" s="375">
        <v>103.5692307692308</v>
      </c>
      <c r="AR27" s="374">
        <f t="shared" ref="AR27:AR41" si="12">RANK(AQ27, AQ$27:AQ$41)</f>
        <v>1</v>
      </c>
      <c r="AS27" s="506">
        <f>AVERAGE(AQ27:AQ41)</f>
        <v>103.5692307692308</v>
      </c>
      <c r="AT27" s="374">
        <v>13</v>
      </c>
      <c r="AU27" s="187">
        <v>1574.9999999999993</v>
      </c>
      <c r="AV27" s="375">
        <v>121.1538461538461</v>
      </c>
      <c r="AW27" s="374">
        <f t="shared" ref="AW27:AW41" si="13">RANK(AV27, AV$27:AV$41)</f>
        <v>1</v>
      </c>
      <c r="AX27" s="506">
        <f>AVERAGE(AV27:AV41)</f>
        <v>121.1538461538461</v>
      </c>
    </row>
    <row r="28" spans="2:50">
      <c r="B28" s="483"/>
      <c r="C28" s="374">
        <v>2</v>
      </c>
      <c r="D28" s="257"/>
      <c r="E28" s="187"/>
      <c r="F28" s="374"/>
      <c r="G28" s="375"/>
      <c r="H28" s="508"/>
      <c r="I28" s="219"/>
      <c r="J28" s="219"/>
      <c r="K28" s="220"/>
      <c r="L28" s="457"/>
      <c r="M28" s="221" t="e">
        <f>RANK(K28, K$27:$K$41)</f>
        <v>#N/A</v>
      </c>
      <c r="N28" s="475"/>
      <c r="O28" s="475"/>
      <c r="P28" s="374"/>
      <c r="Q28" s="374"/>
      <c r="R28" s="374"/>
      <c r="S28" s="374" t="e">
        <f t="shared" si="7"/>
        <v>#N/A</v>
      </c>
      <c r="T28" s="506"/>
      <c r="U28" s="374"/>
      <c r="V28" s="374"/>
      <c r="W28" s="374"/>
      <c r="X28" s="374" t="e">
        <f t="shared" si="8"/>
        <v>#N/A</v>
      </c>
      <c r="Y28" s="506"/>
      <c r="Z28" s="374"/>
      <c r="AA28" s="374"/>
      <c r="AB28" s="374"/>
      <c r="AC28" s="374" t="e">
        <f t="shared" si="9"/>
        <v>#N/A</v>
      </c>
      <c r="AD28" s="506"/>
      <c r="AE28" s="374"/>
      <c r="AF28" s="374"/>
      <c r="AG28" s="374"/>
      <c r="AH28" s="374" t="e">
        <f t="shared" si="10"/>
        <v>#N/A</v>
      </c>
      <c r="AI28" s="506"/>
      <c r="AJ28" s="374"/>
      <c r="AK28" s="374"/>
      <c r="AL28" s="374"/>
      <c r="AM28" s="374" t="e">
        <f t="shared" si="11"/>
        <v>#N/A</v>
      </c>
      <c r="AN28" s="506"/>
      <c r="AO28" s="374"/>
      <c r="AP28" s="374"/>
      <c r="AQ28" s="374"/>
      <c r="AR28" s="374" t="e">
        <f t="shared" si="12"/>
        <v>#N/A</v>
      </c>
      <c r="AS28" s="506"/>
      <c r="AT28" s="374"/>
      <c r="AU28" s="374"/>
      <c r="AV28" s="374"/>
      <c r="AW28" s="374" t="e">
        <f t="shared" si="13"/>
        <v>#N/A</v>
      </c>
      <c r="AX28" s="506"/>
    </row>
    <row r="29" spans="2:50">
      <c r="B29" s="483"/>
      <c r="C29" s="374">
        <v>3</v>
      </c>
      <c r="D29" s="257"/>
      <c r="E29" s="187"/>
      <c r="F29" s="374"/>
      <c r="G29" s="375"/>
      <c r="H29" s="508"/>
      <c r="I29" s="219"/>
      <c r="J29" s="219"/>
      <c r="K29" s="220"/>
      <c r="L29" s="457"/>
      <c r="M29" s="221" t="e">
        <f>RANK(K29, K$27:$K$41)</f>
        <v>#N/A</v>
      </c>
      <c r="N29" s="475"/>
      <c r="O29" s="475"/>
      <c r="P29" s="374"/>
      <c r="Q29" s="374"/>
      <c r="R29" s="374"/>
      <c r="S29" s="374" t="e">
        <f t="shared" si="7"/>
        <v>#N/A</v>
      </c>
      <c r="T29" s="506"/>
      <c r="U29" s="374"/>
      <c r="V29" s="374"/>
      <c r="W29" s="374"/>
      <c r="X29" s="374" t="e">
        <f t="shared" si="8"/>
        <v>#N/A</v>
      </c>
      <c r="Y29" s="506"/>
      <c r="Z29" s="374"/>
      <c r="AA29" s="374"/>
      <c r="AB29" s="374"/>
      <c r="AC29" s="374" t="e">
        <f t="shared" si="9"/>
        <v>#N/A</v>
      </c>
      <c r="AD29" s="506"/>
      <c r="AE29" s="374"/>
      <c r="AF29" s="374"/>
      <c r="AG29" s="374"/>
      <c r="AH29" s="374" t="e">
        <f t="shared" si="10"/>
        <v>#N/A</v>
      </c>
      <c r="AI29" s="506"/>
      <c r="AJ29" s="374"/>
      <c r="AK29" s="374"/>
      <c r="AL29" s="374"/>
      <c r="AM29" s="374" t="e">
        <f t="shared" si="11"/>
        <v>#N/A</v>
      </c>
      <c r="AN29" s="506"/>
      <c r="AO29" s="374"/>
      <c r="AP29" s="374"/>
      <c r="AQ29" s="374"/>
      <c r="AR29" s="374" t="e">
        <f t="shared" si="12"/>
        <v>#N/A</v>
      </c>
      <c r="AS29" s="506"/>
      <c r="AT29" s="374"/>
      <c r="AU29" s="374"/>
      <c r="AV29" s="374"/>
      <c r="AW29" s="374" t="e">
        <f t="shared" si="13"/>
        <v>#N/A</v>
      </c>
      <c r="AX29" s="506"/>
    </row>
    <row r="30" spans="2:50">
      <c r="B30" s="483"/>
      <c r="C30" s="374">
        <v>4</v>
      </c>
      <c r="D30" s="257"/>
      <c r="E30" s="187"/>
      <c r="F30" s="374"/>
      <c r="G30" s="375"/>
      <c r="H30" s="508"/>
      <c r="I30" s="219"/>
      <c r="J30" s="219"/>
      <c r="K30" s="220"/>
      <c r="L30" s="457"/>
      <c r="M30" s="221" t="e">
        <f>RANK(K30, K$27:$K$41)</f>
        <v>#N/A</v>
      </c>
      <c r="N30" s="475"/>
      <c r="O30" s="475"/>
      <c r="P30" s="374"/>
      <c r="Q30" s="374"/>
      <c r="R30" s="374"/>
      <c r="S30" s="374" t="e">
        <f t="shared" si="7"/>
        <v>#N/A</v>
      </c>
      <c r="T30" s="506"/>
      <c r="U30" s="374"/>
      <c r="V30" s="374"/>
      <c r="W30" s="374"/>
      <c r="X30" s="374" t="e">
        <f t="shared" si="8"/>
        <v>#N/A</v>
      </c>
      <c r="Y30" s="506"/>
      <c r="Z30" s="374"/>
      <c r="AA30" s="374"/>
      <c r="AB30" s="374"/>
      <c r="AC30" s="374" t="e">
        <f t="shared" si="9"/>
        <v>#N/A</v>
      </c>
      <c r="AD30" s="506"/>
      <c r="AE30" s="374"/>
      <c r="AF30" s="374"/>
      <c r="AG30" s="374"/>
      <c r="AH30" s="374" t="e">
        <f t="shared" si="10"/>
        <v>#N/A</v>
      </c>
      <c r="AI30" s="506"/>
      <c r="AJ30" s="374"/>
      <c r="AK30" s="374"/>
      <c r="AL30" s="374"/>
      <c r="AM30" s="374" t="e">
        <f t="shared" si="11"/>
        <v>#N/A</v>
      </c>
      <c r="AN30" s="506"/>
      <c r="AO30" s="374"/>
      <c r="AP30" s="374"/>
      <c r="AQ30" s="374"/>
      <c r="AR30" s="374" t="e">
        <f t="shared" si="12"/>
        <v>#N/A</v>
      </c>
      <c r="AS30" s="506"/>
      <c r="AT30" s="374"/>
      <c r="AU30" s="374"/>
      <c r="AV30" s="374"/>
      <c r="AW30" s="374" t="e">
        <f t="shared" si="13"/>
        <v>#N/A</v>
      </c>
      <c r="AX30" s="506"/>
    </row>
    <row r="31" spans="2:50">
      <c r="B31" s="483"/>
      <c r="C31" s="374">
        <v>5</v>
      </c>
      <c r="D31" s="257"/>
      <c r="E31" s="187"/>
      <c r="F31" s="374"/>
      <c r="G31" s="375"/>
      <c r="H31" s="508"/>
      <c r="I31" s="219"/>
      <c r="J31" s="219"/>
      <c r="K31" s="220"/>
      <c r="L31" s="457"/>
      <c r="M31" s="221" t="e">
        <f>RANK(K31, K$27:$K$41)</f>
        <v>#N/A</v>
      </c>
      <c r="N31" s="475"/>
      <c r="O31" s="475"/>
      <c r="P31" s="374"/>
      <c r="Q31" s="374"/>
      <c r="R31" s="374"/>
      <c r="S31" s="374" t="e">
        <f t="shared" si="7"/>
        <v>#N/A</v>
      </c>
      <c r="T31" s="506"/>
      <c r="U31" s="374"/>
      <c r="V31" s="374"/>
      <c r="W31" s="374"/>
      <c r="X31" s="374" t="e">
        <f t="shared" si="8"/>
        <v>#N/A</v>
      </c>
      <c r="Y31" s="506"/>
      <c r="Z31" s="374"/>
      <c r="AA31" s="374"/>
      <c r="AB31" s="374"/>
      <c r="AC31" s="374" t="e">
        <f t="shared" si="9"/>
        <v>#N/A</v>
      </c>
      <c r="AD31" s="506"/>
      <c r="AE31" s="374"/>
      <c r="AF31" s="374"/>
      <c r="AG31" s="374"/>
      <c r="AH31" s="374" t="e">
        <f t="shared" si="10"/>
        <v>#N/A</v>
      </c>
      <c r="AI31" s="506"/>
      <c r="AJ31" s="374"/>
      <c r="AK31" s="374"/>
      <c r="AL31" s="374"/>
      <c r="AM31" s="374" t="e">
        <f t="shared" si="11"/>
        <v>#N/A</v>
      </c>
      <c r="AN31" s="506"/>
      <c r="AO31" s="374"/>
      <c r="AP31" s="374"/>
      <c r="AQ31" s="374"/>
      <c r="AR31" s="374" t="e">
        <f t="shared" si="12"/>
        <v>#N/A</v>
      </c>
      <c r="AS31" s="506"/>
      <c r="AT31" s="374"/>
      <c r="AU31" s="374"/>
      <c r="AV31" s="374"/>
      <c r="AW31" s="374" t="e">
        <f t="shared" si="13"/>
        <v>#N/A</v>
      </c>
      <c r="AX31" s="506"/>
    </row>
    <row r="32" spans="2:50">
      <c r="B32" s="483"/>
      <c r="C32" s="374">
        <v>6</v>
      </c>
      <c r="D32" s="257"/>
      <c r="E32" s="187"/>
      <c r="F32" s="374"/>
      <c r="G32" s="375"/>
      <c r="H32" s="508"/>
      <c r="I32" s="219"/>
      <c r="J32" s="219"/>
      <c r="K32" s="220"/>
      <c r="L32" s="457"/>
      <c r="M32" s="221" t="e">
        <f>RANK(K32, K$27:$K$41)</f>
        <v>#N/A</v>
      </c>
      <c r="N32" s="475"/>
      <c r="O32" s="475"/>
      <c r="P32" s="374"/>
      <c r="Q32" s="374"/>
      <c r="R32" s="374"/>
      <c r="S32" s="374" t="e">
        <f t="shared" si="7"/>
        <v>#N/A</v>
      </c>
      <c r="T32" s="506"/>
      <c r="U32" s="374"/>
      <c r="V32" s="374"/>
      <c r="W32" s="374"/>
      <c r="X32" s="374" t="e">
        <f t="shared" si="8"/>
        <v>#N/A</v>
      </c>
      <c r="Y32" s="506"/>
      <c r="Z32" s="374"/>
      <c r="AA32" s="374"/>
      <c r="AB32" s="374"/>
      <c r="AC32" s="374" t="e">
        <f t="shared" si="9"/>
        <v>#N/A</v>
      </c>
      <c r="AD32" s="506"/>
      <c r="AE32" s="374"/>
      <c r="AF32" s="374"/>
      <c r="AG32" s="374"/>
      <c r="AH32" s="374" t="e">
        <f t="shared" si="10"/>
        <v>#N/A</v>
      </c>
      <c r="AI32" s="506"/>
      <c r="AJ32" s="374"/>
      <c r="AK32" s="374"/>
      <c r="AL32" s="374"/>
      <c r="AM32" s="374" t="e">
        <f t="shared" si="11"/>
        <v>#N/A</v>
      </c>
      <c r="AN32" s="506"/>
      <c r="AO32" s="374"/>
      <c r="AP32" s="374"/>
      <c r="AQ32" s="374"/>
      <c r="AR32" s="374" t="e">
        <f t="shared" si="12"/>
        <v>#N/A</v>
      </c>
      <c r="AS32" s="506"/>
      <c r="AT32" s="374"/>
      <c r="AU32" s="374"/>
      <c r="AV32" s="374"/>
      <c r="AW32" s="374" t="e">
        <f t="shared" si="13"/>
        <v>#N/A</v>
      </c>
      <c r="AX32" s="506"/>
    </row>
    <row r="33" spans="2:50">
      <c r="B33" s="483"/>
      <c r="C33" s="374">
        <v>7</v>
      </c>
      <c r="D33" s="257"/>
      <c r="E33" s="187"/>
      <c r="F33" s="374"/>
      <c r="G33" s="375"/>
      <c r="H33" s="508"/>
      <c r="I33" s="219"/>
      <c r="J33" s="219"/>
      <c r="K33" s="220"/>
      <c r="L33" s="457"/>
      <c r="M33" s="221" t="e">
        <f>RANK(K33, K$27:$K$41)</f>
        <v>#N/A</v>
      </c>
      <c r="N33" s="475"/>
      <c r="O33" s="475"/>
      <c r="P33" s="374"/>
      <c r="Q33" s="374"/>
      <c r="R33" s="374"/>
      <c r="S33" s="374" t="e">
        <f t="shared" si="7"/>
        <v>#N/A</v>
      </c>
      <c r="T33" s="506"/>
      <c r="U33" s="374"/>
      <c r="V33" s="374"/>
      <c r="W33" s="374"/>
      <c r="X33" s="374" t="e">
        <f t="shared" si="8"/>
        <v>#N/A</v>
      </c>
      <c r="Y33" s="506"/>
      <c r="Z33" s="374"/>
      <c r="AA33" s="374"/>
      <c r="AB33" s="374"/>
      <c r="AC33" s="374" t="e">
        <f t="shared" si="9"/>
        <v>#N/A</v>
      </c>
      <c r="AD33" s="506"/>
      <c r="AE33" s="374"/>
      <c r="AF33" s="374"/>
      <c r="AG33" s="374"/>
      <c r="AH33" s="374" t="e">
        <f t="shared" si="10"/>
        <v>#N/A</v>
      </c>
      <c r="AI33" s="506"/>
      <c r="AJ33" s="374"/>
      <c r="AK33" s="374"/>
      <c r="AL33" s="374"/>
      <c r="AM33" s="374" t="e">
        <f t="shared" si="11"/>
        <v>#N/A</v>
      </c>
      <c r="AN33" s="506"/>
      <c r="AO33" s="374"/>
      <c r="AP33" s="374"/>
      <c r="AQ33" s="374"/>
      <c r="AR33" s="374" t="e">
        <f t="shared" si="12"/>
        <v>#N/A</v>
      </c>
      <c r="AS33" s="506"/>
      <c r="AT33" s="374"/>
      <c r="AU33" s="374"/>
      <c r="AV33" s="374"/>
      <c r="AW33" s="374" t="e">
        <f t="shared" si="13"/>
        <v>#N/A</v>
      </c>
      <c r="AX33" s="506"/>
    </row>
    <row r="34" spans="2:50">
      <c r="B34" s="483"/>
      <c r="C34" s="374">
        <v>8</v>
      </c>
      <c r="D34" s="257"/>
      <c r="E34" s="187"/>
      <c r="F34" s="374"/>
      <c r="G34" s="375"/>
      <c r="H34" s="508"/>
      <c r="I34" s="219"/>
      <c r="J34" s="219"/>
      <c r="K34" s="220"/>
      <c r="L34" s="457"/>
      <c r="M34" s="221" t="e">
        <f>RANK(K34, K$27:$K$41)</f>
        <v>#N/A</v>
      </c>
      <c r="N34" s="475"/>
      <c r="O34" s="475"/>
      <c r="P34" s="374"/>
      <c r="Q34" s="374"/>
      <c r="R34" s="374"/>
      <c r="S34" s="374" t="e">
        <f t="shared" si="7"/>
        <v>#N/A</v>
      </c>
      <c r="T34" s="506"/>
      <c r="U34" s="374"/>
      <c r="V34" s="374"/>
      <c r="W34" s="374"/>
      <c r="X34" s="374" t="e">
        <f t="shared" si="8"/>
        <v>#N/A</v>
      </c>
      <c r="Y34" s="506"/>
      <c r="Z34" s="374"/>
      <c r="AA34" s="374"/>
      <c r="AB34" s="374"/>
      <c r="AC34" s="374" t="e">
        <f t="shared" si="9"/>
        <v>#N/A</v>
      </c>
      <c r="AD34" s="506"/>
      <c r="AE34" s="374"/>
      <c r="AF34" s="374"/>
      <c r="AG34" s="374"/>
      <c r="AH34" s="374" t="e">
        <f t="shared" si="10"/>
        <v>#N/A</v>
      </c>
      <c r="AI34" s="506"/>
      <c r="AJ34" s="374"/>
      <c r="AK34" s="374"/>
      <c r="AL34" s="374"/>
      <c r="AM34" s="374" t="e">
        <f t="shared" si="11"/>
        <v>#N/A</v>
      </c>
      <c r="AN34" s="506"/>
      <c r="AO34" s="374"/>
      <c r="AP34" s="374"/>
      <c r="AQ34" s="374"/>
      <c r="AR34" s="374" t="e">
        <f t="shared" si="12"/>
        <v>#N/A</v>
      </c>
      <c r="AS34" s="506"/>
      <c r="AT34" s="374"/>
      <c r="AU34" s="374"/>
      <c r="AV34" s="374"/>
      <c r="AW34" s="374" t="e">
        <f t="shared" si="13"/>
        <v>#N/A</v>
      </c>
      <c r="AX34" s="506"/>
    </row>
    <row r="35" spans="2:50">
      <c r="B35" s="483"/>
      <c r="C35" s="374">
        <v>9</v>
      </c>
      <c r="D35" s="257"/>
      <c r="E35" s="187"/>
      <c r="F35" s="374"/>
      <c r="G35" s="375"/>
      <c r="H35" s="508"/>
      <c r="I35" s="219"/>
      <c r="J35" s="219"/>
      <c r="K35" s="220"/>
      <c r="L35" s="457"/>
      <c r="M35" s="221" t="e">
        <f>RANK(K35, K$27:$K$41)</f>
        <v>#N/A</v>
      </c>
      <c r="N35" s="475"/>
      <c r="O35" s="475"/>
      <c r="P35" s="374"/>
      <c r="Q35" s="374"/>
      <c r="R35" s="374"/>
      <c r="S35" s="374" t="e">
        <f t="shared" si="7"/>
        <v>#N/A</v>
      </c>
      <c r="T35" s="506"/>
      <c r="U35" s="374"/>
      <c r="V35" s="374"/>
      <c r="W35" s="374"/>
      <c r="X35" s="374" t="e">
        <f t="shared" si="8"/>
        <v>#N/A</v>
      </c>
      <c r="Y35" s="506"/>
      <c r="Z35" s="374"/>
      <c r="AA35" s="374"/>
      <c r="AB35" s="374"/>
      <c r="AC35" s="374" t="e">
        <f t="shared" si="9"/>
        <v>#N/A</v>
      </c>
      <c r="AD35" s="506"/>
      <c r="AE35" s="374"/>
      <c r="AF35" s="374"/>
      <c r="AG35" s="374"/>
      <c r="AH35" s="374" t="e">
        <f t="shared" si="10"/>
        <v>#N/A</v>
      </c>
      <c r="AI35" s="506"/>
      <c r="AJ35" s="374"/>
      <c r="AK35" s="374"/>
      <c r="AL35" s="374"/>
      <c r="AM35" s="374" t="e">
        <f t="shared" si="11"/>
        <v>#N/A</v>
      </c>
      <c r="AN35" s="506"/>
      <c r="AO35" s="374"/>
      <c r="AP35" s="374"/>
      <c r="AQ35" s="374"/>
      <c r="AR35" s="374" t="e">
        <f t="shared" si="12"/>
        <v>#N/A</v>
      </c>
      <c r="AS35" s="506"/>
      <c r="AT35" s="374"/>
      <c r="AU35" s="374"/>
      <c r="AV35" s="374"/>
      <c r="AW35" s="374" t="e">
        <f t="shared" si="13"/>
        <v>#N/A</v>
      </c>
      <c r="AX35" s="506"/>
    </row>
    <row r="36" spans="2:50">
      <c r="B36" s="483"/>
      <c r="C36" s="374">
        <v>10</v>
      </c>
      <c r="D36" s="257"/>
      <c r="E36" s="187"/>
      <c r="F36" s="374"/>
      <c r="G36" s="375"/>
      <c r="H36" s="508"/>
      <c r="I36" s="219"/>
      <c r="J36" s="219"/>
      <c r="K36" s="220"/>
      <c r="L36" s="457"/>
      <c r="M36" s="221" t="e">
        <f>RANK(K36, K$27:$K$41)</f>
        <v>#N/A</v>
      </c>
      <c r="N36" s="475"/>
      <c r="O36" s="475"/>
      <c r="P36" s="374"/>
      <c r="Q36" s="374"/>
      <c r="R36" s="374"/>
      <c r="S36" s="374" t="e">
        <f t="shared" si="7"/>
        <v>#N/A</v>
      </c>
      <c r="T36" s="506"/>
      <c r="U36" s="374"/>
      <c r="V36" s="374"/>
      <c r="W36" s="374"/>
      <c r="X36" s="374" t="e">
        <f t="shared" si="8"/>
        <v>#N/A</v>
      </c>
      <c r="Y36" s="506"/>
      <c r="Z36" s="374"/>
      <c r="AA36" s="374"/>
      <c r="AB36" s="374"/>
      <c r="AC36" s="374" t="e">
        <f t="shared" si="9"/>
        <v>#N/A</v>
      </c>
      <c r="AD36" s="506"/>
      <c r="AE36" s="374"/>
      <c r="AF36" s="374"/>
      <c r="AG36" s="374"/>
      <c r="AH36" s="374" t="e">
        <f t="shared" si="10"/>
        <v>#N/A</v>
      </c>
      <c r="AI36" s="506"/>
      <c r="AJ36" s="374"/>
      <c r="AK36" s="374"/>
      <c r="AL36" s="374"/>
      <c r="AM36" s="374" t="e">
        <f t="shared" si="11"/>
        <v>#N/A</v>
      </c>
      <c r="AN36" s="506"/>
      <c r="AO36" s="374"/>
      <c r="AP36" s="374"/>
      <c r="AQ36" s="374"/>
      <c r="AR36" s="374" t="e">
        <f t="shared" si="12"/>
        <v>#N/A</v>
      </c>
      <c r="AS36" s="506"/>
      <c r="AT36" s="374"/>
      <c r="AU36" s="374"/>
      <c r="AV36" s="374"/>
      <c r="AW36" s="374" t="e">
        <f t="shared" si="13"/>
        <v>#N/A</v>
      </c>
      <c r="AX36" s="506"/>
    </row>
    <row r="37" spans="2:50">
      <c r="B37" s="483"/>
      <c r="C37" s="374">
        <v>11</v>
      </c>
      <c r="D37" s="257"/>
      <c r="E37" s="187"/>
      <c r="F37" s="374"/>
      <c r="G37" s="375"/>
      <c r="H37" s="508"/>
      <c r="I37" s="222"/>
      <c r="J37" s="222"/>
      <c r="K37" s="222"/>
      <c r="L37" s="457"/>
      <c r="M37" s="221" t="e">
        <f>RANK(K37, K$27:$K$41)</f>
        <v>#N/A</v>
      </c>
      <c r="N37" s="475"/>
      <c r="O37" s="475"/>
      <c r="P37" s="374"/>
      <c r="Q37" s="374"/>
      <c r="R37" s="374"/>
      <c r="S37" s="374" t="e">
        <f t="shared" si="7"/>
        <v>#N/A</v>
      </c>
      <c r="T37" s="506"/>
      <c r="U37" s="374"/>
      <c r="V37" s="374"/>
      <c r="W37" s="374"/>
      <c r="X37" s="374" t="e">
        <f t="shared" si="8"/>
        <v>#N/A</v>
      </c>
      <c r="Y37" s="506"/>
      <c r="Z37" s="374"/>
      <c r="AA37" s="374"/>
      <c r="AB37" s="374"/>
      <c r="AC37" s="374" t="e">
        <f t="shared" si="9"/>
        <v>#N/A</v>
      </c>
      <c r="AD37" s="506"/>
      <c r="AE37" s="374"/>
      <c r="AF37" s="374"/>
      <c r="AG37" s="374"/>
      <c r="AH37" s="374" t="e">
        <f t="shared" si="10"/>
        <v>#N/A</v>
      </c>
      <c r="AI37" s="506"/>
      <c r="AJ37" s="374"/>
      <c r="AK37" s="374"/>
      <c r="AL37" s="374"/>
      <c r="AM37" s="374" t="e">
        <f t="shared" si="11"/>
        <v>#N/A</v>
      </c>
      <c r="AN37" s="506"/>
      <c r="AO37" s="374"/>
      <c r="AP37" s="374"/>
      <c r="AQ37" s="374"/>
      <c r="AR37" s="374" t="e">
        <f t="shared" si="12"/>
        <v>#N/A</v>
      </c>
      <c r="AS37" s="506"/>
      <c r="AT37" s="374"/>
      <c r="AU37" s="374"/>
      <c r="AV37" s="374"/>
      <c r="AW37" s="374" t="e">
        <f t="shared" si="13"/>
        <v>#N/A</v>
      </c>
      <c r="AX37" s="506"/>
    </row>
    <row r="38" spans="2:50">
      <c r="B38" s="483"/>
      <c r="C38" s="374">
        <v>12</v>
      </c>
      <c r="D38" s="257"/>
      <c r="E38" s="187"/>
      <c r="F38" s="374"/>
      <c r="G38" s="375"/>
      <c r="H38" s="508"/>
      <c r="I38" s="222"/>
      <c r="J38" s="222"/>
      <c r="K38" s="222"/>
      <c r="L38" s="457"/>
      <c r="M38" s="221" t="e">
        <f>RANK(K38, K$27:$K$41)</f>
        <v>#N/A</v>
      </c>
      <c r="N38" s="475"/>
      <c r="O38" s="475"/>
      <c r="P38" s="374"/>
      <c r="Q38" s="374"/>
      <c r="R38" s="374"/>
      <c r="S38" s="374" t="e">
        <f t="shared" si="7"/>
        <v>#N/A</v>
      </c>
      <c r="T38" s="506"/>
      <c r="U38" s="374"/>
      <c r="V38" s="374"/>
      <c r="W38" s="374"/>
      <c r="X38" s="374" t="e">
        <f t="shared" si="8"/>
        <v>#N/A</v>
      </c>
      <c r="Y38" s="506"/>
      <c r="Z38" s="374"/>
      <c r="AA38" s="374"/>
      <c r="AB38" s="374"/>
      <c r="AC38" s="374" t="e">
        <f t="shared" si="9"/>
        <v>#N/A</v>
      </c>
      <c r="AD38" s="506"/>
      <c r="AE38" s="374"/>
      <c r="AF38" s="374"/>
      <c r="AG38" s="374"/>
      <c r="AH38" s="374" t="e">
        <f t="shared" si="10"/>
        <v>#N/A</v>
      </c>
      <c r="AI38" s="506"/>
      <c r="AJ38" s="374"/>
      <c r="AK38" s="374"/>
      <c r="AL38" s="374"/>
      <c r="AM38" s="374" t="e">
        <f t="shared" si="11"/>
        <v>#N/A</v>
      </c>
      <c r="AN38" s="506"/>
      <c r="AO38" s="374"/>
      <c r="AP38" s="374"/>
      <c r="AQ38" s="374"/>
      <c r="AR38" s="374" t="e">
        <f t="shared" si="12"/>
        <v>#N/A</v>
      </c>
      <c r="AS38" s="506"/>
      <c r="AT38" s="374"/>
      <c r="AU38" s="374"/>
      <c r="AV38" s="374"/>
      <c r="AW38" s="374" t="e">
        <f t="shared" si="13"/>
        <v>#N/A</v>
      </c>
      <c r="AX38" s="506"/>
    </row>
    <row r="39" spans="2:50">
      <c r="B39" s="483"/>
      <c r="C39" s="374">
        <v>13</v>
      </c>
      <c r="D39" s="257"/>
      <c r="E39" s="187"/>
      <c r="F39" s="374"/>
      <c r="G39" s="375"/>
      <c r="H39" s="508"/>
      <c r="I39" s="222"/>
      <c r="J39" s="222"/>
      <c r="K39" s="222"/>
      <c r="L39" s="457"/>
      <c r="M39" s="221" t="e">
        <f>RANK(K39, K$27:$K$41)</f>
        <v>#N/A</v>
      </c>
      <c r="N39" s="475"/>
      <c r="O39" s="475"/>
      <c r="P39" s="374"/>
      <c r="Q39" s="374"/>
      <c r="R39" s="374"/>
      <c r="S39" s="374" t="e">
        <f t="shared" si="7"/>
        <v>#N/A</v>
      </c>
      <c r="T39" s="506"/>
      <c r="U39" s="374"/>
      <c r="V39" s="374"/>
      <c r="W39" s="374"/>
      <c r="X39" s="374" t="e">
        <f t="shared" si="8"/>
        <v>#N/A</v>
      </c>
      <c r="Y39" s="506"/>
      <c r="Z39" s="374"/>
      <c r="AA39" s="374"/>
      <c r="AB39" s="374"/>
      <c r="AC39" s="374" t="e">
        <f t="shared" si="9"/>
        <v>#N/A</v>
      </c>
      <c r="AD39" s="506"/>
      <c r="AE39" s="374"/>
      <c r="AF39" s="374"/>
      <c r="AG39" s="374"/>
      <c r="AH39" s="374" t="e">
        <f t="shared" si="10"/>
        <v>#N/A</v>
      </c>
      <c r="AI39" s="506"/>
      <c r="AJ39" s="374"/>
      <c r="AK39" s="374"/>
      <c r="AL39" s="374"/>
      <c r="AM39" s="374" t="e">
        <f t="shared" si="11"/>
        <v>#N/A</v>
      </c>
      <c r="AN39" s="506"/>
      <c r="AO39" s="374"/>
      <c r="AP39" s="374"/>
      <c r="AQ39" s="374"/>
      <c r="AR39" s="374" t="e">
        <f t="shared" si="12"/>
        <v>#N/A</v>
      </c>
      <c r="AS39" s="506"/>
      <c r="AT39" s="374"/>
      <c r="AU39" s="374"/>
      <c r="AV39" s="374"/>
      <c r="AW39" s="374" t="e">
        <f t="shared" si="13"/>
        <v>#N/A</v>
      </c>
      <c r="AX39" s="506"/>
    </row>
    <row r="40" spans="2:50">
      <c r="B40" s="483"/>
      <c r="C40" s="374">
        <v>14</v>
      </c>
      <c r="D40" s="257"/>
      <c r="E40" s="187"/>
      <c r="F40" s="374"/>
      <c r="G40" s="375"/>
      <c r="H40" s="508"/>
      <c r="I40" s="222"/>
      <c r="J40" s="222"/>
      <c r="K40" s="222"/>
      <c r="L40" s="457"/>
      <c r="M40" s="221" t="e">
        <f>RANK(K40, K$27:$K$41)</f>
        <v>#N/A</v>
      </c>
      <c r="N40" s="475"/>
      <c r="O40" s="475"/>
      <c r="P40" s="374"/>
      <c r="Q40" s="374"/>
      <c r="R40" s="374"/>
      <c r="S40" s="374" t="e">
        <f t="shared" si="7"/>
        <v>#N/A</v>
      </c>
      <c r="T40" s="506"/>
      <c r="U40" s="374"/>
      <c r="V40" s="374"/>
      <c r="W40" s="374"/>
      <c r="X40" s="374" t="e">
        <f t="shared" si="8"/>
        <v>#N/A</v>
      </c>
      <c r="Y40" s="506"/>
      <c r="Z40" s="374"/>
      <c r="AA40" s="374"/>
      <c r="AB40" s="374"/>
      <c r="AC40" s="374" t="e">
        <f t="shared" si="9"/>
        <v>#N/A</v>
      </c>
      <c r="AD40" s="506"/>
      <c r="AE40" s="374"/>
      <c r="AF40" s="374"/>
      <c r="AG40" s="374"/>
      <c r="AH40" s="374" t="e">
        <f t="shared" si="10"/>
        <v>#N/A</v>
      </c>
      <c r="AI40" s="506"/>
      <c r="AJ40" s="374"/>
      <c r="AK40" s="374"/>
      <c r="AL40" s="374"/>
      <c r="AM40" s="374" t="e">
        <f t="shared" si="11"/>
        <v>#N/A</v>
      </c>
      <c r="AN40" s="506"/>
      <c r="AO40" s="374"/>
      <c r="AP40" s="374"/>
      <c r="AQ40" s="374"/>
      <c r="AR40" s="374" t="e">
        <f t="shared" si="12"/>
        <v>#N/A</v>
      </c>
      <c r="AS40" s="506"/>
      <c r="AT40" s="374"/>
      <c r="AU40" s="374"/>
      <c r="AV40" s="374"/>
      <c r="AW40" s="374" t="e">
        <f t="shared" si="13"/>
        <v>#N/A</v>
      </c>
      <c r="AX40" s="506"/>
    </row>
    <row r="41" spans="2:50">
      <c r="B41" s="483"/>
      <c r="C41" s="374">
        <v>15</v>
      </c>
      <c r="D41" s="257"/>
      <c r="E41" s="187"/>
      <c r="F41" s="374"/>
      <c r="G41" s="375"/>
      <c r="H41" s="509"/>
      <c r="I41" s="222"/>
      <c r="J41" s="222"/>
      <c r="K41" s="222"/>
      <c r="L41" s="458"/>
      <c r="M41" s="219" t="e">
        <f>RANK(K41, K$27:$K$41)</f>
        <v>#N/A</v>
      </c>
      <c r="N41" s="475"/>
      <c r="O41" s="475"/>
      <c r="P41" s="374"/>
      <c r="Q41" s="374"/>
      <c r="R41" s="374"/>
      <c r="S41" s="374" t="e">
        <f t="shared" si="7"/>
        <v>#N/A</v>
      </c>
      <c r="T41" s="506"/>
      <c r="U41" s="374"/>
      <c r="V41" s="374"/>
      <c r="W41" s="374"/>
      <c r="X41" s="374" t="e">
        <f t="shared" si="8"/>
        <v>#N/A</v>
      </c>
      <c r="Y41" s="506"/>
      <c r="Z41" s="374"/>
      <c r="AA41" s="374"/>
      <c r="AB41" s="374"/>
      <c r="AC41" s="374" t="e">
        <f t="shared" si="9"/>
        <v>#N/A</v>
      </c>
      <c r="AD41" s="506"/>
      <c r="AE41" s="374"/>
      <c r="AF41" s="374"/>
      <c r="AG41" s="374"/>
      <c r="AH41" s="374" t="e">
        <f t="shared" si="10"/>
        <v>#N/A</v>
      </c>
      <c r="AI41" s="506"/>
      <c r="AJ41" s="374"/>
      <c r="AK41" s="374"/>
      <c r="AL41" s="374"/>
      <c r="AM41" s="374" t="e">
        <f t="shared" si="11"/>
        <v>#N/A</v>
      </c>
      <c r="AN41" s="506"/>
      <c r="AO41" s="374"/>
      <c r="AP41" s="374"/>
      <c r="AQ41" s="374"/>
      <c r="AR41" s="374" t="e">
        <f t="shared" si="12"/>
        <v>#N/A</v>
      </c>
      <c r="AS41" s="506"/>
      <c r="AT41" s="374"/>
      <c r="AU41" s="374"/>
      <c r="AV41" s="374"/>
      <c r="AW41" s="374" t="e">
        <f t="shared" si="13"/>
        <v>#N/A</v>
      </c>
      <c r="AX41" s="506"/>
    </row>
    <row r="42" spans="2:50" ht="15.75">
      <c r="B42" s="500" t="s">
        <v>172</v>
      </c>
      <c r="C42" s="501"/>
      <c r="D42" s="501"/>
      <c r="E42" s="501"/>
      <c r="F42" s="501"/>
      <c r="G42" s="501"/>
      <c r="H42" s="501"/>
      <c r="I42" s="228"/>
      <c r="J42" s="223"/>
      <c r="K42" s="228"/>
      <c r="L42" s="228"/>
      <c r="M42" s="224"/>
      <c r="N42" s="476" t="s">
        <v>164</v>
      </c>
      <c r="O42" s="476" t="s">
        <v>105</v>
      </c>
      <c r="P42" s="482">
        <f>P22+7</f>
        <v>45909</v>
      </c>
      <c r="Q42" s="483"/>
      <c r="R42" s="483"/>
      <c r="S42" s="483"/>
      <c r="T42" s="483"/>
      <c r="U42" s="479">
        <f>P42+1</f>
        <v>45910</v>
      </c>
      <c r="V42" s="480"/>
      <c r="W42" s="480"/>
      <c r="X42" s="480"/>
      <c r="Y42" s="481"/>
      <c r="Z42" s="479">
        <f>U42+1</f>
        <v>45911</v>
      </c>
      <c r="AA42" s="480"/>
      <c r="AB42" s="480"/>
      <c r="AC42" s="480"/>
      <c r="AD42" s="481"/>
      <c r="AE42" s="479">
        <f t="shared" ref="AE42" si="14">Z42+1</f>
        <v>45912</v>
      </c>
      <c r="AF42" s="480"/>
      <c r="AG42" s="480"/>
      <c r="AH42" s="480"/>
      <c r="AI42" s="481"/>
      <c r="AJ42" s="479">
        <f t="shared" ref="AJ42" si="15">AE42+1</f>
        <v>45913</v>
      </c>
      <c r="AK42" s="480"/>
      <c r="AL42" s="480"/>
      <c r="AM42" s="480"/>
      <c r="AN42" s="481"/>
      <c r="AO42" s="479">
        <f t="shared" ref="AO42" si="16">AJ42+1</f>
        <v>45914</v>
      </c>
      <c r="AP42" s="480"/>
      <c r="AQ42" s="480"/>
      <c r="AR42" s="480"/>
      <c r="AS42" s="481"/>
      <c r="AT42" s="479">
        <f t="shared" ref="AT42" si="17">AO42+1</f>
        <v>45915</v>
      </c>
      <c r="AU42" s="480"/>
      <c r="AV42" s="480"/>
      <c r="AW42" s="480"/>
      <c r="AX42" s="481"/>
    </row>
    <row r="43" spans="2:50" ht="15.75">
      <c r="B43" s="490"/>
      <c r="C43" s="490"/>
      <c r="D43" s="490"/>
      <c r="E43" s="490"/>
      <c r="F43" s="490"/>
      <c r="G43" s="490"/>
      <c r="H43" s="490"/>
      <c r="I43" s="225"/>
      <c r="J43" s="225"/>
      <c r="K43" s="225"/>
      <c r="L43" s="225"/>
      <c r="M43" s="226"/>
      <c r="N43" s="478"/>
      <c r="O43" s="478"/>
      <c r="P43" s="482" t="s">
        <v>393</v>
      </c>
      <c r="Q43" s="483"/>
      <c r="R43" s="483"/>
      <c r="S43" s="483"/>
      <c r="T43" s="483"/>
      <c r="U43" s="482" t="s">
        <v>394</v>
      </c>
      <c r="V43" s="483"/>
      <c r="W43" s="483"/>
      <c r="X43" s="483"/>
      <c r="Y43" s="483"/>
      <c r="Z43" s="482" t="s">
        <v>395</v>
      </c>
      <c r="AA43" s="483"/>
      <c r="AB43" s="483"/>
      <c r="AC43" s="483"/>
      <c r="AD43" s="483"/>
      <c r="AE43" s="482" t="s">
        <v>396</v>
      </c>
      <c r="AF43" s="483"/>
      <c r="AG43" s="483"/>
      <c r="AH43" s="483"/>
      <c r="AI43" s="483"/>
      <c r="AJ43" s="482" t="s">
        <v>397</v>
      </c>
      <c r="AK43" s="483"/>
      <c r="AL43" s="483"/>
      <c r="AM43" s="483"/>
      <c r="AN43" s="483"/>
      <c r="AO43" s="482" t="s">
        <v>398</v>
      </c>
      <c r="AP43" s="483"/>
      <c r="AQ43" s="483"/>
      <c r="AR43" s="483"/>
      <c r="AS43" s="483"/>
      <c r="AT43" s="482" t="s">
        <v>399</v>
      </c>
      <c r="AU43" s="483"/>
      <c r="AV43" s="483"/>
      <c r="AW43" s="483"/>
      <c r="AX43" s="483"/>
    </row>
    <row r="44" spans="2:50">
      <c r="B44" s="475" t="s">
        <v>634</v>
      </c>
      <c r="C44" s="475" t="s">
        <v>644</v>
      </c>
      <c r="D44" s="475"/>
      <c r="E44" s="475" t="s">
        <v>635</v>
      </c>
      <c r="F44" s="475"/>
      <c r="G44" s="475"/>
      <c r="H44" s="491" t="s">
        <v>631</v>
      </c>
      <c r="I44" s="459" t="s">
        <v>636</v>
      </c>
      <c r="J44" s="459"/>
      <c r="K44" s="459"/>
      <c r="L44" s="460" t="s">
        <v>631</v>
      </c>
      <c r="M44" s="466" t="s">
        <v>632</v>
      </c>
      <c r="N44" s="475"/>
      <c r="O44" s="475" t="s">
        <v>637</v>
      </c>
      <c r="P44" s="472" t="s">
        <v>633</v>
      </c>
      <c r="Q44" s="473"/>
      <c r="R44" s="473"/>
      <c r="S44" s="474"/>
      <c r="T44" s="475" t="s">
        <v>631</v>
      </c>
      <c r="U44" s="472" t="s">
        <v>633</v>
      </c>
      <c r="V44" s="473"/>
      <c r="W44" s="473"/>
      <c r="X44" s="474"/>
      <c r="Y44" s="475" t="s">
        <v>631</v>
      </c>
      <c r="Z44" s="472" t="s">
        <v>633</v>
      </c>
      <c r="AA44" s="473"/>
      <c r="AB44" s="473"/>
      <c r="AC44" s="474"/>
      <c r="AD44" s="475" t="s">
        <v>631</v>
      </c>
      <c r="AE44" s="472" t="s">
        <v>633</v>
      </c>
      <c r="AF44" s="473"/>
      <c r="AG44" s="473"/>
      <c r="AH44" s="474"/>
      <c r="AI44" s="475" t="s">
        <v>631</v>
      </c>
      <c r="AJ44" s="472" t="s">
        <v>633</v>
      </c>
      <c r="AK44" s="473"/>
      <c r="AL44" s="473"/>
      <c r="AM44" s="474"/>
      <c r="AN44" s="475" t="s">
        <v>631</v>
      </c>
      <c r="AO44" s="472" t="s">
        <v>633</v>
      </c>
      <c r="AP44" s="473"/>
      <c r="AQ44" s="473"/>
      <c r="AR44" s="474"/>
      <c r="AS44" s="475" t="s">
        <v>631</v>
      </c>
      <c r="AT44" s="472" t="s">
        <v>633</v>
      </c>
      <c r="AU44" s="473"/>
      <c r="AV44" s="473"/>
      <c r="AW44" s="474"/>
      <c r="AX44" s="475" t="s">
        <v>631</v>
      </c>
    </row>
    <row r="45" spans="2:50">
      <c r="B45" s="475"/>
      <c r="C45" s="475"/>
      <c r="D45" s="475"/>
      <c r="E45" s="475" t="s">
        <v>638</v>
      </c>
      <c r="F45" s="475"/>
      <c r="G45" s="475"/>
      <c r="H45" s="492"/>
      <c r="I45" s="459" t="s">
        <v>638</v>
      </c>
      <c r="J45" s="459"/>
      <c r="K45" s="459"/>
      <c r="L45" s="461"/>
      <c r="M45" s="467"/>
      <c r="N45" s="475"/>
      <c r="O45" s="475"/>
      <c r="P45" s="472" t="s">
        <v>639</v>
      </c>
      <c r="Q45" s="473"/>
      <c r="R45" s="473"/>
      <c r="S45" s="474"/>
      <c r="T45" s="475"/>
      <c r="U45" s="472" t="s">
        <v>639</v>
      </c>
      <c r="V45" s="473"/>
      <c r="W45" s="473"/>
      <c r="X45" s="474"/>
      <c r="Y45" s="475"/>
      <c r="Z45" s="472" t="s">
        <v>639</v>
      </c>
      <c r="AA45" s="473"/>
      <c r="AB45" s="473"/>
      <c r="AC45" s="474"/>
      <c r="AD45" s="475"/>
      <c r="AE45" s="472" t="s">
        <v>639</v>
      </c>
      <c r="AF45" s="473"/>
      <c r="AG45" s="473"/>
      <c r="AH45" s="474"/>
      <c r="AI45" s="475"/>
      <c r="AJ45" s="472" t="s">
        <v>639</v>
      </c>
      <c r="AK45" s="473"/>
      <c r="AL45" s="473"/>
      <c r="AM45" s="474"/>
      <c r="AN45" s="475"/>
      <c r="AO45" s="472" t="s">
        <v>639</v>
      </c>
      <c r="AP45" s="473"/>
      <c r="AQ45" s="473"/>
      <c r="AR45" s="474"/>
      <c r="AS45" s="475"/>
      <c r="AT45" s="472" t="s">
        <v>639</v>
      </c>
      <c r="AU45" s="473"/>
      <c r="AV45" s="473"/>
      <c r="AW45" s="474"/>
      <c r="AX45" s="475"/>
    </row>
    <row r="46" spans="2:50">
      <c r="B46" s="475"/>
      <c r="C46" s="475"/>
      <c r="D46" s="475"/>
      <c r="E46" s="350" t="s">
        <v>640</v>
      </c>
      <c r="F46" s="350" t="s">
        <v>641</v>
      </c>
      <c r="G46" s="350" t="s">
        <v>642</v>
      </c>
      <c r="H46" s="493"/>
      <c r="I46" s="349" t="s">
        <v>640</v>
      </c>
      <c r="J46" s="349" t="s">
        <v>641</v>
      </c>
      <c r="K46" s="349" t="s">
        <v>642</v>
      </c>
      <c r="L46" s="462"/>
      <c r="M46" s="468"/>
      <c r="N46" s="475"/>
      <c r="O46" s="475"/>
      <c r="P46" s="350" t="s">
        <v>640</v>
      </c>
      <c r="Q46" s="350" t="s">
        <v>641</v>
      </c>
      <c r="R46" s="350" t="s">
        <v>642</v>
      </c>
      <c r="S46" s="350" t="s">
        <v>632</v>
      </c>
      <c r="T46" s="475"/>
      <c r="U46" s="350" t="s">
        <v>640</v>
      </c>
      <c r="V46" s="350" t="s">
        <v>641</v>
      </c>
      <c r="W46" s="350" t="s">
        <v>642</v>
      </c>
      <c r="X46" s="350" t="s">
        <v>632</v>
      </c>
      <c r="Y46" s="475"/>
      <c r="Z46" s="350" t="s">
        <v>640</v>
      </c>
      <c r="AA46" s="350" t="s">
        <v>641</v>
      </c>
      <c r="AB46" s="350" t="s">
        <v>642</v>
      </c>
      <c r="AC46" s="350" t="s">
        <v>632</v>
      </c>
      <c r="AD46" s="475"/>
      <c r="AE46" s="350" t="s">
        <v>640</v>
      </c>
      <c r="AF46" s="350" t="s">
        <v>641</v>
      </c>
      <c r="AG46" s="350" t="s">
        <v>642</v>
      </c>
      <c r="AH46" s="350" t="s">
        <v>632</v>
      </c>
      <c r="AI46" s="475"/>
      <c r="AJ46" s="350" t="s">
        <v>640</v>
      </c>
      <c r="AK46" s="350" t="s">
        <v>641</v>
      </c>
      <c r="AL46" s="350" t="s">
        <v>642</v>
      </c>
      <c r="AM46" s="350" t="s">
        <v>632</v>
      </c>
      <c r="AN46" s="475"/>
      <c r="AO46" s="350" t="s">
        <v>640</v>
      </c>
      <c r="AP46" s="350" t="s">
        <v>641</v>
      </c>
      <c r="AQ46" s="350" t="s">
        <v>642</v>
      </c>
      <c r="AR46" s="350" t="s">
        <v>632</v>
      </c>
      <c r="AS46" s="475"/>
      <c r="AT46" s="350" t="s">
        <v>640</v>
      </c>
      <c r="AU46" s="350" t="s">
        <v>641</v>
      </c>
      <c r="AV46" s="350" t="s">
        <v>642</v>
      </c>
      <c r="AW46" s="350" t="s">
        <v>632</v>
      </c>
      <c r="AX46" s="475"/>
    </row>
    <row r="47" spans="2:50">
      <c r="B47" s="475" t="s">
        <v>645</v>
      </c>
      <c r="C47" s="351">
        <v>1</v>
      </c>
      <c r="D47" s="257"/>
      <c r="E47" s="187"/>
      <c r="F47" s="351"/>
      <c r="G47" s="354">
        <v>123.69230769230764</v>
      </c>
      <c r="H47" s="507">
        <f>AVERAGE(G47:G61)</f>
        <v>123.69230769230764</v>
      </c>
      <c r="I47" s="219" t="e">
        <f>AVERAGE(P47,U47,Z47,AE47,AJ47,AO47,AT47)</f>
        <v>#DIV/0!</v>
      </c>
      <c r="J47" s="219" t="e">
        <f>AVERAGE(Q47,V47,AA47,AF47,AK47,AP47,AU47)</f>
        <v>#DIV/0!</v>
      </c>
      <c r="K47" s="220" t="e">
        <f>AVERAGE(R47,W47,AB47,AG47,AL47,AQ47,AV47)</f>
        <v>#DIV/0!</v>
      </c>
      <c r="L47" s="456" t="str">
        <f>IFERROR(AVERAGE(K47:K61),"-")</f>
        <v>-</v>
      </c>
      <c r="M47" s="221" t="e">
        <f>RANK(K47, K$87:$K$101)</f>
        <v>#DIV/0!</v>
      </c>
      <c r="N47" s="475"/>
      <c r="O47" s="475"/>
      <c r="P47" s="351"/>
      <c r="Q47" s="187"/>
      <c r="R47" s="354"/>
      <c r="S47" s="351" t="e">
        <f>RANK(R47, R$87:R$101)</f>
        <v>#N/A</v>
      </c>
      <c r="T47" s="506" t="e">
        <f>AVERAGE(R47:R61)</f>
        <v>#DIV/0!</v>
      </c>
      <c r="U47" s="351"/>
      <c r="V47" s="187"/>
      <c r="W47" s="354"/>
      <c r="X47" s="351" t="e">
        <f>RANK(W47, W$87:W$101)</f>
        <v>#N/A</v>
      </c>
      <c r="Y47" s="506" t="e">
        <f>AVERAGE(W47:W61)</f>
        <v>#DIV/0!</v>
      </c>
      <c r="Z47" s="351"/>
      <c r="AA47" s="187"/>
      <c r="AB47" s="354"/>
      <c r="AC47" s="351" t="e">
        <f>RANK(AB47, AB$87:AB$101)</f>
        <v>#N/A</v>
      </c>
      <c r="AD47" s="506" t="e">
        <f>AVERAGE(AB47:AB61)</f>
        <v>#DIV/0!</v>
      </c>
      <c r="AE47" s="351"/>
      <c r="AF47" s="187"/>
      <c r="AG47" s="354"/>
      <c r="AH47" s="351" t="e">
        <f>RANK(AG47, AG$87:AG$101)</f>
        <v>#N/A</v>
      </c>
      <c r="AI47" s="506" t="e">
        <f>AVERAGE(AG47:AG61)</f>
        <v>#DIV/0!</v>
      </c>
      <c r="AJ47" s="351"/>
      <c r="AK47" s="187"/>
      <c r="AL47" s="354"/>
      <c r="AM47" s="351" t="e">
        <f>RANK(AL47, AL$87:AL$101)</f>
        <v>#N/A</v>
      </c>
      <c r="AN47" s="506" t="e">
        <f>AVERAGE(AL47:AL61)</f>
        <v>#DIV/0!</v>
      </c>
      <c r="AO47" s="351"/>
      <c r="AP47" s="187"/>
      <c r="AQ47" s="354"/>
      <c r="AR47" s="351" t="e">
        <f>RANK(AQ47, AQ$87:AQ$101)</f>
        <v>#N/A</v>
      </c>
      <c r="AS47" s="506" t="e">
        <f>AVERAGE(AQ47:AQ61)</f>
        <v>#DIV/0!</v>
      </c>
      <c r="AT47" s="351"/>
      <c r="AU47" s="187"/>
      <c r="AV47" s="354"/>
      <c r="AW47" s="351" t="e">
        <f>RANK(AV47, AV$87:AV$101)</f>
        <v>#N/A</v>
      </c>
      <c r="AX47" s="506" t="e">
        <f>AVERAGE(AV47:AV61)</f>
        <v>#DIV/0!</v>
      </c>
    </row>
    <row r="48" spans="2:50">
      <c r="B48" s="483"/>
      <c r="C48" s="351">
        <v>2</v>
      </c>
      <c r="D48" s="257"/>
      <c r="E48" s="187"/>
      <c r="F48" s="351"/>
      <c r="G48" s="354"/>
      <c r="H48" s="508"/>
      <c r="I48" s="219"/>
      <c r="J48" s="219"/>
      <c r="K48" s="220"/>
      <c r="L48" s="457"/>
      <c r="M48" s="221" t="e">
        <f>RANK(K48, K$87:$K$101)</f>
        <v>#DIV/0!</v>
      </c>
      <c r="N48" s="475"/>
      <c r="O48" s="475"/>
      <c r="P48" s="351"/>
      <c r="Q48" s="351"/>
      <c r="R48" s="351"/>
      <c r="S48" s="351" t="e">
        <f t="shared" ref="S48:S61" si="18">RANK(R48, R$87:R$101)</f>
        <v>#N/A</v>
      </c>
      <c r="T48" s="506"/>
      <c r="U48" s="351"/>
      <c r="V48" s="351"/>
      <c r="W48" s="351"/>
      <c r="X48" s="351" t="e">
        <f t="shared" ref="X48:X61" si="19">RANK(W48, W$87:W$101)</f>
        <v>#N/A</v>
      </c>
      <c r="Y48" s="506"/>
      <c r="Z48" s="351"/>
      <c r="AA48" s="351"/>
      <c r="AB48" s="351"/>
      <c r="AC48" s="351" t="e">
        <f t="shared" ref="AC48:AC61" si="20">RANK(AB48, AB$87:AB$101)</f>
        <v>#N/A</v>
      </c>
      <c r="AD48" s="506"/>
      <c r="AE48" s="351"/>
      <c r="AF48" s="351"/>
      <c r="AG48" s="351"/>
      <c r="AH48" s="351" t="e">
        <f t="shared" ref="AH48:AH61" si="21">RANK(AG48, AG$87:AG$101)</f>
        <v>#N/A</v>
      </c>
      <c r="AI48" s="506"/>
      <c r="AJ48" s="351"/>
      <c r="AK48" s="351"/>
      <c r="AL48" s="351"/>
      <c r="AM48" s="351" t="e">
        <f t="shared" ref="AM48:AM61" si="22">RANK(AL48, AL$87:AL$101)</f>
        <v>#N/A</v>
      </c>
      <c r="AN48" s="506"/>
      <c r="AO48" s="351"/>
      <c r="AP48" s="351"/>
      <c r="AQ48" s="351"/>
      <c r="AR48" s="351" t="e">
        <f t="shared" ref="AR48:AR61" si="23">RANK(AQ48, AQ$87:AQ$101)</f>
        <v>#N/A</v>
      </c>
      <c r="AS48" s="506"/>
      <c r="AT48" s="351"/>
      <c r="AU48" s="351"/>
      <c r="AV48" s="351"/>
      <c r="AW48" s="351" t="e">
        <f t="shared" ref="AW48:AW61" si="24">RANK(AV48, AV$87:AV$101)</f>
        <v>#N/A</v>
      </c>
      <c r="AX48" s="506"/>
    </row>
    <row r="49" spans="2:50">
      <c r="B49" s="483"/>
      <c r="C49" s="351">
        <v>3</v>
      </c>
      <c r="D49" s="257"/>
      <c r="E49" s="187"/>
      <c r="F49" s="351"/>
      <c r="G49" s="354"/>
      <c r="H49" s="508"/>
      <c r="I49" s="219"/>
      <c r="J49" s="219"/>
      <c r="K49" s="220"/>
      <c r="L49" s="457"/>
      <c r="M49" s="221" t="e">
        <f>RANK(K49, K$87:$K$101)</f>
        <v>#DIV/0!</v>
      </c>
      <c r="N49" s="475"/>
      <c r="O49" s="475"/>
      <c r="P49" s="351"/>
      <c r="Q49" s="351"/>
      <c r="R49" s="351"/>
      <c r="S49" s="351" t="e">
        <f t="shared" si="18"/>
        <v>#N/A</v>
      </c>
      <c r="T49" s="506"/>
      <c r="U49" s="351"/>
      <c r="V49" s="351"/>
      <c r="W49" s="351"/>
      <c r="X49" s="351" t="e">
        <f t="shared" si="19"/>
        <v>#N/A</v>
      </c>
      <c r="Y49" s="506"/>
      <c r="Z49" s="351"/>
      <c r="AA49" s="351"/>
      <c r="AB49" s="351"/>
      <c r="AC49" s="351" t="e">
        <f t="shared" si="20"/>
        <v>#N/A</v>
      </c>
      <c r="AD49" s="506"/>
      <c r="AE49" s="351"/>
      <c r="AF49" s="351"/>
      <c r="AG49" s="351"/>
      <c r="AH49" s="351" t="e">
        <f t="shared" si="21"/>
        <v>#N/A</v>
      </c>
      <c r="AI49" s="506"/>
      <c r="AJ49" s="351"/>
      <c r="AK49" s="351"/>
      <c r="AL49" s="351"/>
      <c r="AM49" s="351" t="e">
        <f t="shared" si="22"/>
        <v>#N/A</v>
      </c>
      <c r="AN49" s="506"/>
      <c r="AO49" s="351"/>
      <c r="AP49" s="351"/>
      <c r="AQ49" s="351"/>
      <c r="AR49" s="351" t="e">
        <f t="shared" si="23"/>
        <v>#N/A</v>
      </c>
      <c r="AS49" s="506"/>
      <c r="AT49" s="351"/>
      <c r="AU49" s="351"/>
      <c r="AV49" s="351"/>
      <c r="AW49" s="351" t="e">
        <f t="shared" si="24"/>
        <v>#N/A</v>
      </c>
      <c r="AX49" s="506"/>
    </row>
    <row r="50" spans="2:50">
      <c r="B50" s="483"/>
      <c r="C50" s="351">
        <v>4</v>
      </c>
      <c r="D50" s="257"/>
      <c r="E50" s="187"/>
      <c r="F50" s="351"/>
      <c r="G50" s="354"/>
      <c r="H50" s="508"/>
      <c r="I50" s="219"/>
      <c r="J50" s="219"/>
      <c r="K50" s="220"/>
      <c r="L50" s="457"/>
      <c r="M50" s="221" t="e">
        <f>RANK(K50, K$87:$K$101)</f>
        <v>#DIV/0!</v>
      </c>
      <c r="N50" s="475"/>
      <c r="O50" s="475"/>
      <c r="P50" s="351"/>
      <c r="Q50" s="351"/>
      <c r="R50" s="351"/>
      <c r="S50" s="351" t="e">
        <f t="shared" si="18"/>
        <v>#N/A</v>
      </c>
      <c r="T50" s="506"/>
      <c r="U50" s="351"/>
      <c r="V50" s="351"/>
      <c r="W50" s="351"/>
      <c r="X50" s="351" t="e">
        <f t="shared" si="19"/>
        <v>#N/A</v>
      </c>
      <c r="Y50" s="506"/>
      <c r="Z50" s="351"/>
      <c r="AA50" s="351"/>
      <c r="AB50" s="351"/>
      <c r="AC50" s="351" t="e">
        <f t="shared" si="20"/>
        <v>#N/A</v>
      </c>
      <c r="AD50" s="506"/>
      <c r="AE50" s="351"/>
      <c r="AF50" s="351"/>
      <c r="AG50" s="351"/>
      <c r="AH50" s="351" t="e">
        <f t="shared" si="21"/>
        <v>#N/A</v>
      </c>
      <c r="AI50" s="506"/>
      <c r="AJ50" s="351"/>
      <c r="AK50" s="351"/>
      <c r="AL50" s="351"/>
      <c r="AM50" s="351" t="e">
        <f t="shared" si="22"/>
        <v>#N/A</v>
      </c>
      <c r="AN50" s="506"/>
      <c r="AO50" s="351"/>
      <c r="AP50" s="351"/>
      <c r="AQ50" s="351"/>
      <c r="AR50" s="351" t="e">
        <f t="shared" si="23"/>
        <v>#N/A</v>
      </c>
      <c r="AS50" s="506"/>
      <c r="AT50" s="351"/>
      <c r="AU50" s="351"/>
      <c r="AV50" s="351"/>
      <c r="AW50" s="351" t="e">
        <f t="shared" si="24"/>
        <v>#N/A</v>
      </c>
      <c r="AX50" s="506"/>
    </row>
    <row r="51" spans="2:50">
      <c r="B51" s="483"/>
      <c r="C51" s="351">
        <v>5</v>
      </c>
      <c r="D51" s="257"/>
      <c r="E51" s="187"/>
      <c r="F51" s="351"/>
      <c r="G51" s="354"/>
      <c r="H51" s="508"/>
      <c r="I51" s="219"/>
      <c r="J51" s="219"/>
      <c r="K51" s="220"/>
      <c r="L51" s="457"/>
      <c r="M51" s="221" t="e">
        <f>RANK(K51, K$87:$K$101)</f>
        <v>#DIV/0!</v>
      </c>
      <c r="N51" s="475"/>
      <c r="O51" s="475"/>
      <c r="P51" s="351"/>
      <c r="Q51" s="351"/>
      <c r="R51" s="351"/>
      <c r="S51" s="351" t="e">
        <f t="shared" si="18"/>
        <v>#N/A</v>
      </c>
      <c r="T51" s="506"/>
      <c r="U51" s="351"/>
      <c r="V51" s="351"/>
      <c r="W51" s="351"/>
      <c r="X51" s="351" t="e">
        <f t="shared" si="19"/>
        <v>#N/A</v>
      </c>
      <c r="Y51" s="506"/>
      <c r="Z51" s="351"/>
      <c r="AA51" s="351"/>
      <c r="AB51" s="351"/>
      <c r="AC51" s="351" t="e">
        <f t="shared" si="20"/>
        <v>#N/A</v>
      </c>
      <c r="AD51" s="506"/>
      <c r="AE51" s="351"/>
      <c r="AF51" s="351"/>
      <c r="AG51" s="351"/>
      <c r="AH51" s="351" t="e">
        <f t="shared" si="21"/>
        <v>#N/A</v>
      </c>
      <c r="AI51" s="506"/>
      <c r="AJ51" s="351"/>
      <c r="AK51" s="351"/>
      <c r="AL51" s="351"/>
      <c r="AM51" s="351" t="e">
        <f t="shared" si="22"/>
        <v>#N/A</v>
      </c>
      <c r="AN51" s="506"/>
      <c r="AO51" s="351"/>
      <c r="AP51" s="351"/>
      <c r="AQ51" s="351"/>
      <c r="AR51" s="351" t="e">
        <f t="shared" si="23"/>
        <v>#N/A</v>
      </c>
      <c r="AS51" s="506"/>
      <c r="AT51" s="351"/>
      <c r="AU51" s="351"/>
      <c r="AV51" s="351"/>
      <c r="AW51" s="351" t="e">
        <f t="shared" si="24"/>
        <v>#N/A</v>
      </c>
      <c r="AX51" s="506"/>
    </row>
    <row r="52" spans="2:50">
      <c r="B52" s="483"/>
      <c r="C52" s="351">
        <v>6</v>
      </c>
      <c r="D52" s="257"/>
      <c r="E52" s="187"/>
      <c r="F52" s="351"/>
      <c r="G52" s="354"/>
      <c r="H52" s="508"/>
      <c r="I52" s="219"/>
      <c r="J52" s="219"/>
      <c r="K52" s="220"/>
      <c r="L52" s="457"/>
      <c r="M52" s="221" t="e">
        <f>RANK(K52, K$87:$K$101)</f>
        <v>#DIV/0!</v>
      </c>
      <c r="N52" s="475"/>
      <c r="O52" s="475"/>
      <c r="P52" s="351"/>
      <c r="Q52" s="351"/>
      <c r="R52" s="351"/>
      <c r="S52" s="351" t="e">
        <f t="shared" si="18"/>
        <v>#N/A</v>
      </c>
      <c r="T52" s="506"/>
      <c r="U52" s="351"/>
      <c r="V52" s="351"/>
      <c r="W52" s="351"/>
      <c r="X52" s="351" t="e">
        <f t="shared" si="19"/>
        <v>#N/A</v>
      </c>
      <c r="Y52" s="506"/>
      <c r="Z52" s="351"/>
      <c r="AA52" s="351"/>
      <c r="AB52" s="351"/>
      <c r="AC52" s="351" t="e">
        <f t="shared" si="20"/>
        <v>#N/A</v>
      </c>
      <c r="AD52" s="506"/>
      <c r="AE52" s="351"/>
      <c r="AF52" s="351"/>
      <c r="AG52" s="351"/>
      <c r="AH52" s="351" t="e">
        <f t="shared" si="21"/>
        <v>#N/A</v>
      </c>
      <c r="AI52" s="506"/>
      <c r="AJ52" s="351"/>
      <c r="AK52" s="351"/>
      <c r="AL52" s="351"/>
      <c r="AM52" s="351" t="e">
        <f t="shared" si="22"/>
        <v>#N/A</v>
      </c>
      <c r="AN52" s="506"/>
      <c r="AO52" s="351"/>
      <c r="AP52" s="351"/>
      <c r="AQ52" s="351"/>
      <c r="AR52" s="351" t="e">
        <f t="shared" si="23"/>
        <v>#N/A</v>
      </c>
      <c r="AS52" s="506"/>
      <c r="AT52" s="351"/>
      <c r="AU52" s="351"/>
      <c r="AV52" s="351"/>
      <c r="AW52" s="351" t="e">
        <f t="shared" si="24"/>
        <v>#N/A</v>
      </c>
      <c r="AX52" s="506"/>
    </row>
    <row r="53" spans="2:50">
      <c r="B53" s="483"/>
      <c r="C53" s="351">
        <v>7</v>
      </c>
      <c r="D53" s="257"/>
      <c r="E53" s="187"/>
      <c r="F53" s="351"/>
      <c r="G53" s="354"/>
      <c r="H53" s="508"/>
      <c r="I53" s="219"/>
      <c r="J53" s="219"/>
      <c r="K53" s="220"/>
      <c r="L53" s="457"/>
      <c r="M53" s="221" t="e">
        <f>RANK(K53, K$87:$K$101)</f>
        <v>#DIV/0!</v>
      </c>
      <c r="N53" s="475"/>
      <c r="O53" s="475"/>
      <c r="P53" s="351"/>
      <c r="Q53" s="351"/>
      <c r="R53" s="351"/>
      <c r="S53" s="351" t="e">
        <f t="shared" si="18"/>
        <v>#N/A</v>
      </c>
      <c r="T53" s="506"/>
      <c r="U53" s="351"/>
      <c r="V53" s="351"/>
      <c r="W53" s="351"/>
      <c r="X53" s="351" t="e">
        <f t="shared" si="19"/>
        <v>#N/A</v>
      </c>
      <c r="Y53" s="506"/>
      <c r="Z53" s="351"/>
      <c r="AA53" s="351"/>
      <c r="AB53" s="351"/>
      <c r="AC53" s="351" t="e">
        <f t="shared" si="20"/>
        <v>#N/A</v>
      </c>
      <c r="AD53" s="506"/>
      <c r="AE53" s="351"/>
      <c r="AF53" s="351"/>
      <c r="AG53" s="351"/>
      <c r="AH53" s="351" t="e">
        <f t="shared" si="21"/>
        <v>#N/A</v>
      </c>
      <c r="AI53" s="506"/>
      <c r="AJ53" s="351"/>
      <c r="AK53" s="351"/>
      <c r="AL53" s="351"/>
      <c r="AM53" s="351" t="e">
        <f t="shared" si="22"/>
        <v>#N/A</v>
      </c>
      <c r="AN53" s="506"/>
      <c r="AO53" s="351"/>
      <c r="AP53" s="351"/>
      <c r="AQ53" s="351"/>
      <c r="AR53" s="351" t="e">
        <f t="shared" si="23"/>
        <v>#N/A</v>
      </c>
      <c r="AS53" s="506"/>
      <c r="AT53" s="351"/>
      <c r="AU53" s="351"/>
      <c r="AV53" s="351"/>
      <c r="AW53" s="351" t="e">
        <f t="shared" si="24"/>
        <v>#N/A</v>
      </c>
      <c r="AX53" s="506"/>
    </row>
    <row r="54" spans="2:50">
      <c r="B54" s="483"/>
      <c r="C54" s="351">
        <v>8</v>
      </c>
      <c r="D54" s="257"/>
      <c r="E54" s="187"/>
      <c r="F54" s="351"/>
      <c r="G54" s="354"/>
      <c r="H54" s="508"/>
      <c r="I54" s="219"/>
      <c r="J54" s="219"/>
      <c r="K54" s="220"/>
      <c r="L54" s="457"/>
      <c r="M54" s="221" t="e">
        <f>RANK(K54, K$87:$K$101)</f>
        <v>#DIV/0!</v>
      </c>
      <c r="N54" s="475"/>
      <c r="O54" s="475"/>
      <c r="P54" s="351"/>
      <c r="Q54" s="351"/>
      <c r="R54" s="351"/>
      <c r="S54" s="351" t="e">
        <f t="shared" si="18"/>
        <v>#N/A</v>
      </c>
      <c r="T54" s="506"/>
      <c r="U54" s="351"/>
      <c r="V54" s="351"/>
      <c r="W54" s="351"/>
      <c r="X54" s="351" t="e">
        <f t="shared" si="19"/>
        <v>#N/A</v>
      </c>
      <c r="Y54" s="506"/>
      <c r="Z54" s="351"/>
      <c r="AA54" s="351"/>
      <c r="AB54" s="351"/>
      <c r="AC54" s="351" t="e">
        <f t="shared" si="20"/>
        <v>#N/A</v>
      </c>
      <c r="AD54" s="506"/>
      <c r="AE54" s="351"/>
      <c r="AF54" s="351"/>
      <c r="AG54" s="351"/>
      <c r="AH54" s="351" t="e">
        <f t="shared" si="21"/>
        <v>#N/A</v>
      </c>
      <c r="AI54" s="506"/>
      <c r="AJ54" s="351"/>
      <c r="AK54" s="351"/>
      <c r="AL54" s="351"/>
      <c r="AM54" s="351" t="e">
        <f t="shared" si="22"/>
        <v>#N/A</v>
      </c>
      <c r="AN54" s="506"/>
      <c r="AO54" s="351"/>
      <c r="AP54" s="351"/>
      <c r="AQ54" s="351"/>
      <c r="AR54" s="351" t="e">
        <f t="shared" si="23"/>
        <v>#N/A</v>
      </c>
      <c r="AS54" s="506"/>
      <c r="AT54" s="351"/>
      <c r="AU54" s="351"/>
      <c r="AV54" s="351"/>
      <c r="AW54" s="351" t="e">
        <f t="shared" si="24"/>
        <v>#N/A</v>
      </c>
      <c r="AX54" s="506"/>
    </row>
    <row r="55" spans="2:50">
      <c r="B55" s="483"/>
      <c r="C55" s="351">
        <v>9</v>
      </c>
      <c r="D55" s="257"/>
      <c r="E55" s="187"/>
      <c r="F55" s="351"/>
      <c r="G55" s="354"/>
      <c r="H55" s="508"/>
      <c r="I55" s="219"/>
      <c r="J55" s="219"/>
      <c r="K55" s="220"/>
      <c r="L55" s="457"/>
      <c r="M55" s="221" t="e">
        <f>RANK(K55, K$87:$K$101)</f>
        <v>#DIV/0!</v>
      </c>
      <c r="N55" s="475"/>
      <c r="O55" s="475"/>
      <c r="P55" s="351"/>
      <c r="Q55" s="351"/>
      <c r="R55" s="351"/>
      <c r="S55" s="351" t="e">
        <f t="shared" si="18"/>
        <v>#N/A</v>
      </c>
      <c r="T55" s="506"/>
      <c r="U55" s="351"/>
      <c r="V55" s="351"/>
      <c r="W55" s="351"/>
      <c r="X55" s="351" t="e">
        <f t="shared" si="19"/>
        <v>#N/A</v>
      </c>
      <c r="Y55" s="506"/>
      <c r="Z55" s="351"/>
      <c r="AA55" s="351"/>
      <c r="AB55" s="351"/>
      <c r="AC55" s="351" t="e">
        <f t="shared" si="20"/>
        <v>#N/A</v>
      </c>
      <c r="AD55" s="506"/>
      <c r="AE55" s="351"/>
      <c r="AF55" s="351"/>
      <c r="AG55" s="351"/>
      <c r="AH55" s="351" t="e">
        <f t="shared" si="21"/>
        <v>#N/A</v>
      </c>
      <c r="AI55" s="506"/>
      <c r="AJ55" s="351"/>
      <c r="AK55" s="351"/>
      <c r="AL55" s="351"/>
      <c r="AM55" s="351" t="e">
        <f t="shared" si="22"/>
        <v>#N/A</v>
      </c>
      <c r="AN55" s="506"/>
      <c r="AO55" s="351"/>
      <c r="AP55" s="351"/>
      <c r="AQ55" s="351"/>
      <c r="AR55" s="351" t="e">
        <f t="shared" si="23"/>
        <v>#N/A</v>
      </c>
      <c r="AS55" s="506"/>
      <c r="AT55" s="351"/>
      <c r="AU55" s="351"/>
      <c r="AV55" s="351"/>
      <c r="AW55" s="351" t="e">
        <f t="shared" si="24"/>
        <v>#N/A</v>
      </c>
      <c r="AX55" s="506"/>
    </row>
    <row r="56" spans="2:50">
      <c r="B56" s="483"/>
      <c r="C56" s="351">
        <v>10</v>
      </c>
      <c r="D56" s="257"/>
      <c r="E56" s="187"/>
      <c r="F56" s="351"/>
      <c r="G56" s="354"/>
      <c r="H56" s="508"/>
      <c r="I56" s="219"/>
      <c r="J56" s="219"/>
      <c r="K56" s="220"/>
      <c r="L56" s="457"/>
      <c r="M56" s="221" t="e">
        <f>RANK(K56, K$87:$K$101)</f>
        <v>#DIV/0!</v>
      </c>
      <c r="N56" s="475"/>
      <c r="O56" s="475"/>
      <c r="P56" s="351"/>
      <c r="Q56" s="351"/>
      <c r="R56" s="351"/>
      <c r="S56" s="351" t="e">
        <f t="shared" si="18"/>
        <v>#N/A</v>
      </c>
      <c r="T56" s="506"/>
      <c r="U56" s="351"/>
      <c r="V56" s="351"/>
      <c r="W56" s="351"/>
      <c r="X56" s="351" t="e">
        <f t="shared" si="19"/>
        <v>#N/A</v>
      </c>
      <c r="Y56" s="506"/>
      <c r="Z56" s="351"/>
      <c r="AA56" s="351"/>
      <c r="AB56" s="351"/>
      <c r="AC56" s="351" t="e">
        <f t="shared" si="20"/>
        <v>#N/A</v>
      </c>
      <c r="AD56" s="506"/>
      <c r="AE56" s="351"/>
      <c r="AF56" s="351"/>
      <c r="AG56" s="351"/>
      <c r="AH56" s="351" t="e">
        <f t="shared" si="21"/>
        <v>#N/A</v>
      </c>
      <c r="AI56" s="506"/>
      <c r="AJ56" s="351"/>
      <c r="AK56" s="351"/>
      <c r="AL56" s="351"/>
      <c r="AM56" s="351" t="e">
        <f t="shared" si="22"/>
        <v>#N/A</v>
      </c>
      <c r="AN56" s="506"/>
      <c r="AO56" s="351"/>
      <c r="AP56" s="351"/>
      <c r="AQ56" s="351"/>
      <c r="AR56" s="351" t="e">
        <f t="shared" si="23"/>
        <v>#N/A</v>
      </c>
      <c r="AS56" s="506"/>
      <c r="AT56" s="351"/>
      <c r="AU56" s="351"/>
      <c r="AV56" s="351"/>
      <c r="AW56" s="351" t="e">
        <f t="shared" si="24"/>
        <v>#N/A</v>
      </c>
      <c r="AX56" s="506"/>
    </row>
    <row r="57" spans="2:50">
      <c r="B57" s="483"/>
      <c r="C57" s="351">
        <v>11</v>
      </c>
      <c r="D57" s="257"/>
      <c r="E57" s="187"/>
      <c r="F57" s="351"/>
      <c r="G57" s="354"/>
      <c r="H57" s="508"/>
      <c r="I57" s="222"/>
      <c r="J57" s="222"/>
      <c r="K57" s="222"/>
      <c r="L57" s="457"/>
      <c r="M57" s="221" t="e">
        <f>RANK(K57, K$87:$K$101)</f>
        <v>#DIV/0!</v>
      </c>
      <c r="N57" s="475"/>
      <c r="O57" s="475"/>
      <c r="P57" s="351"/>
      <c r="Q57" s="351"/>
      <c r="R57" s="351"/>
      <c r="S57" s="351" t="e">
        <f t="shared" si="18"/>
        <v>#N/A</v>
      </c>
      <c r="T57" s="506"/>
      <c r="U57" s="351"/>
      <c r="V57" s="351"/>
      <c r="W57" s="351"/>
      <c r="X57" s="351" t="e">
        <f t="shared" si="19"/>
        <v>#N/A</v>
      </c>
      <c r="Y57" s="506"/>
      <c r="Z57" s="351"/>
      <c r="AA57" s="351"/>
      <c r="AB57" s="351"/>
      <c r="AC57" s="351" t="e">
        <f t="shared" si="20"/>
        <v>#N/A</v>
      </c>
      <c r="AD57" s="506"/>
      <c r="AE57" s="351"/>
      <c r="AF57" s="351"/>
      <c r="AG57" s="351"/>
      <c r="AH57" s="351" t="e">
        <f t="shared" si="21"/>
        <v>#N/A</v>
      </c>
      <c r="AI57" s="506"/>
      <c r="AJ57" s="351"/>
      <c r="AK57" s="351"/>
      <c r="AL57" s="351"/>
      <c r="AM57" s="351" t="e">
        <f t="shared" si="22"/>
        <v>#N/A</v>
      </c>
      <c r="AN57" s="506"/>
      <c r="AO57" s="351"/>
      <c r="AP57" s="351"/>
      <c r="AQ57" s="351"/>
      <c r="AR57" s="351" t="e">
        <f t="shared" si="23"/>
        <v>#N/A</v>
      </c>
      <c r="AS57" s="506"/>
      <c r="AT57" s="351"/>
      <c r="AU57" s="351"/>
      <c r="AV57" s="351"/>
      <c r="AW57" s="351" t="e">
        <f t="shared" si="24"/>
        <v>#N/A</v>
      </c>
      <c r="AX57" s="506"/>
    </row>
    <row r="58" spans="2:50">
      <c r="B58" s="483"/>
      <c r="C58" s="351">
        <v>12</v>
      </c>
      <c r="D58" s="257"/>
      <c r="E58" s="187"/>
      <c r="F58" s="351"/>
      <c r="G58" s="354"/>
      <c r="H58" s="508"/>
      <c r="I58" s="222"/>
      <c r="J58" s="222"/>
      <c r="K58" s="222"/>
      <c r="L58" s="457"/>
      <c r="M58" s="221" t="e">
        <f>RANK(K58, K$87:$K$101)</f>
        <v>#DIV/0!</v>
      </c>
      <c r="N58" s="475"/>
      <c r="O58" s="475"/>
      <c r="P58" s="351"/>
      <c r="Q58" s="351"/>
      <c r="R58" s="351"/>
      <c r="S58" s="351" t="e">
        <f t="shared" si="18"/>
        <v>#N/A</v>
      </c>
      <c r="T58" s="506"/>
      <c r="U58" s="351"/>
      <c r="V58" s="351"/>
      <c r="W58" s="351"/>
      <c r="X58" s="351" t="e">
        <f t="shared" si="19"/>
        <v>#N/A</v>
      </c>
      <c r="Y58" s="506"/>
      <c r="Z58" s="351"/>
      <c r="AA58" s="351"/>
      <c r="AB58" s="351"/>
      <c r="AC58" s="351" t="e">
        <f t="shared" si="20"/>
        <v>#N/A</v>
      </c>
      <c r="AD58" s="506"/>
      <c r="AE58" s="351"/>
      <c r="AF58" s="351"/>
      <c r="AG58" s="351"/>
      <c r="AH58" s="351" t="e">
        <f t="shared" si="21"/>
        <v>#N/A</v>
      </c>
      <c r="AI58" s="506"/>
      <c r="AJ58" s="351"/>
      <c r="AK58" s="351"/>
      <c r="AL58" s="351"/>
      <c r="AM58" s="351" t="e">
        <f t="shared" si="22"/>
        <v>#N/A</v>
      </c>
      <c r="AN58" s="506"/>
      <c r="AO58" s="351"/>
      <c r="AP58" s="351"/>
      <c r="AQ58" s="351"/>
      <c r="AR58" s="351" t="e">
        <f t="shared" si="23"/>
        <v>#N/A</v>
      </c>
      <c r="AS58" s="506"/>
      <c r="AT58" s="351"/>
      <c r="AU58" s="351"/>
      <c r="AV58" s="351"/>
      <c r="AW58" s="351" t="e">
        <f t="shared" si="24"/>
        <v>#N/A</v>
      </c>
      <c r="AX58" s="506"/>
    </row>
    <row r="59" spans="2:50">
      <c r="B59" s="483"/>
      <c r="C59" s="351">
        <v>13</v>
      </c>
      <c r="D59" s="257"/>
      <c r="E59" s="187"/>
      <c r="F59" s="351"/>
      <c r="G59" s="354"/>
      <c r="H59" s="508"/>
      <c r="I59" s="222"/>
      <c r="J59" s="222"/>
      <c r="K59" s="222"/>
      <c r="L59" s="457"/>
      <c r="M59" s="221" t="e">
        <f>RANK(K59, K$87:$K$101)</f>
        <v>#DIV/0!</v>
      </c>
      <c r="N59" s="475"/>
      <c r="O59" s="475"/>
      <c r="P59" s="351"/>
      <c r="Q59" s="351"/>
      <c r="R59" s="351"/>
      <c r="S59" s="351" t="e">
        <f t="shared" si="18"/>
        <v>#N/A</v>
      </c>
      <c r="T59" s="506"/>
      <c r="U59" s="351"/>
      <c r="V59" s="351"/>
      <c r="W59" s="351"/>
      <c r="X59" s="351" t="e">
        <f t="shared" si="19"/>
        <v>#N/A</v>
      </c>
      <c r="Y59" s="506"/>
      <c r="Z59" s="351"/>
      <c r="AA59" s="351"/>
      <c r="AB59" s="351"/>
      <c r="AC59" s="351" t="e">
        <f t="shared" si="20"/>
        <v>#N/A</v>
      </c>
      <c r="AD59" s="506"/>
      <c r="AE59" s="351"/>
      <c r="AF59" s="351"/>
      <c r="AG59" s="351"/>
      <c r="AH59" s="351" t="e">
        <f t="shared" si="21"/>
        <v>#N/A</v>
      </c>
      <c r="AI59" s="506"/>
      <c r="AJ59" s="351"/>
      <c r="AK59" s="351"/>
      <c r="AL59" s="351"/>
      <c r="AM59" s="351" t="e">
        <f t="shared" si="22"/>
        <v>#N/A</v>
      </c>
      <c r="AN59" s="506"/>
      <c r="AO59" s="351"/>
      <c r="AP59" s="351"/>
      <c r="AQ59" s="351"/>
      <c r="AR59" s="351" t="e">
        <f t="shared" si="23"/>
        <v>#N/A</v>
      </c>
      <c r="AS59" s="506"/>
      <c r="AT59" s="351"/>
      <c r="AU59" s="351"/>
      <c r="AV59" s="351"/>
      <c r="AW59" s="351" t="e">
        <f t="shared" si="24"/>
        <v>#N/A</v>
      </c>
      <c r="AX59" s="506"/>
    </row>
    <row r="60" spans="2:50">
      <c r="B60" s="483"/>
      <c r="C60" s="351">
        <v>14</v>
      </c>
      <c r="D60" s="257"/>
      <c r="E60" s="187"/>
      <c r="F60" s="351"/>
      <c r="G60" s="354"/>
      <c r="H60" s="508"/>
      <c r="I60" s="222"/>
      <c r="J60" s="222"/>
      <c r="K60" s="222"/>
      <c r="L60" s="457"/>
      <c r="M60" s="221" t="e">
        <f>RANK(K60, K$87:$K$101)</f>
        <v>#DIV/0!</v>
      </c>
      <c r="N60" s="475"/>
      <c r="O60" s="475"/>
      <c r="P60" s="351"/>
      <c r="Q60" s="351"/>
      <c r="R60" s="351"/>
      <c r="S60" s="351" t="e">
        <f t="shared" si="18"/>
        <v>#N/A</v>
      </c>
      <c r="T60" s="506"/>
      <c r="U60" s="351"/>
      <c r="V60" s="351"/>
      <c r="W60" s="351"/>
      <c r="X60" s="351" t="e">
        <f t="shared" si="19"/>
        <v>#N/A</v>
      </c>
      <c r="Y60" s="506"/>
      <c r="Z60" s="351"/>
      <c r="AA60" s="351"/>
      <c r="AB60" s="351"/>
      <c r="AC60" s="351" t="e">
        <f t="shared" si="20"/>
        <v>#N/A</v>
      </c>
      <c r="AD60" s="506"/>
      <c r="AE60" s="351"/>
      <c r="AF60" s="351"/>
      <c r="AG60" s="351"/>
      <c r="AH60" s="351" t="e">
        <f t="shared" si="21"/>
        <v>#N/A</v>
      </c>
      <c r="AI60" s="506"/>
      <c r="AJ60" s="351"/>
      <c r="AK60" s="351"/>
      <c r="AL60" s="351"/>
      <c r="AM60" s="351" t="e">
        <f t="shared" si="22"/>
        <v>#N/A</v>
      </c>
      <c r="AN60" s="506"/>
      <c r="AO60" s="351"/>
      <c r="AP60" s="351"/>
      <c r="AQ60" s="351"/>
      <c r="AR60" s="351" t="e">
        <f t="shared" si="23"/>
        <v>#N/A</v>
      </c>
      <c r="AS60" s="506"/>
      <c r="AT60" s="351"/>
      <c r="AU60" s="351"/>
      <c r="AV60" s="351"/>
      <c r="AW60" s="351" t="e">
        <f t="shared" si="24"/>
        <v>#N/A</v>
      </c>
      <c r="AX60" s="506"/>
    </row>
    <row r="61" spans="2:50">
      <c r="B61" s="483"/>
      <c r="C61" s="351">
        <v>15</v>
      </c>
      <c r="D61" s="257"/>
      <c r="E61" s="187"/>
      <c r="F61" s="351"/>
      <c r="G61" s="354"/>
      <c r="H61" s="509"/>
      <c r="I61" s="222"/>
      <c r="J61" s="222"/>
      <c r="K61" s="222"/>
      <c r="L61" s="458"/>
      <c r="M61" s="219" t="e">
        <f>RANK(K61, K$87:$K$101)</f>
        <v>#DIV/0!</v>
      </c>
      <c r="N61" s="475"/>
      <c r="O61" s="475"/>
      <c r="P61" s="351"/>
      <c r="Q61" s="351"/>
      <c r="R61" s="351"/>
      <c r="S61" s="351" t="e">
        <f t="shared" si="18"/>
        <v>#N/A</v>
      </c>
      <c r="T61" s="506"/>
      <c r="U61" s="351"/>
      <c r="V61" s="351"/>
      <c r="W61" s="351"/>
      <c r="X61" s="351" t="e">
        <f t="shared" si="19"/>
        <v>#N/A</v>
      </c>
      <c r="Y61" s="506"/>
      <c r="Z61" s="351"/>
      <c r="AA61" s="351"/>
      <c r="AB61" s="351"/>
      <c r="AC61" s="351" t="e">
        <f t="shared" si="20"/>
        <v>#N/A</v>
      </c>
      <c r="AD61" s="506"/>
      <c r="AE61" s="351"/>
      <c r="AF61" s="351"/>
      <c r="AG61" s="351"/>
      <c r="AH61" s="351" t="e">
        <f t="shared" si="21"/>
        <v>#N/A</v>
      </c>
      <c r="AI61" s="506"/>
      <c r="AJ61" s="351"/>
      <c r="AK61" s="351"/>
      <c r="AL61" s="351"/>
      <c r="AM61" s="351" t="e">
        <f t="shared" si="22"/>
        <v>#N/A</v>
      </c>
      <c r="AN61" s="506"/>
      <c r="AO61" s="351"/>
      <c r="AP61" s="351"/>
      <c r="AQ61" s="351"/>
      <c r="AR61" s="351" t="e">
        <f t="shared" si="23"/>
        <v>#N/A</v>
      </c>
      <c r="AS61" s="506"/>
      <c r="AT61" s="351"/>
      <c r="AU61" s="351"/>
      <c r="AV61" s="351"/>
      <c r="AW61" s="351" t="e">
        <f t="shared" si="24"/>
        <v>#N/A</v>
      </c>
      <c r="AX61" s="506"/>
    </row>
    <row r="62" spans="2:50" ht="15.75">
      <c r="B62" s="487" t="s">
        <v>172</v>
      </c>
      <c r="C62" s="488"/>
      <c r="D62" s="488"/>
      <c r="E62" s="488"/>
      <c r="F62" s="488"/>
      <c r="G62" s="488"/>
      <c r="H62" s="489"/>
      <c r="I62" s="228"/>
      <c r="J62" s="228"/>
      <c r="K62" s="228"/>
      <c r="L62" s="228"/>
      <c r="M62" s="227"/>
      <c r="N62" s="476" t="s">
        <v>164</v>
      </c>
      <c r="O62" s="476" t="s">
        <v>105</v>
      </c>
      <c r="P62" s="482">
        <f>P42+7</f>
        <v>45916</v>
      </c>
      <c r="Q62" s="483"/>
      <c r="R62" s="483"/>
      <c r="S62" s="483"/>
      <c r="T62" s="483"/>
      <c r="U62" s="479">
        <f>P62+1</f>
        <v>45917</v>
      </c>
      <c r="V62" s="480"/>
      <c r="W62" s="480"/>
      <c r="X62" s="480"/>
      <c r="Y62" s="481"/>
      <c r="Z62" s="479">
        <f>U62+1</f>
        <v>45918</v>
      </c>
      <c r="AA62" s="480"/>
      <c r="AB62" s="480"/>
      <c r="AC62" s="480"/>
      <c r="AD62" s="481"/>
      <c r="AE62" s="479">
        <f t="shared" ref="AE62" si="25">Z62+1</f>
        <v>45919</v>
      </c>
      <c r="AF62" s="480"/>
      <c r="AG62" s="480"/>
      <c r="AH62" s="480"/>
      <c r="AI62" s="481"/>
      <c r="AJ62" s="479">
        <f t="shared" ref="AJ62" si="26">AE62+1</f>
        <v>45920</v>
      </c>
      <c r="AK62" s="480"/>
      <c r="AL62" s="480"/>
      <c r="AM62" s="480"/>
      <c r="AN62" s="481"/>
      <c r="AO62" s="479">
        <f t="shared" ref="AO62" si="27">AJ62+1</f>
        <v>45921</v>
      </c>
      <c r="AP62" s="480"/>
      <c r="AQ62" s="480"/>
      <c r="AR62" s="480"/>
      <c r="AS62" s="481"/>
      <c r="AT62" s="479">
        <f t="shared" ref="AT62" si="28">AO62+1</f>
        <v>45922</v>
      </c>
      <c r="AU62" s="480"/>
      <c r="AV62" s="480"/>
      <c r="AW62" s="480"/>
      <c r="AX62" s="481"/>
    </row>
    <row r="63" spans="2:50" ht="15.75">
      <c r="B63" s="490"/>
      <c r="C63" s="490"/>
      <c r="D63" s="490"/>
      <c r="E63" s="490"/>
      <c r="F63" s="490"/>
      <c r="G63" s="490"/>
      <c r="H63" s="490"/>
      <c r="I63" s="225"/>
      <c r="J63" s="225"/>
      <c r="K63" s="225"/>
      <c r="L63" s="225"/>
      <c r="M63" s="226"/>
      <c r="N63" s="478"/>
      <c r="O63" s="478"/>
      <c r="P63" s="482" t="s">
        <v>393</v>
      </c>
      <c r="Q63" s="483"/>
      <c r="R63" s="483"/>
      <c r="S63" s="483"/>
      <c r="T63" s="483"/>
      <c r="U63" s="482" t="s">
        <v>394</v>
      </c>
      <c r="V63" s="483"/>
      <c r="W63" s="483"/>
      <c r="X63" s="483"/>
      <c r="Y63" s="483"/>
      <c r="Z63" s="482" t="s">
        <v>395</v>
      </c>
      <c r="AA63" s="483"/>
      <c r="AB63" s="483"/>
      <c r="AC63" s="483"/>
      <c r="AD63" s="483"/>
      <c r="AE63" s="482" t="s">
        <v>396</v>
      </c>
      <c r="AF63" s="483"/>
      <c r="AG63" s="483"/>
      <c r="AH63" s="483"/>
      <c r="AI63" s="483"/>
      <c r="AJ63" s="482" t="s">
        <v>397</v>
      </c>
      <c r="AK63" s="483"/>
      <c r="AL63" s="483"/>
      <c r="AM63" s="483"/>
      <c r="AN63" s="483"/>
      <c r="AO63" s="482" t="s">
        <v>398</v>
      </c>
      <c r="AP63" s="483"/>
      <c r="AQ63" s="483"/>
      <c r="AR63" s="483"/>
      <c r="AS63" s="483"/>
      <c r="AT63" s="482" t="s">
        <v>399</v>
      </c>
      <c r="AU63" s="483"/>
      <c r="AV63" s="483"/>
      <c r="AW63" s="483"/>
      <c r="AX63" s="483"/>
    </row>
    <row r="64" spans="2:50">
      <c r="B64" s="475" t="s">
        <v>634</v>
      </c>
      <c r="C64" s="475" t="s">
        <v>644</v>
      </c>
      <c r="D64" s="475"/>
      <c r="E64" s="475" t="s">
        <v>635</v>
      </c>
      <c r="F64" s="475"/>
      <c r="G64" s="475"/>
      <c r="H64" s="491" t="s">
        <v>631</v>
      </c>
      <c r="I64" s="459" t="s">
        <v>636</v>
      </c>
      <c r="J64" s="459"/>
      <c r="K64" s="459"/>
      <c r="L64" s="460" t="s">
        <v>631</v>
      </c>
      <c r="M64" s="466" t="s">
        <v>632</v>
      </c>
      <c r="N64" s="475"/>
      <c r="O64" s="475" t="s">
        <v>637</v>
      </c>
      <c r="P64" s="472" t="s">
        <v>633</v>
      </c>
      <c r="Q64" s="473"/>
      <c r="R64" s="473"/>
      <c r="S64" s="474"/>
      <c r="T64" s="475" t="s">
        <v>631</v>
      </c>
      <c r="U64" s="472" t="s">
        <v>633</v>
      </c>
      <c r="V64" s="473"/>
      <c r="W64" s="473"/>
      <c r="X64" s="474"/>
      <c r="Y64" s="475" t="s">
        <v>631</v>
      </c>
      <c r="Z64" s="472" t="s">
        <v>633</v>
      </c>
      <c r="AA64" s="473"/>
      <c r="AB64" s="473"/>
      <c r="AC64" s="474"/>
      <c r="AD64" s="475" t="s">
        <v>631</v>
      </c>
      <c r="AE64" s="472" t="s">
        <v>633</v>
      </c>
      <c r="AF64" s="473"/>
      <c r="AG64" s="473"/>
      <c r="AH64" s="474"/>
      <c r="AI64" s="475" t="s">
        <v>631</v>
      </c>
      <c r="AJ64" s="472" t="s">
        <v>633</v>
      </c>
      <c r="AK64" s="473"/>
      <c r="AL64" s="473"/>
      <c r="AM64" s="474"/>
      <c r="AN64" s="475" t="s">
        <v>631</v>
      </c>
      <c r="AO64" s="472" t="s">
        <v>633</v>
      </c>
      <c r="AP64" s="473"/>
      <c r="AQ64" s="473"/>
      <c r="AR64" s="474"/>
      <c r="AS64" s="475" t="s">
        <v>631</v>
      </c>
      <c r="AT64" s="472" t="s">
        <v>633</v>
      </c>
      <c r="AU64" s="473"/>
      <c r="AV64" s="473"/>
      <c r="AW64" s="474"/>
      <c r="AX64" s="475" t="s">
        <v>631</v>
      </c>
    </row>
    <row r="65" spans="2:50">
      <c r="B65" s="475"/>
      <c r="C65" s="475"/>
      <c r="D65" s="475"/>
      <c r="E65" s="475" t="s">
        <v>638</v>
      </c>
      <c r="F65" s="475"/>
      <c r="G65" s="475"/>
      <c r="H65" s="492"/>
      <c r="I65" s="459" t="s">
        <v>638</v>
      </c>
      <c r="J65" s="459"/>
      <c r="K65" s="459"/>
      <c r="L65" s="461"/>
      <c r="M65" s="467"/>
      <c r="N65" s="475"/>
      <c r="O65" s="475"/>
      <c r="P65" s="472" t="s">
        <v>639</v>
      </c>
      <c r="Q65" s="473"/>
      <c r="R65" s="473"/>
      <c r="S65" s="474"/>
      <c r="T65" s="475"/>
      <c r="U65" s="472" t="s">
        <v>639</v>
      </c>
      <c r="V65" s="473"/>
      <c r="W65" s="473"/>
      <c r="X65" s="474"/>
      <c r="Y65" s="475"/>
      <c r="Z65" s="472" t="s">
        <v>639</v>
      </c>
      <c r="AA65" s="473"/>
      <c r="AB65" s="473"/>
      <c r="AC65" s="474"/>
      <c r="AD65" s="475"/>
      <c r="AE65" s="472" t="s">
        <v>639</v>
      </c>
      <c r="AF65" s="473"/>
      <c r="AG65" s="473"/>
      <c r="AH65" s="474"/>
      <c r="AI65" s="475"/>
      <c r="AJ65" s="472" t="s">
        <v>639</v>
      </c>
      <c r="AK65" s="473"/>
      <c r="AL65" s="473"/>
      <c r="AM65" s="474"/>
      <c r="AN65" s="475"/>
      <c r="AO65" s="472" t="s">
        <v>639</v>
      </c>
      <c r="AP65" s="473"/>
      <c r="AQ65" s="473"/>
      <c r="AR65" s="474"/>
      <c r="AS65" s="475"/>
      <c r="AT65" s="472" t="s">
        <v>639</v>
      </c>
      <c r="AU65" s="473"/>
      <c r="AV65" s="473"/>
      <c r="AW65" s="474"/>
      <c r="AX65" s="475"/>
    </row>
    <row r="66" spans="2:50">
      <c r="B66" s="475"/>
      <c r="C66" s="475"/>
      <c r="D66" s="475"/>
      <c r="E66" s="350" t="s">
        <v>640</v>
      </c>
      <c r="F66" s="350" t="s">
        <v>641</v>
      </c>
      <c r="G66" s="350" t="s">
        <v>642</v>
      </c>
      <c r="H66" s="493"/>
      <c r="I66" s="349" t="s">
        <v>640</v>
      </c>
      <c r="J66" s="349" t="s">
        <v>641</v>
      </c>
      <c r="K66" s="349" t="s">
        <v>642</v>
      </c>
      <c r="L66" s="462"/>
      <c r="M66" s="468"/>
      <c r="N66" s="475"/>
      <c r="O66" s="475"/>
      <c r="P66" s="350" t="s">
        <v>640</v>
      </c>
      <c r="Q66" s="350" t="s">
        <v>641</v>
      </c>
      <c r="R66" s="350" t="s">
        <v>642</v>
      </c>
      <c r="S66" s="350" t="s">
        <v>632</v>
      </c>
      <c r="T66" s="475"/>
      <c r="U66" s="350" t="s">
        <v>640</v>
      </c>
      <c r="V66" s="350" t="s">
        <v>641</v>
      </c>
      <c r="W66" s="350" t="s">
        <v>642</v>
      </c>
      <c r="X66" s="350" t="s">
        <v>632</v>
      </c>
      <c r="Y66" s="475"/>
      <c r="Z66" s="350" t="s">
        <v>640</v>
      </c>
      <c r="AA66" s="350" t="s">
        <v>641</v>
      </c>
      <c r="AB66" s="350" t="s">
        <v>642</v>
      </c>
      <c r="AC66" s="350" t="s">
        <v>632</v>
      </c>
      <c r="AD66" s="475"/>
      <c r="AE66" s="350" t="s">
        <v>640</v>
      </c>
      <c r="AF66" s="350" t="s">
        <v>641</v>
      </c>
      <c r="AG66" s="350" t="s">
        <v>642</v>
      </c>
      <c r="AH66" s="350" t="s">
        <v>632</v>
      </c>
      <c r="AI66" s="475"/>
      <c r="AJ66" s="350" t="s">
        <v>640</v>
      </c>
      <c r="AK66" s="350" t="s">
        <v>641</v>
      </c>
      <c r="AL66" s="350" t="s">
        <v>642</v>
      </c>
      <c r="AM66" s="350" t="s">
        <v>632</v>
      </c>
      <c r="AN66" s="475"/>
      <c r="AO66" s="350" t="s">
        <v>640</v>
      </c>
      <c r="AP66" s="350" t="s">
        <v>641</v>
      </c>
      <c r="AQ66" s="350" t="s">
        <v>642</v>
      </c>
      <c r="AR66" s="350" t="s">
        <v>632</v>
      </c>
      <c r="AS66" s="475"/>
      <c r="AT66" s="350" t="s">
        <v>640</v>
      </c>
      <c r="AU66" s="350" t="s">
        <v>641</v>
      </c>
      <c r="AV66" s="350" t="s">
        <v>642</v>
      </c>
      <c r="AW66" s="350" t="s">
        <v>632</v>
      </c>
      <c r="AX66" s="475"/>
    </row>
    <row r="67" spans="2:50">
      <c r="B67" s="475" t="s">
        <v>645</v>
      </c>
      <c r="C67" s="351">
        <v>1</v>
      </c>
      <c r="D67" s="257"/>
      <c r="E67" s="187"/>
      <c r="F67" s="351"/>
      <c r="G67" s="354">
        <v>123.69230769230764</v>
      </c>
      <c r="H67" s="507">
        <f>AVERAGE(G67:G81)</f>
        <v>123.69230769230764</v>
      </c>
      <c r="I67" s="219" t="e">
        <f>AVERAGE(P67,U67,Z67,AE67,AJ67,AO67,AT67)</f>
        <v>#DIV/0!</v>
      </c>
      <c r="J67" s="219" t="e">
        <f>AVERAGE(Q67,V67,AA67,AF67,AK67,AP67,AU67)</f>
        <v>#DIV/0!</v>
      </c>
      <c r="K67" s="220" t="e">
        <f>AVERAGE(R67,W67,AB67,AG67,AL67,AQ67,AV67)</f>
        <v>#DIV/0!</v>
      </c>
      <c r="L67" s="456" t="str">
        <f>IFERROR(AVERAGE(K67:K81),"-")</f>
        <v>-</v>
      </c>
      <c r="M67" s="221" t="e">
        <f>RANK(K67, K$87:$K$101)</f>
        <v>#DIV/0!</v>
      </c>
      <c r="N67" s="475"/>
      <c r="O67" s="475"/>
      <c r="P67" s="351"/>
      <c r="Q67" s="187"/>
      <c r="R67" s="354"/>
      <c r="S67" s="351" t="e">
        <f>RANK(R67, R$87:R$101)</f>
        <v>#N/A</v>
      </c>
      <c r="T67" s="506" t="e">
        <f>AVERAGE(R67:R81)</f>
        <v>#DIV/0!</v>
      </c>
      <c r="U67" s="351"/>
      <c r="V67" s="187"/>
      <c r="W67" s="354"/>
      <c r="X67" s="351" t="e">
        <f>RANK(W67, W$87:W$101)</f>
        <v>#N/A</v>
      </c>
      <c r="Y67" s="506" t="e">
        <f>AVERAGE(W67:W81)</f>
        <v>#DIV/0!</v>
      </c>
      <c r="Z67" s="351"/>
      <c r="AA67" s="187"/>
      <c r="AB67" s="354"/>
      <c r="AC67" s="351" t="e">
        <f>RANK(AB67, AB$87:AB$101)</f>
        <v>#N/A</v>
      </c>
      <c r="AD67" s="506" t="e">
        <f>AVERAGE(AB67:AB81)</f>
        <v>#DIV/0!</v>
      </c>
      <c r="AE67" s="351"/>
      <c r="AF67" s="187"/>
      <c r="AG67" s="354"/>
      <c r="AH67" s="351" t="e">
        <f>RANK(AG67, AG$87:AG$101)</f>
        <v>#N/A</v>
      </c>
      <c r="AI67" s="506" t="e">
        <f>AVERAGE(AG67:AG81)</f>
        <v>#DIV/0!</v>
      </c>
      <c r="AJ67" s="351"/>
      <c r="AK67" s="187"/>
      <c r="AL67" s="354"/>
      <c r="AM67" s="351" t="e">
        <f>RANK(AL67, AL$87:AL$101)</f>
        <v>#N/A</v>
      </c>
      <c r="AN67" s="506" t="e">
        <f>AVERAGE(AL67:AL81)</f>
        <v>#DIV/0!</v>
      </c>
      <c r="AO67" s="351"/>
      <c r="AP67" s="187"/>
      <c r="AQ67" s="354"/>
      <c r="AR67" s="351" t="e">
        <f>RANK(AQ67, AQ$87:AQ$101)</f>
        <v>#N/A</v>
      </c>
      <c r="AS67" s="506" t="e">
        <f>AVERAGE(AQ67:AQ81)</f>
        <v>#DIV/0!</v>
      </c>
      <c r="AT67" s="351"/>
      <c r="AU67" s="187"/>
      <c r="AV67" s="354"/>
      <c r="AW67" s="351" t="e">
        <f>RANK(AV67, AV$87:AV$101)</f>
        <v>#N/A</v>
      </c>
      <c r="AX67" s="506" t="e">
        <f>AVERAGE(AV67:AV81)</f>
        <v>#DIV/0!</v>
      </c>
    </row>
    <row r="68" spans="2:50">
      <c r="B68" s="483"/>
      <c r="C68" s="351">
        <v>2</v>
      </c>
      <c r="D68" s="257"/>
      <c r="E68" s="187"/>
      <c r="F68" s="351"/>
      <c r="G68" s="354"/>
      <c r="H68" s="508"/>
      <c r="I68" s="219"/>
      <c r="J68" s="219"/>
      <c r="K68" s="220"/>
      <c r="L68" s="457"/>
      <c r="M68" s="221" t="e">
        <f>RANK(K68, K$87:$K$101)</f>
        <v>#DIV/0!</v>
      </c>
      <c r="N68" s="475"/>
      <c r="O68" s="475"/>
      <c r="P68" s="351"/>
      <c r="Q68" s="351"/>
      <c r="R68" s="351"/>
      <c r="S68" s="351" t="e">
        <f t="shared" ref="S68:S81" si="29">RANK(R68, R$87:R$101)</f>
        <v>#N/A</v>
      </c>
      <c r="T68" s="506"/>
      <c r="U68" s="351"/>
      <c r="V68" s="351"/>
      <c r="W68" s="351"/>
      <c r="X68" s="351" t="e">
        <f t="shared" ref="X68:X81" si="30">RANK(W68, W$87:W$101)</f>
        <v>#N/A</v>
      </c>
      <c r="Y68" s="506"/>
      <c r="Z68" s="351"/>
      <c r="AA68" s="351"/>
      <c r="AB68" s="351"/>
      <c r="AC68" s="351" t="e">
        <f t="shared" ref="AC68:AC81" si="31">RANK(AB68, AB$87:AB$101)</f>
        <v>#N/A</v>
      </c>
      <c r="AD68" s="506"/>
      <c r="AE68" s="351"/>
      <c r="AF68" s="351"/>
      <c r="AG68" s="351"/>
      <c r="AH68" s="351" t="e">
        <f t="shared" ref="AH68:AH81" si="32">RANK(AG68, AG$87:AG$101)</f>
        <v>#N/A</v>
      </c>
      <c r="AI68" s="506"/>
      <c r="AJ68" s="351"/>
      <c r="AK68" s="351"/>
      <c r="AL68" s="351"/>
      <c r="AM68" s="351" t="e">
        <f t="shared" ref="AM68:AM81" si="33">RANK(AL68, AL$87:AL$101)</f>
        <v>#N/A</v>
      </c>
      <c r="AN68" s="506"/>
      <c r="AO68" s="351"/>
      <c r="AP68" s="351"/>
      <c r="AQ68" s="351"/>
      <c r="AR68" s="351" t="e">
        <f t="shared" ref="AR68:AR81" si="34">RANK(AQ68, AQ$87:AQ$101)</f>
        <v>#N/A</v>
      </c>
      <c r="AS68" s="506"/>
      <c r="AT68" s="351"/>
      <c r="AU68" s="351"/>
      <c r="AV68" s="351"/>
      <c r="AW68" s="351" t="e">
        <f t="shared" ref="AW68:AW81" si="35">RANK(AV68, AV$87:AV$101)</f>
        <v>#N/A</v>
      </c>
      <c r="AX68" s="506"/>
    </row>
    <row r="69" spans="2:50">
      <c r="B69" s="483"/>
      <c r="C69" s="351">
        <v>3</v>
      </c>
      <c r="D69" s="257"/>
      <c r="E69" s="187"/>
      <c r="F69" s="351"/>
      <c r="G69" s="354"/>
      <c r="H69" s="508"/>
      <c r="I69" s="219"/>
      <c r="J69" s="219"/>
      <c r="K69" s="220"/>
      <c r="L69" s="457"/>
      <c r="M69" s="221" t="e">
        <f>RANK(K69, K$87:$K$101)</f>
        <v>#DIV/0!</v>
      </c>
      <c r="N69" s="475"/>
      <c r="O69" s="475"/>
      <c r="P69" s="351"/>
      <c r="Q69" s="351"/>
      <c r="R69" s="351"/>
      <c r="S69" s="351" t="e">
        <f t="shared" si="29"/>
        <v>#N/A</v>
      </c>
      <c r="T69" s="506"/>
      <c r="U69" s="351"/>
      <c r="V69" s="351"/>
      <c r="W69" s="351"/>
      <c r="X69" s="351" t="e">
        <f t="shared" si="30"/>
        <v>#N/A</v>
      </c>
      <c r="Y69" s="506"/>
      <c r="Z69" s="351"/>
      <c r="AA69" s="351"/>
      <c r="AB69" s="351"/>
      <c r="AC69" s="351" t="e">
        <f t="shared" si="31"/>
        <v>#N/A</v>
      </c>
      <c r="AD69" s="506"/>
      <c r="AE69" s="351"/>
      <c r="AF69" s="351"/>
      <c r="AG69" s="351"/>
      <c r="AH69" s="351" t="e">
        <f t="shared" si="32"/>
        <v>#N/A</v>
      </c>
      <c r="AI69" s="506"/>
      <c r="AJ69" s="351"/>
      <c r="AK69" s="351"/>
      <c r="AL69" s="351"/>
      <c r="AM69" s="351" t="e">
        <f t="shared" si="33"/>
        <v>#N/A</v>
      </c>
      <c r="AN69" s="506"/>
      <c r="AO69" s="351"/>
      <c r="AP69" s="351"/>
      <c r="AQ69" s="351"/>
      <c r="AR69" s="351" t="e">
        <f t="shared" si="34"/>
        <v>#N/A</v>
      </c>
      <c r="AS69" s="506"/>
      <c r="AT69" s="351"/>
      <c r="AU69" s="351"/>
      <c r="AV69" s="351"/>
      <c r="AW69" s="351" t="e">
        <f t="shared" si="35"/>
        <v>#N/A</v>
      </c>
      <c r="AX69" s="506"/>
    </row>
    <row r="70" spans="2:50">
      <c r="B70" s="483"/>
      <c r="C70" s="351">
        <v>4</v>
      </c>
      <c r="D70" s="257"/>
      <c r="E70" s="187"/>
      <c r="F70" s="351"/>
      <c r="G70" s="354"/>
      <c r="H70" s="508"/>
      <c r="I70" s="219"/>
      <c r="J70" s="219"/>
      <c r="K70" s="220"/>
      <c r="L70" s="457"/>
      <c r="M70" s="221" t="e">
        <f>RANK(K70, K$87:$K$101)</f>
        <v>#DIV/0!</v>
      </c>
      <c r="N70" s="475"/>
      <c r="O70" s="475"/>
      <c r="P70" s="351"/>
      <c r="Q70" s="351"/>
      <c r="R70" s="351"/>
      <c r="S70" s="351" t="e">
        <f t="shared" si="29"/>
        <v>#N/A</v>
      </c>
      <c r="T70" s="506"/>
      <c r="U70" s="351"/>
      <c r="V70" s="351"/>
      <c r="W70" s="351"/>
      <c r="X70" s="351" t="e">
        <f t="shared" si="30"/>
        <v>#N/A</v>
      </c>
      <c r="Y70" s="506"/>
      <c r="Z70" s="351"/>
      <c r="AA70" s="351"/>
      <c r="AB70" s="351"/>
      <c r="AC70" s="351" t="e">
        <f t="shared" si="31"/>
        <v>#N/A</v>
      </c>
      <c r="AD70" s="506"/>
      <c r="AE70" s="351"/>
      <c r="AF70" s="351"/>
      <c r="AG70" s="351"/>
      <c r="AH70" s="351" t="e">
        <f t="shared" si="32"/>
        <v>#N/A</v>
      </c>
      <c r="AI70" s="506"/>
      <c r="AJ70" s="351"/>
      <c r="AK70" s="351"/>
      <c r="AL70" s="351"/>
      <c r="AM70" s="351" t="e">
        <f t="shared" si="33"/>
        <v>#N/A</v>
      </c>
      <c r="AN70" s="506"/>
      <c r="AO70" s="351"/>
      <c r="AP70" s="351"/>
      <c r="AQ70" s="351"/>
      <c r="AR70" s="351" t="e">
        <f t="shared" si="34"/>
        <v>#N/A</v>
      </c>
      <c r="AS70" s="506"/>
      <c r="AT70" s="351"/>
      <c r="AU70" s="351"/>
      <c r="AV70" s="351"/>
      <c r="AW70" s="351" t="e">
        <f t="shared" si="35"/>
        <v>#N/A</v>
      </c>
      <c r="AX70" s="506"/>
    </row>
    <row r="71" spans="2:50">
      <c r="B71" s="483"/>
      <c r="C71" s="351">
        <v>5</v>
      </c>
      <c r="D71" s="257"/>
      <c r="E71" s="187"/>
      <c r="F71" s="351"/>
      <c r="G71" s="354"/>
      <c r="H71" s="508"/>
      <c r="I71" s="219"/>
      <c r="J71" s="219"/>
      <c r="K71" s="220"/>
      <c r="L71" s="457"/>
      <c r="M71" s="221" t="e">
        <f>RANK(K71, K$87:$K$101)</f>
        <v>#DIV/0!</v>
      </c>
      <c r="N71" s="475"/>
      <c r="O71" s="475"/>
      <c r="P71" s="351"/>
      <c r="Q71" s="351"/>
      <c r="R71" s="351"/>
      <c r="S71" s="351" t="e">
        <f t="shared" si="29"/>
        <v>#N/A</v>
      </c>
      <c r="T71" s="506"/>
      <c r="U71" s="351"/>
      <c r="V71" s="351"/>
      <c r="W71" s="351"/>
      <c r="X71" s="351" t="e">
        <f t="shared" si="30"/>
        <v>#N/A</v>
      </c>
      <c r="Y71" s="506"/>
      <c r="Z71" s="351"/>
      <c r="AA71" s="351"/>
      <c r="AB71" s="351"/>
      <c r="AC71" s="351" t="e">
        <f t="shared" si="31"/>
        <v>#N/A</v>
      </c>
      <c r="AD71" s="506"/>
      <c r="AE71" s="351"/>
      <c r="AF71" s="351"/>
      <c r="AG71" s="351"/>
      <c r="AH71" s="351" t="e">
        <f t="shared" si="32"/>
        <v>#N/A</v>
      </c>
      <c r="AI71" s="506"/>
      <c r="AJ71" s="351"/>
      <c r="AK71" s="351"/>
      <c r="AL71" s="351"/>
      <c r="AM71" s="351" t="e">
        <f t="shared" si="33"/>
        <v>#N/A</v>
      </c>
      <c r="AN71" s="506"/>
      <c r="AO71" s="351"/>
      <c r="AP71" s="351"/>
      <c r="AQ71" s="351"/>
      <c r="AR71" s="351" t="e">
        <f t="shared" si="34"/>
        <v>#N/A</v>
      </c>
      <c r="AS71" s="506"/>
      <c r="AT71" s="351"/>
      <c r="AU71" s="351"/>
      <c r="AV71" s="351"/>
      <c r="AW71" s="351" t="e">
        <f t="shared" si="35"/>
        <v>#N/A</v>
      </c>
      <c r="AX71" s="506"/>
    </row>
    <row r="72" spans="2:50">
      <c r="B72" s="483"/>
      <c r="C72" s="351">
        <v>6</v>
      </c>
      <c r="D72" s="257"/>
      <c r="E72" s="187"/>
      <c r="F72" s="351"/>
      <c r="G72" s="354"/>
      <c r="H72" s="508"/>
      <c r="I72" s="219"/>
      <c r="J72" s="219"/>
      <c r="K72" s="220"/>
      <c r="L72" s="457"/>
      <c r="M72" s="221" t="e">
        <f>RANK(K72, K$87:$K$101)</f>
        <v>#DIV/0!</v>
      </c>
      <c r="N72" s="475"/>
      <c r="O72" s="475"/>
      <c r="P72" s="351"/>
      <c r="Q72" s="351"/>
      <c r="R72" s="351"/>
      <c r="S72" s="351" t="e">
        <f t="shared" si="29"/>
        <v>#N/A</v>
      </c>
      <c r="T72" s="506"/>
      <c r="U72" s="351"/>
      <c r="V72" s="351"/>
      <c r="W72" s="351"/>
      <c r="X72" s="351" t="e">
        <f t="shared" si="30"/>
        <v>#N/A</v>
      </c>
      <c r="Y72" s="506"/>
      <c r="Z72" s="351"/>
      <c r="AA72" s="351"/>
      <c r="AB72" s="351"/>
      <c r="AC72" s="351" t="e">
        <f t="shared" si="31"/>
        <v>#N/A</v>
      </c>
      <c r="AD72" s="506"/>
      <c r="AE72" s="351"/>
      <c r="AF72" s="351"/>
      <c r="AG72" s="351"/>
      <c r="AH72" s="351" t="e">
        <f t="shared" si="32"/>
        <v>#N/A</v>
      </c>
      <c r="AI72" s="506"/>
      <c r="AJ72" s="351"/>
      <c r="AK72" s="351"/>
      <c r="AL72" s="351"/>
      <c r="AM72" s="351" t="e">
        <f t="shared" si="33"/>
        <v>#N/A</v>
      </c>
      <c r="AN72" s="506"/>
      <c r="AO72" s="351"/>
      <c r="AP72" s="351"/>
      <c r="AQ72" s="351"/>
      <c r="AR72" s="351" t="e">
        <f t="shared" si="34"/>
        <v>#N/A</v>
      </c>
      <c r="AS72" s="506"/>
      <c r="AT72" s="351"/>
      <c r="AU72" s="351"/>
      <c r="AV72" s="351"/>
      <c r="AW72" s="351" t="e">
        <f t="shared" si="35"/>
        <v>#N/A</v>
      </c>
      <c r="AX72" s="506"/>
    </row>
    <row r="73" spans="2:50">
      <c r="B73" s="483"/>
      <c r="C73" s="351">
        <v>7</v>
      </c>
      <c r="D73" s="257"/>
      <c r="E73" s="187"/>
      <c r="F73" s="351"/>
      <c r="G73" s="354"/>
      <c r="H73" s="508"/>
      <c r="I73" s="219"/>
      <c r="J73" s="219"/>
      <c r="K73" s="220"/>
      <c r="L73" s="457"/>
      <c r="M73" s="221" t="e">
        <f>RANK(K73, K$87:$K$101)</f>
        <v>#DIV/0!</v>
      </c>
      <c r="N73" s="475"/>
      <c r="O73" s="475"/>
      <c r="P73" s="351"/>
      <c r="Q73" s="351"/>
      <c r="R73" s="351"/>
      <c r="S73" s="351" t="e">
        <f t="shared" si="29"/>
        <v>#N/A</v>
      </c>
      <c r="T73" s="506"/>
      <c r="U73" s="351"/>
      <c r="V73" s="351"/>
      <c r="W73" s="351"/>
      <c r="X73" s="351" t="e">
        <f t="shared" si="30"/>
        <v>#N/A</v>
      </c>
      <c r="Y73" s="506"/>
      <c r="Z73" s="351"/>
      <c r="AA73" s="351"/>
      <c r="AB73" s="351"/>
      <c r="AC73" s="351" t="e">
        <f t="shared" si="31"/>
        <v>#N/A</v>
      </c>
      <c r="AD73" s="506"/>
      <c r="AE73" s="351"/>
      <c r="AF73" s="351"/>
      <c r="AG73" s="351"/>
      <c r="AH73" s="351" t="e">
        <f t="shared" si="32"/>
        <v>#N/A</v>
      </c>
      <c r="AI73" s="506"/>
      <c r="AJ73" s="351"/>
      <c r="AK73" s="351"/>
      <c r="AL73" s="351"/>
      <c r="AM73" s="351" t="e">
        <f t="shared" si="33"/>
        <v>#N/A</v>
      </c>
      <c r="AN73" s="506"/>
      <c r="AO73" s="351"/>
      <c r="AP73" s="351"/>
      <c r="AQ73" s="351"/>
      <c r="AR73" s="351" t="e">
        <f t="shared" si="34"/>
        <v>#N/A</v>
      </c>
      <c r="AS73" s="506"/>
      <c r="AT73" s="351"/>
      <c r="AU73" s="351"/>
      <c r="AV73" s="351"/>
      <c r="AW73" s="351" t="e">
        <f t="shared" si="35"/>
        <v>#N/A</v>
      </c>
      <c r="AX73" s="506"/>
    </row>
    <row r="74" spans="2:50">
      <c r="B74" s="483"/>
      <c r="C74" s="351">
        <v>8</v>
      </c>
      <c r="D74" s="257"/>
      <c r="E74" s="187"/>
      <c r="F74" s="351"/>
      <c r="G74" s="354"/>
      <c r="H74" s="508"/>
      <c r="I74" s="219"/>
      <c r="J74" s="219"/>
      <c r="K74" s="220"/>
      <c r="L74" s="457"/>
      <c r="M74" s="221" t="e">
        <f>RANK(K74, K$87:$K$101)</f>
        <v>#DIV/0!</v>
      </c>
      <c r="N74" s="475"/>
      <c r="O74" s="475"/>
      <c r="P74" s="351"/>
      <c r="Q74" s="351"/>
      <c r="R74" s="351"/>
      <c r="S74" s="351" t="e">
        <f t="shared" si="29"/>
        <v>#N/A</v>
      </c>
      <c r="T74" s="506"/>
      <c r="U74" s="351"/>
      <c r="V74" s="351"/>
      <c r="W74" s="351"/>
      <c r="X74" s="351" t="e">
        <f t="shared" si="30"/>
        <v>#N/A</v>
      </c>
      <c r="Y74" s="506"/>
      <c r="Z74" s="351"/>
      <c r="AA74" s="351"/>
      <c r="AB74" s="351"/>
      <c r="AC74" s="351" t="e">
        <f t="shared" si="31"/>
        <v>#N/A</v>
      </c>
      <c r="AD74" s="506"/>
      <c r="AE74" s="351"/>
      <c r="AF74" s="351"/>
      <c r="AG74" s="351"/>
      <c r="AH74" s="351" t="e">
        <f t="shared" si="32"/>
        <v>#N/A</v>
      </c>
      <c r="AI74" s="506"/>
      <c r="AJ74" s="351"/>
      <c r="AK74" s="351"/>
      <c r="AL74" s="351"/>
      <c r="AM74" s="351" t="e">
        <f t="shared" si="33"/>
        <v>#N/A</v>
      </c>
      <c r="AN74" s="506"/>
      <c r="AO74" s="351"/>
      <c r="AP74" s="351"/>
      <c r="AQ74" s="351"/>
      <c r="AR74" s="351" t="e">
        <f t="shared" si="34"/>
        <v>#N/A</v>
      </c>
      <c r="AS74" s="506"/>
      <c r="AT74" s="351"/>
      <c r="AU74" s="351"/>
      <c r="AV74" s="351"/>
      <c r="AW74" s="351" t="e">
        <f t="shared" si="35"/>
        <v>#N/A</v>
      </c>
      <c r="AX74" s="506"/>
    </row>
    <row r="75" spans="2:50">
      <c r="B75" s="483"/>
      <c r="C75" s="351">
        <v>9</v>
      </c>
      <c r="D75" s="257"/>
      <c r="E75" s="187"/>
      <c r="F75" s="351"/>
      <c r="G75" s="354"/>
      <c r="H75" s="508"/>
      <c r="I75" s="219"/>
      <c r="J75" s="219"/>
      <c r="K75" s="220"/>
      <c r="L75" s="457"/>
      <c r="M75" s="221" t="e">
        <f>RANK(K75, K$87:$K$101)</f>
        <v>#DIV/0!</v>
      </c>
      <c r="N75" s="475"/>
      <c r="O75" s="475"/>
      <c r="P75" s="351"/>
      <c r="Q75" s="351"/>
      <c r="R75" s="351"/>
      <c r="S75" s="351" t="e">
        <f t="shared" si="29"/>
        <v>#N/A</v>
      </c>
      <c r="T75" s="506"/>
      <c r="U75" s="351"/>
      <c r="V75" s="351"/>
      <c r="W75" s="351"/>
      <c r="X75" s="351" t="e">
        <f t="shared" si="30"/>
        <v>#N/A</v>
      </c>
      <c r="Y75" s="506"/>
      <c r="Z75" s="351"/>
      <c r="AA75" s="351"/>
      <c r="AB75" s="351"/>
      <c r="AC75" s="351" t="e">
        <f t="shared" si="31"/>
        <v>#N/A</v>
      </c>
      <c r="AD75" s="506"/>
      <c r="AE75" s="351"/>
      <c r="AF75" s="351"/>
      <c r="AG75" s="351"/>
      <c r="AH75" s="351" t="e">
        <f t="shared" si="32"/>
        <v>#N/A</v>
      </c>
      <c r="AI75" s="506"/>
      <c r="AJ75" s="351"/>
      <c r="AK75" s="351"/>
      <c r="AL75" s="351"/>
      <c r="AM75" s="351" t="e">
        <f t="shared" si="33"/>
        <v>#N/A</v>
      </c>
      <c r="AN75" s="506"/>
      <c r="AO75" s="351"/>
      <c r="AP75" s="351"/>
      <c r="AQ75" s="351"/>
      <c r="AR75" s="351" t="e">
        <f t="shared" si="34"/>
        <v>#N/A</v>
      </c>
      <c r="AS75" s="506"/>
      <c r="AT75" s="351"/>
      <c r="AU75" s="351"/>
      <c r="AV75" s="351"/>
      <c r="AW75" s="351" t="e">
        <f t="shared" si="35"/>
        <v>#N/A</v>
      </c>
      <c r="AX75" s="506"/>
    </row>
    <row r="76" spans="2:50">
      <c r="B76" s="483"/>
      <c r="C76" s="351">
        <v>10</v>
      </c>
      <c r="D76" s="257"/>
      <c r="E76" s="187"/>
      <c r="F76" s="351"/>
      <c r="G76" s="354"/>
      <c r="H76" s="508"/>
      <c r="I76" s="219"/>
      <c r="J76" s="219"/>
      <c r="K76" s="220"/>
      <c r="L76" s="457"/>
      <c r="M76" s="221" t="e">
        <f>RANK(K76, K$87:$K$101)</f>
        <v>#DIV/0!</v>
      </c>
      <c r="N76" s="475"/>
      <c r="O76" s="475"/>
      <c r="P76" s="351"/>
      <c r="Q76" s="351"/>
      <c r="R76" s="351"/>
      <c r="S76" s="351" t="e">
        <f t="shared" si="29"/>
        <v>#N/A</v>
      </c>
      <c r="T76" s="506"/>
      <c r="U76" s="351"/>
      <c r="V76" s="351"/>
      <c r="W76" s="351"/>
      <c r="X76" s="351" t="e">
        <f t="shared" si="30"/>
        <v>#N/A</v>
      </c>
      <c r="Y76" s="506"/>
      <c r="Z76" s="351"/>
      <c r="AA76" s="351"/>
      <c r="AB76" s="351"/>
      <c r="AC76" s="351" t="e">
        <f t="shared" si="31"/>
        <v>#N/A</v>
      </c>
      <c r="AD76" s="506"/>
      <c r="AE76" s="351"/>
      <c r="AF76" s="351"/>
      <c r="AG76" s="351"/>
      <c r="AH76" s="351" t="e">
        <f t="shared" si="32"/>
        <v>#N/A</v>
      </c>
      <c r="AI76" s="506"/>
      <c r="AJ76" s="351"/>
      <c r="AK76" s="351"/>
      <c r="AL76" s="351"/>
      <c r="AM76" s="351" t="e">
        <f t="shared" si="33"/>
        <v>#N/A</v>
      </c>
      <c r="AN76" s="506"/>
      <c r="AO76" s="351"/>
      <c r="AP76" s="351"/>
      <c r="AQ76" s="351"/>
      <c r="AR76" s="351" t="e">
        <f t="shared" si="34"/>
        <v>#N/A</v>
      </c>
      <c r="AS76" s="506"/>
      <c r="AT76" s="351"/>
      <c r="AU76" s="351"/>
      <c r="AV76" s="351"/>
      <c r="AW76" s="351" t="e">
        <f t="shared" si="35"/>
        <v>#N/A</v>
      </c>
      <c r="AX76" s="506"/>
    </row>
    <row r="77" spans="2:50">
      <c r="B77" s="483"/>
      <c r="C77" s="351">
        <v>11</v>
      </c>
      <c r="D77" s="257"/>
      <c r="E77" s="187"/>
      <c r="F77" s="351"/>
      <c r="G77" s="354"/>
      <c r="H77" s="508"/>
      <c r="I77" s="222"/>
      <c r="J77" s="222"/>
      <c r="K77" s="222"/>
      <c r="L77" s="457"/>
      <c r="M77" s="221" t="e">
        <f>RANK(K77, K$87:$K$101)</f>
        <v>#DIV/0!</v>
      </c>
      <c r="N77" s="475"/>
      <c r="O77" s="475"/>
      <c r="P77" s="351"/>
      <c r="Q77" s="351"/>
      <c r="R77" s="351"/>
      <c r="S77" s="351" t="e">
        <f t="shared" si="29"/>
        <v>#N/A</v>
      </c>
      <c r="T77" s="506"/>
      <c r="U77" s="351"/>
      <c r="V77" s="351"/>
      <c r="W77" s="351"/>
      <c r="X77" s="351" t="e">
        <f t="shared" si="30"/>
        <v>#N/A</v>
      </c>
      <c r="Y77" s="506"/>
      <c r="Z77" s="351"/>
      <c r="AA77" s="351"/>
      <c r="AB77" s="351"/>
      <c r="AC77" s="351" t="e">
        <f t="shared" si="31"/>
        <v>#N/A</v>
      </c>
      <c r="AD77" s="506"/>
      <c r="AE77" s="351"/>
      <c r="AF77" s="351"/>
      <c r="AG77" s="351"/>
      <c r="AH77" s="351" t="e">
        <f t="shared" si="32"/>
        <v>#N/A</v>
      </c>
      <c r="AI77" s="506"/>
      <c r="AJ77" s="351"/>
      <c r="AK77" s="351"/>
      <c r="AL77" s="351"/>
      <c r="AM77" s="351" t="e">
        <f t="shared" si="33"/>
        <v>#N/A</v>
      </c>
      <c r="AN77" s="506"/>
      <c r="AO77" s="351"/>
      <c r="AP77" s="351"/>
      <c r="AQ77" s="351"/>
      <c r="AR77" s="351" t="e">
        <f t="shared" si="34"/>
        <v>#N/A</v>
      </c>
      <c r="AS77" s="506"/>
      <c r="AT77" s="351"/>
      <c r="AU77" s="351"/>
      <c r="AV77" s="351"/>
      <c r="AW77" s="351" t="e">
        <f t="shared" si="35"/>
        <v>#N/A</v>
      </c>
      <c r="AX77" s="506"/>
    </row>
    <row r="78" spans="2:50">
      <c r="B78" s="483"/>
      <c r="C78" s="351">
        <v>12</v>
      </c>
      <c r="D78" s="257"/>
      <c r="E78" s="187"/>
      <c r="F78" s="351"/>
      <c r="G78" s="354"/>
      <c r="H78" s="508"/>
      <c r="I78" s="222"/>
      <c r="J78" s="222"/>
      <c r="K78" s="222"/>
      <c r="L78" s="457"/>
      <c r="M78" s="221" t="e">
        <f>RANK(K78, K$87:$K$101)</f>
        <v>#DIV/0!</v>
      </c>
      <c r="N78" s="475"/>
      <c r="O78" s="475"/>
      <c r="P78" s="351"/>
      <c r="Q78" s="351"/>
      <c r="R78" s="351"/>
      <c r="S78" s="351" t="e">
        <f t="shared" si="29"/>
        <v>#N/A</v>
      </c>
      <c r="T78" s="506"/>
      <c r="U78" s="351"/>
      <c r="V78" s="351"/>
      <c r="W78" s="351"/>
      <c r="X78" s="351" t="e">
        <f t="shared" si="30"/>
        <v>#N/A</v>
      </c>
      <c r="Y78" s="506"/>
      <c r="Z78" s="351"/>
      <c r="AA78" s="351"/>
      <c r="AB78" s="351"/>
      <c r="AC78" s="351" t="e">
        <f t="shared" si="31"/>
        <v>#N/A</v>
      </c>
      <c r="AD78" s="506"/>
      <c r="AE78" s="351"/>
      <c r="AF78" s="351"/>
      <c r="AG78" s="351"/>
      <c r="AH78" s="351" t="e">
        <f t="shared" si="32"/>
        <v>#N/A</v>
      </c>
      <c r="AI78" s="506"/>
      <c r="AJ78" s="351"/>
      <c r="AK78" s="351"/>
      <c r="AL78" s="351"/>
      <c r="AM78" s="351" t="e">
        <f t="shared" si="33"/>
        <v>#N/A</v>
      </c>
      <c r="AN78" s="506"/>
      <c r="AO78" s="351"/>
      <c r="AP78" s="351"/>
      <c r="AQ78" s="351"/>
      <c r="AR78" s="351" t="e">
        <f t="shared" si="34"/>
        <v>#N/A</v>
      </c>
      <c r="AS78" s="506"/>
      <c r="AT78" s="351"/>
      <c r="AU78" s="351"/>
      <c r="AV78" s="351"/>
      <c r="AW78" s="351" t="e">
        <f t="shared" si="35"/>
        <v>#N/A</v>
      </c>
      <c r="AX78" s="506"/>
    </row>
    <row r="79" spans="2:50">
      <c r="B79" s="483"/>
      <c r="C79" s="351">
        <v>13</v>
      </c>
      <c r="D79" s="257"/>
      <c r="E79" s="187"/>
      <c r="F79" s="351"/>
      <c r="G79" s="354"/>
      <c r="H79" s="508"/>
      <c r="I79" s="222"/>
      <c r="J79" s="222"/>
      <c r="K79" s="222"/>
      <c r="L79" s="457"/>
      <c r="M79" s="221" t="e">
        <f>RANK(K79, K$87:$K$101)</f>
        <v>#DIV/0!</v>
      </c>
      <c r="N79" s="475"/>
      <c r="O79" s="475"/>
      <c r="P79" s="351"/>
      <c r="Q79" s="351"/>
      <c r="R79" s="351"/>
      <c r="S79" s="351" t="e">
        <f t="shared" si="29"/>
        <v>#N/A</v>
      </c>
      <c r="T79" s="506"/>
      <c r="U79" s="351"/>
      <c r="V79" s="351"/>
      <c r="W79" s="351"/>
      <c r="X79" s="351" t="e">
        <f t="shared" si="30"/>
        <v>#N/A</v>
      </c>
      <c r="Y79" s="506"/>
      <c r="Z79" s="351"/>
      <c r="AA79" s="351"/>
      <c r="AB79" s="351"/>
      <c r="AC79" s="351" t="e">
        <f t="shared" si="31"/>
        <v>#N/A</v>
      </c>
      <c r="AD79" s="506"/>
      <c r="AE79" s="351"/>
      <c r="AF79" s="351"/>
      <c r="AG79" s="351"/>
      <c r="AH79" s="351" t="e">
        <f t="shared" si="32"/>
        <v>#N/A</v>
      </c>
      <c r="AI79" s="506"/>
      <c r="AJ79" s="351"/>
      <c r="AK79" s="351"/>
      <c r="AL79" s="351"/>
      <c r="AM79" s="351" t="e">
        <f t="shared" si="33"/>
        <v>#N/A</v>
      </c>
      <c r="AN79" s="506"/>
      <c r="AO79" s="351"/>
      <c r="AP79" s="351"/>
      <c r="AQ79" s="351"/>
      <c r="AR79" s="351" t="e">
        <f t="shared" si="34"/>
        <v>#N/A</v>
      </c>
      <c r="AS79" s="506"/>
      <c r="AT79" s="351"/>
      <c r="AU79" s="351"/>
      <c r="AV79" s="351"/>
      <c r="AW79" s="351" t="e">
        <f t="shared" si="35"/>
        <v>#N/A</v>
      </c>
      <c r="AX79" s="506"/>
    </row>
    <row r="80" spans="2:50">
      <c r="B80" s="483"/>
      <c r="C80" s="351">
        <v>14</v>
      </c>
      <c r="D80" s="257"/>
      <c r="E80" s="187"/>
      <c r="F80" s="351"/>
      <c r="G80" s="354"/>
      <c r="H80" s="508"/>
      <c r="I80" s="222"/>
      <c r="J80" s="222"/>
      <c r="K80" s="222"/>
      <c r="L80" s="457"/>
      <c r="M80" s="221" t="e">
        <f>RANK(K80, K$87:$K$101)</f>
        <v>#DIV/0!</v>
      </c>
      <c r="N80" s="475"/>
      <c r="O80" s="475"/>
      <c r="P80" s="351"/>
      <c r="Q80" s="351"/>
      <c r="R80" s="351"/>
      <c r="S80" s="351" t="e">
        <f t="shared" si="29"/>
        <v>#N/A</v>
      </c>
      <c r="T80" s="506"/>
      <c r="U80" s="351"/>
      <c r="V80" s="351"/>
      <c r="W80" s="351"/>
      <c r="X80" s="351" t="e">
        <f t="shared" si="30"/>
        <v>#N/A</v>
      </c>
      <c r="Y80" s="506"/>
      <c r="Z80" s="351"/>
      <c r="AA80" s="351"/>
      <c r="AB80" s="351"/>
      <c r="AC80" s="351" t="e">
        <f t="shared" si="31"/>
        <v>#N/A</v>
      </c>
      <c r="AD80" s="506"/>
      <c r="AE80" s="351"/>
      <c r="AF80" s="351"/>
      <c r="AG80" s="351"/>
      <c r="AH80" s="351" t="e">
        <f t="shared" si="32"/>
        <v>#N/A</v>
      </c>
      <c r="AI80" s="506"/>
      <c r="AJ80" s="351"/>
      <c r="AK80" s="351"/>
      <c r="AL80" s="351"/>
      <c r="AM80" s="351" t="e">
        <f t="shared" si="33"/>
        <v>#N/A</v>
      </c>
      <c r="AN80" s="506"/>
      <c r="AO80" s="351"/>
      <c r="AP80" s="351"/>
      <c r="AQ80" s="351"/>
      <c r="AR80" s="351" t="e">
        <f t="shared" si="34"/>
        <v>#N/A</v>
      </c>
      <c r="AS80" s="506"/>
      <c r="AT80" s="351"/>
      <c r="AU80" s="351"/>
      <c r="AV80" s="351"/>
      <c r="AW80" s="351" t="e">
        <f t="shared" si="35"/>
        <v>#N/A</v>
      </c>
      <c r="AX80" s="506"/>
    </row>
    <row r="81" spans="2:50">
      <c r="B81" s="483"/>
      <c r="C81" s="351">
        <v>15</v>
      </c>
      <c r="D81" s="257"/>
      <c r="E81" s="187"/>
      <c r="F81" s="351"/>
      <c r="G81" s="354"/>
      <c r="H81" s="509"/>
      <c r="I81" s="222"/>
      <c r="J81" s="222"/>
      <c r="K81" s="222"/>
      <c r="L81" s="458"/>
      <c r="M81" s="219" t="e">
        <f>RANK(K81, K$87:$K$101)</f>
        <v>#DIV/0!</v>
      </c>
      <c r="N81" s="475"/>
      <c r="O81" s="475"/>
      <c r="P81" s="351"/>
      <c r="Q81" s="351"/>
      <c r="R81" s="351"/>
      <c r="S81" s="351" t="e">
        <f t="shared" si="29"/>
        <v>#N/A</v>
      </c>
      <c r="T81" s="506"/>
      <c r="U81" s="351"/>
      <c r="V81" s="351"/>
      <c r="W81" s="351"/>
      <c r="X81" s="351" t="e">
        <f t="shared" si="30"/>
        <v>#N/A</v>
      </c>
      <c r="Y81" s="506"/>
      <c r="Z81" s="351"/>
      <c r="AA81" s="351"/>
      <c r="AB81" s="351"/>
      <c r="AC81" s="351" t="e">
        <f t="shared" si="31"/>
        <v>#N/A</v>
      </c>
      <c r="AD81" s="506"/>
      <c r="AE81" s="351"/>
      <c r="AF81" s="351"/>
      <c r="AG81" s="351"/>
      <c r="AH81" s="351" t="e">
        <f t="shared" si="32"/>
        <v>#N/A</v>
      </c>
      <c r="AI81" s="506"/>
      <c r="AJ81" s="351"/>
      <c r="AK81" s="351"/>
      <c r="AL81" s="351"/>
      <c r="AM81" s="351" t="e">
        <f t="shared" si="33"/>
        <v>#N/A</v>
      </c>
      <c r="AN81" s="506"/>
      <c r="AO81" s="351"/>
      <c r="AP81" s="351"/>
      <c r="AQ81" s="351"/>
      <c r="AR81" s="351" t="e">
        <f t="shared" si="34"/>
        <v>#N/A</v>
      </c>
      <c r="AS81" s="506"/>
      <c r="AT81" s="351"/>
      <c r="AU81" s="351"/>
      <c r="AV81" s="351"/>
      <c r="AW81" s="351" t="e">
        <f t="shared" si="35"/>
        <v>#N/A</v>
      </c>
      <c r="AX81" s="506"/>
    </row>
    <row r="82" spans="2:50" ht="15.75">
      <c r="B82" s="487" t="s">
        <v>172</v>
      </c>
      <c r="C82" s="488"/>
      <c r="D82" s="488"/>
      <c r="E82" s="488"/>
      <c r="F82" s="488"/>
      <c r="G82" s="488"/>
      <c r="H82" s="489"/>
      <c r="I82" s="228"/>
      <c r="J82" s="228"/>
      <c r="K82" s="228"/>
      <c r="L82" s="228"/>
      <c r="M82" s="227"/>
      <c r="N82" s="476" t="s">
        <v>164</v>
      </c>
      <c r="O82" s="476" t="s">
        <v>105</v>
      </c>
      <c r="P82" s="482">
        <f>P62+7</f>
        <v>45923</v>
      </c>
      <c r="Q82" s="483"/>
      <c r="R82" s="483"/>
      <c r="S82" s="483"/>
      <c r="T82" s="483"/>
      <c r="U82" s="479">
        <f>P82+1</f>
        <v>45924</v>
      </c>
      <c r="V82" s="480"/>
      <c r="W82" s="480"/>
      <c r="X82" s="480"/>
      <c r="Y82" s="481"/>
      <c r="Z82" s="479">
        <f>U82+1</f>
        <v>45925</v>
      </c>
      <c r="AA82" s="480"/>
      <c r="AB82" s="480"/>
      <c r="AC82" s="480"/>
      <c r="AD82" s="481"/>
      <c r="AE82" s="479">
        <f t="shared" ref="AE82" si="36">Z82+1</f>
        <v>45926</v>
      </c>
      <c r="AF82" s="480"/>
      <c r="AG82" s="480"/>
      <c r="AH82" s="480"/>
      <c r="AI82" s="481"/>
      <c r="AJ82" s="479">
        <f t="shared" ref="AJ82" si="37">AE82+1</f>
        <v>45927</v>
      </c>
      <c r="AK82" s="480"/>
      <c r="AL82" s="480"/>
      <c r="AM82" s="480"/>
      <c r="AN82" s="481"/>
      <c r="AO82" s="479">
        <f t="shared" ref="AO82" si="38">AJ82+1</f>
        <v>45928</v>
      </c>
      <c r="AP82" s="480"/>
      <c r="AQ82" s="480"/>
      <c r="AR82" s="480"/>
      <c r="AS82" s="481"/>
      <c r="AT82" s="479">
        <f t="shared" ref="AT82" si="39">AO82+1</f>
        <v>45929</v>
      </c>
      <c r="AU82" s="480"/>
      <c r="AV82" s="480"/>
      <c r="AW82" s="480"/>
      <c r="AX82" s="481"/>
    </row>
    <row r="83" spans="2:50" ht="15.75">
      <c r="B83" s="490"/>
      <c r="C83" s="490"/>
      <c r="D83" s="490"/>
      <c r="E83" s="490"/>
      <c r="F83" s="490"/>
      <c r="G83" s="490"/>
      <c r="H83" s="490"/>
      <c r="I83" s="225"/>
      <c r="J83" s="225"/>
      <c r="K83" s="225"/>
      <c r="L83" s="225"/>
      <c r="M83" s="226"/>
      <c r="N83" s="478"/>
      <c r="O83" s="478"/>
      <c r="P83" s="482" t="s">
        <v>393</v>
      </c>
      <c r="Q83" s="483"/>
      <c r="R83" s="483"/>
      <c r="S83" s="483"/>
      <c r="T83" s="483"/>
      <c r="U83" s="482" t="s">
        <v>394</v>
      </c>
      <c r="V83" s="483"/>
      <c r="W83" s="483"/>
      <c r="X83" s="483"/>
      <c r="Y83" s="483"/>
      <c r="Z83" s="482" t="s">
        <v>395</v>
      </c>
      <c r="AA83" s="483"/>
      <c r="AB83" s="483"/>
      <c r="AC83" s="483"/>
      <c r="AD83" s="483"/>
      <c r="AE83" s="482" t="s">
        <v>396</v>
      </c>
      <c r="AF83" s="483"/>
      <c r="AG83" s="483"/>
      <c r="AH83" s="483"/>
      <c r="AI83" s="483"/>
      <c r="AJ83" s="482" t="s">
        <v>397</v>
      </c>
      <c r="AK83" s="483"/>
      <c r="AL83" s="483"/>
      <c r="AM83" s="483"/>
      <c r="AN83" s="483"/>
      <c r="AO83" s="482" t="s">
        <v>398</v>
      </c>
      <c r="AP83" s="483"/>
      <c r="AQ83" s="483"/>
      <c r="AR83" s="483"/>
      <c r="AS83" s="483"/>
      <c r="AT83" s="482" t="s">
        <v>399</v>
      </c>
      <c r="AU83" s="483"/>
      <c r="AV83" s="483"/>
      <c r="AW83" s="483"/>
      <c r="AX83" s="483"/>
    </row>
    <row r="84" spans="2:50">
      <c r="B84" s="475" t="s">
        <v>707</v>
      </c>
      <c r="C84" s="475" t="s">
        <v>708</v>
      </c>
      <c r="D84" s="475"/>
      <c r="E84" s="475" t="s">
        <v>709</v>
      </c>
      <c r="F84" s="475"/>
      <c r="G84" s="475"/>
      <c r="H84" s="491" t="s">
        <v>710</v>
      </c>
      <c r="I84" s="459" t="s">
        <v>711</v>
      </c>
      <c r="J84" s="459"/>
      <c r="K84" s="459"/>
      <c r="L84" s="460" t="s">
        <v>710</v>
      </c>
      <c r="M84" s="466" t="s">
        <v>712</v>
      </c>
      <c r="N84" s="475"/>
      <c r="O84" s="475" t="s">
        <v>713</v>
      </c>
      <c r="P84" s="472" t="s">
        <v>714</v>
      </c>
      <c r="Q84" s="473"/>
      <c r="R84" s="473"/>
      <c r="S84" s="474"/>
      <c r="T84" s="475" t="s">
        <v>710</v>
      </c>
      <c r="U84" s="472" t="s">
        <v>714</v>
      </c>
      <c r="V84" s="473"/>
      <c r="W84" s="473"/>
      <c r="X84" s="474"/>
      <c r="Y84" s="475" t="s">
        <v>710</v>
      </c>
      <c r="Z84" s="472" t="s">
        <v>714</v>
      </c>
      <c r="AA84" s="473"/>
      <c r="AB84" s="473"/>
      <c r="AC84" s="474"/>
      <c r="AD84" s="475" t="s">
        <v>710</v>
      </c>
      <c r="AE84" s="472" t="s">
        <v>714</v>
      </c>
      <c r="AF84" s="473"/>
      <c r="AG84" s="473"/>
      <c r="AH84" s="474"/>
      <c r="AI84" s="475" t="s">
        <v>710</v>
      </c>
      <c r="AJ84" s="472" t="s">
        <v>714</v>
      </c>
      <c r="AK84" s="473"/>
      <c r="AL84" s="473"/>
      <c r="AM84" s="474"/>
      <c r="AN84" s="475" t="s">
        <v>710</v>
      </c>
      <c r="AO84" s="472" t="s">
        <v>714</v>
      </c>
      <c r="AP84" s="473"/>
      <c r="AQ84" s="473"/>
      <c r="AR84" s="474"/>
      <c r="AS84" s="475" t="s">
        <v>710</v>
      </c>
      <c r="AT84" s="472" t="s">
        <v>714</v>
      </c>
      <c r="AU84" s="473"/>
      <c r="AV84" s="473"/>
      <c r="AW84" s="474"/>
      <c r="AX84" s="475" t="s">
        <v>710</v>
      </c>
    </row>
    <row r="85" spans="2:50">
      <c r="B85" s="475"/>
      <c r="C85" s="475"/>
      <c r="D85" s="475"/>
      <c r="E85" s="475" t="s">
        <v>715</v>
      </c>
      <c r="F85" s="475"/>
      <c r="G85" s="475"/>
      <c r="H85" s="492"/>
      <c r="I85" s="459" t="s">
        <v>715</v>
      </c>
      <c r="J85" s="459"/>
      <c r="K85" s="459"/>
      <c r="L85" s="461"/>
      <c r="M85" s="467"/>
      <c r="N85" s="475"/>
      <c r="O85" s="475"/>
      <c r="P85" s="472" t="s">
        <v>716</v>
      </c>
      <c r="Q85" s="473"/>
      <c r="R85" s="473"/>
      <c r="S85" s="474"/>
      <c r="T85" s="475"/>
      <c r="U85" s="472" t="s">
        <v>716</v>
      </c>
      <c r="V85" s="473"/>
      <c r="W85" s="473"/>
      <c r="X85" s="474"/>
      <c r="Y85" s="475"/>
      <c r="Z85" s="472" t="s">
        <v>716</v>
      </c>
      <c r="AA85" s="473"/>
      <c r="AB85" s="473"/>
      <c r="AC85" s="474"/>
      <c r="AD85" s="475"/>
      <c r="AE85" s="472" t="s">
        <v>716</v>
      </c>
      <c r="AF85" s="473"/>
      <c r="AG85" s="473"/>
      <c r="AH85" s="474"/>
      <c r="AI85" s="475"/>
      <c r="AJ85" s="472" t="s">
        <v>716</v>
      </c>
      <c r="AK85" s="473"/>
      <c r="AL85" s="473"/>
      <c r="AM85" s="474"/>
      <c r="AN85" s="475"/>
      <c r="AO85" s="472" t="s">
        <v>716</v>
      </c>
      <c r="AP85" s="473"/>
      <c r="AQ85" s="473"/>
      <c r="AR85" s="474"/>
      <c r="AS85" s="475"/>
      <c r="AT85" s="472" t="s">
        <v>716</v>
      </c>
      <c r="AU85" s="473"/>
      <c r="AV85" s="473"/>
      <c r="AW85" s="474"/>
      <c r="AX85" s="475"/>
    </row>
    <row r="86" spans="2:50">
      <c r="B86" s="475"/>
      <c r="C86" s="475"/>
      <c r="D86" s="475"/>
      <c r="E86" s="335" t="s">
        <v>717</v>
      </c>
      <c r="F86" s="335" t="s">
        <v>718</v>
      </c>
      <c r="G86" s="335" t="s">
        <v>719</v>
      </c>
      <c r="H86" s="493"/>
      <c r="I86" s="337" t="s">
        <v>717</v>
      </c>
      <c r="J86" s="337" t="s">
        <v>718</v>
      </c>
      <c r="K86" s="337" t="s">
        <v>719</v>
      </c>
      <c r="L86" s="462"/>
      <c r="M86" s="468"/>
      <c r="N86" s="475"/>
      <c r="O86" s="475"/>
      <c r="P86" s="335" t="s">
        <v>717</v>
      </c>
      <c r="Q86" s="335" t="s">
        <v>718</v>
      </c>
      <c r="R86" s="335" t="s">
        <v>719</v>
      </c>
      <c r="S86" s="335" t="s">
        <v>712</v>
      </c>
      <c r="T86" s="475"/>
      <c r="U86" s="335" t="s">
        <v>717</v>
      </c>
      <c r="V86" s="335" t="s">
        <v>718</v>
      </c>
      <c r="W86" s="335" t="s">
        <v>719</v>
      </c>
      <c r="X86" s="335" t="s">
        <v>712</v>
      </c>
      <c r="Y86" s="475"/>
      <c r="Z86" s="335" t="s">
        <v>717</v>
      </c>
      <c r="AA86" s="335" t="s">
        <v>718</v>
      </c>
      <c r="AB86" s="335" t="s">
        <v>719</v>
      </c>
      <c r="AC86" s="335" t="s">
        <v>712</v>
      </c>
      <c r="AD86" s="475"/>
      <c r="AE86" s="335" t="s">
        <v>717</v>
      </c>
      <c r="AF86" s="335" t="s">
        <v>718</v>
      </c>
      <c r="AG86" s="335" t="s">
        <v>719</v>
      </c>
      <c r="AH86" s="335" t="s">
        <v>712</v>
      </c>
      <c r="AI86" s="475"/>
      <c r="AJ86" s="335" t="s">
        <v>717</v>
      </c>
      <c r="AK86" s="335" t="s">
        <v>718</v>
      </c>
      <c r="AL86" s="335" t="s">
        <v>719</v>
      </c>
      <c r="AM86" s="335" t="s">
        <v>712</v>
      </c>
      <c r="AN86" s="475"/>
      <c r="AO86" s="335" t="s">
        <v>717</v>
      </c>
      <c r="AP86" s="335" t="s">
        <v>718</v>
      </c>
      <c r="AQ86" s="335" t="s">
        <v>719</v>
      </c>
      <c r="AR86" s="335" t="s">
        <v>712</v>
      </c>
      <c r="AS86" s="475"/>
      <c r="AT86" s="335" t="s">
        <v>717</v>
      </c>
      <c r="AU86" s="335" t="s">
        <v>718</v>
      </c>
      <c r="AV86" s="335" t="s">
        <v>719</v>
      </c>
      <c r="AW86" s="335" t="s">
        <v>712</v>
      </c>
      <c r="AX86" s="475"/>
    </row>
    <row r="87" spans="2:50">
      <c r="B87" s="475" t="s">
        <v>722</v>
      </c>
      <c r="C87" s="334">
        <v>1</v>
      </c>
      <c r="D87" s="257"/>
      <c r="E87" s="187"/>
      <c r="F87" s="334"/>
      <c r="G87" s="336">
        <v>123.69230769230764</v>
      </c>
      <c r="H87" s="507">
        <f>AVERAGE(G87:G101)</f>
        <v>123.69230769230764</v>
      </c>
      <c r="I87" s="219" t="e">
        <f>AVERAGE(P87,U87,Z87,AE87,AJ87,AO87,AT87)</f>
        <v>#DIV/0!</v>
      </c>
      <c r="J87" s="219" t="e">
        <f>AVERAGE(Q87,V87,AA87,AF87,AK87,AP87,AU87)</f>
        <v>#DIV/0!</v>
      </c>
      <c r="K87" s="220" t="e">
        <f>AVERAGE(R87,W87,AB87,AG87,AL87,AQ87,AV87)</f>
        <v>#DIV/0!</v>
      </c>
      <c r="L87" s="456" t="str">
        <f>IFERROR(AVERAGE(K87:K101),"-")</f>
        <v>-</v>
      </c>
      <c r="M87" s="221" t="e">
        <f>RANK(K87, K$87:$K$101)</f>
        <v>#DIV/0!</v>
      </c>
      <c r="N87" s="475"/>
      <c r="O87" s="475"/>
      <c r="P87" s="334"/>
      <c r="Q87" s="187"/>
      <c r="R87" s="336"/>
      <c r="S87" s="334" t="e">
        <f>RANK(R87, R$87:R$101)</f>
        <v>#N/A</v>
      </c>
      <c r="T87" s="506" t="e">
        <f>AVERAGE(R87:R101)</f>
        <v>#DIV/0!</v>
      </c>
      <c r="U87" s="351"/>
      <c r="V87" s="187"/>
      <c r="W87" s="354"/>
      <c r="X87" s="334" t="e">
        <f>RANK(W87, W$87:W$101)</f>
        <v>#N/A</v>
      </c>
      <c r="Y87" s="506" t="e">
        <f>AVERAGE(W87:W101)</f>
        <v>#DIV/0!</v>
      </c>
      <c r="Z87" s="351"/>
      <c r="AA87" s="187"/>
      <c r="AB87" s="354"/>
      <c r="AC87" s="334" t="e">
        <f>RANK(AB87, AB$87:AB$101)</f>
        <v>#N/A</v>
      </c>
      <c r="AD87" s="506" t="e">
        <f>AVERAGE(AB87:AB101)</f>
        <v>#DIV/0!</v>
      </c>
      <c r="AE87" s="351"/>
      <c r="AF87" s="187"/>
      <c r="AG87" s="354"/>
      <c r="AH87" s="334" t="e">
        <f>RANK(AG87, AG$87:AG$101)</f>
        <v>#N/A</v>
      </c>
      <c r="AI87" s="506" t="e">
        <f>AVERAGE(AG87:AG101)</f>
        <v>#DIV/0!</v>
      </c>
      <c r="AJ87" s="351"/>
      <c r="AK87" s="187"/>
      <c r="AL87" s="354"/>
      <c r="AM87" s="334" t="e">
        <f>RANK(AL87, AL$87:AL$101)</f>
        <v>#N/A</v>
      </c>
      <c r="AN87" s="506" t="e">
        <f>AVERAGE(AL87:AL101)</f>
        <v>#DIV/0!</v>
      </c>
      <c r="AO87" s="351"/>
      <c r="AP87" s="187"/>
      <c r="AQ87" s="354"/>
      <c r="AR87" s="334" t="e">
        <f>RANK(AQ87, AQ$87:AQ$101)</f>
        <v>#N/A</v>
      </c>
      <c r="AS87" s="506" t="e">
        <f>AVERAGE(AQ87:AQ101)</f>
        <v>#DIV/0!</v>
      </c>
      <c r="AT87" s="334"/>
      <c r="AU87" s="187"/>
      <c r="AV87" s="336"/>
      <c r="AW87" s="334" t="e">
        <f>RANK(AV87, AV$87:AV$101)</f>
        <v>#N/A</v>
      </c>
      <c r="AX87" s="506" t="e">
        <f>AVERAGE(AV87:AV101)</f>
        <v>#DIV/0!</v>
      </c>
    </row>
    <row r="88" spans="2:50">
      <c r="B88" s="483"/>
      <c r="C88" s="334">
        <v>2</v>
      </c>
      <c r="D88" s="257"/>
      <c r="E88" s="187"/>
      <c r="F88" s="334"/>
      <c r="G88" s="336"/>
      <c r="H88" s="508"/>
      <c r="I88" s="219"/>
      <c r="J88" s="219"/>
      <c r="K88" s="220"/>
      <c r="L88" s="457"/>
      <c r="M88" s="221" t="e">
        <f>RANK(K88, K$87:$K$101)</f>
        <v>#DIV/0!</v>
      </c>
      <c r="N88" s="475"/>
      <c r="O88" s="475"/>
      <c r="P88" s="334"/>
      <c r="Q88" s="334"/>
      <c r="R88" s="334"/>
      <c r="S88" s="334" t="e">
        <f t="shared" ref="S88:S101" si="40">RANK(R88, R$87:R$101)</f>
        <v>#N/A</v>
      </c>
      <c r="T88" s="506"/>
      <c r="U88" s="334"/>
      <c r="V88" s="334"/>
      <c r="W88" s="334"/>
      <c r="X88" s="334" t="e">
        <f t="shared" ref="X88:X101" si="41">RANK(W88, W$87:W$101)</f>
        <v>#N/A</v>
      </c>
      <c r="Y88" s="506"/>
      <c r="Z88" s="334"/>
      <c r="AA88" s="334"/>
      <c r="AB88" s="334"/>
      <c r="AC88" s="334" t="e">
        <f t="shared" ref="AC88:AC101" si="42">RANK(AB88, AB$87:AB$101)</f>
        <v>#N/A</v>
      </c>
      <c r="AD88" s="506"/>
      <c r="AE88" s="334"/>
      <c r="AF88" s="334"/>
      <c r="AG88" s="334"/>
      <c r="AH88" s="334" t="e">
        <f t="shared" ref="AH88:AH101" si="43">RANK(AG88, AG$87:AG$101)</f>
        <v>#N/A</v>
      </c>
      <c r="AI88" s="506"/>
      <c r="AJ88" s="334"/>
      <c r="AK88" s="334"/>
      <c r="AL88" s="334"/>
      <c r="AM88" s="334" t="e">
        <f t="shared" ref="AM88:AM101" si="44">RANK(AL88, AL$87:AL$101)</f>
        <v>#N/A</v>
      </c>
      <c r="AN88" s="506"/>
      <c r="AO88" s="334"/>
      <c r="AP88" s="334"/>
      <c r="AQ88" s="334"/>
      <c r="AR88" s="334" t="e">
        <f t="shared" ref="AR88:AR101" si="45">RANK(AQ88, AQ$87:AQ$101)</f>
        <v>#N/A</v>
      </c>
      <c r="AS88" s="506"/>
      <c r="AT88" s="334"/>
      <c r="AU88" s="334"/>
      <c r="AV88" s="334"/>
      <c r="AW88" s="334" t="e">
        <f t="shared" ref="AW88:AW101" si="46">RANK(AV88, AV$87:AV$101)</f>
        <v>#N/A</v>
      </c>
      <c r="AX88" s="506"/>
    </row>
    <row r="89" spans="2:50">
      <c r="B89" s="483"/>
      <c r="C89" s="334">
        <v>3</v>
      </c>
      <c r="D89" s="257"/>
      <c r="E89" s="187"/>
      <c r="F89" s="334"/>
      <c r="G89" s="336"/>
      <c r="H89" s="508"/>
      <c r="I89" s="219"/>
      <c r="J89" s="219"/>
      <c r="K89" s="220"/>
      <c r="L89" s="457"/>
      <c r="M89" s="221" t="e">
        <f>RANK(K89, K$87:$K$101)</f>
        <v>#DIV/0!</v>
      </c>
      <c r="N89" s="475"/>
      <c r="O89" s="475"/>
      <c r="P89" s="334"/>
      <c r="Q89" s="334"/>
      <c r="R89" s="334"/>
      <c r="S89" s="334" t="e">
        <f t="shared" si="40"/>
        <v>#N/A</v>
      </c>
      <c r="T89" s="506"/>
      <c r="U89" s="334"/>
      <c r="V89" s="334"/>
      <c r="W89" s="334"/>
      <c r="X89" s="334" t="e">
        <f t="shared" si="41"/>
        <v>#N/A</v>
      </c>
      <c r="Y89" s="506"/>
      <c r="Z89" s="334"/>
      <c r="AA89" s="334"/>
      <c r="AB89" s="334"/>
      <c r="AC89" s="334" t="e">
        <f t="shared" si="42"/>
        <v>#N/A</v>
      </c>
      <c r="AD89" s="506"/>
      <c r="AE89" s="334"/>
      <c r="AF89" s="334"/>
      <c r="AG89" s="334"/>
      <c r="AH89" s="334" t="e">
        <f t="shared" si="43"/>
        <v>#N/A</v>
      </c>
      <c r="AI89" s="506"/>
      <c r="AJ89" s="334"/>
      <c r="AK89" s="334"/>
      <c r="AL89" s="334"/>
      <c r="AM89" s="334" t="e">
        <f t="shared" si="44"/>
        <v>#N/A</v>
      </c>
      <c r="AN89" s="506"/>
      <c r="AO89" s="334"/>
      <c r="AP89" s="334"/>
      <c r="AQ89" s="334"/>
      <c r="AR89" s="334" t="e">
        <f t="shared" si="45"/>
        <v>#N/A</v>
      </c>
      <c r="AS89" s="506"/>
      <c r="AT89" s="334"/>
      <c r="AU89" s="334"/>
      <c r="AV89" s="334"/>
      <c r="AW89" s="334" t="e">
        <f t="shared" si="46"/>
        <v>#N/A</v>
      </c>
      <c r="AX89" s="506"/>
    </row>
    <row r="90" spans="2:50">
      <c r="B90" s="483"/>
      <c r="C90" s="334">
        <v>4</v>
      </c>
      <c r="D90" s="257"/>
      <c r="E90" s="187"/>
      <c r="F90" s="334"/>
      <c r="G90" s="336"/>
      <c r="H90" s="508"/>
      <c r="I90" s="219"/>
      <c r="J90" s="219"/>
      <c r="K90" s="220"/>
      <c r="L90" s="457"/>
      <c r="M90" s="221" t="e">
        <f>RANK(K90, K$87:$K$101)</f>
        <v>#DIV/0!</v>
      </c>
      <c r="N90" s="475"/>
      <c r="O90" s="475"/>
      <c r="P90" s="334"/>
      <c r="Q90" s="334"/>
      <c r="R90" s="334"/>
      <c r="S90" s="334" t="e">
        <f t="shared" si="40"/>
        <v>#N/A</v>
      </c>
      <c r="T90" s="506"/>
      <c r="U90" s="334"/>
      <c r="V90" s="334"/>
      <c r="W90" s="334"/>
      <c r="X90" s="334" t="e">
        <f t="shared" si="41"/>
        <v>#N/A</v>
      </c>
      <c r="Y90" s="506"/>
      <c r="Z90" s="334"/>
      <c r="AA90" s="334"/>
      <c r="AB90" s="334"/>
      <c r="AC90" s="334" t="e">
        <f t="shared" si="42"/>
        <v>#N/A</v>
      </c>
      <c r="AD90" s="506"/>
      <c r="AE90" s="334"/>
      <c r="AF90" s="334"/>
      <c r="AG90" s="334"/>
      <c r="AH90" s="334" t="e">
        <f t="shared" si="43"/>
        <v>#N/A</v>
      </c>
      <c r="AI90" s="506"/>
      <c r="AJ90" s="334"/>
      <c r="AK90" s="334"/>
      <c r="AL90" s="334"/>
      <c r="AM90" s="334" t="e">
        <f t="shared" si="44"/>
        <v>#N/A</v>
      </c>
      <c r="AN90" s="506"/>
      <c r="AO90" s="334"/>
      <c r="AP90" s="334"/>
      <c r="AQ90" s="334"/>
      <c r="AR90" s="334" t="e">
        <f t="shared" si="45"/>
        <v>#N/A</v>
      </c>
      <c r="AS90" s="506"/>
      <c r="AT90" s="334"/>
      <c r="AU90" s="334"/>
      <c r="AV90" s="334"/>
      <c r="AW90" s="334" t="e">
        <f t="shared" si="46"/>
        <v>#N/A</v>
      </c>
      <c r="AX90" s="506"/>
    </row>
    <row r="91" spans="2:50">
      <c r="B91" s="483"/>
      <c r="C91" s="334">
        <v>5</v>
      </c>
      <c r="D91" s="257"/>
      <c r="E91" s="187"/>
      <c r="F91" s="334"/>
      <c r="G91" s="336"/>
      <c r="H91" s="508"/>
      <c r="I91" s="219"/>
      <c r="J91" s="219"/>
      <c r="K91" s="220"/>
      <c r="L91" s="457"/>
      <c r="M91" s="221" t="e">
        <f>RANK(K91, K$87:$K$101)</f>
        <v>#DIV/0!</v>
      </c>
      <c r="N91" s="475"/>
      <c r="O91" s="475"/>
      <c r="P91" s="334"/>
      <c r="Q91" s="334"/>
      <c r="R91" s="334"/>
      <c r="S91" s="334" t="e">
        <f t="shared" si="40"/>
        <v>#N/A</v>
      </c>
      <c r="T91" s="506"/>
      <c r="U91" s="334"/>
      <c r="V91" s="334"/>
      <c r="W91" s="334"/>
      <c r="X91" s="334" t="e">
        <f t="shared" si="41"/>
        <v>#N/A</v>
      </c>
      <c r="Y91" s="506"/>
      <c r="Z91" s="334"/>
      <c r="AA91" s="334"/>
      <c r="AB91" s="334"/>
      <c r="AC91" s="334" t="e">
        <f t="shared" si="42"/>
        <v>#N/A</v>
      </c>
      <c r="AD91" s="506"/>
      <c r="AE91" s="334"/>
      <c r="AF91" s="334"/>
      <c r="AG91" s="334"/>
      <c r="AH91" s="334" t="e">
        <f t="shared" si="43"/>
        <v>#N/A</v>
      </c>
      <c r="AI91" s="506"/>
      <c r="AJ91" s="334"/>
      <c r="AK91" s="334"/>
      <c r="AL91" s="334"/>
      <c r="AM91" s="334" t="e">
        <f t="shared" si="44"/>
        <v>#N/A</v>
      </c>
      <c r="AN91" s="506"/>
      <c r="AO91" s="334"/>
      <c r="AP91" s="334"/>
      <c r="AQ91" s="334"/>
      <c r="AR91" s="334" t="e">
        <f t="shared" si="45"/>
        <v>#N/A</v>
      </c>
      <c r="AS91" s="506"/>
      <c r="AT91" s="334"/>
      <c r="AU91" s="334"/>
      <c r="AV91" s="334"/>
      <c r="AW91" s="334" t="e">
        <f t="shared" si="46"/>
        <v>#N/A</v>
      </c>
      <c r="AX91" s="506"/>
    </row>
    <row r="92" spans="2:50">
      <c r="B92" s="483"/>
      <c r="C92" s="334">
        <v>6</v>
      </c>
      <c r="D92" s="257"/>
      <c r="E92" s="187"/>
      <c r="F92" s="334"/>
      <c r="G92" s="336"/>
      <c r="H92" s="508"/>
      <c r="I92" s="219"/>
      <c r="J92" s="219"/>
      <c r="K92" s="220"/>
      <c r="L92" s="457"/>
      <c r="M92" s="221" t="e">
        <f>RANK(K92, K$87:$K$101)</f>
        <v>#DIV/0!</v>
      </c>
      <c r="N92" s="475"/>
      <c r="O92" s="475"/>
      <c r="P92" s="334"/>
      <c r="Q92" s="334"/>
      <c r="R92" s="334"/>
      <c r="S92" s="334" t="e">
        <f t="shared" si="40"/>
        <v>#N/A</v>
      </c>
      <c r="T92" s="506"/>
      <c r="U92" s="334"/>
      <c r="V92" s="334"/>
      <c r="W92" s="334"/>
      <c r="X92" s="334" t="e">
        <f t="shared" si="41"/>
        <v>#N/A</v>
      </c>
      <c r="Y92" s="506"/>
      <c r="Z92" s="334"/>
      <c r="AA92" s="334"/>
      <c r="AB92" s="334"/>
      <c r="AC92" s="334" t="e">
        <f t="shared" si="42"/>
        <v>#N/A</v>
      </c>
      <c r="AD92" s="506"/>
      <c r="AE92" s="334"/>
      <c r="AF92" s="334"/>
      <c r="AG92" s="334"/>
      <c r="AH92" s="334" t="e">
        <f t="shared" si="43"/>
        <v>#N/A</v>
      </c>
      <c r="AI92" s="506"/>
      <c r="AJ92" s="334"/>
      <c r="AK92" s="334"/>
      <c r="AL92" s="334"/>
      <c r="AM92" s="334" t="e">
        <f t="shared" si="44"/>
        <v>#N/A</v>
      </c>
      <c r="AN92" s="506"/>
      <c r="AO92" s="334"/>
      <c r="AP92" s="334"/>
      <c r="AQ92" s="334"/>
      <c r="AR92" s="334" t="e">
        <f t="shared" si="45"/>
        <v>#N/A</v>
      </c>
      <c r="AS92" s="506"/>
      <c r="AT92" s="334"/>
      <c r="AU92" s="334"/>
      <c r="AV92" s="334"/>
      <c r="AW92" s="334" t="e">
        <f t="shared" si="46"/>
        <v>#N/A</v>
      </c>
      <c r="AX92" s="506"/>
    </row>
    <row r="93" spans="2:50">
      <c r="B93" s="483"/>
      <c r="C93" s="334">
        <v>7</v>
      </c>
      <c r="D93" s="257"/>
      <c r="E93" s="187"/>
      <c r="F93" s="334"/>
      <c r="G93" s="336"/>
      <c r="H93" s="508"/>
      <c r="I93" s="219"/>
      <c r="J93" s="219"/>
      <c r="K93" s="220"/>
      <c r="L93" s="457"/>
      <c r="M93" s="221" t="e">
        <f>RANK(K93, K$87:$K$101)</f>
        <v>#DIV/0!</v>
      </c>
      <c r="N93" s="475"/>
      <c r="O93" s="475"/>
      <c r="P93" s="334"/>
      <c r="Q93" s="334"/>
      <c r="R93" s="334"/>
      <c r="S93" s="334" t="e">
        <f t="shared" si="40"/>
        <v>#N/A</v>
      </c>
      <c r="T93" s="506"/>
      <c r="U93" s="334"/>
      <c r="V93" s="334"/>
      <c r="W93" s="334"/>
      <c r="X93" s="334" t="e">
        <f t="shared" si="41"/>
        <v>#N/A</v>
      </c>
      <c r="Y93" s="506"/>
      <c r="Z93" s="334"/>
      <c r="AA93" s="334"/>
      <c r="AB93" s="334"/>
      <c r="AC93" s="334" t="e">
        <f t="shared" si="42"/>
        <v>#N/A</v>
      </c>
      <c r="AD93" s="506"/>
      <c r="AE93" s="334"/>
      <c r="AF93" s="334"/>
      <c r="AG93" s="334"/>
      <c r="AH93" s="334" t="e">
        <f t="shared" si="43"/>
        <v>#N/A</v>
      </c>
      <c r="AI93" s="506"/>
      <c r="AJ93" s="334"/>
      <c r="AK93" s="334"/>
      <c r="AL93" s="334"/>
      <c r="AM93" s="334" t="e">
        <f t="shared" si="44"/>
        <v>#N/A</v>
      </c>
      <c r="AN93" s="506"/>
      <c r="AO93" s="334"/>
      <c r="AP93" s="334"/>
      <c r="AQ93" s="334"/>
      <c r="AR93" s="334" t="e">
        <f t="shared" si="45"/>
        <v>#N/A</v>
      </c>
      <c r="AS93" s="506"/>
      <c r="AT93" s="334"/>
      <c r="AU93" s="334"/>
      <c r="AV93" s="334"/>
      <c r="AW93" s="334" t="e">
        <f t="shared" si="46"/>
        <v>#N/A</v>
      </c>
      <c r="AX93" s="506"/>
    </row>
    <row r="94" spans="2:50">
      <c r="B94" s="483"/>
      <c r="C94" s="334">
        <v>8</v>
      </c>
      <c r="D94" s="257"/>
      <c r="E94" s="187"/>
      <c r="F94" s="334"/>
      <c r="G94" s="336"/>
      <c r="H94" s="508"/>
      <c r="I94" s="219"/>
      <c r="J94" s="219"/>
      <c r="K94" s="220"/>
      <c r="L94" s="457"/>
      <c r="M94" s="221" t="e">
        <f>RANK(K94, K$87:$K$101)</f>
        <v>#DIV/0!</v>
      </c>
      <c r="N94" s="475"/>
      <c r="O94" s="475"/>
      <c r="P94" s="334"/>
      <c r="Q94" s="334"/>
      <c r="R94" s="334"/>
      <c r="S94" s="334" t="e">
        <f t="shared" si="40"/>
        <v>#N/A</v>
      </c>
      <c r="T94" s="506"/>
      <c r="U94" s="334"/>
      <c r="V94" s="334"/>
      <c r="W94" s="334"/>
      <c r="X94" s="334" t="e">
        <f t="shared" si="41"/>
        <v>#N/A</v>
      </c>
      <c r="Y94" s="506"/>
      <c r="Z94" s="334"/>
      <c r="AA94" s="334"/>
      <c r="AB94" s="334"/>
      <c r="AC94" s="334" t="e">
        <f t="shared" si="42"/>
        <v>#N/A</v>
      </c>
      <c r="AD94" s="506"/>
      <c r="AE94" s="334"/>
      <c r="AF94" s="334"/>
      <c r="AG94" s="334"/>
      <c r="AH94" s="334" t="e">
        <f t="shared" si="43"/>
        <v>#N/A</v>
      </c>
      <c r="AI94" s="506"/>
      <c r="AJ94" s="334"/>
      <c r="AK94" s="334"/>
      <c r="AL94" s="334"/>
      <c r="AM94" s="334" t="e">
        <f t="shared" si="44"/>
        <v>#N/A</v>
      </c>
      <c r="AN94" s="506"/>
      <c r="AO94" s="334"/>
      <c r="AP94" s="334"/>
      <c r="AQ94" s="334"/>
      <c r="AR94" s="334" t="e">
        <f t="shared" si="45"/>
        <v>#N/A</v>
      </c>
      <c r="AS94" s="506"/>
      <c r="AT94" s="334"/>
      <c r="AU94" s="334"/>
      <c r="AV94" s="334"/>
      <c r="AW94" s="334" t="e">
        <f t="shared" si="46"/>
        <v>#N/A</v>
      </c>
      <c r="AX94" s="506"/>
    </row>
    <row r="95" spans="2:50">
      <c r="B95" s="483"/>
      <c r="C95" s="334">
        <v>9</v>
      </c>
      <c r="D95" s="257"/>
      <c r="E95" s="187"/>
      <c r="F95" s="334"/>
      <c r="G95" s="336"/>
      <c r="H95" s="508"/>
      <c r="I95" s="219"/>
      <c r="J95" s="219"/>
      <c r="K95" s="220"/>
      <c r="L95" s="457"/>
      <c r="M95" s="221" t="e">
        <f>RANK(K95, K$87:$K$101)</f>
        <v>#DIV/0!</v>
      </c>
      <c r="N95" s="475"/>
      <c r="O95" s="475"/>
      <c r="P95" s="334"/>
      <c r="Q95" s="334"/>
      <c r="R95" s="334"/>
      <c r="S95" s="334" t="e">
        <f t="shared" si="40"/>
        <v>#N/A</v>
      </c>
      <c r="T95" s="506"/>
      <c r="U95" s="334"/>
      <c r="V95" s="334"/>
      <c r="W95" s="334"/>
      <c r="X95" s="334" t="e">
        <f t="shared" si="41"/>
        <v>#N/A</v>
      </c>
      <c r="Y95" s="506"/>
      <c r="Z95" s="334"/>
      <c r="AA95" s="334"/>
      <c r="AB95" s="334"/>
      <c r="AC95" s="334" t="e">
        <f t="shared" si="42"/>
        <v>#N/A</v>
      </c>
      <c r="AD95" s="506"/>
      <c r="AE95" s="334"/>
      <c r="AF95" s="334"/>
      <c r="AG95" s="334"/>
      <c r="AH95" s="334" t="e">
        <f t="shared" si="43"/>
        <v>#N/A</v>
      </c>
      <c r="AI95" s="506"/>
      <c r="AJ95" s="334"/>
      <c r="AK95" s="334"/>
      <c r="AL95" s="334"/>
      <c r="AM95" s="334" t="e">
        <f t="shared" si="44"/>
        <v>#N/A</v>
      </c>
      <c r="AN95" s="506"/>
      <c r="AO95" s="334"/>
      <c r="AP95" s="334"/>
      <c r="AQ95" s="334"/>
      <c r="AR95" s="334" t="e">
        <f t="shared" si="45"/>
        <v>#N/A</v>
      </c>
      <c r="AS95" s="506"/>
      <c r="AT95" s="334"/>
      <c r="AU95" s="334"/>
      <c r="AV95" s="334"/>
      <c r="AW95" s="334" t="e">
        <f t="shared" si="46"/>
        <v>#N/A</v>
      </c>
      <c r="AX95" s="506"/>
    </row>
    <row r="96" spans="2:50">
      <c r="B96" s="483"/>
      <c r="C96" s="334">
        <v>10</v>
      </c>
      <c r="D96" s="257"/>
      <c r="E96" s="187"/>
      <c r="F96" s="334"/>
      <c r="G96" s="336"/>
      <c r="H96" s="508"/>
      <c r="I96" s="219"/>
      <c r="J96" s="219"/>
      <c r="K96" s="220"/>
      <c r="L96" s="457"/>
      <c r="M96" s="221" t="e">
        <f>RANK(K96, K$87:$K$101)</f>
        <v>#DIV/0!</v>
      </c>
      <c r="N96" s="475"/>
      <c r="O96" s="475"/>
      <c r="P96" s="334"/>
      <c r="Q96" s="334"/>
      <c r="R96" s="334"/>
      <c r="S96" s="334" t="e">
        <f t="shared" si="40"/>
        <v>#N/A</v>
      </c>
      <c r="T96" s="506"/>
      <c r="U96" s="334"/>
      <c r="V96" s="334"/>
      <c r="W96" s="334"/>
      <c r="X96" s="334" t="e">
        <f t="shared" si="41"/>
        <v>#N/A</v>
      </c>
      <c r="Y96" s="506"/>
      <c r="Z96" s="334"/>
      <c r="AA96" s="334"/>
      <c r="AB96" s="334"/>
      <c r="AC96" s="334" t="e">
        <f t="shared" si="42"/>
        <v>#N/A</v>
      </c>
      <c r="AD96" s="506"/>
      <c r="AE96" s="334"/>
      <c r="AF96" s="334"/>
      <c r="AG96" s="334"/>
      <c r="AH96" s="334" t="e">
        <f t="shared" si="43"/>
        <v>#N/A</v>
      </c>
      <c r="AI96" s="506"/>
      <c r="AJ96" s="334"/>
      <c r="AK96" s="334"/>
      <c r="AL96" s="334"/>
      <c r="AM96" s="334" t="e">
        <f t="shared" si="44"/>
        <v>#N/A</v>
      </c>
      <c r="AN96" s="506"/>
      <c r="AO96" s="334"/>
      <c r="AP96" s="334"/>
      <c r="AQ96" s="334"/>
      <c r="AR96" s="334" t="e">
        <f t="shared" si="45"/>
        <v>#N/A</v>
      </c>
      <c r="AS96" s="506"/>
      <c r="AT96" s="334"/>
      <c r="AU96" s="334"/>
      <c r="AV96" s="334"/>
      <c r="AW96" s="334" t="e">
        <f t="shared" si="46"/>
        <v>#N/A</v>
      </c>
      <c r="AX96" s="506"/>
    </row>
    <row r="97" spans="2:50">
      <c r="B97" s="483"/>
      <c r="C97" s="334">
        <v>11</v>
      </c>
      <c r="D97" s="257"/>
      <c r="E97" s="187"/>
      <c r="F97" s="334"/>
      <c r="G97" s="336"/>
      <c r="H97" s="508"/>
      <c r="I97" s="222"/>
      <c r="J97" s="222"/>
      <c r="K97" s="222"/>
      <c r="L97" s="457"/>
      <c r="M97" s="221" t="e">
        <f>RANK(K97, K$87:$K$101)</f>
        <v>#DIV/0!</v>
      </c>
      <c r="N97" s="475"/>
      <c r="O97" s="475"/>
      <c r="P97" s="334"/>
      <c r="Q97" s="334"/>
      <c r="R97" s="334"/>
      <c r="S97" s="334" t="e">
        <f t="shared" si="40"/>
        <v>#N/A</v>
      </c>
      <c r="T97" s="506"/>
      <c r="U97" s="334"/>
      <c r="V97" s="334"/>
      <c r="W97" s="334"/>
      <c r="X97" s="334" t="e">
        <f t="shared" si="41"/>
        <v>#N/A</v>
      </c>
      <c r="Y97" s="506"/>
      <c r="Z97" s="334"/>
      <c r="AA97" s="334"/>
      <c r="AB97" s="334"/>
      <c r="AC97" s="334" t="e">
        <f t="shared" si="42"/>
        <v>#N/A</v>
      </c>
      <c r="AD97" s="506"/>
      <c r="AE97" s="334"/>
      <c r="AF97" s="334"/>
      <c r="AG97" s="334"/>
      <c r="AH97" s="334" t="e">
        <f t="shared" si="43"/>
        <v>#N/A</v>
      </c>
      <c r="AI97" s="506"/>
      <c r="AJ97" s="334"/>
      <c r="AK97" s="334"/>
      <c r="AL97" s="334"/>
      <c r="AM97" s="334" t="e">
        <f t="shared" si="44"/>
        <v>#N/A</v>
      </c>
      <c r="AN97" s="506"/>
      <c r="AO97" s="334"/>
      <c r="AP97" s="334"/>
      <c r="AQ97" s="334"/>
      <c r="AR97" s="334" t="e">
        <f t="shared" si="45"/>
        <v>#N/A</v>
      </c>
      <c r="AS97" s="506"/>
      <c r="AT97" s="334"/>
      <c r="AU97" s="334"/>
      <c r="AV97" s="334"/>
      <c r="AW97" s="334" t="e">
        <f t="shared" si="46"/>
        <v>#N/A</v>
      </c>
      <c r="AX97" s="506"/>
    </row>
    <row r="98" spans="2:50">
      <c r="B98" s="483"/>
      <c r="C98" s="334">
        <v>12</v>
      </c>
      <c r="D98" s="257"/>
      <c r="E98" s="187"/>
      <c r="F98" s="334"/>
      <c r="G98" s="336"/>
      <c r="H98" s="508"/>
      <c r="I98" s="222"/>
      <c r="J98" s="222"/>
      <c r="K98" s="222"/>
      <c r="L98" s="457"/>
      <c r="M98" s="221" t="e">
        <f>RANK(K98, K$87:$K$101)</f>
        <v>#DIV/0!</v>
      </c>
      <c r="N98" s="475"/>
      <c r="O98" s="475"/>
      <c r="P98" s="334"/>
      <c r="Q98" s="334"/>
      <c r="R98" s="334"/>
      <c r="S98" s="334" t="e">
        <f t="shared" si="40"/>
        <v>#N/A</v>
      </c>
      <c r="T98" s="506"/>
      <c r="U98" s="334"/>
      <c r="V98" s="334"/>
      <c r="W98" s="334"/>
      <c r="X98" s="334" t="e">
        <f t="shared" si="41"/>
        <v>#N/A</v>
      </c>
      <c r="Y98" s="506"/>
      <c r="Z98" s="334"/>
      <c r="AA98" s="334"/>
      <c r="AB98" s="334"/>
      <c r="AC98" s="334" t="e">
        <f t="shared" si="42"/>
        <v>#N/A</v>
      </c>
      <c r="AD98" s="506"/>
      <c r="AE98" s="334"/>
      <c r="AF98" s="334"/>
      <c r="AG98" s="334"/>
      <c r="AH98" s="334" t="e">
        <f t="shared" si="43"/>
        <v>#N/A</v>
      </c>
      <c r="AI98" s="506"/>
      <c r="AJ98" s="334"/>
      <c r="AK98" s="334"/>
      <c r="AL98" s="334"/>
      <c r="AM98" s="334" t="e">
        <f t="shared" si="44"/>
        <v>#N/A</v>
      </c>
      <c r="AN98" s="506"/>
      <c r="AO98" s="334"/>
      <c r="AP98" s="334"/>
      <c r="AQ98" s="334"/>
      <c r="AR98" s="334" t="e">
        <f t="shared" si="45"/>
        <v>#N/A</v>
      </c>
      <c r="AS98" s="506"/>
      <c r="AT98" s="334"/>
      <c r="AU98" s="334"/>
      <c r="AV98" s="334"/>
      <c r="AW98" s="334" t="e">
        <f t="shared" si="46"/>
        <v>#N/A</v>
      </c>
      <c r="AX98" s="506"/>
    </row>
    <row r="99" spans="2:50">
      <c r="B99" s="483"/>
      <c r="C99" s="334">
        <v>13</v>
      </c>
      <c r="D99" s="257"/>
      <c r="E99" s="187"/>
      <c r="F99" s="334"/>
      <c r="G99" s="336"/>
      <c r="H99" s="508"/>
      <c r="I99" s="222"/>
      <c r="J99" s="222"/>
      <c r="K99" s="222"/>
      <c r="L99" s="457"/>
      <c r="M99" s="221" t="e">
        <f>RANK(K99, K$87:$K$101)</f>
        <v>#DIV/0!</v>
      </c>
      <c r="N99" s="475"/>
      <c r="O99" s="475"/>
      <c r="P99" s="334"/>
      <c r="Q99" s="334"/>
      <c r="R99" s="334"/>
      <c r="S99" s="334" t="e">
        <f t="shared" si="40"/>
        <v>#N/A</v>
      </c>
      <c r="T99" s="506"/>
      <c r="U99" s="334"/>
      <c r="V99" s="334"/>
      <c r="W99" s="334"/>
      <c r="X99" s="334" t="e">
        <f t="shared" si="41"/>
        <v>#N/A</v>
      </c>
      <c r="Y99" s="506"/>
      <c r="Z99" s="334"/>
      <c r="AA99" s="334"/>
      <c r="AB99" s="334"/>
      <c r="AC99" s="334" t="e">
        <f t="shared" si="42"/>
        <v>#N/A</v>
      </c>
      <c r="AD99" s="506"/>
      <c r="AE99" s="334"/>
      <c r="AF99" s="334"/>
      <c r="AG99" s="334"/>
      <c r="AH99" s="334" t="e">
        <f t="shared" si="43"/>
        <v>#N/A</v>
      </c>
      <c r="AI99" s="506"/>
      <c r="AJ99" s="334"/>
      <c r="AK99" s="334"/>
      <c r="AL99" s="334"/>
      <c r="AM99" s="334" t="e">
        <f t="shared" si="44"/>
        <v>#N/A</v>
      </c>
      <c r="AN99" s="506"/>
      <c r="AO99" s="334"/>
      <c r="AP99" s="334"/>
      <c r="AQ99" s="334"/>
      <c r="AR99" s="334" t="e">
        <f t="shared" si="45"/>
        <v>#N/A</v>
      </c>
      <c r="AS99" s="506"/>
      <c r="AT99" s="334"/>
      <c r="AU99" s="334"/>
      <c r="AV99" s="334"/>
      <c r="AW99" s="334" t="e">
        <f t="shared" si="46"/>
        <v>#N/A</v>
      </c>
      <c r="AX99" s="506"/>
    </row>
    <row r="100" spans="2:50">
      <c r="B100" s="483"/>
      <c r="C100" s="334">
        <v>14</v>
      </c>
      <c r="D100" s="257"/>
      <c r="E100" s="187"/>
      <c r="F100" s="334"/>
      <c r="G100" s="336"/>
      <c r="H100" s="508"/>
      <c r="I100" s="222"/>
      <c r="J100" s="222"/>
      <c r="K100" s="222"/>
      <c r="L100" s="457"/>
      <c r="M100" s="221" t="e">
        <f>RANK(K100, K$87:$K$101)</f>
        <v>#DIV/0!</v>
      </c>
      <c r="N100" s="475"/>
      <c r="O100" s="475"/>
      <c r="P100" s="334"/>
      <c r="Q100" s="334"/>
      <c r="R100" s="334"/>
      <c r="S100" s="334" t="e">
        <f t="shared" si="40"/>
        <v>#N/A</v>
      </c>
      <c r="T100" s="506"/>
      <c r="U100" s="334"/>
      <c r="V100" s="334"/>
      <c r="W100" s="334"/>
      <c r="X100" s="334" t="e">
        <f t="shared" si="41"/>
        <v>#N/A</v>
      </c>
      <c r="Y100" s="506"/>
      <c r="Z100" s="334"/>
      <c r="AA100" s="334"/>
      <c r="AB100" s="334"/>
      <c r="AC100" s="334" t="e">
        <f t="shared" si="42"/>
        <v>#N/A</v>
      </c>
      <c r="AD100" s="506"/>
      <c r="AE100" s="334"/>
      <c r="AF100" s="334"/>
      <c r="AG100" s="334"/>
      <c r="AH100" s="334" t="e">
        <f t="shared" si="43"/>
        <v>#N/A</v>
      </c>
      <c r="AI100" s="506"/>
      <c r="AJ100" s="334"/>
      <c r="AK100" s="334"/>
      <c r="AL100" s="334"/>
      <c r="AM100" s="334" t="e">
        <f t="shared" si="44"/>
        <v>#N/A</v>
      </c>
      <c r="AN100" s="506"/>
      <c r="AO100" s="334"/>
      <c r="AP100" s="334"/>
      <c r="AQ100" s="334"/>
      <c r="AR100" s="334" t="e">
        <f t="shared" si="45"/>
        <v>#N/A</v>
      </c>
      <c r="AS100" s="506"/>
      <c r="AT100" s="334"/>
      <c r="AU100" s="334"/>
      <c r="AV100" s="334"/>
      <c r="AW100" s="334" t="e">
        <f t="shared" si="46"/>
        <v>#N/A</v>
      </c>
      <c r="AX100" s="506"/>
    </row>
    <row r="101" spans="2:50">
      <c r="B101" s="483"/>
      <c r="C101" s="334">
        <v>15</v>
      </c>
      <c r="D101" s="257"/>
      <c r="E101" s="187"/>
      <c r="F101" s="334"/>
      <c r="G101" s="336"/>
      <c r="H101" s="509"/>
      <c r="I101" s="222"/>
      <c r="J101" s="222"/>
      <c r="K101" s="222"/>
      <c r="L101" s="458"/>
      <c r="M101" s="219" t="e">
        <f>RANK(K101, K$87:$K$101)</f>
        <v>#DIV/0!</v>
      </c>
      <c r="N101" s="475"/>
      <c r="O101" s="475"/>
      <c r="P101" s="334"/>
      <c r="Q101" s="334"/>
      <c r="R101" s="334"/>
      <c r="S101" s="334" t="e">
        <f t="shared" si="40"/>
        <v>#N/A</v>
      </c>
      <c r="T101" s="506"/>
      <c r="U101" s="334"/>
      <c r="V101" s="334"/>
      <c r="W101" s="334"/>
      <c r="X101" s="334" t="e">
        <f t="shared" si="41"/>
        <v>#N/A</v>
      </c>
      <c r="Y101" s="506"/>
      <c r="Z101" s="334"/>
      <c r="AA101" s="334"/>
      <c r="AB101" s="334"/>
      <c r="AC101" s="334" t="e">
        <f t="shared" si="42"/>
        <v>#N/A</v>
      </c>
      <c r="AD101" s="506"/>
      <c r="AE101" s="334"/>
      <c r="AF101" s="334"/>
      <c r="AG101" s="334"/>
      <c r="AH101" s="334" t="e">
        <f t="shared" si="43"/>
        <v>#N/A</v>
      </c>
      <c r="AI101" s="506"/>
      <c r="AJ101" s="334"/>
      <c r="AK101" s="334"/>
      <c r="AL101" s="334"/>
      <c r="AM101" s="334" t="e">
        <f t="shared" si="44"/>
        <v>#N/A</v>
      </c>
      <c r="AN101" s="506"/>
      <c r="AO101" s="334"/>
      <c r="AP101" s="334"/>
      <c r="AQ101" s="334"/>
      <c r="AR101" s="334" t="e">
        <f t="shared" si="45"/>
        <v>#N/A</v>
      </c>
      <c r="AS101" s="506"/>
      <c r="AT101" s="334"/>
      <c r="AU101" s="334"/>
      <c r="AV101" s="334"/>
      <c r="AW101" s="334" t="e">
        <f t="shared" si="46"/>
        <v>#N/A</v>
      </c>
      <c r="AX101" s="506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76"/>
  <sheetViews>
    <sheetView zoomScale="50" zoomScaleNormal="50" workbookViewId="0">
      <pane xSplit="15" topLeftCell="S1" activePane="topRight" state="frozen"/>
      <selection sqref="A1:L2"/>
      <selection pane="topRight" sqref="A1:L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7" t="s">
        <v>381</v>
      </c>
      <c r="C1" s="248">
        <f>AVERAGE(L7,L42,L77,L112,L147)</f>
        <v>92.295595674215804</v>
      </c>
    </row>
    <row r="2" spans="1:50" ht="15.75">
      <c r="A2" s="81"/>
      <c r="B2" s="487" t="s">
        <v>172</v>
      </c>
      <c r="C2" s="487"/>
      <c r="D2" s="487"/>
      <c r="E2" s="487"/>
      <c r="F2" s="487"/>
      <c r="G2" s="487"/>
      <c r="H2" s="487"/>
      <c r="I2" s="352"/>
      <c r="J2" s="352"/>
      <c r="K2" s="352"/>
      <c r="L2" s="352"/>
      <c r="M2" s="217"/>
      <c r="N2" s="476" t="s">
        <v>164</v>
      </c>
      <c r="O2" s="476" t="s">
        <v>163</v>
      </c>
      <c r="P2" s="479">
        <v>45895</v>
      </c>
      <c r="Q2" s="480"/>
      <c r="R2" s="480"/>
      <c r="S2" s="480"/>
      <c r="T2" s="481"/>
      <c r="U2" s="482">
        <f>P2+1</f>
        <v>45896</v>
      </c>
      <c r="V2" s="483"/>
      <c r="W2" s="483"/>
      <c r="X2" s="483"/>
      <c r="Y2" s="483"/>
      <c r="Z2" s="482">
        <f>U2+1</f>
        <v>45897</v>
      </c>
      <c r="AA2" s="483"/>
      <c r="AB2" s="483"/>
      <c r="AC2" s="483"/>
      <c r="AD2" s="483"/>
      <c r="AE2" s="482">
        <f>Z2+1</f>
        <v>45898</v>
      </c>
      <c r="AF2" s="483"/>
      <c r="AG2" s="483"/>
      <c r="AH2" s="483"/>
      <c r="AI2" s="483"/>
      <c r="AJ2" s="482">
        <f>AE2+1</f>
        <v>45899</v>
      </c>
      <c r="AK2" s="483"/>
      <c r="AL2" s="483"/>
      <c r="AM2" s="483"/>
      <c r="AN2" s="483"/>
      <c r="AO2" s="482">
        <f>AJ2+1</f>
        <v>45900</v>
      </c>
      <c r="AP2" s="483"/>
      <c r="AQ2" s="483"/>
      <c r="AR2" s="483"/>
      <c r="AS2" s="483"/>
      <c r="AT2" s="482">
        <f>AO2+1</f>
        <v>45901</v>
      </c>
      <c r="AU2" s="483"/>
      <c r="AV2" s="483"/>
      <c r="AW2" s="483"/>
      <c r="AX2" s="483"/>
    </row>
    <row r="3" spans="1:50" ht="15.75">
      <c r="A3" s="81"/>
      <c r="B3" s="504"/>
      <c r="C3" s="504"/>
      <c r="D3" s="504"/>
      <c r="E3" s="504"/>
      <c r="F3" s="504"/>
      <c r="G3" s="504"/>
      <c r="H3" s="504"/>
      <c r="I3" s="353"/>
      <c r="J3" s="353"/>
      <c r="K3" s="353"/>
      <c r="L3" s="353"/>
      <c r="M3" s="218"/>
      <c r="N3" s="478"/>
      <c r="O3" s="478"/>
      <c r="P3" s="479" t="s">
        <v>166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168</v>
      </c>
      <c r="AA3" s="480"/>
      <c r="AB3" s="480"/>
      <c r="AC3" s="480"/>
      <c r="AD3" s="481"/>
      <c r="AE3" s="479" t="s">
        <v>165</v>
      </c>
      <c r="AF3" s="480"/>
      <c r="AG3" s="480"/>
      <c r="AH3" s="480"/>
      <c r="AI3" s="481"/>
      <c r="AJ3" s="479" t="s">
        <v>169</v>
      </c>
      <c r="AK3" s="480"/>
      <c r="AL3" s="480"/>
      <c r="AM3" s="480"/>
      <c r="AN3" s="481"/>
      <c r="AO3" s="479" t="s">
        <v>170</v>
      </c>
      <c r="AP3" s="480"/>
      <c r="AQ3" s="480"/>
      <c r="AR3" s="480"/>
      <c r="AS3" s="481"/>
      <c r="AT3" s="479" t="s">
        <v>171</v>
      </c>
      <c r="AU3" s="480"/>
      <c r="AV3" s="480"/>
      <c r="AW3" s="480"/>
      <c r="AX3" s="481"/>
    </row>
    <row r="4" spans="1:50">
      <c r="A4" s="81"/>
      <c r="B4" s="475" t="s">
        <v>766</v>
      </c>
      <c r="C4" s="475" t="s">
        <v>767</v>
      </c>
      <c r="D4" s="475"/>
      <c r="E4" s="475" t="s">
        <v>768</v>
      </c>
      <c r="F4" s="475"/>
      <c r="G4" s="475"/>
      <c r="H4" s="491" t="s">
        <v>769</v>
      </c>
      <c r="I4" s="459" t="s">
        <v>770</v>
      </c>
      <c r="J4" s="459"/>
      <c r="K4" s="459"/>
      <c r="L4" s="460" t="s">
        <v>769</v>
      </c>
      <c r="M4" s="466" t="s">
        <v>771</v>
      </c>
      <c r="N4" s="475"/>
      <c r="O4" s="475" t="s">
        <v>772</v>
      </c>
      <c r="P4" s="472" t="s">
        <v>773</v>
      </c>
      <c r="Q4" s="473"/>
      <c r="R4" s="473"/>
      <c r="S4" s="474"/>
      <c r="T4" s="475" t="s">
        <v>769</v>
      </c>
      <c r="U4" s="472" t="s">
        <v>773</v>
      </c>
      <c r="V4" s="473"/>
      <c r="W4" s="473"/>
      <c r="X4" s="474"/>
      <c r="Y4" s="475" t="s">
        <v>769</v>
      </c>
      <c r="Z4" s="472" t="s">
        <v>773</v>
      </c>
      <c r="AA4" s="473"/>
      <c r="AB4" s="473"/>
      <c r="AC4" s="474"/>
      <c r="AD4" s="475" t="s">
        <v>769</v>
      </c>
      <c r="AE4" s="472" t="s">
        <v>773</v>
      </c>
      <c r="AF4" s="473"/>
      <c r="AG4" s="473"/>
      <c r="AH4" s="474"/>
      <c r="AI4" s="475" t="s">
        <v>769</v>
      </c>
      <c r="AJ4" s="472" t="s">
        <v>773</v>
      </c>
      <c r="AK4" s="473"/>
      <c r="AL4" s="473"/>
      <c r="AM4" s="474"/>
      <c r="AN4" s="475" t="s">
        <v>769</v>
      </c>
      <c r="AO4" s="472" t="s">
        <v>773</v>
      </c>
      <c r="AP4" s="473"/>
      <c r="AQ4" s="473"/>
      <c r="AR4" s="474"/>
      <c r="AS4" s="475" t="s">
        <v>769</v>
      </c>
      <c r="AT4" s="472" t="s">
        <v>773</v>
      </c>
      <c r="AU4" s="473"/>
      <c r="AV4" s="473"/>
      <c r="AW4" s="474"/>
      <c r="AX4" s="475" t="s">
        <v>769</v>
      </c>
    </row>
    <row r="5" spans="1:50">
      <c r="A5" s="81"/>
      <c r="B5" s="475"/>
      <c r="C5" s="475"/>
      <c r="D5" s="475"/>
      <c r="E5" s="475" t="s">
        <v>774</v>
      </c>
      <c r="F5" s="475"/>
      <c r="G5" s="475"/>
      <c r="H5" s="492"/>
      <c r="I5" s="459" t="s">
        <v>774</v>
      </c>
      <c r="J5" s="459"/>
      <c r="K5" s="459"/>
      <c r="L5" s="461"/>
      <c r="M5" s="467"/>
      <c r="N5" s="475"/>
      <c r="O5" s="475"/>
      <c r="P5" s="472" t="s">
        <v>775</v>
      </c>
      <c r="Q5" s="473"/>
      <c r="R5" s="473"/>
      <c r="S5" s="474"/>
      <c r="T5" s="475"/>
      <c r="U5" s="472" t="s">
        <v>775</v>
      </c>
      <c r="V5" s="473"/>
      <c r="W5" s="473"/>
      <c r="X5" s="474"/>
      <c r="Y5" s="475"/>
      <c r="Z5" s="472" t="s">
        <v>775</v>
      </c>
      <c r="AA5" s="473"/>
      <c r="AB5" s="473"/>
      <c r="AC5" s="474"/>
      <c r="AD5" s="475"/>
      <c r="AE5" s="472" t="s">
        <v>775</v>
      </c>
      <c r="AF5" s="473"/>
      <c r="AG5" s="473"/>
      <c r="AH5" s="474"/>
      <c r="AI5" s="475"/>
      <c r="AJ5" s="472" t="s">
        <v>775</v>
      </c>
      <c r="AK5" s="473"/>
      <c r="AL5" s="473"/>
      <c r="AM5" s="474"/>
      <c r="AN5" s="475"/>
      <c r="AO5" s="472" t="s">
        <v>775</v>
      </c>
      <c r="AP5" s="473"/>
      <c r="AQ5" s="473"/>
      <c r="AR5" s="474"/>
      <c r="AS5" s="475"/>
      <c r="AT5" s="472" t="s">
        <v>775</v>
      </c>
      <c r="AU5" s="473"/>
      <c r="AV5" s="473"/>
      <c r="AW5" s="474"/>
      <c r="AX5" s="475"/>
    </row>
    <row r="6" spans="1:50">
      <c r="A6" s="79"/>
      <c r="B6" s="475"/>
      <c r="C6" s="475"/>
      <c r="D6" s="475"/>
      <c r="E6" s="369" t="s">
        <v>776</v>
      </c>
      <c r="F6" s="369" t="s">
        <v>777</v>
      </c>
      <c r="G6" s="369" t="s">
        <v>778</v>
      </c>
      <c r="H6" s="493"/>
      <c r="I6" s="370" t="s">
        <v>776</v>
      </c>
      <c r="J6" s="370" t="s">
        <v>777</v>
      </c>
      <c r="K6" s="370" t="s">
        <v>778</v>
      </c>
      <c r="L6" s="462"/>
      <c r="M6" s="468"/>
      <c r="N6" s="475"/>
      <c r="O6" s="475"/>
      <c r="P6" s="369" t="s">
        <v>776</v>
      </c>
      <c r="Q6" s="369" t="s">
        <v>777</v>
      </c>
      <c r="R6" s="369" t="s">
        <v>778</v>
      </c>
      <c r="S6" s="369" t="s">
        <v>771</v>
      </c>
      <c r="T6" s="475"/>
      <c r="U6" s="369" t="s">
        <v>776</v>
      </c>
      <c r="V6" s="369" t="s">
        <v>777</v>
      </c>
      <c r="W6" s="369" t="s">
        <v>778</v>
      </c>
      <c r="X6" s="369" t="s">
        <v>771</v>
      </c>
      <c r="Y6" s="475"/>
      <c r="Z6" s="369" t="s">
        <v>776</v>
      </c>
      <c r="AA6" s="369" t="s">
        <v>777</v>
      </c>
      <c r="AB6" s="369" t="s">
        <v>778</v>
      </c>
      <c r="AC6" s="369" t="s">
        <v>771</v>
      </c>
      <c r="AD6" s="475"/>
      <c r="AE6" s="369" t="s">
        <v>776</v>
      </c>
      <c r="AF6" s="369" t="s">
        <v>777</v>
      </c>
      <c r="AG6" s="369" t="s">
        <v>778</v>
      </c>
      <c r="AH6" s="369" t="s">
        <v>771</v>
      </c>
      <c r="AI6" s="475"/>
      <c r="AJ6" s="369" t="s">
        <v>776</v>
      </c>
      <c r="AK6" s="369" t="s">
        <v>777</v>
      </c>
      <c r="AL6" s="369" t="s">
        <v>778</v>
      </c>
      <c r="AM6" s="369" t="s">
        <v>771</v>
      </c>
      <c r="AN6" s="475"/>
      <c r="AO6" s="369" t="s">
        <v>776</v>
      </c>
      <c r="AP6" s="369" t="s">
        <v>777</v>
      </c>
      <c r="AQ6" s="369" t="s">
        <v>778</v>
      </c>
      <c r="AR6" s="369" t="s">
        <v>771</v>
      </c>
      <c r="AS6" s="475"/>
      <c r="AT6" s="369" t="s">
        <v>776</v>
      </c>
      <c r="AU6" s="369" t="s">
        <v>777</v>
      </c>
      <c r="AV6" s="369" t="s">
        <v>778</v>
      </c>
      <c r="AW6" s="369" t="s">
        <v>771</v>
      </c>
      <c r="AX6" s="475"/>
    </row>
    <row r="7" spans="1:50">
      <c r="A7" s="81"/>
      <c r="B7" s="475" t="s">
        <v>783</v>
      </c>
      <c r="C7" s="368">
        <v>1</v>
      </c>
      <c r="D7" s="257" t="s">
        <v>465</v>
      </c>
      <c r="E7" s="187">
        <v>5</v>
      </c>
      <c r="F7" s="374">
        <v>1600</v>
      </c>
      <c r="G7" s="375">
        <v>320</v>
      </c>
      <c r="H7" s="507">
        <f>AVERAGE(G7:G36)</f>
        <v>107.10150826412433</v>
      </c>
      <c r="I7" s="219">
        <f>AVERAGE(P7,U7,Z7,AE7,AJ7,AO7,AT7)</f>
        <v>5</v>
      </c>
      <c r="J7" s="219">
        <f>AVERAGE(Q7,V7,AA7,AF7,AK7,AP7,AU7)</f>
        <v>1045.7142857142894</v>
      </c>
      <c r="K7" s="220">
        <f>AVERAGE(R7,W7,AB7,AG7,AL7,AQ7,AV7)</f>
        <v>209.14285714285788</v>
      </c>
      <c r="L7" s="456">
        <f>IFERROR(AVERAGE(K7:K36),"-")</f>
        <v>92.369615016017761</v>
      </c>
      <c r="M7" s="221">
        <f>RANK(K7, K$7:$K$36)</f>
        <v>2</v>
      </c>
      <c r="N7" s="475"/>
      <c r="O7" s="475"/>
      <c r="P7" s="187">
        <v>5</v>
      </c>
      <c r="Q7" s="187">
        <v>1110.0000000000039</v>
      </c>
      <c r="R7" s="187">
        <v>222.00000000000077</v>
      </c>
      <c r="S7" s="368">
        <f t="shared" ref="S7:S36" si="0">RANK(R7, R$7:R$36)</f>
        <v>2</v>
      </c>
      <c r="T7" s="506">
        <f>AVERAGE(R7:R36)</f>
        <v>93.113904669433552</v>
      </c>
      <c r="U7" s="187">
        <v>5</v>
      </c>
      <c r="V7" s="187">
        <v>940.00000000000341</v>
      </c>
      <c r="W7" s="187">
        <v>188.00000000000068</v>
      </c>
      <c r="X7" s="368">
        <f t="shared" ref="X7:X36" si="1">RANK(W7, W$7:W$36)</f>
        <v>3</v>
      </c>
      <c r="Y7" s="506">
        <f>AVERAGE(W7:W36)</f>
        <v>91.655648839518904</v>
      </c>
      <c r="Z7" s="187">
        <v>5</v>
      </c>
      <c r="AA7" s="187">
        <v>940.00000000000341</v>
      </c>
      <c r="AB7" s="187">
        <v>188.00000000000068</v>
      </c>
      <c r="AC7" s="368">
        <f t="shared" ref="AC7:AC36" si="2">RANK(AB7, AB$7:AB$36)</f>
        <v>2</v>
      </c>
      <c r="AD7" s="506">
        <f>AVERAGE(AB7:AB36)</f>
        <v>90.847327477321485</v>
      </c>
      <c r="AE7" s="187">
        <v>5</v>
      </c>
      <c r="AF7" s="187">
        <v>1140.0000000000041</v>
      </c>
      <c r="AG7" s="187">
        <v>228.00000000000082</v>
      </c>
      <c r="AH7" s="368">
        <f t="shared" ref="AH7:AH36" si="3">RANK(AG7, AG$7:AG$36)</f>
        <v>2</v>
      </c>
      <c r="AI7" s="506">
        <f>AVERAGE(AG7:AG36)</f>
        <v>93.594168913279802</v>
      </c>
      <c r="AJ7" s="187">
        <v>5</v>
      </c>
      <c r="AK7" s="187">
        <v>1200.0000000000043</v>
      </c>
      <c r="AL7" s="187">
        <v>240.00000000000085</v>
      </c>
      <c r="AM7" s="368">
        <f t="shared" ref="AM7:AM36" si="4">RANK(AL7, AL$7:AL$36)</f>
        <v>2</v>
      </c>
      <c r="AN7" s="506">
        <f>AVERAGE(AL7:AL36)</f>
        <v>93.543359911285719</v>
      </c>
      <c r="AO7" s="187">
        <v>5</v>
      </c>
      <c r="AP7" s="187">
        <v>1110.0000000000039</v>
      </c>
      <c r="AQ7" s="187">
        <v>222.00000000000077</v>
      </c>
      <c r="AR7" s="368">
        <f t="shared" ref="AR7:AR36" si="5">RANK(AQ7, AQ$7:AQ$36)</f>
        <v>2</v>
      </c>
      <c r="AS7" s="506">
        <f>AVERAGE(AQ7:AQ36)</f>
        <v>92.370564577642043</v>
      </c>
      <c r="AT7" s="187">
        <v>5</v>
      </c>
      <c r="AU7" s="187">
        <v>880.00000000000318</v>
      </c>
      <c r="AV7" s="187">
        <v>176.00000000000063</v>
      </c>
      <c r="AW7" s="368">
        <f t="shared" ref="AW7:AW36" si="6">RANK(AV7, AV$7:AV$36)</f>
        <v>3</v>
      </c>
      <c r="AX7" s="506">
        <f>AVERAGE(AV7:AV36)</f>
        <v>91.462330723642893</v>
      </c>
    </row>
    <row r="8" spans="1:50" ht="15" customHeight="1">
      <c r="A8" s="81"/>
      <c r="B8" s="483"/>
      <c r="C8" s="368">
        <v>2</v>
      </c>
      <c r="D8" s="257" t="s">
        <v>466</v>
      </c>
      <c r="E8" s="187">
        <v>6</v>
      </c>
      <c r="F8" s="374">
        <v>1500</v>
      </c>
      <c r="G8" s="375">
        <v>250</v>
      </c>
      <c r="H8" s="508"/>
      <c r="I8" s="219">
        <f t="shared" ref="I8:K30" si="7">AVERAGE(P8,U8,Z8,AE8,AJ8,AO8,AT8)</f>
        <v>5</v>
      </c>
      <c r="J8" s="219">
        <f t="shared" si="7"/>
        <v>1530.7356551308433</v>
      </c>
      <c r="K8" s="220">
        <f t="shared" si="7"/>
        <v>306.14713102616861</v>
      </c>
      <c r="L8" s="457"/>
      <c r="M8" s="221">
        <f>RANK(K8, K$7:$K$36)</f>
        <v>1</v>
      </c>
      <c r="N8" s="475"/>
      <c r="O8" s="475"/>
      <c r="P8" s="187">
        <v>5</v>
      </c>
      <c r="Q8" s="187">
        <v>1485.4160583941605</v>
      </c>
      <c r="R8" s="187">
        <v>297.08321167883207</v>
      </c>
      <c r="S8" s="368">
        <f t="shared" si="0"/>
        <v>1</v>
      </c>
      <c r="T8" s="506"/>
      <c r="U8" s="187">
        <v>5</v>
      </c>
      <c r="V8" s="187">
        <v>1524.2255639097743</v>
      </c>
      <c r="W8" s="187">
        <v>304.84511278195487</v>
      </c>
      <c r="X8" s="368">
        <f t="shared" si="1"/>
        <v>1</v>
      </c>
      <c r="Y8" s="506"/>
      <c r="Z8" s="187">
        <v>5</v>
      </c>
      <c r="AA8" s="187">
        <v>1520.6144486692017</v>
      </c>
      <c r="AB8" s="187">
        <v>304.12288973384034</v>
      </c>
      <c r="AC8" s="368">
        <f t="shared" si="2"/>
        <v>1</v>
      </c>
      <c r="AD8" s="506"/>
      <c r="AE8" s="187">
        <v>5</v>
      </c>
      <c r="AF8" s="187">
        <v>1556.1639344262296</v>
      </c>
      <c r="AG8" s="187">
        <v>311.2327868852459</v>
      </c>
      <c r="AH8" s="368">
        <f t="shared" si="3"/>
        <v>1</v>
      </c>
      <c r="AI8" s="506"/>
      <c r="AJ8" s="187">
        <v>5</v>
      </c>
      <c r="AK8" s="187">
        <v>1545.0568421052631</v>
      </c>
      <c r="AL8" s="187">
        <v>309.01136842105262</v>
      </c>
      <c r="AM8" s="368">
        <f t="shared" si="4"/>
        <v>1</v>
      </c>
      <c r="AN8" s="506"/>
      <c r="AO8" s="187">
        <v>5</v>
      </c>
      <c r="AP8" s="187">
        <v>1552.9932203389833</v>
      </c>
      <c r="AQ8" s="187">
        <v>310.59864406779667</v>
      </c>
      <c r="AR8" s="368">
        <f t="shared" si="5"/>
        <v>1</v>
      </c>
      <c r="AS8" s="506"/>
      <c r="AT8" s="187">
        <v>5</v>
      </c>
      <c r="AU8" s="187">
        <v>1530.6795180722895</v>
      </c>
      <c r="AV8" s="187">
        <v>306.1359036144579</v>
      </c>
      <c r="AW8" s="368">
        <f t="shared" si="6"/>
        <v>1</v>
      </c>
      <c r="AX8" s="506"/>
    </row>
    <row r="9" spans="1:50">
      <c r="A9" s="81"/>
      <c r="B9" s="483"/>
      <c r="C9" s="368">
        <v>3</v>
      </c>
      <c r="D9" s="257" t="s">
        <v>500</v>
      </c>
      <c r="E9" s="187">
        <v>7</v>
      </c>
      <c r="F9" s="374">
        <v>1500</v>
      </c>
      <c r="G9" s="375">
        <v>214.28571428571428</v>
      </c>
      <c r="H9" s="508"/>
      <c r="I9" s="219">
        <f t="shared" si="7"/>
        <v>7.8571428571428568</v>
      </c>
      <c r="J9" s="219">
        <f t="shared" si="7"/>
        <v>1484.2512395857143</v>
      </c>
      <c r="K9" s="220">
        <f t="shared" si="7"/>
        <v>189.25932881006673</v>
      </c>
      <c r="L9" s="457"/>
      <c r="M9" s="221">
        <f>RANK(K9, K$7:$K$36)</f>
        <v>3</v>
      </c>
      <c r="N9" s="475"/>
      <c r="O9" s="475"/>
      <c r="P9" s="187">
        <v>8</v>
      </c>
      <c r="Q9" s="187">
        <v>1514.6938775510203</v>
      </c>
      <c r="R9" s="187">
        <v>189.33673469387753</v>
      </c>
      <c r="S9" s="368">
        <f t="shared" si="0"/>
        <v>3</v>
      </c>
      <c r="T9" s="506"/>
      <c r="U9" s="187">
        <v>8</v>
      </c>
      <c r="V9" s="187">
        <v>1506.80412371134</v>
      </c>
      <c r="W9" s="187">
        <v>188.3505154639175</v>
      </c>
      <c r="X9" s="368">
        <f t="shared" si="1"/>
        <v>2</v>
      </c>
      <c r="Y9" s="506"/>
      <c r="Z9" s="187">
        <v>8</v>
      </c>
      <c r="AA9" s="187">
        <v>1475.5102040816325</v>
      </c>
      <c r="AB9" s="187">
        <v>184.43877551020407</v>
      </c>
      <c r="AC9" s="368">
        <f t="shared" si="2"/>
        <v>3</v>
      </c>
      <c r="AD9" s="506"/>
      <c r="AE9" s="187">
        <v>8</v>
      </c>
      <c r="AF9" s="187">
        <v>1490.2173913043478</v>
      </c>
      <c r="AG9" s="187">
        <v>186.27717391304347</v>
      </c>
      <c r="AH9" s="368">
        <f t="shared" si="3"/>
        <v>3</v>
      </c>
      <c r="AI9" s="506"/>
      <c r="AJ9" s="187">
        <v>8</v>
      </c>
      <c r="AK9" s="187">
        <v>1486.8749999999998</v>
      </c>
      <c r="AL9" s="187">
        <v>185.85937499999997</v>
      </c>
      <c r="AM9" s="368">
        <f t="shared" si="4"/>
        <v>3</v>
      </c>
      <c r="AN9" s="506"/>
      <c r="AO9" s="187">
        <v>8</v>
      </c>
      <c r="AP9" s="187">
        <v>1454.3119266055051</v>
      </c>
      <c r="AQ9" s="187">
        <v>181.78899082568813</v>
      </c>
      <c r="AR9" s="368">
        <f t="shared" si="5"/>
        <v>3</v>
      </c>
      <c r="AS9" s="506"/>
      <c r="AT9" s="187">
        <v>7</v>
      </c>
      <c r="AU9" s="187">
        <v>1461.346153846154</v>
      </c>
      <c r="AV9" s="187">
        <v>208.76373626373629</v>
      </c>
      <c r="AW9" s="368">
        <f t="shared" si="6"/>
        <v>2</v>
      </c>
      <c r="AX9" s="506"/>
    </row>
    <row r="10" spans="1:50">
      <c r="A10" s="81"/>
      <c r="B10" s="483"/>
      <c r="C10" s="368">
        <v>4</v>
      </c>
      <c r="D10" s="257" t="s">
        <v>467</v>
      </c>
      <c r="E10" s="187">
        <v>18</v>
      </c>
      <c r="F10" s="374">
        <v>1500</v>
      </c>
      <c r="G10" s="375">
        <v>83.333333333333329</v>
      </c>
      <c r="H10" s="508"/>
      <c r="I10" s="219">
        <f t="shared" si="7"/>
        <v>17</v>
      </c>
      <c r="J10" s="219">
        <f t="shared" si="7"/>
        <v>1285.4197219157165</v>
      </c>
      <c r="K10" s="220">
        <f t="shared" si="7"/>
        <v>75.612924818571557</v>
      </c>
      <c r="L10" s="457"/>
      <c r="M10" s="221">
        <f>RANK(K10, K$7:$K$36)</f>
        <v>13</v>
      </c>
      <c r="N10" s="475"/>
      <c r="O10" s="475"/>
      <c r="P10" s="187">
        <v>17</v>
      </c>
      <c r="Q10" s="187">
        <v>1308.2242990654204</v>
      </c>
      <c r="R10" s="187">
        <v>76.954370533260018</v>
      </c>
      <c r="S10" s="368">
        <f t="shared" si="0"/>
        <v>13</v>
      </c>
      <c r="T10" s="506"/>
      <c r="U10" s="187">
        <v>17</v>
      </c>
      <c r="V10" s="187">
        <v>1309.1428571428567</v>
      </c>
      <c r="W10" s="187">
        <v>77.008403361344506</v>
      </c>
      <c r="X10" s="368">
        <f t="shared" si="1"/>
        <v>11</v>
      </c>
      <c r="Y10" s="506"/>
      <c r="Z10" s="187">
        <v>17</v>
      </c>
      <c r="AA10" s="187">
        <v>1293.7500000000005</v>
      </c>
      <c r="AB10" s="187">
        <v>76.102941176470608</v>
      </c>
      <c r="AC10" s="368">
        <f t="shared" si="2"/>
        <v>10</v>
      </c>
      <c r="AD10" s="506"/>
      <c r="AE10" s="187">
        <v>17</v>
      </c>
      <c r="AF10" s="187">
        <v>1284.2696629213483</v>
      </c>
      <c r="AG10" s="187">
        <v>75.545274289491076</v>
      </c>
      <c r="AH10" s="368">
        <f t="shared" si="3"/>
        <v>13</v>
      </c>
      <c r="AI10" s="506"/>
      <c r="AJ10" s="187">
        <v>17</v>
      </c>
      <c r="AK10" s="187">
        <v>1262.5000000000002</v>
      </c>
      <c r="AL10" s="187">
        <v>74.264705882352956</v>
      </c>
      <c r="AM10" s="368">
        <f t="shared" si="4"/>
        <v>14</v>
      </c>
      <c r="AN10" s="506"/>
      <c r="AO10" s="187">
        <v>17</v>
      </c>
      <c r="AP10" s="187">
        <v>1274.2105263157894</v>
      </c>
      <c r="AQ10" s="187">
        <v>74.953560371517028</v>
      </c>
      <c r="AR10" s="368">
        <f t="shared" si="5"/>
        <v>11</v>
      </c>
      <c r="AS10" s="506"/>
      <c r="AT10" s="187">
        <v>17</v>
      </c>
      <c r="AU10" s="187">
        <v>1265.8407079646017</v>
      </c>
      <c r="AV10" s="187">
        <v>74.461218115564805</v>
      </c>
      <c r="AW10" s="368">
        <f t="shared" si="6"/>
        <v>13</v>
      </c>
      <c r="AX10" s="506"/>
    </row>
    <row r="11" spans="1:50">
      <c r="A11" s="81"/>
      <c r="B11" s="483"/>
      <c r="C11" s="368">
        <v>5</v>
      </c>
      <c r="D11" s="257" t="s">
        <v>427</v>
      </c>
      <c r="E11" s="187">
        <v>21</v>
      </c>
      <c r="F11" s="374">
        <v>1500</v>
      </c>
      <c r="G11" s="375">
        <v>71.428571428571431</v>
      </c>
      <c r="H11" s="508"/>
      <c r="I11" s="219">
        <f t="shared" si="7"/>
        <v>20</v>
      </c>
      <c r="J11" s="219">
        <f t="shared" si="7"/>
        <v>1097.4380827539678</v>
      </c>
      <c r="K11" s="220">
        <f t="shared" si="7"/>
        <v>54.871904137698387</v>
      </c>
      <c r="L11" s="457"/>
      <c r="M11" s="221">
        <f>RANK(K11, K$7:$K$36)</f>
        <v>24</v>
      </c>
      <c r="N11" s="475"/>
      <c r="O11" s="475"/>
      <c r="P11" s="187">
        <v>20</v>
      </c>
      <c r="Q11" s="187">
        <v>1107.7935483870976</v>
      </c>
      <c r="R11" s="187">
        <v>55.389677419354882</v>
      </c>
      <c r="S11" s="368">
        <f t="shared" si="0"/>
        <v>23</v>
      </c>
      <c r="T11" s="506"/>
      <c r="U11" s="187">
        <v>20</v>
      </c>
      <c r="V11" s="187">
        <v>1094.1666666666658</v>
      </c>
      <c r="W11" s="187">
        <v>54.708333333333293</v>
      </c>
      <c r="X11" s="368">
        <f t="shared" si="1"/>
        <v>23</v>
      </c>
      <c r="Y11" s="506"/>
      <c r="Z11" s="187">
        <v>20</v>
      </c>
      <c r="AA11" s="187">
        <v>1110.9090909090919</v>
      </c>
      <c r="AB11" s="187">
        <v>55.545454545454596</v>
      </c>
      <c r="AC11" s="368">
        <f t="shared" si="2"/>
        <v>23</v>
      </c>
      <c r="AD11" s="506"/>
      <c r="AE11" s="187">
        <v>20</v>
      </c>
      <c r="AF11" s="187">
        <v>1112.7272727272739</v>
      </c>
      <c r="AG11" s="187">
        <v>55.636363636363697</v>
      </c>
      <c r="AH11" s="368">
        <f t="shared" si="3"/>
        <v>23</v>
      </c>
      <c r="AI11" s="506"/>
      <c r="AJ11" s="187">
        <v>20</v>
      </c>
      <c r="AK11" s="187">
        <v>1081.7647058823516</v>
      </c>
      <c r="AL11" s="187">
        <v>54.088235294117581</v>
      </c>
      <c r="AM11" s="368">
        <f t="shared" si="4"/>
        <v>24</v>
      </c>
      <c r="AN11" s="506"/>
      <c r="AO11" s="187">
        <v>20</v>
      </c>
      <c r="AP11" s="187">
        <v>1087.6923076923069</v>
      </c>
      <c r="AQ11" s="187">
        <v>54.384615384615344</v>
      </c>
      <c r="AR11" s="368">
        <f t="shared" si="5"/>
        <v>24</v>
      </c>
      <c r="AS11" s="506"/>
      <c r="AT11" s="187">
        <v>20</v>
      </c>
      <c r="AU11" s="187">
        <v>1087.0129870129874</v>
      </c>
      <c r="AV11" s="187">
        <v>54.35064935064937</v>
      </c>
      <c r="AW11" s="368">
        <f t="shared" si="6"/>
        <v>23</v>
      </c>
      <c r="AX11" s="506"/>
    </row>
    <row r="12" spans="1:50">
      <c r="A12" s="81"/>
      <c r="B12" s="483"/>
      <c r="C12" s="368">
        <v>6</v>
      </c>
      <c r="D12" s="257" t="s">
        <v>517</v>
      </c>
      <c r="E12" s="187">
        <v>19</v>
      </c>
      <c r="F12" s="374">
        <v>1500</v>
      </c>
      <c r="G12" s="375">
        <v>78.94736842105263</v>
      </c>
      <c r="H12" s="508"/>
      <c r="I12" s="219">
        <f t="shared" si="7"/>
        <v>20</v>
      </c>
      <c r="J12" s="219">
        <f t="shared" si="7"/>
        <v>1103.2302418824631</v>
      </c>
      <c r="K12" s="220">
        <f t="shared" si="7"/>
        <v>55.161512094123168</v>
      </c>
      <c r="L12" s="457"/>
      <c r="M12" s="221">
        <f>RANK(K12, K$7:$K$36)</f>
        <v>23</v>
      </c>
      <c r="N12" s="475"/>
      <c r="O12" s="475"/>
      <c r="P12" s="187">
        <v>20</v>
      </c>
      <c r="Q12" s="187">
        <v>1116.1904761904773</v>
      </c>
      <c r="R12" s="187">
        <v>55.809523809523867</v>
      </c>
      <c r="S12" s="368">
        <f t="shared" si="0"/>
        <v>22</v>
      </c>
      <c r="T12" s="506"/>
      <c r="U12" s="187">
        <v>20</v>
      </c>
      <c r="V12" s="187">
        <v>1083.8709677419365</v>
      </c>
      <c r="W12" s="187">
        <v>54.193548387096826</v>
      </c>
      <c r="X12" s="368">
        <f t="shared" si="1"/>
        <v>24</v>
      </c>
      <c r="Y12" s="506"/>
      <c r="Z12" s="187">
        <v>20</v>
      </c>
      <c r="AA12" s="187">
        <v>1129.3548387096785</v>
      </c>
      <c r="AB12" s="187">
        <v>56.467741935483922</v>
      </c>
      <c r="AC12" s="368">
        <f t="shared" si="2"/>
        <v>22</v>
      </c>
      <c r="AD12" s="506"/>
      <c r="AE12" s="187">
        <v>20</v>
      </c>
      <c r="AF12" s="187">
        <v>1100.3571428571438</v>
      </c>
      <c r="AG12" s="187">
        <v>55.017857142857189</v>
      </c>
      <c r="AH12" s="368">
        <f t="shared" si="3"/>
        <v>24</v>
      </c>
      <c r="AI12" s="506"/>
      <c r="AJ12" s="187">
        <v>20</v>
      </c>
      <c r="AK12" s="187">
        <v>1118.3606557377061</v>
      </c>
      <c r="AL12" s="187">
        <v>55.918032786885306</v>
      </c>
      <c r="AM12" s="368">
        <f t="shared" si="4"/>
        <v>23</v>
      </c>
      <c r="AN12" s="506"/>
      <c r="AO12" s="187">
        <v>20</v>
      </c>
      <c r="AP12" s="187">
        <v>1090.0000000000011</v>
      </c>
      <c r="AQ12" s="187">
        <v>54.500000000000057</v>
      </c>
      <c r="AR12" s="368">
        <f t="shared" si="5"/>
        <v>23</v>
      </c>
      <c r="AS12" s="506"/>
      <c r="AT12" s="187">
        <v>20</v>
      </c>
      <c r="AU12" s="187">
        <v>1084.4776119402998</v>
      </c>
      <c r="AV12" s="187">
        <v>54.22388059701499</v>
      </c>
      <c r="AW12" s="368">
        <f t="shared" si="6"/>
        <v>24</v>
      </c>
      <c r="AX12" s="506"/>
    </row>
    <row r="13" spans="1:50">
      <c r="A13" s="81"/>
      <c r="B13" s="483"/>
      <c r="C13" s="368">
        <v>7</v>
      </c>
      <c r="D13" s="257" t="s">
        <v>425</v>
      </c>
      <c r="E13" s="187">
        <v>17</v>
      </c>
      <c r="F13" s="374">
        <v>1500</v>
      </c>
      <c r="G13" s="375">
        <v>88.235294117647058</v>
      </c>
      <c r="H13" s="508"/>
      <c r="I13" s="219">
        <f t="shared" si="7"/>
        <v>16.571428571428573</v>
      </c>
      <c r="J13" s="219">
        <f t="shared" si="7"/>
        <v>1287.2094100263196</v>
      </c>
      <c r="K13" s="220">
        <f t="shared" si="7"/>
        <v>78.132086955684784</v>
      </c>
      <c r="L13" s="457"/>
      <c r="M13" s="221">
        <f>RANK(K13, K$7:$K$36)</f>
        <v>8</v>
      </c>
      <c r="N13" s="475"/>
      <c r="O13" s="475"/>
      <c r="P13" s="187">
        <v>16</v>
      </c>
      <c r="Q13" s="187">
        <v>1283.3898305084758</v>
      </c>
      <c r="R13" s="187">
        <v>80.211864406779739</v>
      </c>
      <c r="S13" s="368">
        <f t="shared" si="0"/>
        <v>7</v>
      </c>
      <c r="T13" s="506"/>
      <c r="U13" s="187">
        <v>16</v>
      </c>
      <c r="V13" s="187">
        <v>1305.263157894738</v>
      </c>
      <c r="W13" s="187">
        <v>81.578947368421126</v>
      </c>
      <c r="X13" s="368">
        <f t="shared" si="1"/>
        <v>6</v>
      </c>
      <c r="Y13" s="506"/>
      <c r="Z13" s="187">
        <v>16</v>
      </c>
      <c r="AA13" s="187">
        <v>1262.1428571428582</v>
      </c>
      <c r="AB13" s="187">
        <v>78.88392857142864</v>
      </c>
      <c r="AC13" s="368">
        <f t="shared" si="2"/>
        <v>8</v>
      </c>
      <c r="AD13" s="506"/>
      <c r="AE13" s="187">
        <v>16</v>
      </c>
      <c r="AF13" s="187">
        <v>1282.5000000000005</v>
      </c>
      <c r="AG13" s="187">
        <v>80.156250000000028</v>
      </c>
      <c r="AH13" s="368">
        <f t="shared" si="3"/>
        <v>7</v>
      </c>
      <c r="AI13" s="506"/>
      <c r="AJ13" s="187">
        <v>16</v>
      </c>
      <c r="AK13" s="187">
        <v>1270.1886792452838</v>
      </c>
      <c r="AL13" s="187">
        <v>79.386792452830235</v>
      </c>
      <c r="AM13" s="368">
        <f t="shared" si="4"/>
        <v>8</v>
      </c>
      <c r="AN13" s="506"/>
      <c r="AO13" s="187">
        <v>16</v>
      </c>
      <c r="AP13" s="187">
        <v>1308.6206896551735</v>
      </c>
      <c r="AQ13" s="187">
        <v>81.788793103448342</v>
      </c>
      <c r="AR13" s="368">
        <f t="shared" si="5"/>
        <v>6</v>
      </c>
      <c r="AS13" s="506"/>
      <c r="AT13" s="187">
        <v>20</v>
      </c>
      <c r="AU13" s="187">
        <v>1298.3606557377061</v>
      </c>
      <c r="AV13" s="187">
        <v>64.918032786885306</v>
      </c>
      <c r="AW13" s="368">
        <f t="shared" si="6"/>
        <v>20</v>
      </c>
      <c r="AX13" s="506"/>
    </row>
    <row r="14" spans="1:50">
      <c r="A14" s="81"/>
      <c r="B14" s="483"/>
      <c r="C14" s="368">
        <v>8</v>
      </c>
      <c r="D14" s="257" t="s">
        <v>475</v>
      </c>
      <c r="E14" s="187">
        <v>17</v>
      </c>
      <c r="F14" s="374">
        <v>1565</v>
      </c>
      <c r="G14" s="375">
        <v>92.058823529411768</v>
      </c>
      <c r="H14" s="508"/>
      <c r="I14" s="219">
        <f t="shared" si="7"/>
        <v>16.285714285714285</v>
      </c>
      <c r="J14" s="219">
        <f t="shared" si="7"/>
        <v>1326.3476560622353</v>
      </c>
      <c r="K14" s="220">
        <f t="shared" si="7"/>
        <v>81.576084861817506</v>
      </c>
      <c r="L14" s="457"/>
      <c r="M14" s="221">
        <f>RANK(K14, K$7:$K$36)</f>
        <v>5</v>
      </c>
      <c r="N14" s="475"/>
      <c r="O14" s="475"/>
      <c r="P14" s="187">
        <v>16</v>
      </c>
      <c r="Q14" s="187">
        <v>1336.1797752808989</v>
      </c>
      <c r="R14" s="187">
        <v>83.511235955056179</v>
      </c>
      <c r="S14" s="368">
        <f t="shared" si="0"/>
        <v>5</v>
      </c>
      <c r="T14" s="506"/>
      <c r="U14" s="187">
        <v>16</v>
      </c>
      <c r="V14" s="187">
        <v>1343.1325301204813</v>
      </c>
      <c r="W14" s="187">
        <v>83.945783132530082</v>
      </c>
      <c r="X14" s="368">
        <f t="shared" si="1"/>
        <v>5</v>
      </c>
      <c r="Y14" s="506"/>
      <c r="Z14" s="187">
        <v>16</v>
      </c>
      <c r="AA14" s="187">
        <v>1288.192771084337</v>
      </c>
      <c r="AB14" s="187">
        <v>80.512048192771061</v>
      </c>
      <c r="AC14" s="368">
        <f t="shared" si="2"/>
        <v>6</v>
      </c>
      <c r="AD14" s="506"/>
      <c r="AE14" s="187">
        <v>16</v>
      </c>
      <c r="AF14" s="187">
        <v>1339.4366197183085</v>
      </c>
      <c r="AG14" s="187">
        <v>83.714788732394283</v>
      </c>
      <c r="AH14" s="368">
        <f t="shared" si="3"/>
        <v>5</v>
      </c>
      <c r="AI14" s="506"/>
      <c r="AJ14" s="187">
        <v>16</v>
      </c>
      <c r="AK14" s="187">
        <v>1335.6164383561634</v>
      </c>
      <c r="AL14" s="187">
        <v>83.476027397260211</v>
      </c>
      <c r="AM14" s="368">
        <f t="shared" si="4"/>
        <v>5</v>
      </c>
      <c r="AN14" s="506"/>
      <c r="AO14" s="187">
        <v>16</v>
      </c>
      <c r="AP14" s="187">
        <v>1310.6666666666667</v>
      </c>
      <c r="AQ14" s="187">
        <v>81.916666666666671</v>
      </c>
      <c r="AR14" s="368">
        <f t="shared" si="5"/>
        <v>5</v>
      </c>
      <c r="AS14" s="506"/>
      <c r="AT14" s="187">
        <v>18</v>
      </c>
      <c r="AU14" s="187">
        <v>1331.2087912087911</v>
      </c>
      <c r="AV14" s="187">
        <v>73.956043956043956</v>
      </c>
      <c r="AW14" s="368">
        <f t="shared" si="6"/>
        <v>14</v>
      </c>
      <c r="AX14" s="506"/>
    </row>
    <row r="15" spans="1:50">
      <c r="A15" s="81"/>
      <c r="B15" s="483"/>
      <c r="C15" s="368">
        <v>9</v>
      </c>
      <c r="D15" s="257" t="s">
        <v>403</v>
      </c>
      <c r="E15" s="187">
        <v>16</v>
      </c>
      <c r="F15" s="374">
        <v>1440</v>
      </c>
      <c r="G15" s="375">
        <v>90</v>
      </c>
      <c r="H15" s="508"/>
      <c r="I15" s="219">
        <f t="shared" si="7"/>
        <v>16.714285714285715</v>
      </c>
      <c r="J15" s="219">
        <f t="shared" si="7"/>
        <v>1273.8643315097283</v>
      </c>
      <c r="K15" s="220">
        <f t="shared" si="7"/>
        <v>76.262645932963395</v>
      </c>
      <c r="L15" s="457"/>
      <c r="M15" s="221">
        <f>RANK(K15, K$7:$K$36)</f>
        <v>12</v>
      </c>
      <c r="N15" s="475"/>
      <c r="O15" s="475"/>
      <c r="P15" s="187">
        <v>16</v>
      </c>
      <c r="Q15" s="187">
        <v>1287.2727272727257</v>
      </c>
      <c r="R15" s="187">
        <v>80.454545454545354</v>
      </c>
      <c r="S15" s="368">
        <f t="shared" si="0"/>
        <v>6</v>
      </c>
      <c r="T15" s="506"/>
      <c r="U15" s="187">
        <v>16</v>
      </c>
      <c r="V15" s="187">
        <v>1243.9999999999977</v>
      </c>
      <c r="W15" s="187">
        <v>77.749999999999858</v>
      </c>
      <c r="X15" s="368">
        <f t="shared" si="1"/>
        <v>10</v>
      </c>
      <c r="Y15" s="506"/>
      <c r="Z15" s="187">
        <v>17</v>
      </c>
      <c r="AA15" s="187">
        <v>1258.0645161290302</v>
      </c>
      <c r="AB15" s="187">
        <v>74.003795066413545</v>
      </c>
      <c r="AC15" s="368">
        <f t="shared" si="2"/>
        <v>15</v>
      </c>
      <c r="AD15" s="506"/>
      <c r="AE15" s="187">
        <v>17</v>
      </c>
      <c r="AF15" s="187">
        <v>1248.3870967741916</v>
      </c>
      <c r="AG15" s="187">
        <v>73.434535104364215</v>
      </c>
      <c r="AH15" s="368">
        <f t="shared" si="3"/>
        <v>15</v>
      </c>
      <c r="AI15" s="506"/>
      <c r="AJ15" s="187">
        <v>17</v>
      </c>
      <c r="AK15" s="187">
        <v>1283.3333333333323</v>
      </c>
      <c r="AL15" s="187">
        <v>75.49019607843131</v>
      </c>
      <c r="AM15" s="368">
        <f t="shared" si="4"/>
        <v>9</v>
      </c>
      <c r="AN15" s="506"/>
      <c r="AO15" s="187">
        <v>17</v>
      </c>
      <c r="AP15" s="187">
        <v>1274.1176470588221</v>
      </c>
      <c r="AQ15" s="187">
        <v>74.948096885813058</v>
      </c>
      <c r="AR15" s="368">
        <f t="shared" si="5"/>
        <v>12</v>
      </c>
      <c r="AS15" s="506"/>
      <c r="AT15" s="187">
        <v>17</v>
      </c>
      <c r="AU15" s="187">
        <v>1321.8749999999982</v>
      </c>
      <c r="AV15" s="187">
        <v>77.757352941176364</v>
      </c>
      <c r="AW15" s="368">
        <f t="shared" si="6"/>
        <v>8</v>
      </c>
      <c r="AX15" s="506"/>
    </row>
    <row r="16" spans="1:50">
      <c r="A16" s="81"/>
      <c r="B16" s="483"/>
      <c r="C16" s="368">
        <v>10</v>
      </c>
      <c r="D16" s="257" t="s">
        <v>474</v>
      </c>
      <c r="E16" s="187">
        <v>17</v>
      </c>
      <c r="F16" s="374">
        <v>1440</v>
      </c>
      <c r="G16" s="375">
        <v>84.705882352941174</v>
      </c>
      <c r="H16" s="508"/>
      <c r="I16" s="219">
        <f t="shared" si="7"/>
        <v>16.571428571428573</v>
      </c>
      <c r="J16" s="219">
        <f t="shared" si="7"/>
        <v>1299.1894324116697</v>
      </c>
      <c r="K16" s="220">
        <f t="shared" si="7"/>
        <v>78.457196564648811</v>
      </c>
      <c r="L16" s="457"/>
      <c r="M16" s="221">
        <f>RANK(K16, K$7:$K$36)</f>
        <v>7</v>
      </c>
      <c r="N16" s="475"/>
      <c r="O16" s="475"/>
      <c r="P16" s="187">
        <v>17</v>
      </c>
      <c r="Q16" s="187">
        <v>1323.3333333333342</v>
      </c>
      <c r="R16" s="187">
        <v>77.843137254902004</v>
      </c>
      <c r="S16" s="368">
        <f t="shared" si="0"/>
        <v>11</v>
      </c>
      <c r="T16" s="506"/>
      <c r="U16" s="187">
        <v>17</v>
      </c>
      <c r="V16" s="187">
        <v>1308.9795918367352</v>
      </c>
      <c r="W16" s="187">
        <v>76.998799519807946</v>
      </c>
      <c r="X16" s="368">
        <f t="shared" si="1"/>
        <v>12</v>
      </c>
      <c r="Y16" s="506"/>
      <c r="Z16" s="187">
        <v>16</v>
      </c>
      <c r="AA16" s="187">
        <v>1285.0000000000002</v>
      </c>
      <c r="AB16" s="187">
        <v>80.312500000000014</v>
      </c>
      <c r="AC16" s="368">
        <f t="shared" si="2"/>
        <v>7</v>
      </c>
      <c r="AD16" s="506"/>
      <c r="AE16" s="187">
        <v>16</v>
      </c>
      <c r="AF16" s="187">
        <v>1293.1914893617022</v>
      </c>
      <c r="AG16" s="187">
        <v>80.824468085106389</v>
      </c>
      <c r="AH16" s="368">
        <f t="shared" si="3"/>
        <v>6</v>
      </c>
      <c r="AI16" s="506"/>
      <c r="AJ16" s="187">
        <v>16</v>
      </c>
      <c r="AK16" s="187">
        <v>1295.0943396226421</v>
      </c>
      <c r="AL16" s="187">
        <v>80.943396226415132</v>
      </c>
      <c r="AM16" s="368">
        <f t="shared" si="4"/>
        <v>6</v>
      </c>
      <c r="AN16" s="506"/>
      <c r="AO16" s="187">
        <v>17</v>
      </c>
      <c r="AP16" s="187">
        <v>1279.6363636363644</v>
      </c>
      <c r="AQ16" s="187">
        <v>75.272727272727323</v>
      </c>
      <c r="AR16" s="368">
        <f t="shared" si="5"/>
        <v>10</v>
      </c>
      <c r="AS16" s="506"/>
      <c r="AT16" s="187">
        <v>17</v>
      </c>
      <c r="AU16" s="187">
        <v>1309.0909090909099</v>
      </c>
      <c r="AV16" s="187">
        <v>77.00534759358294</v>
      </c>
      <c r="AW16" s="368">
        <f t="shared" si="6"/>
        <v>9</v>
      </c>
      <c r="AX16" s="506"/>
    </row>
    <row r="17" spans="2:50">
      <c r="B17" s="483"/>
      <c r="C17" s="368">
        <v>11</v>
      </c>
      <c r="D17" s="257" t="s">
        <v>470</v>
      </c>
      <c r="E17" s="187">
        <v>15</v>
      </c>
      <c r="F17" s="374">
        <v>1500</v>
      </c>
      <c r="G17" s="375">
        <v>100</v>
      </c>
      <c r="H17" s="508"/>
      <c r="I17" s="219">
        <f t="shared" si="7"/>
        <v>17.428571428571427</v>
      </c>
      <c r="J17" s="219">
        <f t="shared" si="7"/>
        <v>1084.5658263305361</v>
      </c>
      <c r="K17" s="220">
        <f t="shared" si="7"/>
        <v>62.279892349096727</v>
      </c>
      <c r="L17" s="457"/>
      <c r="M17" s="221">
        <f>RANK(K17, K$7:$K$36)</f>
        <v>21</v>
      </c>
      <c r="N17" s="475"/>
      <c r="O17" s="475"/>
      <c r="P17" s="187">
        <v>17</v>
      </c>
      <c r="Q17" s="187">
        <v>1066.6666666666706</v>
      </c>
      <c r="R17" s="187">
        <v>62.745098039215918</v>
      </c>
      <c r="S17" s="368">
        <f t="shared" si="0"/>
        <v>21</v>
      </c>
      <c r="T17" s="506"/>
      <c r="U17" s="187">
        <v>17</v>
      </c>
      <c r="V17" s="187">
        <v>1080.0000000000039</v>
      </c>
      <c r="W17" s="187">
        <v>63.529411764706111</v>
      </c>
      <c r="X17" s="368">
        <f t="shared" si="1"/>
        <v>21</v>
      </c>
      <c r="Y17" s="506"/>
      <c r="Z17" s="187">
        <v>18</v>
      </c>
      <c r="AA17" s="187">
        <v>1036.0000000000039</v>
      </c>
      <c r="AB17" s="187">
        <v>57.55555555555577</v>
      </c>
      <c r="AC17" s="368">
        <f t="shared" si="2"/>
        <v>21</v>
      </c>
      <c r="AD17" s="506"/>
      <c r="AE17" s="187">
        <v>18</v>
      </c>
      <c r="AF17" s="187">
        <v>1104.0000000000039</v>
      </c>
      <c r="AG17" s="187">
        <v>61.333333333333549</v>
      </c>
      <c r="AH17" s="368">
        <f t="shared" si="3"/>
        <v>21</v>
      </c>
      <c r="AI17" s="506"/>
      <c r="AJ17" s="187">
        <v>18</v>
      </c>
      <c r="AK17" s="187">
        <v>1111.7647058823568</v>
      </c>
      <c r="AL17" s="187">
        <v>61.764705882353155</v>
      </c>
      <c r="AM17" s="368">
        <f t="shared" si="4"/>
        <v>21</v>
      </c>
      <c r="AN17" s="506"/>
      <c r="AO17" s="187">
        <v>17</v>
      </c>
      <c r="AP17" s="187">
        <v>1083.5294117647097</v>
      </c>
      <c r="AQ17" s="187">
        <v>63.73702422145351</v>
      </c>
      <c r="AR17" s="368">
        <f t="shared" si="5"/>
        <v>21</v>
      </c>
      <c r="AS17" s="506"/>
      <c r="AT17" s="187">
        <v>17</v>
      </c>
      <c r="AU17" s="187">
        <v>1110.0000000000039</v>
      </c>
      <c r="AV17" s="187">
        <v>65.294117647059053</v>
      </c>
      <c r="AW17" s="368">
        <f t="shared" si="6"/>
        <v>19</v>
      </c>
      <c r="AX17" s="506"/>
    </row>
    <row r="18" spans="2:50">
      <c r="B18" s="483"/>
      <c r="C18" s="368">
        <v>12</v>
      </c>
      <c r="D18" s="257" t="s">
        <v>469</v>
      </c>
      <c r="E18" s="187">
        <v>18</v>
      </c>
      <c r="F18" s="374">
        <v>1440</v>
      </c>
      <c r="G18" s="375">
        <v>80</v>
      </c>
      <c r="H18" s="508"/>
      <c r="I18" s="219">
        <f t="shared" si="7"/>
        <v>16.714285714285715</v>
      </c>
      <c r="J18" s="219">
        <f t="shared" si="7"/>
        <v>1177.0070295850999</v>
      </c>
      <c r="K18" s="220">
        <f t="shared" si="7"/>
        <v>70.467940249332898</v>
      </c>
      <c r="L18" s="457"/>
      <c r="M18" s="221">
        <f>RANK(K18, K$7:$K$36)</f>
        <v>17</v>
      </c>
      <c r="N18" s="475"/>
      <c r="O18" s="475"/>
      <c r="P18" s="187">
        <v>16</v>
      </c>
      <c r="Q18" s="187">
        <v>1183.5294117647063</v>
      </c>
      <c r="R18" s="187">
        <v>73.970588235294144</v>
      </c>
      <c r="S18" s="368">
        <f t="shared" si="0"/>
        <v>14</v>
      </c>
      <c r="T18" s="506"/>
      <c r="U18" s="187">
        <v>16</v>
      </c>
      <c r="V18" s="187">
        <v>1162.6415094339629</v>
      </c>
      <c r="W18" s="187">
        <v>72.665094339622684</v>
      </c>
      <c r="X18" s="368">
        <f t="shared" si="1"/>
        <v>15</v>
      </c>
      <c r="Y18" s="506"/>
      <c r="Z18" s="187">
        <v>17</v>
      </c>
      <c r="AA18" s="187">
        <v>1162.6415094339629</v>
      </c>
      <c r="AB18" s="187">
        <v>68.390677025527225</v>
      </c>
      <c r="AC18" s="368">
        <f t="shared" si="2"/>
        <v>20</v>
      </c>
      <c r="AD18" s="506"/>
      <c r="AE18" s="187">
        <v>17</v>
      </c>
      <c r="AF18" s="187">
        <v>1195.2000000000003</v>
      </c>
      <c r="AG18" s="187">
        <v>70.305882352941197</v>
      </c>
      <c r="AH18" s="368">
        <f t="shared" si="3"/>
        <v>18</v>
      </c>
      <c r="AI18" s="506"/>
      <c r="AJ18" s="187">
        <v>17</v>
      </c>
      <c r="AK18" s="187">
        <v>1170.5084745762722</v>
      </c>
      <c r="AL18" s="187">
        <v>68.853439680957194</v>
      </c>
      <c r="AM18" s="368">
        <f t="shared" si="4"/>
        <v>19</v>
      </c>
      <c r="AN18" s="506"/>
      <c r="AO18" s="187">
        <v>17</v>
      </c>
      <c r="AP18" s="187">
        <v>1160.0000000000007</v>
      </c>
      <c r="AQ18" s="187">
        <v>68.235294117647101</v>
      </c>
      <c r="AR18" s="368">
        <f t="shared" si="5"/>
        <v>19</v>
      </c>
      <c r="AS18" s="506"/>
      <c r="AT18" s="187">
        <v>17</v>
      </c>
      <c r="AU18" s="187">
        <v>1204.5283018867931</v>
      </c>
      <c r="AV18" s="187">
        <v>70.854605993340769</v>
      </c>
      <c r="AW18" s="368">
        <f t="shared" si="6"/>
        <v>16</v>
      </c>
      <c r="AX18" s="506"/>
    </row>
    <row r="19" spans="2:50">
      <c r="B19" s="483"/>
      <c r="C19" s="368">
        <v>13</v>
      </c>
      <c r="D19" s="257" t="s">
        <v>473</v>
      </c>
      <c r="E19" s="187">
        <v>20</v>
      </c>
      <c r="F19" s="374">
        <v>1636</v>
      </c>
      <c r="G19" s="375">
        <v>81.8</v>
      </c>
      <c r="H19" s="508"/>
      <c r="I19" s="219">
        <f t="shared" si="7"/>
        <v>19</v>
      </c>
      <c r="J19" s="219">
        <f t="shared" si="7"/>
        <v>1296.2954891390204</v>
      </c>
      <c r="K19" s="220">
        <f t="shared" si="7"/>
        <v>68.226078375737941</v>
      </c>
      <c r="L19" s="457"/>
      <c r="M19" s="221">
        <f>RANK(K19, K$7:$K$36)</f>
        <v>20</v>
      </c>
      <c r="N19" s="475"/>
      <c r="O19" s="475"/>
      <c r="P19" s="187">
        <v>19</v>
      </c>
      <c r="Q19" s="187">
        <v>1307.4725274725274</v>
      </c>
      <c r="R19" s="187">
        <v>68.814343551185658</v>
      </c>
      <c r="S19" s="368">
        <f t="shared" si="0"/>
        <v>19</v>
      </c>
      <c r="T19" s="506"/>
      <c r="U19" s="187">
        <v>19</v>
      </c>
      <c r="V19" s="187">
        <v>1317.1764705882351</v>
      </c>
      <c r="W19" s="187">
        <v>69.325077399380802</v>
      </c>
      <c r="X19" s="368">
        <f t="shared" si="1"/>
        <v>18</v>
      </c>
      <c r="Y19" s="506"/>
      <c r="Z19" s="187">
        <v>19</v>
      </c>
      <c r="AA19" s="187">
        <v>1308.3116883116877</v>
      </c>
      <c r="AB19" s="187">
        <v>68.858509911141454</v>
      </c>
      <c r="AC19" s="368">
        <f t="shared" si="2"/>
        <v>18</v>
      </c>
      <c r="AD19" s="506"/>
      <c r="AE19" s="187">
        <v>19</v>
      </c>
      <c r="AF19" s="187">
        <v>1318.4999999999995</v>
      </c>
      <c r="AG19" s="187">
        <v>69.394736842105246</v>
      </c>
      <c r="AH19" s="368">
        <f t="shared" si="3"/>
        <v>20</v>
      </c>
      <c r="AI19" s="506"/>
      <c r="AJ19" s="187">
        <v>19</v>
      </c>
      <c r="AK19" s="187">
        <v>1288.4210526315792</v>
      </c>
      <c r="AL19" s="187">
        <v>67.811634349030484</v>
      </c>
      <c r="AM19" s="368">
        <f t="shared" si="4"/>
        <v>20</v>
      </c>
      <c r="AN19" s="506"/>
      <c r="AO19" s="187">
        <v>19</v>
      </c>
      <c r="AP19" s="187">
        <v>1260.6382978723407</v>
      </c>
      <c r="AQ19" s="187">
        <v>66.349384098544249</v>
      </c>
      <c r="AR19" s="368">
        <f t="shared" si="5"/>
        <v>20</v>
      </c>
      <c r="AS19" s="506"/>
      <c r="AT19" s="187">
        <v>19</v>
      </c>
      <c r="AU19" s="187">
        <v>1273.5483870967744</v>
      </c>
      <c r="AV19" s="187">
        <v>67.028862478777597</v>
      </c>
      <c r="AW19" s="368">
        <f t="shared" si="6"/>
        <v>18</v>
      </c>
      <c r="AX19" s="506"/>
    </row>
    <row r="20" spans="2:50">
      <c r="B20" s="483"/>
      <c r="C20" s="368">
        <v>14</v>
      </c>
      <c r="D20" s="257" t="s">
        <v>472</v>
      </c>
      <c r="E20" s="187">
        <v>19</v>
      </c>
      <c r="F20" s="374">
        <v>1636</v>
      </c>
      <c r="G20" s="375">
        <v>86.10526315789474</v>
      </c>
      <c r="H20" s="508"/>
      <c r="I20" s="219">
        <f t="shared" si="7"/>
        <v>19</v>
      </c>
      <c r="J20" s="219">
        <f t="shared" si="7"/>
        <v>1307.438353514101</v>
      </c>
      <c r="K20" s="220">
        <f t="shared" si="7"/>
        <v>68.812544921794796</v>
      </c>
      <c r="L20" s="457"/>
      <c r="M20" s="221">
        <f>RANK(K20, K$7:$K$36)</f>
        <v>18</v>
      </c>
      <c r="N20" s="475"/>
      <c r="O20" s="475"/>
      <c r="P20" s="187">
        <v>19</v>
      </c>
      <c r="Q20" s="187">
        <v>1287.8260869565204</v>
      </c>
      <c r="R20" s="187">
        <v>67.780320366132656</v>
      </c>
      <c r="S20" s="368">
        <f t="shared" si="0"/>
        <v>20</v>
      </c>
      <c r="T20" s="506"/>
      <c r="U20" s="187">
        <v>19</v>
      </c>
      <c r="V20" s="187">
        <v>1286.3636363636379</v>
      </c>
      <c r="W20" s="187">
        <v>67.703349282296728</v>
      </c>
      <c r="X20" s="368">
        <f t="shared" si="1"/>
        <v>19</v>
      </c>
      <c r="Y20" s="506"/>
      <c r="Z20" s="187">
        <v>19</v>
      </c>
      <c r="AA20" s="187">
        <v>1301.6129032258077</v>
      </c>
      <c r="AB20" s="187">
        <v>68.505942275042514</v>
      </c>
      <c r="AC20" s="368">
        <f t="shared" si="2"/>
        <v>19</v>
      </c>
      <c r="AD20" s="506"/>
      <c r="AE20" s="187">
        <v>19</v>
      </c>
      <c r="AF20" s="187">
        <v>1335.4545454545469</v>
      </c>
      <c r="AG20" s="187">
        <v>70.287081339712998</v>
      </c>
      <c r="AH20" s="368">
        <f t="shared" si="3"/>
        <v>19</v>
      </c>
      <c r="AI20" s="506"/>
      <c r="AJ20" s="187">
        <v>19</v>
      </c>
      <c r="AK20" s="187">
        <v>1329.295774647886</v>
      </c>
      <c r="AL20" s="187">
        <v>69.96293550778347</v>
      </c>
      <c r="AM20" s="368">
        <f t="shared" si="4"/>
        <v>17</v>
      </c>
      <c r="AN20" s="506"/>
      <c r="AO20" s="187">
        <v>19</v>
      </c>
      <c r="AP20" s="187">
        <v>1305.4285714285702</v>
      </c>
      <c r="AQ20" s="187">
        <v>68.706766917293166</v>
      </c>
      <c r="AR20" s="368">
        <f t="shared" si="5"/>
        <v>18</v>
      </c>
      <c r="AS20" s="506"/>
      <c r="AT20" s="187">
        <v>19</v>
      </c>
      <c r="AU20" s="187">
        <v>1306.0869565217379</v>
      </c>
      <c r="AV20" s="187">
        <v>68.741418764301997</v>
      </c>
      <c r="AW20" s="368">
        <f t="shared" si="6"/>
        <v>17</v>
      </c>
      <c r="AX20" s="506"/>
    </row>
    <row r="21" spans="2:50">
      <c r="B21" s="483"/>
      <c r="C21" s="368">
        <v>15</v>
      </c>
      <c r="D21" s="257" t="s">
        <v>516</v>
      </c>
      <c r="E21" s="187">
        <v>20</v>
      </c>
      <c r="F21" s="374">
        <v>1500</v>
      </c>
      <c r="G21" s="375">
        <v>75</v>
      </c>
      <c r="H21" s="508"/>
      <c r="I21" s="219">
        <f t="shared" si="7"/>
        <v>19.571428571428573</v>
      </c>
      <c r="J21" s="219">
        <f t="shared" si="7"/>
        <v>1106.9455259183467</v>
      </c>
      <c r="K21" s="220">
        <f t="shared" si="7"/>
        <v>56.735631638054194</v>
      </c>
      <c r="L21" s="457"/>
      <c r="M21" s="219">
        <f>RANK(K21, K$7:$K$36)</f>
        <v>22</v>
      </c>
      <c r="N21" s="475"/>
      <c r="O21" s="475"/>
      <c r="P21" s="187">
        <v>20</v>
      </c>
      <c r="Q21" s="187">
        <v>1092.58064516129</v>
      </c>
      <c r="R21" s="187">
        <v>54.629032258064498</v>
      </c>
      <c r="S21" s="368">
        <f t="shared" si="0"/>
        <v>24</v>
      </c>
      <c r="T21" s="506"/>
      <c r="U21" s="187">
        <v>20</v>
      </c>
      <c r="V21" s="187">
        <v>1103.9999999999991</v>
      </c>
      <c r="W21" s="187">
        <v>55.199999999999953</v>
      </c>
      <c r="X21" s="368">
        <f t="shared" si="1"/>
        <v>22</v>
      </c>
      <c r="Y21" s="506"/>
      <c r="Z21" s="187">
        <v>20</v>
      </c>
      <c r="AA21" s="187">
        <v>1082.1052631578941</v>
      </c>
      <c r="AB21" s="187">
        <v>54.105263157894704</v>
      </c>
      <c r="AC21" s="368">
        <f t="shared" si="2"/>
        <v>24</v>
      </c>
      <c r="AD21" s="506"/>
      <c r="AE21" s="187">
        <v>20</v>
      </c>
      <c r="AF21" s="187">
        <v>1137.6470588235297</v>
      </c>
      <c r="AG21" s="187">
        <v>56.882352941176485</v>
      </c>
      <c r="AH21" s="368">
        <f t="shared" si="3"/>
        <v>22</v>
      </c>
      <c r="AI21" s="506"/>
      <c r="AJ21" s="187">
        <v>20</v>
      </c>
      <c r="AK21" s="187">
        <v>1122.857142857142</v>
      </c>
      <c r="AL21" s="187">
        <v>56.142857142857096</v>
      </c>
      <c r="AM21" s="368">
        <f t="shared" si="4"/>
        <v>22</v>
      </c>
      <c r="AN21" s="506"/>
      <c r="AO21" s="187">
        <v>20</v>
      </c>
      <c r="AP21" s="187">
        <v>1107.9999999999995</v>
      </c>
      <c r="AQ21" s="187">
        <v>55.399999999999977</v>
      </c>
      <c r="AR21" s="368">
        <f t="shared" si="5"/>
        <v>22</v>
      </c>
      <c r="AS21" s="506"/>
      <c r="AT21" s="187">
        <v>17</v>
      </c>
      <c r="AU21" s="187">
        <v>1101.4285714285722</v>
      </c>
      <c r="AV21" s="187">
        <v>64.789915966386602</v>
      </c>
      <c r="AW21" s="368">
        <f t="shared" si="6"/>
        <v>21</v>
      </c>
      <c r="AX21" s="506"/>
    </row>
    <row r="22" spans="2:50">
      <c r="B22" s="483"/>
      <c r="C22" s="368">
        <v>16</v>
      </c>
      <c r="D22" s="257" t="s">
        <v>476</v>
      </c>
      <c r="E22" s="187">
        <v>18</v>
      </c>
      <c r="F22" s="374">
        <v>1500</v>
      </c>
      <c r="G22" s="375">
        <v>83.333333333333329</v>
      </c>
      <c r="H22" s="508"/>
      <c r="I22" s="219">
        <f t="shared" si="7"/>
        <v>17.285714285714285</v>
      </c>
      <c r="J22" s="219">
        <f t="shared" si="7"/>
        <v>1296.1007251038752</v>
      </c>
      <c r="K22" s="220">
        <f t="shared" si="7"/>
        <v>74.998379039005513</v>
      </c>
      <c r="L22" s="457"/>
      <c r="M22" s="219">
        <f>RANK(K22, K$7:$K$36)</f>
        <v>14</v>
      </c>
      <c r="N22" s="475"/>
      <c r="O22" s="475"/>
      <c r="P22" s="187">
        <v>17</v>
      </c>
      <c r="Q22" s="187">
        <v>1256.5714285714273</v>
      </c>
      <c r="R22" s="187">
        <v>73.915966386554544</v>
      </c>
      <c r="S22" s="368">
        <f t="shared" si="0"/>
        <v>16</v>
      </c>
      <c r="T22" s="506"/>
      <c r="U22" s="187">
        <v>17</v>
      </c>
      <c r="V22" s="187">
        <v>1254.7058823529396</v>
      </c>
      <c r="W22" s="187">
        <v>73.806228373702325</v>
      </c>
      <c r="X22" s="368">
        <f t="shared" si="1"/>
        <v>14</v>
      </c>
      <c r="Y22" s="506"/>
      <c r="Z22" s="187">
        <v>18</v>
      </c>
      <c r="AA22" s="187">
        <v>1340.6249999999982</v>
      </c>
      <c r="AB22" s="187">
        <v>74.479166666666572</v>
      </c>
      <c r="AC22" s="368">
        <f t="shared" si="2"/>
        <v>13</v>
      </c>
      <c r="AD22" s="506"/>
      <c r="AE22" s="187">
        <v>17</v>
      </c>
      <c r="AF22" s="187">
        <v>1290.9090909090892</v>
      </c>
      <c r="AG22" s="187">
        <v>75.93582887700525</v>
      </c>
      <c r="AH22" s="368">
        <f t="shared" si="3"/>
        <v>12</v>
      </c>
      <c r="AI22" s="506"/>
      <c r="AJ22" s="187">
        <v>18</v>
      </c>
      <c r="AK22" s="187">
        <v>1321.538461538461</v>
      </c>
      <c r="AL22" s="187">
        <v>73.418803418803392</v>
      </c>
      <c r="AM22" s="368">
        <f t="shared" si="4"/>
        <v>15</v>
      </c>
      <c r="AN22" s="506"/>
      <c r="AO22" s="187">
        <v>17</v>
      </c>
      <c r="AP22" s="187">
        <v>1303.7837837837828</v>
      </c>
      <c r="AQ22" s="187">
        <v>76.693163751987228</v>
      </c>
      <c r="AR22" s="368">
        <f t="shared" si="5"/>
        <v>8</v>
      </c>
      <c r="AS22" s="506"/>
      <c r="AT22" s="187">
        <v>17</v>
      </c>
      <c r="AU22" s="187">
        <v>1304.5714285714273</v>
      </c>
      <c r="AV22" s="187">
        <v>76.739495798319254</v>
      </c>
      <c r="AW22" s="368">
        <f t="shared" si="6"/>
        <v>11</v>
      </c>
      <c r="AX22" s="506"/>
    </row>
    <row r="23" spans="2:50">
      <c r="B23" s="483"/>
      <c r="C23" s="368">
        <v>17</v>
      </c>
      <c r="D23" s="257" t="s">
        <v>434</v>
      </c>
      <c r="E23" s="187">
        <v>18</v>
      </c>
      <c r="F23" s="374">
        <v>1500</v>
      </c>
      <c r="G23" s="375">
        <v>83.333333333333329</v>
      </c>
      <c r="H23" s="508"/>
      <c r="I23" s="219">
        <f t="shared" si="7"/>
        <v>16.857142857142858</v>
      </c>
      <c r="J23" s="219">
        <f t="shared" si="7"/>
        <v>1314.9835264553969</v>
      </c>
      <c r="K23" s="220">
        <f t="shared" si="7"/>
        <v>78.045792776136054</v>
      </c>
      <c r="L23" s="457"/>
      <c r="M23" s="219">
        <f>RANK(K23, K$7:$K$36)</f>
        <v>9</v>
      </c>
      <c r="N23" s="475"/>
      <c r="O23" s="475"/>
      <c r="P23" s="187">
        <v>17</v>
      </c>
      <c r="Q23" s="187">
        <v>1328.4210526315801</v>
      </c>
      <c r="R23" s="187">
        <v>78.142414860681185</v>
      </c>
      <c r="S23" s="368">
        <f t="shared" si="0"/>
        <v>10</v>
      </c>
      <c r="T23" s="506"/>
      <c r="U23" s="187">
        <v>17</v>
      </c>
      <c r="V23" s="187">
        <v>1330.0000000000007</v>
      </c>
      <c r="W23" s="187">
        <v>78.235294117647101</v>
      </c>
      <c r="X23" s="368">
        <f t="shared" si="1"/>
        <v>9</v>
      </c>
      <c r="Y23" s="506"/>
      <c r="Z23" s="187">
        <v>17</v>
      </c>
      <c r="AA23" s="187">
        <v>1330.3846153846162</v>
      </c>
      <c r="AB23" s="187">
        <v>78.257918552036244</v>
      </c>
      <c r="AC23" s="368">
        <f t="shared" si="2"/>
        <v>9</v>
      </c>
      <c r="AD23" s="506"/>
      <c r="AE23" s="187">
        <v>17</v>
      </c>
      <c r="AF23" s="187">
        <v>1320.0000000000007</v>
      </c>
      <c r="AG23" s="187">
        <v>77.647058823529449</v>
      </c>
      <c r="AH23" s="368">
        <f t="shared" si="3"/>
        <v>9</v>
      </c>
      <c r="AI23" s="506"/>
      <c r="AJ23" s="187">
        <v>17</v>
      </c>
      <c r="AK23" s="187">
        <v>1280.3076923076937</v>
      </c>
      <c r="AL23" s="187">
        <v>75.312217194570223</v>
      </c>
      <c r="AM23" s="368">
        <f t="shared" si="4"/>
        <v>12</v>
      </c>
      <c r="AN23" s="506"/>
      <c r="AO23" s="187">
        <v>17</v>
      </c>
      <c r="AP23" s="187">
        <v>1294.7368421052643</v>
      </c>
      <c r="AQ23" s="187">
        <v>76.160990712074366</v>
      </c>
      <c r="AR23" s="368">
        <f t="shared" si="5"/>
        <v>9</v>
      </c>
      <c r="AS23" s="506"/>
      <c r="AT23" s="187">
        <v>16</v>
      </c>
      <c r="AU23" s="187">
        <v>1321.0344827586216</v>
      </c>
      <c r="AV23" s="187">
        <v>82.56465517241385</v>
      </c>
      <c r="AW23" s="368">
        <f t="shared" si="6"/>
        <v>5</v>
      </c>
      <c r="AX23" s="506"/>
    </row>
    <row r="24" spans="2:50">
      <c r="B24" s="483"/>
      <c r="C24" s="368">
        <v>18</v>
      </c>
      <c r="D24" s="257" t="s">
        <v>478</v>
      </c>
      <c r="E24" s="187">
        <v>17</v>
      </c>
      <c r="F24" s="374">
        <v>1440</v>
      </c>
      <c r="G24" s="375">
        <v>84.705882352941174</v>
      </c>
      <c r="H24" s="508"/>
      <c r="I24" s="219">
        <f t="shared" si="7"/>
        <v>17.857142857142858</v>
      </c>
      <c r="J24" s="219">
        <f t="shared" si="7"/>
        <v>1370.6607332930205</v>
      </c>
      <c r="K24" s="220">
        <f t="shared" si="7"/>
        <v>76.808882942049223</v>
      </c>
      <c r="L24" s="457"/>
      <c r="M24" s="219">
        <f>RANK(K24, K$7:$K$36)</f>
        <v>10</v>
      </c>
      <c r="N24" s="475"/>
      <c r="O24" s="475"/>
      <c r="P24" s="187">
        <v>18</v>
      </c>
      <c r="Q24" s="187">
        <v>1386.9230769230762</v>
      </c>
      <c r="R24" s="187">
        <v>77.051282051282016</v>
      </c>
      <c r="S24" s="368">
        <f t="shared" si="0"/>
        <v>12</v>
      </c>
      <c r="T24" s="506"/>
      <c r="U24" s="187">
        <v>18</v>
      </c>
      <c r="V24" s="187">
        <v>1368.4615384615377</v>
      </c>
      <c r="W24" s="187">
        <v>76.025641025640979</v>
      </c>
      <c r="X24" s="368">
        <f t="shared" si="1"/>
        <v>13</v>
      </c>
      <c r="Y24" s="506"/>
      <c r="Z24" s="187">
        <v>18</v>
      </c>
      <c r="AA24" s="187">
        <v>1348.8607594936702</v>
      </c>
      <c r="AB24" s="187">
        <v>74.936708860759452</v>
      </c>
      <c r="AC24" s="368">
        <f t="shared" si="2"/>
        <v>11</v>
      </c>
      <c r="AD24" s="506"/>
      <c r="AE24" s="187">
        <v>18</v>
      </c>
      <c r="AF24" s="187">
        <v>1367.5324675324669</v>
      </c>
      <c r="AG24" s="187">
        <v>75.974025974025935</v>
      </c>
      <c r="AH24" s="368">
        <f t="shared" si="3"/>
        <v>11</v>
      </c>
      <c r="AI24" s="506"/>
      <c r="AJ24" s="187">
        <v>18</v>
      </c>
      <c r="AK24" s="187">
        <v>1358.5714285714282</v>
      </c>
      <c r="AL24" s="187">
        <v>75.476190476190453</v>
      </c>
      <c r="AM24" s="368">
        <f t="shared" si="4"/>
        <v>10</v>
      </c>
      <c r="AN24" s="506"/>
      <c r="AO24" s="187">
        <v>18</v>
      </c>
      <c r="AP24" s="187">
        <v>1348.2758620689651</v>
      </c>
      <c r="AQ24" s="187">
        <v>74.904214559386958</v>
      </c>
      <c r="AR24" s="368">
        <f t="shared" si="5"/>
        <v>13</v>
      </c>
      <c r="AS24" s="506"/>
      <c r="AT24" s="187">
        <v>17</v>
      </c>
      <c r="AU24" s="187">
        <v>1415.9999999999995</v>
      </c>
      <c r="AV24" s="187">
        <v>83.294117647058798</v>
      </c>
      <c r="AW24" s="368">
        <f t="shared" si="6"/>
        <v>4</v>
      </c>
      <c r="AX24" s="506"/>
    </row>
    <row r="25" spans="2:50">
      <c r="B25" s="483"/>
      <c r="C25" s="368">
        <v>19</v>
      </c>
      <c r="D25" s="257" t="s">
        <v>479</v>
      </c>
      <c r="E25" s="187">
        <v>15</v>
      </c>
      <c r="F25" s="374">
        <v>1440</v>
      </c>
      <c r="G25" s="375">
        <v>96</v>
      </c>
      <c r="H25" s="508"/>
      <c r="I25" s="219">
        <f t="shared" si="7"/>
        <v>15.285714285714286</v>
      </c>
      <c r="J25" s="219">
        <f t="shared" si="7"/>
        <v>1304.8049449287926</v>
      </c>
      <c r="K25" s="220">
        <f t="shared" si="7"/>
        <v>85.48559576836206</v>
      </c>
      <c r="L25" s="457"/>
      <c r="M25" s="219">
        <f>RANK(K25, K$7:$K$36)</f>
        <v>4</v>
      </c>
      <c r="N25" s="475"/>
      <c r="O25" s="475"/>
      <c r="P25" s="187">
        <v>15</v>
      </c>
      <c r="Q25" s="187">
        <v>1297.0000000000014</v>
      </c>
      <c r="R25" s="187">
        <v>86.466666666666754</v>
      </c>
      <c r="S25" s="368">
        <f t="shared" si="0"/>
        <v>4</v>
      </c>
      <c r="T25" s="506"/>
      <c r="U25" s="187">
        <v>15</v>
      </c>
      <c r="V25" s="187">
        <v>1296.0000000000011</v>
      </c>
      <c r="W25" s="187">
        <v>86.400000000000077</v>
      </c>
      <c r="X25" s="368">
        <f t="shared" si="1"/>
        <v>4</v>
      </c>
      <c r="Y25" s="506"/>
      <c r="Z25" s="187">
        <v>15</v>
      </c>
      <c r="AA25" s="187">
        <v>1288.5245901639357</v>
      </c>
      <c r="AB25" s="187">
        <v>85.901639344262378</v>
      </c>
      <c r="AC25" s="368">
        <f t="shared" si="2"/>
        <v>4</v>
      </c>
      <c r="AD25" s="506"/>
      <c r="AE25" s="187">
        <v>15</v>
      </c>
      <c r="AF25" s="187">
        <v>1288.5245901639357</v>
      </c>
      <c r="AG25" s="187">
        <v>85.901639344262378</v>
      </c>
      <c r="AH25" s="368">
        <f t="shared" si="3"/>
        <v>4</v>
      </c>
      <c r="AI25" s="506"/>
      <c r="AJ25" s="187">
        <v>15</v>
      </c>
      <c r="AK25" s="187">
        <v>1298.8235294117662</v>
      </c>
      <c r="AL25" s="187">
        <v>86.588235294117752</v>
      </c>
      <c r="AM25" s="368">
        <f t="shared" si="4"/>
        <v>4</v>
      </c>
      <c r="AN25" s="506"/>
      <c r="AO25" s="187">
        <v>15</v>
      </c>
      <c r="AP25" s="187">
        <v>1324.761904761906</v>
      </c>
      <c r="AQ25" s="187">
        <v>88.317460317460402</v>
      </c>
      <c r="AR25" s="368">
        <f t="shared" si="5"/>
        <v>4</v>
      </c>
      <c r="AS25" s="506"/>
      <c r="AT25" s="187">
        <v>17</v>
      </c>
      <c r="AU25" s="187">
        <v>1340.0000000000014</v>
      </c>
      <c r="AV25" s="187">
        <v>78.823529411764781</v>
      </c>
      <c r="AW25" s="368">
        <f t="shared" si="6"/>
        <v>7</v>
      </c>
      <c r="AX25" s="506"/>
    </row>
    <row r="26" spans="2:50">
      <c r="B26" s="483"/>
      <c r="C26" s="368">
        <v>20</v>
      </c>
      <c r="D26" s="257" t="s">
        <v>408</v>
      </c>
      <c r="E26" s="187">
        <v>17</v>
      </c>
      <c r="F26" s="374">
        <v>1440</v>
      </c>
      <c r="G26" s="375">
        <v>84.705882352941174</v>
      </c>
      <c r="H26" s="508"/>
      <c r="I26" s="219">
        <f t="shared" si="7"/>
        <v>17</v>
      </c>
      <c r="J26" s="219">
        <f t="shared" si="7"/>
        <v>1369.6320108403056</v>
      </c>
      <c r="K26" s="220">
        <f t="shared" si="7"/>
        <v>80.566588872959159</v>
      </c>
      <c r="L26" s="457"/>
      <c r="M26" s="219">
        <f>RANK(K26, K$7:$K$36)</f>
        <v>6</v>
      </c>
      <c r="N26" s="475"/>
      <c r="O26" s="475"/>
      <c r="P26" s="187">
        <v>17</v>
      </c>
      <c r="Q26" s="187">
        <v>1346.1111111111118</v>
      </c>
      <c r="R26" s="187">
        <v>79.183006535947754</v>
      </c>
      <c r="S26" s="368">
        <f t="shared" si="0"/>
        <v>8</v>
      </c>
      <c r="T26" s="506"/>
      <c r="U26" s="187">
        <v>17</v>
      </c>
      <c r="V26" s="187">
        <v>1375.882352941177</v>
      </c>
      <c r="W26" s="187">
        <v>80.934256055363349</v>
      </c>
      <c r="X26" s="368">
        <f t="shared" si="1"/>
        <v>7</v>
      </c>
      <c r="Y26" s="506"/>
      <c r="Z26" s="187">
        <v>17</v>
      </c>
      <c r="AA26" s="187">
        <v>1382.9411764705887</v>
      </c>
      <c r="AB26" s="187">
        <v>81.34948096885816</v>
      </c>
      <c r="AC26" s="368">
        <f t="shared" si="2"/>
        <v>5</v>
      </c>
      <c r="AD26" s="506"/>
      <c r="AE26" s="187">
        <v>17</v>
      </c>
      <c r="AF26" s="187">
        <v>1338.0645161290324</v>
      </c>
      <c r="AG26" s="187">
        <v>78.709677419354847</v>
      </c>
      <c r="AH26" s="368">
        <f t="shared" si="3"/>
        <v>8</v>
      </c>
      <c r="AI26" s="506"/>
      <c r="AJ26" s="187">
        <v>17</v>
      </c>
      <c r="AK26" s="187">
        <v>1372.5714285714271</v>
      </c>
      <c r="AL26" s="187">
        <v>80.73949579831924</v>
      </c>
      <c r="AM26" s="368">
        <f t="shared" si="4"/>
        <v>7</v>
      </c>
      <c r="AN26" s="506"/>
      <c r="AO26" s="187">
        <v>17</v>
      </c>
      <c r="AP26" s="187">
        <v>1383.8888888888896</v>
      </c>
      <c r="AQ26" s="187">
        <v>81.405228758169983</v>
      </c>
      <c r="AR26" s="368">
        <f t="shared" si="5"/>
        <v>7</v>
      </c>
      <c r="AS26" s="506"/>
      <c r="AT26" s="187">
        <v>17</v>
      </c>
      <c r="AU26" s="187">
        <v>1387.9646017699124</v>
      </c>
      <c r="AV26" s="187">
        <v>81.644976574700735</v>
      </c>
      <c r="AW26" s="368">
        <f t="shared" si="6"/>
        <v>6</v>
      </c>
      <c r="AX26" s="506"/>
    </row>
    <row r="27" spans="2:50">
      <c r="B27" s="483"/>
      <c r="C27" s="368">
        <v>21</v>
      </c>
      <c r="D27" s="257" t="s">
        <v>468</v>
      </c>
      <c r="E27" s="187">
        <v>18</v>
      </c>
      <c r="F27" s="374">
        <v>1636</v>
      </c>
      <c r="G27" s="375">
        <v>90.888888888888886</v>
      </c>
      <c r="H27" s="508"/>
      <c r="I27" s="219">
        <f t="shared" si="7"/>
        <v>16.428571428571427</v>
      </c>
      <c r="J27" s="219">
        <f t="shared" si="7"/>
        <v>1252.3387340202717</v>
      </c>
      <c r="K27" s="220">
        <f t="shared" si="7"/>
        <v>76.272408781969276</v>
      </c>
      <c r="L27" s="457"/>
      <c r="M27" s="219">
        <f>RANK(K27, K$7:$K$36)</f>
        <v>11</v>
      </c>
      <c r="N27" s="475"/>
      <c r="O27" s="475"/>
      <c r="P27" s="187">
        <v>16</v>
      </c>
      <c r="Q27" s="187">
        <v>1256.8421052631554</v>
      </c>
      <c r="R27" s="187">
        <v>78.552631578947214</v>
      </c>
      <c r="S27" s="368">
        <f t="shared" si="0"/>
        <v>9</v>
      </c>
      <c r="T27" s="506"/>
      <c r="U27" s="187">
        <v>16</v>
      </c>
      <c r="V27" s="187">
        <v>1263.1578947368396</v>
      </c>
      <c r="W27" s="187">
        <v>78.947368421052474</v>
      </c>
      <c r="X27" s="368">
        <f t="shared" si="1"/>
        <v>8</v>
      </c>
      <c r="Y27" s="506"/>
      <c r="Z27" s="187">
        <v>17</v>
      </c>
      <c r="AA27" s="187">
        <v>1266.7924528301892</v>
      </c>
      <c r="AB27" s="187">
        <v>74.51720310765819</v>
      </c>
      <c r="AC27" s="368">
        <f t="shared" si="2"/>
        <v>12</v>
      </c>
      <c r="AD27" s="506"/>
      <c r="AE27" s="187">
        <v>16</v>
      </c>
      <c r="AF27" s="187">
        <v>1233.8709677419336</v>
      </c>
      <c r="AG27" s="187">
        <v>77.116935483870847</v>
      </c>
      <c r="AH27" s="368">
        <f t="shared" si="3"/>
        <v>10</v>
      </c>
      <c r="AI27" s="506"/>
      <c r="AJ27" s="187">
        <v>16</v>
      </c>
      <c r="AK27" s="187">
        <v>1206.8571428571415</v>
      </c>
      <c r="AL27" s="187">
        <v>75.428571428571345</v>
      </c>
      <c r="AM27" s="368">
        <f t="shared" si="4"/>
        <v>11</v>
      </c>
      <c r="AN27" s="506"/>
      <c r="AO27" s="187">
        <v>17</v>
      </c>
      <c r="AP27" s="187">
        <v>1233.3333333333312</v>
      </c>
      <c r="AQ27" s="187">
        <v>72.549019607843007</v>
      </c>
      <c r="AR27" s="368">
        <f t="shared" si="5"/>
        <v>14</v>
      </c>
      <c r="AS27" s="506"/>
      <c r="AT27" s="187">
        <v>17</v>
      </c>
      <c r="AU27" s="187">
        <v>1305.5172413793114</v>
      </c>
      <c r="AV27" s="187">
        <v>76.795131845841851</v>
      </c>
      <c r="AW27" s="368">
        <f t="shared" si="6"/>
        <v>10</v>
      </c>
      <c r="AX27" s="506"/>
    </row>
    <row r="28" spans="2:50">
      <c r="B28" s="483"/>
      <c r="C28" s="368">
        <v>22</v>
      </c>
      <c r="D28" s="257" t="s">
        <v>471</v>
      </c>
      <c r="E28" s="187">
        <v>18</v>
      </c>
      <c r="F28" s="374">
        <v>1440</v>
      </c>
      <c r="G28" s="375">
        <v>80</v>
      </c>
      <c r="H28" s="508"/>
      <c r="I28" s="219">
        <f t="shared" si="7"/>
        <v>18</v>
      </c>
      <c r="J28" s="219">
        <f t="shared" si="7"/>
        <v>1291.2785103748251</v>
      </c>
      <c r="K28" s="220">
        <f t="shared" si="7"/>
        <v>71.737695020823622</v>
      </c>
      <c r="L28" s="457"/>
      <c r="M28" s="219">
        <f>RANK(K28, K$7:$K$36)</f>
        <v>16</v>
      </c>
      <c r="N28" s="475"/>
      <c r="O28" s="475"/>
      <c r="P28" s="187">
        <v>18</v>
      </c>
      <c r="Q28" s="187">
        <v>1288.6046511627906</v>
      </c>
      <c r="R28" s="187">
        <v>71.589147286821699</v>
      </c>
      <c r="S28" s="368">
        <f t="shared" si="0"/>
        <v>17</v>
      </c>
      <c r="T28" s="506"/>
      <c r="U28" s="187">
        <v>18</v>
      </c>
      <c r="V28" s="187">
        <v>1287.8571428571424</v>
      </c>
      <c r="W28" s="187">
        <v>71.547619047619023</v>
      </c>
      <c r="X28" s="368">
        <f t="shared" si="1"/>
        <v>16</v>
      </c>
      <c r="Y28" s="506"/>
      <c r="Z28" s="187">
        <v>18</v>
      </c>
      <c r="AA28" s="187">
        <v>1285.4999999999995</v>
      </c>
      <c r="AB28" s="187">
        <v>71.416666666666643</v>
      </c>
      <c r="AC28" s="368">
        <f t="shared" si="2"/>
        <v>16</v>
      </c>
      <c r="AD28" s="506"/>
      <c r="AE28" s="187">
        <v>18</v>
      </c>
      <c r="AF28" s="187">
        <v>1295.555555555555</v>
      </c>
      <c r="AG28" s="187">
        <v>71.975308641975275</v>
      </c>
      <c r="AH28" s="368">
        <f t="shared" si="3"/>
        <v>16</v>
      </c>
      <c r="AI28" s="506"/>
      <c r="AJ28" s="187">
        <v>18</v>
      </c>
      <c r="AK28" s="187">
        <v>1290.6382978723407</v>
      </c>
      <c r="AL28" s="187">
        <v>71.702127659574487</v>
      </c>
      <c r="AM28" s="368">
        <f t="shared" si="4"/>
        <v>16</v>
      </c>
      <c r="AN28" s="506"/>
      <c r="AO28" s="187">
        <v>18</v>
      </c>
      <c r="AP28" s="187">
        <v>1289.6703296703295</v>
      </c>
      <c r="AQ28" s="187">
        <v>71.648351648351635</v>
      </c>
      <c r="AR28" s="368">
        <f t="shared" si="5"/>
        <v>15</v>
      </c>
      <c r="AS28" s="506"/>
      <c r="AT28" s="187">
        <v>18</v>
      </c>
      <c r="AU28" s="187">
        <v>1301.1235955056179</v>
      </c>
      <c r="AV28" s="187">
        <v>72.284644194756552</v>
      </c>
      <c r="AW28" s="368">
        <f t="shared" si="6"/>
        <v>15</v>
      </c>
      <c r="AX28" s="506"/>
    </row>
    <row r="29" spans="2:50">
      <c r="B29" s="483"/>
      <c r="C29" s="368">
        <v>23</v>
      </c>
      <c r="D29" s="257" t="s">
        <v>480</v>
      </c>
      <c r="E29" s="187">
        <v>17</v>
      </c>
      <c r="F29" s="374">
        <v>1500</v>
      </c>
      <c r="G29" s="375">
        <v>88.235294117647058</v>
      </c>
      <c r="H29" s="508"/>
      <c r="I29" s="219">
        <f t="shared" si="7"/>
        <v>16.142857142857142</v>
      </c>
      <c r="J29" s="219">
        <f t="shared" si="7"/>
        <v>1101.5427170868386</v>
      </c>
      <c r="K29" s="220">
        <f t="shared" si="7"/>
        <v>68.273284313725739</v>
      </c>
      <c r="L29" s="457"/>
      <c r="M29" s="219">
        <f>RANK(K29, K$7:$K$36)</f>
        <v>19</v>
      </c>
      <c r="N29" s="475"/>
      <c r="O29" s="475"/>
      <c r="P29" s="187">
        <v>16</v>
      </c>
      <c r="Q29" s="187">
        <v>1110.0000000000039</v>
      </c>
      <c r="R29" s="187">
        <v>69.375000000000242</v>
      </c>
      <c r="S29" s="368">
        <f t="shared" si="0"/>
        <v>18</v>
      </c>
      <c r="T29" s="506"/>
      <c r="U29" s="187">
        <v>16</v>
      </c>
      <c r="V29" s="187">
        <v>1065.8823529411804</v>
      </c>
      <c r="W29" s="187">
        <v>66.617647058823778</v>
      </c>
      <c r="X29" s="368">
        <f t="shared" si="1"/>
        <v>20</v>
      </c>
      <c r="Y29" s="506"/>
      <c r="Z29" s="187">
        <v>16</v>
      </c>
      <c r="AA29" s="187">
        <v>1108.0000000000039</v>
      </c>
      <c r="AB29" s="187">
        <v>69.250000000000242</v>
      </c>
      <c r="AC29" s="368">
        <f t="shared" si="2"/>
        <v>17</v>
      </c>
      <c r="AD29" s="506"/>
      <c r="AE29" s="187">
        <v>16</v>
      </c>
      <c r="AF29" s="187">
        <v>1125.0000000000041</v>
      </c>
      <c r="AG29" s="187">
        <v>70.312500000000256</v>
      </c>
      <c r="AH29" s="368">
        <f t="shared" si="3"/>
        <v>17</v>
      </c>
      <c r="AI29" s="506"/>
      <c r="AJ29" s="187">
        <v>16</v>
      </c>
      <c r="AK29" s="187">
        <v>1104.0000000000039</v>
      </c>
      <c r="AL29" s="187">
        <v>69.000000000000242</v>
      </c>
      <c r="AM29" s="368">
        <f t="shared" si="4"/>
        <v>18</v>
      </c>
      <c r="AN29" s="506"/>
      <c r="AO29" s="187">
        <v>16</v>
      </c>
      <c r="AP29" s="187">
        <v>1106.6666666666706</v>
      </c>
      <c r="AQ29" s="187">
        <v>69.166666666666913</v>
      </c>
      <c r="AR29" s="368">
        <f t="shared" si="5"/>
        <v>17</v>
      </c>
      <c r="AS29" s="506"/>
      <c r="AT29" s="187">
        <v>17</v>
      </c>
      <c r="AU29" s="187">
        <v>1091.2500000000039</v>
      </c>
      <c r="AV29" s="187">
        <v>64.191176470588459</v>
      </c>
      <c r="AW29" s="368">
        <f t="shared" si="6"/>
        <v>22</v>
      </c>
      <c r="AX29" s="506"/>
    </row>
    <row r="30" spans="2:50">
      <c r="B30" s="483"/>
      <c r="C30" s="368">
        <v>24</v>
      </c>
      <c r="D30" s="257" t="s">
        <v>481</v>
      </c>
      <c r="E30" s="187">
        <v>18</v>
      </c>
      <c r="F30" s="374">
        <v>1500</v>
      </c>
      <c r="G30" s="375">
        <v>83.333333333333329</v>
      </c>
      <c r="H30" s="508"/>
      <c r="I30" s="219">
        <f t="shared" si="7"/>
        <v>18</v>
      </c>
      <c r="J30" s="219">
        <f t="shared" si="7"/>
        <v>1323.6547138340102</v>
      </c>
      <c r="K30" s="220">
        <f t="shared" si="7"/>
        <v>73.536372990778347</v>
      </c>
      <c r="L30" s="457"/>
      <c r="M30" s="219">
        <f>RANK(K30, K$7:$K$36)</f>
        <v>15</v>
      </c>
      <c r="N30" s="475"/>
      <c r="O30" s="475"/>
      <c r="P30" s="187">
        <v>18</v>
      </c>
      <c r="Q30" s="187">
        <v>1330.6304347826087</v>
      </c>
      <c r="R30" s="187">
        <v>73.923913043478265</v>
      </c>
      <c r="S30" s="368">
        <f t="shared" si="0"/>
        <v>15</v>
      </c>
      <c r="T30" s="506"/>
      <c r="U30" s="187">
        <v>18</v>
      </c>
      <c r="V30" s="187">
        <v>1285.5445544554461</v>
      </c>
      <c r="W30" s="187">
        <v>71.419141914191457</v>
      </c>
      <c r="X30" s="368">
        <f t="shared" si="1"/>
        <v>17</v>
      </c>
      <c r="Y30" s="506"/>
      <c r="Z30" s="187">
        <v>18</v>
      </c>
      <c r="AA30" s="187">
        <v>1339.5789473684213</v>
      </c>
      <c r="AB30" s="187">
        <v>74.421052631578959</v>
      </c>
      <c r="AC30" s="368">
        <f t="shared" si="2"/>
        <v>14</v>
      </c>
      <c r="AD30" s="506"/>
      <c r="AE30" s="187">
        <v>18</v>
      </c>
      <c r="AF30" s="187">
        <v>1343.5955056179776</v>
      </c>
      <c r="AG30" s="187">
        <v>74.644194756554313</v>
      </c>
      <c r="AH30" s="368">
        <f t="shared" si="3"/>
        <v>14</v>
      </c>
      <c r="AI30" s="506"/>
      <c r="AJ30" s="187">
        <v>18</v>
      </c>
      <c r="AK30" s="187">
        <v>1339.2233009708743</v>
      </c>
      <c r="AL30" s="187">
        <v>74.401294498381901</v>
      </c>
      <c r="AM30" s="368">
        <f t="shared" si="4"/>
        <v>13</v>
      </c>
      <c r="AN30" s="506"/>
      <c r="AO30" s="187">
        <v>18</v>
      </c>
      <c r="AP30" s="187">
        <v>1286.4220183486248</v>
      </c>
      <c r="AQ30" s="187">
        <v>71.467889908256936</v>
      </c>
      <c r="AR30" s="368">
        <f t="shared" si="5"/>
        <v>16</v>
      </c>
      <c r="AS30" s="506"/>
      <c r="AT30" s="187">
        <v>18</v>
      </c>
      <c r="AU30" s="187">
        <v>1340.588235294118</v>
      </c>
      <c r="AV30" s="187">
        <v>74.477124183006552</v>
      </c>
      <c r="AW30" s="368">
        <f t="shared" si="6"/>
        <v>12</v>
      </c>
      <c r="AX30" s="506"/>
    </row>
    <row r="31" spans="2:50">
      <c r="B31" s="483"/>
      <c r="C31" s="368">
        <v>25</v>
      </c>
      <c r="D31" s="257"/>
      <c r="E31" s="187"/>
      <c r="F31" s="368"/>
      <c r="G31" s="371"/>
      <c r="H31" s="508"/>
      <c r="I31" s="219"/>
      <c r="J31" s="219"/>
      <c r="K31" s="220"/>
      <c r="L31" s="457"/>
      <c r="M31" s="219" t="e">
        <f>RANK(K31, K$7:$K$36)</f>
        <v>#N/A</v>
      </c>
      <c r="N31" s="475"/>
      <c r="O31" s="475"/>
      <c r="P31" s="368"/>
      <c r="Q31" s="371"/>
      <c r="R31" s="371"/>
      <c r="S31" s="368" t="e">
        <f t="shared" si="0"/>
        <v>#N/A</v>
      </c>
      <c r="T31" s="506"/>
      <c r="U31" s="368"/>
      <c r="V31" s="371"/>
      <c r="W31" s="371"/>
      <c r="X31" s="368" t="e">
        <f t="shared" si="1"/>
        <v>#N/A</v>
      </c>
      <c r="Y31" s="506"/>
      <c r="Z31" s="368"/>
      <c r="AA31" s="371"/>
      <c r="AB31" s="371"/>
      <c r="AC31" s="368" t="e">
        <f t="shared" si="2"/>
        <v>#N/A</v>
      </c>
      <c r="AD31" s="506"/>
      <c r="AE31" s="368"/>
      <c r="AF31" s="371"/>
      <c r="AG31" s="371"/>
      <c r="AH31" s="368" t="e">
        <f t="shared" si="3"/>
        <v>#N/A</v>
      </c>
      <c r="AI31" s="506"/>
      <c r="AJ31" s="368"/>
      <c r="AK31" s="371"/>
      <c r="AL31" s="371"/>
      <c r="AM31" s="368" t="e">
        <f t="shared" si="4"/>
        <v>#N/A</v>
      </c>
      <c r="AN31" s="506"/>
      <c r="AO31" s="368"/>
      <c r="AP31" s="371"/>
      <c r="AQ31" s="371"/>
      <c r="AR31" s="368" t="e">
        <f t="shared" si="5"/>
        <v>#N/A</v>
      </c>
      <c r="AS31" s="506"/>
      <c r="AT31" s="368"/>
      <c r="AU31" s="371"/>
      <c r="AV31" s="371"/>
      <c r="AW31" s="368" t="e">
        <f t="shared" si="6"/>
        <v>#N/A</v>
      </c>
      <c r="AX31" s="506"/>
    </row>
    <row r="32" spans="2:50">
      <c r="B32" s="483"/>
      <c r="C32" s="368">
        <v>26</v>
      </c>
      <c r="D32" s="257"/>
      <c r="E32" s="187"/>
      <c r="F32" s="368"/>
      <c r="G32" s="371"/>
      <c r="H32" s="508"/>
      <c r="I32" s="219"/>
      <c r="J32" s="219"/>
      <c r="K32" s="220"/>
      <c r="L32" s="457"/>
      <c r="M32" s="219" t="e">
        <f>RANK(K32, K$7:$K$36)</f>
        <v>#N/A</v>
      </c>
      <c r="N32" s="475"/>
      <c r="O32" s="475"/>
      <c r="P32" s="368"/>
      <c r="Q32" s="371"/>
      <c r="R32" s="371"/>
      <c r="S32" s="368" t="e">
        <f t="shared" si="0"/>
        <v>#N/A</v>
      </c>
      <c r="T32" s="506"/>
      <c r="U32" s="368"/>
      <c r="V32" s="371"/>
      <c r="W32" s="371"/>
      <c r="X32" s="368" t="e">
        <f t="shared" si="1"/>
        <v>#N/A</v>
      </c>
      <c r="Y32" s="506"/>
      <c r="Z32" s="368"/>
      <c r="AA32" s="371"/>
      <c r="AB32" s="371"/>
      <c r="AC32" s="368" t="e">
        <f t="shared" si="2"/>
        <v>#N/A</v>
      </c>
      <c r="AD32" s="506"/>
      <c r="AE32" s="368"/>
      <c r="AF32" s="371"/>
      <c r="AG32" s="371"/>
      <c r="AH32" s="368" t="e">
        <f t="shared" si="3"/>
        <v>#N/A</v>
      </c>
      <c r="AI32" s="506"/>
      <c r="AJ32" s="368"/>
      <c r="AK32" s="371"/>
      <c r="AL32" s="371"/>
      <c r="AM32" s="368" t="e">
        <f t="shared" si="4"/>
        <v>#N/A</v>
      </c>
      <c r="AN32" s="506"/>
      <c r="AO32" s="368"/>
      <c r="AP32" s="371"/>
      <c r="AQ32" s="371"/>
      <c r="AR32" s="368" t="e">
        <f t="shared" si="5"/>
        <v>#N/A</v>
      </c>
      <c r="AS32" s="506"/>
      <c r="AT32" s="368"/>
      <c r="AU32" s="371"/>
      <c r="AV32" s="371"/>
      <c r="AW32" s="368" t="e">
        <f t="shared" si="6"/>
        <v>#N/A</v>
      </c>
      <c r="AX32" s="506"/>
    </row>
    <row r="33" spans="2:50">
      <c r="B33" s="483"/>
      <c r="C33" s="368">
        <v>27</v>
      </c>
      <c r="D33" s="257"/>
      <c r="E33" s="187"/>
      <c r="F33" s="368"/>
      <c r="G33" s="371"/>
      <c r="H33" s="508"/>
      <c r="I33" s="219"/>
      <c r="J33" s="219"/>
      <c r="K33" s="220"/>
      <c r="L33" s="457"/>
      <c r="M33" s="219" t="e">
        <f>RANK(K33, K$7:$K$36)</f>
        <v>#N/A</v>
      </c>
      <c r="N33" s="475"/>
      <c r="O33" s="475"/>
      <c r="P33" s="368"/>
      <c r="Q33" s="371"/>
      <c r="R33" s="371"/>
      <c r="S33" s="368" t="e">
        <f t="shared" si="0"/>
        <v>#N/A</v>
      </c>
      <c r="T33" s="506"/>
      <c r="U33" s="368"/>
      <c r="V33" s="371"/>
      <c r="W33" s="371"/>
      <c r="X33" s="368" t="e">
        <f t="shared" si="1"/>
        <v>#N/A</v>
      </c>
      <c r="Y33" s="506"/>
      <c r="Z33" s="368"/>
      <c r="AA33" s="371"/>
      <c r="AB33" s="371"/>
      <c r="AC33" s="368" t="e">
        <f t="shared" si="2"/>
        <v>#N/A</v>
      </c>
      <c r="AD33" s="506"/>
      <c r="AE33" s="368"/>
      <c r="AF33" s="371"/>
      <c r="AG33" s="371"/>
      <c r="AH33" s="368" t="e">
        <f t="shared" si="3"/>
        <v>#N/A</v>
      </c>
      <c r="AI33" s="506"/>
      <c r="AJ33" s="368"/>
      <c r="AK33" s="371"/>
      <c r="AL33" s="371"/>
      <c r="AM33" s="368" t="e">
        <f t="shared" si="4"/>
        <v>#N/A</v>
      </c>
      <c r="AN33" s="506"/>
      <c r="AO33" s="368"/>
      <c r="AP33" s="371"/>
      <c r="AQ33" s="371"/>
      <c r="AR33" s="368" t="e">
        <f t="shared" si="5"/>
        <v>#N/A</v>
      </c>
      <c r="AS33" s="506"/>
      <c r="AT33" s="368"/>
      <c r="AU33" s="371"/>
      <c r="AV33" s="371"/>
      <c r="AW33" s="368" t="e">
        <f t="shared" si="6"/>
        <v>#N/A</v>
      </c>
      <c r="AX33" s="506"/>
    </row>
    <row r="34" spans="2:50">
      <c r="B34" s="483"/>
      <c r="C34" s="368">
        <v>28</v>
      </c>
      <c r="D34" s="257"/>
      <c r="E34" s="187"/>
      <c r="F34" s="368"/>
      <c r="G34" s="371"/>
      <c r="H34" s="508"/>
      <c r="I34" s="219"/>
      <c r="J34" s="219"/>
      <c r="K34" s="220"/>
      <c r="L34" s="457"/>
      <c r="M34" s="219" t="e">
        <f>RANK(K34, K$7:$K$36)</f>
        <v>#N/A</v>
      </c>
      <c r="N34" s="475"/>
      <c r="O34" s="475"/>
      <c r="P34" s="368"/>
      <c r="Q34" s="371"/>
      <c r="R34" s="371"/>
      <c r="S34" s="368" t="e">
        <f t="shared" si="0"/>
        <v>#N/A</v>
      </c>
      <c r="T34" s="506"/>
      <c r="U34" s="368"/>
      <c r="V34" s="371"/>
      <c r="W34" s="371"/>
      <c r="X34" s="368" t="e">
        <f t="shared" si="1"/>
        <v>#N/A</v>
      </c>
      <c r="Y34" s="506"/>
      <c r="Z34" s="368"/>
      <c r="AA34" s="371"/>
      <c r="AB34" s="371"/>
      <c r="AC34" s="368" t="e">
        <f t="shared" si="2"/>
        <v>#N/A</v>
      </c>
      <c r="AD34" s="506"/>
      <c r="AE34" s="368"/>
      <c r="AF34" s="371"/>
      <c r="AG34" s="371"/>
      <c r="AH34" s="368" t="e">
        <f t="shared" si="3"/>
        <v>#N/A</v>
      </c>
      <c r="AI34" s="506"/>
      <c r="AJ34" s="368"/>
      <c r="AK34" s="371"/>
      <c r="AL34" s="371"/>
      <c r="AM34" s="368" t="e">
        <f t="shared" si="4"/>
        <v>#N/A</v>
      </c>
      <c r="AN34" s="506"/>
      <c r="AO34" s="368"/>
      <c r="AP34" s="371"/>
      <c r="AQ34" s="371"/>
      <c r="AR34" s="368" t="e">
        <f t="shared" si="5"/>
        <v>#N/A</v>
      </c>
      <c r="AS34" s="506"/>
      <c r="AT34" s="368"/>
      <c r="AU34" s="371"/>
      <c r="AV34" s="371"/>
      <c r="AW34" s="368" t="e">
        <f t="shared" si="6"/>
        <v>#N/A</v>
      </c>
      <c r="AX34" s="506"/>
    </row>
    <row r="35" spans="2:50">
      <c r="B35" s="483"/>
      <c r="C35" s="368">
        <v>29</v>
      </c>
      <c r="D35" s="257"/>
      <c r="E35" s="187"/>
      <c r="F35" s="368"/>
      <c r="G35" s="371"/>
      <c r="H35" s="508"/>
      <c r="I35" s="222"/>
      <c r="J35" s="222"/>
      <c r="K35" s="222"/>
      <c r="L35" s="457"/>
      <c r="M35" s="219" t="e">
        <f>RANK(K35, K$7:$K$36)</f>
        <v>#N/A</v>
      </c>
      <c r="N35" s="475"/>
      <c r="O35" s="475"/>
      <c r="P35" s="368"/>
      <c r="Q35" s="368"/>
      <c r="R35" s="368"/>
      <c r="S35" s="368" t="e">
        <f t="shared" si="0"/>
        <v>#N/A</v>
      </c>
      <c r="T35" s="506"/>
      <c r="U35" s="368"/>
      <c r="V35" s="368"/>
      <c r="W35" s="368"/>
      <c r="X35" s="368" t="e">
        <f t="shared" si="1"/>
        <v>#N/A</v>
      </c>
      <c r="Y35" s="506"/>
      <c r="Z35" s="368"/>
      <c r="AA35" s="368"/>
      <c r="AB35" s="368"/>
      <c r="AC35" s="368" t="e">
        <f t="shared" si="2"/>
        <v>#N/A</v>
      </c>
      <c r="AD35" s="506"/>
      <c r="AE35" s="368"/>
      <c r="AF35" s="368"/>
      <c r="AG35" s="368"/>
      <c r="AH35" s="368" t="e">
        <f t="shared" si="3"/>
        <v>#N/A</v>
      </c>
      <c r="AI35" s="506"/>
      <c r="AJ35" s="368"/>
      <c r="AK35" s="368"/>
      <c r="AL35" s="368"/>
      <c r="AM35" s="368" t="e">
        <f t="shared" si="4"/>
        <v>#N/A</v>
      </c>
      <c r="AN35" s="506"/>
      <c r="AO35" s="368"/>
      <c r="AP35" s="368"/>
      <c r="AQ35" s="368"/>
      <c r="AR35" s="368" t="e">
        <f t="shared" si="5"/>
        <v>#N/A</v>
      </c>
      <c r="AS35" s="506"/>
      <c r="AT35" s="368"/>
      <c r="AU35" s="368"/>
      <c r="AV35" s="368"/>
      <c r="AW35" s="368" t="e">
        <f t="shared" si="6"/>
        <v>#N/A</v>
      </c>
      <c r="AX35" s="506"/>
    </row>
    <row r="36" spans="2:50">
      <c r="B36" s="483"/>
      <c r="C36" s="368">
        <v>30</v>
      </c>
      <c r="D36" s="257"/>
      <c r="E36" s="187"/>
      <c r="F36" s="368"/>
      <c r="G36" s="371"/>
      <c r="H36" s="509"/>
      <c r="I36" s="222"/>
      <c r="J36" s="222"/>
      <c r="K36" s="222"/>
      <c r="L36" s="458"/>
      <c r="M36" s="219" t="e">
        <f>RANK(K36, K$7:$K$36)</f>
        <v>#N/A</v>
      </c>
      <c r="N36" s="475"/>
      <c r="O36" s="475"/>
      <c r="P36" s="368"/>
      <c r="Q36" s="368"/>
      <c r="R36" s="368"/>
      <c r="S36" s="368" t="e">
        <f t="shared" si="0"/>
        <v>#N/A</v>
      </c>
      <c r="T36" s="506"/>
      <c r="U36" s="368"/>
      <c r="V36" s="368"/>
      <c r="W36" s="368"/>
      <c r="X36" s="368" t="e">
        <f t="shared" si="1"/>
        <v>#N/A</v>
      </c>
      <c r="Y36" s="506"/>
      <c r="Z36" s="368"/>
      <c r="AA36" s="368"/>
      <c r="AB36" s="368"/>
      <c r="AC36" s="368" t="e">
        <f t="shared" si="2"/>
        <v>#N/A</v>
      </c>
      <c r="AD36" s="506"/>
      <c r="AE36" s="368"/>
      <c r="AF36" s="368"/>
      <c r="AG36" s="368"/>
      <c r="AH36" s="368" t="e">
        <f t="shared" si="3"/>
        <v>#N/A</v>
      </c>
      <c r="AI36" s="506"/>
      <c r="AJ36" s="368"/>
      <c r="AK36" s="368"/>
      <c r="AL36" s="368"/>
      <c r="AM36" s="368" t="e">
        <f t="shared" si="4"/>
        <v>#N/A</v>
      </c>
      <c r="AN36" s="506"/>
      <c r="AO36" s="368"/>
      <c r="AP36" s="368"/>
      <c r="AQ36" s="368"/>
      <c r="AR36" s="368" t="e">
        <f t="shared" si="5"/>
        <v>#N/A</v>
      </c>
      <c r="AS36" s="506"/>
      <c r="AT36" s="368"/>
      <c r="AU36" s="368"/>
      <c r="AV36" s="368"/>
      <c r="AW36" s="368" t="e">
        <f t="shared" si="6"/>
        <v>#N/A</v>
      </c>
      <c r="AX36" s="506"/>
    </row>
    <row r="37" spans="2:50" ht="15.75">
      <c r="B37" s="500" t="s">
        <v>172</v>
      </c>
      <c r="C37" s="501"/>
      <c r="D37" s="501"/>
      <c r="E37" s="501"/>
      <c r="F37" s="501"/>
      <c r="G37" s="501"/>
      <c r="H37" s="501"/>
      <c r="I37" s="223"/>
      <c r="J37" s="223"/>
      <c r="K37" s="223"/>
      <c r="L37" s="223"/>
      <c r="M37" s="224"/>
      <c r="N37" s="476" t="s">
        <v>164</v>
      </c>
      <c r="O37" s="476" t="s">
        <v>105</v>
      </c>
      <c r="P37" s="502">
        <f>AT2+1</f>
        <v>45902</v>
      </c>
      <c r="Q37" s="503"/>
      <c r="R37" s="503"/>
      <c r="S37" s="503"/>
      <c r="T37" s="503"/>
      <c r="U37" s="482">
        <f>P37+1</f>
        <v>45903</v>
      </c>
      <c r="V37" s="483"/>
      <c r="W37" s="483"/>
      <c r="X37" s="483"/>
      <c r="Y37" s="483"/>
      <c r="Z37" s="482">
        <f>U37+1</f>
        <v>45904</v>
      </c>
      <c r="AA37" s="483"/>
      <c r="AB37" s="483"/>
      <c r="AC37" s="483"/>
      <c r="AD37" s="483"/>
      <c r="AE37" s="482">
        <f>Z37+1</f>
        <v>45905</v>
      </c>
      <c r="AF37" s="483"/>
      <c r="AG37" s="483"/>
      <c r="AH37" s="483"/>
      <c r="AI37" s="483"/>
      <c r="AJ37" s="482">
        <f>AE37+1</f>
        <v>45906</v>
      </c>
      <c r="AK37" s="483"/>
      <c r="AL37" s="483"/>
      <c r="AM37" s="483"/>
      <c r="AN37" s="483"/>
      <c r="AO37" s="482">
        <f>AJ37+1</f>
        <v>45907</v>
      </c>
      <c r="AP37" s="483"/>
      <c r="AQ37" s="483"/>
      <c r="AR37" s="483"/>
      <c r="AS37" s="483"/>
      <c r="AT37" s="482">
        <f>AO37+1</f>
        <v>45908</v>
      </c>
      <c r="AU37" s="483"/>
      <c r="AV37" s="483"/>
      <c r="AW37" s="483"/>
      <c r="AX37" s="483"/>
    </row>
    <row r="38" spans="2:50" ht="15.75">
      <c r="B38" s="490"/>
      <c r="C38" s="490"/>
      <c r="D38" s="490"/>
      <c r="E38" s="490"/>
      <c r="F38" s="490"/>
      <c r="G38" s="490"/>
      <c r="H38" s="490"/>
      <c r="I38" s="225"/>
      <c r="J38" s="225"/>
      <c r="K38" s="225"/>
      <c r="L38" s="225"/>
      <c r="M38" s="226"/>
      <c r="N38" s="478"/>
      <c r="O38" s="478"/>
      <c r="P38" s="482" t="s">
        <v>393</v>
      </c>
      <c r="Q38" s="483"/>
      <c r="R38" s="483"/>
      <c r="S38" s="483"/>
      <c r="T38" s="483"/>
      <c r="U38" s="482" t="s">
        <v>394</v>
      </c>
      <c r="V38" s="483"/>
      <c r="W38" s="483"/>
      <c r="X38" s="483"/>
      <c r="Y38" s="483"/>
      <c r="Z38" s="482" t="s">
        <v>395</v>
      </c>
      <c r="AA38" s="483"/>
      <c r="AB38" s="483"/>
      <c r="AC38" s="483"/>
      <c r="AD38" s="483"/>
      <c r="AE38" s="482" t="s">
        <v>396</v>
      </c>
      <c r="AF38" s="483"/>
      <c r="AG38" s="483"/>
      <c r="AH38" s="483"/>
      <c r="AI38" s="483"/>
      <c r="AJ38" s="482" t="s">
        <v>397</v>
      </c>
      <c r="AK38" s="483"/>
      <c r="AL38" s="483"/>
      <c r="AM38" s="483"/>
      <c r="AN38" s="483"/>
      <c r="AO38" s="482" t="s">
        <v>398</v>
      </c>
      <c r="AP38" s="483"/>
      <c r="AQ38" s="483"/>
      <c r="AR38" s="483"/>
      <c r="AS38" s="483"/>
      <c r="AT38" s="482" t="s">
        <v>399</v>
      </c>
      <c r="AU38" s="483"/>
      <c r="AV38" s="483"/>
      <c r="AW38" s="483"/>
      <c r="AX38" s="483"/>
    </row>
    <row r="39" spans="2:50">
      <c r="B39" s="475" t="s">
        <v>726</v>
      </c>
      <c r="C39" s="475" t="s">
        <v>727</v>
      </c>
      <c r="D39" s="475"/>
      <c r="E39" s="475" t="s">
        <v>728</v>
      </c>
      <c r="F39" s="475"/>
      <c r="G39" s="475"/>
      <c r="H39" s="491" t="s">
        <v>729</v>
      </c>
      <c r="I39" s="459" t="s">
        <v>730</v>
      </c>
      <c r="J39" s="459"/>
      <c r="K39" s="459"/>
      <c r="L39" s="460" t="s">
        <v>729</v>
      </c>
      <c r="M39" s="466" t="s">
        <v>731</v>
      </c>
      <c r="N39" s="475"/>
      <c r="O39" s="475" t="s">
        <v>732</v>
      </c>
      <c r="P39" s="472" t="s">
        <v>733</v>
      </c>
      <c r="Q39" s="473"/>
      <c r="R39" s="473"/>
      <c r="S39" s="474"/>
      <c r="T39" s="475" t="s">
        <v>729</v>
      </c>
      <c r="U39" s="472" t="s">
        <v>733</v>
      </c>
      <c r="V39" s="473"/>
      <c r="W39" s="473"/>
      <c r="X39" s="474"/>
      <c r="Y39" s="475" t="s">
        <v>729</v>
      </c>
      <c r="Z39" s="472" t="s">
        <v>733</v>
      </c>
      <c r="AA39" s="473"/>
      <c r="AB39" s="473"/>
      <c r="AC39" s="474"/>
      <c r="AD39" s="475" t="s">
        <v>729</v>
      </c>
      <c r="AE39" s="472" t="s">
        <v>733</v>
      </c>
      <c r="AF39" s="473"/>
      <c r="AG39" s="473"/>
      <c r="AH39" s="474"/>
      <c r="AI39" s="475" t="s">
        <v>729</v>
      </c>
      <c r="AJ39" s="472" t="s">
        <v>733</v>
      </c>
      <c r="AK39" s="473"/>
      <c r="AL39" s="473"/>
      <c r="AM39" s="474"/>
      <c r="AN39" s="475" t="s">
        <v>729</v>
      </c>
      <c r="AO39" s="472" t="s">
        <v>733</v>
      </c>
      <c r="AP39" s="473"/>
      <c r="AQ39" s="473"/>
      <c r="AR39" s="474"/>
      <c r="AS39" s="475" t="s">
        <v>729</v>
      </c>
      <c r="AT39" s="472" t="s">
        <v>733</v>
      </c>
      <c r="AU39" s="473"/>
      <c r="AV39" s="473"/>
      <c r="AW39" s="474"/>
      <c r="AX39" s="475" t="s">
        <v>729</v>
      </c>
    </row>
    <row r="40" spans="2:50">
      <c r="B40" s="475"/>
      <c r="C40" s="475"/>
      <c r="D40" s="475"/>
      <c r="E40" s="475" t="s">
        <v>734</v>
      </c>
      <c r="F40" s="475"/>
      <c r="G40" s="475"/>
      <c r="H40" s="492"/>
      <c r="I40" s="459" t="s">
        <v>734</v>
      </c>
      <c r="J40" s="459"/>
      <c r="K40" s="459"/>
      <c r="L40" s="461"/>
      <c r="M40" s="467"/>
      <c r="N40" s="475"/>
      <c r="O40" s="475"/>
      <c r="P40" s="472" t="s">
        <v>735</v>
      </c>
      <c r="Q40" s="473"/>
      <c r="R40" s="473"/>
      <c r="S40" s="474"/>
      <c r="T40" s="475"/>
      <c r="U40" s="472" t="s">
        <v>735</v>
      </c>
      <c r="V40" s="473"/>
      <c r="W40" s="473"/>
      <c r="X40" s="474"/>
      <c r="Y40" s="475"/>
      <c r="Z40" s="472" t="s">
        <v>735</v>
      </c>
      <c r="AA40" s="473"/>
      <c r="AB40" s="473"/>
      <c r="AC40" s="474"/>
      <c r="AD40" s="475"/>
      <c r="AE40" s="472" t="s">
        <v>735</v>
      </c>
      <c r="AF40" s="473"/>
      <c r="AG40" s="473"/>
      <c r="AH40" s="474"/>
      <c r="AI40" s="475"/>
      <c r="AJ40" s="472" t="s">
        <v>735</v>
      </c>
      <c r="AK40" s="473"/>
      <c r="AL40" s="473"/>
      <c r="AM40" s="474"/>
      <c r="AN40" s="475"/>
      <c r="AO40" s="472" t="s">
        <v>735</v>
      </c>
      <c r="AP40" s="473"/>
      <c r="AQ40" s="473"/>
      <c r="AR40" s="474"/>
      <c r="AS40" s="475"/>
      <c r="AT40" s="472" t="s">
        <v>735</v>
      </c>
      <c r="AU40" s="473"/>
      <c r="AV40" s="473"/>
      <c r="AW40" s="474"/>
      <c r="AX40" s="475"/>
    </row>
    <row r="41" spans="2:50">
      <c r="B41" s="475"/>
      <c r="C41" s="475"/>
      <c r="D41" s="475"/>
      <c r="E41" s="350" t="s">
        <v>736</v>
      </c>
      <c r="F41" s="350" t="s">
        <v>737</v>
      </c>
      <c r="G41" s="350" t="s">
        <v>738</v>
      </c>
      <c r="H41" s="493"/>
      <c r="I41" s="349" t="s">
        <v>736</v>
      </c>
      <c r="J41" s="349" t="s">
        <v>737</v>
      </c>
      <c r="K41" s="349" t="s">
        <v>738</v>
      </c>
      <c r="L41" s="462"/>
      <c r="M41" s="468"/>
      <c r="N41" s="475"/>
      <c r="O41" s="475"/>
      <c r="P41" s="350" t="s">
        <v>736</v>
      </c>
      <c r="Q41" s="350" t="s">
        <v>737</v>
      </c>
      <c r="R41" s="350" t="s">
        <v>738</v>
      </c>
      <c r="S41" s="350" t="s">
        <v>731</v>
      </c>
      <c r="T41" s="475"/>
      <c r="U41" s="350" t="s">
        <v>736</v>
      </c>
      <c r="V41" s="350" t="s">
        <v>737</v>
      </c>
      <c r="W41" s="350" t="s">
        <v>738</v>
      </c>
      <c r="X41" s="350" t="s">
        <v>731</v>
      </c>
      <c r="Y41" s="475"/>
      <c r="Z41" s="350" t="s">
        <v>736</v>
      </c>
      <c r="AA41" s="350" t="s">
        <v>737</v>
      </c>
      <c r="AB41" s="350" t="s">
        <v>738</v>
      </c>
      <c r="AC41" s="350" t="s">
        <v>731</v>
      </c>
      <c r="AD41" s="475"/>
      <c r="AE41" s="350" t="s">
        <v>736</v>
      </c>
      <c r="AF41" s="350" t="s">
        <v>737</v>
      </c>
      <c r="AG41" s="350" t="s">
        <v>738</v>
      </c>
      <c r="AH41" s="350" t="s">
        <v>731</v>
      </c>
      <c r="AI41" s="475"/>
      <c r="AJ41" s="350" t="s">
        <v>736</v>
      </c>
      <c r="AK41" s="350" t="s">
        <v>737</v>
      </c>
      <c r="AL41" s="350" t="s">
        <v>738</v>
      </c>
      <c r="AM41" s="350" t="s">
        <v>731</v>
      </c>
      <c r="AN41" s="475"/>
      <c r="AO41" s="350" t="s">
        <v>736</v>
      </c>
      <c r="AP41" s="350" t="s">
        <v>737</v>
      </c>
      <c r="AQ41" s="350" t="s">
        <v>738</v>
      </c>
      <c r="AR41" s="350" t="s">
        <v>731</v>
      </c>
      <c r="AS41" s="475"/>
      <c r="AT41" s="350" t="s">
        <v>736</v>
      </c>
      <c r="AU41" s="350" t="s">
        <v>737</v>
      </c>
      <c r="AV41" s="350" t="s">
        <v>738</v>
      </c>
      <c r="AW41" s="350" t="s">
        <v>731</v>
      </c>
      <c r="AX41" s="475"/>
    </row>
    <row r="42" spans="2:50">
      <c r="B42" s="475" t="s">
        <v>739</v>
      </c>
      <c r="C42" s="351">
        <v>1</v>
      </c>
      <c r="D42" s="257" t="s">
        <v>465</v>
      </c>
      <c r="E42" s="187">
        <v>5</v>
      </c>
      <c r="F42" s="351">
        <v>1600</v>
      </c>
      <c r="G42" s="354">
        <v>320</v>
      </c>
      <c r="H42" s="507">
        <f>AVERAGE(G42:G71)</f>
        <v>106.45300348911491</v>
      </c>
      <c r="I42" s="219">
        <f>AVERAGE(P42,U42,Z42,AE42,AJ42,AO42,AT42)</f>
        <v>5</v>
      </c>
      <c r="J42" s="219">
        <f>AVERAGE(Q42,V42,AA42,AF42,AK42,AP42,AU42)</f>
        <v>1020.0000000000036</v>
      </c>
      <c r="K42" s="220">
        <f>AVERAGE(R42,W42,AB42,AG42,AL42,AQ42,AV42)</f>
        <v>204.00000000000074</v>
      </c>
      <c r="L42" s="456">
        <f>IFERROR(AVERAGE(K42:K71),"-")</f>
        <v>92.221576332413861</v>
      </c>
      <c r="M42" s="221">
        <f>RANK(K42, K$42:$K$71)</f>
        <v>3</v>
      </c>
      <c r="N42" s="475"/>
      <c r="O42" s="475"/>
      <c r="P42" s="187">
        <v>5</v>
      </c>
      <c r="Q42" s="187">
        <v>1140.0000000000041</v>
      </c>
      <c r="R42" s="187">
        <v>228.00000000000082</v>
      </c>
      <c r="S42" s="351">
        <f t="shared" ref="S42:S71" si="8">RANK(R42, R$42:R$71)</f>
        <v>2</v>
      </c>
      <c r="T42" s="506">
        <f>AVERAGE(R42:R71)</f>
        <v>92.208798167320353</v>
      </c>
      <c r="U42" s="187">
        <v>5</v>
      </c>
      <c r="V42" s="187">
        <v>1080.0000000000039</v>
      </c>
      <c r="W42" s="187">
        <v>216.00000000000077</v>
      </c>
      <c r="X42" s="351">
        <f t="shared" ref="X42:X71" si="9">RANK(W42, W$42:W$71)</f>
        <v>2</v>
      </c>
      <c r="Y42" s="506">
        <f>AVERAGE(W42:W71)</f>
        <v>92.479905204228018</v>
      </c>
      <c r="Z42" s="187">
        <v>5</v>
      </c>
      <c r="AA42" s="187">
        <v>900.00000000000318</v>
      </c>
      <c r="AB42" s="187">
        <v>180.00000000000063</v>
      </c>
      <c r="AC42" s="351">
        <f t="shared" ref="AC42:AC71" si="10">RANK(AB42, AB$42:AB$71)</f>
        <v>3</v>
      </c>
      <c r="AD42" s="506">
        <f>AVERAGE(AB42:AB71)</f>
        <v>90.475791549657899</v>
      </c>
      <c r="AE42" s="187">
        <v>5</v>
      </c>
      <c r="AF42" s="187">
        <v>1110.0000000000039</v>
      </c>
      <c r="AG42" s="187">
        <v>222.00000000000077</v>
      </c>
      <c r="AH42" s="351">
        <f t="shared" ref="AH42:AH71" si="11">RANK(AG42, AG$42:AG$71)</f>
        <v>2</v>
      </c>
      <c r="AI42" s="506">
        <f>AVERAGE(AG42:AG71)</f>
        <v>92.625160220073454</v>
      </c>
      <c r="AJ42" s="187">
        <v>5</v>
      </c>
      <c r="AK42" s="187">
        <v>860.00000000000307</v>
      </c>
      <c r="AL42" s="187">
        <v>172.00000000000063</v>
      </c>
      <c r="AM42" s="351">
        <f t="shared" ref="AM42:AM71" si="12">RANK(AL42, AL$42:AL$71)</f>
        <v>3</v>
      </c>
      <c r="AN42" s="506">
        <f>AVERAGE(AL42:AL71)</f>
        <v>90.401450015029255</v>
      </c>
      <c r="AO42" s="187">
        <v>5</v>
      </c>
      <c r="AP42" s="187">
        <v>1170.0000000000043</v>
      </c>
      <c r="AQ42" s="187">
        <v>234.00000000000085</v>
      </c>
      <c r="AR42" s="351">
        <f t="shared" ref="AR42:AR71" si="13">RANK(AQ42, AQ$42:AQ$71)</f>
        <v>2</v>
      </c>
      <c r="AS42" s="506">
        <f>AVERAGE(AQ42:AQ71)</f>
        <v>95.178614654255796</v>
      </c>
      <c r="AT42" s="187">
        <v>5</v>
      </c>
      <c r="AU42" s="187">
        <v>880.00000000000318</v>
      </c>
      <c r="AV42" s="187">
        <v>176.00000000000063</v>
      </c>
      <c r="AW42" s="351">
        <f t="shared" ref="AW42:AW71" si="14">RANK(AV42, AV$42:AV$71)</f>
        <v>3</v>
      </c>
      <c r="AX42" s="506">
        <f>AVERAGE(AV42:AV71)</f>
        <v>92.181314516332364</v>
      </c>
    </row>
    <row r="43" spans="2:50">
      <c r="B43" s="483"/>
      <c r="C43" s="351">
        <v>2</v>
      </c>
      <c r="D43" s="257" t="s">
        <v>466</v>
      </c>
      <c r="E43" s="187">
        <v>6</v>
      </c>
      <c r="F43" s="351">
        <v>1500</v>
      </c>
      <c r="G43" s="354">
        <v>250</v>
      </c>
      <c r="H43" s="508"/>
      <c r="I43" s="219">
        <f t="shared" ref="I43:I65" si="15">AVERAGE(P43,U43,Z43,AE43,AJ43,AO43,AT43)</f>
        <v>5.7142857142857144</v>
      </c>
      <c r="J43" s="219">
        <f t="shared" ref="J43:J65" si="16">AVERAGE(Q43,V43,AA43,AF43,AK43,AP43,AU43)</f>
        <v>1478.1565832843191</v>
      </c>
      <c r="K43" s="220">
        <f t="shared" ref="K43:K65" si="17">AVERAGE(R43,W43,AB43,AG43,AL43,AQ43,AV43)</f>
        <v>260.47424316334201</v>
      </c>
      <c r="L43" s="457"/>
      <c r="M43" s="221">
        <f>RANK(K43, K$42:$K$71)</f>
        <v>1</v>
      </c>
      <c r="N43" s="475"/>
      <c r="O43" s="475"/>
      <c r="P43" s="187">
        <v>6</v>
      </c>
      <c r="Q43" s="187">
        <v>1443.3799126637555</v>
      </c>
      <c r="R43" s="187">
        <v>240.56331877729258</v>
      </c>
      <c r="S43" s="351">
        <f t="shared" si="8"/>
        <v>1</v>
      </c>
      <c r="T43" s="506"/>
      <c r="U43" s="187">
        <v>6</v>
      </c>
      <c r="V43" s="187">
        <v>1505.435779816514</v>
      </c>
      <c r="W43" s="187">
        <v>250.90596330275233</v>
      </c>
      <c r="X43" s="351">
        <f t="shared" si="9"/>
        <v>1</v>
      </c>
      <c r="Y43" s="506"/>
      <c r="Z43" s="187">
        <v>6</v>
      </c>
      <c r="AA43" s="187">
        <v>1460.4312796208533</v>
      </c>
      <c r="AB43" s="187">
        <v>243.40521327014221</v>
      </c>
      <c r="AC43" s="351">
        <f t="shared" si="10"/>
        <v>1</v>
      </c>
      <c r="AD43" s="506"/>
      <c r="AE43" s="187">
        <v>6</v>
      </c>
      <c r="AF43" s="187">
        <v>1480.7076923076922</v>
      </c>
      <c r="AG43" s="187">
        <v>246.78461538461536</v>
      </c>
      <c r="AH43" s="351">
        <f t="shared" si="11"/>
        <v>1</v>
      </c>
      <c r="AI43" s="506"/>
      <c r="AJ43" s="187">
        <v>6</v>
      </c>
      <c r="AK43" s="187">
        <v>1493.0307692307692</v>
      </c>
      <c r="AL43" s="187">
        <v>248.83846153846153</v>
      </c>
      <c r="AM43" s="351">
        <f t="shared" si="12"/>
        <v>1</v>
      </c>
      <c r="AN43" s="506"/>
      <c r="AO43" s="187">
        <v>5</v>
      </c>
      <c r="AP43" s="187">
        <v>1496.76</v>
      </c>
      <c r="AQ43" s="187">
        <v>299.35199999999998</v>
      </c>
      <c r="AR43" s="351">
        <f t="shared" si="13"/>
        <v>1</v>
      </c>
      <c r="AS43" s="506"/>
      <c r="AT43" s="187">
        <v>5</v>
      </c>
      <c r="AU43" s="187">
        <v>1467.3506493506495</v>
      </c>
      <c r="AV43" s="187">
        <v>293.47012987012988</v>
      </c>
      <c r="AW43" s="351">
        <f t="shared" si="14"/>
        <v>1</v>
      </c>
      <c r="AX43" s="506"/>
    </row>
    <row r="44" spans="2:50">
      <c r="B44" s="483"/>
      <c r="C44" s="351">
        <v>3</v>
      </c>
      <c r="D44" s="257" t="s">
        <v>500</v>
      </c>
      <c r="E44" s="187">
        <v>7</v>
      </c>
      <c r="F44" s="351">
        <v>1500</v>
      </c>
      <c r="G44" s="354">
        <v>214.28571428571428</v>
      </c>
      <c r="H44" s="508"/>
      <c r="I44" s="219">
        <f t="shared" si="15"/>
        <v>7</v>
      </c>
      <c r="J44" s="219">
        <f t="shared" si="16"/>
        <v>1483.7800199025849</v>
      </c>
      <c r="K44" s="220">
        <f t="shared" si="17"/>
        <v>211.96857427179788</v>
      </c>
      <c r="L44" s="457"/>
      <c r="M44" s="221">
        <f>RANK(K44, K$42:$K$71)</f>
        <v>2</v>
      </c>
      <c r="N44" s="475"/>
      <c r="O44" s="475"/>
      <c r="P44" s="187">
        <v>7</v>
      </c>
      <c r="Q44" s="187">
        <v>1473.0612244897957</v>
      </c>
      <c r="R44" s="187">
        <v>210.43731778425652</v>
      </c>
      <c r="S44" s="351">
        <f t="shared" si="8"/>
        <v>3</v>
      </c>
      <c r="T44" s="506"/>
      <c r="U44" s="187">
        <v>7</v>
      </c>
      <c r="V44" s="187">
        <v>1447.2</v>
      </c>
      <c r="W44" s="187">
        <v>206.74285714285716</v>
      </c>
      <c r="X44" s="351">
        <f t="shared" si="9"/>
        <v>3</v>
      </c>
      <c r="Y44" s="506"/>
      <c r="Z44" s="187">
        <v>7</v>
      </c>
      <c r="AA44" s="187">
        <v>1491.5217391304348</v>
      </c>
      <c r="AB44" s="187">
        <v>213.07453416149067</v>
      </c>
      <c r="AC44" s="351">
        <f t="shared" si="10"/>
        <v>2</v>
      </c>
      <c r="AD44" s="506"/>
      <c r="AE44" s="187">
        <v>7</v>
      </c>
      <c r="AF44" s="187">
        <v>1515.1724137931033</v>
      </c>
      <c r="AG44" s="187">
        <v>216.45320197044333</v>
      </c>
      <c r="AH44" s="351">
        <f t="shared" si="11"/>
        <v>3</v>
      </c>
      <c r="AI44" s="506"/>
      <c r="AJ44" s="187">
        <v>7</v>
      </c>
      <c r="AK44" s="187">
        <v>1525.3333333333333</v>
      </c>
      <c r="AL44" s="187">
        <v>217.9047619047619</v>
      </c>
      <c r="AM44" s="351">
        <f t="shared" si="12"/>
        <v>2</v>
      </c>
      <c r="AN44" s="506"/>
      <c r="AO44" s="187">
        <v>7</v>
      </c>
      <c r="AP44" s="187">
        <v>1478.5714285714284</v>
      </c>
      <c r="AQ44" s="187">
        <v>211.22448979591834</v>
      </c>
      <c r="AR44" s="351">
        <f t="shared" si="13"/>
        <v>3</v>
      </c>
      <c r="AS44" s="506"/>
      <c r="AT44" s="187">
        <v>7</v>
      </c>
      <c r="AU44" s="187">
        <v>1455.6000000000001</v>
      </c>
      <c r="AV44" s="187">
        <v>207.94285714285715</v>
      </c>
      <c r="AW44" s="351">
        <f t="shared" si="14"/>
        <v>2</v>
      </c>
      <c r="AX44" s="506"/>
    </row>
    <row r="45" spans="2:50">
      <c r="B45" s="483"/>
      <c r="C45" s="351">
        <v>4</v>
      </c>
      <c r="D45" s="257" t="s">
        <v>467</v>
      </c>
      <c r="E45" s="187">
        <v>18</v>
      </c>
      <c r="F45" s="351">
        <v>1500</v>
      </c>
      <c r="G45" s="354">
        <v>83.333333333333329</v>
      </c>
      <c r="H45" s="508"/>
      <c r="I45" s="219">
        <f t="shared" si="15"/>
        <v>18</v>
      </c>
      <c r="J45" s="219">
        <f t="shared" si="16"/>
        <v>1287.6328549450263</v>
      </c>
      <c r="K45" s="220">
        <f t="shared" si="17"/>
        <v>71.535158608057017</v>
      </c>
      <c r="L45" s="457"/>
      <c r="M45" s="221">
        <f>RANK(K45, K$42:$K$71)</f>
        <v>16</v>
      </c>
      <c r="N45" s="475"/>
      <c r="O45" s="475"/>
      <c r="P45" s="187">
        <v>18</v>
      </c>
      <c r="Q45" s="187">
        <v>1260.5454545454545</v>
      </c>
      <c r="R45" s="187">
        <v>70.030303030303031</v>
      </c>
      <c r="S45" s="351">
        <f t="shared" si="8"/>
        <v>17</v>
      </c>
      <c r="T45" s="506"/>
      <c r="U45" s="187">
        <v>18</v>
      </c>
      <c r="V45" s="187">
        <v>1314.2307692307688</v>
      </c>
      <c r="W45" s="187">
        <v>73.012820512820497</v>
      </c>
      <c r="X45" s="351">
        <f t="shared" si="9"/>
        <v>15</v>
      </c>
      <c r="Y45" s="506"/>
      <c r="Z45" s="187">
        <v>18</v>
      </c>
      <c r="AA45" s="187">
        <v>1303.4162790697674</v>
      </c>
      <c r="AB45" s="187">
        <v>72.412015503875963</v>
      </c>
      <c r="AC45" s="351">
        <f t="shared" si="10"/>
        <v>16</v>
      </c>
      <c r="AD45" s="506"/>
      <c r="AE45" s="187">
        <v>18</v>
      </c>
      <c r="AF45" s="187">
        <v>1274.2857142857138</v>
      </c>
      <c r="AG45" s="187">
        <v>70.79365079365077</v>
      </c>
      <c r="AH45" s="351">
        <f t="shared" si="11"/>
        <v>15</v>
      </c>
      <c r="AI45" s="506"/>
      <c r="AJ45" s="187">
        <v>18</v>
      </c>
      <c r="AK45" s="187">
        <v>1285.4347826086957</v>
      </c>
      <c r="AL45" s="187">
        <v>71.413043478260875</v>
      </c>
      <c r="AM45" s="351">
        <f t="shared" si="12"/>
        <v>15</v>
      </c>
      <c r="AN45" s="506"/>
      <c r="AO45" s="187">
        <v>18</v>
      </c>
      <c r="AP45" s="187">
        <v>1311.1926605504586</v>
      </c>
      <c r="AQ45" s="187">
        <v>72.844036697247702</v>
      </c>
      <c r="AR45" s="351">
        <f t="shared" si="13"/>
        <v>15</v>
      </c>
      <c r="AS45" s="506"/>
      <c r="AT45" s="187">
        <v>18</v>
      </c>
      <c r="AU45" s="187">
        <v>1264.3243243243244</v>
      </c>
      <c r="AV45" s="187">
        <v>70.24024024024024</v>
      </c>
      <c r="AW45" s="351">
        <f t="shared" si="14"/>
        <v>16</v>
      </c>
      <c r="AX45" s="506"/>
    </row>
    <row r="46" spans="2:50">
      <c r="B46" s="483"/>
      <c r="C46" s="351">
        <v>5</v>
      </c>
      <c r="D46" s="257" t="s">
        <v>427</v>
      </c>
      <c r="E46" s="187">
        <v>21</v>
      </c>
      <c r="F46" s="351">
        <v>1500</v>
      </c>
      <c r="G46" s="354">
        <v>71.428571428571431</v>
      </c>
      <c r="H46" s="508"/>
      <c r="I46" s="219">
        <f t="shared" si="15"/>
        <v>20.285714285714285</v>
      </c>
      <c r="J46" s="219">
        <f t="shared" si="16"/>
        <v>1291.2859673591797</v>
      </c>
      <c r="K46" s="220">
        <f t="shared" si="17"/>
        <v>63.689232773698841</v>
      </c>
      <c r="L46" s="457"/>
      <c r="M46" s="221">
        <f>RANK(K46, K$42:$K$71)</f>
        <v>24</v>
      </c>
      <c r="N46" s="475"/>
      <c r="O46" s="475"/>
      <c r="P46" s="187">
        <v>21</v>
      </c>
      <c r="Q46" s="187">
        <v>1282.2580645161302</v>
      </c>
      <c r="R46" s="187">
        <v>61.059907834101438</v>
      </c>
      <c r="S46" s="351">
        <f t="shared" si="8"/>
        <v>24</v>
      </c>
      <c r="T46" s="506"/>
      <c r="U46" s="187">
        <v>20</v>
      </c>
      <c r="V46" s="187">
        <v>1301.3114754098372</v>
      </c>
      <c r="W46" s="187">
        <v>65.065573770491852</v>
      </c>
      <c r="X46" s="351">
        <f t="shared" si="9"/>
        <v>23</v>
      </c>
      <c r="Y46" s="506"/>
      <c r="Z46" s="187">
        <v>20</v>
      </c>
      <c r="AA46" s="187">
        <v>1299.6428571428582</v>
      </c>
      <c r="AB46" s="187">
        <v>64.982142857142918</v>
      </c>
      <c r="AC46" s="351">
        <f t="shared" si="10"/>
        <v>22</v>
      </c>
      <c r="AD46" s="506"/>
      <c r="AE46" s="187">
        <v>20</v>
      </c>
      <c r="AF46" s="187">
        <v>1308.9795918367352</v>
      </c>
      <c r="AG46" s="187">
        <v>65.448979591836761</v>
      </c>
      <c r="AH46" s="351">
        <f t="shared" si="11"/>
        <v>23</v>
      </c>
      <c r="AI46" s="506"/>
      <c r="AJ46" s="187">
        <v>20</v>
      </c>
      <c r="AK46" s="187">
        <v>1272.0000000000009</v>
      </c>
      <c r="AL46" s="187">
        <v>63.600000000000044</v>
      </c>
      <c r="AM46" s="351">
        <f t="shared" si="12"/>
        <v>22</v>
      </c>
      <c r="AN46" s="506"/>
      <c r="AO46" s="187">
        <v>20</v>
      </c>
      <c r="AP46" s="187">
        <v>1284.3750000000016</v>
      </c>
      <c r="AQ46" s="187">
        <v>64.218750000000085</v>
      </c>
      <c r="AR46" s="351">
        <f t="shared" si="13"/>
        <v>24</v>
      </c>
      <c r="AS46" s="506"/>
      <c r="AT46" s="187">
        <v>21</v>
      </c>
      <c r="AU46" s="187">
        <v>1290.4347826086944</v>
      </c>
      <c r="AV46" s="187">
        <v>61.44927536231878</v>
      </c>
      <c r="AW46" s="351">
        <f t="shared" si="14"/>
        <v>24</v>
      </c>
      <c r="AX46" s="506"/>
    </row>
    <row r="47" spans="2:50">
      <c r="B47" s="483"/>
      <c r="C47" s="351">
        <v>6</v>
      </c>
      <c r="D47" s="257" t="s">
        <v>517</v>
      </c>
      <c r="E47" s="187">
        <v>19</v>
      </c>
      <c r="F47" s="351">
        <v>1500</v>
      </c>
      <c r="G47" s="354">
        <v>78.94736842105263</v>
      </c>
      <c r="H47" s="508"/>
      <c r="I47" s="219">
        <f t="shared" si="15"/>
        <v>19</v>
      </c>
      <c r="J47" s="219">
        <f t="shared" si="16"/>
        <v>1287.0038226728709</v>
      </c>
      <c r="K47" s="220">
        <f t="shared" si="17"/>
        <v>67.737043298572161</v>
      </c>
      <c r="L47" s="457"/>
      <c r="M47" s="221">
        <f>RANK(K47, K$42:$K$71)</f>
        <v>21</v>
      </c>
      <c r="N47" s="475"/>
      <c r="O47" s="475"/>
      <c r="P47" s="187">
        <v>19</v>
      </c>
      <c r="Q47" s="187">
        <v>1305.30612244898</v>
      </c>
      <c r="R47" s="187">
        <v>68.700322234156843</v>
      </c>
      <c r="S47" s="351">
        <f t="shared" si="8"/>
        <v>19</v>
      </c>
      <c r="T47" s="506"/>
      <c r="U47" s="187">
        <v>19</v>
      </c>
      <c r="V47" s="187">
        <v>1267.3469387755106</v>
      </c>
      <c r="W47" s="187">
        <v>66.702470461868984</v>
      </c>
      <c r="X47" s="351">
        <f t="shared" si="9"/>
        <v>21</v>
      </c>
      <c r="Y47" s="506"/>
      <c r="Z47" s="187">
        <v>19</v>
      </c>
      <c r="AA47" s="187">
        <v>1295.744680851064</v>
      </c>
      <c r="AB47" s="187">
        <v>68.197088465845468</v>
      </c>
      <c r="AC47" s="351">
        <f t="shared" si="10"/>
        <v>19</v>
      </c>
      <c r="AD47" s="506"/>
      <c r="AE47" s="187">
        <v>19</v>
      </c>
      <c r="AF47" s="187">
        <v>1268.7804878048801</v>
      </c>
      <c r="AG47" s="187">
        <v>66.777920410783167</v>
      </c>
      <c r="AH47" s="351">
        <f t="shared" si="11"/>
        <v>21</v>
      </c>
      <c r="AI47" s="506"/>
      <c r="AJ47" s="187">
        <v>19</v>
      </c>
      <c r="AK47" s="187">
        <v>1309.090909090909</v>
      </c>
      <c r="AL47" s="187">
        <v>68.899521531100476</v>
      </c>
      <c r="AM47" s="351">
        <f t="shared" si="12"/>
        <v>20</v>
      </c>
      <c r="AN47" s="506"/>
      <c r="AO47" s="187">
        <v>19</v>
      </c>
      <c r="AP47" s="187">
        <v>1306.1538461538469</v>
      </c>
      <c r="AQ47" s="187">
        <v>68.744939271255092</v>
      </c>
      <c r="AR47" s="351">
        <f t="shared" si="13"/>
        <v>19</v>
      </c>
      <c r="AS47" s="506"/>
      <c r="AT47" s="187">
        <v>19</v>
      </c>
      <c r="AU47" s="187">
        <v>1256.6037735849063</v>
      </c>
      <c r="AV47" s="187">
        <v>66.137040714995067</v>
      </c>
      <c r="AW47" s="351">
        <f t="shared" si="14"/>
        <v>22</v>
      </c>
      <c r="AX47" s="506"/>
    </row>
    <row r="48" spans="2:50">
      <c r="B48" s="483"/>
      <c r="C48" s="351">
        <v>7</v>
      </c>
      <c r="D48" s="257" t="s">
        <v>425</v>
      </c>
      <c r="E48" s="187">
        <v>17</v>
      </c>
      <c r="F48" s="351">
        <v>1500</v>
      </c>
      <c r="G48" s="354">
        <v>88.235294117647058</v>
      </c>
      <c r="H48" s="508"/>
      <c r="I48" s="219">
        <f t="shared" si="15"/>
        <v>17</v>
      </c>
      <c r="J48" s="219">
        <f t="shared" si="16"/>
        <v>1339.8047505468664</v>
      </c>
      <c r="K48" s="220">
        <f t="shared" si="17"/>
        <v>78.812044149815691</v>
      </c>
      <c r="L48" s="457"/>
      <c r="M48" s="221">
        <f>RANK(K48, K$42:$K$71)</f>
        <v>7</v>
      </c>
      <c r="N48" s="475"/>
      <c r="O48" s="475"/>
      <c r="P48" s="187">
        <v>17</v>
      </c>
      <c r="Q48" s="187">
        <v>1317.9661016949165</v>
      </c>
      <c r="R48" s="187">
        <v>77.527417746759795</v>
      </c>
      <c r="S48" s="351">
        <f t="shared" si="8"/>
        <v>10</v>
      </c>
      <c r="T48" s="506"/>
      <c r="U48" s="187">
        <v>17</v>
      </c>
      <c r="V48" s="187">
        <v>1344.23076923077</v>
      </c>
      <c r="W48" s="187">
        <v>79.072398190045291</v>
      </c>
      <c r="X48" s="351">
        <f t="shared" si="9"/>
        <v>8</v>
      </c>
      <c r="Y48" s="506"/>
      <c r="Z48" s="187">
        <v>17</v>
      </c>
      <c r="AA48" s="187">
        <v>1361.1764705882358</v>
      </c>
      <c r="AB48" s="187">
        <v>80.069204152249171</v>
      </c>
      <c r="AC48" s="351">
        <f t="shared" si="10"/>
        <v>6</v>
      </c>
      <c r="AD48" s="506"/>
      <c r="AE48" s="187">
        <v>17</v>
      </c>
      <c r="AF48" s="187">
        <v>1363.2558139534881</v>
      </c>
      <c r="AG48" s="187">
        <v>80.191518467852234</v>
      </c>
      <c r="AH48" s="351">
        <f t="shared" si="11"/>
        <v>6</v>
      </c>
      <c r="AI48" s="506"/>
      <c r="AJ48" s="187">
        <v>17</v>
      </c>
      <c r="AK48" s="187">
        <v>1346.2500000000005</v>
      </c>
      <c r="AL48" s="187">
        <v>79.19117647058826</v>
      </c>
      <c r="AM48" s="351">
        <f t="shared" si="12"/>
        <v>7</v>
      </c>
      <c r="AN48" s="506"/>
      <c r="AO48" s="187">
        <v>17</v>
      </c>
      <c r="AP48" s="187">
        <v>1310.9999999999995</v>
      </c>
      <c r="AQ48" s="187">
        <v>77.117647058823508</v>
      </c>
      <c r="AR48" s="351">
        <f t="shared" si="13"/>
        <v>9</v>
      </c>
      <c r="AS48" s="506"/>
      <c r="AT48" s="187">
        <v>17</v>
      </c>
      <c r="AU48" s="187">
        <v>1334.7540983606552</v>
      </c>
      <c r="AV48" s="187">
        <v>78.514946962391491</v>
      </c>
      <c r="AW48" s="351">
        <f t="shared" si="14"/>
        <v>9</v>
      </c>
      <c r="AX48" s="506"/>
    </row>
    <row r="49" spans="2:50">
      <c r="B49" s="483"/>
      <c r="C49" s="351">
        <v>8</v>
      </c>
      <c r="D49" s="257" t="s">
        <v>475</v>
      </c>
      <c r="E49" s="187">
        <v>17</v>
      </c>
      <c r="F49" s="351">
        <v>1565</v>
      </c>
      <c r="G49" s="354">
        <v>92.058823529411768</v>
      </c>
      <c r="H49" s="508"/>
      <c r="I49" s="219">
        <f t="shared" si="15"/>
        <v>17</v>
      </c>
      <c r="J49" s="219">
        <f t="shared" si="16"/>
        <v>1390.0506327795863</v>
      </c>
      <c r="K49" s="220">
        <f t="shared" si="17"/>
        <v>81.767684281152142</v>
      </c>
      <c r="L49" s="457"/>
      <c r="M49" s="221">
        <f>RANK(K49, K$42:$K$71)</f>
        <v>5</v>
      </c>
      <c r="N49" s="475"/>
      <c r="O49" s="475"/>
      <c r="P49" s="187">
        <v>17</v>
      </c>
      <c r="Q49" s="187">
        <v>1354.4827586206895</v>
      </c>
      <c r="R49" s="187">
        <v>79.675456389452322</v>
      </c>
      <c r="S49" s="351">
        <f t="shared" si="8"/>
        <v>7</v>
      </c>
      <c r="T49" s="506"/>
      <c r="U49" s="187">
        <v>17</v>
      </c>
      <c r="V49" s="187">
        <v>1410.76923076923</v>
      </c>
      <c r="W49" s="187">
        <v>82.986425339366477</v>
      </c>
      <c r="X49" s="351">
        <f t="shared" si="9"/>
        <v>5</v>
      </c>
      <c r="Y49" s="506"/>
      <c r="Z49" s="187">
        <v>17</v>
      </c>
      <c r="AA49" s="187">
        <v>1373.5135135135124</v>
      </c>
      <c r="AB49" s="187">
        <v>80.794912559618382</v>
      </c>
      <c r="AC49" s="351">
        <f t="shared" si="10"/>
        <v>5</v>
      </c>
      <c r="AD49" s="506"/>
      <c r="AE49" s="187">
        <v>17</v>
      </c>
      <c r="AF49" s="187">
        <v>1417.0000000000007</v>
      </c>
      <c r="AG49" s="187">
        <v>83.352941176470623</v>
      </c>
      <c r="AH49" s="351">
        <f t="shared" si="11"/>
        <v>5</v>
      </c>
      <c r="AI49" s="506"/>
      <c r="AJ49" s="187">
        <v>17</v>
      </c>
      <c r="AK49" s="187">
        <v>1370.1355932203403</v>
      </c>
      <c r="AL49" s="187">
        <v>80.596211365902377</v>
      </c>
      <c r="AM49" s="351">
        <f t="shared" si="12"/>
        <v>6</v>
      </c>
      <c r="AN49" s="506"/>
      <c r="AO49" s="187">
        <v>17</v>
      </c>
      <c r="AP49" s="187">
        <v>1401.119999999999</v>
      </c>
      <c r="AQ49" s="187">
        <v>82.418823529411711</v>
      </c>
      <c r="AR49" s="351">
        <f t="shared" si="13"/>
        <v>5</v>
      </c>
      <c r="AS49" s="506"/>
      <c r="AT49" s="187">
        <v>17</v>
      </c>
      <c r="AU49" s="187">
        <v>1403.333333333333</v>
      </c>
      <c r="AV49" s="187">
        <v>82.549019607843121</v>
      </c>
      <c r="AW49" s="351">
        <f t="shared" si="14"/>
        <v>5</v>
      </c>
      <c r="AX49" s="506"/>
    </row>
    <row r="50" spans="2:50">
      <c r="B50" s="483"/>
      <c r="C50" s="351">
        <v>9</v>
      </c>
      <c r="D50" s="257" t="s">
        <v>403</v>
      </c>
      <c r="E50" s="187">
        <v>16</v>
      </c>
      <c r="F50" s="351">
        <v>1440</v>
      </c>
      <c r="G50" s="354">
        <v>90</v>
      </c>
      <c r="H50" s="508"/>
      <c r="I50" s="219">
        <f t="shared" si="15"/>
        <v>16</v>
      </c>
      <c r="J50" s="219">
        <f t="shared" si="16"/>
        <v>1278.7152804045138</v>
      </c>
      <c r="K50" s="220">
        <f t="shared" si="17"/>
        <v>79.919705025282113</v>
      </c>
      <c r="L50" s="457"/>
      <c r="M50" s="221">
        <f>RANK(K50, K$42:$K$71)</f>
        <v>6</v>
      </c>
      <c r="N50" s="475"/>
      <c r="O50" s="475"/>
      <c r="P50" s="187">
        <v>16</v>
      </c>
      <c r="Q50" s="187">
        <v>1305.8823529411748</v>
      </c>
      <c r="R50" s="187">
        <v>81.617647058823422</v>
      </c>
      <c r="S50" s="351">
        <f t="shared" si="8"/>
        <v>5</v>
      </c>
      <c r="T50" s="506"/>
      <c r="U50" s="187">
        <v>16</v>
      </c>
      <c r="V50" s="187">
        <v>1304.9999999999982</v>
      </c>
      <c r="W50" s="187">
        <v>81.562499999999886</v>
      </c>
      <c r="X50" s="351">
        <f t="shared" si="9"/>
        <v>6</v>
      </c>
      <c r="Y50" s="506"/>
      <c r="Z50" s="187">
        <v>16</v>
      </c>
      <c r="AA50" s="187">
        <v>1264.1379310344803</v>
      </c>
      <c r="AB50" s="187">
        <v>79.008620689655018</v>
      </c>
      <c r="AC50" s="351">
        <f t="shared" si="10"/>
        <v>7</v>
      </c>
      <c r="AD50" s="506"/>
      <c r="AE50" s="187">
        <v>16</v>
      </c>
      <c r="AF50" s="187">
        <v>1238.7096774193528</v>
      </c>
      <c r="AG50" s="187">
        <v>77.419354838709552</v>
      </c>
      <c r="AH50" s="351">
        <f t="shared" si="11"/>
        <v>9</v>
      </c>
      <c r="AI50" s="506"/>
      <c r="AJ50" s="187">
        <v>16</v>
      </c>
      <c r="AK50" s="187">
        <v>1302.5806451612882</v>
      </c>
      <c r="AL50" s="187">
        <v>81.411290322580513</v>
      </c>
      <c r="AM50" s="351">
        <f t="shared" si="12"/>
        <v>5</v>
      </c>
      <c r="AN50" s="506"/>
      <c r="AO50" s="187">
        <v>16</v>
      </c>
      <c r="AP50" s="187">
        <v>1233.1578947368412</v>
      </c>
      <c r="AQ50" s="187">
        <v>77.072368421052573</v>
      </c>
      <c r="AR50" s="351">
        <f t="shared" si="13"/>
        <v>10</v>
      </c>
      <c r="AS50" s="506"/>
      <c r="AT50" s="187">
        <v>16</v>
      </c>
      <c r="AU50" s="187">
        <v>1301.5384615384608</v>
      </c>
      <c r="AV50" s="187">
        <v>81.346153846153797</v>
      </c>
      <c r="AW50" s="351">
        <f t="shared" si="14"/>
        <v>6</v>
      </c>
      <c r="AX50" s="506"/>
    </row>
    <row r="51" spans="2:50">
      <c r="B51" s="483"/>
      <c r="C51" s="351">
        <v>10</v>
      </c>
      <c r="D51" s="257" t="s">
        <v>474</v>
      </c>
      <c r="E51" s="187">
        <v>17</v>
      </c>
      <c r="F51" s="351">
        <v>1440</v>
      </c>
      <c r="G51" s="354">
        <v>84.705882352941174</v>
      </c>
      <c r="H51" s="508"/>
      <c r="I51" s="219">
        <f t="shared" si="15"/>
        <v>17</v>
      </c>
      <c r="J51" s="219">
        <f t="shared" si="16"/>
        <v>1289.2592200816391</v>
      </c>
      <c r="K51" s="220">
        <f t="shared" si="17"/>
        <v>75.838777651861122</v>
      </c>
      <c r="L51" s="457"/>
      <c r="M51" s="221">
        <f>RANK(K51, K$42:$K$71)</f>
        <v>11</v>
      </c>
      <c r="N51" s="475"/>
      <c r="O51" s="475"/>
      <c r="P51" s="187">
        <v>17</v>
      </c>
      <c r="Q51" s="187">
        <v>1299.6226415094347</v>
      </c>
      <c r="R51" s="187">
        <v>76.448390677025571</v>
      </c>
      <c r="S51" s="351">
        <f t="shared" si="8"/>
        <v>11</v>
      </c>
      <c r="T51" s="506"/>
      <c r="U51" s="187">
        <v>17</v>
      </c>
      <c r="V51" s="187">
        <v>1308.2608695652175</v>
      </c>
      <c r="W51" s="187">
        <v>76.956521739130437</v>
      </c>
      <c r="X51" s="351">
        <f t="shared" si="9"/>
        <v>10</v>
      </c>
      <c r="Y51" s="506"/>
      <c r="Z51" s="187">
        <v>17</v>
      </c>
      <c r="AA51" s="187">
        <v>1282.8571428571424</v>
      </c>
      <c r="AB51" s="187">
        <v>75.462184873949553</v>
      </c>
      <c r="AC51" s="351">
        <f t="shared" si="10"/>
        <v>12</v>
      </c>
      <c r="AD51" s="506"/>
      <c r="AE51" s="187">
        <v>17</v>
      </c>
      <c r="AF51" s="187">
        <v>1290</v>
      </c>
      <c r="AG51" s="187">
        <v>75.882352941176464</v>
      </c>
      <c r="AH51" s="351">
        <f t="shared" si="11"/>
        <v>11</v>
      </c>
      <c r="AI51" s="506"/>
      <c r="AJ51" s="187">
        <v>17</v>
      </c>
      <c r="AK51" s="187">
        <v>1313.7500000000005</v>
      </c>
      <c r="AL51" s="187">
        <v>77.279411764705912</v>
      </c>
      <c r="AM51" s="351">
        <f t="shared" si="12"/>
        <v>8</v>
      </c>
      <c r="AN51" s="506"/>
      <c r="AO51" s="187">
        <v>17</v>
      </c>
      <c r="AP51" s="187">
        <v>1257.6923076923085</v>
      </c>
      <c r="AQ51" s="187">
        <v>73.98190045248873</v>
      </c>
      <c r="AR51" s="351">
        <f t="shared" si="13"/>
        <v>14</v>
      </c>
      <c r="AS51" s="506"/>
      <c r="AT51" s="187">
        <v>17</v>
      </c>
      <c r="AU51" s="187">
        <v>1272.6315789473695</v>
      </c>
      <c r="AV51" s="187">
        <v>74.860681114551141</v>
      </c>
      <c r="AW51" s="351">
        <f t="shared" si="14"/>
        <v>12</v>
      </c>
      <c r="AX51" s="506"/>
    </row>
    <row r="52" spans="2:50">
      <c r="B52" s="483"/>
      <c r="C52" s="351">
        <v>11</v>
      </c>
      <c r="D52" s="257" t="s">
        <v>470</v>
      </c>
      <c r="E52" s="187">
        <v>15</v>
      </c>
      <c r="F52" s="351">
        <v>1500</v>
      </c>
      <c r="G52" s="354">
        <v>100</v>
      </c>
      <c r="H52" s="508"/>
      <c r="I52" s="219">
        <f t="shared" si="15"/>
        <v>16.285714285714285</v>
      </c>
      <c r="J52" s="219">
        <f t="shared" si="16"/>
        <v>1065.3143642072253</v>
      </c>
      <c r="K52" s="220">
        <f t="shared" si="17"/>
        <v>65.459491007941864</v>
      </c>
      <c r="L52" s="457"/>
      <c r="M52" s="221">
        <f>RANK(K52, K$42:$K$71)</f>
        <v>22</v>
      </c>
      <c r="N52" s="475"/>
      <c r="O52" s="475"/>
      <c r="P52" s="187">
        <v>17</v>
      </c>
      <c r="Q52" s="187">
        <v>1076.0000000000039</v>
      </c>
      <c r="R52" s="187">
        <v>63.294117647059053</v>
      </c>
      <c r="S52" s="351">
        <f t="shared" si="8"/>
        <v>23</v>
      </c>
      <c r="T52" s="506"/>
      <c r="U52" s="187">
        <v>16</v>
      </c>
      <c r="V52" s="187">
        <v>1097.1428571428612</v>
      </c>
      <c r="W52" s="187">
        <v>68.571428571428825</v>
      </c>
      <c r="X52" s="351">
        <f t="shared" si="9"/>
        <v>19</v>
      </c>
      <c r="Y52" s="506"/>
      <c r="Z52" s="187">
        <v>16</v>
      </c>
      <c r="AA52" s="187">
        <v>1035.0000000000036</v>
      </c>
      <c r="AB52" s="187">
        <v>64.687500000000227</v>
      </c>
      <c r="AC52" s="351">
        <f t="shared" si="10"/>
        <v>23</v>
      </c>
      <c r="AD52" s="506"/>
      <c r="AE52" s="187">
        <v>16</v>
      </c>
      <c r="AF52" s="187">
        <v>1070.7692307692346</v>
      </c>
      <c r="AG52" s="187">
        <v>66.923076923077161</v>
      </c>
      <c r="AH52" s="351">
        <f t="shared" si="11"/>
        <v>20</v>
      </c>
      <c r="AI52" s="506"/>
      <c r="AJ52" s="187">
        <v>17</v>
      </c>
      <c r="AK52" s="187">
        <v>1061.5384615384653</v>
      </c>
      <c r="AL52" s="187">
        <v>62.443438914027368</v>
      </c>
      <c r="AM52" s="351">
        <f t="shared" si="12"/>
        <v>24</v>
      </c>
      <c r="AN52" s="506"/>
      <c r="AO52" s="187">
        <v>16</v>
      </c>
      <c r="AP52" s="187">
        <v>1048.0000000000036</v>
      </c>
      <c r="AQ52" s="187">
        <v>65.500000000000227</v>
      </c>
      <c r="AR52" s="351">
        <f t="shared" si="13"/>
        <v>22</v>
      </c>
      <c r="AS52" s="506"/>
      <c r="AT52" s="187">
        <v>16</v>
      </c>
      <c r="AU52" s="187">
        <v>1068.7500000000039</v>
      </c>
      <c r="AV52" s="187">
        <v>66.796875000000242</v>
      </c>
      <c r="AW52" s="351">
        <f t="shared" si="14"/>
        <v>20</v>
      </c>
      <c r="AX52" s="506"/>
    </row>
    <row r="53" spans="2:50">
      <c r="B53" s="483"/>
      <c r="C53" s="351">
        <v>12</v>
      </c>
      <c r="D53" s="257" t="s">
        <v>469</v>
      </c>
      <c r="E53" s="187">
        <v>18</v>
      </c>
      <c r="F53" s="351">
        <v>1440</v>
      </c>
      <c r="G53" s="354">
        <v>80</v>
      </c>
      <c r="H53" s="508"/>
      <c r="I53" s="219">
        <f t="shared" si="15"/>
        <v>16.285714285714285</v>
      </c>
      <c r="J53" s="219">
        <f t="shared" si="16"/>
        <v>1190.276821409366</v>
      </c>
      <c r="K53" s="220">
        <f t="shared" si="17"/>
        <v>73.121943682828132</v>
      </c>
      <c r="L53" s="457"/>
      <c r="M53" s="221">
        <f>RANK(K53, K$42:$K$71)</f>
        <v>14</v>
      </c>
      <c r="N53" s="475"/>
      <c r="O53" s="475"/>
      <c r="P53" s="187">
        <v>16</v>
      </c>
      <c r="Q53" s="187">
        <v>1170.0000000000007</v>
      </c>
      <c r="R53" s="187">
        <v>73.125000000000043</v>
      </c>
      <c r="S53" s="351">
        <f t="shared" si="8"/>
        <v>15</v>
      </c>
      <c r="T53" s="506"/>
      <c r="U53" s="187">
        <v>16</v>
      </c>
      <c r="V53" s="187">
        <v>1159.5918367346942</v>
      </c>
      <c r="W53" s="187">
        <v>72.474489795918387</v>
      </c>
      <c r="X53" s="351">
        <f t="shared" si="9"/>
        <v>16</v>
      </c>
      <c r="Y53" s="506"/>
      <c r="Z53" s="187">
        <v>17</v>
      </c>
      <c r="AA53" s="187">
        <v>1217.5609756097556</v>
      </c>
      <c r="AB53" s="187">
        <v>71.621233859397393</v>
      </c>
      <c r="AC53" s="351">
        <f t="shared" si="10"/>
        <v>17</v>
      </c>
      <c r="AD53" s="506"/>
      <c r="AE53" s="187">
        <v>16</v>
      </c>
      <c r="AF53" s="187">
        <v>1202.5531914893618</v>
      </c>
      <c r="AG53" s="187">
        <v>75.159574468085111</v>
      </c>
      <c r="AH53" s="351">
        <f t="shared" si="11"/>
        <v>12</v>
      </c>
      <c r="AI53" s="506"/>
      <c r="AJ53" s="187">
        <v>17</v>
      </c>
      <c r="AK53" s="187">
        <v>1201.2000000000005</v>
      </c>
      <c r="AL53" s="187">
        <v>70.658823529411791</v>
      </c>
      <c r="AM53" s="351">
        <f t="shared" si="12"/>
        <v>17</v>
      </c>
      <c r="AN53" s="506"/>
      <c r="AO53" s="187">
        <v>16</v>
      </c>
      <c r="AP53" s="187">
        <v>1208.8888888888896</v>
      </c>
      <c r="AQ53" s="187">
        <v>75.5555555555556</v>
      </c>
      <c r="AR53" s="351">
        <f t="shared" si="13"/>
        <v>12</v>
      </c>
      <c r="AS53" s="506"/>
      <c r="AT53" s="187">
        <v>16</v>
      </c>
      <c r="AU53" s="187">
        <v>1172.142857142858</v>
      </c>
      <c r="AV53" s="187">
        <v>73.258928571428626</v>
      </c>
      <c r="AW53" s="351">
        <f t="shared" si="14"/>
        <v>13</v>
      </c>
      <c r="AX53" s="506"/>
    </row>
    <row r="54" spans="2:50">
      <c r="B54" s="483"/>
      <c r="C54" s="351">
        <v>13</v>
      </c>
      <c r="D54" s="257" t="s">
        <v>473</v>
      </c>
      <c r="E54" s="187">
        <v>20</v>
      </c>
      <c r="F54" s="351">
        <v>1636</v>
      </c>
      <c r="G54" s="354">
        <v>81.8</v>
      </c>
      <c r="H54" s="508"/>
      <c r="I54" s="219">
        <f t="shared" si="15"/>
        <v>19</v>
      </c>
      <c r="J54" s="219">
        <f t="shared" si="16"/>
        <v>1290.9580972227163</v>
      </c>
      <c r="K54" s="220">
        <f t="shared" si="17"/>
        <v>67.945163011721931</v>
      </c>
      <c r="L54" s="457"/>
      <c r="M54" s="221">
        <f>RANK(K54, K$42:$K$71)</f>
        <v>20</v>
      </c>
      <c r="N54" s="475"/>
      <c r="O54" s="475"/>
      <c r="P54" s="187">
        <v>19</v>
      </c>
      <c r="Q54" s="187">
        <v>1255.862068965517</v>
      </c>
      <c r="R54" s="187">
        <v>66.098003629764051</v>
      </c>
      <c r="S54" s="351">
        <f t="shared" si="8"/>
        <v>21</v>
      </c>
      <c r="T54" s="506"/>
      <c r="U54" s="187">
        <v>19</v>
      </c>
      <c r="V54" s="187">
        <v>1298.8732394366184</v>
      </c>
      <c r="W54" s="187">
        <v>68.361749444032554</v>
      </c>
      <c r="X54" s="351">
        <f t="shared" si="9"/>
        <v>20</v>
      </c>
      <c r="Y54" s="506"/>
      <c r="Z54" s="187">
        <v>19</v>
      </c>
      <c r="AA54" s="187">
        <v>1286.4705882352957</v>
      </c>
      <c r="AB54" s="187">
        <v>67.708978328173458</v>
      </c>
      <c r="AC54" s="351">
        <f t="shared" si="10"/>
        <v>20</v>
      </c>
      <c r="AD54" s="506"/>
      <c r="AE54" s="187">
        <v>19</v>
      </c>
      <c r="AF54" s="187">
        <v>1310.149253731345</v>
      </c>
      <c r="AG54" s="187">
        <v>68.955223880597103</v>
      </c>
      <c r="AH54" s="351">
        <f t="shared" si="11"/>
        <v>18</v>
      </c>
      <c r="AI54" s="506"/>
      <c r="AJ54" s="187">
        <v>19</v>
      </c>
      <c r="AK54" s="187">
        <v>1283.8461538461531</v>
      </c>
      <c r="AL54" s="187">
        <v>67.570850202429114</v>
      </c>
      <c r="AM54" s="351">
        <f t="shared" si="12"/>
        <v>21</v>
      </c>
      <c r="AN54" s="506"/>
      <c r="AO54" s="187">
        <v>19</v>
      </c>
      <c r="AP54" s="187">
        <v>1286.6666666666665</v>
      </c>
      <c r="AQ54" s="187">
        <v>67.719298245614027</v>
      </c>
      <c r="AR54" s="351">
        <f t="shared" si="13"/>
        <v>21</v>
      </c>
      <c r="AS54" s="506"/>
      <c r="AT54" s="187">
        <v>19</v>
      </c>
      <c r="AU54" s="187">
        <v>1314.8387096774195</v>
      </c>
      <c r="AV54" s="187">
        <v>69.202037351443138</v>
      </c>
      <c r="AW54" s="351">
        <f t="shared" si="14"/>
        <v>19</v>
      </c>
      <c r="AX54" s="506"/>
    </row>
    <row r="55" spans="2:50">
      <c r="B55" s="483"/>
      <c r="C55" s="351">
        <v>14</v>
      </c>
      <c r="D55" s="257" t="s">
        <v>472</v>
      </c>
      <c r="E55" s="187">
        <v>19</v>
      </c>
      <c r="F55" s="351">
        <v>1636</v>
      </c>
      <c r="G55" s="354">
        <v>86.10526315789474</v>
      </c>
      <c r="H55" s="508"/>
      <c r="I55" s="219">
        <f t="shared" si="15"/>
        <v>18.857142857142858</v>
      </c>
      <c r="J55" s="219">
        <f t="shared" si="16"/>
        <v>1289.6312746542328</v>
      </c>
      <c r="K55" s="220">
        <f t="shared" si="17"/>
        <v>68.409743200425197</v>
      </c>
      <c r="L55" s="457"/>
      <c r="M55" s="221">
        <f>RANK(K55, K$42:$K$71)</f>
        <v>18</v>
      </c>
      <c r="N55" s="475"/>
      <c r="O55" s="475"/>
      <c r="P55" s="187">
        <v>19</v>
      </c>
      <c r="Q55" s="187">
        <v>1321.9047619047633</v>
      </c>
      <c r="R55" s="187">
        <v>69.573934837092807</v>
      </c>
      <c r="S55" s="351">
        <f t="shared" si="8"/>
        <v>18</v>
      </c>
      <c r="T55" s="506"/>
      <c r="U55" s="187">
        <v>19</v>
      </c>
      <c r="V55" s="187">
        <v>1264.1379310344837</v>
      </c>
      <c r="W55" s="187">
        <v>66.533575317604402</v>
      </c>
      <c r="X55" s="351">
        <f t="shared" si="9"/>
        <v>22</v>
      </c>
      <c r="Y55" s="506"/>
      <c r="Z55" s="187">
        <v>19</v>
      </c>
      <c r="AA55" s="187">
        <v>1307.5471698113215</v>
      </c>
      <c r="AB55" s="187">
        <v>68.818272095332716</v>
      </c>
      <c r="AC55" s="351">
        <f t="shared" si="10"/>
        <v>18</v>
      </c>
      <c r="AD55" s="506"/>
      <c r="AE55" s="187">
        <v>19</v>
      </c>
      <c r="AF55" s="187">
        <v>1274.444444444445</v>
      </c>
      <c r="AG55" s="187">
        <v>67.076023391812896</v>
      </c>
      <c r="AH55" s="351">
        <f t="shared" si="11"/>
        <v>19</v>
      </c>
      <c r="AI55" s="506"/>
      <c r="AJ55" s="187">
        <v>18</v>
      </c>
      <c r="AK55" s="187">
        <v>1279.3846153846168</v>
      </c>
      <c r="AL55" s="187">
        <v>71.076923076923151</v>
      </c>
      <c r="AM55" s="351">
        <f t="shared" si="12"/>
        <v>16</v>
      </c>
      <c r="AN55" s="506"/>
      <c r="AO55" s="187">
        <v>19</v>
      </c>
      <c r="AP55" s="187">
        <v>1319.9999999999986</v>
      </c>
      <c r="AQ55" s="187">
        <v>69.473684210526244</v>
      </c>
      <c r="AR55" s="351">
        <f t="shared" si="13"/>
        <v>18</v>
      </c>
      <c r="AS55" s="506"/>
      <c r="AT55" s="187">
        <v>19</v>
      </c>
      <c r="AU55" s="187">
        <v>1259.9999999999993</v>
      </c>
      <c r="AV55" s="187">
        <v>66.315789473684177</v>
      </c>
      <c r="AW55" s="351">
        <f t="shared" si="14"/>
        <v>21</v>
      </c>
      <c r="AX55" s="506"/>
    </row>
    <row r="56" spans="2:50">
      <c r="B56" s="483"/>
      <c r="C56" s="351">
        <v>15</v>
      </c>
      <c r="D56" s="257" t="s">
        <v>516</v>
      </c>
      <c r="E56" s="187">
        <v>20</v>
      </c>
      <c r="F56" s="351">
        <v>1500</v>
      </c>
      <c r="G56" s="354">
        <v>75</v>
      </c>
      <c r="H56" s="508"/>
      <c r="I56" s="219">
        <f t="shared" si="15"/>
        <v>20</v>
      </c>
      <c r="J56" s="219">
        <f t="shared" si="16"/>
        <v>1285.5586529086233</v>
      </c>
      <c r="K56" s="220">
        <f t="shared" si="17"/>
        <v>64.277932645431179</v>
      </c>
      <c r="L56" s="457"/>
      <c r="M56" s="219">
        <f>RANK(K56, K$42:$K$71)</f>
        <v>23</v>
      </c>
      <c r="N56" s="475"/>
      <c r="O56" s="475"/>
      <c r="P56" s="187">
        <v>20</v>
      </c>
      <c r="Q56" s="187">
        <v>1294.6666666666667</v>
      </c>
      <c r="R56" s="187">
        <v>64.733333333333334</v>
      </c>
      <c r="S56" s="351">
        <f t="shared" si="8"/>
        <v>22</v>
      </c>
      <c r="T56" s="506"/>
      <c r="U56" s="187">
        <v>20</v>
      </c>
      <c r="V56" s="187">
        <v>1277.1428571428567</v>
      </c>
      <c r="W56" s="187">
        <v>63.857142857142833</v>
      </c>
      <c r="X56" s="351">
        <f t="shared" si="9"/>
        <v>24</v>
      </c>
      <c r="Y56" s="506"/>
      <c r="Z56" s="187">
        <v>20</v>
      </c>
      <c r="AA56" s="187">
        <v>1286.4352941176485</v>
      </c>
      <c r="AB56" s="187">
        <v>64.32176470588243</v>
      </c>
      <c r="AC56" s="351">
        <f t="shared" si="10"/>
        <v>24</v>
      </c>
      <c r="AD56" s="506"/>
      <c r="AE56" s="187">
        <v>20</v>
      </c>
      <c r="AF56" s="187">
        <v>1294.054054054053</v>
      </c>
      <c r="AG56" s="187">
        <v>64.702702702702652</v>
      </c>
      <c r="AH56" s="351">
        <f t="shared" si="11"/>
        <v>24</v>
      </c>
      <c r="AI56" s="506"/>
      <c r="AJ56" s="187">
        <v>20</v>
      </c>
      <c r="AK56" s="187">
        <v>1265.5813953488371</v>
      </c>
      <c r="AL56" s="187">
        <v>63.279069767441854</v>
      </c>
      <c r="AM56" s="351">
        <f t="shared" si="12"/>
        <v>23</v>
      </c>
      <c r="AN56" s="506"/>
      <c r="AO56" s="187">
        <v>20</v>
      </c>
      <c r="AP56" s="187">
        <v>1306.3636363636365</v>
      </c>
      <c r="AQ56" s="187">
        <v>65.318181818181827</v>
      </c>
      <c r="AR56" s="351">
        <f t="shared" si="13"/>
        <v>23</v>
      </c>
      <c r="AS56" s="506"/>
      <c r="AT56" s="187">
        <v>20</v>
      </c>
      <c r="AU56" s="187">
        <v>1274.6666666666665</v>
      </c>
      <c r="AV56" s="187">
        <v>63.733333333333327</v>
      </c>
      <c r="AW56" s="351">
        <f t="shared" si="14"/>
        <v>23</v>
      </c>
      <c r="AX56" s="506"/>
    </row>
    <row r="57" spans="2:50">
      <c r="B57" s="483"/>
      <c r="C57" s="351">
        <v>16</v>
      </c>
      <c r="D57" s="257" t="s">
        <v>476</v>
      </c>
      <c r="E57" s="187">
        <v>18</v>
      </c>
      <c r="F57" s="351">
        <v>1500</v>
      </c>
      <c r="G57" s="354">
        <v>83.333333333333329</v>
      </c>
      <c r="H57" s="508"/>
      <c r="I57" s="219">
        <f t="shared" si="15"/>
        <v>17</v>
      </c>
      <c r="J57" s="219">
        <f t="shared" si="16"/>
        <v>1272.6466118526664</v>
      </c>
      <c r="K57" s="220">
        <f t="shared" si="17"/>
        <v>74.861565403098027</v>
      </c>
      <c r="L57" s="457"/>
      <c r="M57" s="219">
        <f>RANK(K57, K$42:$K$71)</f>
        <v>13</v>
      </c>
      <c r="N57" s="475"/>
      <c r="O57" s="475"/>
      <c r="P57" s="187">
        <v>17</v>
      </c>
      <c r="Q57" s="187">
        <v>1264.8648648648641</v>
      </c>
      <c r="R57" s="187">
        <v>74.403815580286121</v>
      </c>
      <c r="S57" s="351">
        <f t="shared" si="8"/>
        <v>12</v>
      </c>
      <c r="T57" s="506"/>
      <c r="U57" s="187">
        <v>17</v>
      </c>
      <c r="V57" s="187">
        <v>1251.1764705882338</v>
      </c>
      <c r="W57" s="187">
        <v>73.598615916954927</v>
      </c>
      <c r="X57" s="351">
        <f t="shared" si="9"/>
        <v>12</v>
      </c>
      <c r="Y57" s="506"/>
      <c r="Z57" s="187">
        <v>17</v>
      </c>
      <c r="AA57" s="187">
        <v>1284.827586206894</v>
      </c>
      <c r="AB57" s="187">
        <v>75.578093306287883</v>
      </c>
      <c r="AC57" s="351">
        <f t="shared" si="10"/>
        <v>10</v>
      </c>
      <c r="AD57" s="506"/>
      <c r="AE57" s="187">
        <v>17</v>
      </c>
      <c r="AF57" s="187">
        <v>1276.8749999999982</v>
      </c>
      <c r="AG57" s="187">
        <v>75.110294117646959</v>
      </c>
      <c r="AH57" s="351">
        <f t="shared" si="11"/>
        <v>13</v>
      </c>
      <c r="AI57" s="506"/>
      <c r="AJ57" s="187">
        <v>17</v>
      </c>
      <c r="AK57" s="187">
        <v>1269.7297297297289</v>
      </c>
      <c r="AL57" s="187">
        <v>74.689984101748763</v>
      </c>
      <c r="AM57" s="351">
        <f t="shared" si="12"/>
        <v>12</v>
      </c>
      <c r="AN57" s="506"/>
      <c r="AO57" s="187">
        <v>17</v>
      </c>
      <c r="AP57" s="187">
        <v>1259.9999999999995</v>
      </c>
      <c r="AQ57" s="187">
        <v>74.117647058823508</v>
      </c>
      <c r="AR57" s="351">
        <f t="shared" si="13"/>
        <v>13</v>
      </c>
      <c r="AS57" s="506"/>
      <c r="AT57" s="187">
        <v>17</v>
      </c>
      <c r="AU57" s="187">
        <v>1301.0526315789464</v>
      </c>
      <c r="AV57" s="187">
        <v>76.532507739938026</v>
      </c>
      <c r="AW57" s="351">
        <f t="shared" si="14"/>
        <v>10</v>
      </c>
      <c r="AX57" s="506"/>
    </row>
    <row r="58" spans="2:50">
      <c r="B58" s="483"/>
      <c r="C58" s="351">
        <v>17</v>
      </c>
      <c r="D58" s="257" t="s">
        <v>434</v>
      </c>
      <c r="E58" s="187">
        <v>18</v>
      </c>
      <c r="F58" s="351">
        <v>1500</v>
      </c>
      <c r="G58" s="354">
        <v>83.333333333333329</v>
      </c>
      <c r="H58" s="508"/>
      <c r="I58" s="219">
        <f t="shared" si="15"/>
        <v>17</v>
      </c>
      <c r="J58" s="219">
        <f t="shared" si="16"/>
        <v>1283.6679140644906</v>
      </c>
      <c r="K58" s="220">
        <f t="shared" si="17"/>
        <v>75.509877297911203</v>
      </c>
      <c r="L58" s="457"/>
      <c r="M58" s="219">
        <f>RANK(K58, K$42:$K$71)</f>
        <v>12</v>
      </c>
      <c r="N58" s="475"/>
      <c r="O58" s="475"/>
      <c r="P58" s="187">
        <v>17</v>
      </c>
      <c r="Q58" s="187">
        <v>1260.0000000000009</v>
      </c>
      <c r="R58" s="187">
        <v>74.117647058823579</v>
      </c>
      <c r="S58" s="351">
        <f t="shared" si="8"/>
        <v>13</v>
      </c>
      <c r="T58" s="506"/>
      <c r="U58" s="187">
        <v>17</v>
      </c>
      <c r="V58" s="187">
        <v>1294.6153846153852</v>
      </c>
      <c r="W58" s="187">
        <v>76.153846153846189</v>
      </c>
      <c r="X58" s="351">
        <f t="shared" si="9"/>
        <v>11</v>
      </c>
      <c r="Y58" s="506"/>
      <c r="Z58" s="187">
        <v>17</v>
      </c>
      <c r="AA58" s="187">
        <v>1283.2653061224494</v>
      </c>
      <c r="AB58" s="187">
        <v>75.486194477791145</v>
      </c>
      <c r="AC58" s="351">
        <f t="shared" si="10"/>
        <v>11</v>
      </c>
      <c r="AD58" s="506"/>
      <c r="AE58" s="187">
        <v>17</v>
      </c>
      <c r="AF58" s="187">
        <v>1295.5102040816332</v>
      </c>
      <c r="AG58" s="187">
        <v>76.206482593037251</v>
      </c>
      <c r="AH58" s="351">
        <f t="shared" si="11"/>
        <v>10</v>
      </c>
      <c r="AI58" s="506"/>
      <c r="AJ58" s="187">
        <v>17</v>
      </c>
      <c r="AK58" s="187">
        <v>1273.9285714285722</v>
      </c>
      <c r="AL58" s="187">
        <v>74.936974789916007</v>
      </c>
      <c r="AM58" s="351">
        <f t="shared" si="12"/>
        <v>11</v>
      </c>
      <c r="AN58" s="506"/>
      <c r="AO58" s="187">
        <v>17</v>
      </c>
      <c r="AP58" s="187">
        <v>1297.0000000000014</v>
      </c>
      <c r="AQ58" s="187">
        <v>76.294117647058897</v>
      </c>
      <c r="AR58" s="351">
        <f t="shared" si="13"/>
        <v>11</v>
      </c>
      <c r="AS58" s="506"/>
      <c r="AT58" s="187">
        <v>17</v>
      </c>
      <c r="AU58" s="187">
        <v>1281.3559322033909</v>
      </c>
      <c r="AV58" s="187">
        <v>75.373878364905352</v>
      </c>
      <c r="AW58" s="351">
        <f t="shared" si="14"/>
        <v>11</v>
      </c>
      <c r="AX58" s="506"/>
    </row>
    <row r="59" spans="2:50">
      <c r="B59" s="483"/>
      <c r="C59" s="351">
        <v>18</v>
      </c>
      <c r="D59" s="257" t="s">
        <v>478</v>
      </c>
      <c r="E59" s="187">
        <v>17</v>
      </c>
      <c r="F59" s="351">
        <v>1440</v>
      </c>
      <c r="G59" s="354">
        <v>84.705882352941174</v>
      </c>
      <c r="H59" s="508"/>
      <c r="I59" s="219">
        <f t="shared" si="15"/>
        <v>17.285714285714285</v>
      </c>
      <c r="J59" s="219">
        <f t="shared" si="16"/>
        <v>1329.3901773949008</v>
      </c>
      <c r="K59" s="220">
        <f t="shared" si="17"/>
        <v>76.973401384870044</v>
      </c>
      <c r="L59" s="457"/>
      <c r="M59" s="219">
        <f>RANK(K59, K$42:$K$71)</f>
        <v>9</v>
      </c>
      <c r="N59" s="475"/>
      <c r="O59" s="475"/>
      <c r="P59" s="187">
        <v>17</v>
      </c>
      <c r="Q59" s="187">
        <v>1360.2531645569613</v>
      </c>
      <c r="R59" s="187">
        <v>80.014892032762432</v>
      </c>
      <c r="S59" s="351">
        <f t="shared" si="8"/>
        <v>6</v>
      </c>
      <c r="T59" s="506"/>
      <c r="U59" s="187">
        <v>17</v>
      </c>
      <c r="V59" s="187">
        <v>1321.538461538461</v>
      </c>
      <c r="W59" s="187">
        <v>77.737556561085938</v>
      </c>
      <c r="X59" s="351">
        <f t="shared" si="9"/>
        <v>9</v>
      </c>
      <c r="Y59" s="506"/>
      <c r="Z59" s="187">
        <v>17</v>
      </c>
      <c r="AA59" s="187">
        <v>1339.1666666666656</v>
      </c>
      <c r="AB59" s="187">
        <v>78.774509803921504</v>
      </c>
      <c r="AC59" s="351">
        <f t="shared" si="10"/>
        <v>8</v>
      </c>
      <c r="AD59" s="506"/>
      <c r="AE59" s="187">
        <v>17</v>
      </c>
      <c r="AF59" s="187">
        <v>1342.7272727272743</v>
      </c>
      <c r="AG59" s="187">
        <v>78.983957219251437</v>
      </c>
      <c r="AH59" s="351">
        <f t="shared" si="11"/>
        <v>8</v>
      </c>
      <c r="AI59" s="506"/>
      <c r="AJ59" s="187">
        <v>18</v>
      </c>
      <c r="AK59" s="187">
        <v>1309.9999999999993</v>
      </c>
      <c r="AL59" s="187">
        <v>72.777777777777743</v>
      </c>
      <c r="AM59" s="351">
        <f t="shared" si="12"/>
        <v>13</v>
      </c>
      <c r="AN59" s="506"/>
      <c r="AO59" s="187">
        <v>17</v>
      </c>
      <c r="AP59" s="187">
        <v>1315.909090909091</v>
      </c>
      <c r="AQ59" s="187">
        <v>77.406417112299465</v>
      </c>
      <c r="AR59" s="351">
        <f t="shared" si="13"/>
        <v>7</v>
      </c>
      <c r="AS59" s="506"/>
      <c r="AT59" s="187">
        <v>18</v>
      </c>
      <c r="AU59" s="187">
        <v>1316.1365853658531</v>
      </c>
      <c r="AV59" s="187">
        <v>73.118699186991833</v>
      </c>
      <c r="AW59" s="351">
        <f t="shared" si="14"/>
        <v>14</v>
      </c>
      <c r="AX59" s="506"/>
    </row>
    <row r="60" spans="2:50">
      <c r="B60" s="483"/>
      <c r="C60" s="351">
        <v>19</v>
      </c>
      <c r="D60" s="257" t="s">
        <v>479</v>
      </c>
      <c r="E60" s="187">
        <v>15</v>
      </c>
      <c r="F60" s="351">
        <v>1440</v>
      </c>
      <c r="G60" s="354">
        <v>96</v>
      </c>
      <c r="H60" s="508"/>
      <c r="I60" s="219">
        <f t="shared" si="15"/>
        <v>15</v>
      </c>
      <c r="J60" s="219">
        <f t="shared" si="16"/>
        <v>1274.0815580715564</v>
      </c>
      <c r="K60" s="220">
        <f t="shared" si="17"/>
        <v>84.938770538103753</v>
      </c>
      <c r="L60" s="457"/>
      <c r="M60" s="219">
        <f>RANK(K60, K$42:$K$71)</f>
        <v>4</v>
      </c>
      <c r="N60" s="475"/>
      <c r="O60" s="475"/>
      <c r="P60" s="187">
        <v>15</v>
      </c>
      <c r="Q60" s="187">
        <v>1270.4761904761917</v>
      </c>
      <c r="R60" s="187">
        <v>84.698412698412781</v>
      </c>
      <c r="S60" s="351">
        <f t="shared" si="8"/>
        <v>4</v>
      </c>
      <c r="T60" s="506"/>
      <c r="U60" s="187">
        <v>15</v>
      </c>
      <c r="V60" s="187">
        <v>1275.7377049180338</v>
      </c>
      <c r="W60" s="187">
        <v>85.049180327868925</v>
      </c>
      <c r="X60" s="351">
        <f t="shared" si="9"/>
        <v>4</v>
      </c>
      <c r="Y60" s="506"/>
      <c r="Z60" s="187">
        <v>15</v>
      </c>
      <c r="AA60" s="187">
        <v>1250.5263157894747</v>
      </c>
      <c r="AB60" s="187">
        <v>83.368421052631646</v>
      </c>
      <c r="AC60" s="351">
        <f t="shared" si="10"/>
        <v>4</v>
      </c>
      <c r="AD60" s="506"/>
      <c r="AE60" s="187">
        <v>15</v>
      </c>
      <c r="AF60" s="187">
        <v>1254.736842105264</v>
      </c>
      <c r="AG60" s="187">
        <v>83.649122807017605</v>
      </c>
      <c r="AH60" s="351">
        <f t="shared" si="11"/>
        <v>4</v>
      </c>
      <c r="AI60" s="506"/>
      <c r="AJ60" s="187">
        <v>15</v>
      </c>
      <c r="AK60" s="187">
        <v>1295.4098360655751</v>
      </c>
      <c r="AL60" s="187">
        <v>86.360655737705002</v>
      </c>
      <c r="AM60" s="351">
        <f t="shared" si="12"/>
        <v>4</v>
      </c>
      <c r="AN60" s="506"/>
      <c r="AO60" s="187">
        <v>15</v>
      </c>
      <c r="AP60" s="187">
        <v>1294.7826086956509</v>
      </c>
      <c r="AQ60" s="187">
        <v>86.318840579710056</v>
      </c>
      <c r="AR60" s="351">
        <f t="shared" si="13"/>
        <v>4</v>
      </c>
      <c r="AS60" s="506"/>
      <c r="AT60" s="187">
        <v>15</v>
      </c>
      <c r="AU60" s="187">
        <v>1276.901408450703</v>
      </c>
      <c r="AV60" s="187">
        <v>85.126760563380202</v>
      </c>
      <c r="AW60" s="351">
        <f t="shared" si="14"/>
        <v>4</v>
      </c>
      <c r="AX60" s="506"/>
    </row>
    <row r="61" spans="2:50">
      <c r="B61" s="483"/>
      <c r="C61" s="351">
        <v>20</v>
      </c>
      <c r="D61" s="257" t="s">
        <v>408</v>
      </c>
      <c r="E61" s="187">
        <v>17</v>
      </c>
      <c r="F61" s="351">
        <v>1440</v>
      </c>
      <c r="G61" s="354">
        <v>84.705882352941174</v>
      </c>
      <c r="H61" s="508"/>
      <c r="I61" s="219">
        <f t="shared" si="15"/>
        <v>17</v>
      </c>
      <c r="J61" s="219">
        <f t="shared" si="16"/>
        <v>1337.115188988105</v>
      </c>
      <c r="K61" s="220">
        <f t="shared" si="17"/>
        <v>78.653834646359115</v>
      </c>
      <c r="L61" s="457"/>
      <c r="M61" s="219">
        <f>RANK(K61, K$42:$K$71)</f>
        <v>8</v>
      </c>
      <c r="N61" s="475"/>
      <c r="O61" s="475"/>
      <c r="P61" s="187">
        <v>17</v>
      </c>
      <c r="Q61" s="187">
        <v>1320.5607476635521</v>
      </c>
      <c r="R61" s="187">
        <v>77.68004398020895</v>
      </c>
      <c r="S61" s="351">
        <f t="shared" si="8"/>
        <v>9</v>
      </c>
      <c r="T61" s="506"/>
      <c r="U61" s="187">
        <v>17</v>
      </c>
      <c r="V61" s="187">
        <v>1358.969072164949</v>
      </c>
      <c r="W61" s="187">
        <v>79.939357186173467</v>
      </c>
      <c r="X61" s="351">
        <f t="shared" si="9"/>
        <v>7</v>
      </c>
      <c r="Y61" s="506"/>
      <c r="Z61" s="187">
        <v>17</v>
      </c>
      <c r="AA61" s="187">
        <v>1327.5862068965516</v>
      </c>
      <c r="AB61" s="187">
        <v>78.093306288032451</v>
      </c>
      <c r="AC61" s="351">
        <f t="shared" si="10"/>
        <v>9</v>
      </c>
      <c r="AD61" s="506"/>
      <c r="AE61" s="187">
        <v>17</v>
      </c>
      <c r="AF61" s="187">
        <v>1360.9756097560971</v>
      </c>
      <c r="AG61" s="187">
        <v>80.057388809182186</v>
      </c>
      <c r="AH61" s="351">
        <f t="shared" si="11"/>
        <v>7</v>
      </c>
      <c r="AI61" s="506"/>
      <c r="AJ61" s="187">
        <v>17</v>
      </c>
      <c r="AK61" s="187">
        <v>1309.677419354839</v>
      </c>
      <c r="AL61" s="187">
        <v>77.039848197343474</v>
      </c>
      <c r="AM61" s="351">
        <f t="shared" si="12"/>
        <v>9</v>
      </c>
      <c r="AN61" s="506"/>
      <c r="AO61" s="187">
        <v>17</v>
      </c>
      <c r="AP61" s="187">
        <v>1311.428571428572</v>
      </c>
      <c r="AQ61" s="187">
        <v>77.142857142857181</v>
      </c>
      <c r="AR61" s="351">
        <f t="shared" si="13"/>
        <v>8</v>
      </c>
      <c r="AS61" s="506"/>
      <c r="AT61" s="187">
        <v>17</v>
      </c>
      <c r="AU61" s="187">
        <v>1370.6086956521731</v>
      </c>
      <c r="AV61" s="187">
        <v>80.62404092071607</v>
      </c>
      <c r="AW61" s="351">
        <f t="shared" si="14"/>
        <v>7</v>
      </c>
      <c r="AX61" s="506"/>
    </row>
    <row r="62" spans="2:50">
      <c r="B62" s="483"/>
      <c r="C62" s="351">
        <v>21</v>
      </c>
      <c r="D62" s="257" t="s">
        <v>468</v>
      </c>
      <c r="E62" s="187">
        <v>18</v>
      </c>
      <c r="F62" s="351">
        <v>1636</v>
      </c>
      <c r="G62" s="354">
        <v>90.888888888888886</v>
      </c>
      <c r="H62" s="508"/>
      <c r="I62" s="219">
        <f t="shared" si="15"/>
        <v>16.571428571428573</v>
      </c>
      <c r="J62" s="219">
        <f t="shared" si="16"/>
        <v>1265.4932474779782</v>
      </c>
      <c r="K62" s="220">
        <f t="shared" si="17"/>
        <v>76.441631248215643</v>
      </c>
      <c r="L62" s="457"/>
      <c r="M62" s="219">
        <f>RANK(K62, K$42:$K$71)</f>
        <v>10</v>
      </c>
      <c r="N62" s="475"/>
      <c r="O62" s="475"/>
      <c r="P62" s="187">
        <v>16</v>
      </c>
      <c r="Q62" s="187">
        <v>1274.4827586206907</v>
      </c>
      <c r="R62" s="187">
        <v>79.655172413793167</v>
      </c>
      <c r="S62" s="351">
        <f t="shared" si="8"/>
        <v>8</v>
      </c>
      <c r="T62" s="506"/>
      <c r="U62" s="187">
        <v>17</v>
      </c>
      <c r="V62" s="187">
        <v>1246.4150943396232</v>
      </c>
      <c r="W62" s="187">
        <v>73.318534961154313</v>
      </c>
      <c r="X62" s="351">
        <f t="shared" si="9"/>
        <v>14</v>
      </c>
      <c r="Y62" s="506"/>
      <c r="Z62" s="187">
        <v>17</v>
      </c>
      <c r="AA62" s="187">
        <v>1256.0869565217392</v>
      </c>
      <c r="AB62" s="187">
        <v>73.887468030690542</v>
      </c>
      <c r="AC62" s="351">
        <f t="shared" si="10"/>
        <v>13</v>
      </c>
      <c r="AD62" s="506"/>
      <c r="AE62" s="187">
        <v>17</v>
      </c>
      <c r="AF62" s="187">
        <v>1265.2173913043478</v>
      </c>
      <c r="AG62" s="187">
        <v>74.424552429667514</v>
      </c>
      <c r="AH62" s="351">
        <f t="shared" si="11"/>
        <v>14</v>
      </c>
      <c r="AI62" s="506"/>
      <c r="AJ62" s="187">
        <v>17</v>
      </c>
      <c r="AK62" s="187">
        <v>1281.1111111111118</v>
      </c>
      <c r="AL62" s="187">
        <v>75.359477124183044</v>
      </c>
      <c r="AM62" s="351">
        <f t="shared" si="12"/>
        <v>10</v>
      </c>
      <c r="AN62" s="506"/>
      <c r="AO62" s="187">
        <v>16</v>
      </c>
      <c r="AP62" s="187">
        <v>1252.8813559322045</v>
      </c>
      <c r="AQ62" s="187">
        <v>78.305084745762784</v>
      </c>
      <c r="AR62" s="351">
        <f t="shared" si="13"/>
        <v>6</v>
      </c>
      <c r="AS62" s="506"/>
      <c r="AT62" s="187">
        <v>16</v>
      </c>
      <c r="AU62" s="187">
        <v>1282.2580645161302</v>
      </c>
      <c r="AV62" s="187">
        <v>80.141129032258135</v>
      </c>
      <c r="AW62" s="351">
        <f t="shared" si="14"/>
        <v>8</v>
      </c>
      <c r="AX62" s="506"/>
    </row>
    <row r="63" spans="2:50">
      <c r="B63" s="483"/>
      <c r="C63" s="351">
        <v>22</v>
      </c>
      <c r="D63" s="257" t="s">
        <v>471</v>
      </c>
      <c r="E63" s="187">
        <v>18</v>
      </c>
      <c r="F63" s="351">
        <v>1440</v>
      </c>
      <c r="G63" s="354">
        <v>80</v>
      </c>
      <c r="H63" s="508"/>
      <c r="I63" s="219">
        <f t="shared" si="15"/>
        <v>18</v>
      </c>
      <c r="J63" s="219">
        <f t="shared" si="16"/>
        <v>1288.9303806311873</v>
      </c>
      <c r="K63" s="220">
        <f t="shared" si="17"/>
        <v>71.607243368399295</v>
      </c>
      <c r="L63" s="457"/>
      <c r="M63" s="219">
        <f>RANK(K63, K$42:$K$71)</f>
        <v>15</v>
      </c>
      <c r="N63" s="475"/>
      <c r="O63" s="475"/>
      <c r="P63" s="187">
        <v>18</v>
      </c>
      <c r="Q63" s="187">
        <v>1265.9259259259256</v>
      </c>
      <c r="R63" s="187">
        <v>70.329218106995867</v>
      </c>
      <c r="S63" s="351">
        <f t="shared" si="8"/>
        <v>16</v>
      </c>
      <c r="T63" s="506"/>
      <c r="U63" s="187">
        <v>18</v>
      </c>
      <c r="V63" s="187">
        <v>1320.8333333333323</v>
      </c>
      <c r="W63" s="187">
        <v>73.379629629629576</v>
      </c>
      <c r="X63" s="351">
        <f t="shared" si="9"/>
        <v>13</v>
      </c>
      <c r="Y63" s="506"/>
      <c r="Z63" s="187">
        <v>18</v>
      </c>
      <c r="AA63" s="187">
        <v>1308.3870967741948</v>
      </c>
      <c r="AB63" s="187">
        <v>72.688172043010823</v>
      </c>
      <c r="AC63" s="351">
        <f t="shared" si="10"/>
        <v>14</v>
      </c>
      <c r="AD63" s="506"/>
      <c r="AE63" s="187">
        <v>18</v>
      </c>
      <c r="AF63" s="187">
        <v>1268.8235294117662</v>
      </c>
      <c r="AG63" s="187">
        <v>70.490196078431453</v>
      </c>
      <c r="AH63" s="351">
        <f t="shared" si="11"/>
        <v>16</v>
      </c>
      <c r="AI63" s="506"/>
      <c r="AJ63" s="187">
        <v>18</v>
      </c>
      <c r="AK63" s="187">
        <v>1297.7777777777774</v>
      </c>
      <c r="AL63" s="187">
        <v>72.098765432098745</v>
      </c>
      <c r="AM63" s="351">
        <f t="shared" si="12"/>
        <v>14</v>
      </c>
      <c r="AN63" s="506"/>
      <c r="AO63" s="187">
        <v>18</v>
      </c>
      <c r="AP63" s="187">
        <v>1294.38202247191</v>
      </c>
      <c r="AQ63" s="187">
        <v>71.910112359550553</v>
      </c>
      <c r="AR63" s="351">
        <f t="shared" si="13"/>
        <v>16</v>
      </c>
      <c r="AS63" s="506"/>
      <c r="AT63" s="187">
        <v>18</v>
      </c>
      <c r="AU63" s="187">
        <v>1266.3829787234044</v>
      </c>
      <c r="AV63" s="187">
        <v>70.354609929078023</v>
      </c>
      <c r="AW63" s="351">
        <f t="shared" si="14"/>
        <v>15</v>
      </c>
      <c r="AX63" s="506"/>
    </row>
    <row r="64" spans="2:50">
      <c r="B64" s="483"/>
      <c r="C64" s="351">
        <v>23</v>
      </c>
      <c r="D64" s="257" t="s">
        <v>480</v>
      </c>
      <c r="E64" s="187">
        <v>17</v>
      </c>
      <c r="F64" s="351">
        <v>1500</v>
      </c>
      <c r="G64" s="354">
        <v>88.235294117647058</v>
      </c>
      <c r="H64" s="508"/>
      <c r="I64" s="219">
        <f t="shared" si="15"/>
        <v>16</v>
      </c>
      <c r="J64" s="219">
        <f t="shared" si="16"/>
        <v>1094.2762496302896</v>
      </c>
      <c r="K64" s="220">
        <f t="shared" si="17"/>
        <v>68.392265601893101</v>
      </c>
      <c r="L64" s="457"/>
      <c r="M64" s="219">
        <f>RANK(K64, K$42:$K$71)</f>
        <v>19</v>
      </c>
      <c r="N64" s="475"/>
      <c r="O64" s="475"/>
      <c r="P64" s="187">
        <v>16</v>
      </c>
      <c r="Q64" s="187">
        <v>1089.0000000000039</v>
      </c>
      <c r="R64" s="187">
        <v>68.062500000000242</v>
      </c>
      <c r="S64" s="351">
        <f t="shared" si="8"/>
        <v>20</v>
      </c>
      <c r="T64" s="506"/>
      <c r="U64" s="187">
        <v>16</v>
      </c>
      <c r="V64" s="187">
        <v>1133.3333333333374</v>
      </c>
      <c r="W64" s="187">
        <v>70.833333333333584</v>
      </c>
      <c r="X64" s="351">
        <f t="shared" si="9"/>
        <v>17</v>
      </c>
      <c r="Y64" s="506"/>
      <c r="Z64" s="187">
        <v>16</v>
      </c>
      <c r="AA64" s="187">
        <v>1065.0000000000039</v>
      </c>
      <c r="AB64" s="187">
        <v>66.562500000000242</v>
      </c>
      <c r="AC64" s="351">
        <f t="shared" si="10"/>
        <v>21</v>
      </c>
      <c r="AD64" s="506"/>
      <c r="AE64" s="187">
        <v>16</v>
      </c>
      <c r="AF64" s="187">
        <v>1058.5714285714323</v>
      </c>
      <c r="AG64" s="187">
        <v>66.160714285714519</v>
      </c>
      <c r="AH64" s="351">
        <f t="shared" si="11"/>
        <v>22</v>
      </c>
      <c r="AI64" s="506"/>
      <c r="AJ64" s="187">
        <v>16</v>
      </c>
      <c r="AK64" s="187">
        <v>1113.3333333333374</v>
      </c>
      <c r="AL64" s="187">
        <v>69.583333333333584</v>
      </c>
      <c r="AM64" s="351">
        <f t="shared" si="12"/>
        <v>19</v>
      </c>
      <c r="AN64" s="506"/>
      <c r="AO64" s="187">
        <v>16</v>
      </c>
      <c r="AP64" s="187">
        <v>1092.0000000000039</v>
      </c>
      <c r="AQ64" s="187">
        <v>68.250000000000242</v>
      </c>
      <c r="AR64" s="351">
        <f t="shared" si="13"/>
        <v>20</v>
      </c>
      <c r="AS64" s="506"/>
      <c r="AT64" s="187">
        <v>16</v>
      </c>
      <c r="AU64" s="187">
        <v>1108.6956521739094</v>
      </c>
      <c r="AV64" s="187">
        <v>69.293478260869335</v>
      </c>
      <c r="AW64" s="351">
        <f t="shared" si="14"/>
        <v>18</v>
      </c>
      <c r="AX64" s="506"/>
    </row>
    <row r="65" spans="2:50">
      <c r="B65" s="483"/>
      <c r="C65" s="351">
        <v>24</v>
      </c>
      <c r="D65" s="257" t="s">
        <v>481</v>
      </c>
      <c r="E65" s="187">
        <v>18</v>
      </c>
      <c r="F65" s="351">
        <v>1500</v>
      </c>
      <c r="G65" s="354">
        <v>83.333333333333329</v>
      </c>
      <c r="H65" s="508"/>
      <c r="I65" s="219">
        <f t="shared" si="15"/>
        <v>18</v>
      </c>
      <c r="J65" s="219">
        <f t="shared" si="16"/>
        <v>1277.685102908787</v>
      </c>
      <c r="K65" s="220">
        <f t="shared" si="17"/>
        <v>70.982505717154851</v>
      </c>
      <c r="L65" s="457"/>
      <c r="M65" s="219">
        <f>RANK(K65, K$42:$K$71)</f>
        <v>17</v>
      </c>
      <c r="N65" s="475"/>
      <c r="O65" s="475"/>
      <c r="P65" s="187">
        <v>18</v>
      </c>
      <c r="Q65" s="187">
        <v>1316.9696969696972</v>
      </c>
      <c r="R65" s="187">
        <v>73.164983164983184</v>
      </c>
      <c r="S65" s="351">
        <f t="shared" si="8"/>
        <v>14</v>
      </c>
      <c r="T65" s="506"/>
      <c r="U65" s="187">
        <v>18</v>
      </c>
      <c r="V65" s="187">
        <v>1272.6315789473686</v>
      </c>
      <c r="W65" s="187">
        <v>70.701754385964918</v>
      </c>
      <c r="X65" s="351">
        <f t="shared" si="9"/>
        <v>18</v>
      </c>
      <c r="Y65" s="506"/>
      <c r="Z65" s="187">
        <v>18</v>
      </c>
      <c r="AA65" s="187">
        <v>1303.4999999999995</v>
      </c>
      <c r="AB65" s="187">
        <v>72.416666666666643</v>
      </c>
      <c r="AC65" s="351">
        <f t="shared" si="10"/>
        <v>15</v>
      </c>
      <c r="AD65" s="506"/>
      <c r="AE65" s="187">
        <v>18</v>
      </c>
      <c r="AF65" s="187">
        <v>1259.9999999999995</v>
      </c>
      <c r="AG65" s="187">
        <v>69.999999999999972</v>
      </c>
      <c r="AH65" s="351">
        <f t="shared" si="11"/>
        <v>17</v>
      </c>
      <c r="AI65" s="506"/>
      <c r="AJ65" s="187">
        <v>18</v>
      </c>
      <c r="AK65" s="187">
        <v>1271.2500000000005</v>
      </c>
      <c r="AL65" s="187">
        <v>70.625000000000028</v>
      </c>
      <c r="AM65" s="351">
        <f t="shared" si="12"/>
        <v>18</v>
      </c>
      <c r="AN65" s="506"/>
      <c r="AO65" s="187">
        <v>18</v>
      </c>
      <c r="AP65" s="187">
        <v>1260.0000000000007</v>
      </c>
      <c r="AQ65" s="187">
        <v>70.000000000000043</v>
      </c>
      <c r="AR65" s="351">
        <f t="shared" si="13"/>
        <v>17</v>
      </c>
      <c r="AS65" s="506"/>
      <c r="AT65" s="187">
        <v>18</v>
      </c>
      <c r="AU65" s="187">
        <v>1259.444444444445</v>
      </c>
      <c r="AV65" s="187">
        <v>69.969135802469168</v>
      </c>
      <c r="AW65" s="351">
        <f t="shared" si="14"/>
        <v>17</v>
      </c>
      <c r="AX65" s="506"/>
    </row>
    <row r="66" spans="2:50">
      <c r="B66" s="483"/>
      <c r="C66" s="351">
        <v>25</v>
      </c>
      <c r="D66" s="257" t="s">
        <v>813</v>
      </c>
      <c r="E66" s="187">
        <v>18</v>
      </c>
      <c r="F66" s="351">
        <v>1636</v>
      </c>
      <c r="G66" s="354">
        <v>90.888888888888886</v>
      </c>
      <c r="H66" s="508"/>
      <c r="I66" s="219"/>
      <c r="J66" s="219"/>
      <c r="K66" s="220"/>
      <c r="L66" s="457"/>
      <c r="M66" s="219" t="e">
        <f>RANK(K66, K$42:$K$71)</f>
        <v>#N/A</v>
      </c>
      <c r="N66" s="475"/>
      <c r="O66" s="475"/>
      <c r="P66" s="351"/>
      <c r="Q66" s="354"/>
      <c r="R66" s="354"/>
      <c r="S66" s="351" t="e">
        <f t="shared" si="8"/>
        <v>#N/A</v>
      </c>
      <c r="T66" s="506"/>
      <c r="U66" s="351"/>
      <c r="V66" s="354"/>
      <c r="W66" s="354"/>
      <c r="X66" s="351" t="e">
        <f t="shared" si="9"/>
        <v>#N/A</v>
      </c>
      <c r="Y66" s="506"/>
      <c r="Z66" s="351"/>
      <c r="AA66" s="354"/>
      <c r="AB66" s="354"/>
      <c r="AC66" s="351" t="e">
        <f t="shared" si="10"/>
        <v>#N/A</v>
      </c>
      <c r="AD66" s="506"/>
      <c r="AE66" s="351"/>
      <c r="AF66" s="354"/>
      <c r="AG66" s="354"/>
      <c r="AH66" s="351" t="e">
        <f t="shared" si="11"/>
        <v>#N/A</v>
      </c>
      <c r="AI66" s="506"/>
      <c r="AJ66" s="351"/>
      <c r="AK66" s="354"/>
      <c r="AL66" s="354"/>
      <c r="AM66" s="351" t="e">
        <f t="shared" si="12"/>
        <v>#N/A</v>
      </c>
      <c r="AN66" s="506"/>
      <c r="AO66" s="351"/>
      <c r="AP66" s="354"/>
      <c r="AQ66" s="354"/>
      <c r="AR66" s="351" t="e">
        <f t="shared" si="13"/>
        <v>#N/A</v>
      </c>
      <c r="AS66" s="506"/>
      <c r="AT66" s="351"/>
      <c r="AU66" s="354"/>
      <c r="AV66" s="354"/>
      <c r="AW66" s="351" t="e">
        <f t="shared" si="14"/>
        <v>#N/A</v>
      </c>
      <c r="AX66" s="506"/>
    </row>
    <row r="67" spans="2:50">
      <c r="B67" s="483"/>
      <c r="C67" s="351">
        <v>26</v>
      </c>
      <c r="D67" s="257"/>
      <c r="E67" s="187"/>
      <c r="F67" s="351"/>
      <c r="G67" s="354"/>
      <c r="H67" s="508"/>
      <c r="I67" s="219"/>
      <c r="J67" s="219"/>
      <c r="K67" s="220"/>
      <c r="L67" s="457"/>
      <c r="M67" s="219" t="e">
        <f>RANK(K67, K$42:$K$71)</f>
        <v>#N/A</v>
      </c>
      <c r="N67" s="475"/>
      <c r="O67" s="475"/>
      <c r="P67" s="351"/>
      <c r="Q67" s="354"/>
      <c r="R67" s="354"/>
      <c r="S67" s="351" t="e">
        <f t="shared" si="8"/>
        <v>#N/A</v>
      </c>
      <c r="T67" s="506"/>
      <c r="U67" s="351"/>
      <c r="V67" s="354"/>
      <c r="W67" s="354"/>
      <c r="X67" s="351" t="e">
        <f t="shared" si="9"/>
        <v>#N/A</v>
      </c>
      <c r="Y67" s="506"/>
      <c r="Z67" s="351"/>
      <c r="AA67" s="354"/>
      <c r="AB67" s="354"/>
      <c r="AC67" s="351" t="e">
        <f t="shared" si="10"/>
        <v>#N/A</v>
      </c>
      <c r="AD67" s="506"/>
      <c r="AE67" s="351"/>
      <c r="AF67" s="354"/>
      <c r="AG67" s="354"/>
      <c r="AH67" s="351" t="e">
        <f t="shared" si="11"/>
        <v>#N/A</v>
      </c>
      <c r="AI67" s="506"/>
      <c r="AJ67" s="351"/>
      <c r="AK67" s="354"/>
      <c r="AL67" s="354"/>
      <c r="AM67" s="351" t="e">
        <f t="shared" si="12"/>
        <v>#N/A</v>
      </c>
      <c r="AN67" s="506"/>
      <c r="AO67" s="351"/>
      <c r="AP67" s="354"/>
      <c r="AQ67" s="354"/>
      <c r="AR67" s="351" t="e">
        <f t="shared" si="13"/>
        <v>#N/A</v>
      </c>
      <c r="AS67" s="506"/>
      <c r="AT67" s="351"/>
      <c r="AU67" s="354"/>
      <c r="AV67" s="354"/>
      <c r="AW67" s="351" t="e">
        <f t="shared" si="14"/>
        <v>#N/A</v>
      </c>
      <c r="AX67" s="506"/>
    </row>
    <row r="68" spans="2:50">
      <c r="B68" s="483"/>
      <c r="C68" s="351">
        <v>27</v>
      </c>
      <c r="D68" s="257"/>
      <c r="E68" s="187"/>
      <c r="F68" s="351"/>
      <c r="G68" s="354"/>
      <c r="H68" s="508"/>
      <c r="I68" s="219"/>
      <c r="J68" s="219"/>
      <c r="K68" s="220"/>
      <c r="L68" s="457"/>
      <c r="M68" s="219" t="e">
        <f>RANK(K68, K$42:$K$71)</f>
        <v>#N/A</v>
      </c>
      <c r="N68" s="475"/>
      <c r="O68" s="475"/>
      <c r="P68" s="351"/>
      <c r="Q68" s="354"/>
      <c r="R68" s="354"/>
      <c r="S68" s="351" t="e">
        <f t="shared" si="8"/>
        <v>#N/A</v>
      </c>
      <c r="T68" s="506"/>
      <c r="U68" s="351"/>
      <c r="V68" s="354"/>
      <c r="W68" s="354"/>
      <c r="X68" s="351" t="e">
        <f t="shared" si="9"/>
        <v>#N/A</v>
      </c>
      <c r="Y68" s="506"/>
      <c r="Z68" s="351"/>
      <c r="AA68" s="354"/>
      <c r="AB68" s="354"/>
      <c r="AC68" s="351" t="e">
        <f t="shared" si="10"/>
        <v>#N/A</v>
      </c>
      <c r="AD68" s="506"/>
      <c r="AE68" s="351"/>
      <c r="AF68" s="354"/>
      <c r="AG68" s="354"/>
      <c r="AH68" s="351" t="e">
        <f t="shared" si="11"/>
        <v>#N/A</v>
      </c>
      <c r="AI68" s="506"/>
      <c r="AJ68" s="351"/>
      <c r="AK68" s="354"/>
      <c r="AL68" s="354"/>
      <c r="AM68" s="351" t="e">
        <f t="shared" si="12"/>
        <v>#N/A</v>
      </c>
      <c r="AN68" s="506"/>
      <c r="AO68" s="351"/>
      <c r="AP68" s="354"/>
      <c r="AQ68" s="354"/>
      <c r="AR68" s="351" t="e">
        <f t="shared" si="13"/>
        <v>#N/A</v>
      </c>
      <c r="AS68" s="506"/>
      <c r="AT68" s="351"/>
      <c r="AU68" s="354"/>
      <c r="AV68" s="354"/>
      <c r="AW68" s="351" t="e">
        <f t="shared" si="14"/>
        <v>#N/A</v>
      </c>
      <c r="AX68" s="506"/>
    </row>
    <row r="69" spans="2:50">
      <c r="B69" s="483"/>
      <c r="C69" s="351">
        <v>28</v>
      </c>
      <c r="D69" s="257"/>
      <c r="E69" s="187"/>
      <c r="F69" s="351"/>
      <c r="G69" s="354"/>
      <c r="H69" s="508"/>
      <c r="I69" s="219"/>
      <c r="J69" s="219"/>
      <c r="K69" s="220"/>
      <c r="L69" s="457"/>
      <c r="M69" s="219" t="e">
        <f>RANK(K69, K$42:$K$71)</f>
        <v>#N/A</v>
      </c>
      <c r="N69" s="475"/>
      <c r="O69" s="475"/>
      <c r="P69" s="351"/>
      <c r="Q69" s="354"/>
      <c r="R69" s="354"/>
      <c r="S69" s="351" t="e">
        <f t="shared" si="8"/>
        <v>#N/A</v>
      </c>
      <c r="T69" s="506"/>
      <c r="U69" s="351"/>
      <c r="V69" s="354"/>
      <c r="W69" s="354"/>
      <c r="X69" s="351" t="e">
        <f t="shared" si="9"/>
        <v>#N/A</v>
      </c>
      <c r="Y69" s="506"/>
      <c r="Z69" s="351"/>
      <c r="AA69" s="354"/>
      <c r="AB69" s="354"/>
      <c r="AC69" s="351" t="e">
        <f t="shared" si="10"/>
        <v>#N/A</v>
      </c>
      <c r="AD69" s="506"/>
      <c r="AE69" s="351"/>
      <c r="AF69" s="354"/>
      <c r="AG69" s="354"/>
      <c r="AH69" s="351" t="e">
        <f t="shared" si="11"/>
        <v>#N/A</v>
      </c>
      <c r="AI69" s="506"/>
      <c r="AJ69" s="351"/>
      <c r="AK69" s="354"/>
      <c r="AL69" s="354"/>
      <c r="AM69" s="351" t="e">
        <f t="shared" si="12"/>
        <v>#N/A</v>
      </c>
      <c r="AN69" s="506"/>
      <c r="AO69" s="351"/>
      <c r="AP69" s="354"/>
      <c r="AQ69" s="354"/>
      <c r="AR69" s="351" t="e">
        <f t="shared" si="13"/>
        <v>#N/A</v>
      </c>
      <c r="AS69" s="506"/>
      <c r="AT69" s="351"/>
      <c r="AU69" s="354"/>
      <c r="AV69" s="354"/>
      <c r="AW69" s="351" t="e">
        <f t="shared" si="14"/>
        <v>#N/A</v>
      </c>
      <c r="AX69" s="506"/>
    </row>
    <row r="70" spans="2:50">
      <c r="B70" s="483"/>
      <c r="C70" s="351">
        <v>29</v>
      </c>
      <c r="D70" s="257"/>
      <c r="E70" s="187"/>
      <c r="F70" s="351"/>
      <c r="G70" s="354"/>
      <c r="H70" s="508"/>
      <c r="I70" s="222"/>
      <c r="J70" s="222"/>
      <c r="K70" s="222"/>
      <c r="L70" s="457"/>
      <c r="M70" s="219" t="e">
        <f>RANK(K70, K$42:$K$71)</f>
        <v>#N/A</v>
      </c>
      <c r="N70" s="475"/>
      <c r="O70" s="475"/>
      <c r="P70" s="351"/>
      <c r="Q70" s="351"/>
      <c r="R70" s="351"/>
      <c r="S70" s="351" t="e">
        <f t="shared" si="8"/>
        <v>#N/A</v>
      </c>
      <c r="T70" s="506"/>
      <c r="U70" s="351"/>
      <c r="V70" s="351"/>
      <c r="W70" s="351"/>
      <c r="X70" s="351" t="e">
        <f t="shared" si="9"/>
        <v>#N/A</v>
      </c>
      <c r="Y70" s="506"/>
      <c r="Z70" s="351"/>
      <c r="AA70" s="351"/>
      <c r="AB70" s="351"/>
      <c r="AC70" s="351" t="e">
        <f t="shared" si="10"/>
        <v>#N/A</v>
      </c>
      <c r="AD70" s="506"/>
      <c r="AE70" s="351"/>
      <c r="AF70" s="351"/>
      <c r="AG70" s="351"/>
      <c r="AH70" s="351" t="e">
        <f t="shared" si="11"/>
        <v>#N/A</v>
      </c>
      <c r="AI70" s="506"/>
      <c r="AJ70" s="351"/>
      <c r="AK70" s="351"/>
      <c r="AL70" s="351"/>
      <c r="AM70" s="351" t="e">
        <f t="shared" si="12"/>
        <v>#N/A</v>
      </c>
      <c r="AN70" s="506"/>
      <c r="AO70" s="351"/>
      <c r="AP70" s="351"/>
      <c r="AQ70" s="351"/>
      <c r="AR70" s="351" t="e">
        <f t="shared" si="13"/>
        <v>#N/A</v>
      </c>
      <c r="AS70" s="506"/>
      <c r="AT70" s="351"/>
      <c r="AU70" s="351"/>
      <c r="AV70" s="351"/>
      <c r="AW70" s="351" t="e">
        <f t="shared" si="14"/>
        <v>#N/A</v>
      </c>
      <c r="AX70" s="506"/>
    </row>
    <row r="71" spans="2:50">
      <c r="B71" s="483"/>
      <c r="C71" s="351">
        <v>30</v>
      </c>
      <c r="D71" s="257"/>
      <c r="E71" s="187"/>
      <c r="F71" s="351"/>
      <c r="G71" s="354"/>
      <c r="H71" s="509"/>
      <c r="I71" s="222"/>
      <c r="J71" s="222"/>
      <c r="K71" s="222"/>
      <c r="L71" s="458"/>
      <c r="M71" s="219" t="e">
        <f>RANK(K71, K$42:$K$71)</f>
        <v>#N/A</v>
      </c>
      <c r="N71" s="475"/>
      <c r="O71" s="475"/>
      <c r="P71" s="351"/>
      <c r="Q71" s="351"/>
      <c r="R71" s="351"/>
      <c r="S71" s="351" t="e">
        <f t="shared" si="8"/>
        <v>#N/A</v>
      </c>
      <c r="T71" s="506"/>
      <c r="U71" s="351"/>
      <c r="V71" s="351"/>
      <c r="W71" s="351"/>
      <c r="X71" s="351" t="e">
        <f t="shared" si="9"/>
        <v>#N/A</v>
      </c>
      <c r="Y71" s="506"/>
      <c r="Z71" s="351"/>
      <c r="AA71" s="351"/>
      <c r="AB71" s="351"/>
      <c r="AC71" s="351" t="e">
        <f t="shared" si="10"/>
        <v>#N/A</v>
      </c>
      <c r="AD71" s="506"/>
      <c r="AE71" s="351"/>
      <c r="AF71" s="351"/>
      <c r="AG71" s="351"/>
      <c r="AH71" s="351" t="e">
        <f t="shared" si="11"/>
        <v>#N/A</v>
      </c>
      <c r="AI71" s="506"/>
      <c r="AJ71" s="351"/>
      <c r="AK71" s="351"/>
      <c r="AL71" s="351"/>
      <c r="AM71" s="351" t="e">
        <f t="shared" si="12"/>
        <v>#N/A</v>
      </c>
      <c r="AN71" s="506"/>
      <c r="AO71" s="351"/>
      <c r="AP71" s="351"/>
      <c r="AQ71" s="351"/>
      <c r="AR71" s="351" t="e">
        <f t="shared" si="13"/>
        <v>#N/A</v>
      </c>
      <c r="AS71" s="506"/>
      <c r="AT71" s="351"/>
      <c r="AU71" s="351"/>
      <c r="AV71" s="351"/>
      <c r="AW71" s="351" t="e">
        <f t="shared" si="14"/>
        <v>#N/A</v>
      </c>
      <c r="AX71" s="506"/>
    </row>
    <row r="72" spans="2:50" ht="15.75">
      <c r="B72" s="500" t="s">
        <v>172</v>
      </c>
      <c r="C72" s="501"/>
      <c r="D72" s="501"/>
      <c r="E72" s="501"/>
      <c r="F72" s="501"/>
      <c r="G72" s="501"/>
      <c r="H72" s="501"/>
      <c r="I72" s="228"/>
      <c r="J72" s="223"/>
      <c r="K72" s="228"/>
      <c r="L72" s="228"/>
      <c r="M72" s="224"/>
      <c r="N72" s="476" t="s">
        <v>164</v>
      </c>
      <c r="O72" s="476" t="s">
        <v>105</v>
      </c>
      <c r="P72" s="482">
        <f>P37+7</f>
        <v>45909</v>
      </c>
      <c r="Q72" s="483"/>
      <c r="R72" s="483"/>
      <c r="S72" s="483"/>
      <c r="T72" s="483"/>
      <c r="U72" s="479">
        <f>P72+1</f>
        <v>45910</v>
      </c>
      <c r="V72" s="480"/>
      <c r="W72" s="480"/>
      <c r="X72" s="480"/>
      <c r="Y72" s="481"/>
      <c r="Z72" s="479">
        <f>U72+1</f>
        <v>45911</v>
      </c>
      <c r="AA72" s="480"/>
      <c r="AB72" s="480"/>
      <c r="AC72" s="480"/>
      <c r="AD72" s="481"/>
      <c r="AE72" s="479">
        <f t="shared" ref="AE72" si="18">Z72+1</f>
        <v>45912</v>
      </c>
      <c r="AF72" s="480"/>
      <c r="AG72" s="480"/>
      <c r="AH72" s="480"/>
      <c r="AI72" s="481"/>
      <c r="AJ72" s="479">
        <f t="shared" ref="AJ72" si="19">AE72+1</f>
        <v>45913</v>
      </c>
      <c r="AK72" s="480"/>
      <c r="AL72" s="480"/>
      <c r="AM72" s="480"/>
      <c r="AN72" s="481"/>
      <c r="AO72" s="479">
        <f t="shared" ref="AO72" si="20">AJ72+1</f>
        <v>45914</v>
      </c>
      <c r="AP72" s="480"/>
      <c r="AQ72" s="480"/>
      <c r="AR72" s="480"/>
      <c r="AS72" s="481"/>
      <c r="AT72" s="479">
        <f t="shared" ref="AT72" si="21">AO72+1</f>
        <v>45915</v>
      </c>
      <c r="AU72" s="480"/>
      <c r="AV72" s="480"/>
      <c r="AW72" s="480"/>
      <c r="AX72" s="481"/>
    </row>
    <row r="73" spans="2:50" ht="15.75">
      <c r="B73" s="490"/>
      <c r="C73" s="490"/>
      <c r="D73" s="490"/>
      <c r="E73" s="490"/>
      <c r="F73" s="490"/>
      <c r="G73" s="490"/>
      <c r="H73" s="490"/>
      <c r="I73" s="225"/>
      <c r="J73" s="225"/>
      <c r="K73" s="225"/>
      <c r="L73" s="225"/>
      <c r="M73" s="226"/>
      <c r="N73" s="478"/>
      <c r="O73" s="478"/>
      <c r="P73" s="482" t="s">
        <v>393</v>
      </c>
      <c r="Q73" s="483"/>
      <c r="R73" s="483"/>
      <c r="S73" s="483"/>
      <c r="T73" s="483"/>
      <c r="U73" s="482" t="s">
        <v>394</v>
      </c>
      <c r="V73" s="483"/>
      <c r="W73" s="483"/>
      <c r="X73" s="483"/>
      <c r="Y73" s="483"/>
      <c r="Z73" s="482" t="s">
        <v>395</v>
      </c>
      <c r="AA73" s="483"/>
      <c r="AB73" s="483"/>
      <c r="AC73" s="483"/>
      <c r="AD73" s="483"/>
      <c r="AE73" s="482" t="s">
        <v>396</v>
      </c>
      <c r="AF73" s="483"/>
      <c r="AG73" s="483"/>
      <c r="AH73" s="483"/>
      <c r="AI73" s="483"/>
      <c r="AJ73" s="482" t="s">
        <v>397</v>
      </c>
      <c r="AK73" s="483"/>
      <c r="AL73" s="483"/>
      <c r="AM73" s="483"/>
      <c r="AN73" s="483"/>
      <c r="AO73" s="482" t="s">
        <v>398</v>
      </c>
      <c r="AP73" s="483"/>
      <c r="AQ73" s="483"/>
      <c r="AR73" s="483"/>
      <c r="AS73" s="483"/>
      <c r="AT73" s="482" t="s">
        <v>399</v>
      </c>
      <c r="AU73" s="483"/>
      <c r="AV73" s="483"/>
      <c r="AW73" s="483"/>
      <c r="AX73" s="483"/>
    </row>
    <row r="74" spans="2:50">
      <c r="B74" s="475" t="s">
        <v>726</v>
      </c>
      <c r="C74" s="475" t="s">
        <v>727</v>
      </c>
      <c r="D74" s="475"/>
      <c r="E74" s="475" t="s">
        <v>728</v>
      </c>
      <c r="F74" s="475"/>
      <c r="G74" s="475"/>
      <c r="H74" s="491" t="s">
        <v>729</v>
      </c>
      <c r="I74" s="459" t="s">
        <v>730</v>
      </c>
      <c r="J74" s="459"/>
      <c r="K74" s="459"/>
      <c r="L74" s="460" t="s">
        <v>729</v>
      </c>
      <c r="M74" s="466" t="s">
        <v>731</v>
      </c>
      <c r="N74" s="475"/>
      <c r="O74" s="475" t="s">
        <v>732</v>
      </c>
      <c r="P74" s="472" t="s">
        <v>733</v>
      </c>
      <c r="Q74" s="473"/>
      <c r="R74" s="473"/>
      <c r="S74" s="474"/>
      <c r="T74" s="475" t="s">
        <v>729</v>
      </c>
      <c r="U74" s="472" t="s">
        <v>733</v>
      </c>
      <c r="V74" s="473"/>
      <c r="W74" s="473"/>
      <c r="X74" s="474"/>
      <c r="Y74" s="475" t="s">
        <v>729</v>
      </c>
      <c r="Z74" s="472" t="s">
        <v>733</v>
      </c>
      <c r="AA74" s="473"/>
      <c r="AB74" s="473"/>
      <c r="AC74" s="474"/>
      <c r="AD74" s="475" t="s">
        <v>729</v>
      </c>
      <c r="AE74" s="472" t="s">
        <v>733</v>
      </c>
      <c r="AF74" s="473"/>
      <c r="AG74" s="473"/>
      <c r="AH74" s="474"/>
      <c r="AI74" s="475" t="s">
        <v>729</v>
      </c>
      <c r="AJ74" s="472" t="s">
        <v>733</v>
      </c>
      <c r="AK74" s="473"/>
      <c r="AL74" s="473"/>
      <c r="AM74" s="474"/>
      <c r="AN74" s="475" t="s">
        <v>729</v>
      </c>
      <c r="AO74" s="472" t="s">
        <v>733</v>
      </c>
      <c r="AP74" s="473"/>
      <c r="AQ74" s="473"/>
      <c r="AR74" s="474"/>
      <c r="AS74" s="475" t="s">
        <v>729</v>
      </c>
      <c r="AT74" s="472" t="s">
        <v>733</v>
      </c>
      <c r="AU74" s="473"/>
      <c r="AV74" s="473"/>
      <c r="AW74" s="474"/>
      <c r="AX74" s="475" t="s">
        <v>729</v>
      </c>
    </row>
    <row r="75" spans="2:50">
      <c r="B75" s="475"/>
      <c r="C75" s="475"/>
      <c r="D75" s="475"/>
      <c r="E75" s="475" t="s">
        <v>734</v>
      </c>
      <c r="F75" s="475"/>
      <c r="G75" s="475"/>
      <c r="H75" s="492"/>
      <c r="I75" s="459" t="s">
        <v>734</v>
      </c>
      <c r="J75" s="459"/>
      <c r="K75" s="459"/>
      <c r="L75" s="461"/>
      <c r="M75" s="467"/>
      <c r="N75" s="475"/>
      <c r="O75" s="475"/>
      <c r="P75" s="472" t="s">
        <v>735</v>
      </c>
      <c r="Q75" s="473"/>
      <c r="R75" s="473"/>
      <c r="S75" s="474"/>
      <c r="T75" s="475"/>
      <c r="U75" s="472" t="s">
        <v>735</v>
      </c>
      <c r="V75" s="473"/>
      <c r="W75" s="473"/>
      <c r="X75" s="474"/>
      <c r="Y75" s="475"/>
      <c r="Z75" s="472" t="s">
        <v>735</v>
      </c>
      <c r="AA75" s="473"/>
      <c r="AB75" s="473"/>
      <c r="AC75" s="474"/>
      <c r="AD75" s="475"/>
      <c r="AE75" s="472" t="s">
        <v>735</v>
      </c>
      <c r="AF75" s="473"/>
      <c r="AG75" s="473"/>
      <c r="AH75" s="474"/>
      <c r="AI75" s="475"/>
      <c r="AJ75" s="472" t="s">
        <v>735</v>
      </c>
      <c r="AK75" s="473"/>
      <c r="AL75" s="473"/>
      <c r="AM75" s="474"/>
      <c r="AN75" s="475"/>
      <c r="AO75" s="472" t="s">
        <v>735</v>
      </c>
      <c r="AP75" s="473"/>
      <c r="AQ75" s="473"/>
      <c r="AR75" s="474"/>
      <c r="AS75" s="475"/>
      <c r="AT75" s="472" t="s">
        <v>735</v>
      </c>
      <c r="AU75" s="473"/>
      <c r="AV75" s="473"/>
      <c r="AW75" s="474"/>
      <c r="AX75" s="475"/>
    </row>
    <row r="76" spans="2:50">
      <c r="B76" s="475"/>
      <c r="C76" s="475"/>
      <c r="D76" s="475"/>
      <c r="E76" s="350" t="s">
        <v>736</v>
      </c>
      <c r="F76" s="350" t="s">
        <v>737</v>
      </c>
      <c r="G76" s="350" t="s">
        <v>738</v>
      </c>
      <c r="H76" s="493"/>
      <c r="I76" s="349" t="s">
        <v>736</v>
      </c>
      <c r="J76" s="349" t="s">
        <v>737</v>
      </c>
      <c r="K76" s="349" t="s">
        <v>738</v>
      </c>
      <c r="L76" s="462"/>
      <c r="M76" s="468"/>
      <c r="N76" s="475"/>
      <c r="O76" s="475"/>
      <c r="P76" s="350" t="s">
        <v>736</v>
      </c>
      <c r="Q76" s="350" t="s">
        <v>737</v>
      </c>
      <c r="R76" s="350" t="s">
        <v>738</v>
      </c>
      <c r="S76" s="350" t="s">
        <v>731</v>
      </c>
      <c r="T76" s="475"/>
      <c r="U76" s="350" t="s">
        <v>736</v>
      </c>
      <c r="V76" s="350" t="s">
        <v>737</v>
      </c>
      <c r="W76" s="350" t="s">
        <v>738</v>
      </c>
      <c r="X76" s="350" t="s">
        <v>731</v>
      </c>
      <c r="Y76" s="475"/>
      <c r="Z76" s="350" t="s">
        <v>736</v>
      </c>
      <c r="AA76" s="350" t="s">
        <v>737</v>
      </c>
      <c r="AB76" s="350" t="s">
        <v>738</v>
      </c>
      <c r="AC76" s="350" t="s">
        <v>731</v>
      </c>
      <c r="AD76" s="475"/>
      <c r="AE76" s="350" t="s">
        <v>736</v>
      </c>
      <c r="AF76" s="350" t="s">
        <v>737</v>
      </c>
      <c r="AG76" s="350" t="s">
        <v>738</v>
      </c>
      <c r="AH76" s="350" t="s">
        <v>731</v>
      </c>
      <c r="AI76" s="475"/>
      <c r="AJ76" s="350" t="s">
        <v>736</v>
      </c>
      <c r="AK76" s="350" t="s">
        <v>737</v>
      </c>
      <c r="AL76" s="350" t="s">
        <v>738</v>
      </c>
      <c r="AM76" s="350" t="s">
        <v>731</v>
      </c>
      <c r="AN76" s="475"/>
      <c r="AO76" s="350" t="s">
        <v>736</v>
      </c>
      <c r="AP76" s="350" t="s">
        <v>737</v>
      </c>
      <c r="AQ76" s="350" t="s">
        <v>738</v>
      </c>
      <c r="AR76" s="350" t="s">
        <v>731</v>
      </c>
      <c r="AS76" s="475"/>
      <c r="AT76" s="350" t="s">
        <v>736</v>
      </c>
      <c r="AU76" s="350" t="s">
        <v>737</v>
      </c>
      <c r="AV76" s="350" t="s">
        <v>738</v>
      </c>
      <c r="AW76" s="350" t="s">
        <v>731</v>
      </c>
      <c r="AX76" s="475"/>
    </row>
    <row r="77" spans="2:50">
      <c r="B77" s="475" t="s">
        <v>739</v>
      </c>
      <c r="C77" s="351">
        <v>1</v>
      </c>
      <c r="D77" s="257"/>
      <c r="E77" s="187"/>
      <c r="F77" s="351"/>
      <c r="G77" s="354"/>
      <c r="H77" s="507" t="e">
        <f>AVERAGE(G77:G106)</f>
        <v>#DIV/0!</v>
      </c>
      <c r="I77" s="219" t="e">
        <f>AVERAGE(P77,U77,Z77,AE77,AJ77,AO77,AT77)</f>
        <v>#DIV/0!</v>
      </c>
      <c r="J77" s="219" t="e">
        <f>AVERAGE(Q77,V77,AA77,AF77,AK77,AP77,AU77)</f>
        <v>#DIV/0!</v>
      </c>
      <c r="K77" s="220" t="e">
        <f>AVERAGE(R77,W77,AB77,AG77,AL77,AQ77,AV77)</f>
        <v>#DIV/0!</v>
      </c>
      <c r="L77" s="456" t="str">
        <f>IFERROR(AVERAGE(K77:K106),"-")</f>
        <v>-</v>
      </c>
      <c r="M77" s="221" t="e">
        <f>RANK(K77, K$147:$K$176)</f>
        <v>#DIV/0!</v>
      </c>
      <c r="N77" s="475"/>
      <c r="O77" s="475"/>
      <c r="P77" s="187"/>
      <c r="Q77" s="187"/>
      <c r="R77" s="187"/>
      <c r="S77" s="351" t="e">
        <f>RANK(R77, R$147:R$176)</f>
        <v>#N/A</v>
      </c>
      <c r="T77" s="506" t="e">
        <f>AVERAGE(R77:R106)</f>
        <v>#DIV/0!</v>
      </c>
      <c r="U77" s="187"/>
      <c r="V77" s="187"/>
      <c r="W77" s="187"/>
      <c r="X77" s="351" t="e">
        <f>RANK(W77, W$147:W$176)</f>
        <v>#N/A</v>
      </c>
      <c r="Y77" s="506" t="e">
        <f>AVERAGE(W77:W106)</f>
        <v>#DIV/0!</v>
      </c>
      <c r="Z77" s="187"/>
      <c r="AA77" s="187"/>
      <c r="AB77" s="187"/>
      <c r="AC77" s="351" t="e">
        <f>RANK(AB77, AB$147:AB$176)</f>
        <v>#N/A</v>
      </c>
      <c r="AD77" s="506" t="e">
        <f>AVERAGE(AB77:AB106)</f>
        <v>#DIV/0!</v>
      </c>
      <c r="AE77" s="187"/>
      <c r="AF77" s="187"/>
      <c r="AG77" s="187"/>
      <c r="AH77" s="351" t="e">
        <f>RANK(AG77, AG$147:AG$176)</f>
        <v>#N/A</v>
      </c>
      <c r="AI77" s="506" t="e">
        <f>AVERAGE(AG77:AG106)</f>
        <v>#DIV/0!</v>
      </c>
      <c r="AJ77" s="187"/>
      <c r="AK77" s="187"/>
      <c r="AL77" s="187"/>
      <c r="AM77" s="351" t="e">
        <f>RANK(AL77, AL$147:AL$176)</f>
        <v>#N/A</v>
      </c>
      <c r="AN77" s="506" t="e">
        <f>AVERAGE(AL77:AL106)</f>
        <v>#DIV/0!</v>
      </c>
      <c r="AO77" s="187"/>
      <c r="AP77" s="187"/>
      <c r="AQ77" s="187"/>
      <c r="AR77" s="351" t="e">
        <f>RANK(AQ77, AQ$147:AQ$176)</f>
        <v>#N/A</v>
      </c>
      <c r="AS77" s="506" t="e">
        <f>AVERAGE(AQ77:AQ106)</f>
        <v>#DIV/0!</v>
      </c>
      <c r="AT77" s="351"/>
      <c r="AU77" s="354"/>
      <c r="AV77" s="354"/>
      <c r="AW77" s="351" t="e">
        <f>RANK(AV77, AV$147:AV$176)</f>
        <v>#N/A</v>
      </c>
      <c r="AX77" s="506" t="e">
        <f>AVERAGE(AV77:AV106)</f>
        <v>#DIV/0!</v>
      </c>
    </row>
    <row r="78" spans="2:50">
      <c r="B78" s="483"/>
      <c r="C78" s="351">
        <v>2</v>
      </c>
      <c r="D78" s="257"/>
      <c r="E78" s="187"/>
      <c r="F78" s="351"/>
      <c r="G78" s="354"/>
      <c r="H78" s="508"/>
      <c r="I78" s="219" t="e">
        <f t="shared" ref="I78:I100" si="22">AVERAGE(P78,U78,Z78,AE78,AJ78,AO78,AT78)</f>
        <v>#DIV/0!</v>
      </c>
      <c r="J78" s="219" t="e">
        <f t="shared" ref="J78:J100" si="23">AVERAGE(Q78,V78,AA78,AF78,AK78,AP78,AU78)</f>
        <v>#DIV/0!</v>
      </c>
      <c r="K78" s="220" t="e">
        <f t="shared" ref="K78:K100" si="24">AVERAGE(R78,W78,AB78,AG78,AL78,AQ78,AV78)</f>
        <v>#DIV/0!</v>
      </c>
      <c r="L78" s="457"/>
      <c r="M78" s="221" t="e">
        <f>RANK(K78, K$147:$K$176)</f>
        <v>#DIV/0!</v>
      </c>
      <c r="N78" s="475"/>
      <c r="O78" s="475"/>
      <c r="P78" s="187"/>
      <c r="Q78" s="187"/>
      <c r="R78" s="187"/>
      <c r="S78" s="351" t="e">
        <f t="shared" ref="S78:S106" si="25">RANK(R78, R$147:R$176)</f>
        <v>#N/A</v>
      </c>
      <c r="T78" s="506"/>
      <c r="U78" s="187"/>
      <c r="V78" s="187"/>
      <c r="W78" s="187"/>
      <c r="X78" s="351" t="e">
        <f t="shared" ref="X78:X106" si="26">RANK(W78, W$147:W$176)</f>
        <v>#N/A</v>
      </c>
      <c r="Y78" s="506"/>
      <c r="Z78" s="187"/>
      <c r="AA78" s="187"/>
      <c r="AB78" s="187"/>
      <c r="AC78" s="351" t="e">
        <f t="shared" ref="AC78:AC106" si="27">RANK(AB78, AB$147:AB$176)</f>
        <v>#N/A</v>
      </c>
      <c r="AD78" s="506"/>
      <c r="AE78" s="187"/>
      <c r="AF78" s="187"/>
      <c r="AG78" s="187"/>
      <c r="AH78" s="351" t="e">
        <f t="shared" ref="AH78:AH106" si="28">RANK(AG78, AG$147:AG$176)</f>
        <v>#N/A</v>
      </c>
      <c r="AI78" s="506"/>
      <c r="AJ78" s="187"/>
      <c r="AK78" s="187"/>
      <c r="AL78" s="187"/>
      <c r="AM78" s="351" t="e">
        <f t="shared" ref="AM78:AM106" si="29">RANK(AL78, AL$147:AL$176)</f>
        <v>#N/A</v>
      </c>
      <c r="AN78" s="506"/>
      <c r="AO78" s="187"/>
      <c r="AP78" s="187"/>
      <c r="AQ78" s="187"/>
      <c r="AR78" s="351" t="e">
        <f t="shared" ref="AR78:AR106" si="30">RANK(AQ78, AQ$147:AQ$176)</f>
        <v>#N/A</v>
      </c>
      <c r="AS78" s="506"/>
      <c r="AT78" s="351"/>
      <c r="AU78" s="354"/>
      <c r="AV78" s="354"/>
      <c r="AW78" s="351" t="e">
        <f t="shared" ref="AW78:AW106" si="31">RANK(AV78, AV$147:AV$176)</f>
        <v>#N/A</v>
      </c>
      <c r="AX78" s="506"/>
    </row>
    <row r="79" spans="2:50">
      <c r="B79" s="483"/>
      <c r="C79" s="351">
        <v>3</v>
      </c>
      <c r="D79" s="257"/>
      <c r="E79" s="187"/>
      <c r="F79" s="351"/>
      <c r="G79" s="354"/>
      <c r="H79" s="508"/>
      <c r="I79" s="219" t="e">
        <f t="shared" si="22"/>
        <v>#DIV/0!</v>
      </c>
      <c r="J79" s="219" t="e">
        <f t="shared" si="23"/>
        <v>#DIV/0!</v>
      </c>
      <c r="K79" s="220" t="e">
        <f t="shared" si="24"/>
        <v>#DIV/0!</v>
      </c>
      <c r="L79" s="457"/>
      <c r="M79" s="221" t="e">
        <f>RANK(K79, K$147:$K$176)</f>
        <v>#DIV/0!</v>
      </c>
      <c r="N79" s="475"/>
      <c r="O79" s="475"/>
      <c r="P79" s="187"/>
      <c r="Q79" s="187"/>
      <c r="R79" s="187"/>
      <c r="S79" s="351" t="e">
        <f t="shared" si="25"/>
        <v>#N/A</v>
      </c>
      <c r="T79" s="506"/>
      <c r="U79" s="187"/>
      <c r="V79" s="187"/>
      <c r="W79" s="187"/>
      <c r="X79" s="351" t="e">
        <f t="shared" si="26"/>
        <v>#N/A</v>
      </c>
      <c r="Y79" s="506"/>
      <c r="Z79" s="187"/>
      <c r="AA79" s="187"/>
      <c r="AB79" s="187"/>
      <c r="AC79" s="351" t="e">
        <f t="shared" si="27"/>
        <v>#N/A</v>
      </c>
      <c r="AD79" s="506"/>
      <c r="AE79" s="187"/>
      <c r="AF79" s="187"/>
      <c r="AG79" s="187"/>
      <c r="AH79" s="351" t="e">
        <f t="shared" si="28"/>
        <v>#N/A</v>
      </c>
      <c r="AI79" s="506"/>
      <c r="AJ79" s="187"/>
      <c r="AK79" s="187"/>
      <c r="AL79" s="187"/>
      <c r="AM79" s="351" t="e">
        <f t="shared" si="29"/>
        <v>#N/A</v>
      </c>
      <c r="AN79" s="506"/>
      <c r="AO79" s="187"/>
      <c r="AP79" s="187"/>
      <c r="AQ79" s="187"/>
      <c r="AR79" s="351" t="e">
        <f t="shared" si="30"/>
        <v>#N/A</v>
      </c>
      <c r="AS79" s="506"/>
      <c r="AT79" s="351"/>
      <c r="AU79" s="354"/>
      <c r="AV79" s="354"/>
      <c r="AW79" s="351" t="e">
        <f t="shared" si="31"/>
        <v>#N/A</v>
      </c>
      <c r="AX79" s="506"/>
    </row>
    <row r="80" spans="2:50">
      <c r="B80" s="483"/>
      <c r="C80" s="351">
        <v>4</v>
      </c>
      <c r="D80" s="257"/>
      <c r="E80" s="187"/>
      <c r="F80" s="351"/>
      <c r="G80" s="354"/>
      <c r="H80" s="508"/>
      <c r="I80" s="219" t="e">
        <f t="shared" si="22"/>
        <v>#DIV/0!</v>
      </c>
      <c r="J80" s="219" t="e">
        <f t="shared" si="23"/>
        <v>#DIV/0!</v>
      </c>
      <c r="K80" s="220" t="e">
        <f t="shared" si="24"/>
        <v>#DIV/0!</v>
      </c>
      <c r="L80" s="457"/>
      <c r="M80" s="221" t="e">
        <f>RANK(K80, K$147:$K$176)</f>
        <v>#DIV/0!</v>
      </c>
      <c r="N80" s="475"/>
      <c r="O80" s="475"/>
      <c r="P80" s="187"/>
      <c r="Q80" s="187"/>
      <c r="R80" s="187"/>
      <c r="S80" s="351" t="e">
        <f t="shared" si="25"/>
        <v>#N/A</v>
      </c>
      <c r="T80" s="506"/>
      <c r="U80" s="187"/>
      <c r="V80" s="187"/>
      <c r="W80" s="187"/>
      <c r="X80" s="351" t="e">
        <f t="shared" si="26"/>
        <v>#N/A</v>
      </c>
      <c r="Y80" s="506"/>
      <c r="Z80" s="187"/>
      <c r="AA80" s="187"/>
      <c r="AB80" s="187"/>
      <c r="AC80" s="351" t="e">
        <f t="shared" si="27"/>
        <v>#N/A</v>
      </c>
      <c r="AD80" s="506"/>
      <c r="AE80" s="187"/>
      <c r="AF80" s="187"/>
      <c r="AG80" s="187"/>
      <c r="AH80" s="351" t="e">
        <f t="shared" si="28"/>
        <v>#N/A</v>
      </c>
      <c r="AI80" s="506"/>
      <c r="AJ80" s="187"/>
      <c r="AK80" s="187"/>
      <c r="AL80" s="187"/>
      <c r="AM80" s="351" t="e">
        <f t="shared" si="29"/>
        <v>#N/A</v>
      </c>
      <c r="AN80" s="506"/>
      <c r="AO80" s="187"/>
      <c r="AP80" s="187"/>
      <c r="AQ80" s="187"/>
      <c r="AR80" s="351" t="e">
        <f t="shared" si="30"/>
        <v>#N/A</v>
      </c>
      <c r="AS80" s="506"/>
      <c r="AT80" s="351"/>
      <c r="AU80" s="354"/>
      <c r="AV80" s="354"/>
      <c r="AW80" s="351" t="e">
        <f t="shared" si="31"/>
        <v>#N/A</v>
      </c>
      <c r="AX80" s="506"/>
    </row>
    <row r="81" spans="2:50">
      <c r="B81" s="483"/>
      <c r="C81" s="351">
        <v>5</v>
      </c>
      <c r="D81" s="257"/>
      <c r="E81" s="187"/>
      <c r="F81" s="351"/>
      <c r="G81" s="354"/>
      <c r="H81" s="508"/>
      <c r="I81" s="219" t="e">
        <f t="shared" si="22"/>
        <v>#DIV/0!</v>
      </c>
      <c r="J81" s="219" t="e">
        <f t="shared" si="23"/>
        <v>#DIV/0!</v>
      </c>
      <c r="K81" s="220" t="e">
        <f t="shared" si="24"/>
        <v>#DIV/0!</v>
      </c>
      <c r="L81" s="457"/>
      <c r="M81" s="221" t="e">
        <f>RANK(K81, K$147:$K$176)</f>
        <v>#DIV/0!</v>
      </c>
      <c r="N81" s="475"/>
      <c r="O81" s="475"/>
      <c r="P81" s="187"/>
      <c r="Q81" s="187"/>
      <c r="R81" s="187"/>
      <c r="S81" s="351" t="e">
        <f t="shared" si="25"/>
        <v>#N/A</v>
      </c>
      <c r="T81" s="506"/>
      <c r="U81" s="187"/>
      <c r="V81" s="187"/>
      <c r="W81" s="187"/>
      <c r="X81" s="351" t="e">
        <f t="shared" si="26"/>
        <v>#N/A</v>
      </c>
      <c r="Y81" s="506"/>
      <c r="Z81" s="187"/>
      <c r="AA81" s="187"/>
      <c r="AB81" s="187"/>
      <c r="AC81" s="351" t="e">
        <f t="shared" si="27"/>
        <v>#N/A</v>
      </c>
      <c r="AD81" s="506"/>
      <c r="AE81" s="187"/>
      <c r="AF81" s="187"/>
      <c r="AG81" s="187"/>
      <c r="AH81" s="351" t="e">
        <f t="shared" si="28"/>
        <v>#N/A</v>
      </c>
      <c r="AI81" s="506"/>
      <c r="AJ81" s="187"/>
      <c r="AK81" s="187"/>
      <c r="AL81" s="187"/>
      <c r="AM81" s="351" t="e">
        <f t="shared" si="29"/>
        <v>#N/A</v>
      </c>
      <c r="AN81" s="506"/>
      <c r="AO81" s="187"/>
      <c r="AP81" s="187"/>
      <c r="AQ81" s="187"/>
      <c r="AR81" s="351" t="e">
        <f t="shared" si="30"/>
        <v>#N/A</v>
      </c>
      <c r="AS81" s="506"/>
      <c r="AT81" s="351"/>
      <c r="AU81" s="354"/>
      <c r="AV81" s="354"/>
      <c r="AW81" s="351" t="e">
        <f t="shared" si="31"/>
        <v>#N/A</v>
      </c>
      <c r="AX81" s="506"/>
    </row>
    <row r="82" spans="2:50">
      <c r="B82" s="483"/>
      <c r="C82" s="351">
        <v>6</v>
      </c>
      <c r="D82" s="257"/>
      <c r="E82" s="187"/>
      <c r="F82" s="351"/>
      <c r="G82" s="354"/>
      <c r="H82" s="508"/>
      <c r="I82" s="219" t="e">
        <f t="shared" si="22"/>
        <v>#DIV/0!</v>
      </c>
      <c r="J82" s="219" t="e">
        <f t="shared" si="23"/>
        <v>#DIV/0!</v>
      </c>
      <c r="K82" s="220" t="e">
        <f t="shared" si="24"/>
        <v>#DIV/0!</v>
      </c>
      <c r="L82" s="457"/>
      <c r="M82" s="221" t="e">
        <f>RANK(K82, K$147:$K$176)</f>
        <v>#DIV/0!</v>
      </c>
      <c r="N82" s="475"/>
      <c r="O82" s="475"/>
      <c r="P82" s="187"/>
      <c r="Q82" s="187"/>
      <c r="R82" s="187"/>
      <c r="S82" s="351" t="e">
        <f t="shared" si="25"/>
        <v>#N/A</v>
      </c>
      <c r="T82" s="506"/>
      <c r="U82" s="187"/>
      <c r="V82" s="187"/>
      <c r="W82" s="187"/>
      <c r="X82" s="351" t="e">
        <f t="shared" si="26"/>
        <v>#N/A</v>
      </c>
      <c r="Y82" s="506"/>
      <c r="Z82" s="187"/>
      <c r="AA82" s="187"/>
      <c r="AB82" s="187"/>
      <c r="AC82" s="351" t="e">
        <f t="shared" si="27"/>
        <v>#N/A</v>
      </c>
      <c r="AD82" s="506"/>
      <c r="AE82" s="187"/>
      <c r="AF82" s="187"/>
      <c r="AG82" s="187"/>
      <c r="AH82" s="351" t="e">
        <f t="shared" si="28"/>
        <v>#N/A</v>
      </c>
      <c r="AI82" s="506"/>
      <c r="AJ82" s="187"/>
      <c r="AK82" s="187"/>
      <c r="AL82" s="187"/>
      <c r="AM82" s="351" t="e">
        <f t="shared" si="29"/>
        <v>#N/A</v>
      </c>
      <c r="AN82" s="506"/>
      <c r="AO82" s="187"/>
      <c r="AP82" s="187"/>
      <c r="AQ82" s="187"/>
      <c r="AR82" s="351" t="e">
        <f t="shared" si="30"/>
        <v>#N/A</v>
      </c>
      <c r="AS82" s="506"/>
      <c r="AT82" s="351"/>
      <c r="AU82" s="354"/>
      <c r="AV82" s="354"/>
      <c r="AW82" s="351" t="e">
        <f t="shared" si="31"/>
        <v>#N/A</v>
      </c>
      <c r="AX82" s="506"/>
    </row>
    <row r="83" spans="2:50">
      <c r="B83" s="483"/>
      <c r="C83" s="351">
        <v>7</v>
      </c>
      <c r="D83" s="257"/>
      <c r="E83" s="187"/>
      <c r="F83" s="351"/>
      <c r="G83" s="354"/>
      <c r="H83" s="508"/>
      <c r="I83" s="219" t="e">
        <f t="shared" si="22"/>
        <v>#DIV/0!</v>
      </c>
      <c r="J83" s="219" t="e">
        <f t="shared" si="23"/>
        <v>#DIV/0!</v>
      </c>
      <c r="K83" s="220" t="e">
        <f t="shared" si="24"/>
        <v>#DIV/0!</v>
      </c>
      <c r="L83" s="457"/>
      <c r="M83" s="221" t="e">
        <f>RANK(K83, K$147:$K$176)</f>
        <v>#DIV/0!</v>
      </c>
      <c r="N83" s="475"/>
      <c r="O83" s="475"/>
      <c r="P83" s="187"/>
      <c r="Q83" s="187"/>
      <c r="R83" s="187"/>
      <c r="S83" s="351" t="e">
        <f t="shared" si="25"/>
        <v>#N/A</v>
      </c>
      <c r="T83" s="506"/>
      <c r="U83" s="187"/>
      <c r="V83" s="187"/>
      <c r="W83" s="187"/>
      <c r="X83" s="351" t="e">
        <f t="shared" si="26"/>
        <v>#N/A</v>
      </c>
      <c r="Y83" s="506"/>
      <c r="Z83" s="187"/>
      <c r="AA83" s="187"/>
      <c r="AB83" s="187"/>
      <c r="AC83" s="351" t="e">
        <f t="shared" si="27"/>
        <v>#N/A</v>
      </c>
      <c r="AD83" s="506"/>
      <c r="AE83" s="187"/>
      <c r="AF83" s="187"/>
      <c r="AG83" s="187"/>
      <c r="AH83" s="351" t="e">
        <f t="shared" si="28"/>
        <v>#N/A</v>
      </c>
      <c r="AI83" s="506"/>
      <c r="AJ83" s="187"/>
      <c r="AK83" s="187"/>
      <c r="AL83" s="187"/>
      <c r="AM83" s="351" t="e">
        <f t="shared" si="29"/>
        <v>#N/A</v>
      </c>
      <c r="AN83" s="506"/>
      <c r="AO83" s="187"/>
      <c r="AP83" s="187"/>
      <c r="AQ83" s="187"/>
      <c r="AR83" s="351" t="e">
        <f t="shared" si="30"/>
        <v>#N/A</v>
      </c>
      <c r="AS83" s="506"/>
      <c r="AT83" s="351"/>
      <c r="AU83" s="354"/>
      <c r="AV83" s="354"/>
      <c r="AW83" s="351" t="e">
        <f t="shared" si="31"/>
        <v>#N/A</v>
      </c>
      <c r="AX83" s="506"/>
    </row>
    <row r="84" spans="2:50">
      <c r="B84" s="483"/>
      <c r="C84" s="351">
        <v>8</v>
      </c>
      <c r="D84" s="257"/>
      <c r="E84" s="187"/>
      <c r="F84" s="351"/>
      <c r="G84" s="354"/>
      <c r="H84" s="508"/>
      <c r="I84" s="219" t="e">
        <f t="shared" si="22"/>
        <v>#DIV/0!</v>
      </c>
      <c r="J84" s="219" t="e">
        <f t="shared" si="23"/>
        <v>#DIV/0!</v>
      </c>
      <c r="K84" s="220" t="e">
        <f t="shared" si="24"/>
        <v>#DIV/0!</v>
      </c>
      <c r="L84" s="457"/>
      <c r="M84" s="221" t="e">
        <f>RANK(K84, K$147:$K$176)</f>
        <v>#DIV/0!</v>
      </c>
      <c r="N84" s="475"/>
      <c r="O84" s="475"/>
      <c r="P84" s="187"/>
      <c r="Q84" s="187"/>
      <c r="R84" s="187"/>
      <c r="S84" s="351" t="e">
        <f t="shared" si="25"/>
        <v>#N/A</v>
      </c>
      <c r="T84" s="506"/>
      <c r="U84" s="187"/>
      <c r="V84" s="187"/>
      <c r="W84" s="187"/>
      <c r="X84" s="351" t="e">
        <f t="shared" si="26"/>
        <v>#N/A</v>
      </c>
      <c r="Y84" s="506"/>
      <c r="Z84" s="187"/>
      <c r="AA84" s="187"/>
      <c r="AB84" s="187"/>
      <c r="AC84" s="351" t="e">
        <f t="shared" si="27"/>
        <v>#N/A</v>
      </c>
      <c r="AD84" s="506"/>
      <c r="AE84" s="187"/>
      <c r="AF84" s="187"/>
      <c r="AG84" s="187"/>
      <c r="AH84" s="351" t="e">
        <f t="shared" si="28"/>
        <v>#N/A</v>
      </c>
      <c r="AI84" s="506"/>
      <c r="AJ84" s="187"/>
      <c r="AK84" s="187"/>
      <c r="AL84" s="187"/>
      <c r="AM84" s="351" t="e">
        <f t="shared" si="29"/>
        <v>#N/A</v>
      </c>
      <c r="AN84" s="506"/>
      <c r="AO84" s="187"/>
      <c r="AP84" s="187"/>
      <c r="AQ84" s="187"/>
      <c r="AR84" s="351" t="e">
        <f t="shared" si="30"/>
        <v>#N/A</v>
      </c>
      <c r="AS84" s="506"/>
      <c r="AT84" s="351"/>
      <c r="AU84" s="354"/>
      <c r="AV84" s="354"/>
      <c r="AW84" s="351" t="e">
        <f t="shared" si="31"/>
        <v>#N/A</v>
      </c>
      <c r="AX84" s="506"/>
    </row>
    <row r="85" spans="2:50">
      <c r="B85" s="483"/>
      <c r="C85" s="351">
        <v>9</v>
      </c>
      <c r="D85" s="257"/>
      <c r="E85" s="187"/>
      <c r="F85" s="351"/>
      <c r="G85" s="354"/>
      <c r="H85" s="508"/>
      <c r="I85" s="219" t="e">
        <f t="shared" si="22"/>
        <v>#DIV/0!</v>
      </c>
      <c r="J85" s="219" t="e">
        <f t="shared" si="23"/>
        <v>#DIV/0!</v>
      </c>
      <c r="K85" s="220" t="e">
        <f t="shared" si="24"/>
        <v>#DIV/0!</v>
      </c>
      <c r="L85" s="457"/>
      <c r="M85" s="221" t="e">
        <f>RANK(K85, K$147:$K$176)</f>
        <v>#DIV/0!</v>
      </c>
      <c r="N85" s="475"/>
      <c r="O85" s="475"/>
      <c r="P85" s="187"/>
      <c r="Q85" s="187"/>
      <c r="R85" s="187"/>
      <c r="S85" s="351" t="e">
        <f t="shared" si="25"/>
        <v>#N/A</v>
      </c>
      <c r="T85" s="506"/>
      <c r="U85" s="187"/>
      <c r="V85" s="187"/>
      <c r="W85" s="187"/>
      <c r="X85" s="351" t="e">
        <f t="shared" si="26"/>
        <v>#N/A</v>
      </c>
      <c r="Y85" s="506"/>
      <c r="Z85" s="187"/>
      <c r="AA85" s="187"/>
      <c r="AB85" s="187"/>
      <c r="AC85" s="351" t="e">
        <f t="shared" si="27"/>
        <v>#N/A</v>
      </c>
      <c r="AD85" s="506"/>
      <c r="AE85" s="187"/>
      <c r="AF85" s="187"/>
      <c r="AG85" s="187"/>
      <c r="AH85" s="351" t="e">
        <f t="shared" si="28"/>
        <v>#N/A</v>
      </c>
      <c r="AI85" s="506"/>
      <c r="AJ85" s="187"/>
      <c r="AK85" s="187"/>
      <c r="AL85" s="187"/>
      <c r="AM85" s="351" t="e">
        <f t="shared" si="29"/>
        <v>#N/A</v>
      </c>
      <c r="AN85" s="506"/>
      <c r="AO85" s="187"/>
      <c r="AP85" s="187"/>
      <c r="AQ85" s="187"/>
      <c r="AR85" s="351" t="e">
        <f t="shared" si="30"/>
        <v>#N/A</v>
      </c>
      <c r="AS85" s="506"/>
      <c r="AT85" s="351"/>
      <c r="AU85" s="354"/>
      <c r="AV85" s="354"/>
      <c r="AW85" s="351" t="e">
        <f t="shared" si="31"/>
        <v>#N/A</v>
      </c>
      <c r="AX85" s="506"/>
    </row>
    <row r="86" spans="2:50">
      <c r="B86" s="483"/>
      <c r="C86" s="351">
        <v>10</v>
      </c>
      <c r="D86" s="257"/>
      <c r="E86" s="187"/>
      <c r="F86" s="351"/>
      <c r="G86" s="354"/>
      <c r="H86" s="508"/>
      <c r="I86" s="219" t="e">
        <f t="shared" si="22"/>
        <v>#DIV/0!</v>
      </c>
      <c r="J86" s="219" t="e">
        <f t="shared" si="23"/>
        <v>#DIV/0!</v>
      </c>
      <c r="K86" s="220" t="e">
        <f t="shared" si="24"/>
        <v>#DIV/0!</v>
      </c>
      <c r="L86" s="457"/>
      <c r="M86" s="221" t="e">
        <f>RANK(K86, K$147:$K$176)</f>
        <v>#DIV/0!</v>
      </c>
      <c r="N86" s="475"/>
      <c r="O86" s="475"/>
      <c r="P86" s="187"/>
      <c r="Q86" s="187"/>
      <c r="R86" s="187"/>
      <c r="S86" s="351" t="e">
        <f t="shared" si="25"/>
        <v>#N/A</v>
      </c>
      <c r="T86" s="506"/>
      <c r="U86" s="187"/>
      <c r="V86" s="187"/>
      <c r="W86" s="187"/>
      <c r="X86" s="351" t="e">
        <f t="shared" si="26"/>
        <v>#N/A</v>
      </c>
      <c r="Y86" s="506"/>
      <c r="Z86" s="187"/>
      <c r="AA86" s="187"/>
      <c r="AB86" s="187"/>
      <c r="AC86" s="351" t="e">
        <f t="shared" si="27"/>
        <v>#N/A</v>
      </c>
      <c r="AD86" s="506"/>
      <c r="AE86" s="187"/>
      <c r="AF86" s="187"/>
      <c r="AG86" s="187"/>
      <c r="AH86" s="351" t="e">
        <f t="shared" si="28"/>
        <v>#N/A</v>
      </c>
      <c r="AI86" s="506"/>
      <c r="AJ86" s="187"/>
      <c r="AK86" s="187"/>
      <c r="AL86" s="187"/>
      <c r="AM86" s="351" t="e">
        <f t="shared" si="29"/>
        <v>#N/A</v>
      </c>
      <c r="AN86" s="506"/>
      <c r="AO86" s="187"/>
      <c r="AP86" s="187"/>
      <c r="AQ86" s="187"/>
      <c r="AR86" s="351" t="e">
        <f t="shared" si="30"/>
        <v>#N/A</v>
      </c>
      <c r="AS86" s="506"/>
      <c r="AT86" s="351"/>
      <c r="AU86" s="354"/>
      <c r="AV86" s="354"/>
      <c r="AW86" s="351" t="e">
        <f t="shared" si="31"/>
        <v>#N/A</v>
      </c>
      <c r="AX86" s="506"/>
    </row>
    <row r="87" spans="2:50">
      <c r="B87" s="483"/>
      <c r="C87" s="351">
        <v>11</v>
      </c>
      <c r="D87" s="257"/>
      <c r="E87" s="187"/>
      <c r="F87" s="351"/>
      <c r="G87" s="354"/>
      <c r="H87" s="508"/>
      <c r="I87" s="219" t="e">
        <f t="shared" si="22"/>
        <v>#DIV/0!</v>
      </c>
      <c r="J87" s="219" t="e">
        <f t="shared" si="23"/>
        <v>#DIV/0!</v>
      </c>
      <c r="K87" s="220" t="e">
        <f t="shared" si="24"/>
        <v>#DIV/0!</v>
      </c>
      <c r="L87" s="457"/>
      <c r="M87" s="221" t="e">
        <f>RANK(K87, K$147:$K$176)</f>
        <v>#DIV/0!</v>
      </c>
      <c r="N87" s="475"/>
      <c r="O87" s="475"/>
      <c r="P87" s="187"/>
      <c r="Q87" s="187"/>
      <c r="R87" s="187"/>
      <c r="S87" s="351" t="e">
        <f t="shared" si="25"/>
        <v>#N/A</v>
      </c>
      <c r="T87" s="506"/>
      <c r="U87" s="187"/>
      <c r="V87" s="187"/>
      <c r="W87" s="187"/>
      <c r="X87" s="351" t="e">
        <f t="shared" si="26"/>
        <v>#N/A</v>
      </c>
      <c r="Y87" s="506"/>
      <c r="Z87" s="187"/>
      <c r="AA87" s="187"/>
      <c r="AB87" s="187"/>
      <c r="AC87" s="351" t="e">
        <f t="shared" si="27"/>
        <v>#N/A</v>
      </c>
      <c r="AD87" s="506"/>
      <c r="AE87" s="187"/>
      <c r="AF87" s="187"/>
      <c r="AG87" s="187"/>
      <c r="AH87" s="351" t="e">
        <f t="shared" si="28"/>
        <v>#N/A</v>
      </c>
      <c r="AI87" s="506"/>
      <c r="AJ87" s="187"/>
      <c r="AK87" s="187"/>
      <c r="AL87" s="187"/>
      <c r="AM87" s="351" t="e">
        <f t="shared" si="29"/>
        <v>#N/A</v>
      </c>
      <c r="AN87" s="506"/>
      <c r="AO87" s="187"/>
      <c r="AP87" s="187"/>
      <c r="AQ87" s="187"/>
      <c r="AR87" s="351" t="e">
        <f t="shared" si="30"/>
        <v>#N/A</v>
      </c>
      <c r="AS87" s="506"/>
      <c r="AT87" s="351"/>
      <c r="AU87" s="354"/>
      <c r="AV87" s="354"/>
      <c r="AW87" s="351" t="e">
        <f t="shared" si="31"/>
        <v>#N/A</v>
      </c>
      <c r="AX87" s="506"/>
    </row>
    <row r="88" spans="2:50">
      <c r="B88" s="483"/>
      <c r="C88" s="351">
        <v>12</v>
      </c>
      <c r="D88" s="257"/>
      <c r="E88" s="187"/>
      <c r="F88" s="351"/>
      <c r="G88" s="354"/>
      <c r="H88" s="508"/>
      <c r="I88" s="219" t="e">
        <f t="shared" si="22"/>
        <v>#DIV/0!</v>
      </c>
      <c r="J88" s="219" t="e">
        <f t="shared" si="23"/>
        <v>#DIV/0!</v>
      </c>
      <c r="K88" s="220" t="e">
        <f t="shared" si="24"/>
        <v>#DIV/0!</v>
      </c>
      <c r="L88" s="457"/>
      <c r="M88" s="221" t="e">
        <f>RANK(K88, K$147:$K$176)</f>
        <v>#DIV/0!</v>
      </c>
      <c r="N88" s="475"/>
      <c r="O88" s="475"/>
      <c r="P88" s="187"/>
      <c r="Q88" s="187"/>
      <c r="R88" s="187"/>
      <c r="S88" s="351" t="e">
        <f t="shared" si="25"/>
        <v>#N/A</v>
      </c>
      <c r="T88" s="506"/>
      <c r="U88" s="187"/>
      <c r="V88" s="187"/>
      <c r="W88" s="187"/>
      <c r="X88" s="351" t="e">
        <f t="shared" si="26"/>
        <v>#N/A</v>
      </c>
      <c r="Y88" s="506"/>
      <c r="Z88" s="187"/>
      <c r="AA88" s="187"/>
      <c r="AB88" s="187"/>
      <c r="AC88" s="351" t="e">
        <f t="shared" si="27"/>
        <v>#N/A</v>
      </c>
      <c r="AD88" s="506"/>
      <c r="AE88" s="187"/>
      <c r="AF88" s="187"/>
      <c r="AG88" s="187"/>
      <c r="AH88" s="351" t="e">
        <f t="shared" si="28"/>
        <v>#N/A</v>
      </c>
      <c r="AI88" s="506"/>
      <c r="AJ88" s="187"/>
      <c r="AK88" s="187"/>
      <c r="AL88" s="187"/>
      <c r="AM88" s="351" t="e">
        <f t="shared" si="29"/>
        <v>#N/A</v>
      </c>
      <c r="AN88" s="506"/>
      <c r="AO88" s="187"/>
      <c r="AP88" s="187"/>
      <c r="AQ88" s="187"/>
      <c r="AR88" s="351" t="e">
        <f t="shared" si="30"/>
        <v>#N/A</v>
      </c>
      <c r="AS88" s="506"/>
      <c r="AT88" s="351"/>
      <c r="AU88" s="354"/>
      <c r="AV88" s="354"/>
      <c r="AW88" s="351" t="e">
        <f t="shared" si="31"/>
        <v>#N/A</v>
      </c>
      <c r="AX88" s="506"/>
    </row>
    <row r="89" spans="2:50">
      <c r="B89" s="483"/>
      <c r="C89" s="351">
        <v>13</v>
      </c>
      <c r="D89" s="257"/>
      <c r="E89" s="187"/>
      <c r="F89" s="351"/>
      <c r="G89" s="354"/>
      <c r="H89" s="508"/>
      <c r="I89" s="219" t="e">
        <f t="shared" si="22"/>
        <v>#DIV/0!</v>
      </c>
      <c r="J89" s="219" t="e">
        <f t="shared" si="23"/>
        <v>#DIV/0!</v>
      </c>
      <c r="K89" s="220" t="e">
        <f t="shared" si="24"/>
        <v>#DIV/0!</v>
      </c>
      <c r="L89" s="457"/>
      <c r="M89" s="221" t="e">
        <f>RANK(K89, K$147:$K$176)</f>
        <v>#DIV/0!</v>
      </c>
      <c r="N89" s="475"/>
      <c r="O89" s="475"/>
      <c r="P89" s="187"/>
      <c r="Q89" s="187"/>
      <c r="R89" s="187"/>
      <c r="S89" s="351" t="e">
        <f t="shared" si="25"/>
        <v>#N/A</v>
      </c>
      <c r="T89" s="506"/>
      <c r="U89" s="187"/>
      <c r="V89" s="187"/>
      <c r="W89" s="187"/>
      <c r="X89" s="351" t="e">
        <f t="shared" si="26"/>
        <v>#N/A</v>
      </c>
      <c r="Y89" s="506"/>
      <c r="Z89" s="187"/>
      <c r="AA89" s="187"/>
      <c r="AB89" s="187"/>
      <c r="AC89" s="351" t="e">
        <f t="shared" si="27"/>
        <v>#N/A</v>
      </c>
      <c r="AD89" s="506"/>
      <c r="AE89" s="187"/>
      <c r="AF89" s="187"/>
      <c r="AG89" s="187"/>
      <c r="AH89" s="351" t="e">
        <f t="shared" si="28"/>
        <v>#N/A</v>
      </c>
      <c r="AI89" s="506"/>
      <c r="AJ89" s="187"/>
      <c r="AK89" s="187"/>
      <c r="AL89" s="187"/>
      <c r="AM89" s="351" t="e">
        <f t="shared" si="29"/>
        <v>#N/A</v>
      </c>
      <c r="AN89" s="506"/>
      <c r="AO89" s="187"/>
      <c r="AP89" s="187"/>
      <c r="AQ89" s="187"/>
      <c r="AR89" s="351" t="e">
        <f t="shared" si="30"/>
        <v>#N/A</v>
      </c>
      <c r="AS89" s="506"/>
      <c r="AT89" s="351"/>
      <c r="AU89" s="354"/>
      <c r="AV89" s="354"/>
      <c r="AW89" s="351" t="e">
        <f t="shared" si="31"/>
        <v>#N/A</v>
      </c>
      <c r="AX89" s="506"/>
    </row>
    <row r="90" spans="2:50">
      <c r="B90" s="483"/>
      <c r="C90" s="351">
        <v>14</v>
      </c>
      <c r="D90" s="257"/>
      <c r="E90" s="187"/>
      <c r="F90" s="351"/>
      <c r="G90" s="354"/>
      <c r="H90" s="508"/>
      <c r="I90" s="219" t="e">
        <f t="shared" si="22"/>
        <v>#DIV/0!</v>
      </c>
      <c r="J90" s="219" t="e">
        <f t="shared" si="23"/>
        <v>#DIV/0!</v>
      </c>
      <c r="K90" s="220" t="e">
        <f t="shared" si="24"/>
        <v>#DIV/0!</v>
      </c>
      <c r="L90" s="457"/>
      <c r="M90" s="221" t="e">
        <f>RANK(K90, K$147:$K$176)</f>
        <v>#DIV/0!</v>
      </c>
      <c r="N90" s="475"/>
      <c r="O90" s="475"/>
      <c r="P90" s="187"/>
      <c r="Q90" s="187"/>
      <c r="R90" s="187"/>
      <c r="S90" s="351" t="e">
        <f t="shared" si="25"/>
        <v>#N/A</v>
      </c>
      <c r="T90" s="506"/>
      <c r="U90" s="187"/>
      <c r="V90" s="187"/>
      <c r="W90" s="187"/>
      <c r="X90" s="351" t="e">
        <f t="shared" si="26"/>
        <v>#N/A</v>
      </c>
      <c r="Y90" s="506"/>
      <c r="Z90" s="187"/>
      <c r="AA90" s="187"/>
      <c r="AB90" s="187"/>
      <c r="AC90" s="351" t="e">
        <f t="shared" si="27"/>
        <v>#N/A</v>
      </c>
      <c r="AD90" s="506"/>
      <c r="AE90" s="187"/>
      <c r="AF90" s="187"/>
      <c r="AG90" s="187"/>
      <c r="AH90" s="351" t="e">
        <f t="shared" si="28"/>
        <v>#N/A</v>
      </c>
      <c r="AI90" s="506"/>
      <c r="AJ90" s="187"/>
      <c r="AK90" s="187"/>
      <c r="AL90" s="187"/>
      <c r="AM90" s="351" t="e">
        <f t="shared" si="29"/>
        <v>#N/A</v>
      </c>
      <c r="AN90" s="506"/>
      <c r="AO90" s="187"/>
      <c r="AP90" s="187"/>
      <c r="AQ90" s="187"/>
      <c r="AR90" s="351" t="e">
        <f t="shared" si="30"/>
        <v>#N/A</v>
      </c>
      <c r="AS90" s="506"/>
      <c r="AT90" s="351"/>
      <c r="AU90" s="354"/>
      <c r="AV90" s="354"/>
      <c r="AW90" s="351" t="e">
        <f t="shared" si="31"/>
        <v>#N/A</v>
      </c>
      <c r="AX90" s="506"/>
    </row>
    <row r="91" spans="2:50">
      <c r="B91" s="483"/>
      <c r="C91" s="351">
        <v>15</v>
      </c>
      <c r="D91" s="257"/>
      <c r="E91" s="187"/>
      <c r="F91" s="351"/>
      <c r="G91" s="354"/>
      <c r="H91" s="508"/>
      <c r="I91" s="219" t="e">
        <f t="shared" si="22"/>
        <v>#DIV/0!</v>
      </c>
      <c r="J91" s="219" t="e">
        <f t="shared" si="23"/>
        <v>#DIV/0!</v>
      </c>
      <c r="K91" s="220" t="e">
        <f t="shared" si="24"/>
        <v>#DIV/0!</v>
      </c>
      <c r="L91" s="457"/>
      <c r="M91" s="219" t="e">
        <f>RANK(K91, K$147:$K$176)</f>
        <v>#DIV/0!</v>
      </c>
      <c r="N91" s="475"/>
      <c r="O91" s="475"/>
      <c r="P91" s="187"/>
      <c r="Q91" s="187"/>
      <c r="R91" s="187"/>
      <c r="S91" s="351" t="e">
        <f t="shared" si="25"/>
        <v>#N/A</v>
      </c>
      <c r="T91" s="506"/>
      <c r="U91" s="187"/>
      <c r="V91" s="187"/>
      <c r="W91" s="187"/>
      <c r="X91" s="351" t="e">
        <f t="shared" si="26"/>
        <v>#N/A</v>
      </c>
      <c r="Y91" s="506"/>
      <c r="Z91" s="187"/>
      <c r="AA91" s="187"/>
      <c r="AB91" s="187"/>
      <c r="AC91" s="351" t="e">
        <f t="shared" si="27"/>
        <v>#N/A</v>
      </c>
      <c r="AD91" s="506"/>
      <c r="AE91" s="187"/>
      <c r="AF91" s="187"/>
      <c r="AG91" s="187"/>
      <c r="AH91" s="351" t="e">
        <f t="shared" si="28"/>
        <v>#N/A</v>
      </c>
      <c r="AI91" s="506"/>
      <c r="AJ91" s="187"/>
      <c r="AK91" s="187"/>
      <c r="AL91" s="187"/>
      <c r="AM91" s="351" t="e">
        <f t="shared" si="29"/>
        <v>#N/A</v>
      </c>
      <c r="AN91" s="506"/>
      <c r="AO91" s="187"/>
      <c r="AP91" s="187"/>
      <c r="AQ91" s="187"/>
      <c r="AR91" s="351" t="e">
        <f t="shared" si="30"/>
        <v>#N/A</v>
      </c>
      <c r="AS91" s="506"/>
      <c r="AT91" s="351"/>
      <c r="AU91" s="354"/>
      <c r="AV91" s="354"/>
      <c r="AW91" s="351" t="e">
        <f t="shared" si="31"/>
        <v>#N/A</v>
      </c>
      <c r="AX91" s="506"/>
    </row>
    <row r="92" spans="2:50">
      <c r="B92" s="483"/>
      <c r="C92" s="351">
        <v>16</v>
      </c>
      <c r="D92" s="257"/>
      <c r="E92" s="187"/>
      <c r="F92" s="351"/>
      <c r="G92" s="354"/>
      <c r="H92" s="508"/>
      <c r="I92" s="219" t="e">
        <f t="shared" si="22"/>
        <v>#DIV/0!</v>
      </c>
      <c r="J92" s="219" t="e">
        <f t="shared" si="23"/>
        <v>#DIV/0!</v>
      </c>
      <c r="K92" s="220" t="e">
        <f t="shared" si="24"/>
        <v>#DIV/0!</v>
      </c>
      <c r="L92" s="457"/>
      <c r="M92" s="219" t="e">
        <f>RANK(K92, K$147:$K$176)</f>
        <v>#DIV/0!</v>
      </c>
      <c r="N92" s="475"/>
      <c r="O92" s="475"/>
      <c r="P92" s="187"/>
      <c r="Q92" s="187"/>
      <c r="R92" s="187"/>
      <c r="S92" s="351" t="e">
        <f t="shared" si="25"/>
        <v>#N/A</v>
      </c>
      <c r="T92" s="506"/>
      <c r="U92" s="187"/>
      <c r="V92" s="187"/>
      <c r="W92" s="187"/>
      <c r="X92" s="351" t="e">
        <f t="shared" si="26"/>
        <v>#N/A</v>
      </c>
      <c r="Y92" s="506"/>
      <c r="Z92" s="187"/>
      <c r="AA92" s="187"/>
      <c r="AB92" s="187"/>
      <c r="AC92" s="351" t="e">
        <f t="shared" si="27"/>
        <v>#N/A</v>
      </c>
      <c r="AD92" s="506"/>
      <c r="AE92" s="187"/>
      <c r="AF92" s="187"/>
      <c r="AG92" s="187"/>
      <c r="AH92" s="351" t="e">
        <f t="shared" si="28"/>
        <v>#N/A</v>
      </c>
      <c r="AI92" s="506"/>
      <c r="AJ92" s="187"/>
      <c r="AK92" s="187"/>
      <c r="AL92" s="187"/>
      <c r="AM92" s="351" t="e">
        <f t="shared" si="29"/>
        <v>#N/A</v>
      </c>
      <c r="AN92" s="506"/>
      <c r="AO92" s="187"/>
      <c r="AP92" s="187"/>
      <c r="AQ92" s="187"/>
      <c r="AR92" s="351" t="e">
        <f t="shared" si="30"/>
        <v>#N/A</v>
      </c>
      <c r="AS92" s="506"/>
      <c r="AT92" s="351"/>
      <c r="AU92" s="354"/>
      <c r="AV92" s="354"/>
      <c r="AW92" s="351" t="e">
        <f t="shared" si="31"/>
        <v>#N/A</v>
      </c>
      <c r="AX92" s="506"/>
    </row>
    <row r="93" spans="2:50">
      <c r="B93" s="483"/>
      <c r="C93" s="351">
        <v>17</v>
      </c>
      <c r="D93" s="257"/>
      <c r="E93" s="187"/>
      <c r="F93" s="351"/>
      <c r="G93" s="354"/>
      <c r="H93" s="508"/>
      <c r="I93" s="219" t="e">
        <f t="shared" si="22"/>
        <v>#DIV/0!</v>
      </c>
      <c r="J93" s="219" t="e">
        <f t="shared" si="23"/>
        <v>#DIV/0!</v>
      </c>
      <c r="K93" s="220" t="e">
        <f t="shared" si="24"/>
        <v>#DIV/0!</v>
      </c>
      <c r="L93" s="457"/>
      <c r="M93" s="219" t="e">
        <f>RANK(K93, K$147:$K$176)</f>
        <v>#DIV/0!</v>
      </c>
      <c r="N93" s="475"/>
      <c r="O93" s="475"/>
      <c r="P93" s="187"/>
      <c r="Q93" s="187"/>
      <c r="R93" s="187"/>
      <c r="S93" s="351" t="e">
        <f t="shared" si="25"/>
        <v>#N/A</v>
      </c>
      <c r="T93" s="506"/>
      <c r="U93" s="187"/>
      <c r="V93" s="187"/>
      <c r="W93" s="187"/>
      <c r="X93" s="351" t="e">
        <f t="shared" si="26"/>
        <v>#N/A</v>
      </c>
      <c r="Y93" s="506"/>
      <c r="Z93" s="187"/>
      <c r="AA93" s="187"/>
      <c r="AB93" s="187"/>
      <c r="AC93" s="351" t="e">
        <f t="shared" si="27"/>
        <v>#N/A</v>
      </c>
      <c r="AD93" s="506"/>
      <c r="AE93" s="187"/>
      <c r="AF93" s="187"/>
      <c r="AG93" s="187"/>
      <c r="AH93" s="351" t="e">
        <f t="shared" si="28"/>
        <v>#N/A</v>
      </c>
      <c r="AI93" s="506"/>
      <c r="AJ93" s="187"/>
      <c r="AK93" s="187"/>
      <c r="AL93" s="187"/>
      <c r="AM93" s="351" t="e">
        <f t="shared" si="29"/>
        <v>#N/A</v>
      </c>
      <c r="AN93" s="506"/>
      <c r="AO93" s="187"/>
      <c r="AP93" s="187"/>
      <c r="AQ93" s="187"/>
      <c r="AR93" s="351" t="e">
        <f t="shared" si="30"/>
        <v>#N/A</v>
      </c>
      <c r="AS93" s="506"/>
      <c r="AT93" s="351"/>
      <c r="AU93" s="354"/>
      <c r="AV93" s="354"/>
      <c r="AW93" s="351" t="e">
        <f t="shared" si="31"/>
        <v>#N/A</v>
      </c>
      <c r="AX93" s="506"/>
    </row>
    <row r="94" spans="2:50">
      <c r="B94" s="483"/>
      <c r="C94" s="351">
        <v>18</v>
      </c>
      <c r="D94" s="257"/>
      <c r="E94" s="187"/>
      <c r="F94" s="351"/>
      <c r="G94" s="354"/>
      <c r="H94" s="508"/>
      <c r="I94" s="219" t="e">
        <f t="shared" si="22"/>
        <v>#DIV/0!</v>
      </c>
      <c r="J94" s="219" t="e">
        <f t="shared" si="23"/>
        <v>#DIV/0!</v>
      </c>
      <c r="K94" s="220" t="e">
        <f t="shared" si="24"/>
        <v>#DIV/0!</v>
      </c>
      <c r="L94" s="457"/>
      <c r="M94" s="219" t="e">
        <f>RANK(K94, K$147:$K$176)</f>
        <v>#DIV/0!</v>
      </c>
      <c r="N94" s="475"/>
      <c r="O94" s="475"/>
      <c r="P94" s="187"/>
      <c r="Q94" s="187"/>
      <c r="R94" s="187"/>
      <c r="S94" s="351" t="e">
        <f t="shared" si="25"/>
        <v>#N/A</v>
      </c>
      <c r="T94" s="506"/>
      <c r="U94" s="187"/>
      <c r="V94" s="187"/>
      <c r="W94" s="187"/>
      <c r="X94" s="351" t="e">
        <f t="shared" si="26"/>
        <v>#N/A</v>
      </c>
      <c r="Y94" s="506"/>
      <c r="Z94" s="187"/>
      <c r="AA94" s="187"/>
      <c r="AB94" s="187"/>
      <c r="AC94" s="351" t="e">
        <f t="shared" si="27"/>
        <v>#N/A</v>
      </c>
      <c r="AD94" s="506"/>
      <c r="AE94" s="187"/>
      <c r="AF94" s="187"/>
      <c r="AG94" s="187"/>
      <c r="AH94" s="351" t="e">
        <f t="shared" si="28"/>
        <v>#N/A</v>
      </c>
      <c r="AI94" s="506"/>
      <c r="AJ94" s="187"/>
      <c r="AK94" s="187"/>
      <c r="AL94" s="187"/>
      <c r="AM94" s="351" t="e">
        <f t="shared" si="29"/>
        <v>#N/A</v>
      </c>
      <c r="AN94" s="506"/>
      <c r="AO94" s="187"/>
      <c r="AP94" s="187"/>
      <c r="AQ94" s="187"/>
      <c r="AR94" s="351" t="e">
        <f t="shared" si="30"/>
        <v>#N/A</v>
      </c>
      <c r="AS94" s="506"/>
      <c r="AT94" s="351"/>
      <c r="AU94" s="354"/>
      <c r="AV94" s="354"/>
      <c r="AW94" s="351" t="e">
        <f t="shared" si="31"/>
        <v>#N/A</v>
      </c>
      <c r="AX94" s="506"/>
    </row>
    <row r="95" spans="2:50">
      <c r="B95" s="483"/>
      <c r="C95" s="351">
        <v>19</v>
      </c>
      <c r="D95" s="257"/>
      <c r="E95" s="187"/>
      <c r="F95" s="351"/>
      <c r="G95" s="354"/>
      <c r="H95" s="508"/>
      <c r="I95" s="219" t="e">
        <f t="shared" si="22"/>
        <v>#DIV/0!</v>
      </c>
      <c r="J95" s="219" t="e">
        <f t="shared" si="23"/>
        <v>#DIV/0!</v>
      </c>
      <c r="K95" s="220" t="e">
        <f t="shared" si="24"/>
        <v>#DIV/0!</v>
      </c>
      <c r="L95" s="457"/>
      <c r="M95" s="219" t="e">
        <f>RANK(K95, K$147:$K$176)</f>
        <v>#DIV/0!</v>
      </c>
      <c r="N95" s="475"/>
      <c r="O95" s="475"/>
      <c r="P95" s="187"/>
      <c r="Q95" s="187"/>
      <c r="R95" s="187"/>
      <c r="S95" s="351" t="e">
        <f t="shared" si="25"/>
        <v>#N/A</v>
      </c>
      <c r="T95" s="506"/>
      <c r="U95" s="187"/>
      <c r="V95" s="187"/>
      <c r="W95" s="187"/>
      <c r="X95" s="351" t="e">
        <f t="shared" si="26"/>
        <v>#N/A</v>
      </c>
      <c r="Y95" s="506"/>
      <c r="Z95" s="187"/>
      <c r="AA95" s="187"/>
      <c r="AB95" s="187"/>
      <c r="AC95" s="351" t="e">
        <f t="shared" si="27"/>
        <v>#N/A</v>
      </c>
      <c r="AD95" s="506"/>
      <c r="AE95" s="187"/>
      <c r="AF95" s="187"/>
      <c r="AG95" s="187"/>
      <c r="AH95" s="351" t="e">
        <f t="shared" si="28"/>
        <v>#N/A</v>
      </c>
      <c r="AI95" s="506"/>
      <c r="AJ95" s="187"/>
      <c r="AK95" s="187"/>
      <c r="AL95" s="187"/>
      <c r="AM95" s="351" t="e">
        <f t="shared" si="29"/>
        <v>#N/A</v>
      </c>
      <c r="AN95" s="506"/>
      <c r="AO95" s="187"/>
      <c r="AP95" s="187"/>
      <c r="AQ95" s="187"/>
      <c r="AR95" s="351" t="e">
        <f t="shared" si="30"/>
        <v>#N/A</v>
      </c>
      <c r="AS95" s="506"/>
      <c r="AT95" s="351"/>
      <c r="AU95" s="354"/>
      <c r="AV95" s="354"/>
      <c r="AW95" s="351" t="e">
        <f t="shared" si="31"/>
        <v>#N/A</v>
      </c>
      <c r="AX95" s="506"/>
    </row>
    <row r="96" spans="2:50">
      <c r="B96" s="483"/>
      <c r="C96" s="351">
        <v>20</v>
      </c>
      <c r="D96" s="257"/>
      <c r="E96" s="187"/>
      <c r="F96" s="351"/>
      <c r="G96" s="354"/>
      <c r="H96" s="508"/>
      <c r="I96" s="219" t="e">
        <f t="shared" si="22"/>
        <v>#DIV/0!</v>
      </c>
      <c r="J96" s="219" t="e">
        <f t="shared" si="23"/>
        <v>#DIV/0!</v>
      </c>
      <c r="K96" s="220" t="e">
        <f t="shared" si="24"/>
        <v>#DIV/0!</v>
      </c>
      <c r="L96" s="457"/>
      <c r="M96" s="219" t="e">
        <f>RANK(K96, K$147:$K$176)</f>
        <v>#DIV/0!</v>
      </c>
      <c r="N96" s="475"/>
      <c r="O96" s="475"/>
      <c r="P96" s="187"/>
      <c r="Q96" s="187"/>
      <c r="R96" s="187"/>
      <c r="S96" s="351" t="e">
        <f t="shared" si="25"/>
        <v>#N/A</v>
      </c>
      <c r="T96" s="506"/>
      <c r="U96" s="187"/>
      <c r="V96" s="187"/>
      <c r="W96" s="187"/>
      <c r="X96" s="351" t="e">
        <f t="shared" si="26"/>
        <v>#N/A</v>
      </c>
      <c r="Y96" s="506"/>
      <c r="Z96" s="187"/>
      <c r="AA96" s="187"/>
      <c r="AB96" s="187"/>
      <c r="AC96" s="351" t="e">
        <f t="shared" si="27"/>
        <v>#N/A</v>
      </c>
      <c r="AD96" s="506"/>
      <c r="AE96" s="187"/>
      <c r="AF96" s="187"/>
      <c r="AG96" s="187"/>
      <c r="AH96" s="351" t="e">
        <f t="shared" si="28"/>
        <v>#N/A</v>
      </c>
      <c r="AI96" s="506"/>
      <c r="AJ96" s="187"/>
      <c r="AK96" s="187"/>
      <c r="AL96" s="187"/>
      <c r="AM96" s="351" t="e">
        <f t="shared" si="29"/>
        <v>#N/A</v>
      </c>
      <c r="AN96" s="506"/>
      <c r="AO96" s="187"/>
      <c r="AP96" s="187"/>
      <c r="AQ96" s="187"/>
      <c r="AR96" s="351" t="e">
        <f t="shared" si="30"/>
        <v>#N/A</v>
      </c>
      <c r="AS96" s="506"/>
      <c r="AT96" s="351"/>
      <c r="AU96" s="354"/>
      <c r="AV96" s="354"/>
      <c r="AW96" s="351" t="e">
        <f t="shared" si="31"/>
        <v>#N/A</v>
      </c>
      <c r="AX96" s="506"/>
    </row>
    <row r="97" spans="2:50">
      <c r="B97" s="483"/>
      <c r="C97" s="351">
        <v>21</v>
      </c>
      <c r="D97" s="257"/>
      <c r="E97" s="187"/>
      <c r="F97" s="351"/>
      <c r="G97" s="354"/>
      <c r="H97" s="508"/>
      <c r="I97" s="219" t="e">
        <f t="shared" si="22"/>
        <v>#DIV/0!</v>
      </c>
      <c r="J97" s="219" t="e">
        <f t="shared" si="23"/>
        <v>#DIV/0!</v>
      </c>
      <c r="K97" s="220" t="e">
        <f t="shared" si="24"/>
        <v>#DIV/0!</v>
      </c>
      <c r="L97" s="457"/>
      <c r="M97" s="219" t="e">
        <f>RANK(K97, K$147:$K$176)</f>
        <v>#DIV/0!</v>
      </c>
      <c r="N97" s="475"/>
      <c r="O97" s="475"/>
      <c r="P97" s="187"/>
      <c r="Q97" s="187"/>
      <c r="R97" s="187"/>
      <c r="S97" s="351" t="e">
        <f t="shared" si="25"/>
        <v>#N/A</v>
      </c>
      <c r="T97" s="506"/>
      <c r="U97" s="187"/>
      <c r="V97" s="187"/>
      <c r="W97" s="187"/>
      <c r="X97" s="351" t="e">
        <f t="shared" si="26"/>
        <v>#N/A</v>
      </c>
      <c r="Y97" s="506"/>
      <c r="Z97" s="187"/>
      <c r="AA97" s="187"/>
      <c r="AB97" s="187"/>
      <c r="AC97" s="351" t="e">
        <f t="shared" si="27"/>
        <v>#N/A</v>
      </c>
      <c r="AD97" s="506"/>
      <c r="AE97" s="187"/>
      <c r="AF97" s="187"/>
      <c r="AG97" s="187"/>
      <c r="AH97" s="351" t="e">
        <f t="shared" si="28"/>
        <v>#N/A</v>
      </c>
      <c r="AI97" s="506"/>
      <c r="AJ97" s="187"/>
      <c r="AK97" s="187"/>
      <c r="AL97" s="187"/>
      <c r="AM97" s="351" t="e">
        <f t="shared" si="29"/>
        <v>#N/A</v>
      </c>
      <c r="AN97" s="506"/>
      <c r="AO97" s="187"/>
      <c r="AP97" s="187"/>
      <c r="AQ97" s="187"/>
      <c r="AR97" s="351" t="e">
        <f t="shared" si="30"/>
        <v>#N/A</v>
      </c>
      <c r="AS97" s="506"/>
      <c r="AT97" s="351"/>
      <c r="AU97" s="354"/>
      <c r="AV97" s="354"/>
      <c r="AW97" s="351" t="e">
        <f t="shared" si="31"/>
        <v>#N/A</v>
      </c>
      <c r="AX97" s="506"/>
    </row>
    <row r="98" spans="2:50">
      <c r="B98" s="483"/>
      <c r="C98" s="351">
        <v>22</v>
      </c>
      <c r="D98" s="257"/>
      <c r="E98" s="187"/>
      <c r="F98" s="351"/>
      <c r="G98" s="354"/>
      <c r="H98" s="508"/>
      <c r="I98" s="219" t="e">
        <f t="shared" si="22"/>
        <v>#DIV/0!</v>
      </c>
      <c r="J98" s="219" t="e">
        <f t="shared" si="23"/>
        <v>#DIV/0!</v>
      </c>
      <c r="K98" s="220" t="e">
        <f t="shared" si="24"/>
        <v>#DIV/0!</v>
      </c>
      <c r="L98" s="457"/>
      <c r="M98" s="219" t="e">
        <f>RANK(K98, K$147:$K$176)</f>
        <v>#DIV/0!</v>
      </c>
      <c r="N98" s="475"/>
      <c r="O98" s="475"/>
      <c r="P98" s="187"/>
      <c r="Q98" s="187"/>
      <c r="R98" s="187"/>
      <c r="S98" s="351" t="e">
        <f t="shared" si="25"/>
        <v>#N/A</v>
      </c>
      <c r="T98" s="506"/>
      <c r="U98" s="187"/>
      <c r="V98" s="187"/>
      <c r="W98" s="187"/>
      <c r="X98" s="351" t="e">
        <f t="shared" si="26"/>
        <v>#N/A</v>
      </c>
      <c r="Y98" s="506"/>
      <c r="Z98" s="187"/>
      <c r="AA98" s="187"/>
      <c r="AB98" s="187"/>
      <c r="AC98" s="351" t="e">
        <f t="shared" si="27"/>
        <v>#N/A</v>
      </c>
      <c r="AD98" s="506"/>
      <c r="AE98" s="187"/>
      <c r="AF98" s="187"/>
      <c r="AG98" s="187"/>
      <c r="AH98" s="351" t="e">
        <f t="shared" si="28"/>
        <v>#N/A</v>
      </c>
      <c r="AI98" s="506"/>
      <c r="AJ98" s="187"/>
      <c r="AK98" s="187"/>
      <c r="AL98" s="187"/>
      <c r="AM98" s="351" t="e">
        <f t="shared" si="29"/>
        <v>#N/A</v>
      </c>
      <c r="AN98" s="506"/>
      <c r="AO98" s="187"/>
      <c r="AP98" s="187"/>
      <c r="AQ98" s="187"/>
      <c r="AR98" s="351" t="e">
        <f t="shared" si="30"/>
        <v>#N/A</v>
      </c>
      <c r="AS98" s="506"/>
      <c r="AT98" s="351"/>
      <c r="AU98" s="354"/>
      <c r="AV98" s="354"/>
      <c r="AW98" s="351" t="e">
        <f t="shared" si="31"/>
        <v>#N/A</v>
      </c>
      <c r="AX98" s="506"/>
    </row>
    <row r="99" spans="2:50">
      <c r="B99" s="483"/>
      <c r="C99" s="351">
        <v>23</v>
      </c>
      <c r="D99" s="257"/>
      <c r="E99" s="187"/>
      <c r="F99" s="351"/>
      <c r="G99" s="354"/>
      <c r="H99" s="508"/>
      <c r="I99" s="219" t="e">
        <f t="shared" si="22"/>
        <v>#DIV/0!</v>
      </c>
      <c r="J99" s="219" t="e">
        <f t="shared" si="23"/>
        <v>#DIV/0!</v>
      </c>
      <c r="K99" s="220" t="e">
        <f t="shared" si="24"/>
        <v>#DIV/0!</v>
      </c>
      <c r="L99" s="457"/>
      <c r="M99" s="219" t="e">
        <f>RANK(K99, K$147:$K$176)</f>
        <v>#DIV/0!</v>
      </c>
      <c r="N99" s="475"/>
      <c r="O99" s="475"/>
      <c r="P99" s="187"/>
      <c r="Q99" s="187"/>
      <c r="R99" s="187"/>
      <c r="S99" s="351" t="e">
        <f t="shared" si="25"/>
        <v>#N/A</v>
      </c>
      <c r="T99" s="506"/>
      <c r="U99" s="187"/>
      <c r="V99" s="187"/>
      <c r="W99" s="187"/>
      <c r="X99" s="351" t="e">
        <f t="shared" si="26"/>
        <v>#N/A</v>
      </c>
      <c r="Y99" s="506"/>
      <c r="Z99" s="187"/>
      <c r="AA99" s="187"/>
      <c r="AB99" s="187"/>
      <c r="AC99" s="351" t="e">
        <f t="shared" si="27"/>
        <v>#N/A</v>
      </c>
      <c r="AD99" s="506"/>
      <c r="AE99" s="187"/>
      <c r="AF99" s="187"/>
      <c r="AG99" s="187"/>
      <c r="AH99" s="351" t="e">
        <f t="shared" si="28"/>
        <v>#N/A</v>
      </c>
      <c r="AI99" s="506"/>
      <c r="AJ99" s="187"/>
      <c r="AK99" s="187"/>
      <c r="AL99" s="187"/>
      <c r="AM99" s="351" t="e">
        <f t="shared" si="29"/>
        <v>#N/A</v>
      </c>
      <c r="AN99" s="506"/>
      <c r="AO99" s="187"/>
      <c r="AP99" s="187"/>
      <c r="AQ99" s="187"/>
      <c r="AR99" s="351" t="e">
        <f t="shared" si="30"/>
        <v>#N/A</v>
      </c>
      <c r="AS99" s="506"/>
      <c r="AT99" s="351"/>
      <c r="AU99" s="354"/>
      <c r="AV99" s="354"/>
      <c r="AW99" s="351" t="e">
        <f t="shared" si="31"/>
        <v>#N/A</v>
      </c>
      <c r="AX99" s="506"/>
    </row>
    <row r="100" spans="2:50">
      <c r="B100" s="483"/>
      <c r="C100" s="351">
        <v>24</v>
      </c>
      <c r="D100" s="257"/>
      <c r="E100" s="187"/>
      <c r="F100" s="351"/>
      <c r="G100" s="354"/>
      <c r="H100" s="508"/>
      <c r="I100" s="219" t="e">
        <f t="shared" si="22"/>
        <v>#DIV/0!</v>
      </c>
      <c r="J100" s="219" t="e">
        <f t="shared" si="23"/>
        <v>#DIV/0!</v>
      </c>
      <c r="K100" s="220" t="e">
        <f t="shared" si="24"/>
        <v>#DIV/0!</v>
      </c>
      <c r="L100" s="457"/>
      <c r="M100" s="219" t="e">
        <f>RANK(K100, K$147:$K$176)</f>
        <v>#DIV/0!</v>
      </c>
      <c r="N100" s="475"/>
      <c r="O100" s="475"/>
      <c r="P100" s="187"/>
      <c r="Q100" s="187"/>
      <c r="R100" s="187"/>
      <c r="S100" s="351" t="e">
        <f t="shared" si="25"/>
        <v>#N/A</v>
      </c>
      <c r="T100" s="506"/>
      <c r="U100" s="187"/>
      <c r="V100" s="187"/>
      <c r="W100" s="187"/>
      <c r="X100" s="351" t="e">
        <f t="shared" si="26"/>
        <v>#N/A</v>
      </c>
      <c r="Y100" s="506"/>
      <c r="Z100" s="187"/>
      <c r="AA100" s="187"/>
      <c r="AB100" s="187"/>
      <c r="AC100" s="351" t="e">
        <f t="shared" si="27"/>
        <v>#N/A</v>
      </c>
      <c r="AD100" s="506"/>
      <c r="AE100" s="187"/>
      <c r="AF100" s="187"/>
      <c r="AG100" s="187"/>
      <c r="AH100" s="351" t="e">
        <f t="shared" si="28"/>
        <v>#N/A</v>
      </c>
      <c r="AI100" s="506"/>
      <c r="AJ100" s="187"/>
      <c r="AK100" s="187"/>
      <c r="AL100" s="187"/>
      <c r="AM100" s="351" t="e">
        <f t="shared" si="29"/>
        <v>#N/A</v>
      </c>
      <c r="AN100" s="506"/>
      <c r="AO100" s="187"/>
      <c r="AP100" s="187"/>
      <c r="AQ100" s="187"/>
      <c r="AR100" s="351" t="e">
        <f t="shared" si="30"/>
        <v>#N/A</v>
      </c>
      <c r="AS100" s="506"/>
      <c r="AT100" s="351"/>
      <c r="AU100" s="354"/>
      <c r="AV100" s="354"/>
      <c r="AW100" s="351" t="e">
        <f t="shared" si="31"/>
        <v>#N/A</v>
      </c>
      <c r="AX100" s="506"/>
    </row>
    <row r="101" spans="2:50">
      <c r="B101" s="483"/>
      <c r="C101" s="351">
        <v>25</v>
      </c>
      <c r="D101" s="257"/>
      <c r="E101" s="187"/>
      <c r="F101" s="351"/>
      <c r="G101" s="354"/>
      <c r="H101" s="508"/>
      <c r="I101" s="219"/>
      <c r="J101" s="219"/>
      <c r="K101" s="220"/>
      <c r="L101" s="457"/>
      <c r="M101" s="219" t="e">
        <f>RANK(K101, K$147:$K$176)</f>
        <v>#DIV/0!</v>
      </c>
      <c r="N101" s="475"/>
      <c r="O101" s="475"/>
      <c r="P101" s="351"/>
      <c r="Q101" s="354"/>
      <c r="R101" s="354"/>
      <c r="S101" s="351" t="e">
        <f t="shared" si="25"/>
        <v>#N/A</v>
      </c>
      <c r="T101" s="506"/>
      <c r="U101" s="351"/>
      <c r="V101" s="354"/>
      <c r="W101" s="354"/>
      <c r="X101" s="351" t="e">
        <f t="shared" si="26"/>
        <v>#N/A</v>
      </c>
      <c r="Y101" s="506"/>
      <c r="Z101" s="351"/>
      <c r="AA101" s="354"/>
      <c r="AB101" s="354"/>
      <c r="AC101" s="351" t="e">
        <f t="shared" si="27"/>
        <v>#N/A</v>
      </c>
      <c r="AD101" s="506"/>
      <c r="AE101" s="351"/>
      <c r="AF101" s="354"/>
      <c r="AG101" s="354"/>
      <c r="AH101" s="351" t="e">
        <f t="shared" si="28"/>
        <v>#N/A</v>
      </c>
      <c r="AI101" s="506"/>
      <c r="AJ101" s="351"/>
      <c r="AK101" s="354"/>
      <c r="AL101" s="354"/>
      <c r="AM101" s="351" t="e">
        <f t="shared" si="29"/>
        <v>#N/A</v>
      </c>
      <c r="AN101" s="506"/>
      <c r="AO101" s="351"/>
      <c r="AP101" s="354"/>
      <c r="AQ101" s="354"/>
      <c r="AR101" s="351" t="e">
        <f t="shared" si="30"/>
        <v>#N/A</v>
      </c>
      <c r="AS101" s="506"/>
      <c r="AT101" s="351"/>
      <c r="AU101" s="354"/>
      <c r="AV101" s="354"/>
      <c r="AW101" s="351" t="e">
        <f t="shared" si="31"/>
        <v>#N/A</v>
      </c>
      <c r="AX101" s="506"/>
    </row>
    <row r="102" spans="2:50">
      <c r="B102" s="483"/>
      <c r="C102" s="351">
        <v>26</v>
      </c>
      <c r="D102" s="257"/>
      <c r="E102" s="187"/>
      <c r="F102" s="351"/>
      <c r="G102" s="354"/>
      <c r="H102" s="508"/>
      <c r="I102" s="219"/>
      <c r="J102" s="219"/>
      <c r="K102" s="220"/>
      <c r="L102" s="457"/>
      <c r="M102" s="219" t="e">
        <f>RANK(K102, K$147:$K$176)</f>
        <v>#DIV/0!</v>
      </c>
      <c r="N102" s="475"/>
      <c r="O102" s="475"/>
      <c r="P102" s="351"/>
      <c r="Q102" s="354"/>
      <c r="R102" s="354"/>
      <c r="S102" s="351" t="e">
        <f t="shared" si="25"/>
        <v>#N/A</v>
      </c>
      <c r="T102" s="506"/>
      <c r="U102" s="351"/>
      <c r="V102" s="354"/>
      <c r="W102" s="354"/>
      <c r="X102" s="351" t="e">
        <f t="shared" si="26"/>
        <v>#N/A</v>
      </c>
      <c r="Y102" s="506"/>
      <c r="Z102" s="351"/>
      <c r="AA102" s="354"/>
      <c r="AB102" s="354"/>
      <c r="AC102" s="351" t="e">
        <f t="shared" si="27"/>
        <v>#N/A</v>
      </c>
      <c r="AD102" s="506"/>
      <c r="AE102" s="351"/>
      <c r="AF102" s="354"/>
      <c r="AG102" s="354"/>
      <c r="AH102" s="351" t="e">
        <f t="shared" si="28"/>
        <v>#N/A</v>
      </c>
      <c r="AI102" s="506"/>
      <c r="AJ102" s="351"/>
      <c r="AK102" s="354"/>
      <c r="AL102" s="354"/>
      <c r="AM102" s="351" t="e">
        <f t="shared" si="29"/>
        <v>#N/A</v>
      </c>
      <c r="AN102" s="506"/>
      <c r="AO102" s="351"/>
      <c r="AP102" s="354"/>
      <c r="AQ102" s="354"/>
      <c r="AR102" s="351" t="e">
        <f t="shared" si="30"/>
        <v>#N/A</v>
      </c>
      <c r="AS102" s="506"/>
      <c r="AT102" s="351"/>
      <c r="AU102" s="354"/>
      <c r="AV102" s="354"/>
      <c r="AW102" s="351" t="e">
        <f t="shared" si="31"/>
        <v>#N/A</v>
      </c>
      <c r="AX102" s="506"/>
    </row>
    <row r="103" spans="2:50">
      <c r="B103" s="483"/>
      <c r="C103" s="351">
        <v>27</v>
      </c>
      <c r="D103" s="257"/>
      <c r="E103" s="187"/>
      <c r="F103" s="351"/>
      <c r="G103" s="354"/>
      <c r="H103" s="508"/>
      <c r="I103" s="219"/>
      <c r="J103" s="219"/>
      <c r="K103" s="220"/>
      <c r="L103" s="457"/>
      <c r="M103" s="219" t="e">
        <f>RANK(K103, K$147:$K$176)</f>
        <v>#DIV/0!</v>
      </c>
      <c r="N103" s="475"/>
      <c r="O103" s="475"/>
      <c r="P103" s="351"/>
      <c r="Q103" s="354"/>
      <c r="R103" s="354"/>
      <c r="S103" s="351" t="e">
        <f t="shared" si="25"/>
        <v>#N/A</v>
      </c>
      <c r="T103" s="506"/>
      <c r="U103" s="351"/>
      <c r="V103" s="354"/>
      <c r="W103" s="354"/>
      <c r="X103" s="351" t="e">
        <f t="shared" si="26"/>
        <v>#N/A</v>
      </c>
      <c r="Y103" s="506"/>
      <c r="Z103" s="351"/>
      <c r="AA103" s="354"/>
      <c r="AB103" s="354"/>
      <c r="AC103" s="351" t="e">
        <f t="shared" si="27"/>
        <v>#N/A</v>
      </c>
      <c r="AD103" s="506"/>
      <c r="AE103" s="351"/>
      <c r="AF103" s="354"/>
      <c r="AG103" s="354"/>
      <c r="AH103" s="351" t="e">
        <f t="shared" si="28"/>
        <v>#N/A</v>
      </c>
      <c r="AI103" s="506"/>
      <c r="AJ103" s="351"/>
      <c r="AK103" s="354"/>
      <c r="AL103" s="354"/>
      <c r="AM103" s="351" t="e">
        <f t="shared" si="29"/>
        <v>#N/A</v>
      </c>
      <c r="AN103" s="506"/>
      <c r="AO103" s="351"/>
      <c r="AP103" s="354"/>
      <c r="AQ103" s="354"/>
      <c r="AR103" s="351" t="e">
        <f t="shared" si="30"/>
        <v>#N/A</v>
      </c>
      <c r="AS103" s="506"/>
      <c r="AT103" s="351"/>
      <c r="AU103" s="354"/>
      <c r="AV103" s="354"/>
      <c r="AW103" s="351" t="e">
        <f t="shared" si="31"/>
        <v>#N/A</v>
      </c>
      <c r="AX103" s="506"/>
    </row>
    <row r="104" spans="2:50">
      <c r="B104" s="483"/>
      <c r="C104" s="351">
        <v>28</v>
      </c>
      <c r="D104" s="257"/>
      <c r="E104" s="187"/>
      <c r="F104" s="351"/>
      <c r="G104" s="354"/>
      <c r="H104" s="508"/>
      <c r="I104" s="219"/>
      <c r="J104" s="219"/>
      <c r="K104" s="220"/>
      <c r="L104" s="457"/>
      <c r="M104" s="219" t="e">
        <f>RANK(K104, K$147:$K$176)</f>
        <v>#DIV/0!</v>
      </c>
      <c r="N104" s="475"/>
      <c r="O104" s="475"/>
      <c r="P104" s="351"/>
      <c r="Q104" s="354"/>
      <c r="R104" s="354"/>
      <c r="S104" s="351" t="e">
        <f t="shared" si="25"/>
        <v>#N/A</v>
      </c>
      <c r="T104" s="506"/>
      <c r="U104" s="351"/>
      <c r="V104" s="354"/>
      <c r="W104" s="354"/>
      <c r="X104" s="351" t="e">
        <f t="shared" si="26"/>
        <v>#N/A</v>
      </c>
      <c r="Y104" s="506"/>
      <c r="Z104" s="351"/>
      <c r="AA104" s="354"/>
      <c r="AB104" s="354"/>
      <c r="AC104" s="351" t="e">
        <f t="shared" si="27"/>
        <v>#N/A</v>
      </c>
      <c r="AD104" s="506"/>
      <c r="AE104" s="351"/>
      <c r="AF104" s="354"/>
      <c r="AG104" s="354"/>
      <c r="AH104" s="351" t="e">
        <f t="shared" si="28"/>
        <v>#N/A</v>
      </c>
      <c r="AI104" s="506"/>
      <c r="AJ104" s="351"/>
      <c r="AK104" s="354"/>
      <c r="AL104" s="354"/>
      <c r="AM104" s="351" t="e">
        <f t="shared" si="29"/>
        <v>#N/A</v>
      </c>
      <c r="AN104" s="506"/>
      <c r="AO104" s="351"/>
      <c r="AP104" s="354"/>
      <c r="AQ104" s="354"/>
      <c r="AR104" s="351" t="e">
        <f t="shared" si="30"/>
        <v>#N/A</v>
      </c>
      <c r="AS104" s="506"/>
      <c r="AT104" s="351"/>
      <c r="AU104" s="354"/>
      <c r="AV104" s="354"/>
      <c r="AW104" s="351" t="e">
        <f t="shared" si="31"/>
        <v>#N/A</v>
      </c>
      <c r="AX104" s="506"/>
    </row>
    <row r="105" spans="2:50">
      <c r="B105" s="483"/>
      <c r="C105" s="351">
        <v>29</v>
      </c>
      <c r="D105" s="257"/>
      <c r="E105" s="187"/>
      <c r="F105" s="351"/>
      <c r="G105" s="354"/>
      <c r="H105" s="508"/>
      <c r="I105" s="222"/>
      <c r="J105" s="222"/>
      <c r="K105" s="222"/>
      <c r="L105" s="457"/>
      <c r="M105" s="219" t="e">
        <f>RANK(K105, K$147:$K$176)</f>
        <v>#DIV/0!</v>
      </c>
      <c r="N105" s="475"/>
      <c r="O105" s="475"/>
      <c r="P105" s="351"/>
      <c r="Q105" s="351"/>
      <c r="R105" s="351"/>
      <c r="S105" s="351" t="e">
        <f t="shared" si="25"/>
        <v>#N/A</v>
      </c>
      <c r="T105" s="506"/>
      <c r="U105" s="351"/>
      <c r="V105" s="351"/>
      <c r="W105" s="351"/>
      <c r="X105" s="351" t="e">
        <f t="shared" si="26"/>
        <v>#N/A</v>
      </c>
      <c r="Y105" s="506"/>
      <c r="Z105" s="351"/>
      <c r="AA105" s="351"/>
      <c r="AB105" s="351"/>
      <c r="AC105" s="351" t="e">
        <f t="shared" si="27"/>
        <v>#N/A</v>
      </c>
      <c r="AD105" s="506"/>
      <c r="AE105" s="351"/>
      <c r="AF105" s="351"/>
      <c r="AG105" s="351"/>
      <c r="AH105" s="351" t="e">
        <f t="shared" si="28"/>
        <v>#N/A</v>
      </c>
      <c r="AI105" s="506"/>
      <c r="AJ105" s="351"/>
      <c r="AK105" s="351"/>
      <c r="AL105" s="351"/>
      <c r="AM105" s="351" t="e">
        <f t="shared" si="29"/>
        <v>#N/A</v>
      </c>
      <c r="AN105" s="506"/>
      <c r="AO105" s="351"/>
      <c r="AP105" s="351"/>
      <c r="AQ105" s="351"/>
      <c r="AR105" s="351" t="e">
        <f t="shared" si="30"/>
        <v>#N/A</v>
      </c>
      <c r="AS105" s="506"/>
      <c r="AT105" s="351"/>
      <c r="AU105" s="351"/>
      <c r="AV105" s="351"/>
      <c r="AW105" s="351" t="e">
        <f t="shared" si="31"/>
        <v>#N/A</v>
      </c>
      <c r="AX105" s="506"/>
    </row>
    <row r="106" spans="2:50">
      <c r="B106" s="483"/>
      <c r="C106" s="351">
        <v>30</v>
      </c>
      <c r="D106" s="257"/>
      <c r="E106" s="187"/>
      <c r="F106" s="351"/>
      <c r="G106" s="354"/>
      <c r="H106" s="509"/>
      <c r="I106" s="222"/>
      <c r="J106" s="222"/>
      <c r="K106" s="222"/>
      <c r="L106" s="458"/>
      <c r="M106" s="219" t="e">
        <f>RANK(K106, K$147:$K$176)</f>
        <v>#DIV/0!</v>
      </c>
      <c r="N106" s="475"/>
      <c r="O106" s="475"/>
      <c r="P106" s="351"/>
      <c r="Q106" s="351"/>
      <c r="R106" s="351"/>
      <c r="S106" s="351" t="e">
        <f t="shared" si="25"/>
        <v>#N/A</v>
      </c>
      <c r="T106" s="506"/>
      <c r="U106" s="351"/>
      <c r="V106" s="351"/>
      <c r="W106" s="351"/>
      <c r="X106" s="351" t="e">
        <f t="shared" si="26"/>
        <v>#N/A</v>
      </c>
      <c r="Y106" s="506"/>
      <c r="Z106" s="351"/>
      <c r="AA106" s="351"/>
      <c r="AB106" s="351"/>
      <c r="AC106" s="351" t="e">
        <f t="shared" si="27"/>
        <v>#N/A</v>
      </c>
      <c r="AD106" s="506"/>
      <c r="AE106" s="351"/>
      <c r="AF106" s="351"/>
      <c r="AG106" s="351"/>
      <c r="AH106" s="351" t="e">
        <f t="shared" si="28"/>
        <v>#N/A</v>
      </c>
      <c r="AI106" s="506"/>
      <c r="AJ106" s="351"/>
      <c r="AK106" s="351"/>
      <c r="AL106" s="351"/>
      <c r="AM106" s="351" t="e">
        <f t="shared" si="29"/>
        <v>#N/A</v>
      </c>
      <c r="AN106" s="506"/>
      <c r="AO106" s="351"/>
      <c r="AP106" s="351"/>
      <c r="AQ106" s="351"/>
      <c r="AR106" s="351" t="e">
        <f t="shared" si="30"/>
        <v>#N/A</v>
      </c>
      <c r="AS106" s="506"/>
      <c r="AT106" s="351"/>
      <c r="AU106" s="351"/>
      <c r="AV106" s="351"/>
      <c r="AW106" s="351" t="e">
        <f t="shared" si="31"/>
        <v>#N/A</v>
      </c>
      <c r="AX106" s="506"/>
    </row>
    <row r="107" spans="2:50" ht="15.75">
      <c r="B107" s="487" t="s">
        <v>172</v>
      </c>
      <c r="C107" s="488"/>
      <c r="D107" s="488"/>
      <c r="E107" s="488"/>
      <c r="F107" s="488"/>
      <c r="G107" s="488"/>
      <c r="H107" s="489"/>
      <c r="I107" s="228"/>
      <c r="J107" s="228"/>
      <c r="K107" s="228"/>
      <c r="L107" s="228"/>
      <c r="M107" s="227"/>
      <c r="N107" s="476" t="s">
        <v>164</v>
      </c>
      <c r="O107" s="476" t="s">
        <v>105</v>
      </c>
      <c r="P107" s="482">
        <f>P72+7</f>
        <v>45916</v>
      </c>
      <c r="Q107" s="483"/>
      <c r="R107" s="483"/>
      <c r="S107" s="483"/>
      <c r="T107" s="483"/>
      <c r="U107" s="479">
        <f>P107+1</f>
        <v>45917</v>
      </c>
      <c r="V107" s="480"/>
      <c r="W107" s="480"/>
      <c r="X107" s="480"/>
      <c r="Y107" s="481"/>
      <c r="Z107" s="479">
        <f>U107+1</f>
        <v>45918</v>
      </c>
      <c r="AA107" s="480"/>
      <c r="AB107" s="480"/>
      <c r="AC107" s="480"/>
      <c r="AD107" s="481"/>
      <c r="AE107" s="479">
        <f t="shared" ref="AE107" si="32">Z107+1</f>
        <v>45919</v>
      </c>
      <c r="AF107" s="480"/>
      <c r="AG107" s="480"/>
      <c r="AH107" s="480"/>
      <c r="AI107" s="481"/>
      <c r="AJ107" s="479">
        <f t="shared" ref="AJ107" si="33">AE107+1</f>
        <v>45920</v>
      </c>
      <c r="AK107" s="480"/>
      <c r="AL107" s="480"/>
      <c r="AM107" s="480"/>
      <c r="AN107" s="481"/>
      <c r="AO107" s="479">
        <f t="shared" ref="AO107" si="34">AJ107+1</f>
        <v>45921</v>
      </c>
      <c r="AP107" s="480"/>
      <c r="AQ107" s="480"/>
      <c r="AR107" s="480"/>
      <c r="AS107" s="481"/>
      <c r="AT107" s="479">
        <f t="shared" ref="AT107" si="35">AO107+1</f>
        <v>45922</v>
      </c>
      <c r="AU107" s="480"/>
      <c r="AV107" s="480"/>
      <c r="AW107" s="480"/>
      <c r="AX107" s="481"/>
    </row>
    <row r="108" spans="2:50" ht="15.75">
      <c r="B108" s="490"/>
      <c r="C108" s="490"/>
      <c r="D108" s="490"/>
      <c r="E108" s="490"/>
      <c r="F108" s="490"/>
      <c r="G108" s="490"/>
      <c r="H108" s="490"/>
      <c r="I108" s="225"/>
      <c r="J108" s="225"/>
      <c r="K108" s="225"/>
      <c r="L108" s="225"/>
      <c r="M108" s="226"/>
      <c r="N108" s="478"/>
      <c r="O108" s="478"/>
      <c r="P108" s="482" t="s">
        <v>393</v>
      </c>
      <c r="Q108" s="483"/>
      <c r="R108" s="483"/>
      <c r="S108" s="483"/>
      <c r="T108" s="483"/>
      <c r="U108" s="482" t="s">
        <v>394</v>
      </c>
      <c r="V108" s="483"/>
      <c r="W108" s="483"/>
      <c r="X108" s="483"/>
      <c r="Y108" s="483"/>
      <c r="Z108" s="482" t="s">
        <v>395</v>
      </c>
      <c r="AA108" s="483"/>
      <c r="AB108" s="483"/>
      <c r="AC108" s="483"/>
      <c r="AD108" s="483"/>
      <c r="AE108" s="482" t="s">
        <v>396</v>
      </c>
      <c r="AF108" s="483"/>
      <c r="AG108" s="483"/>
      <c r="AH108" s="483"/>
      <c r="AI108" s="483"/>
      <c r="AJ108" s="482" t="s">
        <v>397</v>
      </c>
      <c r="AK108" s="483"/>
      <c r="AL108" s="483"/>
      <c r="AM108" s="483"/>
      <c r="AN108" s="483"/>
      <c r="AO108" s="482" t="s">
        <v>398</v>
      </c>
      <c r="AP108" s="483"/>
      <c r="AQ108" s="483"/>
      <c r="AR108" s="483"/>
      <c r="AS108" s="483"/>
      <c r="AT108" s="482" t="s">
        <v>399</v>
      </c>
      <c r="AU108" s="483"/>
      <c r="AV108" s="483"/>
      <c r="AW108" s="483"/>
      <c r="AX108" s="483"/>
    </row>
    <row r="109" spans="2:50">
      <c r="B109" s="475" t="s">
        <v>726</v>
      </c>
      <c r="C109" s="475" t="s">
        <v>727</v>
      </c>
      <c r="D109" s="475"/>
      <c r="E109" s="475" t="s">
        <v>728</v>
      </c>
      <c r="F109" s="475"/>
      <c r="G109" s="475"/>
      <c r="H109" s="491" t="s">
        <v>729</v>
      </c>
      <c r="I109" s="459" t="s">
        <v>730</v>
      </c>
      <c r="J109" s="459"/>
      <c r="K109" s="459"/>
      <c r="L109" s="460" t="s">
        <v>729</v>
      </c>
      <c r="M109" s="466" t="s">
        <v>731</v>
      </c>
      <c r="N109" s="475"/>
      <c r="O109" s="475" t="s">
        <v>732</v>
      </c>
      <c r="P109" s="472" t="s">
        <v>733</v>
      </c>
      <c r="Q109" s="473"/>
      <c r="R109" s="473"/>
      <c r="S109" s="474"/>
      <c r="T109" s="475" t="s">
        <v>729</v>
      </c>
      <c r="U109" s="472" t="s">
        <v>733</v>
      </c>
      <c r="V109" s="473"/>
      <c r="W109" s="473"/>
      <c r="X109" s="474"/>
      <c r="Y109" s="475" t="s">
        <v>729</v>
      </c>
      <c r="Z109" s="472" t="s">
        <v>733</v>
      </c>
      <c r="AA109" s="473"/>
      <c r="AB109" s="473"/>
      <c r="AC109" s="474"/>
      <c r="AD109" s="475" t="s">
        <v>729</v>
      </c>
      <c r="AE109" s="472" t="s">
        <v>733</v>
      </c>
      <c r="AF109" s="473"/>
      <c r="AG109" s="473"/>
      <c r="AH109" s="474"/>
      <c r="AI109" s="475" t="s">
        <v>729</v>
      </c>
      <c r="AJ109" s="472" t="s">
        <v>733</v>
      </c>
      <c r="AK109" s="473"/>
      <c r="AL109" s="473"/>
      <c r="AM109" s="474"/>
      <c r="AN109" s="475" t="s">
        <v>729</v>
      </c>
      <c r="AO109" s="472" t="s">
        <v>733</v>
      </c>
      <c r="AP109" s="473"/>
      <c r="AQ109" s="473"/>
      <c r="AR109" s="474"/>
      <c r="AS109" s="475" t="s">
        <v>729</v>
      </c>
      <c r="AT109" s="472" t="s">
        <v>733</v>
      </c>
      <c r="AU109" s="473"/>
      <c r="AV109" s="473"/>
      <c r="AW109" s="474"/>
      <c r="AX109" s="475" t="s">
        <v>729</v>
      </c>
    </row>
    <row r="110" spans="2:50">
      <c r="B110" s="475"/>
      <c r="C110" s="475"/>
      <c r="D110" s="475"/>
      <c r="E110" s="475" t="s">
        <v>734</v>
      </c>
      <c r="F110" s="475"/>
      <c r="G110" s="475"/>
      <c r="H110" s="492"/>
      <c r="I110" s="459" t="s">
        <v>734</v>
      </c>
      <c r="J110" s="459"/>
      <c r="K110" s="459"/>
      <c r="L110" s="461"/>
      <c r="M110" s="467"/>
      <c r="N110" s="475"/>
      <c r="O110" s="475"/>
      <c r="P110" s="472" t="s">
        <v>735</v>
      </c>
      <c r="Q110" s="473"/>
      <c r="R110" s="473"/>
      <c r="S110" s="474"/>
      <c r="T110" s="475"/>
      <c r="U110" s="472" t="s">
        <v>735</v>
      </c>
      <c r="V110" s="473"/>
      <c r="W110" s="473"/>
      <c r="X110" s="474"/>
      <c r="Y110" s="475"/>
      <c r="Z110" s="472" t="s">
        <v>735</v>
      </c>
      <c r="AA110" s="473"/>
      <c r="AB110" s="473"/>
      <c r="AC110" s="474"/>
      <c r="AD110" s="475"/>
      <c r="AE110" s="472" t="s">
        <v>735</v>
      </c>
      <c r="AF110" s="473"/>
      <c r="AG110" s="473"/>
      <c r="AH110" s="474"/>
      <c r="AI110" s="475"/>
      <c r="AJ110" s="472" t="s">
        <v>735</v>
      </c>
      <c r="AK110" s="473"/>
      <c r="AL110" s="473"/>
      <c r="AM110" s="474"/>
      <c r="AN110" s="475"/>
      <c r="AO110" s="472" t="s">
        <v>735</v>
      </c>
      <c r="AP110" s="473"/>
      <c r="AQ110" s="473"/>
      <c r="AR110" s="474"/>
      <c r="AS110" s="475"/>
      <c r="AT110" s="472" t="s">
        <v>735</v>
      </c>
      <c r="AU110" s="473"/>
      <c r="AV110" s="473"/>
      <c r="AW110" s="474"/>
      <c r="AX110" s="475"/>
    </row>
    <row r="111" spans="2:50">
      <c r="B111" s="475"/>
      <c r="C111" s="475"/>
      <c r="D111" s="475"/>
      <c r="E111" s="350" t="s">
        <v>736</v>
      </c>
      <c r="F111" s="350" t="s">
        <v>737</v>
      </c>
      <c r="G111" s="350" t="s">
        <v>738</v>
      </c>
      <c r="H111" s="493"/>
      <c r="I111" s="349" t="s">
        <v>736</v>
      </c>
      <c r="J111" s="349" t="s">
        <v>737</v>
      </c>
      <c r="K111" s="349" t="s">
        <v>738</v>
      </c>
      <c r="L111" s="462"/>
      <c r="M111" s="468"/>
      <c r="N111" s="475"/>
      <c r="O111" s="475"/>
      <c r="P111" s="350" t="s">
        <v>736</v>
      </c>
      <c r="Q111" s="350" t="s">
        <v>737</v>
      </c>
      <c r="R111" s="350" t="s">
        <v>738</v>
      </c>
      <c r="S111" s="350" t="s">
        <v>731</v>
      </c>
      <c r="T111" s="475"/>
      <c r="U111" s="350" t="s">
        <v>736</v>
      </c>
      <c r="V111" s="350" t="s">
        <v>737</v>
      </c>
      <c r="W111" s="350" t="s">
        <v>738</v>
      </c>
      <c r="X111" s="350" t="s">
        <v>731</v>
      </c>
      <c r="Y111" s="475"/>
      <c r="Z111" s="350" t="s">
        <v>736</v>
      </c>
      <c r="AA111" s="350" t="s">
        <v>737</v>
      </c>
      <c r="AB111" s="350" t="s">
        <v>738</v>
      </c>
      <c r="AC111" s="350" t="s">
        <v>731</v>
      </c>
      <c r="AD111" s="475"/>
      <c r="AE111" s="350" t="s">
        <v>736</v>
      </c>
      <c r="AF111" s="350" t="s">
        <v>737</v>
      </c>
      <c r="AG111" s="350" t="s">
        <v>738</v>
      </c>
      <c r="AH111" s="350" t="s">
        <v>731</v>
      </c>
      <c r="AI111" s="475"/>
      <c r="AJ111" s="350" t="s">
        <v>736</v>
      </c>
      <c r="AK111" s="350" t="s">
        <v>737</v>
      </c>
      <c r="AL111" s="350" t="s">
        <v>738</v>
      </c>
      <c r="AM111" s="350" t="s">
        <v>731</v>
      </c>
      <c r="AN111" s="475"/>
      <c r="AO111" s="350" t="s">
        <v>736</v>
      </c>
      <c r="AP111" s="350" t="s">
        <v>737</v>
      </c>
      <c r="AQ111" s="350" t="s">
        <v>738</v>
      </c>
      <c r="AR111" s="350" t="s">
        <v>731</v>
      </c>
      <c r="AS111" s="475"/>
      <c r="AT111" s="350" t="s">
        <v>736</v>
      </c>
      <c r="AU111" s="350" t="s">
        <v>737</v>
      </c>
      <c r="AV111" s="350" t="s">
        <v>738</v>
      </c>
      <c r="AW111" s="350" t="s">
        <v>731</v>
      </c>
      <c r="AX111" s="475"/>
    </row>
    <row r="112" spans="2:50">
      <c r="B112" s="475" t="s">
        <v>739</v>
      </c>
      <c r="C112" s="351">
        <v>1</v>
      </c>
      <c r="D112" s="257"/>
      <c r="E112" s="187"/>
      <c r="F112" s="351"/>
      <c r="G112" s="354"/>
      <c r="H112" s="507" t="e">
        <f>AVERAGE(G112:G141)</f>
        <v>#DIV/0!</v>
      </c>
      <c r="I112" s="219" t="e">
        <f>AVERAGE(P112,U112,Z112,AE112,AJ112,AO112,AT112)</f>
        <v>#DIV/0!</v>
      </c>
      <c r="J112" s="219" t="e">
        <f>AVERAGE(Q112,V112,AA112,AF112,AK112,AP112,AU112)</f>
        <v>#DIV/0!</v>
      </c>
      <c r="K112" s="220" t="e">
        <f>AVERAGE(R112,W112,AB112,AG112,AL112,AQ112,AV112)</f>
        <v>#DIV/0!</v>
      </c>
      <c r="L112" s="456" t="str">
        <f>IFERROR(AVERAGE(K112:K141),"-")</f>
        <v>-</v>
      </c>
      <c r="M112" s="221" t="e">
        <f>RANK(K112, K$147:$K$176)</f>
        <v>#DIV/0!</v>
      </c>
      <c r="N112" s="475"/>
      <c r="O112" s="475"/>
      <c r="P112" s="187"/>
      <c r="Q112" s="187"/>
      <c r="R112" s="187"/>
      <c r="S112" s="351" t="e">
        <f>RANK(R112, R$147:R$176)</f>
        <v>#N/A</v>
      </c>
      <c r="T112" s="506" t="e">
        <f>AVERAGE(R112:R141)</f>
        <v>#DIV/0!</v>
      </c>
      <c r="U112" s="187"/>
      <c r="V112" s="187"/>
      <c r="W112" s="187"/>
      <c r="X112" s="351" t="e">
        <f>RANK(W112, W$147:W$176)</f>
        <v>#N/A</v>
      </c>
      <c r="Y112" s="506" t="e">
        <f>AVERAGE(W112:W141)</f>
        <v>#DIV/0!</v>
      </c>
      <c r="Z112" s="187"/>
      <c r="AA112" s="187"/>
      <c r="AB112" s="187"/>
      <c r="AC112" s="351" t="e">
        <f>RANK(AB112, AB$147:AB$176)</f>
        <v>#N/A</v>
      </c>
      <c r="AD112" s="506" t="e">
        <f>AVERAGE(AB112:AB141)</f>
        <v>#DIV/0!</v>
      </c>
      <c r="AE112" s="187"/>
      <c r="AF112" s="187"/>
      <c r="AG112" s="187"/>
      <c r="AH112" s="351" t="e">
        <f>RANK(AG112, AG$147:AG$176)</f>
        <v>#N/A</v>
      </c>
      <c r="AI112" s="506" t="e">
        <f>AVERAGE(AG112:AG141)</f>
        <v>#DIV/0!</v>
      </c>
      <c r="AJ112" s="187"/>
      <c r="AK112" s="187"/>
      <c r="AL112" s="187"/>
      <c r="AM112" s="351" t="e">
        <f>RANK(AL112, AL$147:AL$176)</f>
        <v>#N/A</v>
      </c>
      <c r="AN112" s="506" t="e">
        <f>AVERAGE(AL112:AL141)</f>
        <v>#DIV/0!</v>
      </c>
      <c r="AO112" s="187"/>
      <c r="AP112" s="187"/>
      <c r="AQ112" s="187"/>
      <c r="AR112" s="351" t="e">
        <f>RANK(AQ112, AQ$147:AQ$176)</f>
        <v>#N/A</v>
      </c>
      <c r="AS112" s="506" t="e">
        <f>AVERAGE(AQ112:AQ141)</f>
        <v>#DIV/0!</v>
      </c>
      <c r="AT112" s="351"/>
      <c r="AU112" s="354"/>
      <c r="AV112" s="354"/>
      <c r="AW112" s="351" t="e">
        <f>RANK(AV112, AV$147:AV$176)</f>
        <v>#N/A</v>
      </c>
      <c r="AX112" s="506" t="e">
        <f>AVERAGE(AV112:AV141)</f>
        <v>#DIV/0!</v>
      </c>
    </row>
    <row r="113" spans="2:50">
      <c r="B113" s="483"/>
      <c r="C113" s="351">
        <v>2</v>
      </c>
      <c r="D113" s="257"/>
      <c r="E113" s="187"/>
      <c r="F113" s="351"/>
      <c r="G113" s="354"/>
      <c r="H113" s="508"/>
      <c r="I113" s="219" t="e">
        <f t="shared" ref="I113:I135" si="36">AVERAGE(P113,U113,Z113,AE113,AJ113,AO113,AT113)</f>
        <v>#DIV/0!</v>
      </c>
      <c r="J113" s="219" t="e">
        <f t="shared" ref="J113:J135" si="37">AVERAGE(Q113,V113,AA113,AF113,AK113,AP113,AU113)</f>
        <v>#DIV/0!</v>
      </c>
      <c r="K113" s="220" t="e">
        <f t="shared" ref="K113:K135" si="38">AVERAGE(R113,W113,AB113,AG113,AL113,AQ113,AV113)</f>
        <v>#DIV/0!</v>
      </c>
      <c r="L113" s="457"/>
      <c r="M113" s="221" t="e">
        <f>RANK(K113, K$147:$K$176)</f>
        <v>#DIV/0!</v>
      </c>
      <c r="N113" s="475"/>
      <c r="O113" s="475"/>
      <c r="P113" s="187"/>
      <c r="Q113" s="187"/>
      <c r="R113" s="187"/>
      <c r="S113" s="351" t="e">
        <f t="shared" ref="S113:S141" si="39">RANK(R113, R$147:R$176)</f>
        <v>#N/A</v>
      </c>
      <c r="T113" s="506"/>
      <c r="U113" s="187"/>
      <c r="V113" s="187"/>
      <c r="W113" s="187"/>
      <c r="X113" s="351" t="e">
        <f t="shared" ref="X113:X141" si="40">RANK(W113, W$147:W$176)</f>
        <v>#N/A</v>
      </c>
      <c r="Y113" s="506"/>
      <c r="Z113" s="187"/>
      <c r="AA113" s="187"/>
      <c r="AB113" s="187"/>
      <c r="AC113" s="351" t="e">
        <f t="shared" ref="AC113:AC141" si="41">RANK(AB113, AB$147:AB$176)</f>
        <v>#N/A</v>
      </c>
      <c r="AD113" s="506"/>
      <c r="AE113" s="187"/>
      <c r="AF113" s="187"/>
      <c r="AG113" s="187"/>
      <c r="AH113" s="351" t="e">
        <f t="shared" ref="AH113:AH141" si="42">RANK(AG113, AG$147:AG$176)</f>
        <v>#N/A</v>
      </c>
      <c r="AI113" s="506"/>
      <c r="AJ113" s="187"/>
      <c r="AK113" s="187"/>
      <c r="AL113" s="187"/>
      <c r="AM113" s="351" t="e">
        <f t="shared" ref="AM113:AM141" si="43">RANK(AL113, AL$147:AL$176)</f>
        <v>#N/A</v>
      </c>
      <c r="AN113" s="506"/>
      <c r="AO113" s="187"/>
      <c r="AP113" s="187"/>
      <c r="AQ113" s="187"/>
      <c r="AR113" s="351" t="e">
        <f t="shared" ref="AR113:AR141" si="44">RANK(AQ113, AQ$147:AQ$176)</f>
        <v>#N/A</v>
      </c>
      <c r="AS113" s="506"/>
      <c r="AT113" s="351"/>
      <c r="AU113" s="354"/>
      <c r="AV113" s="354"/>
      <c r="AW113" s="351" t="e">
        <f t="shared" ref="AW113:AW141" si="45">RANK(AV113, AV$147:AV$176)</f>
        <v>#N/A</v>
      </c>
      <c r="AX113" s="506"/>
    </row>
    <row r="114" spans="2:50">
      <c r="B114" s="483"/>
      <c r="C114" s="351">
        <v>3</v>
      </c>
      <c r="D114" s="257"/>
      <c r="E114" s="187"/>
      <c r="F114" s="351"/>
      <c r="G114" s="354"/>
      <c r="H114" s="508"/>
      <c r="I114" s="219" t="e">
        <f t="shared" si="36"/>
        <v>#DIV/0!</v>
      </c>
      <c r="J114" s="219" t="e">
        <f t="shared" si="37"/>
        <v>#DIV/0!</v>
      </c>
      <c r="K114" s="220" t="e">
        <f t="shared" si="38"/>
        <v>#DIV/0!</v>
      </c>
      <c r="L114" s="457"/>
      <c r="M114" s="221" t="e">
        <f>RANK(K114, K$147:$K$176)</f>
        <v>#DIV/0!</v>
      </c>
      <c r="N114" s="475"/>
      <c r="O114" s="475"/>
      <c r="P114" s="187"/>
      <c r="Q114" s="187"/>
      <c r="R114" s="187"/>
      <c r="S114" s="351" t="e">
        <f t="shared" si="39"/>
        <v>#N/A</v>
      </c>
      <c r="T114" s="506"/>
      <c r="U114" s="187"/>
      <c r="V114" s="187"/>
      <c r="W114" s="187"/>
      <c r="X114" s="351" t="e">
        <f t="shared" si="40"/>
        <v>#N/A</v>
      </c>
      <c r="Y114" s="506"/>
      <c r="Z114" s="187"/>
      <c r="AA114" s="187"/>
      <c r="AB114" s="187"/>
      <c r="AC114" s="351" t="e">
        <f t="shared" si="41"/>
        <v>#N/A</v>
      </c>
      <c r="AD114" s="506"/>
      <c r="AE114" s="187"/>
      <c r="AF114" s="187"/>
      <c r="AG114" s="187"/>
      <c r="AH114" s="351" t="e">
        <f t="shared" si="42"/>
        <v>#N/A</v>
      </c>
      <c r="AI114" s="506"/>
      <c r="AJ114" s="187"/>
      <c r="AK114" s="187"/>
      <c r="AL114" s="187"/>
      <c r="AM114" s="351" t="e">
        <f t="shared" si="43"/>
        <v>#N/A</v>
      </c>
      <c r="AN114" s="506"/>
      <c r="AO114" s="187"/>
      <c r="AP114" s="187"/>
      <c r="AQ114" s="187"/>
      <c r="AR114" s="351" t="e">
        <f t="shared" si="44"/>
        <v>#N/A</v>
      </c>
      <c r="AS114" s="506"/>
      <c r="AT114" s="351"/>
      <c r="AU114" s="354"/>
      <c r="AV114" s="354"/>
      <c r="AW114" s="351" t="e">
        <f t="shared" si="45"/>
        <v>#N/A</v>
      </c>
      <c r="AX114" s="506"/>
    </row>
    <row r="115" spans="2:50">
      <c r="B115" s="483"/>
      <c r="C115" s="351">
        <v>4</v>
      </c>
      <c r="D115" s="257"/>
      <c r="E115" s="187"/>
      <c r="F115" s="351"/>
      <c r="G115" s="354"/>
      <c r="H115" s="508"/>
      <c r="I115" s="219" t="e">
        <f t="shared" si="36"/>
        <v>#DIV/0!</v>
      </c>
      <c r="J115" s="219" t="e">
        <f t="shared" si="37"/>
        <v>#DIV/0!</v>
      </c>
      <c r="K115" s="220" t="e">
        <f t="shared" si="38"/>
        <v>#DIV/0!</v>
      </c>
      <c r="L115" s="457"/>
      <c r="M115" s="221" t="e">
        <f>RANK(K115, K$147:$K$176)</f>
        <v>#DIV/0!</v>
      </c>
      <c r="N115" s="475"/>
      <c r="O115" s="475"/>
      <c r="P115" s="187"/>
      <c r="Q115" s="187"/>
      <c r="R115" s="187"/>
      <c r="S115" s="351" t="e">
        <f t="shared" si="39"/>
        <v>#N/A</v>
      </c>
      <c r="T115" s="506"/>
      <c r="U115" s="187"/>
      <c r="V115" s="187"/>
      <c r="W115" s="187"/>
      <c r="X115" s="351" t="e">
        <f t="shared" si="40"/>
        <v>#N/A</v>
      </c>
      <c r="Y115" s="506"/>
      <c r="Z115" s="187"/>
      <c r="AA115" s="187"/>
      <c r="AB115" s="187"/>
      <c r="AC115" s="351" t="e">
        <f t="shared" si="41"/>
        <v>#N/A</v>
      </c>
      <c r="AD115" s="506"/>
      <c r="AE115" s="187"/>
      <c r="AF115" s="187"/>
      <c r="AG115" s="187"/>
      <c r="AH115" s="351" t="e">
        <f t="shared" si="42"/>
        <v>#N/A</v>
      </c>
      <c r="AI115" s="506"/>
      <c r="AJ115" s="187"/>
      <c r="AK115" s="187"/>
      <c r="AL115" s="187"/>
      <c r="AM115" s="351" t="e">
        <f t="shared" si="43"/>
        <v>#N/A</v>
      </c>
      <c r="AN115" s="506"/>
      <c r="AO115" s="187"/>
      <c r="AP115" s="187"/>
      <c r="AQ115" s="187"/>
      <c r="AR115" s="351" t="e">
        <f t="shared" si="44"/>
        <v>#N/A</v>
      </c>
      <c r="AS115" s="506"/>
      <c r="AT115" s="351"/>
      <c r="AU115" s="354"/>
      <c r="AV115" s="354"/>
      <c r="AW115" s="351" t="e">
        <f t="shared" si="45"/>
        <v>#N/A</v>
      </c>
      <c r="AX115" s="506"/>
    </row>
    <row r="116" spans="2:50">
      <c r="B116" s="483"/>
      <c r="C116" s="351">
        <v>5</v>
      </c>
      <c r="D116" s="257"/>
      <c r="E116" s="187"/>
      <c r="F116" s="351"/>
      <c r="G116" s="354"/>
      <c r="H116" s="508"/>
      <c r="I116" s="219" t="e">
        <f t="shared" si="36"/>
        <v>#DIV/0!</v>
      </c>
      <c r="J116" s="219" t="e">
        <f t="shared" si="37"/>
        <v>#DIV/0!</v>
      </c>
      <c r="K116" s="220" t="e">
        <f t="shared" si="38"/>
        <v>#DIV/0!</v>
      </c>
      <c r="L116" s="457"/>
      <c r="M116" s="221" t="e">
        <f>RANK(K116, K$147:$K$176)</f>
        <v>#DIV/0!</v>
      </c>
      <c r="N116" s="475"/>
      <c r="O116" s="475"/>
      <c r="P116" s="187"/>
      <c r="Q116" s="187"/>
      <c r="R116" s="187"/>
      <c r="S116" s="351" t="e">
        <f t="shared" si="39"/>
        <v>#N/A</v>
      </c>
      <c r="T116" s="506"/>
      <c r="U116" s="187"/>
      <c r="V116" s="187"/>
      <c r="W116" s="187"/>
      <c r="X116" s="351" t="e">
        <f t="shared" si="40"/>
        <v>#N/A</v>
      </c>
      <c r="Y116" s="506"/>
      <c r="Z116" s="187"/>
      <c r="AA116" s="187"/>
      <c r="AB116" s="187"/>
      <c r="AC116" s="351" t="e">
        <f t="shared" si="41"/>
        <v>#N/A</v>
      </c>
      <c r="AD116" s="506"/>
      <c r="AE116" s="187"/>
      <c r="AF116" s="187"/>
      <c r="AG116" s="187"/>
      <c r="AH116" s="351" t="e">
        <f t="shared" si="42"/>
        <v>#N/A</v>
      </c>
      <c r="AI116" s="506"/>
      <c r="AJ116" s="187"/>
      <c r="AK116" s="187"/>
      <c r="AL116" s="187"/>
      <c r="AM116" s="351" t="e">
        <f t="shared" si="43"/>
        <v>#N/A</v>
      </c>
      <c r="AN116" s="506"/>
      <c r="AO116" s="187"/>
      <c r="AP116" s="187"/>
      <c r="AQ116" s="187"/>
      <c r="AR116" s="351" t="e">
        <f t="shared" si="44"/>
        <v>#N/A</v>
      </c>
      <c r="AS116" s="506"/>
      <c r="AT116" s="351"/>
      <c r="AU116" s="354"/>
      <c r="AV116" s="354"/>
      <c r="AW116" s="351" t="e">
        <f t="shared" si="45"/>
        <v>#N/A</v>
      </c>
      <c r="AX116" s="506"/>
    </row>
    <row r="117" spans="2:50">
      <c r="B117" s="483"/>
      <c r="C117" s="351">
        <v>6</v>
      </c>
      <c r="D117" s="257"/>
      <c r="E117" s="187"/>
      <c r="F117" s="351"/>
      <c r="G117" s="354"/>
      <c r="H117" s="508"/>
      <c r="I117" s="219" t="e">
        <f t="shared" si="36"/>
        <v>#DIV/0!</v>
      </c>
      <c r="J117" s="219" t="e">
        <f t="shared" si="37"/>
        <v>#DIV/0!</v>
      </c>
      <c r="K117" s="220" t="e">
        <f t="shared" si="38"/>
        <v>#DIV/0!</v>
      </c>
      <c r="L117" s="457"/>
      <c r="M117" s="221" t="e">
        <f>RANK(K117, K$147:$K$176)</f>
        <v>#DIV/0!</v>
      </c>
      <c r="N117" s="475"/>
      <c r="O117" s="475"/>
      <c r="P117" s="187"/>
      <c r="Q117" s="187"/>
      <c r="R117" s="187"/>
      <c r="S117" s="351" t="e">
        <f t="shared" si="39"/>
        <v>#N/A</v>
      </c>
      <c r="T117" s="506"/>
      <c r="U117" s="187"/>
      <c r="V117" s="187"/>
      <c r="W117" s="187"/>
      <c r="X117" s="351" t="e">
        <f t="shared" si="40"/>
        <v>#N/A</v>
      </c>
      <c r="Y117" s="506"/>
      <c r="Z117" s="187"/>
      <c r="AA117" s="187"/>
      <c r="AB117" s="187"/>
      <c r="AC117" s="351" t="e">
        <f t="shared" si="41"/>
        <v>#N/A</v>
      </c>
      <c r="AD117" s="506"/>
      <c r="AE117" s="187"/>
      <c r="AF117" s="187"/>
      <c r="AG117" s="187"/>
      <c r="AH117" s="351" t="e">
        <f t="shared" si="42"/>
        <v>#N/A</v>
      </c>
      <c r="AI117" s="506"/>
      <c r="AJ117" s="187"/>
      <c r="AK117" s="187"/>
      <c r="AL117" s="187"/>
      <c r="AM117" s="351" t="e">
        <f t="shared" si="43"/>
        <v>#N/A</v>
      </c>
      <c r="AN117" s="506"/>
      <c r="AO117" s="187"/>
      <c r="AP117" s="187"/>
      <c r="AQ117" s="187"/>
      <c r="AR117" s="351" t="e">
        <f t="shared" si="44"/>
        <v>#N/A</v>
      </c>
      <c r="AS117" s="506"/>
      <c r="AT117" s="351"/>
      <c r="AU117" s="354"/>
      <c r="AV117" s="354"/>
      <c r="AW117" s="351" t="e">
        <f t="shared" si="45"/>
        <v>#N/A</v>
      </c>
      <c r="AX117" s="506"/>
    </row>
    <row r="118" spans="2:50">
      <c r="B118" s="483"/>
      <c r="C118" s="351">
        <v>7</v>
      </c>
      <c r="D118" s="257"/>
      <c r="E118" s="187"/>
      <c r="F118" s="351"/>
      <c r="G118" s="354"/>
      <c r="H118" s="508"/>
      <c r="I118" s="219" t="e">
        <f t="shared" si="36"/>
        <v>#DIV/0!</v>
      </c>
      <c r="J118" s="219" t="e">
        <f t="shared" si="37"/>
        <v>#DIV/0!</v>
      </c>
      <c r="K118" s="220" t="e">
        <f t="shared" si="38"/>
        <v>#DIV/0!</v>
      </c>
      <c r="L118" s="457"/>
      <c r="M118" s="221" t="e">
        <f>RANK(K118, K$147:$K$176)</f>
        <v>#DIV/0!</v>
      </c>
      <c r="N118" s="475"/>
      <c r="O118" s="475"/>
      <c r="P118" s="187"/>
      <c r="Q118" s="187"/>
      <c r="R118" s="187"/>
      <c r="S118" s="351" t="e">
        <f t="shared" si="39"/>
        <v>#N/A</v>
      </c>
      <c r="T118" s="506"/>
      <c r="U118" s="187"/>
      <c r="V118" s="187"/>
      <c r="W118" s="187"/>
      <c r="X118" s="351" t="e">
        <f t="shared" si="40"/>
        <v>#N/A</v>
      </c>
      <c r="Y118" s="506"/>
      <c r="Z118" s="187"/>
      <c r="AA118" s="187"/>
      <c r="AB118" s="187"/>
      <c r="AC118" s="351" t="e">
        <f t="shared" si="41"/>
        <v>#N/A</v>
      </c>
      <c r="AD118" s="506"/>
      <c r="AE118" s="187"/>
      <c r="AF118" s="187"/>
      <c r="AG118" s="187"/>
      <c r="AH118" s="351" t="e">
        <f t="shared" si="42"/>
        <v>#N/A</v>
      </c>
      <c r="AI118" s="506"/>
      <c r="AJ118" s="187"/>
      <c r="AK118" s="187"/>
      <c r="AL118" s="187"/>
      <c r="AM118" s="351" t="e">
        <f t="shared" si="43"/>
        <v>#N/A</v>
      </c>
      <c r="AN118" s="506"/>
      <c r="AO118" s="187"/>
      <c r="AP118" s="187"/>
      <c r="AQ118" s="187"/>
      <c r="AR118" s="351" t="e">
        <f t="shared" si="44"/>
        <v>#N/A</v>
      </c>
      <c r="AS118" s="506"/>
      <c r="AT118" s="351"/>
      <c r="AU118" s="354"/>
      <c r="AV118" s="354"/>
      <c r="AW118" s="351" t="e">
        <f t="shared" si="45"/>
        <v>#N/A</v>
      </c>
      <c r="AX118" s="506"/>
    </row>
    <row r="119" spans="2:50">
      <c r="B119" s="483"/>
      <c r="C119" s="351">
        <v>8</v>
      </c>
      <c r="D119" s="257"/>
      <c r="E119" s="187"/>
      <c r="F119" s="351"/>
      <c r="G119" s="354"/>
      <c r="H119" s="508"/>
      <c r="I119" s="219" t="e">
        <f t="shared" si="36"/>
        <v>#DIV/0!</v>
      </c>
      <c r="J119" s="219" t="e">
        <f t="shared" si="37"/>
        <v>#DIV/0!</v>
      </c>
      <c r="K119" s="220" t="e">
        <f t="shared" si="38"/>
        <v>#DIV/0!</v>
      </c>
      <c r="L119" s="457"/>
      <c r="M119" s="221" t="e">
        <f>RANK(K119, K$147:$K$176)</f>
        <v>#DIV/0!</v>
      </c>
      <c r="N119" s="475"/>
      <c r="O119" s="475"/>
      <c r="P119" s="187"/>
      <c r="Q119" s="187"/>
      <c r="R119" s="187"/>
      <c r="S119" s="351" t="e">
        <f t="shared" si="39"/>
        <v>#N/A</v>
      </c>
      <c r="T119" s="506"/>
      <c r="U119" s="187"/>
      <c r="V119" s="187"/>
      <c r="W119" s="187"/>
      <c r="X119" s="351" t="e">
        <f t="shared" si="40"/>
        <v>#N/A</v>
      </c>
      <c r="Y119" s="506"/>
      <c r="Z119" s="187"/>
      <c r="AA119" s="187"/>
      <c r="AB119" s="187"/>
      <c r="AC119" s="351" t="e">
        <f t="shared" si="41"/>
        <v>#N/A</v>
      </c>
      <c r="AD119" s="506"/>
      <c r="AE119" s="187"/>
      <c r="AF119" s="187"/>
      <c r="AG119" s="187"/>
      <c r="AH119" s="351" t="e">
        <f t="shared" si="42"/>
        <v>#N/A</v>
      </c>
      <c r="AI119" s="506"/>
      <c r="AJ119" s="187"/>
      <c r="AK119" s="187"/>
      <c r="AL119" s="187"/>
      <c r="AM119" s="351" t="e">
        <f t="shared" si="43"/>
        <v>#N/A</v>
      </c>
      <c r="AN119" s="506"/>
      <c r="AO119" s="187"/>
      <c r="AP119" s="187"/>
      <c r="AQ119" s="187"/>
      <c r="AR119" s="351" t="e">
        <f t="shared" si="44"/>
        <v>#N/A</v>
      </c>
      <c r="AS119" s="506"/>
      <c r="AT119" s="351"/>
      <c r="AU119" s="354"/>
      <c r="AV119" s="354"/>
      <c r="AW119" s="351" t="e">
        <f t="shared" si="45"/>
        <v>#N/A</v>
      </c>
      <c r="AX119" s="506"/>
    </row>
    <row r="120" spans="2:50">
      <c r="B120" s="483"/>
      <c r="C120" s="351">
        <v>9</v>
      </c>
      <c r="D120" s="257"/>
      <c r="E120" s="187"/>
      <c r="F120" s="351"/>
      <c r="G120" s="354"/>
      <c r="H120" s="508"/>
      <c r="I120" s="219" t="e">
        <f t="shared" si="36"/>
        <v>#DIV/0!</v>
      </c>
      <c r="J120" s="219" t="e">
        <f t="shared" si="37"/>
        <v>#DIV/0!</v>
      </c>
      <c r="K120" s="220" t="e">
        <f t="shared" si="38"/>
        <v>#DIV/0!</v>
      </c>
      <c r="L120" s="457"/>
      <c r="M120" s="221" t="e">
        <f>RANK(K120, K$147:$K$176)</f>
        <v>#DIV/0!</v>
      </c>
      <c r="N120" s="475"/>
      <c r="O120" s="475"/>
      <c r="P120" s="187"/>
      <c r="Q120" s="187"/>
      <c r="R120" s="187"/>
      <c r="S120" s="351" t="e">
        <f t="shared" si="39"/>
        <v>#N/A</v>
      </c>
      <c r="T120" s="506"/>
      <c r="U120" s="187"/>
      <c r="V120" s="187"/>
      <c r="W120" s="187"/>
      <c r="X120" s="351" t="e">
        <f t="shared" si="40"/>
        <v>#N/A</v>
      </c>
      <c r="Y120" s="506"/>
      <c r="Z120" s="187"/>
      <c r="AA120" s="187"/>
      <c r="AB120" s="187"/>
      <c r="AC120" s="351" t="e">
        <f t="shared" si="41"/>
        <v>#N/A</v>
      </c>
      <c r="AD120" s="506"/>
      <c r="AE120" s="187"/>
      <c r="AF120" s="187"/>
      <c r="AG120" s="187"/>
      <c r="AH120" s="351" t="e">
        <f t="shared" si="42"/>
        <v>#N/A</v>
      </c>
      <c r="AI120" s="506"/>
      <c r="AJ120" s="187"/>
      <c r="AK120" s="187"/>
      <c r="AL120" s="187"/>
      <c r="AM120" s="351" t="e">
        <f t="shared" si="43"/>
        <v>#N/A</v>
      </c>
      <c r="AN120" s="506"/>
      <c r="AO120" s="187"/>
      <c r="AP120" s="187"/>
      <c r="AQ120" s="187"/>
      <c r="AR120" s="351" t="e">
        <f t="shared" si="44"/>
        <v>#N/A</v>
      </c>
      <c r="AS120" s="506"/>
      <c r="AT120" s="351"/>
      <c r="AU120" s="354"/>
      <c r="AV120" s="354"/>
      <c r="AW120" s="351" t="e">
        <f t="shared" si="45"/>
        <v>#N/A</v>
      </c>
      <c r="AX120" s="506"/>
    </row>
    <row r="121" spans="2:50">
      <c r="B121" s="483"/>
      <c r="C121" s="351">
        <v>10</v>
      </c>
      <c r="D121" s="257"/>
      <c r="E121" s="187"/>
      <c r="F121" s="351"/>
      <c r="G121" s="354"/>
      <c r="H121" s="508"/>
      <c r="I121" s="219" t="e">
        <f t="shared" si="36"/>
        <v>#DIV/0!</v>
      </c>
      <c r="J121" s="219" t="e">
        <f t="shared" si="37"/>
        <v>#DIV/0!</v>
      </c>
      <c r="K121" s="220" t="e">
        <f t="shared" si="38"/>
        <v>#DIV/0!</v>
      </c>
      <c r="L121" s="457"/>
      <c r="M121" s="221" t="e">
        <f>RANK(K121, K$147:$K$176)</f>
        <v>#DIV/0!</v>
      </c>
      <c r="N121" s="475"/>
      <c r="O121" s="475"/>
      <c r="P121" s="187"/>
      <c r="Q121" s="187"/>
      <c r="R121" s="187"/>
      <c r="S121" s="351" t="e">
        <f t="shared" si="39"/>
        <v>#N/A</v>
      </c>
      <c r="T121" s="506"/>
      <c r="U121" s="187"/>
      <c r="V121" s="187"/>
      <c r="W121" s="187"/>
      <c r="X121" s="351" t="e">
        <f t="shared" si="40"/>
        <v>#N/A</v>
      </c>
      <c r="Y121" s="506"/>
      <c r="Z121" s="187"/>
      <c r="AA121" s="187"/>
      <c r="AB121" s="187"/>
      <c r="AC121" s="351" t="e">
        <f t="shared" si="41"/>
        <v>#N/A</v>
      </c>
      <c r="AD121" s="506"/>
      <c r="AE121" s="187"/>
      <c r="AF121" s="187"/>
      <c r="AG121" s="187"/>
      <c r="AH121" s="351" t="e">
        <f t="shared" si="42"/>
        <v>#N/A</v>
      </c>
      <c r="AI121" s="506"/>
      <c r="AJ121" s="187"/>
      <c r="AK121" s="187"/>
      <c r="AL121" s="187"/>
      <c r="AM121" s="351" t="e">
        <f t="shared" si="43"/>
        <v>#N/A</v>
      </c>
      <c r="AN121" s="506"/>
      <c r="AO121" s="187"/>
      <c r="AP121" s="187"/>
      <c r="AQ121" s="187"/>
      <c r="AR121" s="351" t="e">
        <f t="shared" si="44"/>
        <v>#N/A</v>
      </c>
      <c r="AS121" s="506"/>
      <c r="AT121" s="351"/>
      <c r="AU121" s="354"/>
      <c r="AV121" s="354"/>
      <c r="AW121" s="351" t="e">
        <f t="shared" si="45"/>
        <v>#N/A</v>
      </c>
      <c r="AX121" s="506"/>
    </row>
    <row r="122" spans="2:50">
      <c r="B122" s="483"/>
      <c r="C122" s="351">
        <v>11</v>
      </c>
      <c r="D122" s="257"/>
      <c r="E122" s="187"/>
      <c r="F122" s="351"/>
      <c r="G122" s="354"/>
      <c r="H122" s="508"/>
      <c r="I122" s="219" t="e">
        <f t="shared" si="36"/>
        <v>#DIV/0!</v>
      </c>
      <c r="J122" s="219" t="e">
        <f t="shared" si="37"/>
        <v>#DIV/0!</v>
      </c>
      <c r="K122" s="220" t="e">
        <f t="shared" si="38"/>
        <v>#DIV/0!</v>
      </c>
      <c r="L122" s="457"/>
      <c r="M122" s="221" t="e">
        <f>RANK(K122, K$147:$K$176)</f>
        <v>#DIV/0!</v>
      </c>
      <c r="N122" s="475"/>
      <c r="O122" s="475"/>
      <c r="P122" s="187"/>
      <c r="Q122" s="187"/>
      <c r="R122" s="187"/>
      <c r="S122" s="351" t="e">
        <f t="shared" si="39"/>
        <v>#N/A</v>
      </c>
      <c r="T122" s="506"/>
      <c r="U122" s="187"/>
      <c r="V122" s="187"/>
      <c r="W122" s="187"/>
      <c r="X122" s="351" t="e">
        <f t="shared" si="40"/>
        <v>#N/A</v>
      </c>
      <c r="Y122" s="506"/>
      <c r="Z122" s="187"/>
      <c r="AA122" s="187"/>
      <c r="AB122" s="187"/>
      <c r="AC122" s="351" t="e">
        <f t="shared" si="41"/>
        <v>#N/A</v>
      </c>
      <c r="AD122" s="506"/>
      <c r="AE122" s="187"/>
      <c r="AF122" s="187"/>
      <c r="AG122" s="187"/>
      <c r="AH122" s="351" t="e">
        <f t="shared" si="42"/>
        <v>#N/A</v>
      </c>
      <c r="AI122" s="506"/>
      <c r="AJ122" s="187"/>
      <c r="AK122" s="187"/>
      <c r="AL122" s="187"/>
      <c r="AM122" s="351" t="e">
        <f t="shared" si="43"/>
        <v>#N/A</v>
      </c>
      <c r="AN122" s="506"/>
      <c r="AO122" s="187"/>
      <c r="AP122" s="187"/>
      <c r="AQ122" s="187"/>
      <c r="AR122" s="351" t="e">
        <f t="shared" si="44"/>
        <v>#N/A</v>
      </c>
      <c r="AS122" s="506"/>
      <c r="AT122" s="351"/>
      <c r="AU122" s="354"/>
      <c r="AV122" s="354"/>
      <c r="AW122" s="351" t="e">
        <f t="shared" si="45"/>
        <v>#N/A</v>
      </c>
      <c r="AX122" s="506"/>
    </row>
    <row r="123" spans="2:50">
      <c r="B123" s="483"/>
      <c r="C123" s="351">
        <v>12</v>
      </c>
      <c r="D123" s="257"/>
      <c r="E123" s="187"/>
      <c r="F123" s="351"/>
      <c r="G123" s="354"/>
      <c r="H123" s="508"/>
      <c r="I123" s="219" t="e">
        <f t="shared" si="36"/>
        <v>#DIV/0!</v>
      </c>
      <c r="J123" s="219" t="e">
        <f t="shared" si="37"/>
        <v>#DIV/0!</v>
      </c>
      <c r="K123" s="220" t="e">
        <f t="shared" si="38"/>
        <v>#DIV/0!</v>
      </c>
      <c r="L123" s="457"/>
      <c r="M123" s="221" t="e">
        <f>RANK(K123, K$147:$K$176)</f>
        <v>#DIV/0!</v>
      </c>
      <c r="N123" s="475"/>
      <c r="O123" s="475"/>
      <c r="P123" s="187"/>
      <c r="Q123" s="187"/>
      <c r="R123" s="187"/>
      <c r="S123" s="351" t="e">
        <f t="shared" si="39"/>
        <v>#N/A</v>
      </c>
      <c r="T123" s="506"/>
      <c r="U123" s="187"/>
      <c r="V123" s="187"/>
      <c r="W123" s="187"/>
      <c r="X123" s="351" t="e">
        <f t="shared" si="40"/>
        <v>#N/A</v>
      </c>
      <c r="Y123" s="506"/>
      <c r="Z123" s="187"/>
      <c r="AA123" s="187"/>
      <c r="AB123" s="187"/>
      <c r="AC123" s="351" t="e">
        <f t="shared" si="41"/>
        <v>#N/A</v>
      </c>
      <c r="AD123" s="506"/>
      <c r="AE123" s="187"/>
      <c r="AF123" s="187"/>
      <c r="AG123" s="187"/>
      <c r="AH123" s="351" t="e">
        <f t="shared" si="42"/>
        <v>#N/A</v>
      </c>
      <c r="AI123" s="506"/>
      <c r="AJ123" s="187"/>
      <c r="AK123" s="187"/>
      <c r="AL123" s="187"/>
      <c r="AM123" s="351" t="e">
        <f t="shared" si="43"/>
        <v>#N/A</v>
      </c>
      <c r="AN123" s="506"/>
      <c r="AO123" s="187"/>
      <c r="AP123" s="187"/>
      <c r="AQ123" s="187"/>
      <c r="AR123" s="351" t="e">
        <f t="shared" si="44"/>
        <v>#N/A</v>
      </c>
      <c r="AS123" s="506"/>
      <c r="AT123" s="351"/>
      <c r="AU123" s="354"/>
      <c r="AV123" s="354"/>
      <c r="AW123" s="351" t="e">
        <f t="shared" si="45"/>
        <v>#N/A</v>
      </c>
      <c r="AX123" s="506"/>
    </row>
    <row r="124" spans="2:50">
      <c r="B124" s="483"/>
      <c r="C124" s="351">
        <v>13</v>
      </c>
      <c r="D124" s="257"/>
      <c r="E124" s="187"/>
      <c r="F124" s="351"/>
      <c r="G124" s="354"/>
      <c r="H124" s="508"/>
      <c r="I124" s="219" t="e">
        <f t="shared" si="36"/>
        <v>#DIV/0!</v>
      </c>
      <c r="J124" s="219" t="e">
        <f t="shared" si="37"/>
        <v>#DIV/0!</v>
      </c>
      <c r="K124" s="220" t="e">
        <f t="shared" si="38"/>
        <v>#DIV/0!</v>
      </c>
      <c r="L124" s="457"/>
      <c r="M124" s="221" t="e">
        <f>RANK(K124, K$147:$K$176)</f>
        <v>#DIV/0!</v>
      </c>
      <c r="N124" s="475"/>
      <c r="O124" s="475"/>
      <c r="P124" s="187"/>
      <c r="Q124" s="187"/>
      <c r="R124" s="187"/>
      <c r="S124" s="351" t="e">
        <f t="shared" si="39"/>
        <v>#N/A</v>
      </c>
      <c r="T124" s="506"/>
      <c r="U124" s="187"/>
      <c r="V124" s="187"/>
      <c r="W124" s="187"/>
      <c r="X124" s="351" t="e">
        <f t="shared" si="40"/>
        <v>#N/A</v>
      </c>
      <c r="Y124" s="506"/>
      <c r="Z124" s="187"/>
      <c r="AA124" s="187"/>
      <c r="AB124" s="187"/>
      <c r="AC124" s="351" t="e">
        <f t="shared" si="41"/>
        <v>#N/A</v>
      </c>
      <c r="AD124" s="506"/>
      <c r="AE124" s="187"/>
      <c r="AF124" s="187"/>
      <c r="AG124" s="187"/>
      <c r="AH124" s="351" t="e">
        <f t="shared" si="42"/>
        <v>#N/A</v>
      </c>
      <c r="AI124" s="506"/>
      <c r="AJ124" s="187"/>
      <c r="AK124" s="187"/>
      <c r="AL124" s="187"/>
      <c r="AM124" s="351" t="e">
        <f t="shared" si="43"/>
        <v>#N/A</v>
      </c>
      <c r="AN124" s="506"/>
      <c r="AO124" s="187"/>
      <c r="AP124" s="187"/>
      <c r="AQ124" s="187"/>
      <c r="AR124" s="351" t="e">
        <f t="shared" si="44"/>
        <v>#N/A</v>
      </c>
      <c r="AS124" s="506"/>
      <c r="AT124" s="351"/>
      <c r="AU124" s="354"/>
      <c r="AV124" s="354"/>
      <c r="AW124" s="351" t="e">
        <f t="shared" si="45"/>
        <v>#N/A</v>
      </c>
      <c r="AX124" s="506"/>
    </row>
    <row r="125" spans="2:50">
      <c r="B125" s="483"/>
      <c r="C125" s="351">
        <v>14</v>
      </c>
      <c r="D125" s="257"/>
      <c r="E125" s="187"/>
      <c r="F125" s="351"/>
      <c r="G125" s="354"/>
      <c r="H125" s="508"/>
      <c r="I125" s="219" t="e">
        <f t="shared" si="36"/>
        <v>#DIV/0!</v>
      </c>
      <c r="J125" s="219" t="e">
        <f t="shared" si="37"/>
        <v>#DIV/0!</v>
      </c>
      <c r="K125" s="220" t="e">
        <f t="shared" si="38"/>
        <v>#DIV/0!</v>
      </c>
      <c r="L125" s="457"/>
      <c r="M125" s="221" t="e">
        <f>RANK(K125, K$147:$K$176)</f>
        <v>#DIV/0!</v>
      </c>
      <c r="N125" s="475"/>
      <c r="O125" s="475"/>
      <c r="P125" s="187"/>
      <c r="Q125" s="187"/>
      <c r="R125" s="187"/>
      <c r="S125" s="351" t="e">
        <f t="shared" si="39"/>
        <v>#N/A</v>
      </c>
      <c r="T125" s="506"/>
      <c r="U125" s="187"/>
      <c r="V125" s="187"/>
      <c r="W125" s="187"/>
      <c r="X125" s="351" t="e">
        <f t="shared" si="40"/>
        <v>#N/A</v>
      </c>
      <c r="Y125" s="506"/>
      <c r="Z125" s="187"/>
      <c r="AA125" s="187"/>
      <c r="AB125" s="187"/>
      <c r="AC125" s="351" t="e">
        <f t="shared" si="41"/>
        <v>#N/A</v>
      </c>
      <c r="AD125" s="506"/>
      <c r="AE125" s="187"/>
      <c r="AF125" s="187"/>
      <c r="AG125" s="187"/>
      <c r="AH125" s="351" t="e">
        <f t="shared" si="42"/>
        <v>#N/A</v>
      </c>
      <c r="AI125" s="506"/>
      <c r="AJ125" s="187"/>
      <c r="AK125" s="187"/>
      <c r="AL125" s="187"/>
      <c r="AM125" s="351" t="e">
        <f t="shared" si="43"/>
        <v>#N/A</v>
      </c>
      <c r="AN125" s="506"/>
      <c r="AO125" s="187"/>
      <c r="AP125" s="187"/>
      <c r="AQ125" s="187"/>
      <c r="AR125" s="351" t="e">
        <f t="shared" si="44"/>
        <v>#N/A</v>
      </c>
      <c r="AS125" s="506"/>
      <c r="AT125" s="351"/>
      <c r="AU125" s="354"/>
      <c r="AV125" s="354"/>
      <c r="AW125" s="351" t="e">
        <f t="shared" si="45"/>
        <v>#N/A</v>
      </c>
      <c r="AX125" s="506"/>
    </row>
    <row r="126" spans="2:50">
      <c r="B126" s="483"/>
      <c r="C126" s="351">
        <v>15</v>
      </c>
      <c r="D126" s="257"/>
      <c r="E126" s="187"/>
      <c r="F126" s="351"/>
      <c r="G126" s="354"/>
      <c r="H126" s="508"/>
      <c r="I126" s="219" t="e">
        <f t="shared" si="36"/>
        <v>#DIV/0!</v>
      </c>
      <c r="J126" s="219" t="e">
        <f t="shared" si="37"/>
        <v>#DIV/0!</v>
      </c>
      <c r="K126" s="220" t="e">
        <f t="shared" si="38"/>
        <v>#DIV/0!</v>
      </c>
      <c r="L126" s="457"/>
      <c r="M126" s="219" t="e">
        <f>RANK(K126, K$147:$K$176)</f>
        <v>#DIV/0!</v>
      </c>
      <c r="N126" s="475"/>
      <c r="O126" s="475"/>
      <c r="P126" s="187"/>
      <c r="Q126" s="187"/>
      <c r="R126" s="187"/>
      <c r="S126" s="351" t="e">
        <f t="shared" si="39"/>
        <v>#N/A</v>
      </c>
      <c r="T126" s="506"/>
      <c r="U126" s="187"/>
      <c r="V126" s="187"/>
      <c r="W126" s="187"/>
      <c r="X126" s="351" t="e">
        <f t="shared" si="40"/>
        <v>#N/A</v>
      </c>
      <c r="Y126" s="506"/>
      <c r="Z126" s="187"/>
      <c r="AA126" s="187"/>
      <c r="AB126" s="187"/>
      <c r="AC126" s="351" t="e">
        <f t="shared" si="41"/>
        <v>#N/A</v>
      </c>
      <c r="AD126" s="506"/>
      <c r="AE126" s="187"/>
      <c r="AF126" s="187"/>
      <c r="AG126" s="187"/>
      <c r="AH126" s="351" t="e">
        <f t="shared" si="42"/>
        <v>#N/A</v>
      </c>
      <c r="AI126" s="506"/>
      <c r="AJ126" s="187"/>
      <c r="AK126" s="187"/>
      <c r="AL126" s="187"/>
      <c r="AM126" s="351" t="e">
        <f t="shared" si="43"/>
        <v>#N/A</v>
      </c>
      <c r="AN126" s="506"/>
      <c r="AO126" s="187"/>
      <c r="AP126" s="187"/>
      <c r="AQ126" s="187"/>
      <c r="AR126" s="351" t="e">
        <f t="shared" si="44"/>
        <v>#N/A</v>
      </c>
      <c r="AS126" s="506"/>
      <c r="AT126" s="351"/>
      <c r="AU126" s="354"/>
      <c r="AV126" s="354"/>
      <c r="AW126" s="351" t="e">
        <f t="shared" si="45"/>
        <v>#N/A</v>
      </c>
      <c r="AX126" s="506"/>
    </row>
    <row r="127" spans="2:50">
      <c r="B127" s="483"/>
      <c r="C127" s="351">
        <v>16</v>
      </c>
      <c r="D127" s="257"/>
      <c r="E127" s="187"/>
      <c r="F127" s="351"/>
      <c r="G127" s="354"/>
      <c r="H127" s="508"/>
      <c r="I127" s="219" t="e">
        <f t="shared" si="36"/>
        <v>#DIV/0!</v>
      </c>
      <c r="J127" s="219" t="e">
        <f t="shared" si="37"/>
        <v>#DIV/0!</v>
      </c>
      <c r="K127" s="220" t="e">
        <f t="shared" si="38"/>
        <v>#DIV/0!</v>
      </c>
      <c r="L127" s="457"/>
      <c r="M127" s="219" t="e">
        <f>RANK(K127, K$147:$K$176)</f>
        <v>#DIV/0!</v>
      </c>
      <c r="N127" s="475"/>
      <c r="O127" s="475"/>
      <c r="P127" s="187"/>
      <c r="Q127" s="187"/>
      <c r="R127" s="187"/>
      <c r="S127" s="351" t="e">
        <f t="shared" si="39"/>
        <v>#N/A</v>
      </c>
      <c r="T127" s="506"/>
      <c r="U127" s="187"/>
      <c r="V127" s="187"/>
      <c r="W127" s="187"/>
      <c r="X127" s="351" t="e">
        <f t="shared" si="40"/>
        <v>#N/A</v>
      </c>
      <c r="Y127" s="506"/>
      <c r="Z127" s="187"/>
      <c r="AA127" s="187"/>
      <c r="AB127" s="187"/>
      <c r="AC127" s="351" t="e">
        <f t="shared" si="41"/>
        <v>#N/A</v>
      </c>
      <c r="AD127" s="506"/>
      <c r="AE127" s="187"/>
      <c r="AF127" s="187"/>
      <c r="AG127" s="187"/>
      <c r="AH127" s="351" t="e">
        <f t="shared" si="42"/>
        <v>#N/A</v>
      </c>
      <c r="AI127" s="506"/>
      <c r="AJ127" s="187"/>
      <c r="AK127" s="187"/>
      <c r="AL127" s="187"/>
      <c r="AM127" s="351" t="e">
        <f t="shared" si="43"/>
        <v>#N/A</v>
      </c>
      <c r="AN127" s="506"/>
      <c r="AO127" s="187"/>
      <c r="AP127" s="187"/>
      <c r="AQ127" s="187"/>
      <c r="AR127" s="351" t="e">
        <f t="shared" si="44"/>
        <v>#N/A</v>
      </c>
      <c r="AS127" s="506"/>
      <c r="AT127" s="351"/>
      <c r="AU127" s="354"/>
      <c r="AV127" s="354"/>
      <c r="AW127" s="351" t="e">
        <f t="shared" si="45"/>
        <v>#N/A</v>
      </c>
      <c r="AX127" s="506"/>
    </row>
    <row r="128" spans="2:50">
      <c r="B128" s="483"/>
      <c r="C128" s="351">
        <v>17</v>
      </c>
      <c r="D128" s="257"/>
      <c r="E128" s="187"/>
      <c r="F128" s="351"/>
      <c r="G128" s="354"/>
      <c r="H128" s="508"/>
      <c r="I128" s="219" t="e">
        <f t="shared" si="36"/>
        <v>#DIV/0!</v>
      </c>
      <c r="J128" s="219" t="e">
        <f t="shared" si="37"/>
        <v>#DIV/0!</v>
      </c>
      <c r="K128" s="220" t="e">
        <f t="shared" si="38"/>
        <v>#DIV/0!</v>
      </c>
      <c r="L128" s="457"/>
      <c r="M128" s="219" t="e">
        <f>RANK(K128, K$147:$K$176)</f>
        <v>#DIV/0!</v>
      </c>
      <c r="N128" s="475"/>
      <c r="O128" s="475"/>
      <c r="P128" s="187"/>
      <c r="Q128" s="187"/>
      <c r="R128" s="187"/>
      <c r="S128" s="351" t="e">
        <f t="shared" si="39"/>
        <v>#N/A</v>
      </c>
      <c r="T128" s="506"/>
      <c r="U128" s="187"/>
      <c r="V128" s="187"/>
      <c r="W128" s="187"/>
      <c r="X128" s="351" t="e">
        <f t="shared" si="40"/>
        <v>#N/A</v>
      </c>
      <c r="Y128" s="506"/>
      <c r="Z128" s="187"/>
      <c r="AA128" s="187"/>
      <c r="AB128" s="187"/>
      <c r="AC128" s="351" t="e">
        <f t="shared" si="41"/>
        <v>#N/A</v>
      </c>
      <c r="AD128" s="506"/>
      <c r="AE128" s="187"/>
      <c r="AF128" s="187"/>
      <c r="AG128" s="187"/>
      <c r="AH128" s="351" t="e">
        <f t="shared" si="42"/>
        <v>#N/A</v>
      </c>
      <c r="AI128" s="506"/>
      <c r="AJ128" s="187"/>
      <c r="AK128" s="187"/>
      <c r="AL128" s="187"/>
      <c r="AM128" s="351" t="e">
        <f t="shared" si="43"/>
        <v>#N/A</v>
      </c>
      <c r="AN128" s="506"/>
      <c r="AO128" s="187"/>
      <c r="AP128" s="187"/>
      <c r="AQ128" s="187"/>
      <c r="AR128" s="351" t="e">
        <f t="shared" si="44"/>
        <v>#N/A</v>
      </c>
      <c r="AS128" s="506"/>
      <c r="AT128" s="351"/>
      <c r="AU128" s="354"/>
      <c r="AV128" s="354"/>
      <c r="AW128" s="351" t="e">
        <f t="shared" si="45"/>
        <v>#N/A</v>
      </c>
      <c r="AX128" s="506"/>
    </row>
    <row r="129" spans="2:50">
      <c r="B129" s="483"/>
      <c r="C129" s="351">
        <v>18</v>
      </c>
      <c r="D129" s="257"/>
      <c r="E129" s="187"/>
      <c r="F129" s="351"/>
      <c r="G129" s="354"/>
      <c r="H129" s="508"/>
      <c r="I129" s="219" t="e">
        <f t="shared" si="36"/>
        <v>#DIV/0!</v>
      </c>
      <c r="J129" s="219" t="e">
        <f t="shared" si="37"/>
        <v>#DIV/0!</v>
      </c>
      <c r="K129" s="220" t="e">
        <f t="shared" si="38"/>
        <v>#DIV/0!</v>
      </c>
      <c r="L129" s="457"/>
      <c r="M129" s="219" t="e">
        <f>RANK(K129, K$147:$K$176)</f>
        <v>#DIV/0!</v>
      </c>
      <c r="N129" s="475"/>
      <c r="O129" s="475"/>
      <c r="P129" s="187"/>
      <c r="Q129" s="187"/>
      <c r="R129" s="187"/>
      <c r="S129" s="351" t="e">
        <f t="shared" si="39"/>
        <v>#N/A</v>
      </c>
      <c r="T129" s="506"/>
      <c r="U129" s="187"/>
      <c r="V129" s="187"/>
      <c r="W129" s="187"/>
      <c r="X129" s="351" t="e">
        <f t="shared" si="40"/>
        <v>#N/A</v>
      </c>
      <c r="Y129" s="506"/>
      <c r="Z129" s="187"/>
      <c r="AA129" s="187"/>
      <c r="AB129" s="187"/>
      <c r="AC129" s="351" t="e">
        <f t="shared" si="41"/>
        <v>#N/A</v>
      </c>
      <c r="AD129" s="506"/>
      <c r="AE129" s="187"/>
      <c r="AF129" s="187"/>
      <c r="AG129" s="187"/>
      <c r="AH129" s="351" t="e">
        <f t="shared" si="42"/>
        <v>#N/A</v>
      </c>
      <c r="AI129" s="506"/>
      <c r="AJ129" s="187"/>
      <c r="AK129" s="187"/>
      <c r="AL129" s="187"/>
      <c r="AM129" s="351" t="e">
        <f t="shared" si="43"/>
        <v>#N/A</v>
      </c>
      <c r="AN129" s="506"/>
      <c r="AO129" s="187"/>
      <c r="AP129" s="187"/>
      <c r="AQ129" s="187"/>
      <c r="AR129" s="351" t="e">
        <f t="shared" si="44"/>
        <v>#N/A</v>
      </c>
      <c r="AS129" s="506"/>
      <c r="AT129" s="351"/>
      <c r="AU129" s="354"/>
      <c r="AV129" s="354"/>
      <c r="AW129" s="351" t="e">
        <f t="shared" si="45"/>
        <v>#N/A</v>
      </c>
      <c r="AX129" s="506"/>
    </row>
    <row r="130" spans="2:50">
      <c r="B130" s="483"/>
      <c r="C130" s="351">
        <v>19</v>
      </c>
      <c r="D130" s="257"/>
      <c r="E130" s="187"/>
      <c r="F130" s="351"/>
      <c r="G130" s="354"/>
      <c r="H130" s="508"/>
      <c r="I130" s="219" t="e">
        <f t="shared" si="36"/>
        <v>#DIV/0!</v>
      </c>
      <c r="J130" s="219" t="e">
        <f t="shared" si="37"/>
        <v>#DIV/0!</v>
      </c>
      <c r="K130" s="220" t="e">
        <f t="shared" si="38"/>
        <v>#DIV/0!</v>
      </c>
      <c r="L130" s="457"/>
      <c r="M130" s="219" t="e">
        <f>RANK(K130, K$147:$K$176)</f>
        <v>#DIV/0!</v>
      </c>
      <c r="N130" s="475"/>
      <c r="O130" s="475"/>
      <c r="P130" s="187"/>
      <c r="Q130" s="187"/>
      <c r="R130" s="187"/>
      <c r="S130" s="351" t="e">
        <f t="shared" si="39"/>
        <v>#N/A</v>
      </c>
      <c r="T130" s="506"/>
      <c r="U130" s="187"/>
      <c r="V130" s="187"/>
      <c r="W130" s="187"/>
      <c r="X130" s="351" t="e">
        <f t="shared" si="40"/>
        <v>#N/A</v>
      </c>
      <c r="Y130" s="506"/>
      <c r="Z130" s="187"/>
      <c r="AA130" s="187"/>
      <c r="AB130" s="187"/>
      <c r="AC130" s="351" t="e">
        <f t="shared" si="41"/>
        <v>#N/A</v>
      </c>
      <c r="AD130" s="506"/>
      <c r="AE130" s="187"/>
      <c r="AF130" s="187"/>
      <c r="AG130" s="187"/>
      <c r="AH130" s="351" t="e">
        <f t="shared" si="42"/>
        <v>#N/A</v>
      </c>
      <c r="AI130" s="506"/>
      <c r="AJ130" s="187"/>
      <c r="AK130" s="187"/>
      <c r="AL130" s="187"/>
      <c r="AM130" s="351" t="e">
        <f t="shared" si="43"/>
        <v>#N/A</v>
      </c>
      <c r="AN130" s="506"/>
      <c r="AO130" s="187"/>
      <c r="AP130" s="187"/>
      <c r="AQ130" s="187"/>
      <c r="AR130" s="351" t="e">
        <f t="shared" si="44"/>
        <v>#N/A</v>
      </c>
      <c r="AS130" s="506"/>
      <c r="AT130" s="351"/>
      <c r="AU130" s="354"/>
      <c r="AV130" s="354"/>
      <c r="AW130" s="351" t="e">
        <f t="shared" si="45"/>
        <v>#N/A</v>
      </c>
      <c r="AX130" s="506"/>
    </row>
    <row r="131" spans="2:50">
      <c r="B131" s="483"/>
      <c r="C131" s="351">
        <v>20</v>
      </c>
      <c r="D131" s="257"/>
      <c r="E131" s="187"/>
      <c r="F131" s="351"/>
      <c r="G131" s="354"/>
      <c r="H131" s="508"/>
      <c r="I131" s="219" t="e">
        <f t="shared" si="36"/>
        <v>#DIV/0!</v>
      </c>
      <c r="J131" s="219" t="e">
        <f t="shared" si="37"/>
        <v>#DIV/0!</v>
      </c>
      <c r="K131" s="220" t="e">
        <f t="shared" si="38"/>
        <v>#DIV/0!</v>
      </c>
      <c r="L131" s="457"/>
      <c r="M131" s="219" t="e">
        <f>RANK(K131, K$147:$K$176)</f>
        <v>#DIV/0!</v>
      </c>
      <c r="N131" s="475"/>
      <c r="O131" s="475"/>
      <c r="P131" s="187"/>
      <c r="Q131" s="187"/>
      <c r="R131" s="187"/>
      <c r="S131" s="351" t="e">
        <f t="shared" si="39"/>
        <v>#N/A</v>
      </c>
      <c r="T131" s="506"/>
      <c r="U131" s="187"/>
      <c r="V131" s="187"/>
      <c r="W131" s="187"/>
      <c r="X131" s="351" t="e">
        <f t="shared" si="40"/>
        <v>#N/A</v>
      </c>
      <c r="Y131" s="506"/>
      <c r="Z131" s="187"/>
      <c r="AA131" s="187"/>
      <c r="AB131" s="187"/>
      <c r="AC131" s="351" t="e">
        <f t="shared" si="41"/>
        <v>#N/A</v>
      </c>
      <c r="AD131" s="506"/>
      <c r="AE131" s="187"/>
      <c r="AF131" s="187"/>
      <c r="AG131" s="187"/>
      <c r="AH131" s="351" t="e">
        <f t="shared" si="42"/>
        <v>#N/A</v>
      </c>
      <c r="AI131" s="506"/>
      <c r="AJ131" s="187"/>
      <c r="AK131" s="187"/>
      <c r="AL131" s="187"/>
      <c r="AM131" s="351" t="e">
        <f t="shared" si="43"/>
        <v>#N/A</v>
      </c>
      <c r="AN131" s="506"/>
      <c r="AO131" s="187"/>
      <c r="AP131" s="187"/>
      <c r="AQ131" s="187"/>
      <c r="AR131" s="351" t="e">
        <f t="shared" si="44"/>
        <v>#N/A</v>
      </c>
      <c r="AS131" s="506"/>
      <c r="AT131" s="351"/>
      <c r="AU131" s="354"/>
      <c r="AV131" s="354"/>
      <c r="AW131" s="351" t="e">
        <f t="shared" si="45"/>
        <v>#N/A</v>
      </c>
      <c r="AX131" s="506"/>
    </row>
    <row r="132" spans="2:50">
      <c r="B132" s="483"/>
      <c r="C132" s="351">
        <v>21</v>
      </c>
      <c r="D132" s="257"/>
      <c r="E132" s="187"/>
      <c r="F132" s="351"/>
      <c r="G132" s="354"/>
      <c r="H132" s="508"/>
      <c r="I132" s="219" t="e">
        <f t="shared" si="36"/>
        <v>#DIV/0!</v>
      </c>
      <c r="J132" s="219" t="e">
        <f t="shared" si="37"/>
        <v>#DIV/0!</v>
      </c>
      <c r="K132" s="220" t="e">
        <f t="shared" si="38"/>
        <v>#DIV/0!</v>
      </c>
      <c r="L132" s="457"/>
      <c r="M132" s="219" t="e">
        <f>RANK(K132, K$147:$K$176)</f>
        <v>#DIV/0!</v>
      </c>
      <c r="N132" s="475"/>
      <c r="O132" s="475"/>
      <c r="P132" s="187"/>
      <c r="Q132" s="187"/>
      <c r="R132" s="187"/>
      <c r="S132" s="351" t="e">
        <f t="shared" si="39"/>
        <v>#N/A</v>
      </c>
      <c r="T132" s="506"/>
      <c r="U132" s="187"/>
      <c r="V132" s="187"/>
      <c r="W132" s="187"/>
      <c r="X132" s="351" t="e">
        <f t="shared" si="40"/>
        <v>#N/A</v>
      </c>
      <c r="Y132" s="506"/>
      <c r="Z132" s="187"/>
      <c r="AA132" s="187"/>
      <c r="AB132" s="187"/>
      <c r="AC132" s="351" t="e">
        <f t="shared" si="41"/>
        <v>#N/A</v>
      </c>
      <c r="AD132" s="506"/>
      <c r="AE132" s="187"/>
      <c r="AF132" s="187"/>
      <c r="AG132" s="187"/>
      <c r="AH132" s="351" t="e">
        <f t="shared" si="42"/>
        <v>#N/A</v>
      </c>
      <c r="AI132" s="506"/>
      <c r="AJ132" s="187"/>
      <c r="AK132" s="187"/>
      <c r="AL132" s="187"/>
      <c r="AM132" s="351" t="e">
        <f t="shared" si="43"/>
        <v>#N/A</v>
      </c>
      <c r="AN132" s="506"/>
      <c r="AO132" s="187"/>
      <c r="AP132" s="187"/>
      <c r="AQ132" s="187"/>
      <c r="AR132" s="351" t="e">
        <f t="shared" si="44"/>
        <v>#N/A</v>
      </c>
      <c r="AS132" s="506"/>
      <c r="AT132" s="351"/>
      <c r="AU132" s="354"/>
      <c r="AV132" s="354"/>
      <c r="AW132" s="351" t="e">
        <f t="shared" si="45"/>
        <v>#N/A</v>
      </c>
      <c r="AX132" s="506"/>
    </row>
    <row r="133" spans="2:50">
      <c r="B133" s="483"/>
      <c r="C133" s="351">
        <v>22</v>
      </c>
      <c r="D133" s="257"/>
      <c r="E133" s="187"/>
      <c r="F133" s="351"/>
      <c r="G133" s="354"/>
      <c r="H133" s="508"/>
      <c r="I133" s="219" t="e">
        <f t="shared" si="36"/>
        <v>#DIV/0!</v>
      </c>
      <c r="J133" s="219" t="e">
        <f t="shared" si="37"/>
        <v>#DIV/0!</v>
      </c>
      <c r="K133" s="220" t="e">
        <f t="shared" si="38"/>
        <v>#DIV/0!</v>
      </c>
      <c r="L133" s="457"/>
      <c r="M133" s="219" t="e">
        <f>RANK(K133, K$147:$K$176)</f>
        <v>#DIV/0!</v>
      </c>
      <c r="N133" s="475"/>
      <c r="O133" s="475"/>
      <c r="P133" s="187"/>
      <c r="Q133" s="187"/>
      <c r="R133" s="187"/>
      <c r="S133" s="351" t="e">
        <f t="shared" si="39"/>
        <v>#N/A</v>
      </c>
      <c r="T133" s="506"/>
      <c r="U133" s="187"/>
      <c r="V133" s="187"/>
      <c r="W133" s="187"/>
      <c r="X133" s="351" t="e">
        <f t="shared" si="40"/>
        <v>#N/A</v>
      </c>
      <c r="Y133" s="506"/>
      <c r="Z133" s="187"/>
      <c r="AA133" s="187"/>
      <c r="AB133" s="187"/>
      <c r="AC133" s="351" t="e">
        <f t="shared" si="41"/>
        <v>#N/A</v>
      </c>
      <c r="AD133" s="506"/>
      <c r="AE133" s="187"/>
      <c r="AF133" s="187"/>
      <c r="AG133" s="187"/>
      <c r="AH133" s="351" t="e">
        <f t="shared" si="42"/>
        <v>#N/A</v>
      </c>
      <c r="AI133" s="506"/>
      <c r="AJ133" s="187"/>
      <c r="AK133" s="187"/>
      <c r="AL133" s="187"/>
      <c r="AM133" s="351" t="e">
        <f t="shared" si="43"/>
        <v>#N/A</v>
      </c>
      <c r="AN133" s="506"/>
      <c r="AO133" s="187"/>
      <c r="AP133" s="187"/>
      <c r="AQ133" s="187"/>
      <c r="AR133" s="351" t="e">
        <f t="shared" si="44"/>
        <v>#N/A</v>
      </c>
      <c r="AS133" s="506"/>
      <c r="AT133" s="351"/>
      <c r="AU133" s="354"/>
      <c r="AV133" s="354"/>
      <c r="AW133" s="351" t="e">
        <f t="shared" si="45"/>
        <v>#N/A</v>
      </c>
      <c r="AX133" s="506"/>
    </row>
    <row r="134" spans="2:50">
      <c r="B134" s="483"/>
      <c r="C134" s="351">
        <v>23</v>
      </c>
      <c r="D134" s="257"/>
      <c r="E134" s="187"/>
      <c r="F134" s="351"/>
      <c r="G134" s="354"/>
      <c r="H134" s="508"/>
      <c r="I134" s="219" t="e">
        <f t="shared" si="36"/>
        <v>#DIV/0!</v>
      </c>
      <c r="J134" s="219" t="e">
        <f t="shared" si="37"/>
        <v>#DIV/0!</v>
      </c>
      <c r="K134" s="220" t="e">
        <f t="shared" si="38"/>
        <v>#DIV/0!</v>
      </c>
      <c r="L134" s="457"/>
      <c r="M134" s="219" t="e">
        <f>RANK(K134, K$147:$K$176)</f>
        <v>#DIV/0!</v>
      </c>
      <c r="N134" s="475"/>
      <c r="O134" s="475"/>
      <c r="P134" s="187"/>
      <c r="Q134" s="187"/>
      <c r="R134" s="187"/>
      <c r="S134" s="351" t="e">
        <f t="shared" si="39"/>
        <v>#N/A</v>
      </c>
      <c r="T134" s="506"/>
      <c r="U134" s="187"/>
      <c r="V134" s="187"/>
      <c r="W134" s="187"/>
      <c r="X134" s="351" t="e">
        <f t="shared" si="40"/>
        <v>#N/A</v>
      </c>
      <c r="Y134" s="506"/>
      <c r="Z134" s="187"/>
      <c r="AA134" s="187"/>
      <c r="AB134" s="187"/>
      <c r="AC134" s="351" t="e">
        <f t="shared" si="41"/>
        <v>#N/A</v>
      </c>
      <c r="AD134" s="506"/>
      <c r="AE134" s="187"/>
      <c r="AF134" s="187"/>
      <c r="AG134" s="187"/>
      <c r="AH134" s="351" t="e">
        <f t="shared" si="42"/>
        <v>#N/A</v>
      </c>
      <c r="AI134" s="506"/>
      <c r="AJ134" s="187"/>
      <c r="AK134" s="187"/>
      <c r="AL134" s="187"/>
      <c r="AM134" s="351" t="e">
        <f t="shared" si="43"/>
        <v>#N/A</v>
      </c>
      <c r="AN134" s="506"/>
      <c r="AO134" s="187"/>
      <c r="AP134" s="187"/>
      <c r="AQ134" s="187"/>
      <c r="AR134" s="351" t="e">
        <f t="shared" si="44"/>
        <v>#N/A</v>
      </c>
      <c r="AS134" s="506"/>
      <c r="AT134" s="351"/>
      <c r="AU134" s="354"/>
      <c r="AV134" s="354"/>
      <c r="AW134" s="351" t="e">
        <f t="shared" si="45"/>
        <v>#N/A</v>
      </c>
      <c r="AX134" s="506"/>
    </row>
    <row r="135" spans="2:50">
      <c r="B135" s="483"/>
      <c r="C135" s="351">
        <v>24</v>
      </c>
      <c r="D135" s="257"/>
      <c r="E135" s="187"/>
      <c r="F135" s="351"/>
      <c r="G135" s="354"/>
      <c r="H135" s="508"/>
      <c r="I135" s="219" t="e">
        <f t="shared" si="36"/>
        <v>#DIV/0!</v>
      </c>
      <c r="J135" s="219" t="e">
        <f t="shared" si="37"/>
        <v>#DIV/0!</v>
      </c>
      <c r="K135" s="220" t="e">
        <f t="shared" si="38"/>
        <v>#DIV/0!</v>
      </c>
      <c r="L135" s="457"/>
      <c r="M135" s="219" t="e">
        <f>RANK(K135, K$147:$K$176)</f>
        <v>#DIV/0!</v>
      </c>
      <c r="N135" s="475"/>
      <c r="O135" s="475"/>
      <c r="P135" s="187"/>
      <c r="Q135" s="187"/>
      <c r="R135" s="187"/>
      <c r="S135" s="351" t="e">
        <f t="shared" si="39"/>
        <v>#N/A</v>
      </c>
      <c r="T135" s="506"/>
      <c r="U135" s="187"/>
      <c r="V135" s="187"/>
      <c r="W135" s="187"/>
      <c r="X135" s="351" t="e">
        <f t="shared" si="40"/>
        <v>#N/A</v>
      </c>
      <c r="Y135" s="506"/>
      <c r="Z135" s="187"/>
      <c r="AA135" s="187"/>
      <c r="AB135" s="187"/>
      <c r="AC135" s="351" t="e">
        <f t="shared" si="41"/>
        <v>#N/A</v>
      </c>
      <c r="AD135" s="506"/>
      <c r="AE135" s="187"/>
      <c r="AF135" s="187"/>
      <c r="AG135" s="187"/>
      <c r="AH135" s="351" t="e">
        <f t="shared" si="42"/>
        <v>#N/A</v>
      </c>
      <c r="AI135" s="506"/>
      <c r="AJ135" s="187"/>
      <c r="AK135" s="187"/>
      <c r="AL135" s="187"/>
      <c r="AM135" s="351" t="e">
        <f t="shared" si="43"/>
        <v>#N/A</v>
      </c>
      <c r="AN135" s="506"/>
      <c r="AO135" s="187"/>
      <c r="AP135" s="187"/>
      <c r="AQ135" s="187"/>
      <c r="AR135" s="351" t="e">
        <f t="shared" si="44"/>
        <v>#N/A</v>
      </c>
      <c r="AS135" s="506"/>
      <c r="AT135" s="351"/>
      <c r="AU135" s="354"/>
      <c r="AV135" s="354"/>
      <c r="AW135" s="351" t="e">
        <f t="shared" si="45"/>
        <v>#N/A</v>
      </c>
      <c r="AX135" s="506"/>
    </row>
    <row r="136" spans="2:50">
      <c r="B136" s="483"/>
      <c r="C136" s="351">
        <v>25</v>
      </c>
      <c r="D136" s="257"/>
      <c r="E136" s="187"/>
      <c r="F136" s="351"/>
      <c r="G136" s="354"/>
      <c r="H136" s="508"/>
      <c r="I136" s="219"/>
      <c r="J136" s="219"/>
      <c r="K136" s="220"/>
      <c r="L136" s="457"/>
      <c r="M136" s="219" t="e">
        <f>RANK(K136, K$147:$K$176)</f>
        <v>#DIV/0!</v>
      </c>
      <c r="N136" s="475"/>
      <c r="O136" s="475"/>
      <c r="P136" s="351"/>
      <c r="Q136" s="354"/>
      <c r="R136" s="354"/>
      <c r="S136" s="351" t="e">
        <f t="shared" si="39"/>
        <v>#N/A</v>
      </c>
      <c r="T136" s="506"/>
      <c r="U136" s="351"/>
      <c r="V136" s="354"/>
      <c r="W136" s="354"/>
      <c r="X136" s="351" t="e">
        <f t="shared" si="40"/>
        <v>#N/A</v>
      </c>
      <c r="Y136" s="506"/>
      <c r="Z136" s="351"/>
      <c r="AA136" s="354"/>
      <c r="AB136" s="354"/>
      <c r="AC136" s="351" t="e">
        <f t="shared" si="41"/>
        <v>#N/A</v>
      </c>
      <c r="AD136" s="506"/>
      <c r="AE136" s="351"/>
      <c r="AF136" s="354"/>
      <c r="AG136" s="354"/>
      <c r="AH136" s="351" t="e">
        <f t="shared" si="42"/>
        <v>#N/A</v>
      </c>
      <c r="AI136" s="506"/>
      <c r="AJ136" s="351"/>
      <c r="AK136" s="354"/>
      <c r="AL136" s="354"/>
      <c r="AM136" s="351" t="e">
        <f t="shared" si="43"/>
        <v>#N/A</v>
      </c>
      <c r="AN136" s="506"/>
      <c r="AO136" s="351"/>
      <c r="AP136" s="354"/>
      <c r="AQ136" s="354"/>
      <c r="AR136" s="351" t="e">
        <f t="shared" si="44"/>
        <v>#N/A</v>
      </c>
      <c r="AS136" s="506"/>
      <c r="AT136" s="351"/>
      <c r="AU136" s="354"/>
      <c r="AV136" s="354"/>
      <c r="AW136" s="351" t="e">
        <f t="shared" si="45"/>
        <v>#N/A</v>
      </c>
      <c r="AX136" s="506"/>
    </row>
    <row r="137" spans="2:50">
      <c r="B137" s="483"/>
      <c r="C137" s="351">
        <v>26</v>
      </c>
      <c r="D137" s="257"/>
      <c r="E137" s="187"/>
      <c r="F137" s="351"/>
      <c r="G137" s="354"/>
      <c r="H137" s="508"/>
      <c r="I137" s="219"/>
      <c r="J137" s="219"/>
      <c r="K137" s="220"/>
      <c r="L137" s="457"/>
      <c r="M137" s="219" t="e">
        <f>RANK(K137, K$147:$K$176)</f>
        <v>#DIV/0!</v>
      </c>
      <c r="N137" s="475"/>
      <c r="O137" s="475"/>
      <c r="P137" s="351"/>
      <c r="Q137" s="354"/>
      <c r="R137" s="354"/>
      <c r="S137" s="351" t="e">
        <f t="shared" si="39"/>
        <v>#N/A</v>
      </c>
      <c r="T137" s="506"/>
      <c r="U137" s="351"/>
      <c r="V137" s="354"/>
      <c r="W137" s="354"/>
      <c r="X137" s="351" t="e">
        <f t="shared" si="40"/>
        <v>#N/A</v>
      </c>
      <c r="Y137" s="506"/>
      <c r="Z137" s="351"/>
      <c r="AA137" s="354"/>
      <c r="AB137" s="354"/>
      <c r="AC137" s="351" t="e">
        <f t="shared" si="41"/>
        <v>#N/A</v>
      </c>
      <c r="AD137" s="506"/>
      <c r="AE137" s="351"/>
      <c r="AF137" s="354"/>
      <c r="AG137" s="354"/>
      <c r="AH137" s="351" t="e">
        <f t="shared" si="42"/>
        <v>#N/A</v>
      </c>
      <c r="AI137" s="506"/>
      <c r="AJ137" s="351"/>
      <c r="AK137" s="354"/>
      <c r="AL137" s="354"/>
      <c r="AM137" s="351" t="e">
        <f t="shared" si="43"/>
        <v>#N/A</v>
      </c>
      <c r="AN137" s="506"/>
      <c r="AO137" s="351"/>
      <c r="AP137" s="354"/>
      <c r="AQ137" s="354"/>
      <c r="AR137" s="351" t="e">
        <f t="shared" si="44"/>
        <v>#N/A</v>
      </c>
      <c r="AS137" s="506"/>
      <c r="AT137" s="351"/>
      <c r="AU137" s="354"/>
      <c r="AV137" s="354"/>
      <c r="AW137" s="351" t="e">
        <f t="shared" si="45"/>
        <v>#N/A</v>
      </c>
      <c r="AX137" s="506"/>
    </row>
    <row r="138" spans="2:50">
      <c r="B138" s="483"/>
      <c r="C138" s="351">
        <v>27</v>
      </c>
      <c r="D138" s="257"/>
      <c r="E138" s="187"/>
      <c r="F138" s="351"/>
      <c r="G138" s="354"/>
      <c r="H138" s="508"/>
      <c r="I138" s="219"/>
      <c r="J138" s="219"/>
      <c r="K138" s="220"/>
      <c r="L138" s="457"/>
      <c r="M138" s="219" t="e">
        <f>RANK(K138, K$147:$K$176)</f>
        <v>#DIV/0!</v>
      </c>
      <c r="N138" s="475"/>
      <c r="O138" s="475"/>
      <c r="P138" s="351"/>
      <c r="Q138" s="354"/>
      <c r="R138" s="354"/>
      <c r="S138" s="351" t="e">
        <f t="shared" si="39"/>
        <v>#N/A</v>
      </c>
      <c r="T138" s="506"/>
      <c r="U138" s="351"/>
      <c r="V138" s="354"/>
      <c r="W138" s="354"/>
      <c r="X138" s="351" t="e">
        <f t="shared" si="40"/>
        <v>#N/A</v>
      </c>
      <c r="Y138" s="506"/>
      <c r="Z138" s="351"/>
      <c r="AA138" s="354"/>
      <c r="AB138" s="354"/>
      <c r="AC138" s="351" t="e">
        <f t="shared" si="41"/>
        <v>#N/A</v>
      </c>
      <c r="AD138" s="506"/>
      <c r="AE138" s="351"/>
      <c r="AF138" s="354"/>
      <c r="AG138" s="354"/>
      <c r="AH138" s="351" t="e">
        <f t="shared" si="42"/>
        <v>#N/A</v>
      </c>
      <c r="AI138" s="506"/>
      <c r="AJ138" s="351"/>
      <c r="AK138" s="354"/>
      <c r="AL138" s="354"/>
      <c r="AM138" s="351" t="e">
        <f t="shared" si="43"/>
        <v>#N/A</v>
      </c>
      <c r="AN138" s="506"/>
      <c r="AO138" s="351"/>
      <c r="AP138" s="354"/>
      <c r="AQ138" s="354"/>
      <c r="AR138" s="351" t="e">
        <f t="shared" si="44"/>
        <v>#N/A</v>
      </c>
      <c r="AS138" s="506"/>
      <c r="AT138" s="351"/>
      <c r="AU138" s="354"/>
      <c r="AV138" s="354"/>
      <c r="AW138" s="351" t="e">
        <f t="shared" si="45"/>
        <v>#N/A</v>
      </c>
      <c r="AX138" s="506"/>
    </row>
    <row r="139" spans="2:50">
      <c r="B139" s="483"/>
      <c r="C139" s="351">
        <v>28</v>
      </c>
      <c r="D139" s="257"/>
      <c r="E139" s="187"/>
      <c r="F139" s="351"/>
      <c r="G139" s="354"/>
      <c r="H139" s="508"/>
      <c r="I139" s="219"/>
      <c r="J139" s="219"/>
      <c r="K139" s="220"/>
      <c r="L139" s="457"/>
      <c r="M139" s="219" t="e">
        <f>RANK(K139, K$147:$K$176)</f>
        <v>#DIV/0!</v>
      </c>
      <c r="N139" s="475"/>
      <c r="O139" s="475"/>
      <c r="P139" s="351"/>
      <c r="Q139" s="354"/>
      <c r="R139" s="354"/>
      <c r="S139" s="351" t="e">
        <f t="shared" si="39"/>
        <v>#N/A</v>
      </c>
      <c r="T139" s="506"/>
      <c r="U139" s="351"/>
      <c r="V139" s="354"/>
      <c r="W139" s="354"/>
      <c r="X139" s="351" t="e">
        <f t="shared" si="40"/>
        <v>#N/A</v>
      </c>
      <c r="Y139" s="506"/>
      <c r="Z139" s="351"/>
      <c r="AA139" s="354"/>
      <c r="AB139" s="354"/>
      <c r="AC139" s="351" t="e">
        <f t="shared" si="41"/>
        <v>#N/A</v>
      </c>
      <c r="AD139" s="506"/>
      <c r="AE139" s="351"/>
      <c r="AF139" s="354"/>
      <c r="AG139" s="354"/>
      <c r="AH139" s="351" t="e">
        <f t="shared" si="42"/>
        <v>#N/A</v>
      </c>
      <c r="AI139" s="506"/>
      <c r="AJ139" s="351"/>
      <c r="AK139" s="354"/>
      <c r="AL139" s="354"/>
      <c r="AM139" s="351" t="e">
        <f t="shared" si="43"/>
        <v>#N/A</v>
      </c>
      <c r="AN139" s="506"/>
      <c r="AO139" s="351"/>
      <c r="AP139" s="354"/>
      <c r="AQ139" s="354"/>
      <c r="AR139" s="351" t="e">
        <f t="shared" si="44"/>
        <v>#N/A</v>
      </c>
      <c r="AS139" s="506"/>
      <c r="AT139" s="351"/>
      <c r="AU139" s="354"/>
      <c r="AV139" s="354"/>
      <c r="AW139" s="351" t="e">
        <f t="shared" si="45"/>
        <v>#N/A</v>
      </c>
      <c r="AX139" s="506"/>
    </row>
    <row r="140" spans="2:50">
      <c r="B140" s="483"/>
      <c r="C140" s="351">
        <v>29</v>
      </c>
      <c r="D140" s="257"/>
      <c r="E140" s="187"/>
      <c r="F140" s="351"/>
      <c r="G140" s="354"/>
      <c r="H140" s="508"/>
      <c r="I140" s="222"/>
      <c r="J140" s="222"/>
      <c r="K140" s="222"/>
      <c r="L140" s="457"/>
      <c r="M140" s="219" t="e">
        <f>RANK(K140, K$147:$K$176)</f>
        <v>#DIV/0!</v>
      </c>
      <c r="N140" s="475"/>
      <c r="O140" s="475"/>
      <c r="P140" s="351"/>
      <c r="Q140" s="351"/>
      <c r="R140" s="351"/>
      <c r="S140" s="351" t="e">
        <f t="shared" si="39"/>
        <v>#N/A</v>
      </c>
      <c r="T140" s="506"/>
      <c r="U140" s="351"/>
      <c r="V140" s="351"/>
      <c r="W140" s="351"/>
      <c r="X140" s="351" t="e">
        <f t="shared" si="40"/>
        <v>#N/A</v>
      </c>
      <c r="Y140" s="506"/>
      <c r="Z140" s="351"/>
      <c r="AA140" s="351"/>
      <c r="AB140" s="351"/>
      <c r="AC140" s="351" t="e">
        <f t="shared" si="41"/>
        <v>#N/A</v>
      </c>
      <c r="AD140" s="506"/>
      <c r="AE140" s="351"/>
      <c r="AF140" s="351"/>
      <c r="AG140" s="351"/>
      <c r="AH140" s="351" t="e">
        <f t="shared" si="42"/>
        <v>#N/A</v>
      </c>
      <c r="AI140" s="506"/>
      <c r="AJ140" s="351"/>
      <c r="AK140" s="351"/>
      <c r="AL140" s="351"/>
      <c r="AM140" s="351" t="e">
        <f t="shared" si="43"/>
        <v>#N/A</v>
      </c>
      <c r="AN140" s="506"/>
      <c r="AO140" s="351"/>
      <c r="AP140" s="351"/>
      <c r="AQ140" s="351"/>
      <c r="AR140" s="351" t="e">
        <f t="shared" si="44"/>
        <v>#N/A</v>
      </c>
      <c r="AS140" s="506"/>
      <c r="AT140" s="351"/>
      <c r="AU140" s="351"/>
      <c r="AV140" s="351"/>
      <c r="AW140" s="351" t="e">
        <f t="shared" si="45"/>
        <v>#N/A</v>
      </c>
      <c r="AX140" s="506"/>
    </row>
    <row r="141" spans="2:50">
      <c r="B141" s="483"/>
      <c r="C141" s="351">
        <v>30</v>
      </c>
      <c r="D141" s="257"/>
      <c r="E141" s="187"/>
      <c r="F141" s="351"/>
      <c r="G141" s="354"/>
      <c r="H141" s="509"/>
      <c r="I141" s="222"/>
      <c r="J141" s="222"/>
      <c r="K141" s="222"/>
      <c r="L141" s="458"/>
      <c r="M141" s="219" t="e">
        <f>RANK(K141, K$147:$K$176)</f>
        <v>#DIV/0!</v>
      </c>
      <c r="N141" s="475"/>
      <c r="O141" s="475"/>
      <c r="P141" s="351"/>
      <c r="Q141" s="351"/>
      <c r="R141" s="351"/>
      <c r="S141" s="351" t="e">
        <f t="shared" si="39"/>
        <v>#N/A</v>
      </c>
      <c r="T141" s="506"/>
      <c r="U141" s="351"/>
      <c r="V141" s="351"/>
      <c r="W141" s="351"/>
      <c r="X141" s="351" t="e">
        <f t="shared" si="40"/>
        <v>#N/A</v>
      </c>
      <c r="Y141" s="506"/>
      <c r="Z141" s="351"/>
      <c r="AA141" s="351"/>
      <c r="AB141" s="351"/>
      <c r="AC141" s="351" t="e">
        <f t="shared" si="41"/>
        <v>#N/A</v>
      </c>
      <c r="AD141" s="506"/>
      <c r="AE141" s="351"/>
      <c r="AF141" s="351"/>
      <c r="AG141" s="351"/>
      <c r="AH141" s="351" t="e">
        <f t="shared" si="42"/>
        <v>#N/A</v>
      </c>
      <c r="AI141" s="506"/>
      <c r="AJ141" s="351"/>
      <c r="AK141" s="351"/>
      <c r="AL141" s="351"/>
      <c r="AM141" s="351" t="e">
        <f t="shared" si="43"/>
        <v>#N/A</v>
      </c>
      <c r="AN141" s="506"/>
      <c r="AO141" s="351"/>
      <c r="AP141" s="351"/>
      <c r="AQ141" s="351"/>
      <c r="AR141" s="351" t="e">
        <f t="shared" si="44"/>
        <v>#N/A</v>
      </c>
      <c r="AS141" s="506"/>
      <c r="AT141" s="351"/>
      <c r="AU141" s="351"/>
      <c r="AV141" s="351"/>
      <c r="AW141" s="351" t="e">
        <f t="shared" si="45"/>
        <v>#N/A</v>
      </c>
      <c r="AX141" s="506"/>
    </row>
    <row r="142" spans="2:50" ht="15.75">
      <c r="B142" s="487" t="s">
        <v>172</v>
      </c>
      <c r="C142" s="488"/>
      <c r="D142" s="488"/>
      <c r="E142" s="488"/>
      <c r="F142" s="488"/>
      <c r="G142" s="488"/>
      <c r="H142" s="489"/>
      <c r="I142" s="228"/>
      <c r="J142" s="228"/>
      <c r="K142" s="228"/>
      <c r="L142" s="228"/>
      <c r="M142" s="227"/>
      <c r="N142" s="476" t="s">
        <v>164</v>
      </c>
      <c r="O142" s="476" t="s">
        <v>105</v>
      </c>
      <c r="P142" s="482">
        <f>P107+7</f>
        <v>45923</v>
      </c>
      <c r="Q142" s="483"/>
      <c r="R142" s="483"/>
      <c r="S142" s="483"/>
      <c r="T142" s="483"/>
      <c r="U142" s="479">
        <f>P142+1</f>
        <v>45924</v>
      </c>
      <c r="V142" s="480"/>
      <c r="W142" s="480"/>
      <c r="X142" s="480"/>
      <c r="Y142" s="481"/>
      <c r="Z142" s="479">
        <f>U142+1</f>
        <v>45925</v>
      </c>
      <c r="AA142" s="480"/>
      <c r="AB142" s="480"/>
      <c r="AC142" s="480"/>
      <c r="AD142" s="481"/>
      <c r="AE142" s="479">
        <f t="shared" ref="AE142" si="46">Z142+1</f>
        <v>45926</v>
      </c>
      <c r="AF142" s="480"/>
      <c r="AG142" s="480"/>
      <c r="AH142" s="480"/>
      <c r="AI142" s="481"/>
      <c r="AJ142" s="479">
        <f t="shared" ref="AJ142" si="47">AE142+1</f>
        <v>45927</v>
      </c>
      <c r="AK142" s="480"/>
      <c r="AL142" s="480"/>
      <c r="AM142" s="480"/>
      <c r="AN142" s="481"/>
      <c r="AO142" s="479">
        <f t="shared" ref="AO142" si="48">AJ142+1</f>
        <v>45928</v>
      </c>
      <c r="AP142" s="480"/>
      <c r="AQ142" s="480"/>
      <c r="AR142" s="480"/>
      <c r="AS142" s="481"/>
      <c r="AT142" s="479">
        <f t="shared" ref="AT142" si="49">AO142+1</f>
        <v>45929</v>
      </c>
      <c r="AU142" s="480"/>
      <c r="AV142" s="480"/>
      <c r="AW142" s="480"/>
      <c r="AX142" s="481"/>
    </row>
    <row r="143" spans="2:50" ht="15.75">
      <c r="B143" s="490"/>
      <c r="C143" s="490"/>
      <c r="D143" s="490"/>
      <c r="E143" s="490"/>
      <c r="F143" s="490"/>
      <c r="G143" s="490"/>
      <c r="H143" s="490"/>
      <c r="I143" s="225"/>
      <c r="J143" s="225"/>
      <c r="K143" s="225"/>
      <c r="L143" s="225"/>
      <c r="M143" s="226"/>
      <c r="N143" s="478"/>
      <c r="O143" s="478"/>
      <c r="P143" s="482" t="s">
        <v>393</v>
      </c>
      <c r="Q143" s="483"/>
      <c r="R143" s="483"/>
      <c r="S143" s="483"/>
      <c r="T143" s="483"/>
      <c r="U143" s="482" t="s">
        <v>394</v>
      </c>
      <c r="V143" s="483"/>
      <c r="W143" s="483"/>
      <c r="X143" s="483"/>
      <c r="Y143" s="483"/>
      <c r="Z143" s="482" t="s">
        <v>395</v>
      </c>
      <c r="AA143" s="483"/>
      <c r="AB143" s="483"/>
      <c r="AC143" s="483"/>
      <c r="AD143" s="483"/>
      <c r="AE143" s="482" t="s">
        <v>396</v>
      </c>
      <c r="AF143" s="483"/>
      <c r="AG143" s="483"/>
      <c r="AH143" s="483"/>
      <c r="AI143" s="483"/>
      <c r="AJ143" s="482" t="s">
        <v>397</v>
      </c>
      <c r="AK143" s="483"/>
      <c r="AL143" s="483"/>
      <c r="AM143" s="483"/>
      <c r="AN143" s="483"/>
      <c r="AO143" s="482" t="s">
        <v>398</v>
      </c>
      <c r="AP143" s="483"/>
      <c r="AQ143" s="483"/>
      <c r="AR143" s="483"/>
      <c r="AS143" s="483"/>
      <c r="AT143" s="482" t="s">
        <v>399</v>
      </c>
      <c r="AU143" s="483"/>
      <c r="AV143" s="483"/>
      <c r="AW143" s="483"/>
      <c r="AX143" s="483"/>
    </row>
    <row r="144" spans="2:50">
      <c r="B144" s="475" t="s">
        <v>726</v>
      </c>
      <c r="C144" s="475" t="s">
        <v>727</v>
      </c>
      <c r="D144" s="475"/>
      <c r="E144" s="475" t="s">
        <v>728</v>
      </c>
      <c r="F144" s="475"/>
      <c r="G144" s="475"/>
      <c r="H144" s="491" t="s">
        <v>729</v>
      </c>
      <c r="I144" s="459" t="s">
        <v>730</v>
      </c>
      <c r="J144" s="459"/>
      <c r="K144" s="459"/>
      <c r="L144" s="460" t="s">
        <v>729</v>
      </c>
      <c r="M144" s="466" t="s">
        <v>731</v>
      </c>
      <c r="N144" s="475"/>
      <c r="O144" s="475" t="s">
        <v>732</v>
      </c>
      <c r="P144" s="472" t="s">
        <v>733</v>
      </c>
      <c r="Q144" s="473"/>
      <c r="R144" s="473"/>
      <c r="S144" s="474"/>
      <c r="T144" s="475" t="s">
        <v>729</v>
      </c>
      <c r="U144" s="472" t="s">
        <v>733</v>
      </c>
      <c r="V144" s="473"/>
      <c r="W144" s="473"/>
      <c r="X144" s="474"/>
      <c r="Y144" s="475" t="s">
        <v>729</v>
      </c>
      <c r="Z144" s="472" t="s">
        <v>733</v>
      </c>
      <c r="AA144" s="473"/>
      <c r="AB144" s="473"/>
      <c r="AC144" s="474"/>
      <c r="AD144" s="475" t="s">
        <v>729</v>
      </c>
      <c r="AE144" s="472" t="s">
        <v>733</v>
      </c>
      <c r="AF144" s="473"/>
      <c r="AG144" s="473"/>
      <c r="AH144" s="474"/>
      <c r="AI144" s="475" t="s">
        <v>729</v>
      </c>
      <c r="AJ144" s="472" t="s">
        <v>733</v>
      </c>
      <c r="AK144" s="473"/>
      <c r="AL144" s="473"/>
      <c r="AM144" s="474"/>
      <c r="AN144" s="475" t="s">
        <v>729</v>
      </c>
      <c r="AO144" s="472" t="s">
        <v>733</v>
      </c>
      <c r="AP144" s="473"/>
      <c r="AQ144" s="473"/>
      <c r="AR144" s="474"/>
      <c r="AS144" s="475" t="s">
        <v>729</v>
      </c>
      <c r="AT144" s="472" t="s">
        <v>733</v>
      </c>
      <c r="AU144" s="473"/>
      <c r="AV144" s="473"/>
      <c r="AW144" s="474"/>
      <c r="AX144" s="475" t="s">
        <v>729</v>
      </c>
    </row>
    <row r="145" spans="2:50">
      <c r="B145" s="475"/>
      <c r="C145" s="475"/>
      <c r="D145" s="475"/>
      <c r="E145" s="475" t="s">
        <v>734</v>
      </c>
      <c r="F145" s="475"/>
      <c r="G145" s="475"/>
      <c r="H145" s="492"/>
      <c r="I145" s="459" t="s">
        <v>734</v>
      </c>
      <c r="J145" s="459"/>
      <c r="K145" s="459"/>
      <c r="L145" s="461"/>
      <c r="M145" s="467"/>
      <c r="N145" s="475"/>
      <c r="O145" s="475"/>
      <c r="P145" s="472" t="s">
        <v>735</v>
      </c>
      <c r="Q145" s="473"/>
      <c r="R145" s="473"/>
      <c r="S145" s="474"/>
      <c r="T145" s="475"/>
      <c r="U145" s="472" t="s">
        <v>735</v>
      </c>
      <c r="V145" s="473"/>
      <c r="W145" s="473"/>
      <c r="X145" s="474"/>
      <c r="Y145" s="475"/>
      <c r="Z145" s="472" t="s">
        <v>735</v>
      </c>
      <c r="AA145" s="473"/>
      <c r="AB145" s="473"/>
      <c r="AC145" s="474"/>
      <c r="AD145" s="475"/>
      <c r="AE145" s="472" t="s">
        <v>735</v>
      </c>
      <c r="AF145" s="473"/>
      <c r="AG145" s="473"/>
      <c r="AH145" s="474"/>
      <c r="AI145" s="475"/>
      <c r="AJ145" s="472" t="s">
        <v>735</v>
      </c>
      <c r="AK145" s="473"/>
      <c r="AL145" s="473"/>
      <c r="AM145" s="474"/>
      <c r="AN145" s="475"/>
      <c r="AO145" s="472" t="s">
        <v>735</v>
      </c>
      <c r="AP145" s="473"/>
      <c r="AQ145" s="473"/>
      <c r="AR145" s="474"/>
      <c r="AS145" s="475"/>
      <c r="AT145" s="472" t="s">
        <v>735</v>
      </c>
      <c r="AU145" s="473"/>
      <c r="AV145" s="473"/>
      <c r="AW145" s="474"/>
      <c r="AX145" s="475"/>
    </row>
    <row r="146" spans="2:50">
      <c r="B146" s="475"/>
      <c r="C146" s="475"/>
      <c r="D146" s="475"/>
      <c r="E146" s="340" t="s">
        <v>736</v>
      </c>
      <c r="F146" s="340" t="s">
        <v>737</v>
      </c>
      <c r="G146" s="340" t="s">
        <v>738</v>
      </c>
      <c r="H146" s="493"/>
      <c r="I146" s="342" t="s">
        <v>736</v>
      </c>
      <c r="J146" s="342" t="s">
        <v>737</v>
      </c>
      <c r="K146" s="342" t="s">
        <v>738</v>
      </c>
      <c r="L146" s="462"/>
      <c r="M146" s="468"/>
      <c r="N146" s="475"/>
      <c r="O146" s="475"/>
      <c r="P146" s="340" t="s">
        <v>736</v>
      </c>
      <c r="Q146" s="340" t="s">
        <v>737</v>
      </c>
      <c r="R146" s="340" t="s">
        <v>738</v>
      </c>
      <c r="S146" s="340" t="s">
        <v>731</v>
      </c>
      <c r="T146" s="475"/>
      <c r="U146" s="340" t="s">
        <v>736</v>
      </c>
      <c r="V146" s="340" t="s">
        <v>737</v>
      </c>
      <c r="W146" s="340" t="s">
        <v>738</v>
      </c>
      <c r="X146" s="340" t="s">
        <v>731</v>
      </c>
      <c r="Y146" s="475"/>
      <c r="Z146" s="340" t="s">
        <v>736</v>
      </c>
      <c r="AA146" s="340" t="s">
        <v>737</v>
      </c>
      <c r="AB146" s="340" t="s">
        <v>738</v>
      </c>
      <c r="AC146" s="340" t="s">
        <v>731</v>
      </c>
      <c r="AD146" s="475"/>
      <c r="AE146" s="340" t="s">
        <v>736</v>
      </c>
      <c r="AF146" s="340" t="s">
        <v>737</v>
      </c>
      <c r="AG146" s="340" t="s">
        <v>738</v>
      </c>
      <c r="AH146" s="340" t="s">
        <v>731</v>
      </c>
      <c r="AI146" s="475"/>
      <c r="AJ146" s="340" t="s">
        <v>736</v>
      </c>
      <c r="AK146" s="340" t="s">
        <v>737</v>
      </c>
      <c r="AL146" s="340" t="s">
        <v>738</v>
      </c>
      <c r="AM146" s="340" t="s">
        <v>731</v>
      </c>
      <c r="AN146" s="475"/>
      <c r="AO146" s="340" t="s">
        <v>736</v>
      </c>
      <c r="AP146" s="340" t="s">
        <v>737</v>
      </c>
      <c r="AQ146" s="340" t="s">
        <v>738</v>
      </c>
      <c r="AR146" s="340" t="s">
        <v>731</v>
      </c>
      <c r="AS146" s="475"/>
      <c r="AT146" s="340" t="s">
        <v>736</v>
      </c>
      <c r="AU146" s="340" t="s">
        <v>737</v>
      </c>
      <c r="AV146" s="340" t="s">
        <v>738</v>
      </c>
      <c r="AW146" s="340" t="s">
        <v>731</v>
      </c>
      <c r="AX146" s="475"/>
    </row>
    <row r="147" spans="2:50">
      <c r="B147" s="475" t="s">
        <v>739</v>
      </c>
      <c r="C147" s="339">
        <v>1</v>
      </c>
      <c r="D147" s="257"/>
      <c r="E147" s="187"/>
      <c r="F147" s="339"/>
      <c r="G147" s="341"/>
      <c r="H147" s="507" t="e">
        <f>AVERAGE(G147:G176)</f>
        <v>#DIV/0!</v>
      </c>
      <c r="I147" s="219" t="e">
        <f>AVERAGE(P147,U147,Z147,AE147,AJ147,AO147,AT147)</f>
        <v>#DIV/0!</v>
      </c>
      <c r="J147" s="219" t="e">
        <f>AVERAGE(Q147,V147,AA147,AF147,AK147,AP147,AU147)</f>
        <v>#DIV/0!</v>
      </c>
      <c r="K147" s="220" t="e">
        <f>AVERAGE(R147,W147,AB147,AG147,AL147,AQ147,AV147)</f>
        <v>#DIV/0!</v>
      </c>
      <c r="L147" s="456" t="str">
        <f>IFERROR(AVERAGE(K147:K176),"-")</f>
        <v>-</v>
      </c>
      <c r="M147" s="221" t="e">
        <f>RANK(K147, K$147:$K$176)</f>
        <v>#DIV/0!</v>
      </c>
      <c r="N147" s="475"/>
      <c r="O147" s="475"/>
      <c r="P147" s="187"/>
      <c r="Q147" s="187"/>
      <c r="R147" s="187"/>
      <c r="S147" s="339" t="e">
        <f>RANK(R147, R$147:R$176)</f>
        <v>#N/A</v>
      </c>
      <c r="T147" s="506" t="e">
        <f>AVERAGE(R147:R176)</f>
        <v>#DIV/0!</v>
      </c>
      <c r="U147" s="187"/>
      <c r="V147" s="187"/>
      <c r="W147" s="187"/>
      <c r="X147" s="339" t="e">
        <f>RANK(W147, W$147:W$176)</f>
        <v>#N/A</v>
      </c>
      <c r="Y147" s="506" t="e">
        <f>AVERAGE(W147:W176)</f>
        <v>#DIV/0!</v>
      </c>
      <c r="Z147" s="187"/>
      <c r="AA147" s="187"/>
      <c r="AB147" s="187"/>
      <c r="AC147" s="339" t="e">
        <f>RANK(AB147, AB$147:AB$176)</f>
        <v>#N/A</v>
      </c>
      <c r="AD147" s="506" t="e">
        <f>AVERAGE(AB147:AB176)</f>
        <v>#DIV/0!</v>
      </c>
      <c r="AE147" s="187"/>
      <c r="AF147" s="187"/>
      <c r="AG147" s="187"/>
      <c r="AH147" s="339" t="e">
        <f>RANK(AG147, AG$147:AG$176)</f>
        <v>#N/A</v>
      </c>
      <c r="AI147" s="506" t="e">
        <f>AVERAGE(AG147:AG176)</f>
        <v>#DIV/0!</v>
      </c>
      <c r="AJ147" s="187"/>
      <c r="AK147" s="187"/>
      <c r="AL147" s="187"/>
      <c r="AM147" s="339" t="e">
        <f>RANK(AL147, AL$147:AL$176)</f>
        <v>#N/A</v>
      </c>
      <c r="AN147" s="506" t="e">
        <f>AVERAGE(AL147:AL176)</f>
        <v>#DIV/0!</v>
      </c>
      <c r="AO147" s="187"/>
      <c r="AP147" s="187"/>
      <c r="AQ147" s="187"/>
      <c r="AR147" s="339" t="e">
        <f>RANK(AQ147, AQ$147:AQ$176)</f>
        <v>#N/A</v>
      </c>
      <c r="AS147" s="506" t="e">
        <f>AVERAGE(AQ147:AQ176)</f>
        <v>#DIV/0!</v>
      </c>
      <c r="AT147" s="339"/>
      <c r="AU147" s="341"/>
      <c r="AV147" s="341"/>
      <c r="AW147" s="339" t="e">
        <f>RANK(AV147, AV$147:AV$176)</f>
        <v>#N/A</v>
      </c>
      <c r="AX147" s="506" t="e">
        <f>AVERAGE(AV147:AV176)</f>
        <v>#DIV/0!</v>
      </c>
    </row>
    <row r="148" spans="2:50">
      <c r="B148" s="483"/>
      <c r="C148" s="339">
        <v>2</v>
      </c>
      <c r="D148" s="257"/>
      <c r="E148" s="187"/>
      <c r="F148" s="339"/>
      <c r="G148" s="341"/>
      <c r="H148" s="508"/>
      <c r="I148" s="219" t="e">
        <f t="shared" ref="I148:I170" si="50">AVERAGE(P148,U148,Z148,AE148,AJ148,AO148,AT148)</f>
        <v>#DIV/0!</v>
      </c>
      <c r="J148" s="219" t="e">
        <f t="shared" ref="J148:J170" si="51">AVERAGE(Q148,V148,AA148,AF148,AK148,AP148,AU148)</f>
        <v>#DIV/0!</v>
      </c>
      <c r="K148" s="220" t="e">
        <f t="shared" ref="K148:K170" si="52">AVERAGE(R148,W148,AB148,AG148,AL148,AQ148,AV148)</f>
        <v>#DIV/0!</v>
      </c>
      <c r="L148" s="457"/>
      <c r="M148" s="221" t="e">
        <f>RANK(K148, K$147:$K$176)</f>
        <v>#DIV/0!</v>
      </c>
      <c r="N148" s="475"/>
      <c r="O148" s="475"/>
      <c r="P148" s="187"/>
      <c r="Q148" s="187"/>
      <c r="R148" s="187"/>
      <c r="S148" s="339" t="e">
        <f t="shared" ref="S148:S176" si="53">RANK(R148, R$147:R$176)</f>
        <v>#N/A</v>
      </c>
      <c r="T148" s="506"/>
      <c r="U148" s="187"/>
      <c r="V148" s="187"/>
      <c r="W148" s="187"/>
      <c r="X148" s="339" t="e">
        <f t="shared" ref="X148:X176" si="54">RANK(W148, W$147:W$176)</f>
        <v>#N/A</v>
      </c>
      <c r="Y148" s="506"/>
      <c r="Z148" s="187"/>
      <c r="AA148" s="187"/>
      <c r="AB148" s="187"/>
      <c r="AC148" s="339" t="e">
        <f t="shared" ref="AC148:AC176" si="55">RANK(AB148, AB$147:AB$176)</f>
        <v>#N/A</v>
      </c>
      <c r="AD148" s="506"/>
      <c r="AE148" s="187"/>
      <c r="AF148" s="187"/>
      <c r="AG148" s="187"/>
      <c r="AH148" s="339" t="e">
        <f t="shared" ref="AH148:AH176" si="56">RANK(AG148, AG$147:AG$176)</f>
        <v>#N/A</v>
      </c>
      <c r="AI148" s="506"/>
      <c r="AJ148" s="187"/>
      <c r="AK148" s="187"/>
      <c r="AL148" s="187"/>
      <c r="AM148" s="339" t="e">
        <f t="shared" ref="AM148:AM176" si="57">RANK(AL148, AL$147:AL$176)</f>
        <v>#N/A</v>
      </c>
      <c r="AN148" s="506"/>
      <c r="AO148" s="187"/>
      <c r="AP148" s="187"/>
      <c r="AQ148" s="187"/>
      <c r="AR148" s="339" t="e">
        <f t="shared" ref="AR148:AR176" si="58">RANK(AQ148, AQ$147:AQ$176)</f>
        <v>#N/A</v>
      </c>
      <c r="AS148" s="506"/>
      <c r="AT148" s="339"/>
      <c r="AU148" s="341"/>
      <c r="AV148" s="341"/>
      <c r="AW148" s="339" t="e">
        <f t="shared" ref="AW148:AW176" si="59">RANK(AV148, AV$147:AV$176)</f>
        <v>#N/A</v>
      </c>
      <c r="AX148" s="506"/>
    </row>
    <row r="149" spans="2:50">
      <c r="B149" s="483"/>
      <c r="C149" s="339">
        <v>3</v>
      </c>
      <c r="D149" s="257"/>
      <c r="E149" s="187"/>
      <c r="F149" s="339"/>
      <c r="G149" s="341"/>
      <c r="H149" s="508"/>
      <c r="I149" s="219" t="e">
        <f t="shared" si="50"/>
        <v>#DIV/0!</v>
      </c>
      <c r="J149" s="219" t="e">
        <f t="shared" si="51"/>
        <v>#DIV/0!</v>
      </c>
      <c r="K149" s="220" t="e">
        <f t="shared" si="52"/>
        <v>#DIV/0!</v>
      </c>
      <c r="L149" s="457"/>
      <c r="M149" s="221" t="e">
        <f>RANK(K149, K$147:$K$176)</f>
        <v>#DIV/0!</v>
      </c>
      <c r="N149" s="475"/>
      <c r="O149" s="475"/>
      <c r="P149" s="187"/>
      <c r="Q149" s="187"/>
      <c r="R149" s="187"/>
      <c r="S149" s="339" t="e">
        <f t="shared" si="53"/>
        <v>#N/A</v>
      </c>
      <c r="T149" s="506"/>
      <c r="U149" s="187"/>
      <c r="V149" s="187"/>
      <c r="W149" s="187"/>
      <c r="X149" s="339" t="e">
        <f t="shared" si="54"/>
        <v>#N/A</v>
      </c>
      <c r="Y149" s="506"/>
      <c r="Z149" s="187"/>
      <c r="AA149" s="187"/>
      <c r="AB149" s="187"/>
      <c r="AC149" s="339" t="e">
        <f t="shared" si="55"/>
        <v>#N/A</v>
      </c>
      <c r="AD149" s="506"/>
      <c r="AE149" s="187"/>
      <c r="AF149" s="187"/>
      <c r="AG149" s="187"/>
      <c r="AH149" s="339" t="e">
        <f t="shared" si="56"/>
        <v>#N/A</v>
      </c>
      <c r="AI149" s="506"/>
      <c r="AJ149" s="187"/>
      <c r="AK149" s="187"/>
      <c r="AL149" s="187"/>
      <c r="AM149" s="339" t="e">
        <f t="shared" si="57"/>
        <v>#N/A</v>
      </c>
      <c r="AN149" s="506"/>
      <c r="AO149" s="187"/>
      <c r="AP149" s="187"/>
      <c r="AQ149" s="187"/>
      <c r="AR149" s="339" t="e">
        <f t="shared" si="58"/>
        <v>#N/A</v>
      </c>
      <c r="AS149" s="506"/>
      <c r="AT149" s="339"/>
      <c r="AU149" s="341"/>
      <c r="AV149" s="341"/>
      <c r="AW149" s="339" t="e">
        <f t="shared" si="59"/>
        <v>#N/A</v>
      </c>
      <c r="AX149" s="506"/>
    </row>
    <row r="150" spans="2:50">
      <c r="B150" s="483"/>
      <c r="C150" s="339">
        <v>4</v>
      </c>
      <c r="D150" s="257"/>
      <c r="E150" s="187"/>
      <c r="F150" s="339"/>
      <c r="G150" s="341"/>
      <c r="H150" s="508"/>
      <c r="I150" s="219" t="e">
        <f t="shared" si="50"/>
        <v>#DIV/0!</v>
      </c>
      <c r="J150" s="219" t="e">
        <f t="shared" si="51"/>
        <v>#DIV/0!</v>
      </c>
      <c r="K150" s="220" t="e">
        <f t="shared" si="52"/>
        <v>#DIV/0!</v>
      </c>
      <c r="L150" s="457"/>
      <c r="M150" s="221" t="e">
        <f>RANK(K150, K$147:$K$176)</f>
        <v>#DIV/0!</v>
      </c>
      <c r="N150" s="475"/>
      <c r="O150" s="475"/>
      <c r="P150" s="187"/>
      <c r="Q150" s="187"/>
      <c r="R150" s="187"/>
      <c r="S150" s="339" t="e">
        <f t="shared" si="53"/>
        <v>#N/A</v>
      </c>
      <c r="T150" s="506"/>
      <c r="U150" s="187"/>
      <c r="V150" s="187"/>
      <c r="W150" s="187"/>
      <c r="X150" s="339" t="e">
        <f t="shared" si="54"/>
        <v>#N/A</v>
      </c>
      <c r="Y150" s="506"/>
      <c r="Z150" s="187"/>
      <c r="AA150" s="187"/>
      <c r="AB150" s="187"/>
      <c r="AC150" s="339" t="e">
        <f t="shared" si="55"/>
        <v>#N/A</v>
      </c>
      <c r="AD150" s="506"/>
      <c r="AE150" s="187"/>
      <c r="AF150" s="187"/>
      <c r="AG150" s="187"/>
      <c r="AH150" s="339" t="e">
        <f t="shared" si="56"/>
        <v>#N/A</v>
      </c>
      <c r="AI150" s="506"/>
      <c r="AJ150" s="187"/>
      <c r="AK150" s="187"/>
      <c r="AL150" s="187"/>
      <c r="AM150" s="339" t="e">
        <f t="shared" si="57"/>
        <v>#N/A</v>
      </c>
      <c r="AN150" s="506"/>
      <c r="AO150" s="187"/>
      <c r="AP150" s="187"/>
      <c r="AQ150" s="187"/>
      <c r="AR150" s="339" t="e">
        <f t="shared" si="58"/>
        <v>#N/A</v>
      </c>
      <c r="AS150" s="506"/>
      <c r="AT150" s="339"/>
      <c r="AU150" s="341"/>
      <c r="AV150" s="341"/>
      <c r="AW150" s="339" t="e">
        <f t="shared" si="59"/>
        <v>#N/A</v>
      </c>
      <c r="AX150" s="506"/>
    </row>
    <row r="151" spans="2:50">
      <c r="B151" s="483"/>
      <c r="C151" s="339">
        <v>5</v>
      </c>
      <c r="D151" s="257"/>
      <c r="E151" s="187"/>
      <c r="F151" s="339"/>
      <c r="G151" s="341"/>
      <c r="H151" s="508"/>
      <c r="I151" s="219" t="e">
        <f t="shared" si="50"/>
        <v>#DIV/0!</v>
      </c>
      <c r="J151" s="219" t="e">
        <f t="shared" si="51"/>
        <v>#DIV/0!</v>
      </c>
      <c r="K151" s="220" t="e">
        <f t="shared" si="52"/>
        <v>#DIV/0!</v>
      </c>
      <c r="L151" s="457"/>
      <c r="M151" s="221" t="e">
        <f>RANK(K151, K$147:$K$176)</f>
        <v>#DIV/0!</v>
      </c>
      <c r="N151" s="475"/>
      <c r="O151" s="475"/>
      <c r="P151" s="187"/>
      <c r="Q151" s="187"/>
      <c r="R151" s="187"/>
      <c r="S151" s="339" t="e">
        <f t="shared" si="53"/>
        <v>#N/A</v>
      </c>
      <c r="T151" s="506"/>
      <c r="U151" s="187"/>
      <c r="V151" s="187"/>
      <c r="W151" s="187"/>
      <c r="X151" s="339" t="e">
        <f t="shared" si="54"/>
        <v>#N/A</v>
      </c>
      <c r="Y151" s="506"/>
      <c r="Z151" s="187"/>
      <c r="AA151" s="187"/>
      <c r="AB151" s="187"/>
      <c r="AC151" s="339" t="e">
        <f t="shared" si="55"/>
        <v>#N/A</v>
      </c>
      <c r="AD151" s="506"/>
      <c r="AE151" s="187"/>
      <c r="AF151" s="187"/>
      <c r="AG151" s="187"/>
      <c r="AH151" s="339" t="e">
        <f t="shared" si="56"/>
        <v>#N/A</v>
      </c>
      <c r="AI151" s="506"/>
      <c r="AJ151" s="187"/>
      <c r="AK151" s="187"/>
      <c r="AL151" s="187"/>
      <c r="AM151" s="339" t="e">
        <f t="shared" si="57"/>
        <v>#N/A</v>
      </c>
      <c r="AN151" s="506"/>
      <c r="AO151" s="187"/>
      <c r="AP151" s="187"/>
      <c r="AQ151" s="187"/>
      <c r="AR151" s="339" t="e">
        <f t="shared" si="58"/>
        <v>#N/A</v>
      </c>
      <c r="AS151" s="506"/>
      <c r="AT151" s="339"/>
      <c r="AU151" s="341"/>
      <c r="AV151" s="341"/>
      <c r="AW151" s="339" t="e">
        <f t="shared" si="59"/>
        <v>#N/A</v>
      </c>
      <c r="AX151" s="506"/>
    </row>
    <row r="152" spans="2:50">
      <c r="B152" s="483"/>
      <c r="C152" s="339">
        <v>6</v>
      </c>
      <c r="D152" s="257"/>
      <c r="E152" s="187"/>
      <c r="F152" s="339"/>
      <c r="G152" s="341"/>
      <c r="H152" s="508"/>
      <c r="I152" s="219" t="e">
        <f t="shared" si="50"/>
        <v>#DIV/0!</v>
      </c>
      <c r="J152" s="219" t="e">
        <f t="shared" si="51"/>
        <v>#DIV/0!</v>
      </c>
      <c r="K152" s="220" t="e">
        <f t="shared" si="52"/>
        <v>#DIV/0!</v>
      </c>
      <c r="L152" s="457"/>
      <c r="M152" s="221" t="e">
        <f>RANK(K152, K$147:$K$176)</f>
        <v>#DIV/0!</v>
      </c>
      <c r="N152" s="475"/>
      <c r="O152" s="475"/>
      <c r="P152" s="187"/>
      <c r="Q152" s="187"/>
      <c r="R152" s="187"/>
      <c r="S152" s="339" t="e">
        <f t="shared" si="53"/>
        <v>#N/A</v>
      </c>
      <c r="T152" s="506"/>
      <c r="U152" s="187"/>
      <c r="V152" s="187"/>
      <c r="W152" s="187"/>
      <c r="X152" s="339" t="e">
        <f t="shared" si="54"/>
        <v>#N/A</v>
      </c>
      <c r="Y152" s="506"/>
      <c r="Z152" s="187"/>
      <c r="AA152" s="187"/>
      <c r="AB152" s="187"/>
      <c r="AC152" s="339" t="e">
        <f t="shared" si="55"/>
        <v>#N/A</v>
      </c>
      <c r="AD152" s="506"/>
      <c r="AE152" s="187"/>
      <c r="AF152" s="187"/>
      <c r="AG152" s="187"/>
      <c r="AH152" s="339" t="e">
        <f t="shared" si="56"/>
        <v>#N/A</v>
      </c>
      <c r="AI152" s="506"/>
      <c r="AJ152" s="187"/>
      <c r="AK152" s="187"/>
      <c r="AL152" s="187"/>
      <c r="AM152" s="339" t="e">
        <f t="shared" si="57"/>
        <v>#N/A</v>
      </c>
      <c r="AN152" s="506"/>
      <c r="AO152" s="187"/>
      <c r="AP152" s="187"/>
      <c r="AQ152" s="187"/>
      <c r="AR152" s="339" t="e">
        <f t="shared" si="58"/>
        <v>#N/A</v>
      </c>
      <c r="AS152" s="506"/>
      <c r="AT152" s="339"/>
      <c r="AU152" s="341"/>
      <c r="AV152" s="341"/>
      <c r="AW152" s="339" t="e">
        <f t="shared" si="59"/>
        <v>#N/A</v>
      </c>
      <c r="AX152" s="506"/>
    </row>
    <row r="153" spans="2:50">
      <c r="B153" s="483"/>
      <c r="C153" s="339">
        <v>7</v>
      </c>
      <c r="D153" s="257"/>
      <c r="E153" s="187"/>
      <c r="F153" s="339"/>
      <c r="G153" s="341"/>
      <c r="H153" s="508"/>
      <c r="I153" s="219" t="e">
        <f t="shared" si="50"/>
        <v>#DIV/0!</v>
      </c>
      <c r="J153" s="219" t="e">
        <f t="shared" si="51"/>
        <v>#DIV/0!</v>
      </c>
      <c r="K153" s="220" t="e">
        <f t="shared" si="52"/>
        <v>#DIV/0!</v>
      </c>
      <c r="L153" s="457"/>
      <c r="M153" s="221" t="e">
        <f>RANK(K153, K$147:$K$176)</f>
        <v>#DIV/0!</v>
      </c>
      <c r="N153" s="475"/>
      <c r="O153" s="475"/>
      <c r="P153" s="187"/>
      <c r="Q153" s="187"/>
      <c r="R153" s="187"/>
      <c r="S153" s="339" t="e">
        <f t="shared" si="53"/>
        <v>#N/A</v>
      </c>
      <c r="T153" s="506"/>
      <c r="U153" s="187"/>
      <c r="V153" s="187"/>
      <c r="W153" s="187"/>
      <c r="X153" s="339" t="e">
        <f t="shared" si="54"/>
        <v>#N/A</v>
      </c>
      <c r="Y153" s="506"/>
      <c r="Z153" s="187"/>
      <c r="AA153" s="187"/>
      <c r="AB153" s="187"/>
      <c r="AC153" s="339" t="e">
        <f t="shared" si="55"/>
        <v>#N/A</v>
      </c>
      <c r="AD153" s="506"/>
      <c r="AE153" s="187"/>
      <c r="AF153" s="187"/>
      <c r="AG153" s="187"/>
      <c r="AH153" s="339" t="e">
        <f t="shared" si="56"/>
        <v>#N/A</v>
      </c>
      <c r="AI153" s="506"/>
      <c r="AJ153" s="187"/>
      <c r="AK153" s="187"/>
      <c r="AL153" s="187"/>
      <c r="AM153" s="339" t="e">
        <f t="shared" si="57"/>
        <v>#N/A</v>
      </c>
      <c r="AN153" s="506"/>
      <c r="AO153" s="187"/>
      <c r="AP153" s="187"/>
      <c r="AQ153" s="187"/>
      <c r="AR153" s="339" t="e">
        <f t="shared" si="58"/>
        <v>#N/A</v>
      </c>
      <c r="AS153" s="506"/>
      <c r="AT153" s="339"/>
      <c r="AU153" s="341"/>
      <c r="AV153" s="341"/>
      <c r="AW153" s="339" t="e">
        <f t="shared" si="59"/>
        <v>#N/A</v>
      </c>
      <c r="AX153" s="506"/>
    </row>
    <row r="154" spans="2:50">
      <c r="B154" s="483"/>
      <c r="C154" s="339">
        <v>8</v>
      </c>
      <c r="D154" s="257"/>
      <c r="E154" s="187"/>
      <c r="F154" s="339"/>
      <c r="G154" s="341"/>
      <c r="H154" s="508"/>
      <c r="I154" s="219" t="e">
        <f t="shared" si="50"/>
        <v>#DIV/0!</v>
      </c>
      <c r="J154" s="219" t="e">
        <f t="shared" si="51"/>
        <v>#DIV/0!</v>
      </c>
      <c r="K154" s="220" t="e">
        <f t="shared" si="52"/>
        <v>#DIV/0!</v>
      </c>
      <c r="L154" s="457"/>
      <c r="M154" s="221" t="e">
        <f>RANK(K154, K$147:$K$176)</f>
        <v>#DIV/0!</v>
      </c>
      <c r="N154" s="475"/>
      <c r="O154" s="475"/>
      <c r="P154" s="187"/>
      <c r="Q154" s="187"/>
      <c r="R154" s="187"/>
      <c r="S154" s="339" t="e">
        <f t="shared" si="53"/>
        <v>#N/A</v>
      </c>
      <c r="T154" s="506"/>
      <c r="U154" s="187"/>
      <c r="V154" s="187"/>
      <c r="W154" s="187"/>
      <c r="X154" s="339" t="e">
        <f t="shared" si="54"/>
        <v>#N/A</v>
      </c>
      <c r="Y154" s="506"/>
      <c r="Z154" s="187"/>
      <c r="AA154" s="187"/>
      <c r="AB154" s="187"/>
      <c r="AC154" s="339" t="e">
        <f t="shared" si="55"/>
        <v>#N/A</v>
      </c>
      <c r="AD154" s="506"/>
      <c r="AE154" s="187"/>
      <c r="AF154" s="187"/>
      <c r="AG154" s="187"/>
      <c r="AH154" s="339" t="e">
        <f t="shared" si="56"/>
        <v>#N/A</v>
      </c>
      <c r="AI154" s="506"/>
      <c r="AJ154" s="187"/>
      <c r="AK154" s="187"/>
      <c r="AL154" s="187"/>
      <c r="AM154" s="339" t="e">
        <f t="shared" si="57"/>
        <v>#N/A</v>
      </c>
      <c r="AN154" s="506"/>
      <c r="AO154" s="187"/>
      <c r="AP154" s="187"/>
      <c r="AQ154" s="187"/>
      <c r="AR154" s="339" t="e">
        <f t="shared" si="58"/>
        <v>#N/A</v>
      </c>
      <c r="AS154" s="506"/>
      <c r="AT154" s="339"/>
      <c r="AU154" s="341"/>
      <c r="AV154" s="341"/>
      <c r="AW154" s="339" t="e">
        <f t="shared" si="59"/>
        <v>#N/A</v>
      </c>
      <c r="AX154" s="506"/>
    </row>
    <row r="155" spans="2:50">
      <c r="B155" s="483"/>
      <c r="C155" s="339">
        <v>9</v>
      </c>
      <c r="D155" s="257"/>
      <c r="E155" s="187"/>
      <c r="F155" s="339"/>
      <c r="G155" s="341"/>
      <c r="H155" s="508"/>
      <c r="I155" s="219" t="e">
        <f t="shared" si="50"/>
        <v>#DIV/0!</v>
      </c>
      <c r="J155" s="219" t="e">
        <f t="shared" si="51"/>
        <v>#DIV/0!</v>
      </c>
      <c r="K155" s="220" t="e">
        <f t="shared" si="52"/>
        <v>#DIV/0!</v>
      </c>
      <c r="L155" s="457"/>
      <c r="M155" s="221" t="e">
        <f>RANK(K155, K$147:$K$176)</f>
        <v>#DIV/0!</v>
      </c>
      <c r="N155" s="475"/>
      <c r="O155" s="475"/>
      <c r="P155" s="187"/>
      <c r="Q155" s="187"/>
      <c r="R155" s="187"/>
      <c r="S155" s="339" t="e">
        <f t="shared" si="53"/>
        <v>#N/A</v>
      </c>
      <c r="T155" s="506"/>
      <c r="U155" s="187"/>
      <c r="V155" s="187"/>
      <c r="W155" s="187"/>
      <c r="X155" s="339" t="e">
        <f t="shared" si="54"/>
        <v>#N/A</v>
      </c>
      <c r="Y155" s="506"/>
      <c r="Z155" s="187"/>
      <c r="AA155" s="187"/>
      <c r="AB155" s="187"/>
      <c r="AC155" s="339" t="e">
        <f t="shared" si="55"/>
        <v>#N/A</v>
      </c>
      <c r="AD155" s="506"/>
      <c r="AE155" s="187"/>
      <c r="AF155" s="187"/>
      <c r="AG155" s="187"/>
      <c r="AH155" s="339" t="e">
        <f t="shared" si="56"/>
        <v>#N/A</v>
      </c>
      <c r="AI155" s="506"/>
      <c r="AJ155" s="187"/>
      <c r="AK155" s="187"/>
      <c r="AL155" s="187"/>
      <c r="AM155" s="339" t="e">
        <f t="shared" si="57"/>
        <v>#N/A</v>
      </c>
      <c r="AN155" s="506"/>
      <c r="AO155" s="187"/>
      <c r="AP155" s="187"/>
      <c r="AQ155" s="187"/>
      <c r="AR155" s="339" t="e">
        <f t="shared" si="58"/>
        <v>#N/A</v>
      </c>
      <c r="AS155" s="506"/>
      <c r="AT155" s="339"/>
      <c r="AU155" s="341"/>
      <c r="AV155" s="341"/>
      <c r="AW155" s="339" t="e">
        <f t="shared" si="59"/>
        <v>#N/A</v>
      </c>
      <c r="AX155" s="506"/>
    </row>
    <row r="156" spans="2:50">
      <c r="B156" s="483"/>
      <c r="C156" s="339">
        <v>10</v>
      </c>
      <c r="D156" s="257"/>
      <c r="E156" s="187"/>
      <c r="F156" s="339"/>
      <c r="G156" s="341"/>
      <c r="H156" s="508"/>
      <c r="I156" s="219" t="e">
        <f t="shared" si="50"/>
        <v>#DIV/0!</v>
      </c>
      <c r="J156" s="219" t="e">
        <f t="shared" si="51"/>
        <v>#DIV/0!</v>
      </c>
      <c r="K156" s="220" t="e">
        <f t="shared" si="52"/>
        <v>#DIV/0!</v>
      </c>
      <c r="L156" s="457"/>
      <c r="M156" s="221" t="e">
        <f>RANK(K156, K$147:$K$176)</f>
        <v>#DIV/0!</v>
      </c>
      <c r="N156" s="475"/>
      <c r="O156" s="475"/>
      <c r="P156" s="187"/>
      <c r="Q156" s="187"/>
      <c r="R156" s="187"/>
      <c r="S156" s="339" t="e">
        <f t="shared" si="53"/>
        <v>#N/A</v>
      </c>
      <c r="T156" s="506"/>
      <c r="U156" s="187"/>
      <c r="V156" s="187"/>
      <c r="W156" s="187"/>
      <c r="X156" s="339" t="e">
        <f t="shared" si="54"/>
        <v>#N/A</v>
      </c>
      <c r="Y156" s="506"/>
      <c r="Z156" s="187"/>
      <c r="AA156" s="187"/>
      <c r="AB156" s="187"/>
      <c r="AC156" s="339" t="e">
        <f t="shared" si="55"/>
        <v>#N/A</v>
      </c>
      <c r="AD156" s="506"/>
      <c r="AE156" s="187"/>
      <c r="AF156" s="187"/>
      <c r="AG156" s="187"/>
      <c r="AH156" s="339" t="e">
        <f t="shared" si="56"/>
        <v>#N/A</v>
      </c>
      <c r="AI156" s="506"/>
      <c r="AJ156" s="187"/>
      <c r="AK156" s="187"/>
      <c r="AL156" s="187"/>
      <c r="AM156" s="339" t="e">
        <f t="shared" si="57"/>
        <v>#N/A</v>
      </c>
      <c r="AN156" s="506"/>
      <c r="AO156" s="187"/>
      <c r="AP156" s="187"/>
      <c r="AQ156" s="187"/>
      <c r="AR156" s="339" t="e">
        <f t="shared" si="58"/>
        <v>#N/A</v>
      </c>
      <c r="AS156" s="506"/>
      <c r="AT156" s="339"/>
      <c r="AU156" s="341"/>
      <c r="AV156" s="341"/>
      <c r="AW156" s="339" t="e">
        <f t="shared" si="59"/>
        <v>#N/A</v>
      </c>
      <c r="AX156" s="506"/>
    </row>
    <row r="157" spans="2:50">
      <c r="B157" s="483"/>
      <c r="C157" s="339">
        <v>11</v>
      </c>
      <c r="D157" s="257"/>
      <c r="E157" s="187"/>
      <c r="F157" s="339"/>
      <c r="G157" s="341"/>
      <c r="H157" s="508"/>
      <c r="I157" s="219" t="e">
        <f t="shared" si="50"/>
        <v>#DIV/0!</v>
      </c>
      <c r="J157" s="219" t="e">
        <f t="shared" si="51"/>
        <v>#DIV/0!</v>
      </c>
      <c r="K157" s="220" t="e">
        <f t="shared" si="52"/>
        <v>#DIV/0!</v>
      </c>
      <c r="L157" s="457"/>
      <c r="M157" s="221" t="e">
        <f>RANK(K157, K$147:$K$176)</f>
        <v>#DIV/0!</v>
      </c>
      <c r="N157" s="475"/>
      <c r="O157" s="475"/>
      <c r="P157" s="187"/>
      <c r="Q157" s="187"/>
      <c r="R157" s="187"/>
      <c r="S157" s="339" t="e">
        <f t="shared" si="53"/>
        <v>#N/A</v>
      </c>
      <c r="T157" s="506"/>
      <c r="U157" s="187"/>
      <c r="V157" s="187"/>
      <c r="W157" s="187"/>
      <c r="X157" s="339" t="e">
        <f t="shared" si="54"/>
        <v>#N/A</v>
      </c>
      <c r="Y157" s="506"/>
      <c r="Z157" s="187"/>
      <c r="AA157" s="187"/>
      <c r="AB157" s="187"/>
      <c r="AC157" s="339" t="e">
        <f t="shared" si="55"/>
        <v>#N/A</v>
      </c>
      <c r="AD157" s="506"/>
      <c r="AE157" s="187"/>
      <c r="AF157" s="187"/>
      <c r="AG157" s="187"/>
      <c r="AH157" s="339" t="e">
        <f t="shared" si="56"/>
        <v>#N/A</v>
      </c>
      <c r="AI157" s="506"/>
      <c r="AJ157" s="187"/>
      <c r="AK157" s="187"/>
      <c r="AL157" s="187"/>
      <c r="AM157" s="339" t="e">
        <f t="shared" si="57"/>
        <v>#N/A</v>
      </c>
      <c r="AN157" s="506"/>
      <c r="AO157" s="187"/>
      <c r="AP157" s="187"/>
      <c r="AQ157" s="187"/>
      <c r="AR157" s="339" t="e">
        <f t="shared" si="58"/>
        <v>#N/A</v>
      </c>
      <c r="AS157" s="506"/>
      <c r="AT157" s="339"/>
      <c r="AU157" s="341"/>
      <c r="AV157" s="341"/>
      <c r="AW157" s="339" t="e">
        <f t="shared" si="59"/>
        <v>#N/A</v>
      </c>
      <c r="AX157" s="506"/>
    </row>
    <row r="158" spans="2:50">
      <c r="B158" s="483"/>
      <c r="C158" s="339">
        <v>12</v>
      </c>
      <c r="D158" s="257"/>
      <c r="E158" s="187"/>
      <c r="F158" s="339"/>
      <c r="G158" s="341"/>
      <c r="H158" s="508"/>
      <c r="I158" s="219" t="e">
        <f t="shared" si="50"/>
        <v>#DIV/0!</v>
      </c>
      <c r="J158" s="219" t="e">
        <f t="shared" si="51"/>
        <v>#DIV/0!</v>
      </c>
      <c r="K158" s="220" t="e">
        <f t="shared" si="52"/>
        <v>#DIV/0!</v>
      </c>
      <c r="L158" s="457"/>
      <c r="M158" s="221" t="e">
        <f>RANK(K158, K$147:$K$176)</f>
        <v>#DIV/0!</v>
      </c>
      <c r="N158" s="475"/>
      <c r="O158" s="475"/>
      <c r="P158" s="187"/>
      <c r="Q158" s="187"/>
      <c r="R158" s="187"/>
      <c r="S158" s="339" t="e">
        <f t="shared" si="53"/>
        <v>#N/A</v>
      </c>
      <c r="T158" s="506"/>
      <c r="U158" s="187"/>
      <c r="V158" s="187"/>
      <c r="W158" s="187"/>
      <c r="X158" s="339" t="e">
        <f t="shared" si="54"/>
        <v>#N/A</v>
      </c>
      <c r="Y158" s="506"/>
      <c r="Z158" s="187"/>
      <c r="AA158" s="187"/>
      <c r="AB158" s="187"/>
      <c r="AC158" s="339" t="e">
        <f t="shared" si="55"/>
        <v>#N/A</v>
      </c>
      <c r="AD158" s="506"/>
      <c r="AE158" s="187"/>
      <c r="AF158" s="187"/>
      <c r="AG158" s="187"/>
      <c r="AH158" s="339" t="e">
        <f t="shared" si="56"/>
        <v>#N/A</v>
      </c>
      <c r="AI158" s="506"/>
      <c r="AJ158" s="187"/>
      <c r="AK158" s="187"/>
      <c r="AL158" s="187"/>
      <c r="AM158" s="339" t="e">
        <f t="shared" si="57"/>
        <v>#N/A</v>
      </c>
      <c r="AN158" s="506"/>
      <c r="AO158" s="187"/>
      <c r="AP158" s="187"/>
      <c r="AQ158" s="187"/>
      <c r="AR158" s="339" t="e">
        <f t="shared" si="58"/>
        <v>#N/A</v>
      </c>
      <c r="AS158" s="506"/>
      <c r="AT158" s="339"/>
      <c r="AU158" s="341"/>
      <c r="AV158" s="341"/>
      <c r="AW158" s="339" t="e">
        <f t="shared" si="59"/>
        <v>#N/A</v>
      </c>
      <c r="AX158" s="506"/>
    </row>
    <row r="159" spans="2:50">
      <c r="B159" s="483"/>
      <c r="C159" s="339">
        <v>13</v>
      </c>
      <c r="D159" s="257"/>
      <c r="E159" s="187"/>
      <c r="F159" s="339"/>
      <c r="G159" s="341"/>
      <c r="H159" s="508"/>
      <c r="I159" s="219" t="e">
        <f t="shared" si="50"/>
        <v>#DIV/0!</v>
      </c>
      <c r="J159" s="219" t="e">
        <f t="shared" si="51"/>
        <v>#DIV/0!</v>
      </c>
      <c r="K159" s="220" t="e">
        <f t="shared" si="52"/>
        <v>#DIV/0!</v>
      </c>
      <c r="L159" s="457"/>
      <c r="M159" s="221" t="e">
        <f>RANK(K159, K$147:$K$176)</f>
        <v>#DIV/0!</v>
      </c>
      <c r="N159" s="475"/>
      <c r="O159" s="475"/>
      <c r="P159" s="187"/>
      <c r="Q159" s="187"/>
      <c r="R159" s="187"/>
      <c r="S159" s="339" t="e">
        <f t="shared" si="53"/>
        <v>#N/A</v>
      </c>
      <c r="T159" s="506"/>
      <c r="U159" s="187"/>
      <c r="V159" s="187"/>
      <c r="W159" s="187"/>
      <c r="X159" s="339" t="e">
        <f t="shared" si="54"/>
        <v>#N/A</v>
      </c>
      <c r="Y159" s="506"/>
      <c r="Z159" s="187"/>
      <c r="AA159" s="187"/>
      <c r="AB159" s="187"/>
      <c r="AC159" s="339" t="e">
        <f t="shared" si="55"/>
        <v>#N/A</v>
      </c>
      <c r="AD159" s="506"/>
      <c r="AE159" s="187"/>
      <c r="AF159" s="187"/>
      <c r="AG159" s="187"/>
      <c r="AH159" s="339" t="e">
        <f t="shared" si="56"/>
        <v>#N/A</v>
      </c>
      <c r="AI159" s="506"/>
      <c r="AJ159" s="187"/>
      <c r="AK159" s="187"/>
      <c r="AL159" s="187"/>
      <c r="AM159" s="339" t="e">
        <f t="shared" si="57"/>
        <v>#N/A</v>
      </c>
      <c r="AN159" s="506"/>
      <c r="AO159" s="187"/>
      <c r="AP159" s="187"/>
      <c r="AQ159" s="187"/>
      <c r="AR159" s="339" t="e">
        <f t="shared" si="58"/>
        <v>#N/A</v>
      </c>
      <c r="AS159" s="506"/>
      <c r="AT159" s="339"/>
      <c r="AU159" s="341"/>
      <c r="AV159" s="341"/>
      <c r="AW159" s="339" t="e">
        <f t="shared" si="59"/>
        <v>#N/A</v>
      </c>
      <c r="AX159" s="506"/>
    </row>
    <row r="160" spans="2:50">
      <c r="B160" s="483"/>
      <c r="C160" s="339">
        <v>14</v>
      </c>
      <c r="D160" s="257"/>
      <c r="E160" s="187"/>
      <c r="F160" s="339"/>
      <c r="G160" s="341"/>
      <c r="H160" s="508"/>
      <c r="I160" s="219" t="e">
        <f t="shared" si="50"/>
        <v>#DIV/0!</v>
      </c>
      <c r="J160" s="219" t="e">
        <f t="shared" si="51"/>
        <v>#DIV/0!</v>
      </c>
      <c r="K160" s="220" t="e">
        <f t="shared" si="52"/>
        <v>#DIV/0!</v>
      </c>
      <c r="L160" s="457"/>
      <c r="M160" s="221" t="e">
        <f>RANK(K160, K$147:$K$176)</f>
        <v>#DIV/0!</v>
      </c>
      <c r="N160" s="475"/>
      <c r="O160" s="475"/>
      <c r="P160" s="187"/>
      <c r="Q160" s="187"/>
      <c r="R160" s="187"/>
      <c r="S160" s="339" t="e">
        <f t="shared" si="53"/>
        <v>#N/A</v>
      </c>
      <c r="T160" s="506"/>
      <c r="U160" s="187"/>
      <c r="V160" s="187"/>
      <c r="W160" s="187"/>
      <c r="X160" s="339" t="e">
        <f t="shared" si="54"/>
        <v>#N/A</v>
      </c>
      <c r="Y160" s="506"/>
      <c r="Z160" s="187"/>
      <c r="AA160" s="187"/>
      <c r="AB160" s="187"/>
      <c r="AC160" s="339" t="e">
        <f t="shared" si="55"/>
        <v>#N/A</v>
      </c>
      <c r="AD160" s="506"/>
      <c r="AE160" s="187"/>
      <c r="AF160" s="187"/>
      <c r="AG160" s="187"/>
      <c r="AH160" s="339" t="e">
        <f t="shared" si="56"/>
        <v>#N/A</v>
      </c>
      <c r="AI160" s="506"/>
      <c r="AJ160" s="187"/>
      <c r="AK160" s="187"/>
      <c r="AL160" s="187"/>
      <c r="AM160" s="339" t="e">
        <f t="shared" si="57"/>
        <v>#N/A</v>
      </c>
      <c r="AN160" s="506"/>
      <c r="AO160" s="187"/>
      <c r="AP160" s="187"/>
      <c r="AQ160" s="187"/>
      <c r="AR160" s="339" t="e">
        <f t="shared" si="58"/>
        <v>#N/A</v>
      </c>
      <c r="AS160" s="506"/>
      <c r="AT160" s="339"/>
      <c r="AU160" s="341"/>
      <c r="AV160" s="341"/>
      <c r="AW160" s="339" t="e">
        <f t="shared" si="59"/>
        <v>#N/A</v>
      </c>
      <c r="AX160" s="506"/>
    </row>
    <row r="161" spans="2:50">
      <c r="B161" s="483"/>
      <c r="C161" s="339">
        <v>15</v>
      </c>
      <c r="D161" s="257"/>
      <c r="E161" s="187"/>
      <c r="F161" s="339"/>
      <c r="G161" s="341"/>
      <c r="H161" s="508"/>
      <c r="I161" s="219" t="e">
        <f t="shared" si="50"/>
        <v>#DIV/0!</v>
      </c>
      <c r="J161" s="219" t="e">
        <f t="shared" si="51"/>
        <v>#DIV/0!</v>
      </c>
      <c r="K161" s="220" t="e">
        <f t="shared" si="52"/>
        <v>#DIV/0!</v>
      </c>
      <c r="L161" s="457"/>
      <c r="M161" s="219" t="e">
        <f>RANK(K161, K$147:$K$176)</f>
        <v>#DIV/0!</v>
      </c>
      <c r="N161" s="475"/>
      <c r="O161" s="475"/>
      <c r="P161" s="187"/>
      <c r="Q161" s="187"/>
      <c r="R161" s="187"/>
      <c r="S161" s="339" t="e">
        <f t="shared" ref="S161:S175" si="60">RANK(R161, R$147:R$176)</f>
        <v>#N/A</v>
      </c>
      <c r="T161" s="506"/>
      <c r="U161" s="187"/>
      <c r="V161" s="187"/>
      <c r="W161" s="187"/>
      <c r="X161" s="339" t="e">
        <f t="shared" ref="X161:X175" si="61">RANK(W161, W$147:W$176)</f>
        <v>#N/A</v>
      </c>
      <c r="Y161" s="506"/>
      <c r="Z161" s="187"/>
      <c r="AA161" s="187"/>
      <c r="AB161" s="187"/>
      <c r="AC161" s="339" t="e">
        <f t="shared" ref="AC161:AC175" si="62">RANK(AB161, AB$147:AB$176)</f>
        <v>#N/A</v>
      </c>
      <c r="AD161" s="506"/>
      <c r="AE161" s="187"/>
      <c r="AF161" s="187"/>
      <c r="AG161" s="187"/>
      <c r="AH161" s="339" t="e">
        <f t="shared" ref="AH161:AH175" si="63">RANK(AG161, AG$147:AG$176)</f>
        <v>#N/A</v>
      </c>
      <c r="AI161" s="506"/>
      <c r="AJ161" s="187"/>
      <c r="AK161" s="187"/>
      <c r="AL161" s="187"/>
      <c r="AM161" s="339" t="e">
        <f t="shared" ref="AM161:AM175" si="64">RANK(AL161, AL$147:AL$176)</f>
        <v>#N/A</v>
      </c>
      <c r="AN161" s="506"/>
      <c r="AO161" s="187"/>
      <c r="AP161" s="187"/>
      <c r="AQ161" s="187"/>
      <c r="AR161" s="339" t="e">
        <f t="shared" ref="AR161:AR175" si="65">RANK(AQ161, AQ$147:AQ$176)</f>
        <v>#N/A</v>
      </c>
      <c r="AS161" s="506"/>
      <c r="AT161" s="339"/>
      <c r="AU161" s="341"/>
      <c r="AV161" s="341"/>
      <c r="AW161" s="339" t="e">
        <f t="shared" ref="AW161:AW175" si="66">RANK(AV161, AV$147:AV$176)</f>
        <v>#N/A</v>
      </c>
      <c r="AX161" s="506"/>
    </row>
    <row r="162" spans="2:50">
      <c r="B162" s="483"/>
      <c r="C162" s="339">
        <v>16</v>
      </c>
      <c r="D162" s="257"/>
      <c r="E162" s="187"/>
      <c r="F162" s="339"/>
      <c r="G162" s="341"/>
      <c r="H162" s="508"/>
      <c r="I162" s="219" t="e">
        <f t="shared" si="50"/>
        <v>#DIV/0!</v>
      </c>
      <c r="J162" s="219" t="e">
        <f t="shared" si="51"/>
        <v>#DIV/0!</v>
      </c>
      <c r="K162" s="220" t="e">
        <f t="shared" si="52"/>
        <v>#DIV/0!</v>
      </c>
      <c r="L162" s="457"/>
      <c r="M162" s="219" t="e">
        <f>RANK(K162, K$147:$K$176)</f>
        <v>#DIV/0!</v>
      </c>
      <c r="N162" s="475"/>
      <c r="O162" s="475"/>
      <c r="P162" s="187"/>
      <c r="Q162" s="187"/>
      <c r="R162" s="187"/>
      <c r="S162" s="339" t="e">
        <f t="shared" si="60"/>
        <v>#N/A</v>
      </c>
      <c r="T162" s="506"/>
      <c r="U162" s="187"/>
      <c r="V162" s="187"/>
      <c r="W162" s="187"/>
      <c r="X162" s="339" t="e">
        <f t="shared" si="61"/>
        <v>#N/A</v>
      </c>
      <c r="Y162" s="506"/>
      <c r="Z162" s="187"/>
      <c r="AA162" s="187"/>
      <c r="AB162" s="187"/>
      <c r="AC162" s="339" t="e">
        <f t="shared" si="62"/>
        <v>#N/A</v>
      </c>
      <c r="AD162" s="506"/>
      <c r="AE162" s="187"/>
      <c r="AF162" s="187"/>
      <c r="AG162" s="187"/>
      <c r="AH162" s="339" t="e">
        <f t="shared" si="63"/>
        <v>#N/A</v>
      </c>
      <c r="AI162" s="506"/>
      <c r="AJ162" s="187"/>
      <c r="AK162" s="187"/>
      <c r="AL162" s="187"/>
      <c r="AM162" s="339" t="e">
        <f t="shared" si="64"/>
        <v>#N/A</v>
      </c>
      <c r="AN162" s="506"/>
      <c r="AO162" s="187"/>
      <c r="AP162" s="187"/>
      <c r="AQ162" s="187"/>
      <c r="AR162" s="339" t="e">
        <f t="shared" si="65"/>
        <v>#N/A</v>
      </c>
      <c r="AS162" s="506"/>
      <c r="AT162" s="339"/>
      <c r="AU162" s="341"/>
      <c r="AV162" s="341"/>
      <c r="AW162" s="339" t="e">
        <f t="shared" si="66"/>
        <v>#N/A</v>
      </c>
      <c r="AX162" s="506"/>
    </row>
    <row r="163" spans="2:50">
      <c r="B163" s="483"/>
      <c r="C163" s="339">
        <v>17</v>
      </c>
      <c r="D163" s="257"/>
      <c r="E163" s="187"/>
      <c r="F163" s="339"/>
      <c r="G163" s="341"/>
      <c r="H163" s="508"/>
      <c r="I163" s="219" t="e">
        <f t="shared" si="50"/>
        <v>#DIV/0!</v>
      </c>
      <c r="J163" s="219" t="e">
        <f t="shared" si="51"/>
        <v>#DIV/0!</v>
      </c>
      <c r="K163" s="220" t="e">
        <f t="shared" si="52"/>
        <v>#DIV/0!</v>
      </c>
      <c r="L163" s="457"/>
      <c r="M163" s="219" t="e">
        <f>RANK(K163, K$147:$K$176)</f>
        <v>#DIV/0!</v>
      </c>
      <c r="N163" s="475"/>
      <c r="O163" s="475"/>
      <c r="P163" s="187"/>
      <c r="Q163" s="187"/>
      <c r="R163" s="187"/>
      <c r="S163" s="339" t="e">
        <f t="shared" si="60"/>
        <v>#N/A</v>
      </c>
      <c r="T163" s="506"/>
      <c r="U163" s="187"/>
      <c r="V163" s="187"/>
      <c r="W163" s="187"/>
      <c r="X163" s="339" t="e">
        <f t="shared" si="61"/>
        <v>#N/A</v>
      </c>
      <c r="Y163" s="506"/>
      <c r="Z163" s="187"/>
      <c r="AA163" s="187"/>
      <c r="AB163" s="187"/>
      <c r="AC163" s="339" t="e">
        <f t="shared" si="62"/>
        <v>#N/A</v>
      </c>
      <c r="AD163" s="506"/>
      <c r="AE163" s="187"/>
      <c r="AF163" s="187"/>
      <c r="AG163" s="187"/>
      <c r="AH163" s="339" t="e">
        <f t="shared" si="63"/>
        <v>#N/A</v>
      </c>
      <c r="AI163" s="506"/>
      <c r="AJ163" s="187"/>
      <c r="AK163" s="187"/>
      <c r="AL163" s="187"/>
      <c r="AM163" s="339" t="e">
        <f t="shared" si="64"/>
        <v>#N/A</v>
      </c>
      <c r="AN163" s="506"/>
      <c r="AO163" s="187"/>
      <c r="AP163" s="187"/>
      <c r="AQ163" s="187"/>
      <c r="AR163" s="339" t="e">
        <f t="shared" si="65"/>
        <v>#N/A</v>
      </c>
      <c r="AS163" s="506"/>
      <c r="AT163" s="339"/>
      <c r="AU163" s="341"/>
      <c r="AV163" s="341"/>
      <c r="AW163" s="339" t="e">
        <f t="shared" si="66"/>
        <v>#N/A</v>
      </c>
      <c r="AX163" s="506"/>
    </row>
    <row r="164" spans="2:50">
      <c r="B164" s="483"/>
      <c r="C164" s="339">
        <v>18</v>
      </c>
      <c r="D164" s="257"/>
      <c r="E164" s="187"/>
      <c r="F164" s="339"/>
      <c r="G164" s="341"/>
      <c r="H164" s="508"/>
      <c r="I164" s="219" t="e">
        <f t="shared" si="50"/>
        <v>#DIV/0!</v>
      </c>
      <c r="J164" s="219" t="e">
        <f t="shared" si="51"/>
        <v>#DIV/0!</v>
      </c>
      <c r="K164" s="220" t="e">
        <f t="shared" si="52"/>
        <v>#DIV/0!</v>
      </c>
      <c r="L164" s="457"/>
      <c r="M164" s="219" t="e">
        <f>RANK(K164, K$147:$K$176)</f>
        <v>#DIV/0!</v>
      </c>
      <c r="N164" s="475"/>
      <c r="O164" s="475"/>
      <c r="P164" s="187"/>
      <c r="Q164" s="187"/>
      <c r="R164" s="187"/>
      <c r="S164" s="339" t="e">
        <f t="shared" si="60"/>
        <v>#N/A</v>
      </c>
      <c r="T164" s="506"/>
      <c r="U164" s="187"/>
      <c r="V164" s="187"/>
      <c r="W164" s="187"/>
      <c r="X164" s="339" t="e">
        <f t="shared" si="61"/>
        <v>#N/A</v>
      </c>
      <c r="Y164" s="506"/>
      <c r="Z164" s="187"/>
      <c r="AA164" s="187"/>
      <c r="AB164" s="187"/>
      <c r="AC164" s="339" t="e">
        <f t="shared" si="62"/>
        <v>#N/A</v>
      </c>
      <c r="AD164" s="506"/>
      <c r="AE164" s="187"/>
      <c r="AF164" s="187"/>
      <c r="AG164" s="187"/>
      <c r="AH164" s="339" t="e">
        <f t="shared" si="63"/>
        <v>#N/A</v>
      </c>
      <c r="AI164" s="506"/>
      <c r="AJ164" s="187"/>
      <c r="AK164" s="187"/>
      <c r="AL164" s="187"/>
      <c r="AM164" s="339" t="e">
        <f t="shared" si="64"/>
        <v>#N/A</v>
      </c>
      <c r="AN164" s="506"/>
      <c r="AO164" s="187"/>
      <c r="AP164" s="187"/>
      <c r="AQ164" s="187"/>
      <c r="AR164" s="339" t="e">
        <f t="shared" si="65"/>
        <v>#N/A</v>
      </c>
      <c r="AS164" s="506"/>
      <c r="AT164" s="339"/>
      <c r="AU164" s="341"/>
      <c r="AV164" s="341"/>
      <c r="AW164" s="339" t="e">
        <f t="shared" si="66"/>
        <v>#N/A</v>
      </c>
      <c r="AX164" s="506"/>
    </row>
    <row r="165" spans="2:50">
      <c r="B165" s="483"/>
      <c r="C165" s="339">
        <v>19</v>
      </c>
      <c r="D165" s="257"/>
      <c r="E165" s="187"/>
      <c r="F165" s="339"/>
      <c r="G165" s="341"/>
      <c r="H165" s="508"/>
      <c r="I165" s="219" t="e">
        <f t="shared" si="50"/>
        <v>#DIV/0!</v>
      </c>
      <c r="J165" s="219" t="e">
        <f t="shared" si="51"/>
        <v>#DIV/0!</v>
      </c>
      <c r="K165" s="220" t="e">
        <f t="shared" si="52"/>
        <v>#DIV/0!</v>
      </c>
      <c r="L165" s="457"/>
      <c r="M165" s="219" t="e">
        <f>RANK(K165, K$147:$K$176)</f>
        <v>#DIV/0!</v>
      </c>
      <c r="N165" s="475"/>
      <c r="O165" s="475"/>
      <c r="P165" s="187"/>
      <c r="Q165" s="187"/>
      <c r="R165" s="187"/>
      <c r="S165" s="339" t="e">
        <f t="shared" si="60"/>
        <v>#N/A</v>
      </c>
      <c r="T165" s="506"/>
      <c r="U165" s="187"/>
      <c r="V165" s="187"/>
      <c r="W165" s="187"/>
      <c r="X165" s="339" t="e">
        <f t="shared" si="61"/>
        <v>#N/A</v>
      </c>
      <c r="Y165" s="506"/>
      <c r="Z165" s="187"/>
      <c r="AA165" s="187"/>
      <c r="AB165" s="187"/>
      <c r="AC165" s="339" t="e">
        <f t="shared" si="62"/>
        <v>#N/A</v>
      </c>
      <c r="AD165" s="506"/>
      <c r="AE165" s="187"/>
      <c r="AF165" s="187"/>
      <c r="AG165" s="187"/>
      <c r="AH165" s="339" t="e">
        <f t="shared" si="63"/>
        <v>#N/A</v>
      </c>
      <c r="AI165" s="506"/>
      <c r="AJ165" s="187"/>
      <c r="AK165" s="187"/>
      <c r="AL165" s="187"/>
      <c r="AM165" s="339" t="e">
        <f t="shared" si="64"/>
        <v>#N/A</v>
      </c>
      <c r="AN165" s="506"/>
      <c r="AO165" s="187"/>
      <c r="AP165" s="187"/>
      <c r="AQ165" s="187"/>
      <c r="AR165" s="339" t="e">
        <f t="shared" si="65"/>
        <v>#N/A</v>
      </c>
      <c r="AS165" s="506"/>
      <c r="AT165" s="339"/>
      <c r="AU165" s="341"/>
      <c r="AV165" s="341"/>
      <c r="AW165" s="339" t="e">
        <f t="shared" si="66"/>
        <v>#N/A</v>
      </c>
      <c r="AX165" s="506"/>
    </row>
    <row r="166" spans="2:50">
      <c r="B166" s="483"/>
      <c r="C166" s="339">
        <v>20</v>
      </c>
      <c r="D166" s="257"/>
      <c r="E166" s="187"/>
      <c r="F166" s="339"/>
      <c r="G166" s="341"/>
      <c r="H166" s="508"/>
      <c r="I166" s="219" t="e">
        <f t="shared" si="50"/>
        <v>#DIV/0!</v>
      </c>
      <c r="J166" s="219" t="e">
        <f t="shared" si="51"/>
        <v>#DIV/0!</v>
      </c>
      <c r="K166" s="220" t="e">
        <f t="shared" si="52"/>
        <v>#DIV/0!</v>
      </c>
      <c r="L166" s="457"/>
      <c r="M166" s="219" t="e">
        <f>RANK(K166, K$147:$K$176)</f>
        <v>#DIV/0!</v>
      </c>
      <c r="N166" s="475"/>
      <c r="O166" s="475"/>
      <c r="P166" s="187"/>
      <c r="Q166" s="187"/>
      <c r="R166" s="187"/>
      <c r="S166" s="339" t="e">
        <f t="shared" si="60"/>
        <v>#N/A</v>
      </c>
      <c r="T166" s="506"/>
      <c r="U166" s="187"/>
      <c r="V166" s="187"/>
      <c r="W166" s="187"/>
      <c r="X166" s="339" t="e">
        <f t="shared" si="61"/>
        <v>#N/A</v>
      </c>
      <c r="Y166" s="506"/>
      <c r="Z166" s="187"/>
      <c r="AA166" s="187"/>
      <c r="AB166" s="187"/>
      <c r="AC166" s="339" t="e">
        <f t="shared" si="62"/>
        <v>#N/A</v>
      </c>
      <c r="AD166" s="506"/>
      <c r="AE166" s="187"/>
      <c r="AF166" s="187"/>
      <c r="AG166" s="187"/>
      <c r="AH166" s="339" t="e">
        <f t="shared" si="63"/>
        <v>#N/A</v>
      </c>
      <c r="AI166" s="506"/>
      <c r="AJ166" s="187"/>
      <c r="AK166" s="187"/>
      <c r="AL166" s="187"/>
      <c r="AM166" s="339" t="e">
        <f t="shared" si="64"/>
        <v>#N/A</v>
      </c>
      <c r="AN166" s="506"/>
      <c r="AO166" s="187"/>
      <c r="AP166" s="187"/>
      <c r="AQ166" s="187"/>
      <c r="AR166" s="339" t="e">
        <f t="shared" si="65"/>
        <v>#N/A</v>
      </c>
      <c r="AS166" s="506"/>
      <c r="AT166" s="339"/>
      <c r="AU166" s="341"/>
      <c r="AV166" s="341"/>
      <c r="AW166" s="339" t="e">
        <f t="shared" si="66"/>
        <v>#N/A</v>
      </c>
      <c r="AX166" s="506"/>
    </row>
    <row r="167" spans="2:50">
      <c r="B167" s="483"/>
      <c r="C167" s="339">
        <v>21</v>
      </c>
      <c r="D167" s="257"/>
      <c r="E167" s="187"/>
      <c r="F167" s="339"/>
      <c r="G167" s="341"/>
      <c r="H167" s="508"/>
      <c r="I167" s="219" t="e">
        <f t="shared" si="50"/>
        <v>#DIV/0!</v>
      </c>
      <c r="J167" s="219" t="e">
        <f t="shared" si="51"/>
        <v>#DIV/0!</v>
      </c>
      <c r="K167" s="220" t="e">
        <f t="shared" si="52"/>
        <v>#DIV/0!</v>
      </c>
      <c r="L167" s="457"/>
      <c r="M167" s="219" t="e">
        <f>RANK(K167, K$147:$K$176)</f>
        <v>#DIV/0!</v>
      </c>
      <c r="N167" s="475"/>
      <c r="O167" s="475"/>
      <c r="P167" s="187"/>
      <c r="Q167" s="187"/>
      <c r="R167" s="187"/>
      <c r="S167" s="339" t="e">
        <f t="shared" si="60"/>
        <v>#N/A</v>
      </c>
      <c r="T167" s="506"/>
      <c r="U167" s="187"/>
      <c r="V167" s="187"/>
      <c r="W167" s="187"/>
      <c r="X167" s="339" t="e">
        <f t="shared" si="61"/>
        <v>#N/A</v>
      </c>
      <c r="Y167" s="506"/>
      <c r="Z167" s="187"/>
      <c r="AA167" s="187"/>
      <c r="AB167" s="187"/>
      <c r="AC167" s="339" t="e">
        <f t="shared" si="62"/>
        <v>#N/A</v>
      </c>
      <c r="AD167" s="506"/>
      <c r="AE167" s="187"/>
      <c r="AF167" s="187"/>
      <c r="AG167" s="187"/>
      <c r="AH167" s="339" t="e">
        <f t="shared" si="63"/>
        <v>#N/A</v>
      </c>
      <c r="AI167" s="506"/>
      <c r="AJ167" s="187"/>
      <c r="AK167" s="187"/>
      <c r="AL167" s="187"/>
      <c r="AM167" s="339" t="e">
        <f t="shared" si="64"/>
        <v>#N/A</v>
      </c>
      <c r="AN167" s="506"/>
      <c r="AO167" s="187"/>
      <c r="AP167" s="187"/>
      <c r="AQ167" s="187"/>
      <c r="AR167" s="339" t="e">
        <f t="shared" si="65"/>
        <v>#N/A</v>
      </c>
      <c r="AS167" s="506"/>
      <c r="AT167" s="339"/>
      <c r="AU167" s="341"/>
      <c r="AV167" s="341"/>
      <c r="AW167" s="339" t="e">
        <f t="shared" si="66"/>
        <v>#N/A</v>
      </c>
      <c r="AX167" s="506"/>
    </row>
    <row r="168" spans="2:50">
      <c r="B168" s="483"/>
      <c r="C168" s="339">
        <v>22</v>
      </c>
      <c r="D168" s="257"/>
      <c r="E168" s="187"/>
      <c r="F168" s="339"/>
      <c r="G168" s="341"/>
      <c r="H168" s="508"/>
      <c r="I168" s="219" t="e">
        <f t="shared" si="50"/>
        <v>#DIV/0!</v>
      </c>
      <c r="J168" s="219" t="e">
        <f t="shared" si="51"/>
        <v>#DIV/0!</v>
      </c>
      <c r="K168" s="220" t="e">
        <f t="shared" si="52"/>
        <v>#DIV/0!</v>
      </c>
      <c r="L168" s="457"/>
      <c r="M168" s="219" t="e">
        <f>RANK(K168, K$147:$K$176)</f>
        <v>#DIV/0!</v>
      </c>
      <c r="N168" s="475"/>
      <c r="O168" s="475"/>
      <c r="P168" s="187"/>
      <c r="Q168" s="187"/>
      <c r="R168" s="187"/>
      <c r="S168" s="339" t="e">
        <f t="shared" si="60"/>
        <v>#N/A</v>
      </c>
      <c r="T168" s="506"/>
      <c r="U168" s="187"/>
      <c r="V168" s="187"/>
      <c r="W168" s="187"/>
      <c r="X168" s="339" t="e">
        <f t="shared" si="61"/>
        <v>#N/A</v>
      </c>
      <c r="Y168" s="506"/>
      <c r="Z168" s="187"/>
      <c r="AA168" s="187"/>
      <c r="AB168" s="187"/>
      <c r="AC168" s="339" t="e">
        <f t="shared" si="62"/>
        <v>#N/A</v>
      </c>
      <c r="AD168" s="506"/>
      <c r="AE168" s="187"/>
      <c r="AF168" s="187"/>
      <c r="AG168" s="187"/>
      <c r="AH168" s="339" t="e">
        <f t="shared" si="63"/>
        <v>#N/A</v>
      </c>
      <c r="AI168" s="506"/>
      <c r="AJ168" s="187"/>
      <c r="AK168" s="187"/>
      <c r="AL168" s="187"/>
      <c r="AM168" s="339" t="e">
        <f t="shared" si="64"/>
        <v>#N/A</v>
      </c>
      <c r="AN168" s="506"/>
      <c r="AO168" s="187"/>
      <c r="AP168" s="187"/>
      <c r="AQ168" s="187"/>
      <c r="AR168" s="339" t="e">
        <f t="shared" si="65"/>
        <v>#N/A</v>
      </c>
      <c r="AS168" s="506"/>
      <c r="AT168" s="339"/>
      <c r="AU168" s="341"/>
      <c r="AV168" s="341"/>
      <c r="AW168" s="339" t="e">
        <f t="shared" si="66"/>
        <v>#N/A</v>
      </c>
      <c r="AX168" s="506"/>
    </row>
    <row r="169" spans="2:50">
      <c r="B169" s="483"/>
      <c r="C169" s="339">
        <v>23</v>
      </c>
      <c r="D169" s="257"/>
      <c r="E169" s="187"/>
      <c r="F169" s="339"/>
      <c r="G169" s="341"/>
      <c r="H169" s="508"/>
      <c r="I169" s="219" t="e">
        <f t="shared" si="50"/>
        <v>#DIV/0!</v>
      </c>
      <c r="J169" s="219" t="e">
        <f t="shared" si="51"/>
        <v>#DIV/0!</v>
      </c>
      <c r="K169" s="220" t="e">
        <f t="shared" si="52"/>
        <v>#DIV/0!</v>
      </c>
      <c r="L169" s="457"/>
      <c r="M169" s="219" t="e">
        <f>RANK(K169, K$147:$K$176)</f>
        <v>#DIV/0!</v>
      </c>
      <c r="N169" s="475"/>
      <c r="O169" s="475"/>
      <c r="P169" s="187"/>
      <c r="Q169" s="187"/>
      <c r="R169" s="187"/>
      <c r="S169" s="339" t="e">
        <f t="shared" si="60"/>
        <v>#N/A</v>
      </c>
      <c r="T169" s="506"/>
      <c r="U169" s="187"/>
      <c r="V169" s="187"/>
      <c r="W169" s="187"/>
      <c r="X169" s="339" t="e">
        <f t="shared" si="61"/>
        <v>#N/A</v>
      </c>
      <c r="Y169" s="506"/>
      <c r="Z169" s="187"/>
      <c r="AA169" s="187"/>
      <c r="AB169" s="187"/>
      <c r="AC169" s="339" t="e">
        <f t="shared" si="62"/>
        <v>#N/A</v>
      </c>
      <c r="AD169" s="506"/>
      <c r="AE169" s="187"/>
      <c r="AF169" s="187"/>
      <c r="AG169" s="187"/>
      <c r="AH169" s="339" t="e">
        <f t="shared" si="63"/>
        <v>#N/A</v>
      </c>
      <c r="AI169" s="506"/>
      <c r="AJ169" s="187"/>
      <c r="AK169" s="187"/>
      <c r="AL169" s="187"/>
      <c r="AM169" s="339" t="e">
        <f t="shared" si="64"/>
        <v>#N/A</v>
      </c>
      <c r="AN169" s="506"/>
      <c r="AO169" s="187"/>
      <c r="AP169" s="187"/>
      <c r="AQ169" s="187"/>
      <c r="AR169" s="339" t="e">
        <f t="shared" si="65"/>
        <v>#N/A</v>
      </c>
      <c r="AS169" s="506"/>
      <c r="AT169" s="339"/>
      <c r="AU169" s="341"/>
      <c r="AV169" s="341"/>
      <c r="AW169" s="339" t="e">
        <f t="shared" si="66"/>
        <v>#N/A</v>
      </c>
      <c r="AX169" s="506"/>
    </row>
    <row r="170" spans="2:50">
      <c r="B170" s="483"/>
      <c r="C170" s="339">
        <v>24</v>
      </c>
      <c r="D170" s="257"/>
      <c r="E170" s="187"/>
      <c r="F170" s="339"/>
      <c r="G170" s="341"/>
      <c r="H170" s="508"/>
      <c r="I170" s="219" t="e">
        <f t="shared" si="50"/>
        <v>#DIV/0!</v>
      </c>
      <c r="J170" s="219" t="e">
        <f t="shared" si="51"/>
        <v>#DIV/0!</v>
      </c>
      <c r="K170" s="220" t="e">
        <f t="shared" si="52"/>
        <v>#DIV/0!</v>
      </c>
      <c r="L170" s="457"/>
      <c r="M170" s="219" t="e">
        <f>RANK(K170, K$147:$K$176)</f>
        <v>#DIV/0!</v>
      </c>
      <c r="N170" s="475"/>
      <c r="O170" s="475"/>
      <c r="P170" s="187"/>
      <c r="Q170" s="187"/>
      <c r="R170" s="187"/>
      <c r="S170" s="339" t="e">
        <f t="shared" si="60"/>
        <v>#N/A</v>
      </c>
      <c r="T170" s="506"/>
      <c r="U170" s="187"/>
      <c r="V170" s="187"/>
      <c r="W170" s="187"/>
      <c r="X170" s="339" t="e">
        <f t="shared" si="61"/>
        <v>#N/A</v>
      </c>
      <c r="Y170" s="506"/>
      <c r="Z170" s="187"/>
      <c r="AA170" s="187"/>
      <c r="AB170" s="187"/>
      <c r="AC170" s="339" t="e">
        <f t="shared" si="62"/>
        <v>#N/A</v>
      </c>
      <c r="AD170" s="506"/>
      <c r="AE170" s="187"/>
      <c r="AF170" s="187"/>
      <c r="AG170" s="187"/>
      <c r="AH170" s="339" t="e">
        <f t="shared" si="63"/>
        <v>#N/A</v>
      </c>
      <c r="AI170" s="506"/>
      <c r="AJ170" s="187"/>
      <c r="AK170" s="187"/>
      <c r="AL170" s="187"/>
      <c r="AM170" s="339" t="e">
        <f t="shared" si="64"/>
        <v>#N/A</v>
      </c>
      <c r="AN170" s="506"/>
      <c r="AO170" s="187"/>
      <c r="AP170" s="187"/>
      <c r="AQ170" s="187"/>
      <c r="AR170" s="339" t="e">
        <f t="shared" si="65"/>
        <v>#N/A</v>
      </c>
      <c r="AS170" s="506"/>
      <c r="AT170" s="339"/>
      <c r="AU170" s="341"/>
      <c r="AV170" s="341"/>
      <c r="AW170" s="339" t="e">
        <f t="shared" si="66"/>
        <v>#N/A</v>
      </c>
      <c r="AX170" s="506"/>
    </row>
    <row r="171" spans="2:50">
      <c r="B171" s="483"/>
      <c r="C171" s="339">
        <v>25</v>
      </c>
      <c r="D171" s="257"/>
      <c r="E171" s="187"/>
      <c r="F171" s="339"/>
      <c r="G171" s="341"/>
      <c r="H171" s="508"/>
      <c r="I171" s="219"/>
      <c r="J171" s="219"/>
      <c r="K171" s="220"/>
      <c r="L171" s="457"/>
      <c r="M171" s="219" t="e">
        <f>RANK(K171, K$147:$K$176)</f>
        <v>#DIV/0!</v>
      </c>
      <c r="N171" s="475"/>
      <c r="O171" s="475"/>
      <c r="P171" s="339"/>
      <c r="Q171" s="341"/>
      <c r="R171" s="341"/>
      <c r="S171" s="339" t="e">
        <f t="shared" si="60"/>
        <v>#N/A</v>
      </c>
      <c r="T171" s="506"/>
      <c r="U171" s="351"/>
      <c r="V171" s="354"/>
      <c r="W171" s="354"/>
      <c r="X171" s="339" t="e">
        <f t="shared" si="61"/>
        <v>#N/A</v>
      </c>
      <c r="Y171" s="506"/>
      <c r="Z171" s="351"/>
      <c r="AA171" s="354"/>
      <c r="AB171" s="354"/>
      <c r="AC171" s="339" t="e">
        <f t="shared" si="62"/>
        <v>#N/A</v>
      </c>
      <c r="AD171" s="506"/>
      <c r="AE171" s="351"/>
      <c r="AF171" s="354"/>
      <c r="AG171" s="354"/>
      <c r="AH171" s="339" t="e">
        <f t="shared" si="63"/>
        <v>#N/A</v>
      </c>
      <c r="AI171" s="506"/>
      <c r="AJ171" s="351"/>
      <c r="AK171" s="354"/>
      <c r="AL171" s="354"/>
      <c r="AM171" s="339" t="e">
        <f t="shared" si="64"/>
        <v>#N/A</v>
      </c>
      <c r="AN171" s="506"/>
      <c r="AO171" s="351"/>
      <c r="AP171" s="354"/>
      <c r="AQ171" s="354"/>
      <c r="AR171" s="339" t="e">
        <f t="shared" si="65"/>
        <v>#N/A</v>
      </c>
      <c r="AS171" s="506"/>
      <c r="AT171" s="339"/>
      <c r="AU171" s="341"/>
      <c r="AV171" s="341"/>
      <c r="AW171" s="339" t="e">
        <f t="shared" si="66"/>
        <v>#N/A</v>
      </c>
      <c r="AX171" s="506"/>
    </row>
    <row r="172" spans="2:50">
      <c r="B172" s="483"/>
      <c r="C172" s="339">
        <v>26</v>
      </c>
      <c r="D172" s="257"/>
      <c r="E172" s="187"/>
      <c r="F172" s="339"/>
      <c r="G172" s="341"/>
      <c r="H172" s="508"/>
      <c r="I172" s="219"/>
      <c r="J172" s="219"/>
      <c r="K172" s="220"/>
      <c r="L172" s="457"/>
      <c r="M172" s="219" t="e">
        <f>RANK(K172, K$147:$K$176)</f>
        <v>#DIV/0!</v>
      </c>
      <c r="N172" s="475"/>
      <c r="O172" s="475"/>
      <c r="P172" s="339"/>
      <c r="Q172" s="341"/>
      <c r="R172" s="341"/>
      <c r="S172" s="339" t="e">
        <f t="shared" si="60"/>
        <v>#N/A</v>
      </c>
      <c r="T172" s="506"/>
      <c r="U172" s="351"/>
      <c r="V172" s="354"/>
      <c r="W172" s="354"/>
      <c r="X172" s="339" t="e">
        <f t="shared" si="61"/>
        <v>#N/A</v>
      </c>
      <c r="Y172" s="506"/>
      <c r="Z172" s="351"/>
      <c r="AA172" s="354"/>
      <c r="AB172" s="354"/>
      <c r="AC172" s="339" t="e">
        <f t="shared" si="62"/>
        <v>#N/A</v>
      </c>
      <c r="AD172" s="506"/>
      <c r="AE172" s="351"/>
      <c r="AF172" s="354"/>
      <c r="AG172" s="354"/>
      <c r="AH172" s="339" t="e">
        <f t="shared" si="63"/>
        <v>#N/A</v>
      </c>
      <c r="AI172" s="506"/>
      <c r="AJ172" s="351"/>
      <c r="AK172" s="354"/>
      <c r="AL172" s="354"/>
      <c r="AM172" s="339" t="e">
        <f t="shared" si="64"/>
        <v>#N/A</v>
      </c>
      <c r="AN172" s="506"/>
      <c r="AO172" s="351"/>
      <c r="AP172" s="354"/>
      <c r="AQ172" s="354"/>
      <c r="AR172" s="339" t="e">
        <f t="shared" si="65"/>
        <v>#N/A</v>
      </c>
      <c r="AS172" s="506"/>
      <c r="AT172" s="339"/>
      <c r="AU172" s="341"/>
      <c r="AV172" s="341"/>
      <c r="AW172" s="339" t="e">
        <f t="shared" si="66"/>
        <v>#N/A</v>
      </c>
      <c r="AX172" s="506"/>
    </row>
    <row r="173" spans="2:50">
      <c r="B173" s="483"/>
      <c r="C173" s="339">
        <v>27</v>
      </c>
      <c r="D173" s="257"/>
      <c r="E173" s="187"/>
      <c r="F173" s="339"/>
      <c r="G173" s="341"/>
      <c r="H173" s="508"/>
      <c r="I173" s="219"/>
      <c r="J173" s="219"/>
      <c r="K173" s="220"/>
      <c r="L173" s="457"/>
      <c r="M173" s="219" t="e">
        <f>RANK(K173, K$147:$K$176)</f>
        <v>#DIV/0!</v>
      </c>
      <c r="N173" s="475"/>
      <c r="O173" s="475"/>
      <c r="P173" s="339"/>
      <c r="Q173" s="341"/>
      <c r="R173" s="341"/>
      <c r="S173" s="339" t="e">
        <f t="shared" si="60"/>
        <v>#N/A</v>
      </c>
      <c r="T173" s="506"/>
      <c r="U173" s="351"/>
      <c r="V173" s="354"/>
      <c r="W173" s="354"/>
      <c r="X173" s="339" t="e">
        <f t="shared" si="61"/>
        <v>#N/A</v>
      </c>
      <c r="Y173" s="506"/>
      <c r="Z173" s="351"/>
      <c r="AA173" s="354"/>
      <c r="AB173" s="354"/>
      <c r="AC173" s="339" t="e">
        <f t="shared" si="62"/>
        <v>#N/A</v>
      </c>
      <c r="AD173" s="506"/>
      <c r="AE173" s="351"/>
      <c r="AF173" s="354"/>
      <c r="AG173" s="354"/>
      <c r="AH173" s="339" t="e">
        <f t="shared" si="63"/>
        <v>#N/A</v>
      </c>
      <c r="AI173" s="506"/>
      <c r="AJ173" s="351"/>
      <c r="AK173" s="354"/>
      <c r="AL173" s="354"/>
      <c r="AM173" s="339" t="e">
        <f t="shared" si="64"/>
        <v>#N/A</v>
      </c>
      <c r="AN173" s="506"/>
      <c r="AO173" s="351"/>
      <c r="AP173" s="354"/>
      <c r="AQ173" s="354"/>
      <c r="AR173" s="339" t="e">
        <f t="shared" si="65"/>
        <v>#N/A</v>
      </c>
      <c r="AS173" s="506"/>
      <c r="AT173" s="339"/>
      <c r="AU173" s="341"/>
      <c r="AV173" s="341"/>
      <c r="AW173" s="339" t="e">
        <f t="shared" si="66"/>
        <v>#N/A</v>
      </c>
      <c r="AX173" s="506"/>
    </row>
    <row r="174" spans="2:50">
      <c r="B174" s="483"/>
      <c r="C174" s="339">
        <v>28</v>
      </c>
      <c r="D174" s="257"/>
      <c r="E174" s="187"/>
      <c r="F174" s="339"/>
      <c r="G174" s="341"/>
      <c r="H174" s="508"/>
      <c r="I174" s="219"/>
      <c r="J174" s="219"/>
      <c r="K174" s="220"/>
      <c r="L174" s="457"/>
      <c r="M174" s="219" t="e">
        <f>RANK(K174, K$147:$K$176)</f>
        <v>#DIV/0!</v>
      </c>
      <c r="N174" s="475"/>
      <c r="O174" s="475"/>
      <c r="P174" s="339"/>
      <c r="Q174" s="341"/>
      <c r="R174" s="341"/>
      <c r="S174" s="339" t="e">
        <f t="shared" si="60"/>
        <v>#N/A</v>
      </c>
      <c r="T174" s="506"/>
      <c r="U174" s="351"/>
      <c r="V174" s="354"/>
      <c r="W174" s="354"/>
      <c r="X174" s="339" t="e">
        <f t="shared" si="61"/>
        <v>#N/A</v>
      </c>
      <c r="Y174" s="506"/>
      <c r="Z174" s="351"/>
      <c r="AA174" s="354"/>
      <c r="AB174" s="354"/>
      <c r="AC174" s="339" t="e">
        <f t="shared" si="62"/>
        <v>#N/A</v>
      </c>
      <c r="AD174" s="506"/>
      <c r="AE174" s="351"/>
      <c r="AF174" s="354"/>
      <c r="AG174" s="354"/>
      <c r="AH174" s="339" t="e">
        <f t="shared" si="63"/>
        <v>#N/A</v>
      </c>
      <c r="AI174" s="506"/>
      <c r="AJ174" s="351"/>
      <c r="AK174" s="354"/>
      <c r="AL174" s="354"/>
      <c r="AM174" s="339" t="e">
        <f t="shared" si="64"/>
        <v>#N/A</v>
      </c>
      <c r="AN174" s="506"/>
      <c r="AO174" s="351"/>
      <c r="AP174" s="354"/>
      <c r="AQ174" s="354"/>
      <c r="AR174" s="339" t="e">
        <f t="shared" si="65"/>
        <v>#N/A</v>
      </c>
      <c r="AS174" s="506"/>
      <c r="AT174" s="339"/>
      <c r="AU174" s="341"/>
      <c r="AV174" s="341"/>
      <c r="AW174" s="339" t="e">
        <f t="shared" si="66"/>
        <v>#N/A</v>
      </c>
      <c r="AX174" s="506"/>
    </row>
    <row r="175" spans="2:50">
      <c r="B175" s="483"/>
      <c r="C175" s="339">
        <v>29</v>
      </c>
      <c r="D175" s="257"/>
      <c r="E175" s="187"/>
      <c r="F175" s="339"/>
      <c r="G175" s="341"/>
      <c r="H175" s="508"/>
      <c r="I175" s="222"/>
      <c r="J175" s="222"/>
      <c r="K175" s="222"/>
      <c r="L175" s="457"/>
      <c r="M175" s="219" t="e">
        <f>RANK(K175, K$147:$K$176)</f>
        <v>#DIV/0!</v>
      </c>
      <c r="N175" s="475"/>
      <c r="O175" s="475"/>
      <c r="P175" s="339"/>
      <c r="Q175" s="339"/>
      <c r="R175" s="339"/>
      <c r="S175" s="339" t="e">
        <f t="shared" si="60"/>
        <v>#N/A</v>
      </c>
      <c r="T175" s="506"/>
      <c r="U175" s="351"/>
      <c r="V175" s="351"/>
      <c r="W175" s="351"/>
      <c r="X175" s="339" t="e">
        <f t="shared" si="61"/>
        <v>#N/A</v>
      </c>
      <c r="Y175" s="506"/>
      <c r="Z175" s="351"/>
      <c r="AA175" s="351"/>
      <c r="AB175" s="351"/>
      <c r="AC175" s="339" t="e">
        <f t="shared" si="62"/>
        <v>#N/A</v>
      </c>
      <c r="AD175" s="506"/>
      <c r="AE175" s="351"/>
      <c r="AF175" s="351"/>
      <c r="AG175" s="351"/>
      <c r="AH175" s="339" t="e">
        <f t="shared" si="63"/>
        <v>#N/A</v>
      </c>
      <c r="AI175" s="506"/>
      <c r="AJ175" s="351"/>
      <c r="AK175" s="351"/>
      <c r="AL175" s="351"/>
      <c r="AM175" s="339" t="e">
        <f t="shared" si="64"/>
        <v>#N/A</v>
      </c>
      <c r="AN175" s="506"/>
      <c r="AO175" s="351"/>
      <c r="AP175" s="351"/>
      <c r="AQ175" s="351"/>
      <c r="AR175" s="339" t="e">
        <f t="shared" si="65"/>
        <v>#N/A</v>
      </c>
      <c r="AS175" s="506"/>
      <c r="AT175" s="339"/>
      <c r="AU175" s="339"/>
      <c r="AV175" s="339"/>
      <c r="AW175" s="339" t="e">
        <f t="shared" si="66"/>
        <v>#N/A</v>
      </c>
      <c r="AX175" s="506"/>
    </row>
    <row r="176" spans="2:50">
      <c r="B176" s="483"/>
      <c r="C176" s="339">
        <v>30</v>
      </c>
      <c r="D176" s="257"/>
      <c r="E176" s="187"/>
      <c r="F176" s="339"/>
      <c r="G176" s="341"/>
      <c r="H176" s="509"/>
      <c r="I176" s="222"/>
      <c r="J176" s="222"/>
      <c r="K176" s="222"/>
      <c r="L176" s="458"/>
      <c r="M176" s="219" t="e">
        <f>RANK(K176, K$147:$K$176)</f>
        <v>#DIV/0!</v>
      </c>
      <c r="N176" s="475"/>
      <c r="O176" s="475"/>
      <c r="P176" s="339"/>
      <c r="Q176" s="339"/>
      <c r="R176" s="339"/>
      <c r="S176" s="339" t="e">
        <f t="shared" si="53"/>
        <v>#N/A</v>
      </c>
      <c r="T176" s="506"/>
      <c r="U176" s="351"/>
      <c r="V176" s="351"/>
      <c r="W176" s="351"/>
      <c r="X176" s="339" t="e">
        <f t="shared" si="54"/>
        <v>#N/A</v>
      </c>
      <c r="Y176" s="506"/>
      <c r="Z176" s="351"/>
      <c r="AA176" s="351"/>
      <c r="AB176" s="351"/>
      <c r="AC176" s="339" t="e">
        <f t="shared" si="55"/>
        <v>#N/A</v>
      </c>
      <c r="AD176" s="506"/>
      <c r="AE176" s="351"/>
      <c r="AF176" s="351"/>
      <c r="AG176" s="351"/>
      <c r="AH176" s="339" t="e">
        <f t="shared" si="56"/>
        <v>#N/A</v>
      </c>
      <c r="AI176" s="506"/>
      <c r="AJ176" s="351"/>
      <c r="AK176" s="351"/>
      <c r="AL176" s="351"/>
      <c r="AM176" s="339" t="e">
        <f t="shared" si="57"/>
        <v>#N/A</v>
      </c>
      <c r="AN176" s="506"/>
      <c r="AO176" s="351"/>
      <c r="AP176" s="351"/>
      <c r="AQ176" s="351"/>
      <c r="AR176" s="339" t="e">
        <f t="shared" si="58"/>
        <v>#N/A</v>
      </c>
      <c r="AS176" s="506"/>
      <c r="AT176" s="339"/>
      <c r="AU176" s="339"/>
      <c r="AV176" s="339"/>
      <c r="AW176" s="339" t="e">
        <f t="shared" si="59"/>
        <v>#N/A</v>
      </c>
      <c r="AX176" s="506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="50" zoomScaleNormal="50" workbookViewId="0">
      <pane xSplit="15" topLeftCell="S1" activePane="topRight" state="frozen"/>
      <selection sqref="A1:L2"/>
      <selection pane="topRight" activeCell="I34" sqref="I34:K34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7" t="s">
        <v>381</v>
      </c>
      <c r="C1" s="248">
        <f>AVERAGE(L7,L27,L47,L67,L87)</f>
        <v>66.363330795209265</v>
      </c>
    </row>
    <row r="2" spans="1:50" ht="15.75">
      <c r="A2" s="81"/>
      <c r="B2" s="487" t="s">
        <v>172</v>
      </c>
      <c r="C2" s="487"/>
      <c r="D2" s="487"/>
      <c r="E2" s="487"/>
      <c r="F2" s="487"/>
      <c r="G2" s="487"/>
      <c r="H2" s="487"/>
      <c r="I2" s="352"/>
      <c r="J2" s="352"/>
      <c r="K2" s="352"/>
      <c r="L2" s="352"/>
      <c r="M2" s="217"/>
      <c r="N2" s="476" t="s">
        <v>164</v>
      </c>
      <c r="O2" s="476" t="s">
        <v>163</v>
      </c>
      <c r="P2" s="479">
        <v>45895</v>
      </c>
      <c r="Q2" s="480"/>
      <c r="R2" s="480"/>
      <c r="S2" s="480"/>
      <c r="T2" s="481"/>
      <c r="U2" s="482">
        <f>P2+1</f>
        <v>45896</v>
      </c>
      <c r="V2" s="483"/>
      <c r="W2" s="483"/>
      <c r="X2" s="483"/>
      <c r="Y2" s="483"/>
      <c r="Z2" s="482">
        <f>U2+1</f>
        <v>45897</v>
      </c>
      <c r="AA2" s="483"/>
      <c r="AB2" s="483"/>
      <c r="AC2" s="483"/>
      <c r="AD2" s="483"/>
      <c r="AE2" s="482">
        <f>Z2+1</f>
        <v>45898</v>
      </c>
      <c r="AF2" s="483"/>
      <c r="AG2" s="483"/>
      <c r="AH2" s="483"/>
      <c r="AI2" s="483"/>
      <c r="AJ2" s="482">
        <f>AE2+1</f>
        <v>45899</v>
      </c>
      <c r="AK2" s="483"/>
      <c r="AL2" s="483"/>
      <c r="AM2" s="483"/>
      <c r="AN2" s="483"/>
      <c r="AO2" s="482">
        <f>AJ2+1</f>
        <v>45900</v>
      </c>
      <c r="AP2" s="483"/>
      <c r="AQ2" s="483"/>
      <c r="AR2" s="483"/>
      <c r="AS2" s="483"/>
      <c r="AT2" s="482">
        <f>AO2+1</f>
        <v>45901</v>
      </c>
      <c r="AU2" s="483"/>
      <c r="AV2" s="483"/>
      <c r="AW2" s="483"/>
      <c r="AX2" s="483"/>
    </row>
    <row r="3" spans="1:50" ht="15.75">
      <c r="A3" s="81"/>
      <c r="B3" s="504"/>
      <c r="C3" s="504"/>
      <c r="D3" s="504"/>
      <c r="E3" s="504"/>
      <c r="F3" s="504"/>
      <c r="G3" s="504"/>
      <c r="H3" s="504"/>
      <c r="I3" s="353"/>
      <c r="J3" s="353"/>
      <c r="K3" s="353"/>
      <c r="L3" s="353"/>
      <c r="M3" s="218"/>
      <c r="N3" s="478"/>
      <c r="O3" s="478"/>
      <c r="P3" s="479" t="s">
        <v>166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168</v>
      </c>
      <c r="AA3" s="480"/>
      <c r="AB3" s="480"/>
      <c r="AC3" s="480"/>
      <c r="AD3" s="481"/>
      <c r="AE3" s="479" t="s">
        <v>165</v>
      </c>
      <c r="AF3" s="480"/>
      <c r="AG3" s="480"/>
      <c r="AH3" s="480"/>
      <c r="AI3" s="481"/>
      <c r="AJ3" s="479" t="s">
        <v>169</v>
      </c>
      <c r="AK3" s="480"/>
      <c r="AL3" s="480"/>
      <c r="AM3" s="480"/>
      <c r="AN3" s="481"/>
      <c r="AO3" s="479" t="s">
        <v>170</v>
      </c>
      <c r="AP3" s="480"/>
      <c r="AQ3" s="480"/>
      <c r="AR3" s="480"/>
      <c r="AS3" s="481"/>
      <c r="AT3" s="479" t="s">
        <v>171</v>
      </c>
      <c r="AU3" s="480"/>
      <c r="AV3" s="480"/>
      <c r="AW3" s="480"/>
      <c r="AX3" s="481"/>
    </row>
    <row r="4" spans="1:50">
      <c r="A4" s="81"/>
      <c r="B4" s="475" t="s">
        <v>766</v>
      </c>
      <c r="C4" s="475" t="s">
        <v>767</v>
      </c>
      <c r="D4" s="475"/>
      <c r="E4" s="475" t="s">
        <v>768</v>
      </c>
      <c r="F4" s="475"/>
      <c r="G4" s="475"/>
      <c r="H4" s="491" t="s">
        <v>769</v>
      </c>
      <c r="I4" s="459" t="s">
        <v>770</v>
      </c>
      <c r="J4" s="459"/>
      <c r="K4" s="459"/>
      <c r="L4" s="460" t="s">
        <v>769</v>
      </c>
      <c r="M4" s="466" t="s">
        <v>771</v>
      </c>
      <c r="N4" s="475"/>
      <c r="O4" s="475" t="s">
        <v>772</v>
      </c>
      <c r="P4" s="472" t="s">
        <v>773</v>
      </c>
      <c r="Q4" s="473"/>
      <c r="R4" s="473"/>
      <c r="S4" s="474"/>
      <c r="T4" s="475" t="s">
        <v>769</v>
      </c>
      <c r="U4" s="472" t="s">
        <v>773</v>
      </c>
      <c r="V4" s="473"/>
      <c r="W4" s="473"/>
      <c r="X4" s="474"/>
      <c r="Y4" s="475" t="s">
        <v>769</v>
      </c>
      <c r="Z4" s="472" t="s">
        <v>773</v>
      </c>
      <c r="AA4" s="473"/>
      <c r="AB4" s="473"/>
      <c r="AC4" s="474"/>
      <c r="AD4" s="475" t="s">
        <v>769</v>
      </c>
      <c r="AE4" s="472" t="s">
        <v>773</v>
      </c>
      <c r="AF4" s="473"/>
      <c r="AG4" s="473"/>
      <c r="AH4" s="474"/>
      <c r="AI4" s="475" t="s">
        <v>769</v>
      </c>
      <c r="AJ4" s="472" t="s">
        <v>773</v>
      </c>
      <c r="AK4" s="473"/>
      <c r="AL4" s="473"/>
      <c r="AM4" s="474"/>
      <c r="AN4" s="475" t="s">
        <v>769</v>
      </c>
      <c r="AO4" s="472" t="s">
        <v>773</v>
      </c>
      <c r="AP4" s="473"/>
      <c r="AQ4" s="473"/>
      <c r="AR4" s="474"/>
      <c r="AS4" s="475" t="s">
        <v>769</v>
      </c>
      <c r="AT4" s="472" t="s">
        <v>773</v>
      </c>
      <c r="AU4" s="473"/>
      <c r="AV4" s="473"/>
      <c r="AW4" s="474"/>
      <c r="AX4" s="475" t="s">
        <v>769</v>
      </c>
    </row>
    <row r="5" spans="1:50">
      <c r="A5" s="81"/>
      <c r="B5" s="475"/>
      <c r="C5" s="475"/>
      <c r="D5" s="475"/>
      <c r="E5" s="475" t="s">
        <v>774</v>
      </c>
      <c r="F5" s="475"/>
      <c r="G5" s="475"/>
      <c r="H5" s="492"/>
      <c r="I5" s="459" t="s">
        <v>774</v>
      </c>
      <c r="J5" s="459"/>
      <c r="K5" s="459"/>
      <c r="L5" s="461"/>
      <c r="M5" s="467"/>
      <c r="N5" s="475"/>
      <c r="O5" s="475"/>
      <c r="P5" s="472" t="s">
        <v>775</v>
      </c>
      <c r="Q5" s="473"/>
      <c r="R5" s="473"/>
      <c r="S5" s="474"/>
      <c r="T5" s="475"/>
      <c r="U5" s="472" t="s">
        <v>775</v>
      </c>
      <c r="V5" s="473"/>
      <c r="W5" s="473"/>
      <c r="X5" s="474"/>
      <c r="Y5" s="475"/>
      <c r="Z5" s="472" t="s">
        <v>775</v>
      </c>
      <c r="AA5" s="473"/>
      <c r="AB5" s="473"/>
      <c r="AC5" s="474"/>
      <c r="AD5" s="475"/>
      <c r="AE5" s="472" t="s">
        <v>775</v>
      </c>
      <c r="AF5" s="473"/>
      <c r="AG5" s="473"/>
      <c r="AH5" s="474"/>
      <c r="AI5" s="475"/>
      <c r="AJ5" s="472" t="s">
        <v>775</v>
      </c>
      <c r="AK5" s="473"/>
      <c r="AL5" s="473"/>
      <c r="AM5" s="474"/>
      <c r="AN5" s="475"/>
      <c r="AO5" s="472" t="s">
        <v>775</v>
      </c>
      <c r="AP5" s="473"/>
      <c r="AQ5" s="473"/>
      <c r="AR5" s="474"/>
      <c r="AS5" s="475"/>
      <c r="AT5" s="472" t="s">
        <v>775</v>
      </c>
      <c r="AU5" s="473"/>
      <c r="AV5" s="473"/>
      <c r="AW5" s="474"/>
      <c r="AX5" s="475"/>
    </row>
    <row r="6" spans="1:50">
      <c r="A6" s="79"/>
      <c r="B6" s="475"/>
      <c r="C6" s="475"/>
      <c r="D6" s="475"/>
      <c r="E6" s="369" t="s">
        <v>776</v>
      </c>
      <c r="F6" s="369" t="s">
        <v>777</v>
      </c>
      <c r="G6" s="369" t="s">
        <v>778</v>
      </c>
      <c r="H6" s="493"/>
      <c r="I6" s="370" t="s">
        <v>776</v>
      </c>
      <c r="J6" s="370" t="s">
        <v>777</v>
      </c>
      <c r="K6" s="370" t="s">
        <v>778</v>
      </c>
      <c r="L6" s="462"/>
      <c r="M6" s="468"/>
      <c r="N6" s="475"/>
      <c r="O6" s="475"/>
      <c r="P6" s="369" t="s">
        <v>776</v>
      </c>
      <c r="Q6" s="369" t="s">
        <v>777</v>
      </c>
      <c r="R6" s="369" t="s">
        <v>778</v>
      </c>
      <c r="S6" s="369" t="s">
        <v>771</v>
      </c>
      <c r="T6" s="475"/>
      <c r="U6" s="369" t="s">
        <v>776</v>
      </c>
      <c r="V6" s="369" t="s">
        <v>777</v>
      </c>
      <c r="W6" s="369" t="s">
        <v>778</v>
      </c>
      <c r="X6" s="369" t="s">
        <v>771</v>
      </c>
      <c r="Y6" s="475"/>
      <c r="Z6" s="369" t="s">
        <v>776</v>
      </c>
      <c r="AA6" s="369" t="s">
        <v>777</v>
      </c>
      <c r="AB6" s="369" t="s">
        <v>778</v>
      </c>
      <c r="AC6" s="369" t="s">
        <v>771</v>
      </c>
      <c r="AD6" s="475"/>
      <c r="AE6" s="369" t="s">
        <v>776</v>
      </c>
      <c r="AF6" s="369" t="s">
        <v>777</v>
      </c>
      <c r="AG6" s="369" t="s">
        <v>778</v>
      </c>
      <c r="AH6" s="369" t="s">
        <v>771</v>
      </c>
      <c r="AI6" s="475"/>
      <c r="AJ6" s="369" t="s">
        <v>776</v>
      </c>
      <c r="AK6" s="369" t="s">
        <v>777</v>
      </c>
      <c r="AL6" s="369" t="s">
        <v>778</v>
      </c>
      <c r="AM6" s="369" t="s">
        <v>771</v>
      </c>
      <c r="AN6" s="475"/>
      <c r="AO6" s="369" t="s">
        <v>776</v>
      </c>
      <c r="AP6" s="369" t="s">
        <v>777</v>
      </c>
      <c r="AQ6" s="369" t="s">
        <v>778</v>
      </c>
      <c r="AR6" s="369" t="s">
        <v>771</v>
      </c>
      <c r="AS6" s="475"/>
      <c r="AT6" s="369" t="s">
        <v>776</v>
      </c>
      <c r="AU6" s="369" t="s">
        <v>777</v>
      </c>
      <c r="AV6" s="369" t="s">
        <v>778</v>
      </c>
      <c r="AW6" s="369" t="s">
        <v>771</v>
      </c>
      <c r="AX6" s="475"/>
    </row>
    <row r="7" spans="1:50">
      <c r="A7" s="81"/>
      <c r="B7" s="475" t="s">
        <v>784</v>
      </c>
      <c r="C7" s="368">
        <v>1</v>
      </c>
      <c r="D7" s="257" t="s">
        <v>482</v>
      </c>
      <c r="E7" s="187">
        <v>19</v>
      </c>
      <c r="F7" s="368">
        <v>1440</v>
      </c>
      <c r="G7" s="371">
        <v>75.78947368421052</v>
      </c>
      <c r="H7" s="507">
        <f>AVERAGE(G7:G21)</f>
        <v>76.060274767801857</v>
      </c>
      <c r="I7" s="219">
        <f>AVERAGE(P7,U7,Z7,AE7,AJ7,AO7,AT7)</f>
        <v>19</v>
      </c>
      <c r="J7" s="219">
        <f>AVERAGE(Q7,V7,AA7,AF7,AK7,AP7,AU7)</f>
        <v>1289.6788346316287</v>
      </c>
      <c r="K7" s="220">
        <f>AVERAGE(R7,W7,AB7,AG7,AL7,AQ7,AV7)</f>
        <v>67.877833401664688</v>
      </c>
      <c r="L7" s="456">
        <f>IFERROR(AVERAGE(K7:K21),"-")</f>
        <v>64.558339136708696</v>
      </c>
      <c r="M7" s="221">
        <f>RANK(K7, K$7:$K$21)</f>
        <v>3</v>
      </c>
      <c r="N7" s="475"/>
      <c r="O7" s="475"/>
      <c r="P7" s="368">
        <v>19</v>
      </c>
      <c r="Q7" s="371">
        <v>1265.2173913043478</v>
      </c>
      <c r="R7" s="371">
        <v>66.590389016018307</v>
      </c>
      <c r="S7" s="368">
        <f t="shared" ref="S7:S21" si="0">RANK(R7, R$7:R$21)</f>
        <v>4</v>
      </c>
      <c r="T7" s="507">
        <f>AVERAGE(R7:R21)</f>
        <v>64.021657489563509</v>
      </c>
      <c r="U7" s="368">
        <v>19</v>
      </c>
      <c r="V7" s="371">
        <v>1256.793893129771</v>
      </c>
      <c r="W7" s="371">
        <v>66.14704700683005</v>
      </c>
      <c r="X7" s="368">
        <f t="shared" ref="X7:X21" si="1">RANK(W7, W$7:W$21)</f>
        <v>4</v>
      </c>
      <c r="Y7" s="507">
        <f>AVERAGE(W7:W21)</f>
        <v>63.904260649613455</v>
      </c>
      <c r="Z7" s="368">
        <v>19</v>
      </c>
      <c r="AA7" s="371">
        <v>1299.5000000000002</v>
      </c>
      <c r="AB7" s="371">
        <v>68.394736842105274</v>
      </c>
      <c r="AC7" s="368">
        <f t="shared" ref="AC7:AC21" si="2">RANK(AB7, AB$7:AB$21)</f>
        <v>2</v>
      </c>
      <c r="AD7" s="507">
        <f>AVERAGE(AB7:AB21)</f>
        <v>65.513611728782195</v>
      </c>
      <c r="AE7" s="368">
        <v>19</v>
      </c>
      <c r="AF7" s="371">
        <v>1306.8571428571424</v>
      </c>
      <c r="AG7" s="371">
        <v>68.781954887218021</v>
      </c>
      <c r="AH7" s="368">
        <f t="shared" ref="AH7:AH21" si="3">RANK(AG7, AG$7:AG$21)</f>
        <v>2</v>
      </c>
      <c r="AI7" s="507">
        <f>AVERAGE(AG7:AG21)</f>
        <v>65.230770243927054</v>
      </c>
      <c r="AJ7" s="368">
        <v>19</v>
      </c>
      <c r="AK7" s="371">
        <v>1282.3728813559323</v>
      </c>
      <c r="AL7" s="371">
        <v>67.493309545049073</v>
      </c>
      <c r="AM7" s="368">
        <f t="shared" ref="AM7:AM21" si="4">RANK(AL7, AL$7:AL$21)</f>
        <v>3</v>
      </c>
      <c r="AN7" s="507">
        <f>AVERAGE(AL7:AL21)</f>
        <v>64.796360093744909</v>
      </c>
      <c r="AO7" s="368">
        <v>19</v>
      </c>
      <c r="AP7" s="371">
        <v>1303.9726027397257</v>
      </c>
      <c r="AQ7" s="371">
        <v>68.630136986301352</v>
      </c>
      <c r="AR7" s="368">
        <f t="shared" ref="AR7:AR21" si="5">RANK(AQ7, AQ$7:AQ$21)</f>
        <v>2</v>
      </c>
      <c r="AS7" s="507">
        <f>AVERAGE(AQ7:AQ21)</f>
        <v>64.766119095942287</v>
      </c>
      <c r="AT7" s="374">
        <v>19</v>
      </c>
      <c r="AU7" s="375">
        <v>1313.0379310344829</v>
      </c>
      <c r="AV7" s="375">
        <v>69.107259528130683</v>
      </c>
      <c r="AW7" s="368">
        <f t="shared" ref="AW7:AW21" si="6">RANK(AV7, AV$7:AV$21)</f>
        <v>2</v>
      </c>
      <c r="AX7" s="506">
        <f>AVERAGE(AV7:AV21)</f>
        <v>65.559247998309161</v>
      </c>
    </row>
    <row r="8" spans="1:50" ht="15" customHeight="1">
      <c r="A8" s="81"/>
      <c r="B8" s="483"/>
      <c r="C8" s="368">
        <v>2</v>
      </c>
      <c r="D8" s="257" t="s">
        <v>483</v>
      </c>
      <c r="E8" s="187">
        <v>20</v>
      </c>
      <c r="F8" s="368">
        <v>1440</v>
      </c>
      <c r="G8" s="371">
        <v>72</v>
      </c>
      <c r="H8" s="508"/>
      <c r="I8" s="219">
        <f t="shared" ref="I8:K14" si="7">AVERAGE(P8,U8,Z8,AE8,AJ8,AO8,AT8)</f>
        <v>19.714285714285715</v>
      </c>
      <c r="J8" s="219">
        <f t="shared" si="7"/>
        <v>1085.8550336718606</v>
      </c>
      <c r="K8" s="220">
        <f t="shared" si="7"/>
        <v>55.106917152412151</v>
      </c>
      <c r="L8" s="457"/>
      <c r="M8" s="221">
        <f>RANK(K8, K$7:$K$21)</f>
        <v>8</v>
      </c>
      <c r="N8" s="475"/>
      <c r="O8" s="475"/>
      <c r="P8" s="368">
        <v>20</v>
      </c>
      <c r="Q8" s="371">
        <v>1077.3529411764691</v>
      </c>
      <c r="R8" s="371">
        <v>53.867647058823458</v>
      </c>
      <c r="S8" s="368">
        <f t="shared" si="0"/>
        <v>8</v>
      </c>
      <c r="T8" s="508"/>
      <c r="U8" s="368">
        <v>20</v>
      </c>
      <c r="V8" s="371">
        <v>1102.5000000000014</v>
      </c>
      <c r="W8" s="371">
        <v>55.125000000000071</v>
      </c>
      <c r="X8" s="368">
        <f t="shared" si="1"/>
        <v>8</v>
      </c>
      <c r="Y8" s="508"/>
      <c r="Z8" s="368">
        <v>20</v>
      </c>
      <c r="AA8" s="371">
        <v>1084.6875000000014</v>
      </c>
      <c r="AB8" s="371">
        <v>54.234375000000071</v>
      </c>
      <c r="AC8" s="368">
        <f t="shared" si="2"/>
        <v>8</v>
      </c>
      <c r="AD8" s="508"/>
      <c r="AE8" s="368">
        <v>20</v>
      </c>
      <c r="AF8" s="371">
        <v>1083.3962264150948</v>
      </c>
      <c r="AG8" s="371">
        <v>54.169811320754739</v>
      </c>
      <c r="AH8" s="368">
        <f t="shared" si="3"/>
        <v>8</v>
      </c>
      <c r="AI8" s="508"/>
      <c r="AJ8" s="368">
        <v>20</v>
      </c>
      <c r="AK8" s="371">
        <v>1087.3684210526324</v>
      </c>
      <c r="AL8" s="371">
        <v>54.368421052631618</v>
      </c>
      <c r="AM8" s="368">
        <f t="shared" si="4"/>
        <v>8</v>
      </c>
      <c r="AN8" s="508"/>
      <c r="AO8" s="368">
        <v>19</v>
      </c>
      <c r="AP8" s="371">
        <v>1064.1176470588248</v>
      </c>
      <c r="AQ8" s="371">
        <v>56.006191950464462</v>
      </c>
      <c r="AR8" s="368">
        <f t="shared" si="5"/>
        <v>7</v>
      </c>
      <c r="AS8" s="508"/>
      <c r="AT8" s="374">
        <v>19</v>
      </c>
      <c r="AU8" s="375">
        <v>1101.5625000000014</v>
      </c>
      <c r="AV8" s="375">
        <v>57.976973684210598</v>
      </c>
      <c r="AW8" s="368">
        <f t="shared" si="6"/>
        <v>7</v>
      </c>
      <c r="AX8" s="506"/>
    </row>
    <row r="9" spans="1:50">
      <c r="A9" s="81"/>
      <c r="B9" s="483"/>
      <c r="C9" s="368">
        <v>3</v>
      </c>
      <c r="D9" s="257" t="s">
        <v>485</v>
      </c>
      <c r="E9" s="187">
        <v>18</v>
      </c>
      <c r="F9" s="368">
        <v>1440</v>
      </c>
      <c r="G9" s="371">
        <v>80</v>
      </c>
      <c r="H9" s="508"/>
      <c r="I9" s="219">
        <f t="shared" si="7"/>
        <v>18</v>
      </c>
      <c r="J9" s="219">
        <f t="shared" si="7"/>
        <v>1224.8082649102341</v>
      </c>
      <c r="K9" s="220">
        <f t="shared" si="7"/>
        <v>68.044903606124123</v>
      </c>
      <c r="L9" s="457"/>
      <c r="M9" s="221">
        <f>RANK(K9, K$7:$K$21)</f>
        <v>2</v>
      </c>
      <c r="N9" s="475"/>
      <c r="O9" s="475"/>
      <c r="P9" s="368">
        <v>18</v>
      </c>
      <c r="Q9" s="371">
        <v>1219.1489361702129</v>
      </c>
      <c r="R9" s="371">
        <v>67.730496453900713</v>
      </c>
      <c r="S9" s="368">
        <f t="shared" si="0"/>
        <v>2</v>
      </c>
      <c r="T9" s="508"/>
      <c r="U9" s="368">
        <v>18</v>
      </c>
      <c r="V9" s="371">
        <v>1218.6666666666665</v>
      </c>
      <c r="W9" s="371">
        <v>67.703703703703695</v>
      </c>
      <c r="X9" s="368">
        <f t="shared" si="1"/>
        <v>2</v>
      </c>
      <c r="Y9" s="508"/>
      <c r="Z9" s="368">
        <v>18</v>
      </c>
      <c r="AA9" s="371">
        <v>1212</v>
      </c>
      <c r="AB9" s="371">
        <v>67.333333333333329</v>
      </c>
      <c r="AC9" s="368">
        <f t="shared" si="2"/>
        <v>3</v>
      </c>
      <c r="AD9" s="508"/>
      <c r="AE9" s="368">
        <v>18</v>
      </c>
      <c r="AF9" s="371">
        <v>1230.7317073170727</v>
      </c>
      <c r="AG9" s="371">
        <v>68.373983739837371</v>
      </c>
      <c r="AH9" s="368">
        <f t="shared" si="3"/>
        <v>3</v>
      </c>
      <c r="AI9" s="508"/>
      <c r="AJ9" s="368">
        <v>18</v>
      </c>
      <c r="AK9" s="371">
        <v>1234.6666666666667</v>
      </c>
      <c r="AL9" s="371">
        <v>68.592592592592595</v>
      </c>
      <c r="AM9" s="368">
        <f t="shared" si="4"/>
        <v>2</v>
      </c>
      <c r="AN9" s="508"/>
      <c r="AO9" s="368">
        <v>18</v>
      </c>
      <c r="AP9" s="371">
        <v>1243.7500000000002</v>
      </c>
      <c r="AQ9" s="371">
        <v>69.097222222222229</v>
      </c>
      <c r="AR9" s="368">
        <f t="shared" si="5"/>
        <v>1</v>
      </c>
      <c r="AS9" s="508"/>
      <c r="AT9" s="374">
        <v>18</v>
      </c>
      <c r="AU9" s="375">
        <v>1214.6938775510207</v>
      </c>
      <c r="AV9" s="375">
        <v>67.48299319727893</v>
      </c>
      <c r="AW9" s="368">
        <f t="shared" si="6"/>
        <v>3</v>
      </c>
      <c r="AX9" s="506"/>
    </row>
    <row r="10" spans="1:50">
      <c r="A10" s="81"/>
      <c r="B10" s="483"/>
      <c r="C10" s="368">
        <v>4</v>
      </c>
      <c r="D10" s="257" t="s">
        <v>484</v>
      </c>
      <c r="E10" s="187">
        <v>17</v>
      </c>
      <c r="F10" s="368">
        <v>1440</v>
      </c>
      <c r="G10" s="371">
        <v>84.705882352941174</v>
      </c>
      <c r="H10" s="508"/>
      <c r="I10" s="219">
        <f t="shared" si="7"/>
        <v>16.857142857142858</v>
      </c>
      <c r="J10" s="219">
        <f t="shared" si="7"/>
        <v>1296.5669267354126</v>
      </c>
      <c r="K10" s="220">
        <f t="shared" si="7"/>
        <v>77.40523658542088</v>
      </c>
      <c r="L10" s="457"/>
      <c r="M10" s="221">
        <f>RANK(K10, K$7:$K$21)</f>
        <v>1</v>
      </c>
      <c r="N10" s="475"/>
      <c r="O10" s="475"/>
      <c r="P10" s="368">
        <v>16</v>
      </c>
      <c r="Q10" s="371">
        <v>1292.3181818181818</v>
      </c>
      <c r="R10" s="371">
        <v>80.76988636363636</v>
      </c>
      <c r="S10" s="368">
        <f t="shared" si="0"/>
        <v>1</v>
      </c>
      <c r="T10" s="508"/>
      <c r="U10" s="368">
        <v>16</v>
      </c>
      <c r="V10" s="371">
        <v>1284.0944881889759</v>
      </c>
      <c r="W10" s="371">
        <v>80.255905511810994</v>
      </c>
      <c r="X10" s="368">
        <f t="shared" si="1"/>
        <v>1</v>
      </c>
      <c r="Y10" s="508"/>
      <c r="Z10" s="368">
        <v>16</v>
      </c>
      <c r="AA10" s="371">
        <v>1307.7983193277305</v>
      </c>
      <c r="AB10" s="371">
        <v>81.737394957983156</v>
      </c>
      <c r="AC10" s="368">
        <f t="shared" si="2"/>
        <v>1</v>
      </c>
      <c r="AD10" s="508"/>
      <c r="AE10" s="368">
        <v>16</v>
      </c>
      <c r="AF10" s="371">
        <v>1283.1578947368412</v>
      </c>
      <c r="AG10" s="371">
        <v>80.197368421052573</v>
      </c>
      <c r="AH10" s="368">
        <f t="shared" si="3"/>
        <v>1</v>
      </c>
      <c r="AI10" s="508"/>
      <c r="AJ10" s="368">
        <v>16</v>
      </c>
      <c r="AK10" s="371">
        <v>1293.6206896551716</v>
      </c>
      <c r="AL10" s="371">
        <v>80.851293103448228</v>
      </c>
      <c r="AM10" s="368">
        <f t="shared" si="4"/>
        <v>1</v>
      </c>
      <c r="AN10" s="508"/>
      <c r="AO10" s="368">
        <v>20</v>
      </c>
      <c r="AP10" s="371">
        <v>1305.3237410071943</v>
      </c>
      <c r="AQ10" s="371">
        <v>65.266187050359719</v>
      </c>
      <c r="AR10" s="368">
        <f t="shared" si="5"/>
        <v>5</v>
      </c>
      <c r="AS10" s="508"/>
      <c r="AT10" s="374">
        <v>18</v>
      </c>
      <c r="AU10" s="375">
        <v>1309.6551724137923</v>
      </c>
      <c r="AV10" s="375">
        <v>72.758620689655132</v>
      </c>
      <c r="AW10" s="368">
        <f t="shared" si="6"/>
        <v>1</v>
      </c>
      <c r="AX10" s="506"/>
    </row>
    <row r="11" spans="1:50">
      <c r="A11" s="81"/>
      <c r="B11" s="483"/>
      <c r="C11" s="368">
        <v>5</v>
      </c>
      <c r="D11" s="257" t="s">
        <v>486</v>
      </c>
      <c r="E11" s="187">
        <v>19</v>
      </c>
      <c r="F11" s="368">
        <v>1440</v>
      </c>
      <c r="G11" s="371">
        <v>75.78947368421052</v>
      </c>
      <c r="H11" s="508"/>
      <c r="I11" s="219">
        <f t="shared" si="7"/>
        <v>18</v>
      </c>
      <c r="J11" s="219">
        <f t="shared" si="7"/>
        <v>1204.6890378723185</v>
      </c>
      <c r="K11" s="220">
        <f t="shared" si="7"/>
        <v>66.927168770684361</v>
      </c>
      <c r="L11" s="457"/>
      <c r="M11" s="221">
        <f>RANK(K11, K$7:$K$21)</f>
        <v>4</v>
      </c>
      <c r="N11" s="475"/>
      <c r="O11" s="475"/>
      <c r="P11" s="368">
        <v>18</v>
      </c>
      <c r="Q11" s="371">
        <v>1198.8235294117651</v>
      </c>
      <c r="R11" s="371">
        <v>66.60130718954251</v>
      </c>
      <c r="S11" s="368">
        <f t="shared" si="0"/>
        <v>3</v>
      </c>
      <c r="T11" s="508"/>
      <c r="U11" s="368">
        <v>18</v>
      </c>
      <c r="V11" s="371">
        <v>1200.0000000000005</v>
      </c>
      <c r="W11" s="371">
        <v>66.666666666666686</v>
      </c>
      <c r="X11" s="368">
        <f t="shared" si="1"/>
        <v>3</v>
      </c>
      <c r="Y11" s="508"/>
      <c r="Z11" s="368">
        <v>18</v>
      </c>
      <c r="AA11" s="371">
        <v>1209.1304347826085</v>
      </c>
      <c r="AB11" s="371">
        <v>67.173913043478251</v>
      </c>
      <c r="AC11" s="368">
        <f t="shared" si="2"/>
        <v>4</v>
      </c>
      <c r="AD11" s="508"/>
      <c r="AE11" s="368">
        <v>18</v>
      </c>
      <c r="AF11" s="371">
        <v>1228.5714285714282</v>
      </c>
      <c r="AG11" s="371">
        <v>68.253968253968239</v>
      </c>
      <c r="AH11" s="368">
        <f t="shared" si="3"/>
        <v>4</v>
      </c>
      <c r="AI11" s="508"/>
      <c r="AJ11" s="368">
        <v>18</v>
      </c>
      <c r="AK11" s="371">
        <v>1178.2978723404256</v>
      </c>
      <c r="AL11" s="371">
        <v>65.460992907801426</v>
      </c>
      <c r="AM11" s="368">
        <f t="shared" si="4"/>
        <v>4</v>
      </c>
      <c r="AN11" s="508"/>
      <c r="AO11" s="368">
        <v>18</v>
      </c>
      <c r="AP11" s="371">
        <v>1213.2000000000003</v>
      </c>
      <c r="AQ11" s="371">
        <v>67.40000000000002</v>
      </c>
      <c r="AR11" s="368">
        <f t="shared" si="5"/>
        <v>3</v>
      </c>
      <c r="AS11" s="508"/>
      <c r="AT11" s="374">
        <v>18</v>
      </c>
      <c r="AU11" s="375">
        <v>1204.8000000000004</v>
      </c>
      <c r="AV11" s="375">
        <v>66.933333333333351</v>
      </c>
      <c r="AW11" s="368">
        <f t="shared" si="6"/>
        <v>4</v>
      </c>
      <c r="AX11" s="506"/>
    </row>
    <row r="12" spans="1:50">
      <c r="A12" s="81"/>
      <c r="B12" s="483"/>
      <c r="C12" s="368">
        <v>6</v>
      </c>
      <c r="D12" s="257" t="s">
        <v>436</v>
      </c>
      <c r="E12" s="187">
        <v>19</v>
      </c>
      <c r="F12" s="368">
        <v>1500</v>
      </c>
      <c r="G12" s="371">
        <v>78.94736842105263</v>
      </c>
      <c r="H12" s="508"/>
      <c r="I12" s="219">
        <f t="shared" si="7"/>
        <v>19</v>
      </c>
      <c r="J12" s="219">
        <f t="shared" si="7"/>
        <v>1094.9333333333343</v>
      </c>
      <c r="K12" s="220">
        <f t="shared" si="7"/>
        <v>57.628070175438651</v>
      </c>
      <c r="L12" s="457"/>
      <c r="M12" s="221">
        <f>RANK(K12, K$7:$K$21)</f>
        <v>7</v>
      </c>
      <c r="N12" s="475"/>
      <c r="O12" s="475"/>
      <c r="P12" s="368">
        <v>19</v>
      </c>
      <c r="Q12" s="371">
        <v>1080.0000000000039</v>
      </c>
      <c r="R12" s="371">
        <v>56.842105263158096</v>
      </c>
      <c r="S12" s="368">
        <f t="shared" si="0"/>
        <v>7</v>
      </c>
      <c r="T12" s="508"/>
      <c r="U12" s="368">
        <v>19</v>
      </c>
      <c r="V12" s="371">
        <v>1074.0000000000036</v>
      </c>
      <c r="W12" s="371">
        <v>56.526315789473877</v>
      </c>
      <c r="X12" s="368">
        <f t="shared" si="1"/>
        <v>7</v>
      </c>
      <c r="Y12" s="508"/>
      <c r="Z12" s="368">
        <v>19</v>
      </c>
      <c r="AA12" s="371">
        <v>1113.3333333333323</v>
      </c>
      <c r="AB12" s="371">
        <v>58.596491228070121</v>
      </c>
      <c r="AC12" s="368">
        <f t="shared" si="2"/>
        <v>7</v>
      </c>
      <c r="AD12" s="508"/>
      <c r="AE12" s="368">
        <v>19</v>
      </c>
      <c r="AF12" s="371">
        <v>1103.3333333333326</v>
      </c>
      <c r="AG12" s="371">
        <v>58.070175438596451</v>
      </c>
      <c r="AH12" s="368">
        <f t="shared" si="3"/>
        <v>7</v>
      </c>
      <c r="AI12" s="508"/>
      <c r="AJ12" s="368">
        <v>19</v>
      </c>
      <c r="AK12" s="371">
        <v>1103.9999999999998</v>
      </c>
      <c r="AL12" s="371">
        <v>58.105263157894726</v>
      </c>
      <c r="AM12" s="368">
        <f t="shared" si="4"/>
        <v>7</v>
      </c>
      <c r="AN12" s="508"/>
      <c r="AO12" s="368"/>
      <c r="AP12" s="371"/>
      <c r="AQ12" s="371"/>
      <c r="AR12" s="368" t="e">
        <f t="shared" si="5"/>
        <v>#N/A</v>
      </c>
      <c r="AS12" s="508"/>
      <c r="AT12" s="374"/>
      <c r="AU12" s="375"/>
      <c r="AV12" s="375"/>
      <c r="AW12" s="368" t="e">
        <f t="shared" si="6"/>
        <v>#N/A</v>
      </c>
      <c r="AX12" s="506"/>
    </row>
    <row r="13" spans="1:50">
      <c r="A13" s="81"/>
      <c r="B13" s="483"/>
      <c r="C13" s="368">
        <v>7</v>
      </c>
      <c r="D13" s="257" t="s">
        <v>487</v>
      </c>
      <c r="E13" s="187">
        <v>20</v>
      </c>
      <c r="F13" s="368">
        <v>1385</v>
      </c>
      <c r="G13" s="371">
        <v>69.25</v>
      </c>
      <c r="H13" s="508"/>
      <c r="I13" s="219">
        <f t="shared" si="7"/>
        <v>20</v>
      </c>
      <c r="J13" s="219">
        <f t="shared" si="7"/>
        <v>1193.423833543505</v>
      </c>
      <c r="K13" s="220">
        <f t="shared" si="7"/>
        <v>59.671191677175251</v>
      </c>
      <c r="L13" s="457"/>
      <c r="M13" s="221">
        <f>RANK(K13, K$7:$K$21)</f>
        <v>6</v>
      </c>
      <c r="N13" s="475"/>
      <c r="O13" s="475"/>
      <c r="P13" s="368">
        <v>20</v>
      </c>
      <c r="Q13" s="371">
        <v>1212.5714285714291</v>
      </c>
      <c r="R13" s="371">
        <v>60.628571428571455</v>
      </c>
      <c r="S13" s="368">
        <f t="shared" si="0"/>
        <v>5</v>
      </c>
      <c r="T13" s="508"/>
      <c r="U13" s="368">
        <v>20</v>
      </c>
      <c r="V13" s="371">
        <v>1177.3770491803275</v>
      </c>
      <c r="W13" s="371">
        <v>58.868852459016374</v>
      </c>
      <c r="X13" s="368">
        <f t="shared" si="1"/>
        <v>6</v>
      </c>
      <c r="Y13" s="508"/>
      <c r="Z13" s="368">
        <v>20</v>
      </c>
      <c r="AA13" s="371">
        <v>1205.689655172413</v>
      </c>
      <c r="AB13" s="371">
        <v>60.284482758620655</v>
      </c>
      <c r="AC13" s="368">
        <f t="shared" si="2"/>
        <v>6</v>
      </c>
      <c r="AD13" s="508"/>
      <c r="AE13" s="368">
        <v>20</v>
      </c>
      <c r="AF13" s="371">
        <v>1191.0891089108916</v>
      </c>
      <c r="AG13" s="371">
        <v>59.554455445544576</v>
      </c>
      <c r="AH13" s="368">
        <f t="shared" si="3"/>
        <v>6</v>
      </c>
      <c r="AI13" s="508"/>
      <c r="AJ13" s="368">
        <v>20</v>
      </c>
      <c r="AK13" s="371">
        <v>1182.2608695652182</v>
      </c>
      <c r="AL13" s="371">
        <v>59.113043478260906</v>
      </c>
      <c r="AM13" s="368">
        <f t="shared" si="4"/>
        <v>6</v>
      </c>
      <c r="AN13" s="508"/>
      <c r="AO13" s="368">
        <v>20</v>
      </c>
      <c r="AP13" s="371">
        <v>1202.9787234042556</v>
      </c>
      <c r="AQ13" s="371">
        <v>60.148936170212778</v>
      </c>
      <c r="AR13" s="368">
        <f t="shared" si="5"/>
        <v>6</v>
      </c>
      <c r="AS13" s="508"/>
      <c r="AT13" s="374">
        <v>20</v>
      </c>
      <c r="AU13" s="375">
        <v>1181.9999999999995</v>
      </c>
      <c r="AV13" s="375">
        <v>59.09999999999998</v>
      </c>
      <c r="AW13" s="368">
        <f t="shared" si="6"/>
        <v>6</v>
      </c>
      <c r="AX13" s="506"/>
    </row>
    <row r="14" spans="1:50">
      <c r="A14" s="81"/>
      <c r="B14" s="483"/>
      <c r="C14" s="368">
        <v>8</v>
      </c>
      <c r="D14" s="257" t="s">
        <v>488</v>
      </c>
      <c r="E14" s="187">
        <v>20</v>
      </c>
      <c r="F14" s="368">
        <v>1440</v>
      </c>
      <c r="G14" s="371">
        <v>72</v>
      </c>
      <c r="H14" s="508"/>
      <c r="I14" s="219">
        <f t="shared" si="7"/>
        <v>18.571428571428573</v>
      </c>
      <c r="J14" s="219">
        <f t="shared" si="7"/>
        <v>1182.5208942461359</v>
      </c>
      <c r="K14" s="220">
        <f t="shared" si="7"/>
        <v>63.805391724749413</v>
      </c>
      <c r="L14" s="457"/>
      <c r="M14" s="221">
        <f>RANK(K14, K$7:$K$21)</f>
        <v>5</v>
      </c>
      <c r="N14" s="475"/>
      <c r="O14" s="475"/>
      <c r="P14" s="368">
        <v>20</v>
      </c>
      <c r="Q14" s="371">
        <v>1182.8571428571431</v>
      </c>
      <c r="R14" s="371">
        <v>59.142857142857153</v>
      </c>
      <c r="S14" s="368">
        <f t="shared" si="0"/>
        <v>6</v>
      </c>
      <c r="T14" s="508"/>
      <c r="U14" s="368">
        <v>20</v>
      </c>
      <c r="V14" s="371">
        <v>1198.8118811881193</v>
      </c>
      <c r="W14" s="371">
        <v>59.940594059405967</v>
      </c>
      <c r="X14" s="368">
        <f t="shared" si="1"/>
        <v>5</v>
      </c>
      <c r="Y14" s="508"/>
      <c r="Z14" s="368">
        <v>18</v>
      </c>
      <c r="AA14" s="371">
        <v>1194.3750000000005</v>
      </c>
      <c r="AB14" s="371">
        <v>66.354166666666686</v>
      </c>
      <c r="AC14" s="368">
        <f t="shared" si="2"/>
        <v>5</v>
      </c>
      <c r="AD14" s="508"/>
      <c r="AE14" s="368">
        <v>18</v>
      </c>
      <c r="AF14" s="371">
        <v>1159.9999999999995</v>
      </c>
      <c r="AG14" s="371">
        <v>64.444444444444414</v>
      </c>
      <c r="AH14" s="368">
        <f t="shared" si="3"/>
        <v>5</v>
      </c>
      <c r="AI14" s="508"/>
      <c r="AJ14" s="368">
        <v>18</v>
      </c>
      <c r="AK14" s="371">
        <v>1158.9473684210527</v>
      </c>
      <c r="AL14" s="371">
        <v>64.385964912280713</v>
      </c>
      <c r="AM14" s="368">
        <f t="shared" si="4"/>
        <v>5</v>
      </c>
      <c r="AN14" s="508"/>
      <c r="AO14" s="368">
        <v>18</v>
      </c>
      <c r="AP14" s="371">
        <v>1202.654867256638</v>
      </c>
      <c r="AQ14" s="371">
        <v>66.814159292035441</v>
      </c>
      <c r="AR14" s="368">
        <f t="shared" si="5"/>
        <v>4</v>
      </c>
      <c r="AS14" s="508"/>
      <c r="AT14" s="374">
        <v>18</v>
      </c>
      <c r="AU14" s="375">
        <v>1179.9999999999991</v>
      </c>
      <c r="AV14" s="375">
        <v>65.5555555555555</v>
      </c>
      <c r="AW14" s="368">
        <f t="shared" si="6"/>
        <v>5</v>
      </c>
      <c r="AX14" s="506"/>
    </row>
    <row r="15" spans="1:50">
      <c r="A15" s="81"/>
      <c r="B15" s="483"/>
      <c r="C15" s="368">
        <v>9</v>
      </c>
      <c r="D15" s="257"/>
      <c r="E15" s="187"/>
      <c r="F15" s="368"/>
      <c r="G15" s="371"/>
      <c r="H15" s="508"/>
      <c r="I15" s="219"/>
      <c r="J15" s="219"/>
      <c r="K15" s="220"/>
      <c r="L15" s="457"/>
      <c r="M15" s="221" t="e">
        <f>RANK(K15, K$7:$K$21)</f>
        <v>#N/A</v>
      </c>
      <c r="N15" s="475"/>
      <c r="O15" s="475"/>
      <c r="P15" s="368"/>
      <c r="Q15" s="371"/>
      <c r="R15" s="371"/>
      <c r="S15" s="368" t="e">
        <f t="shared" si="0"/>
        <v>#N/A</v>
      </c>
      <c r="T15" s="508"/>
      <c r="U15" s="368"/>
      <c r="V15" s="371"/>
      <c r="W15" s="371"/>
      <c r="X15" s="368" t="e">
        <f t="shared" si="1"/>
        <v>#N/A</v>
      </c>
      <c r="Y15" s="508"/>
      <c r="Z15" s="368"/>
      <c r="AA15" s="371"/>
      <c r="AB15" s="371"/>
      <c r="AC15" s="368" t="e">
        <f t="shared" si="2"/>
        <v>#N/A</v>
      </c>
      <c r="AD15" s="508"/>
      <c r="AE15" s="368"/>
      <c r="AF15" s="371"/>
      <c r="AG15" s="371"/>
      <c r="AH15" s="368" t="e">
        <f t="shared" si="3"/>
        <v>#N/A</v>
      </c>
      <c r="AI15" s="508"/>
      <c r="AJ15" s="368"/>
      <c r="AK15" s="371"/>
      <c r="AL15" s="371"/>
      <c r="AM15" s="368" t="e">
        <f t="shared" si="4"/>
        <v>#N/A</v>
      </c>
      <c r="AN15" s="508"/>
      <c r="AO15" s="368"/>
      <c r="AP15" s="371"/>
      <c r="AQ15" s="371"/>
      <c r="AR15" s="368" t="e">
        <f t="shared" si="5"/>
        <v>#N/A</v>
      </c>
      <c r="AS15" s="508"/>
      <c r="AT15" s="374"/>
      <c r="AU15" s="375"/>
      <c r="AV15" s="375"/>
      <c r="AW15" s="368" t="e">
        <f t="shared" si="6"/>
        <v>#N/A</v>
      </c>
      <c r="AX15" s="506"/>
    </row>
    <row r="16" spans="1:50">
      <c r="A16" s="81"/>
      <c r="B16" s="483"/>
      <c r="C16" s="368">
        <v>10</v>
      </c>
      <c r="D16" s="257"/>
      <c r="E16" s="187"/>
      <c r="F16" s="368"/>
      <c r="G16" s="371"/>
      <c r="H16" s="508"/>
      <c r="I16" s="219"/>
      <c r="J16" s="219"/>
      <c r="K16" s="220"/>
      <c r="L16" s="457"/>
      <c r="M16" s="221" t="e">
        <f>RANK(K16, K$7:$K$21)</f>
        <v>#N/A</v>
      </c>
      <c r="N16" s="475"/>
      <c r="O16" s="475"/>
      <c r="P16" s="368"/>
      <c r="Q16" s="371"/>
      <c r="R16" s="371"/>
      <c r="S16" s="368" t="e">
        <f t="shared" si="0"/>
        <v>#N/A</v>
      </c>
      <c r="T16" s="508"/>
      <c r="U16" s="368"/>
      <c r="V16" s="371"/>
      <c r="W16" s="371"/>
      <c r="X16" s="368" t="e">
        <f t="shared" si="1"/>
        <v>#N/A</v>
      </c>
      <c r="Y16" s="508"/>
      <c r="Z16" s="368"/>
      <c r="AA16" s="371"/>
      <c r="AB16" s="371"/>
      <c r="AC16" s="368" t="e">
        <f t="shared" si="2"/>
        <v>#N/A</v>
      </c>
      <c r="AD16" s="508"/>
      <c r="AE16" s="368"/>
      <c r="AF16" s="371"/>
      <c r="AG16" s="371"/>
      <c r="AH16" s="368" t="e">
        <f t="shared" si="3"/>
        <v>#N/A</v>
      </c>
      <c r="AI16" s="508"/>
      <c r="AJ16" s="368"/>
      <c r="AK16" s="371"/>
      <c r="AL16" s="371"/>
      <c r="AM16" s="368" t="e">
        <f t="shared" si="4"/>
        <v>#N/A</v>
      </c>
      <c r="AN16" s="508"/>
      <c r="AO16" s="368"/>
      <c r="AP16" s="371"/>
      <c r="AQ16" s="371"/>
      <c r="AR16" s="368" t="e">
        <f t="shared" si="5"/>
        <v>#N/A</v>
      </c>
      <c r="AS16" s="508"/>
      <c r="AT16" s="374"/>
      <c r="AU16" s="375"/>
      <c r="AV16" s="375"/>
      <c r="AW16" s="368" t="e">
        <f t="shared" si="6"/>
        <v>#N/A</v>
      </c>
      <c r="AX16" s="506"/>
    </row>
    <row r="17" spans="2:50">
      <c r="B17" s="483"/>
      <c r="C17" s="368">
        <v>11</v>
      </c>
      <c r="D17" s="257"/>
      <c r="E17" s="187"/>
      <c r="F17" s="368"/>
      <c r="G17" s="371"/>
      <c r="H17" s="508"/>
      <c r="I17" s="222"/>
      <c r="J17" s="222"/>
      <c r="K17" s="222"/>
      <c r="L17" s="457"/>
      <c r="M17" s="221" t="e">
        <f>RANK(K17, K$7:$K$21)</f>
        <v>#N/A</v>
      </c>
      <c r="N17" s="475"/>
      <c r="O17" s="475"/>
      <c r="P17" s="368"/>
      <c r="Q17" s="371"/>
      <c r="R17" s="371"/>
      <c r="S17" s="368" t="e">
        <f t="shared" si="0"/>
        <v>#N/A</v>
      </c>
      <c r="T17" s="508"/>
      <c r="U17" s="368"/>
      <c r="V17" s="371"/>
      <c r="W17" s="371"/>
      <c r="X17" s="368" t="e">
        <f t="shared" si="1"/>
        <v>#N/A</v>
      </c>
      <c r="Y17" s="508"/>
      <c r="Z17" s="368"/>
      <c r="AA17" s="371"/>
      <c r="AB17" s="371"/>
      <c r="AC17" s="368" t="e">
        <f t="shared" si="2"/>
        <v>#N/A</v>
      </c>
      <c r="AD17" s="508"/>
      <c r="AE17" s="368"/>
      <c r="AF17" s="371"/>
      <c r="AG17" s="371"/>
      <c r="AH17" s="368" t="e">
        <f t="shared" si="3"/>
        <v>#N/A</v>
      </c>
      <c r="AI17" s="508"/>
      <c r="AJ17" s="368"/>
      <c r="AK17" s="371"/>
      <c r="AL17" s="371"/>
      <c r="AM17" s="368" t="e">
        <f t="shared" si="4"/>
        <v>#N/A</v>
      </c>
      <c r="AN17" s="508"/>
      <c r="AO17" s="368"/>
      <c r="AP17" s="371"/>
      <c r="AQ17" s="371"/>
      <c r="AR17" s="368" t="e">
        <f t="shared" si="5"/>
        <v>#N/A</v>
      </c>
      <c r="AS17" s="508"/>
      <c r="AT17" s="374"/>
      <c r="AU17" s="375"/>
      <c r="AV17" s="375"/>
      <c r="AW17" s="368" t="e">
        <f t="shared" si="6"/>
        <v>#N/A</v>
      </c>
      <c r="AX17" s="506"/>
    </row>
    <row r="18" spans="2:50">
      <c r="B18" s="483"/>
      <c r="C18" s="368">
        <v>12</v>
      </c>
      <c r="D18" s="257"/>
      <c r="E18" s="187"/>
      <c r="F18" s="368"/>
      <c r="G18" s="371"/>
      <c r="H18" s="508"/>
      <c r="I18" s="222"/>
      <c r="J18" s="222"/>
      <c r="K18" s="222"/>
      <c r="L18" s="457"/>
      <c r="M18" s="221" t="e">
        <f>RANK(K18, K$7:$K$21)</f>
        <v>#N/A</v>
      </c>
      <c r="N18" s="475"/>
      <c r="O18" s="475"/>
      <c r="P18" s="368"/>
      <c r="Q18" s="371"/>
      <c r="R18" s="371"/>
      <c r="S18" s="368" t="e">
        <f t="shared" si="0"/>
        <v>#N/A</v>
      </c>
      <c r="T18" s="508"/>
      <c r="U18" s="368"/>
      <c r="V18" s="368"/>
      <c r="W18" s="368"/>
      <c r="X18" s="368" t="e">
        <f t="shared" si="1"/>
        <v>#N/A</v>
      </c>
      <c r="Y18" s="508"/>
      <c r="Z18" s="368"/>
      <c r="AA18" s="368"/>
      <c r="AB18" s="368"/>
      <c r="AC18" s="368" t="e">
        <f t="shared" si="2"/>
        <v>#N/A</v>
      </c>
      <c r="AD18" s="508"/>
      <c r="AE18" s="368"/>
      <c r="AF18" s="368"/>
      <c r="AG18" s="368"/>
      <c r="AH18" s="368" t="e">
        <f t="shared" si="3"/>
        <v>#N/A</v>
      </c>
      <c r="AI18" s="508"/>
      <c r="AJ18" s="368"/>
      <c r="AK18" s="368"/>
      <c r="AL18" s="368"/>
      <c r="AM18" s="368" t="e">
        <f t="shared" si="4"/>
        <v>#N/A</v>
      </c>
      <c r="AN18" s="508"/>
      <c r="AO18" s="368"/>
      <c r="AP18" s="368"/>
      <c r="AQ18" s="368"/>
      <c r="AR18" s="368" t="e">
        <f t="shared" si="5"/>
        <v>#N/A</v>
      </c>
      <c r="AS18" s="508"/>
      <c r="AT18" s="374"/>
      <c r="AU18" s="374"/>
      <c r="AV18" s="374"/>
      <c r="AW18" s="368" t="e">
        <f t="shared" si="6"/>
        <v>#N/A</v>
      </c>
      <c r="AX18" s="506"/>
    </row>
    <row r="19" spans="2:50">
      <c r="B19" s="483"/>
      <c r="C19" s="368">
        <v>13</v>
      </c>
      <c r="D19" s="257"/>
      <c r="E19" s="187"/>
      <c r="F19" s="368"/>
      <c r="G19" s="371"/>
      <c r="H19" s="508"/>
      <c r="I19" s="222"/>
      <c r="J19" s="222"/>
      <c r="K19" s="222"/>
      <c r="L19" s="457"/>
      <c r="M19" s="221" t="e">
        <f>RANK(K19, K$7:$K$21)</f>
        <v>#N/A</v>
      </c>
      <c r="N19" s="475"/>
      <c r="O19" s="475"/>
      <c r="P19" s="368"/>
      <c r="Q19" s="371"/>
      <c r="R19" s="371"/>
      <c r="S19" s="368" t="e">
        <f t="shared" si="0"/>
        <v>#N/A</v>
      </c>
      <c r="T19" s="508"/>
      <c r="U19" s="368"/>
      <c r="V19" s="368"/>
      <c r="W19" s="368"/>
      <c r="X19" s="368" t="e">
        <f t="shared" si="1"/>
        <v>#N/A</v>
      </c>
      <c r="Y19" s="508"/>
      <c r="Z19" s="368"/>
      <c r="AA19" s="368"/>
      <c r="AB19" s="368"/>
      <c r="AC19" s="368" t="e">
        <f t="shared" si="2"/>
        <v>#N/A</v>
      </c>
      <c r="AD19" s="508"/>
      <c r="AE19" s="368"/>
      <c r="AF19" s="368"/>
      <c r="AG19" s="368"/>
      <c r="AH19" s="368" t="e">
        <f t="shared" si="3"/>
        <v>#N/A</v>
      </c>
      <c r="AI19" s="508"/>
      <c r="AJ19" s="368"/>
      <c r="AK19" s="368"/>
      <c r="AL19" s="368"/>
      <c r="AM19" s="368" t="e">
        <f t="shared" si="4"/>
        <v>#N/A</v>
      </c>
      <c r="AN19" s="508"/>
      <c r="AO19" s="368"/>
      <c r="AP19" s="368"/>
      <c r="AQ19" s="368"/>
      <c r="AR19" s="368" t="e">
        <f t="shared" si="5"/>
        <v>#N/A</v>
      </c>
      <c r="AS19" s="508"/>
      <c r="AT19" s="374"/>
      <c r="AU19" s="374"/>
      <c r="AV19" s="374"/>
      <c r="AW19" s="368" t="e">
        <f t="shared" si="6"/>
        <v>#N/A</v>
      </c>
      <c r="AX19" s="506"/>
    </row>
    <row r="20" spans="2:50">
      <c r="B20" s="483"/>
      <c r="C20" s="368">
        <v>14</v>
      </c>
      <c r="D20" s="257"/>
      <c r="E20" s="187"/>
      <c r="F20" s="368"/>
      <c r="G20" s="371"/>
      <c r="H20" s="508"/>
      <c r="I20" s="222"/>
      <c r="J20" s="222"/>
      <c r="K20" s="222"/>
      <c r="L20" s="457"/>
      <c r="M20" s="221" t="e">
        <f>RANK(K20, K$7:$K$21)</f>
        <v>#N/A</v>
      </c>
      <c r="N20" s="475"/>
      <c r="O20" s="475"/>
      <c r="P20" s="368"/>
      <c r="Q20" s="371"/>
      <c r="R20" s="371"/>
      <c r="S20" s="368" t="e">
        <f t="shared" si="0"/>
        <v>#N/A</v>
      </c>
      <c r="T20" s="508"/>
      <c r="U20" s="368"/>
      <c r="V20" s="368"/>
      <c r="W20" s="368"/>
      <c r="X20" s="368" t="e">
        <f t="shared" si="1"/>
        <v>#N/A</v>
      </c>
      <c r="Y20" s="508"/>
      <c r="Z20" s="368"/>
      <c r="AA20" s="368"/>
      <c r="AB20" s="368"/>
      <c r="AC20" s="368" t="e">
        <f t="shared" si="2"/>
        <v>#N/A</v>
      </c>
      <c r="AD20" s="508"/>
      <c r="AE20" s="368"/>
      <c r="AF20" s="368"/>
      <c r="AG20" s="368"/>
      <c r="AH20" s="368" t="e">
        <f t="shared" si="3"/>
        <v>#N/A</v>
      </c>
      <c r="AI20" s="508"/>
      <c r="AJ20" s="368"/>
      <c r="AK20" s="368"/>
      <c r="AL20" s="368"/>
      <c r="AM20" s="368" t="e">
        <f t="shared" si="4"/>
        <v>#N/A</v>
      </c>
      <c r="AN20" s="508"/>
      <c r="AO20" s="368"/>
      <c r="AP20" s="368"/>
      <c r="AQ20" s="368"/>
      <c r="AR20" s="368" t="e">
        <f t="shared" si="5"/>
        <v>#N/A</v>
      </c>
      <c r="AS20" s="508"/>
      <c r="AT20" s="374"/>
      <c r="AU20" s="374"/>
      <c r="AV20" s="374"/>
      <c r="AW20" s="368" t="e">
        <f t="shared" si="6"/>
        <v>#N/A</v>
      </c>
      <c r="AX20" s="506"/>
    </row>
    <row r="21" spans="2:50">
      <c r="B21" s="483"/>
      <c r="C21" s="368">
        <v>15</v>
      </c>
      <c r="D21" s="257"/>
      <c r="E21" s="187"/>
      <c r="F21" s="368"/>
      <c r="G21" s="371"/>
      <c r="H21" s="509"/>
      <c r="I21" s="222"/>
      <c r="J21" s="222"/>
      <c r="K21" s="222"/>
      <c r="L21" s="458"/>
      <c r="M21" s="219" t="e">
        <f>RANK(K21, K$7:$K$21)</f>
        <v>#N/A</v>
      </c>
      <c r="N21" s="475"/>
      <c r="O21" s="475"/>
      <c r="P21" s="368"/>
      <c r="Q21" s="371"/>
      <c r="R21" s="371"/>
      <c r="S21" s="368" t="e">
        <f t="shared" si="0"/>
        <v>#N/A</v>
      </c>
      <c r="T21" s="509"/>
      <c r="U21" s="368"/>
      <c r="V21" s="368"/>
      <c r="W21" s="368"/>
      <c r="X21" s="368" t="e">
        <f t="shared" si="1"/>
        <v>#N/A</v>
      </c>
      <c r="Y21" s="509"/>
      <c r="Z21" s="368"/>
      <c r="AA21" s="368"/>
      <c r="AB21" s="368"/>
      <c r="AC21" s="368" t="e">
        <f t="shared" si="2"/>
        <v>#N/A</v>
      </c>
      <c r="AD21" s="509"/>
      <c r="AE21" s="368"/>
      <c r="AF21" s="368"/>
      <c r="AG21" s="368"/>
      <c r="AH21" s="368" t="e">
        <f t="shared" si="3"/>
        <v>#N/A</v>
      </c>
      <c r="AI21" s="509"/>
      <c r="AJ21" s="368"/>
      <c r="AK21" s="368"/>
      <c r="AL21" s="368"/>
      <c r="AM21" s="368" t="e">
        <f t="shared" si="4"/>
        <v>#N/A</v>
      </c>
      <c r="AN21" s="509"/>
      <c r="AO21" s="368"/>
      <c r="AP21" s="368"/>
      <c r="AQ21" s="368"/>
      <c r="AR21" s="368" t="e">
        <f t="shared" si="5"/>
        <v>#N/A</v>
      </c>
      <c r="AS21" s="509"/>
      <c r="AT21" s="374"/>
      <c r="AU21" s="374"/>
      <c r="AV21" s="374"/>
      <c r="AW21" s="368" t="e">
        <f t="shared" si="6"/>
        <v>#N/A</v>
      </c>
      <c r="AX21" s="506"/>
    </row>
    <row r="22" spans="2:50" ht="15.75">
      <c r="B22" s="500" t="s">
        <v>172</v>
      </c>
      <c r="C22" s="501"/>
      <c r="D22" s="501"/>
      <c r="E22" s="501"/>
      <c r="F22" s="501"/>
      <c r="G22" s="501"/>
      <c r="H22" s="501"/>
      <c r="I22" s="223"/>
      <c r="J22" s="223"/>
      <c r="K22" s="223"/>
      <c r="L22" s="223"/>
      <c r="M22" s="224"/>
      <c r="N22" s="476" t="s">
        <v>164</v>
      </c>
      <c r="O22" s="476" t="s">
        <v>105</v>
      </c>
      <c r="P22" s="502">
        <f>AT2+1</f>
        <v>45902</v>
      </c>
      <c r="Q22" s="503"/>
      <c r="R22" s="503"/>
      <c r="S22" s="503"/>
      <c r="T22" s="503"/>
      <c r="U22" s="482">
        <f>P22+1</f>
        <v>45903</v>
      </c>
      <c r="V22" s="483"/>
      <c r="W22" s="483"/>
      <c r="X22" s="483"/>
      <c r="Y22" s="483"/>
      <c r="Z22" s="482">
        <f>U22+1</f>
        <v>45904</v>
      </c>
      <c r="AA22" s="483"/>
      <c r="AB22" s="483"/>
      <c r="AC22" s="483"/>
      <c r="AD22" s="483"/>
      <c r="AE22" s="482">
        <f>Z22+1</f>
        <v>45905</v>
      </c>
      <c r="AF22" s="483"/>
      <c r="AG22" s="483"/>
      <c r="AH22" s="483"/>
      <c r="AI22" s="483"/>
      <c r="AJ22" s="482">
        <f>AE22+1</f>
        <v>45906</v>
      </c>
      <c r="AK22" s="483"/>
      <c r="AL22" s="483"/>
      <c r="AM22" s="483"/>
      <c r="AN22" s="483"/>
      <c r="AO22" s="482">
        <f>AJ22+1</f>
        <v>45907</v>
      </c>
      <c r="AP22" s="483"/>
      <c r="AQ22" s="483"/>
      <c r="AR22" s="483"/>
      <c r="AS22" s="483"/>
      <c r="AT22" s="482">
        <f>AO22+1</f>
        <v>45908</v>
      </c>
      <c r="AU22" s="483"/>
      <c r="AV22" s="483"/>
      <c r="AW22" s="483"/>
      <c r="AX22" s="483"/>
    </row>
    <row r="23" spans="2:50" ht="15.75">
      <c r="B23" s="490"/>
      <c r="C23" s="490"/>
      <c r="D23" s="490"/>
      <c r="E23" s="490"/>
      <c r="F23" s="490"/>
      <c r="G23" s="490"/>
      <c r="H23" s="490"/>
      <c r="I23" s="225"/>
      <c r="J23" s="225"/>
      <c r="K23" s="225"/>
      <c r="L23" s="225"/>
      <c r="M23" s="226"/>
      <c r="N23" s="478"/>
      <c r="O23" s="478"/>
      <c r="P23" s="482" t="s">
        <v>393</v>
      </c>
      <c r="Q23" s="483"/>
      <c r="R23" s="483"/>
      <c r="S23" s="483"/>
      <c r="T23" s="483"/>
      <c r="U23" s="482" t="s">
        <v>394</v>
      </c>
      <c r="V23" s="483"/>
      <c r="W23" s="483"/>
      <c r="X23" s="483"/>
      <c r="Y23" s="483"/>
      <c r="Z23" s="482" t="s">
        <v>395</v>
      </c>
      <c r="AA23" s="483"/>
      <c r="AB23" s="483"/>
      <c r="AC23" s="483"/>
      <c r="AD23" s="483"/>
      <c r="AE23" s="482" t="s">
        <v>396</v>
      </c>
      <c r="AF23" s="483"/>
      <c r="AG23" s="483"/>
      <c r="AH23" s="483"/>
      <c r="AI23" s="483"/>
      <c r="AJ23" s="482" t="s">
        <v>397</v>
      </c>
      <c r="AK23" s="483"/>
      <c r="AL23" s="483"/>
      <c r="AM23" s="483"/>
      <c r="AN23" s="483"/>
      <c r="AO23" s="482" t="s">
        <v>398</v>
      </c>
      <c r="AP23" s="483"/>
      <c r="AQ23" s="483"/>
      <c r="AR23" s="483"/>
      <c r="AS23" s="483"/>
      <c r="AT23" s="482" t="s">
        <v>399</v>
      </c>
      <c r="AU23" s="483"/>
      <c r="AV23" s="483"/>
      <c r="AW23" s="483"/>
      <c r="AX23" s="483"/>
    </row>
    <row r="24" spans="2:50">
      <c r="B24" s="475" t="s">
        <v>162</v>
      </c>
      <c r="C24" s="475" t="s">
        <v>644</v>
      </c>
      <c r="D24" s="475"/>
      <c r="E24" s="475" t="s">
        <v>814</v>
      </c>
      <c r="F24" s="475"/>
      <c r="G24" s="475"/>
      <c r="H24" s="491" t="s">
        <v>631</v>
      </c>
      <c r="I24" s="459" t="s">
        <v>815</v>
      </c>
      <c r="J24" s="459"/>
      <c r="K24" s="459"/>
      <c r="L24" s="460" t="s">
        <v>631</v>
      </c>
      <c r="M24" s="466" t="s">
        <v>632</v>
      </c>
      <c r="N24" s="475"/>
      <c r="O24" s="475" t="s">
        <v>816</v>
      </c>
      <c r="P24" s="472" t="s">
        <v>817</v>
      </c>
      <c r="Q24" s="473"/>
      <c r="R24" s="473"/>
      <c r="S24" s="474"/>
      <c r="T24" s="475" t="s">
        <v>818</v>
      </c>
      <c r="U24" s="472" t="s">
        <v>817</v>
      </c>
      <c r="V24" s="473"/>
      <c r="W24" s="473"/>
      <c r="X24" s="474"/>
      <c r="Y24" s="475" t="s">
        <v>818</v>
      </c>
      <c r="Z24" s="472" t="s">
        <v>817</v>
      </c>
      <c r="AA24" s="473"/>
      <c r="AB24" s="473"/>
      <c r="AC24" s="474"/>
      <c r="AD24" s="475" t="s">
        <v>819</v>
      </c>
      <c r="AE24" s="472" t="s">
        <v>817</v>
      </c>
      <c r="AF24" s="473"/>
      <c r="AG24" s="473"/>
      <c r="AH24" s="474"/>
      <c r="AI24" s="475" t="s">
        <v>819</v>
      </c>
      <c r="AJ24" s="472" t="s">
        <v>633</v>
      </c>
      <c r="AK24" s="473"/>
      <c r="AL24" s="473"/>
      <c r="AM24" s="474"/>
      <c r="AN24" s="475" t="s">
        <v>819</v>
      </c>
      <c r="AO24" s="472" t="s">
        <v>820</v>
      </c>
      <c r="AP24" s="473"/>
      <c r="AQ24" s="473"/>
      <c r="AR24" s="474"/>
      <c r="AS24" s="475" t="s">
        <v>819</v>
      </c>
      <c r="AT24" s="472" t="s">
        <v>820</v>
      </c>
      <c r="AU24" s="473"/>
      <c r="AV24" s="473"/>
      <c r="AW24" s="474"/>
      <c r="AX24" s="475" t="s">
        <v>631</v>
      </c>
    </row>
    <row r="25" spans="2:50">
      <c r="B25" s="475"/>
      <c r="C25" s="475"/>
      <c r="D25" s="475"/>
      <c r="E25" s="475" t="s">
        <v>821</v>
      </c>
      <c r="F25" s="475"/>
      <c r="G25" s="475"/>
      <c r="H25" s="492"/>
      <c r="I25" s="459" t="s">
        <v>822</v>
      </c>
      <c r="J25" s="459"/>
      <c r="K25" s="459"/>
      <c r="L25" s="461"/>
      <c r="M25" s="467"/>
      <c r="N25" s="475"/>
      <c r="O25" s="475"/>
      <c r="P25" s="472" t="s">
        <v>639</v>
      </c>
      <c r="Q25" s="473"/>
      <c r="R25" s="473"/>
      <c r="S25" s="474"/>
      <c r="T25" s="475"/>
      <c r="U25" s="472" t="s">
        <v>639</v>
      </c>
      <c r="V25" s="473"/>
      <c r="W25" s="473"/>
      <c r="X25" s="474"/>
      <c r="Y25" s="475"/>
      <c r="Z25" s="472" t="s">
        <v>823</v>
      </c>
      <c r="AA25" s="473"/>
      <c r="AB25" s="473"/>
      <c r="AC25" s="474"/>
      <c r="AD25" s="475"/>
      <c r="AE25" s="472" t="s">
        <v>823</v>
      </c>
      <c r="AF25" s="473"/>
      <c r="AG25" s="473"/>
      <c r="AH25" s="474"/>
      <c r="AI25" s="475"/>
      <c r="AJ25" s="472" t="s">
        <v>639</v>
      </c>
      <c r="AK25" s="473"/>
      <c r="AL25" s="473"/>
      <c r="AM25" s="474"/>
      <c r="AN25" s="475"/>
      <c r="AO25" s="472" t="s">
        <v>823</v>
      </c>
      <c r="AP25" s="473"/>
      <c r="AQ25" s="473"/>
      <c r="AR25" s="474"/>
      <c r="AS25" s="475"/>
      <c r="AT25" s="472" t="s">
        <v>824</v>
      </c>
      <c r="AU25" s="473"/>
      <c r="AV25" s="473"/>
      <c r="AW25" s="474"/>
      <c r="AX25" s="475"/>
    </row>
    <row r="26" spans="2:50">
      <c r="B26" s="475"/>
      <c r="C26" s="475"/>
      <c r="D26" s="475"/>
      <c r="E26" s="373" t="s">
        <v>640</v>
      </c>
      <c r="F26" s="373" t="s">
        <v>641</v>
      </c>
      <c r="G26" s="373" t="s">
        <v>642</v>
      </c>
      <c r="H26" s="493"/>
      <c r="I26" s="372" t="s">
        <v>825</v>
      </c>
      <c r="J26" s="372" t="s">
        <v>641</v>
      </c>
      <c r="K26" s="372" t="s">
        <v>826</v>
      </c>
      <c r="L26" s="462"/>
      <c r="M26" s="468"/>
      <c r="N26" s="475"/>
      <c r="O26" s="475"/>
      <c r="P26" s="373" t="s">
        <v>827</v>
      </c>
      <c r="Q26" s="373" t="s">
        <v>641</v>
      </c>
      <c r="R26" s="373" t="s">
        <v>828</v>
      </c>
      <c r="S26" s="373" t="s">
        <v>829</v>
      </c>
      <c r="T26" s="475"/>
      <c r="U26" s="373" t="s">
        <v>640</v>
      </c>
      <c r="V26" s="373" t="s">
        <v>641</v>
      </c>
      <c r="W26" s="373" t="s">
        <v>642</v>
      </c>
      <c r="X26" s="373" t="s">
        <v>632</v>
      </c>
      <c r="Y26" s="475"/>
      <c r="Z26" s="373" t="s">
        <v>640</v>
      </c>
      <c r="AA26" s="373" t="s">
        <v>830</v>
      </c>
      <c r="AB26" s="373" t="s">
        <v>642</v>
      </c>
      <c r="AC26" s="373" t="s">
        <v>831</v>
      </c>
      <c r="AD26" s="475"/>
      <c r="AE26" s="373" t="s">
        <v>640</v>
      </c>
      <c r="AF26" s="373" t="s">
        <v>641</v>
      </c>
      <c r="AG26" s="373" t="s">
        <v>642</v>
      </c>
      <c r="AH26" s="373" t="s">
        <v>632</v>
      </c>
      <c r="AI26" s="475"/>
      <c r="AJ26" s="373" t="s">
        <v>832</v>
      </c>
      <c r="AK26" s="373" t="s">
        <v>641</v>
      </c>
      <c r="AL26" s="373" t="s">
        <v>828</v>
      </c>
      <c r="AM26" s="373" t="s">
        <v>829</v>
      </c>
      <c r="AN26" s="475"/>
      <c r="AO26" s="373" t="s">
        <v>640</v>
      </c>
      <c r="AP26" s="373" t="s">
        <v>641</v>
      </c>
      <c r="AQ26" s="373" t="s">
        <v>642</v>
      </c>
      <c r="AR26" s="373" t="s">
        <v>632</v>
      </c>
      <c r="AS26" s="475"/>
      <c r="AT26" s="373" t="s">
        <v>640</v>
      </c>
      <c r="AU26" s="373" t="s">
        <v>833</v>
      </c>
      <c r="AV26" s="373" t="s">
        <v>642</v>
      </c>
      <c r="AW26" s="373" t="s">
        <v>632</v>
      </c>
      <c r="AX26" s="475"/>
    </row>
    <row r="27" spans="2:50">
      <c r="B27" s="475" t="s">
        <v>139</v>
      </c>
      <c r="C27" s="374">
        <v>1</v>
      </c>
      <c r="D27" s="257" t="s">
        <v>482</v>
      </c>
      <c r="E27" s="187">
        <v>19</v>
      </c>
      <c r="F27" s="374">
        <v>1440</v>
      </c>
      <c r="G27" s="375">
        <v>75.78947368421052</v>
      </c>
      <c r="H27" s="507">
        <f>AVERAGE(G27:G41)</f>
        <v>78.50851393188853</v>
      </c>
      <c r="I27" s="219">
        <f>AVERAGE(P27,U27,Z27,AE27,AJ27,AO27,AT27)</f>
        <v>18.714285714285715</v>
      </c>
      <c r="J27" s="219">
        <f>AVERAGE(Q27,V27,AA27,AF27,AK27,AP27,AU27)</f>
        <v>1235.3982253478487</v>
      </c>
      <c r="K27" s="220">
        <f>AVERAGE(R27,W27,AB27,AG27,AL27,AQ27,AV27)</f>
        <v>66.057645169242804</v>
      </c>
      <c r="L27" s="456">
        <f>IFERROR(AVERAGE(K27:K41),"-")</f>
        <v>68.168322453709834</v>
      </c>
      <c r="M27" s="221">
        <f>RANK(K27, K$27:$K$41)</f>
        <v>3</v>
      </c>
      <c r="N27" s="475"/>
      <c r="O27" s="475"/>
      <c r="P27" s="374">
        <v>19</v>
      </c>
      <c r="Q27" s="375">
        <v>1230.0487804878055</v>
      </c>
      <c r="R27" s="375">
        <v>64.739409499358189</v>
      </c>
      <c r="S27" s="374">
        <f t="shared" ref="S27:S41" si="8">RANK(R27, R$27:R$41)</f>
        <v>3</v>
      </c>
      <c r="T27" s="507">
        <f>AVERAGE(R27:R41)</f>
        <v>67.813217779455627</v>
      </c>
      <c r="U27" s="374">
        <v>19</v>
      </c>
      <c r="V27" s="375">
        <v>1238.9317073170737</v>
      </c>
      <c r="W27" s="375">
        <v>65.206931964056508</v>
      </c>
      <c r="X27" s="374">
        <f t="shared" ref="X27:X41" si="9">RANK(W27, W$27:W$41)</f>
        <v>5</v>
      </c>
      <c r="Y27" s="507">
        <f>AVERAGE(W27:W41)</f>
        <v>68.348210582023597</v>
      </c>
      <c r="Z27" s="374">
        <v>18</v>
      </c>
      <c r="AA27" s="375">
        <v>1264.3902439024387</v>
      </c>
      <c r="AB27" s="375">
        <v>70.243902439024367</v>
      </c>
      <c r="AC27" s="374">
        <f t="shared" ref="AC27:AC41" si="10">RANK(AB27, AB$27:AB$41)</f>
        <v>3</v>
      </c>
      <c r="AD27" s="507">
        <f>AVERAGE(AB27:AB41)</f>
        <v>69.261050328176296</v>
      </c>
      <c r="AE27" s="374">
        <v>19</v>
      </c>
      <c r="AF27" s="375">
        <v>1247.64705882353</v>
      </c>
      <c r="AG27" s="375">
        <v>65.665634674922629</v>
      </c>
      <c r="AH27" s="374">
        <f t="shared" ref="AH27:AH41" si="11">RANK(AG27, AG$27:AG$41)</f>
        <v>3</v>
      </c>
      <c r="AI27" s="507">
        <f>AVERAGE(AG27:AG41)</f>
        <v>67.474238471756479</v>
      </c>
      <c r="AJ27" s="374">
        <v>18</v>
      </c>
      <c r="AK27" s="375">
        <v>1217.4358974358977</v>
      </c>
      <c r="AL27" s="375">
        <v>67.635327635327656</v>
      </c>
      <c r="AM27" s="374">
        <f t="shared" ref="AM27:AM41" si="12">RANK(AL27, AL$27:AL$41)</f>
        <v>3</v>
      </c>
      <c r="AN27" s="507">
        <f>AVERAGE(AL27:AL41)</f>
        <v>68.6300474547878</v>
      </c>
      <c r="AO27" s="374">
        <v>19</v>
      </c>
      <c r="AP27" s="375">
        <v>1234.2857142857144</v>
      </c>
      <c r="AQ27" s="375">
        <v>64.962406015037601</v>
      </c>
      <c r="AR27" s="374">
        <f t="shared" ref="AR27:AR41" si="13">RANK(AQ27, AQ$27:AQ$41)</f>
        <v>3</v>
      </c>
      <c r="AS27" s="507">
        <f>AVERAGE(AQ27:AQ41)</f>
        <v>67.948684047452801</v>
      </c>
      <c r="AT27" s="374">
        <v>19</v>
      </c>
      <c r="AU27" s="375">
        <v>1215.0481751824818</v>
      </c>
      <c r="AV27" s="375">
        <v>63.949903956972726</v>
      </c>
      <c r="AW27" s="374">
        <f t="shared" ref="AW27:AW41" si="14">RANK(AV27, AV$27:AV$41)</f>
        <v>4</v>
      </c>
      <c r="AX27" s="506">
        <f>AVERAGE(AV27:AV41)</f>
        <v>67.702808512316253</v>
      </c>
    </row>
    <row r="28" spans="2:50">
      <c r="B28" s="483"/>
      <c r="C28" s="374">
        <v>2</v>
      </c>
      <c r="D28" s="257" t="s">
        <v>483</v>
      </c>
      <c r="E28" s="187">
        <v>19</v>
      </c>
      <c r="F28" s="374">
        <v>1440</v>
      </c>
      <c r="G28" s="375">
        <v>75.78947368421052</v>
      </c>
      <c r="H28" s="508"/>
      <c r="I28" s="219">
        <f t="shared" ref="I28:I33" si="15">AVERAGE(P28,U28,Z28,AE28,AJ28,AO28,AT28)</f>
        <v>19</v>
      </c>
      <c r="J28" s="219">
        <f t="shared" ref="J28:J33" si="16">AVERAGE(Q28,V28,AA28,AF28,AK28,AP28,AU28)</f>
        <v>1235.541892832339</v>
      </c>
      <c r="K28" s="220">
        <f t="shared" ref="K28:K33" si="17">AVERAGE(R28,W28,AB28,AG28,AL28,AQ28,AV28)</f>
        <v>65.028520675386261</v>
      </c>
      <c r="L28" s="457"/>
      <c r="M28" s="221">
        <f>RANK(K28, K$27:$K$41)</f>
        <v>4</v>
      </c>
      <c r="N28" s="475"/>
      <c r="O28" s="475"/>
      <c r="P28" s="374">
        <v>19</v>
      </c>
      <c r="Q28" s="375">
        <v>1219.2857142857151</v>
      </c>
      <c r="R28" s="375">
        <v>64.172932330827109</v>
      </c>
      <c r="S28" s="374">
        <f t="shared" si="8"/>
        <v>4</v>
      </c>
      <c r="T28" s="508"/>
      <c r="U28" s="374">
        <v>19</v>
      </c>
      <c r="V28" s="375">
        <v>1256.6666666666674</v>
      </c>
      <c r="W28" s="375">
        <v>66.140350877193029</v>
      </c>
      <c r="X28" s="374">
        <f t="shared" si="9"/>
        <v>3</v>
      </c>
      <c r="Y28" s="508"/>
      <c r="Z28" s="374">
        <v>19</v>
      </c>
      <c r="AA28" s="375">
        <v>1263.5294117647065</v>
      </c>
      <c r="AB28" s="375">
        <v>66.501547987616135</v>
      </c>
      <c r="AC28" s="374">
        <f t="shared" si="10"/>
        <v>4</v>
      </c>
      <c r="AD28" s="508"/>
      <c r="AE28" s="374">
        <v>19</v>
      </c>
      <c r="AF28" s="375">
        <v>1223.7500000000005</v>
      </c>
      <c r="AG28" s="375">
        <v>64.407894736842124</v>
      </c>
      <c r="AH28" s="374">
        <f t="shared" si="11"/>
        <v>5</v>
      </c>
      <c r="AI28" s="508"/>
      <c r="AJ28" s="374">
        <v>19</v>
      </c>
      <c r="AK28" s="375">
        <v>1222.8000000000004</v>
      </c>
      <c r="AL28" s="375">
        <v>64.357894736842127</v>
      </c>
      <c r="AM28" s="374">
        <f t="shared" si="12"/>
        <v>5</v>
      </c>
      <c r="AN28" s="508"/>
      <c r="AO28" s="374">
        <v>19</v>
      </c>
      <c r="AP28" s="375">
        <v>1221.8918918918923</v>
      </c>
      <c r="AQ28" s="375">
        <v>64.310099573257489</v>
      </c>
      <c r="AR28" s="374">
        <f t="shared" si="13"/>
        <v>4</v>
      </c>
      <c r="AS28" s="508"/>
      <c r="AT28" s="374">
        <v>19</v>
      </c>
      <c r="AU28" s="375">
        <v>1240.8695652173901</v>
      </c>
      <c r="AV28" s="375">
        <v>65.3089244851258</v>
      </c>
      <c r="AW28" s="374">
        <f t="shared" si="14"/>
        <v>3</v>
      </c>
      <c r="AX28" s="506"/>
    </row>
    <row r="29" spans="2:50">
      <c r="B29" s="483"/>
      <c r="C29" s="374">
        <v>3</v>
      </c>
      <c r="D29" s="257" t="s">
        <v>485</v>
      </c>
      <c r="E29" s="187">
        <v>17</v>
      </c>
      <c r="F29" s="374">
        <v>1636</v>
      </c>
      <c r="G29" s="375">
        <v>96.235294117647058</v>
      </c>
      <c r="H29" s="508"/>
      <c r="I29" s="219">
        <f t="shared" si="15"/>
        <v>17</v>
      </c>
      <c r="J29" s="219">
        <f t="shared" si="16"/>
        <v>1382.1649717290693</v>
      </c>
      <c r="K29" s="220">
        <f t="shared" si="17"/>
        <v>81.303821866415859</v>
      </c>
      <c r="L29" s="457"/>
      <c r="M29" s="221">
        <f>RANK(K29, K$27:$K$41)</f>
        <v>1</v>
      </c>
      <c r="N29" s="475"/>
      <c r="O29" s="475"/>
      <c r="P29" s="374">
        <v>17</v>
      </c>
      <c r="Q29" s="375">
        <v>1341.8181818181818</v>
      </c>
      <c r="R29" s="375">
        <v>78.930481283422452</v>
      </c>
      <c r="S29" s="374">
        <f t="shared" si="8"/>
        <v>1</v>
      </c>
      <c r="T29" s="508"/>
      <c r="U29" s="374">
        <v>17</v>
      </c>
      <c r="V29" s="375">
        <v>1403.0769230769224</v>
      </c>
      <c r="W29" s="375">
        <v>82.533936651583673</v>
      </c>
      <c r="X29" s="374">
        <f t="shared" si="9"/>
        <v>1</v>
      </c>
      <c r="Y29" s="508"/>
      <c r="Z29" s="374">
        <v>17</v>
      </c>
      <c r="AA29" s="375">
        <v>1401.0810810810799</v>
      </c>
      <c r="AB29" s="375">
        <v>82.416534181239996</v>
      </c>
      <c r="AC29" s="374">
        <f t="shared" si="10"/>
        <v>1</v>
      </c>
      <c r="AD29" s="508"/>
      <c r="AE29" s="374">
        <v>17</v>
      </c>
      <c r="AF29" s="375">
        <v>1340.5714285714273</v>
      </c>
      <c r="AG29" s="375">
        <v>78.857142857142776</v>
      </c>
      <c r="AH29" s="374">
        <f t="shared" si="11"/>
        <v>1</v>
      </c>
      <c r="AI29" s="508"/>
      <c r="AJ29" s="374">
        <v>17</v>
      </c>
      <c r="AK29" s="375">
        <v>1415.2941176470606</v>
      </c>
      <c r="AL29" s="375">
        <v>83.252595155709443</v>
      </c>
      <c r="AM29" s="374">
        <f t="shared" si="12"/>
        <v>1</v>
      </c>
      <c r="AN29" s="508"/>
      <c r="AO29" s="374">
        <v>17</v>
      </c>
      <c r="AP29" s="375">
        <v>1397.1428571428567</v>
      </c>
      <c r="AQ29" s="375">
        <v>82.18487394957981</v>
      </c>
      <c r="AR29" s="374">
        <f t="shared" si="13"/>
        <v>1</v>
      </c>
      <c r="AS29" s="508"/>
      <c r="AT29" s="374">
        <v>17</v>
      </c>
      <c r="AU29" s="375">
        <v>1376.1702127659578</v>
      </c>
      <c r="AV29" s="375">
        <v>80.951188986232808</v>
      </c>
      <c r="AW29" s="374">
        <f t="shared" si="14"/>
        <v>1</v>
      </c>
      <c r="AX29" s="506"/>
    </row>
    <row r="30" spans="2:50">
      <c r="B30" s="483"/>
      <c r="C30" s="374">
        <v>4</v>
      </c>
      <c r="D30" s="257" t="s">
        <v>484</v>
      </c>
      <c r="E30" s="187">
        <v>17</v>
      </c>
      <c r="F30" s="374">
        <v>1440</v>
      </c>
      <c r="G30" s="375">
        <v>84.705882352941174</v>
      </c>
      <c r="H30" s="508"/>
      <c r="I30" s="219">
        <f t="shared" si="15"/>
        <v>17</v>
      </c>
      <c r="J30" s="219">
        <f t="shared" si="16"/>
        <v>1289.4014079364081</v>
      </c>
      <c r="K30" s="220">
        <f t="shared" si="17"/>
        <v>75.84714164331811</v>
      </c>
      <c r="L30" s="457"/>
      <c r="M30" s="221">
        <f>RANK(K30, K$27:$K$41)</f>
        <v>2</v>
      </c>
      <c r="N30" s="475"/>
      <c r="O30" s="475"/>
      <c r="P30" s="374">
        <v>17</v>
      </c>
      <c r="Q30" s="375">
        <v>1316.2299999999993</v>
      </c>
      <c r="R30" s="375">
        <v>77.425294117647013</v>
      </c>
      <c r="S30" s="374">
        <f t="shared" si="8"/>
        <v>2</v>
      </c>
      <c r="T30" s="508"/>
      <c r="U30" s="374">
        <v>17</v>
      </c>
      <c r="V30" s="375">
        <v>1290.5454545454538</v>
      </c>
      <c r="W30" s="375">
        <v>75.914438502673761</v>
      </c>
      <c r="X30" s="374">
        <f t="shared" si="9"/>
        <v>2</v>
      </c>
      <c r="Y30" s="508"/>
      <c r="Z30" s="374">
        <v>17</v>
      </c>
      <c r="AA30" s="375">
        <v>1283.9999999999995</v>
      </c>
      <c r="AB30" s="375">
        <v>75.529411764705856</v>
      </c>
      <c r="AC30" s="374">
        <f t="shared" si="10"/>
        <v>2</v>
      </c>
      <c r="AD30" s="508"/>
      <c r="AE30" s="374">
        <v>17</v>
      </c>
      <c r="AF30" s="375">
        <v>1261.8000000000002</v>
      </c>
      <c r="AG30" s="375">
        <v>74.223529411764716</v>
      </c>
      <c r="AH30" s="374">
        <f t="shared" si="11"/>
        <v>2</v>
      </c>
      <c r="AI30" s="508"/>
      <c r="AJ30" s="374">
        <v>17</v>
      </c>
      <c r="AK30" s="375">
        <v>1263.3027522935788</v>
      </c>
      <c r="AL30" s="375">
        <v>74.311926605504638</v>
      </c>
      <c r="AM30" s="374">
        <f t="shared" si="12"/>
        <v>2</v>
      </c>
      <c r="AN30" s="508"/>
      <c r="AO30" s="374">
        <v>17</v>
      </c>
      <c r="AP30" s="375">
        <v>1311.549295774648</v>
      </c>
      <c r="AQ30" s="375">
        <v>77.149958574979294</v>
      </c>
      <c r="AR30" s="374">
        <f t="shared" si="13"/>
        <v>2</v>
      </c>
      <c r="AS30" s="508"/>
      <c r="AT30" s="374">
        <v>17</v>
      </c>
      <c r="AU30" s="375">
        <v>1298.3823529411766</v>
      </c>
      <c r="AV30" s="375">
        <v>76.375432525951567</v>
      </c>
      <c r="AW30" s="374">
        <f t="shared" si="14"/>
        <v>2</v>
      </c>
      <c r="AX30" s="506"/>
    </row>
    <row r="31" spans="2:50">
      <c r="B31" s="483"/>
      <c r="C31" s="374">
        <v>5</v>
      </c>
      <c r="D31" s="257" t="s">
        <v>486</v>
      </c>
      <c r="E31" s="187">
        <v>19</v>
      </c>
      <c r="F31" s="374">
        <v>1440</v>
      </c>
      <c r="G31" s="375">
        <v>75.78947368421052</v>
      </c>
      <c r="H31" s="508"/>
      <c r="I31" s="219">
        <f t="shared" si="15"/>
        <v>19</v>
      </c>
      <c r="J31" s="219">
        <f t="shared" si="16"/>
        <v>1234.2624963831688</v>
      </c>
      <c r="K31" s="220">
        <f t="shared" si="17"/>
        <v>64.961184020166783</v>
      </c>
      <c r="L31" s="457"/>
      <c r="M31" s="221">
        <f>RANK(K31, K$27:$K$41)</f>
        <v>5</v>
      </c>
      <c r="N31" s="475"/>
      <c r="O31" s="475"/>
      <c r="P31" s="374">
        <v>19</v>
      </c>
      <c r="Q31" s="375">
        <v>1216.4705882352946</v>
      </c>
      <c r="R31" s="375">
        <v>64.024767801857607</v>
      </c>
      <c r="S31" s="374">
        <f t="shared" si="8"/>
        <v>5</v>
      </c>
      <c r="T31" s="508"/>
      <c r="U31" s="374">
        <v>19</v>
      </c>
      <c r="V31" s="375">
        <v>1251.6000000000004</v>
      </c>
      <c r="W31" s="375">
        <v>65.873684210526335</v>
      </c>
      <c r="X31" s="374">
        <f t="shared" si="9"/>
        <v>4</v>
      </c>
      <c r="Y31" s="508"/>
      <c r="Z31" s="374">
        <v>19</v>
      </c>
      <c r="AA31" s="375">
        <v>1262.6666666666667</v>
      </c>
      <c r="AB31" s="375">
        <v>66.456140350877192</v>
      </c>
      <c r="AC31" s="374">
        <f t="shared" si="10"/>
        <v>5</v>
      </c>
      <c r="AD31" s="508"/>
      <c r="AE31" s="374">
        <v>19</v>
      </c>
      <c r="AF31" s="375">
        <v>1243.062857142856</v>
      </c>
      <c r="AG31" s="375">
        <v>65.424360902255586</v>
      </c>
      <c r="AH31" s="374">
        <f t="shared" si="11"/>
        <v>4</v>
      </c>
      <c r="AI31" s="508"/>
      <c r="AJ31" s="374">
        <v>19</v>
      </c>
      <c r="AK31" s="375">
        <v>1241.4769230769225</v>
      </c>
      <c r="AL31" s="375">
        <v>65.34089068825908</v>
      </c>
      <c r="AM31" s="374">
        <f t="shared" si="12"/>
        <v>4</v>
      </c>
      <c r="AN31" s="508"/>
      <c r="AO31" s="374">
        <v>19</v>
      </c>
      <c r="AP31" s="375">
        <v>1210.7142857142867</v>
      </c>
      <c r="AQ31" s="375">
        <v>63.721804511278243</v>
      </c>
      <c r="AR31" s="374">
        <f t="shared" si="13"/>
        <v>5</v>
      </c>
      <c r="AS31" s="508"/>
      <c r="AT31" s="374">
        <v>19</v>
      </c>
      <c r="AU31" s="375">
        <v>1213.8461538461545</v>
      </c>
      <c r="AV31" s="375">
        <v>63.886639676113397</v>
      </c>
      <c r="AW31" s="374">
        <f t="shared" si="14"/>
        <v>5</v>
      </c>
      <c r="AX31" s="506"/>
    </row>
    <row r="32" spans="2:50">
      <c r="B32" s="483"/>
      <c r="C32" s="374">
        <v>6</v>
      </c>
      <c r="D32" s="257" t="s">
        <v>487</v>
      </c>
      <c r="E32" s="187">
        <v>20</v>
      </c>
      <c r="F32" s="374">
        <v>1385</v>
      </c>
      <c r="G32" s="375">
        <v>69.25</v>
      </c>
      <c r="H32" s="508"/>
      <c r="I32" s="219">
        <f t="shared" si="15"/>
        <v>20</v>
      </c>
      <c r="J32" s="219">
        <f t="shared" si="16"/>
        <v>1237.6887704964395</v>
      </c>
      <c r="K32" s="220">
        <f t="shared" si="17"/>
        <v>61.884438524821967</v>
      </c>
      <c r="L32" s="457"/>
      <c r="M32" s="221">
        <f>RANK(K32, K$27:$K$41)</f>
        <v>7</v>
      </c>
      <c r="N32" s="475"/>
      <c r="O32" s="475"/>
      <c r="P32" s="374">
        <v>20</v>
      </c>
      <c r="Q32" s="375">
        <v>1252.0312499999998</v>
      </c>
      <c r="R32" s="375">
        <v>62.601562499999986</v>
      </c>
      <c r="S32" s="374">
        <f t="shared" si="8"/>
        <v>7</v>
      </c>
      <c r="T32" s="508"/>
      <c r="U32" s="374">
        <v>20</v>
      </c>
      <c r="V32" s="375">
        <v>1217.0769230769229</v>
      </c>
      <c r="W32" s="375">
        <v>60.853846153846142</v>
      </c>
      <c r="X32" s="374">
        <f t="shared" si="9"/>
        <v>7</v>
      </c>
      <c r="Y32" s="508"/>
      <c r="Z32" s="374">
        <v>20</v>
      </c>
      <c r="AA32" s="375">
        <v>1216.7213114754093</v>
      </c>
      <c r="AB32" s="375">
        <v>60.836065573770462</v>
      </c>
      <c r="AC32" s="374">
        <f t="shared" si="10"/>
        <v>7</v>
      </c>
      <c r="AD32" s="508"/>
      <c r="AE32" s="374">
        <v>20</v>
      </c>
      <c r="AF32" s="375">
        <v>1263.9130434782608</v>
      </c>
      <c r="AG32" s="375">
        <v>63.195652173913039</v>
      </c>
      <c r="AH32" s="374">
        <f t="shared" si="11"/>
        <v>6</v>
      </c>
      <c r="AI32" s="508"/>
      <c r="AJ32" s="374">
        <v>20</v>
      </c>
      <c r="AK32" s="375">
        <v>1257.5510204081636</v>
      </c>
      <c r="AL32" s="375">
        <v>62.877551020408177</v>
      </c>
      <c r="AM32" s="374">
        <f t="shared" si="12"/>
        <v>6</v>
      </c>
      <c r="AN32" s="508"/>
      <c r="AO32" s="374">
        <v>20</v>
      </c>
      <c r="AP32" s="375">
        <v>1248.8135593220334</v>
      </c>
      <c r="AQ32" s="375">
        <v>62.440677966101667</v>
      </c>
      <c r="AR32" s="374">
        <f t="shared" si="13"/>
        <v>6</v>
      </c>
      <c r="AS32" s="508"/>
      <c r="AT32" s="374">
        <v>20</v>
      </c>
      <c r="AU32" s="375">
        <v>1207.714285714286</v>
      </c>
      <c r="AV32" s="375">
        <v>60.3857142857143</v>
      </c>
      <c r="AW32" s="374">
        <f t="shared" si="14"/>
        <v>7</v>
      </c>
      <c r="AX32" s="506"/>
    </row>
    <row r="33" spans="2:50">
      <c r="B33" s="483"/>
      <c r="C33" s="374">
        <v>7</v>
      </c>
      <c r="D33" s="257" t="s">
        <v>488</v>
      </c>
      <c r="E33" s="187">
        <v>20</v>
      </c>
      <c r="F33" s="374">
        <v>1440</v>
      </c>
      <c r="G33" s="375">
        <v>72</v>
      </c>
      <c r="H33" s="508"/>
      <c r="I33" s="219">
        <f t="shared" si="15"/>
        <v>20</v>
      </c>
      <c r="J33" s="219">
        <f t="shared" si="16"/>
        <v>1241.9101055323408</v>
      </c>
      <c r="K33" s="220">
        <f t="shared" si="17"/>
        <v>62.095505276617033</v>
      </c>
      <c r="L33" s="457"/>
      <c r="M33" s="221">
        <f>RANK(K33, K$27:$K$41)</f>
        <v>6</v>
      </c>
      <c r="N33" s="475"/>
      <c r="O33" s="475"/>
      <c r="P33" s="374">
        <v>20</v>
      </c>
      <c r="Q33" s="375">
        <v>1255.9615384615392</v>
      </c>
      <c r="R33" s="375">
        <v>62.798076923076962</v>
      </c>
      <c r="S33" s="374">
        <f t="shared" si="8"/>
        <v>6</v>
      </c>
      <c r="T33" s="508"/>
      <c r="U33" s="374">
        <v>20</v>
      </c>
      <c r="V33" s="375">
        <v>1238.2857142857149</v>
      </c>
      <c r="W33" s="375">
        <v>61.914285714285747</v>
      </c>
      <c r="X33" s="374">
        <f t="shared" si="9"/>
        <v>6</v>
      </c>
      <c r="Y33" s="508"/>
      <c r="Z33" s="374">
        <v>20</v>
      </c>
      <c r="AA33" s="375">
        <v>1256.8750000000002</v>
      </c>
      <c r="AB33" s="375">
        <v>62.843750000000014</v>
      </c>
      <c r="AC33" s="374">
        <f t="shared" si="10"/>
        <v>6</v>
      </c>
      <c r="AD33" s="508"/>
      <c r="AE33" s="374">
        <v>20</v>
      </c>
      <c r="AF33" s="375">
        <v>1210.9090909090901</v>
      </c>
      <c r="AG33" s="375">
        <v>60.545454545454504</v>
      </c>
      <c r="AH33" s="374">
        <f t="shared" si="11"/>
        <v>7</v>
      </c>
      <c r="AI33" s="508"/>
      <c r="AJ33" s="374">
        <v>20</v>
      </c>
      <c r="AK33" s="375">
        <v>1252.6829268292679</v>
      </c>
      <c r="AL33" s="375">
        <v>62.634146341463392</v>
      </c>
      <c r="AM33" s="374">
        <f t="shared" si="12"/>
        <v>7</v>
      </c>
      <c r="AN33" s="508"/>
      <c r="AO33" s="374">
        <v>20</v>
      </c>
      <c r="AP33" s="375">
        <v>1217.4193548387098</v>
      </c>
      <c r="AQ33" s="375">
        <v>60.870967741935488</v>
      </c>
      <c r="AR33" s="374">
        <f t="shared" si="13"/>
        <v>7</v>
      </c>
      <c r="AS33" s="508"/>
      <c r="AT33" s="374">
        <v>20</v>
      </c>
      <c r="AU33" s="375">
        <v>1261.2371134020623</v>
      </c>
      <c r="AV33" s="375">
        <v>63.061855670103114</v>
      </c>
      <c r="AW33" s="374">
        <f t="shared" si="14"/>
        <v>6</v>
      </c>
      <c r="AX33" s="506"/>
    </row>
    <row r="34" spans="2:50">
      <c r="B34" s="483"/>
      <c r="C34" s="374">
        <v>8</v>
      </c>
      <c r="D34" s="257"/>
      <c r="E34" s="187"/>
      <c r="F34" s="374"/>
      <c r="G34" s="375"/>
      <c r="H34" s="508"/>
      <c r="I34" s="219"/>
      <c r="J34" s="219"/>
      <c r="K34" s="220"/>
      <c r="L34" s="457"/>
      <c r="M34" s="221" t="e">
        <f>RANK(K34, K$27:$K$41)</f>
        <v>#N/A</v>
      </c>
      <c r="N34" s="475"/>
      <c r="O34" s="475"/>
      <c r="P34" s="374"/>
      <c r="Q34" s="375"/>
      <c r="R34" s="375"/>
      <c r="S34" s="374" t="e">
        <f t="shared" si="8"/>
        <v>#N/A</v>
      </c>
      <c r="T34" s="508"/>
      <c r="U34" s="374"/>
      <c r="V34" s="375"/>
      <c r="W34" s="375"/>
      <c r="X34" s="374" t="e">
        <f t="shared" si="9"/>
        <v>#N/A</v>
      </c>
      <c r="Y34" s="508"/>
      <c r="Z34" s="374"/>
      <c r="AA34" s="375"/>
      <c r="AB34" s="375"/>
      <c r="AC34" s="374" t="e">
        <f t="shared" si="10"/>
        <v>#N/A</v>
      </c>
      <c r="AD34" s="508"/>
      <c r="AE34" s="374"/>
      <c r="AF34" s="375"/>
      <c r="AG34" s="375"/>
      <c r="AH34" s="374" t="e">
        <f t="shared" si="11"/>
        <v>#N/A</v>
      </c>
      <c r="AI34" s="508"/>
      <c r="AJ34" s="374"/>
      <c r="AK34" s="375"/>
      <c r="AL34" s="375"/>
      <c r="AM34" s="374" t="e">
        <f t="shared" si="12"/>
        <v>#N/A</v>
      </c>
      <c r="AN34" s="508"/>
      <c r="AO34" s="374"/>
      <c r="AP34" s="375"/>
      <c r="AQ34" s="375"/>
      <c r="AR34" s="374" t="e">
        <f t="shared" si="13"/>
        <v>#N/A</v>
      </c>
      <c r="AS34" s="508"/>
      <c r="AT34" s="374"/>
      <c r="AU34" s="375"/>
      <c r="AV34" s="375"/>
      <c r="AW34" s="374" t="e">
        <f t="shared" si="14"/>
        <v>#N/A</v>
      </c>
      <c r="AX34" s="506"/>
    </row>
    <row r="35" spans="2:50">
      <c r="B35" s="483"/>
      <c r="C35" s="374">
        <v>9</v>
      </c>
      <c r="D35" s="257"/>
      <c r="E35" s="187"/>
      <c r="F35" s="374"/>
      <c r="G35" s="375"/>
      <c r="H35" s="508"/>
      <c r="I35" s="219"/>
      <c r="J35" s="219"/>
      <c r="K35" s="220"/>
      <c r="L35" s="457"/>
      <c r="M35" s="221" t="e">
        <f>RANK(K35, K$27:$K$41)</f>
        <v>#N/A</v>
      </c>
      <c r="N35" s="475"/>
      <c r="O35" s="475"/>
      <c r="P35" s="374"/>
      <c r="Q35" s="375"/>
      <c r="R35" s="375"/>
      <c r="S35" s="374" t="e">
        <f t="shared" si="8"/>
        <v>#N/A</v>
      </c>
      <c r="T35" s="508"/>
      <c r="U35" s="374"/>
      <c r="V35" s="375"/>
      <c r="W35" s="375"/>
      <c r="X35" s="374" t="e">
        <f t="shared" si="9"/>
        <v>#N/A</v>
      </c>
      <c r="Y35" s="508"/>
      <c r="Z35" s="374"/>
      <c r="AA35" s="375"/>
      <c r="AB35" s="375"/>
      <c r="AC35" s="374" t="e">
        <f t="shared" si="10"/>
        <v>#N/A</v>
      </c>
      <c r="AD35" s="508"/>
      <c r="AE35" s="374"/>
      <c r="AF35" s="375"/>
      <c r="AG35" s="375"/>
      <c r="AH35" s="374" t="e">
        <f t="shared" si="11"/>
        <v>#N/A</v>
      </c>
      <c r="AI35" s="508"/>
      <c r="AJ35" s="374"/>
      <c r="AK35" s="375"/>
      <c r="AL35" s="375"/>
      <c r="AM35" s="374" t="e">
        <f t="shared" si="12"/>
        <v>#N/A</v>
      </c>
      <c r="AN35" s="508"/>
      <c r="AO35" s="374"/>
      <c r="AP35" s="375"/>
      <c r="AQ35" s="375"/>
      <c r="AR35" s="374" t="e">
        <f t="shared" si="13"/>
        <v>#N/A</v>
      </c>
      <c r="AS35" s="508"/>
      <c r="AT35" s="374"/>
      <c r="AU35" s="375"/>
      <c r="AV35" s="375"/>
      <c r="AW35" s="374" t="e">
        <f t="shared" si="14"/>
        <v>#N/A</v>
      </c>
      <c r="AX35" s="506"/>
    </row>
    <row r="36" spans="2:50">
      <c r="B36" s="483"/>
      <c r="C36" s="374">
        <v>10</v>
      </c>
      <c r="D36" s="257"/>
      <c r="E36" s="187"/>
      <c r="F36" s="374"/>
      <c r="G36" s="375"/>
      <c r="H36" s="508"/>
      <c r="I36" s="219"/>
      <c r="J36" s="219"/>
      <c r="K36" s="220"/>
      <c r="L36" s="457"/>
      <c r="M36" s="221" t="e">
        <f>RANK(K36, K$27:$K$41)</f>
        <v>#N/A</v>
      </c>
      <c r="N36" s="475"/>
      <c r="O36" s="475"/>
      <c r="P36" s="374"/>
      <c r="Q36" s="375"/>
      <c r="R36" s="375"/>
      <c r="S36" s="374" t="e">
        <f t="shared" si="8"/>
        <v>#N/A</v>
      </c>
      <c r="T36" s="508"/>
      <c r="U36" s="374"/>
      <c r="V36" s="375"/>
      <c r="W36" s="375"/>
      <c r="X36" s="374" t="e">
        <f t="shared" si="9"/>
        <v>#N/A</v>
      </c>
      <c r="Y36" s="508"/>
      <c r="Z36" s="374"/>
      <c r="AA36" s="375"/>
      <c r="AB36" s="375"/>
      <c r="AC36" s="374" t="e">
        <f t="shared" si="10"/>
        <v>#N/A</v>
      </c>
      <c r="AD36" s="508"/>
      <c r="AE36" s="374"/>
      <c r="AF36" s="375"/>
      <c r="AG36" s="375"/>
      <c r="AH36" s="374" t="e">
        <f t="shared" si="11"/>
        <v>#N/A</v>
      </c>
      <c r="AI36" s="508"/>
      <c r="AJ36" s="374"/>
      <c r="AK36" s="375"/>
      <c r="AL36" s="375"/>
      <c r="AM36" s="374" t="e">
        <f t="shared" si="12"/>
        <v>#N/A</v>
      </c>
      <c r="AN36" s="508"/>
      <c r="AO36" s="374"/>
      <c r="AP36" s="375"/>
      <c r="AQ36" s="375"/>
      <c r="AR36" s="374" t="e">
        <f t="shared" si="13"/>
        <v>#N/A</v>
      </c>
      <c r="AS36" s="508"/>
      <c r="AT36" s="374"/>
      <c r="AU36" s="375"/>
      <c r="AV36" s="375"/>
      <c r="AW36" s="374" t="e">
        <f t="shared" si="14"/>
        <v>#N/A</v>
      </c>
      <c r="AX36" s="506"/>
    </row>
    <row r="37" spans="2:50">
      <c r="B37" s="483"/>
      <c r="C37" s="374">
        <v>11</v>
      </c>
      <c r="D37" s="257"/>
      <c r="E37" s="187"/>
      <c r="F37" s="374"/>
      <c r="G37" s="375"/>
      <c r="H37" s="508"/>
      <c r="I37" s="222"/>
      <c r="J37" s="222"/>
      <c r="K37" s="222"/>
      <c r="L37" s="457"/>
      <c r="M37" s="221" t="e">
        <f>RANK(K37, K$27:$K$41)</f>
        <v>#N/A</v>
      </c>
      <c r="N37" s="475"/>
      <c r="O37" s="475"/>
      <c r="P37" s="374"/>
      <c r="Q37" s="375"/>
      <c r="R37" s="375"/>
      <c r="S37" s="374" t="e">
        <f t="shared" si="8"/>
        <v>#N/A</v>
      </c>
      <c r="T37" s="508"/>
      <c r="U37" s="374"/>
      <c r="V37" s="375"/>
      <c r="W37" s="375"/>
      <c r="X37" s="374" t="e">
        <f t="shared" si="9"/>
        <v>#N/A</v>
      </c>
      <c r="Y37" s="508"/>
      <c r="Z37" s="374"/>
      <c r="AA37" s="375"/>
      <c r="AB37" s="375"/>
      <c r="AC37" s="374" t="e">
        <f t="shared" si="10"/>
        <v>#N/A</v>
      </c>
      <c r="AD37" s="508"/>
      <c r="AE37" s="374"/>
      <c r="AF37" s="375"/>
      <c r="AG37" s="375"/>
      <c r="AH37" s="374" t="e">
        <f t="shared" si="11"/>
        <v>#N/A</v>
      </c>
      <c r="AI37" s="508"/>
      <c r="AJ37" s="374"/>
      <c r="AK37" s="375"/>
      <c r="AL37" s="375"/>
      <c r="AM37" s="374" t="e">
        <f t="shared" si="12"/>
        <v>#N/A</v>
      </c>
      <c r="AN37" s="508"/>
      <c r="AO37" s="374"/>
      <c r="AP37" s="375"/>
      <c r="AQ37" s="375"/>
      <c r="AR37" s="374" t="e">
        <f t="shared" si="13"/>
        <v>#N/A</v>
      </c>
      <c r="AS37" s="508"/>
      <c r="AT37" s="374"/>
      <c r="AU37" s="375"/>
      <c r="AV37" s="375"/>
      <c r="AW37" s="374" t="e">
        <f t="shared" si="14"/>
        <v>#N/A</v>
      </c>
      <c r="AX37" s="506"/>
    </row>
    <row r="38" spans="2:50">
      <c r="B38" s="483"/>
      <c r="C38" s="374">
        <v>12</v>
      </c>
      <c r="D38" s="257"/>
      <c r="E38" s="187"/>
      <c r="F38" s="374"/>
      <c r="G38" s="375"/>
      <c r="H38" s="508"/>
      <c r="I38" s="222"/>
      <c r="J38" s="222"/>
      <c r="K38" s="222"/>
      <c r="L38" s="457"/>
      <c r="M38" s="221" t="e">
        <f>RANK(K38, K$27:$K$41)</f>
        <v>#N/A</v>
      </c>
      <c r="N38" s="475"/>
      <c r="O38" s="475"/>
      <c r="P38" s="374"/>
      <c r="Q38" s="375"/>
      <c r="R38" s="375"/>
      <c r="S38" s="374" t="e">
        <f t="shared" si="8"/>
        <v>#N/A</v>
      </c>
      <c r="T38" s="508"/>
      <c r="U38" s="374"/>
      <c r="V38" s="374"/>
      <c r="W38" s="374"/>
      <c r="X38" s="374" t="e">
        <f t="shared" si="9"/>
        <v>#N/A</v>
      </c>
      <c r="Y38" s="508"/>
      <c r="Z38" s="374"/>
      <c r="AA38" s="374"/>
      <c r="AB38" s="374"/>
      <c r="AC38" s="374" t="e">
        <f t="shared" si="10"/>
        <v>#N/A</v>
      </c>
      <c r="AD38" s="508"/>
      <c r="AE38" s="374"/>
      <c r="AF38" s="374"/>
      <c r="AG38" s="374"/>
      <c r="AH38" s="374" t="e">
        <f t="shared" si="11"/>
        <v>#N/A</v>
      </c>
      <c r="AI38" s="508"/>
      <c r="AJ38" s="374"/>
      <c r="AK38" s="374"/>
      <c r="AL38" s="374"/>
      <c r="AM38" s="374" t="e">
        <f t="shared" si="12"/>
        <v>#N/A</v>
      </c>
      <c r="AN38" s="508"/>
      <c r="AO38" s="374"/>
      <c r="AP38" s="374"/>
      <c r="AQ38" s="374"/>
      <c r="AR38" s="374" t="e">
        <f t="shared" si="13"/>
        <v>#N/A</v>
      </c>
      <c r="AS38" s="508"/>
      <c r="AT38" s="374"/>
      <c r="AU38" s="374"/>
      <c r="AV38" s="374"/>
      <c r="AW38" s="374" t="e">
        <f t="shared" si="14"/>
        <v>#N/A</v>
      </c>
      <c r="AX38" s="506"/>
    </row>
    <row r="39" spans="2:50">
      <c r="B39" s="483"/>
      <c r="C39" s="374">
        <v>13</v>
      </c>
      <c r="D39" s="257"/>
      <c r="E39" s="187"/>
      <c r="F39" s="374"/>
      <c r="G39" s="375"/>
      <c r="H39" s="508"/>
      <c r="I39" s="222"/>
      <c r="J39" s="222"/>
      <c r="K39" s="222"/>
      <c r="L39" s="457"/>
      <c r="M39" s="221" t="e">
        <f>RANK(K39, K$27:$K$41)</f>
        <v>#N/A</v>
      </c>
      <c r="N39" s="475"/>
      <c r="O39" s="475"/>
      <c r="P39" s="374"/>
      <c r="Q39" s="375"/>
      <c r="R39" s="375"/>
      <c r="S39" s="374" t="e">
        <f t="shared" si="8"/>
        <v>#N/A</v>
      </c>
      <c r="T39" s="508"/>
      <c r="U39" s="374"/>
      <c r="V39" s="374"/>
      <c r="W39" s="374"/>
      <c r="X39" s="374" t="e">
        <f t="shared" si="9"/>
        <v>#N/A</v>
      </c>
      <c r="Y39" s="508"/>
      <c r="Z39" s="374"/>
      <c r="AA39" s="374"/>
      <c r="AB39" s="374"/>
      <c r="AC39" s="374" t="e">
        <f t="shared" si="10"/>
        <v>#N/A</v>
      </c>
      <c r="AD39" s="508"/>
      <c r="AE39" s="374"/>
      <c r="AF39" s="374"/>
      <c r="AG39" s="374"/>
      <c r="AH39" s="374" t="e">
        <f t="shared" si="11"/>
        <v>#N/A</v>
      </c>
      <c r="AI39" s="508"/>
      <c r="AJ39" s="374"/>
      <c r="AK39" s="374"/>
      <c r="AL39" s="374"/>
      <c r="AM39" s="374" t="e">
        <f t="shared" si="12"/>
        <v>#N/A</v>
      </c>
      <c r="AN39" s="508"/>
      <c r="AO39" s="374"/>
      <c r="AP39" s="374"/>
      <c r="AQ39" s="374"/>
      <c r="AR39" s="374" t="e">
        <f t="shared" si="13"/>
        <v>#N/A</v>
      </c>
      <c r="AS39" s="508"/>
      <c r="AT39" s="374"/>
      <c r="AU39" s="374"/>
      <c r="AV39" s="374"/>
      <c r="AW39" s="374" t="e">
        <f t="shared" si="14"/>
        <v>#N/A</v>
      </c>
      <c r="AX39" s="506"/>
    </row>
    <row r="40" spans="2:50">
      <c r="B40" s="483"/>
      <c r="C40" s="374">
        <v>14</v>
      </c>
      <c r="D40" s="257"/>
      <c r="E40" s="187"/>
      <c r="F40" s="374"/>
      <c r="G40" s="375"/>
      <c r="H40" s="508"/>
      <c r="I40" s="222"/>
      <c r="J40" s="222"/>
      <c r="K40" s="222"/>
      <c r="L40" s="457"/>
      <c r="M40" s="221" t="e">
        <f>RANK(K40, K$27:$K$41)</f>
        <v>#N/A</v>
      </c>
      <c r="N40" s="475"/>
      <c r="O40" s="475"/>
      <c r="P40" s="374"/>
      <c r="Q40" s="375"/>
      <c r="R40" s="375"/>
      <c r="S40" s="374" t="e">
        <f t="shared" si="8"/>
        <v>#N/A</v>
      </c>
      <c r="T40" s="508"/>
      <c r="U40" s="374"/>
      <c r="V40" s="374"/>
      <c r="W40" s="374"/>
      <c r="X40" s="374" t="e">
        <f t="shared" si="9"/>
        <v>#N/A</v>
      </c>
      <c r="Y40" s="508"/>
      <c r="Z40" s="374"/>
      <c r="AA40" s="374"/>
      <c r="AB40" s="374"/>
      <c r="AC40" s="374" t="e">
        <f t="shared" si="10"/>
        <v>#N/A</v>
      </c>
      <c r="AD40" s="508"/>
      <c r="AE40" s="374"/>
      <c r="AF40" s="374"/>
      <c r="AG40" s="374"/>
      <c r="AH40" s="374" t="e">
        <f t="shared" si="11"/>
        <v>#N/A</v>
      </c>
      <c r="AI40" s="508"/>
      <c r="AJ40" s="374"/>
      <c r="AK40" s="374"/>
      <c r="AL40" s="374"/>
      <c r="AM40" s="374" t="e">
        <f t="shared" si="12"/>
        <v>#N/A</v>
      </c>
      <c r="AN40" s="508"/>
      <c r="AO40" s="374"/>
      <c r="AP40" s="374"/>
      <c r="AQ40" s="374"/>
      <c r="AR40" s="374" t="e">
        <f t="shared" si="13"/>
        <v>#N/A</v>
      </c>
      <c r="AS40" s="508"/>
      <c r="AT40" s="374"/>
      <c r="AU40" s="374"/>
      <c r="AV40" s="374"/>
      <c r="AW40" s="374" t="e">
        <f t="shared" si="14"/>
        <v>#N/A</v>
      </c>
      <c r="AX40" s="506"/>
    </row>
    <row r="41" spans="2:50">
      <c r="B41" s="483"/>
      <c r="C41" s="374">
        <v>15</v>
      </c>
      <c r="D41" s="257"/>
      <c r="E41" s="187"/>
      <c r="F41" s="374"/>
      <c r="G41" s="375"/>
      <c r="H41" s="509"/>
      <c r="I41" s="222"/>
      <c r="J41" s="222"/>
      <c r="K41" s="222"/>
      <c r="L41" s="458"/>
      <c r="M41" s="219" t="e">
        <f>RANK(K41, K$27:$K$41)</f>
        <v>#N/A</v>
      </c>
      <c r="N41" s="475"/>
      <c r="O41" s="475"/>
      <c r="P41" s="374"/>
      <c r="Q41" s="375"/>
      <c r="R41" s="375"/>
      <c r="S41" s="374" t="e">
        <f t="shared" si="8"/>
        <v>#N/A</v>
      </c>
      <c r="T41" s="509"/>
      <c r="U41" s="374"/>
      <c r="V41" s="374"/>
      <c r="W41" s="374"/>
      <c r="X41" s="374" t="e">
        <f t="shared" si="9"/>
        <v>#N/A</v>
      </c>
      <c r="Y41" s="509"/>
      <c r="Z41" s="374"/>
      <c r="AA41" s="374"/>
      <c r="AB41" s="374"/>
      <c r="AC41" s="374" t="e">
        <f t="shared" si="10"/>
        <v>#N/A</v>
      </c>
      <c r="AD41" s="509"/>
      <c r="AE41" s="374"/>
      <c r="AF41" s="374"/>
      <c r="AG41" s="374"/>
      <c r="AH41" s="374" t="e">
        <f t="shared" si="11"/>
        <v>#N/A</v>
      </c>
      <c r="AI41" s="509"/>
      <c r="AJ41" s="374"/>
      <c r="AK41" s="374"/>
      <c r="AL41" s="374"/>
      <c r="AM41" s="374" t="e">
        <f t="shared" si="12"/>
        <v>#N/A</v>
      </c>
      <c r="AN41" s="509"/>
      <c r="AO41" s="374"/>
      <c r="AP41" s="374"/>
      <c r="AQ41" s="374"/>
      <c r="AR41" s="374" t="e">
        <f t="shared" si="13"/>
        <v>#N/A</v>
      </c>
      <c r="AS41" s="509"/>
      <c r="AT41" s="374"/>
      <c r="AU41" s="374"/>
      <c r="AV41" s="374"/>
      <c r="AW41" s="374" t="e">
        <f t="shared" si="14"/>
        <v>#N/A</v>
      </c>
      <c r="AX41" s="506"/>
    </row>
    <row r="42" spans="2:50" ht="15.75">
      <c r="B42" s="500" t="s">
        <v>172</v>
      </c>
      <c r="C42" s="501"/>
      <c r="D42" s="501"/>
      <c r="E42" s="501"/>
      <c r="F42" s="501"/>
      <c r="G42" s="501"/>
      <c r="H42" s="501"/>
      <c r="I42" s="228"/>
      <c r="J42" s="223"/>
      <c r="K42" s="228"/>
      <c r="L42" s="228"/>
      <c r="M42" s="224"/>
      <c r="N42" s="476" t="s">
        <v>164</v>
      </c>
      <c r="O42" s="476" t="s">
        <v>105</v>
      </c>
      <c r="P42" s="482">
        <f>P22+7</f>
        <v>45909</v>
      </c>
      <c r="Q42" s="483"/>
      <c r="R42" s="483"/>
      <c r="S42" s="483"/>
      <c r="T42" s="483"/>
      <c r="U42" s="479">
        <f>P42+1</f>
        <v>45910</v>
      </c>
      <c r="V42" s="480"/>
      <c r="W42" s="480"/>
      <c r="X42" s="480"/>
      <c r="Y42" s="481"/>
      <c r="Z42" s="479">
        <f>U42+1</f>
        <v>45911</v>
      </c>
      <c r="AA42" s="480"/>
      <c r="AB42" s="480"/>
      <c r="AC42" s="480"/>
      <c r="AD42" s="481"/>
      <c r="AE42" s="479">
        <f t="shared" ref="AE42" si="18">Z42+1</f>
        <v>45912</v>
      </c>
      <c r="AF42" s="480"/>
      <c r="AG42" s="480"/>
      <c r="AH42" s="480"/>
      <c r="AI42" s="481"/>
      <c r="AJ42" s="479">
        <f t="shared" ref="AJ42" si="19">AE42+1</f>
        <v>45913</v>
      </c>
      <c r="AK42" s="480"/>
      <c r="AL42" s="480"/>
      <c r="AM42" s="480"/>
      <c r="AN42" s="481"/>
      <c r="AO42" s="479">
        <f t="shared" ref="AO42" si="20">AJ42+1</f>
        <v>45914</v>
      </c>
      <c r="AP42" s="480"/>
      <c r="AQ42" s="480"/>
      <c r="AR42" s="480"/>
      <c r="AS42" s="481"/>
      <c r="AT42" s="479">
        <f t="shared" ref="AT42" si="21">AO42+1</f>
        <v>45915</v>
      </c>
      <c r="AU42" s="480"/>
      <c r="AV42" s="480"/>
      <c r="AW42" s="480"/>
      <c r="AX42" s="481"/>
    </row>
    <row r="43" spans="2:50" ht="15.75">
      <c r="B43" s="490"/>
      <c r="C43" s="490"/>
      <c r="D43" s="490"/>
      <c r="E43" s="490"/>
      <c r="F43" s="490"/>
      <c r="G43" s="490"/>
      <c r="H43" s="490"/>
      <c r="I43" s="225"/>
      <c r="J43" s="225"/>
      <c r="K43" s="225"/>
      <c r="L43" s="225"/>
      <c r="M43" s="226"/>
      <c r="N43" s="478"/>
      <c r="O43" s="478"/>
      <c r="P43" s="482" t="s">
        <v>393</v>
      </c>
      <c r="Q43" s="483"/>
      <c r="R43" s="483"/>
      <c r="S43" s="483"/>
      <c r="T43" s="483"/>
      <c r="U43" s="482" t="s">
        <v>394</v>
      </c>
      <c r="V43" s="483"/>
      <c r="W43" s="483"/>
      <c r="X43" s="483"/>
      <c r="Y43" s="483"/>
      <c r="Z43" s="482" t="s">
        <v>395</v>
      </c>
      <c r="AA43" s="483"/>
      <c r="AB43" s="483"/>
      <c r="AC43" s="483"/>
      <c r="AD43" s="483"/>
      <c r="AE43" s="482" t="s">
        <v>396</v>
      </c>
      <c r="AF43" s="483"/>
      <c r="AG43" s="483"/>
      <c r="AH43" s="483"/>
      <c r="AI43" s="483"/>
      <c r="AJ43" s="482" t="s">
        <v>397</v>
      </c>
      <c r="AK43" s="483"/>
      <c r="AL43" s="483"/>
      <c r="AM43" s="483"/>
      <c r="AN43" s="483"/>
      <c r="AO43" s="482" t="s">
        <v>398</v>
      </c>
      <c r="AP43" s="483"/>
      <c r="AQ43" s="483"/>
      <c r="AR43" s="483"/>
      <c r="AS43" s="483"/>
      <c r="AT43" s="482" t="s">
        <v>399</v>
      </c>
      <c r="AU43" s="483"/>
      <c r="AV43" s="483"/>
      <c r="AW43" s="483"/>
      <c r="AX43" s="483"/>
    </row>
    <row r="44" spans="2:50">
      <c r="B44" s="475" t="s">
        <v>634</v>
      </c>
      <c r="C44" s="475" t="s">
        <v>644</v>
      </c>
      <c r="D44" s="475"/>
      <c r="E44" s="475" t="s">
        <v>635</v>
      </c>
      <c r="F44" s="475"/>
      <c r="G44" s="475"/>
      <c r="H44" s="491" t="s">
        <v>631</v>
      </c>
      <c r="I44" s="459" t="s">
        <v>636</v>
      </c>
      <c r="J44" s="459"/>
      <c r="K44" s="459"/>
      <c r="L44" s="460" t="s">
        <v>631</v>
      </c>
      <c r="M44" s="466" t="s">
        <v>632</v>
      </c>
      <c r="N44" s="475"/>
      <c r="O44" s="475" t="s">
        <v>637</v>
      </c>
      <c r="P44" s="472" t="s">
        <v>633</v>
      </c>
      <c r="Q44" s="473"/>
      <c r="R44" s="473"/>
      <c r="S44" s="474"/>
      <c r="T44" s="475" t="s">
        <v>631</v>
      </c>
      <c r="U44" s="472" t="s">
        <v>633</v>
      </c>
      <c r="V44" s="473"/>
      <c r="W44" s="473"/>
      <c r="X44" s="474"/>
      <c r="Y44" s="475" t="s">
        <v>631</v>
      </c>
      <c r="Z44" s="472" t="s">
        <v>633</v>
      </c>
      <c r="AA44" s="473"/>
      <c r="AB44" s="473"/>
      <c r="AC44" s="474"/>
      <c r="AD44" s="475" t="s">
        <v>631</v>
      </c>
      <c r="AE44" s="472" t="s">
        <v>633</v>
      </c>
      <c r="AF44" s="473"/>
      <c r="AG44" s="473"/>
      <c r="AH44" s="474"/>
      <c r="AI44" s="475" t="s">
        <v>631</v>
      </c>
      <c r="AJ44" s="472" t="s">
        <v>633</v>
      </c>
      <c r="AK44" s="473"/>
      <c r="AL44" s="473"/>
      <c r="AM44" s="474"/>
      <c r="AN44" s="475" t="s">
        <v>631</v>
      </c>
      <c r="AO44" s="472" t="s">
        <v>633</v>
      </c>
      <c r="AP44" s="473"/>
      <c r="AQ44" s="473"/>
      <c r="AR44" s="474"/>
      <c r="AS44" s="475" t="s">
        <v>631</v>
      </c>
      <c r="AT44" s="472" t="s">
        <v>633</v>
      </c>
      <c r="AU44" s="473"/>
      <c r="AV44" s="473"/>
      <c r="AW44" s="474"/>
      <c r="AX44" s="475" t="s">
        <v>631</v>
      </c>
    </row>
    <row r="45" spans="2:50">
      <c r="B45" s="475"/>
      <c r="C45" s="475"/>
      <c r="D45" s="475"/>
      <c r="E45" s="475" t="s">
        <v>638</v>
      </c>
      <c r="F45" s="475"/>
      <c r="G45" s="475"/>
      <c r="H45" s="492"/>
      <c r="I45" s="459" t="s">
        <v>638</v>
      </c>
      <c r="J45" s="459"/>
      <c r="K45" s="459"/>
      <c r="L45" s="461"/>
      <c r="M45" s="467"/>
      <c r="N45" s="475"/>
      <c r="O45" s="475"/>
      <c r="P45" s="472" t="s">
        <v>639</v>
      </c>
      <c r="Q45" s="473"/>
      <c r="R45" s="473"/>
      <c r="S45" s="474"/>
      <c r="T45" s="475"/>
      <c r="U45" s="472" t="s">
        <v>639</v>
      </c>
      <c r="V45" s="473"/>
      <c r="W45" s="473"/>
      <c r="X45" s="474"/>
      <c r="Y45" s="475"/>
      <c r="Z45" s="472" t="s">
        <v>639</v>
      </c>
      <c r="AA45" s="473"/>
      <c r="AB45" s="473"/>
      <c r="AC45" s="474"/>
      <c r="AD45" s="475"/>
      <c r="AE45" s="472" t="s">
        <v>639</v>
      </c>
      <c r="AF45" s="473"/>
      <c r="AG45" s="473"/>
      <c r="AH45" s="474"/>
      <c r="AI45" s="475"/>
      <c r="AJ45" s="472" t="s">
        <v>639</v>
      </c>
      <c r="AK45" s="473"/>
      <c r="AL45" s="473"/>
      <c r="AM45" s="474"/>
      <c r="AN45" s="475"/>
      <c r="AO45" s="472" t="s">
        <v>639</v>
      </c>
      <c r="AP45" s="473"/>
      <c r="AQ45" s="473"/>
      <c r="AR45" s="474"/>
      <c r="AS45" s="475"/>
      <c r="AT45" s="472" t="s">
        <v>639</v>
      </c>
      <c r="AU45" s="473"/>
      <c r="AV45" s="473"/>
      <c r="AW45" s="474"/>
      <c r="AX45" s="475"/>
    </row>
    <row r="46" spans="2:50">
      <c r="B46" s="475"/>
      <c r="C46" s="475"/>
      <c r="D46" s="475"/>
      <c r="E46" s="350" t="s">
        <v>640</v>
      </c>
      <c r="F46" s="350" t="s">
        <v>641</v>
      </c>
      <c r="G46" s="350" t="s">
        <v>642</v>
      </c>
      <c r="H46" s="493"/>
      <c r="I46" s="349" t="s">
        <v>640</v>
      </c>
      <c r="J46" s="349" t="s">
        <v>641</v>
      </c>
      <c r="K46" s="349" t="s">
        <v>642</v>
      </c>
      <c r="L46" s="462"/>
      <c r="M46" s="468"/>
      <c r="N46" s="475"/>
      <c r="O46" s="475"/>
      <c r="P46" s="350" t="s">
        <v>640</v>
      </c>
      <c r="Q46" s="350" t="s">
        <v>641</v>
      </c>
      <c r="R46" s="350" t="s">
        <v>642</v>
      </c>
      <c r="S46" s="350" t="s">
        <v>632</v>
      </c>
      <c r="T46" s="475"/>
      <c r="U46" s="350" t="s">
        <v>640</v>
      </c>
      <c r="V46" s="350" t="s">
        <v>641</v>
      </c>
      <c r="W46" s="350" t="s">
        <v>642</v>
      </c>
      <c r="X46" s="350" t="s">
        <v>632</v>
      </c>
      <c r="Y46" s="475"/>
      <c r="Z46" s="350" t="s">
        <v>640</v>
      </c>
      <c r="AA46" s="350" t="s">
        <v>641</v>
      </c>
      <c r="AB46" s="350" t="s">
        <v>642</v>
      </c>
      <c r="AC46" s="350" t="s">
        <v>632</v>
      </c>
      <c r="AD46" s="475"/>
      <c r="AE46" s="350" t="s">
        <v>640</v>
      </c>
      <c r="AF46" s="350" t="s">
        <v>641</v>
      </c>
      <c r="AG46" s="350" t="s">
        <v>642</v>
      </c>
      <c r="AH46" s="350" t="s">
        <v>632</v>
      </c>
      <c r="AI46" s="475"/>
      <c r="AJ46" s="350" t="s">
        <v>640</v>
      </c>
      <c r="AK46" s="350" t="s">
        <v>641</v>
      </c>
      <c r="AL46" s="350" t="s">
        <v>642</v>
      </c>
      <c r="AM46" s="350" t="s">
        <v>632</v>
      </c>
      <c r="AN46" s="475"/>
      <c r="AO46" s="350" t="s">
        <v>640</v>
      </c>
      <c r="AP46" s="350" t="s">
        <v>641</v>
      </c>
      <c r="AQ46" s="350" t="s">
        <v>642</v>
      </c>
      <c r="AR46" s="350" t="s">
        <v>632</v>
      </c>
      <c r="AS46" s="475"/>
      <c r="AT46" s="350" t="s">
        <v>640</v>
      </c>
      <c r="AU46" s="350" t="s">
        <v>641</v>
      </c>
      <c r="AV46" s="350" t="s">
        <v>642</v>
      </c>
      <c r="AW46" s="350" t="s">
        <v>632</v>
      </c>
      <c r="AX46" s="475"/>
    </row>
    <row r="47" spans="2:50">
      <c r="B47" s="475" t="s">
        <v>693</v>
      </c>
      <c r="C47" s="351">
        <v>1</v>
      </c>
      <c r="D47" s="257"/>
      <c r="E47" s="187"/>
      <c r="F47" s="351"/>
      <c r="G47" s="354"/>
      <c r="H47" s="507" t="e">
        <f>AVERAGE(G47:G61)</f>
        <v>#DIV/0!</v>
      </c>
      <c r="I47" s="219" t="e">
        <f>AVERAGE(P47,U47,Z47,AE47,AJ47,AO47,AT47)</f>
        <v>#DIV/0!</v>
      </c>
      <c r="J47" s="219" t="e">
        <f>AVERAGE(Q47,V47,AA47,AF47,AK47,AP47,AU47)</f>
        <v>#DIV/0!</v>
      </c>
      <c r="K47" s="220" t="e">
        <f>AVERAGE(R47,W47,AB47,AG47,AL47,AQ47,AV47)</f>
        <v>#DIV/0!</v>
      </c>
      <c r="L47" s="456" t="str">
        <f>IFERROR(AVERAGE(K47:K61),"-")</f>
        <v>-</v>
      </c>
      <c r="M47" s="221" t="e">
        <f>RANK(K47, K$87:$K$101)</f>
        <v>#DIV/0!</v>
      </c>
      <c r="N47" s="475"/>
      <c r="O47" s="475"/>
      <c r="P47" s="351"/>
      <c r="Q47" s="354"/>
      <c r="R47" s="354"/>
      <c r="S47" s="351" t="e">
        <f>RANK(R47, R$87:R$101)</f>
        <v>#N/A</v>
      </c>
      <c r="T47" s="507" t="e">
        <f>AVERAGE(R47:R61)</f>
        <v>#DIV/0!</v>
      </c>
      <c r="U47" s="351"/>
      <c r="V47" s="354"/>
      <c r="W47" s="354"/>
      <c r="X47" s="351" t="e">
        <f>RANK(W47, W$87:W$101)</f>
        <v>#N/A</v>
      </c>
      <c r="Y47" s="507" t="e">
        <f>AVERAGE(W47:W61)</f>
        <v>#DIV/0!</v>
      </c>
      <c r="Z47" s="351"/>
      <c r="AA47" s="354"/>
      <c r="AB47" s="354"/>
      <c r="AC47" s="351" t="e">
        <f>RANK(AB47, AB$87:AB$101)</f>
        <v>#N/A</v>
      </c>
      <c r="AD47" s="507" t="e">
        <f>AVERAGE(AB47:AB61)</f>
        <v>#DIV/0!</v>
      </c>
      <c r="AE47" s="351"/>
      <c r="AF47" s="354"/>
      <c r="AG47" s="354"/>
      <c r="AH47" s="351" t="e">
        <f>RANK(AG47, AG$87:AG$101)</f>
        <v>#N/A</v>
      </c>
      <c r="AI47" s="507" t="e">
        <f>AVERAGE(AG47:AG61)</f>
        <v>#DIV/0!</v>
      </c>
      <c r="AJ47" s="351"/>
      <c r="AK47" s="354"/>
      <c r="AL47" s="354"/>
      <c r="AM47" s="351" t="e">
        <f>RANK(AL47, AL$87:AL$101)</f>
        <v>#N/A</v>
      </c>
      <c r="AN47" s="507" t="e">
        <f>AVERAGE(AL47:AL61)</f>
        <v>#DIV/0!</v>
      </c>
      <c r="AO47" s="351"/>
      <c r="AP47" s="354"/>
      <c r="AQ47" s="354"/>
      <c r="AR47" s="351" t="e">
        <f>RANK(AQ47, AQ$87:AQ$101)</f>
        <v>#N/A</v>
      </c>
      <c r="AS47" s="507" t="e">
        <f>AVERAGE(AQ47:AQ61)</f>
        <v>#DIV/0!</v>
      </c>
      <c r="AT47" s="351"/>
      <c r="AU47" s="354"/>
      <c r="AV47" s="354"/>
      <c r="AW47" s="351" t="e">
        <f>RANK(AV47, AV$87:AV$101)</f>
        <v>#N/A</v>
      </c>
      <c r="AX47" s="506" t="e">
        <f>AVERAGE(AV47:AV61)</f>
        <v>#DIV/0!</v>
      </c>
    </row>
    <row r="48" spans="2:50">
      <c r="B48" s="483"/>
      <c r="C48" s="351">
        <v>2</v>
      </c>
      <c r="D48" s="257"/>
      <c r="E48" s="187"/>
      <c r="F48" s="351"/>
      <c r="G48" s="354"/>
      <c r="H48" s="508"/>
      <c r="I48" s="219" t="e">
        <f t="shared" ref="I48:I54" si="22">AVERAGE(P48,U48,Z48,AE48,AJ48,AO48,AT48)</f>
        <v>#DIV/0!</v>
      </c>
      <c r="J48" s="219" t="e">
        <f t="shared" ref="J48:J54" si="23">AVERAGE(Q48,V48,AA48,AF48,AK48,AP48,AU48)</f>
        <v>#DIV/0!</v>
      </c>
      <c r="K48" s="220" t="e">
        <f t="shared" ref="K48:K54" si="24">AVERAGE(R48,W48,AB48,AG48,AL48,AQ48,AV48)</f>
        <v>#DIV/0!</v>
      </c>
      <c r="L48" s="457"/>
      <c r="M48" s="221" t="e">
        <f>RANK(K48, K$87:$K$101)</f>
        <v>#DIV/0!</v>
      </c>
      <c r="N48" s="475"/>
      <c r="O48" s="475"/>
      <c r="P48" s="351"/>
      <c r="Q48" s="354"/>
      <c r="R48" s="354"/>
      <c r="S48" s="351" t="e">
        <f t="shared" ref="S48:S61" si="25">RANK(R48, R$87:R$101)</f>
        <v>#N/A</v>
      </c>
      <c r="T48" s="508"/>
      <c r="U48" s="351"/>
      <c r="V48" s="354"/>
      <c r="W48" s="354"/>
      <c r="X48" s="351" t="e">
        <f t="shared" ref="X48:X61" si="26">RANK(W48, W$87:W$101)</f>
        <v>#N/A</v>
      </c>
      <c r="Y48" s="508"/>
      <c r="Z48" s="351"/>
      <c r="AA48" s="354"/>
      <c r="AB48" s="354"/>
      <c r="AC48" s="351" t="e">
        <f t="shared" ref="AC48:AC61" si="27">RANK(AB48, AB$87:AB$101)</f>
        <v>#N/A</v>
      </c>
      <c r="AD48" s="508"/>
      <c r="AE48" s="351"/>
      <c r="AF48" s="354"/>
      <c r="AG48" s="354"/>
      <c r="AH48" s="351" t="e">
        <f t="shared" ref="AH48:AH61" si="28">RANK(AG48, AG$87:AG$101)</f>
        <v>#N/A</v>
      </c>
      <c r="AI48" s="508"/>
      <c r="AJ48" s="351"/>
      <c r="AK48" s="354"/>
      <c r="AL48" s="354"/>
      <c r="AM48" s="351" t="e">
        <f t="shared" ref="AM48:AM61" si="29">RANK(AL48, AL$87:AL$101)</f>
        <v>#N/A</v>
      </c>
      <c r="AN48" s="508"/>
      <c r="AO48" s="351"/>
      <c r="AP48" s="354"/>
      <c r="AQ48" s="354"/>
      <c r="AR48" s="351" t="e">
        <f t="shared" ref="AR48:AR61" si="30">RANK(AQ48, AQ$87:AQ$101)</f>
        <v>#N/A</v>
      </c>
      <c r="AS48" s="508"/>
      <c r="AT48" s="351"/>
      <c r="AU48" s="354"/>
      <c r="AV48" s="354"/>
      <c r="AW48" s="351" t="e">
        <f t="shared" ref="AW48:AW61" si="31">RANK(AV48, AV$87:AV$101)</f>
        <v>#N/A</v>
      </c>
      <c r="AX48" s="506"/>
    </row>
    <row r="49" spans="2:50">
      <c r="B49" s="483"/>
      <c r="C49" s="351">
        <v>3</v>
      </c>
      <c r="D49" s="257"/>
      <c r="E49" s="187"/>
      <c r="F49" s="351"/>
      <c r="G49" s="354"/>
      <c r="H49" s="508"/>
      <c r="I49" s="219" t="e">
        <f t="shared" si="22"/>
        <v>#DIV/0!</v>
      </c>
      <c r="J49" s="219" t="e">
        <f t="shared" si="23"/>
        <v>#DIV/0!</v>
      </c>
      <c r="K49" s="220" t="e">
        <f t="shared" si="24"/>
        <v>#DIV/0!</v>
      </c>
      <c r="L49" s="457"/>
      <c r="M49" s="221" t="e">
        <f>RANK(K49, K$87:$K$101)</f>
        <v>#DIV/0!</v>
      </c>
      <c r="N49" s="475"/>
      <c r="O49" s="475"/>
      <c r="P49" s="351"/>
      <c r="Q49" s="354"/>
      <c r="R49" s="354"/>
      <c r="S49" s="351" t="e">
        <f t="shared" si="25"/>
        <v>#N/A</v>
      </c>
      <c r="T49" s="508"/>
      <c r="U49" s="351"/>
      <c r="V49" s="354"/>
      <c r="W49" s="354"/>
      <c r="X49" s="351" t="e">
        <f t="shared" si="26"/>
        <v>#N/A</v>
      </c>
      <c r="Y49" s="508"/>
      <c r="Z49" s="351"/>
      <c r="AA49" s="354"/>
      <c r="AB49" s="354"/>
      <c r="AC49" s="351" t="e">
        <f t="shared" si="27"/>
        <v>#N/A</v>
      </c>
      <c r="AD49" s="508"/>
      <c r="AE49" s="351"/>
      <c r="AF49" s="354"/>
      <c r="AG49" s="354"/>
      <c r="AH49" s="351" t="e">
        <f t="shared" si="28"/>
        <v>#N/A</v>
      </c>
      <c r="AI49" s="508"/>
      <c r="AJ49" s="351"/>
      <c r="AK49" s="354"/>
      <c r="AL49" s="354"/>
      <c r="AM49" s="351" t="e">
        <f t="shared" si="29"/>
        <v>#N/A</v>
      </c>
      <c r="AN49" s="508"/>
      <c r="AO49" s="351"/>
      <c r="AP49" s="354"/>
      <c r="AQ49" s="354"/>
      <c r="AR49" s="351" t="e">
        <f t="shared" si="30"/>
        <v>#N/A</v>
      </c>
      <c r="AS49" s="508"/>
      <c r="AT49" s="351"/>
      <c r="AU49" s="354"/>
      <c r="AV49" s="354"/>
      <c r="AW49" s="351" t="e">
        <f t="shared" si="31"/>
        <v>#N/A</v>
      </c>
      <c r="AX49" s="506"/>
    </row>
    <row r="50" spans="2:50">
      <c r="B50" s="483"/>
      <c r="C50" s="351">
        <v>4</v>
      </c>
      <c r="D50" s="257"/>
      <c r="E50" s="187"/>
      <c r="F50" s="351"/>
      <c r="G50" s="354"/>
      <c r="H50" s="508"/>
      <c r="I50" s="219" t="e">
        <f t="shared" si="22"/>
        <v>#DIV/0!</v>
      </c>
      <c r="J50" s="219" t="e">
        <f t="shared" si="23"/>
        <v>#DIV/0!</v>
      </c>
      <c r="K50" s="220" t="e">
        <f t="shared" si="24"/>
        <v>#DIV/0!</v>
      </c>
      <c r="L50" s="457"/>
      <c r="M50" s="221" t="e">
        <f>RANK(K50, K$87:$K$101)</f>
        <v>#DIV/0!</v>
      </c>
      <c r="N50" s="475"/>
      <c r="O50" s="475"/>
      <c r="P50" s="351"/>
      <c r="Q50" s="354"/>
      <c r="R50" s="354"/>
      <c r="S50" s="351" t="e">
        <f t="shared" si="25"/>
        <v>#N/A</v>
      </c>
      <c r="T50" s="508"/>
      <c r="U50" s="351"/>
      <c r="V50" s="354"/>
      <c r="W50" s="354"/>
      <c r="X50" s="351" t="e">
        <f t="shared" si="26"/>
        <v>#N/A</v>
      </c>
      <c r="Y50" s="508"/>
      <c r="Z50" s="351"/>
      <c r="AA50" s="354"/>
      <c r="AB50" s="354"/>
      <c r="AC50" s="351" t="e">
        <f t="shared" si="27"/>
        <v>#N/A</v>
      </c>
      <c r="AD50" s="508"/>
      <c r="AE50" s="351"/>
      <c r="AF50" s="354"/>
      <c r="AG50" s="354"/>
      <c r="AH50" s="351" t="e">
        <f t="shared" si="28"/>
        <v>#N/A</v>
      </c>
      <c r="AI50" s="508"/>
      <c r="AJ50" s="351"/>
      <c r="AK50" s="354"/>
      <c r="AL50" s="354"/>
      <c r="AM50" s="351" t="e">
        <f t="shared" si="29"/>
        <v>#N/A</v>
      </c>
      <c r="AN50" s="508"/>
      <c r="AO50" s="351"/>
      <c r="AP50" s="354"/>
      <c r="AQ50" s="354"/>
      <c r="AR50" s="351" t="e">
        <f t="shared" si="30"/>
        <v>#N/A</v>
      </c>
      <c r="AS50" s="508"/>
      <c r="AT50" s="351"/>
      <c r="AU50" s="354"/>
      <c r="AV50" s="354"/>
      <c r="AW50" s="351" t="e">
        <f t="shared" si="31"/>
        <v>#N/A</v>
      </c>
      <c r="AX50" s="506"/>
    </row>
    <row r="51" spans="2:50">
      <c r="B51" s="483"/>
      <c r="C51" s="351">
        <v>5</v>
      </c>
      <c r="D51" s="257"/>
      <c r="E51" s="187"/>
      <c r="F51" s="351"/>
      <c r="G51" s="354"/>
      <c r="H51" s="508"/>
      <c r="I51" s="219" t="e">
        <f t="shared" si="22"/>
        <v>#DIV/0!</v>
      </c>
      <c r="J51" s="219" t="e">
        <f t="shared" si="23"/>
        <v>#DIV/0!</v>
      </c>
      <c r="K51" s="220" t="e">
        <f t="shared" si="24"/>
        <v>#DIV/0!</v>
      </c>
      <c r="L51" s="457"/>
      <c r="M51" s="221" t="e">
        <f>RANK(K51, K$87:$K$101)</f>
        <v>#DIV/0!</v>
      </c>
      <c r="N51" s="475"/>
      <c r="O51" s="475"/>
      <c r="P51" s="351"/>
      <c r="Q51" s="354"/>
      <c r="R51" s="354"/>
      <c r="S51" s="351" t="e">
        <f t="shared" si="25"/>
        <v>#N/A</v>
      </c>
      <c r="T51" s="508"/>
      <c r="U51" s="351"/>
      <c r="V51" s="354"/>
      <c r="W51" s="354"/>
      <c r="X51" s="351" t="e">
        <f t="shared" si="26"/>
        <v>#N/A</v>
      </c>
      <c r="Y51" s="508"/>
      <c r="Z51" s="351"/>
      <c r="AA51" s="354"/>
      <c r="AB51" s="354"/>
      <c r="AC51" s="351" t="e">
        <f t="shared" si="27"/>
        <v>#N/A</v>
      </c>
      <c r="AD51" s="508"/>
      <c r="AE51" s="351"/>
      <c r="AF51" s="354"/>
      <c r="AG51" s="354"/>
      <c r="AH51" s="351" t="e">
        <f t="shared" si="28"/>
        <v>#N/A</v>
      </c>
      <c r="AI51" s="508"/>
      <c r="AJ51" s="351"/>
      <c r="AK51" s="354"/>
      <c r="AL51" s="354"/>
      <c r="AM51" s="351" t="e">
        <f t="shared" si="29"/>
        <v>#N/A</v>
      </c>
      <c r="AN51" s="508"/>
      <c r="AO51" s="351"/>
      <c r="AP51" s="354"/>
      <c r="AQ51" s="354"/>
      <c r="AR51" s="351" t="e">
        <f t="shared" si="30"/>
        <v>#N/A</v>
      </c>
      <c r="AS51" s="508"/>
      <c r="AT51" s="351"/>
      <c r="AU51" s="354"/>
      <c r="AV51" s="354"/>
      <c r="AW51" s="351" t="e">
        <f t="shared" si="31"/>
        <v>#N/A</v>
      </c>
      <c r="AX51" s="506"/>
    </row>
    <row r="52" spans="2:50">
      <c r="B52" s="483"/>
      <c r="C52" s="351">
        <v>6</v>
      </c>
      <c r="D52" s="257"/>
      <c r="E52" s="187"/>
      <c r="F52" s="351"/>
      <c r="G52" s="354"/>
      <c r="H52" s="508"/>
      <c r="I52" s="219" t="e">
        <f t="shared" si="22"/>
        <v>#DIV/0!</v>
      </c>
      <c r="J52" s="219" t="e">
        <f t="shared" si="23"/>
        <v>#DIV/0!</v>
      </c>
      <c r="K52" s="220" t="e">
        <f t="shared" si="24"/>
        <v>#DIV/0!</v>
      </c>
      <c r="L52" s="457"/>
      <c r="M52" s="221" t="e">
        <f>RANK(K52, K$87:$K$101)</f>
        <v>#DIV/0!</v>
      </c>
      <c r="N52" s="475"/>
      <c r="O52" s="475"/>
      <c r="P52" s="351"/>
      <c r="Q52" s="354"/>
      <c r="R52" s="354"/>
      <c r="S52" s="351" t="e">
        <f t="shared" si="25"/>
        <v>#N/A</v>
      </c>
      <c r="T52" s="508"/>
      <c r="U52" s="351"/>
      <c r="V52" s="354"/>
      <c r="W52" s="354"/>
      <c r="X52" s="351" t="e">
        <f t="shared" si="26"/>
        <v>#N/A</v>
      </c>
      <c r="Y52" s="508"/>
      <c r="Z52" s="351"/>
      <c r="AA52" s="354"/>
      <c r="AB52" s="354"/>
      <c r="AC52" s="351" t="e">
        <f t="shared" si="27"/>
        <v>#N/A</v>
      </c>
      <c r="AD52" s="508"/>
      <c r="AE52" s="351"/>
      <c r="AF52" s="354"/>
      <c r="AG52" s="354"/>
      <c r="AH52" s="351" t="e">
        <f t="shared" si="28"/>
        <v>#N/A</v>
      </c>
      <c r="AI52" s="508"/>
      <c r="AJ52" s="351"/>
      <c r="AK52" s="354"/>
      <c r="AL52" s="354"/>
      <c r="AM52" s="351" t="e">
        <f t="shared" si="29"/>
        <v>#N/A</v>
      </c>
      <c r="AN52" s="508"/>
      <c r="AO52" s="351"/>
      <c r="AP52" s="354"/>
      <c r="AQ52" s="354"/>
      <c r="AR52" s="351" t="e">
        <f t="shared" si="30"/>
        <v>#N/A</v>
      </c>
      <c r="AS52" s="508"/>
      <c r="AT52" s="351"/>
      <c r="AU52" s="354"/>
      <c r="AV52" s="354"/>
      <c r="AW52" s="351" t="e">
        <f t="shared" si="31"/>
        <v>#N/A</v>
      </c>
      <c r="AX52" s="506"/>
    </row>
    <row r="53" spans="2:50">
      <c r="B53" s="483"/>
      <c r="C53" s="351">
        <v>7</v>
      </c>
      <c r="D53" s="257"/>
      <c r="E53" s="187"/>
      <c r="F53" s="351"/>
      <c r="G53" s="354"/>
      <c r="H53" s="508"/>
      <c r="I53" s="219" t="e">
        <f t="shared" si="22"/>
        <v>#DIV/0!</v>
      </c>
      <c r="J53" s="219" t="e">
        <f t="shared" si="23"/>
        <v>#DIV/0!</v>
      </c>
      <c r="K53" s="220" t="e">
        <f t="shared" si="24"/>
        <v>#DIV/0!</v>
      </c>
      <c r="L53" s="457"/>
      <c r="M53" s="221" t="e">
        <f>RANK(K53, K$87:$K$101)</f>
        <v>#DIV/0!</v>
      </c>
      <c r="N53" s="475"/>
      <c r="O53" s="475"/>
      <c r="P53" s="351"/>
      <c r="Q53" s="354"/>
      <c r="R53" s="354"/>
      <c r="S53" s="351" t="e">
        <f t="shared" si="25"/>
        <v>#N/A</v>
      </c>
      <c r="T53" s="508"/>
      <c r="U53" s="351"/>
      <c r="V53" s="354"/>
      <c r="W53" s="354"/>
      <c r="X53" s="351" t="e">
        <f t="shared" si="26"/>
        <v>#N/A</v>
      </c>
      <c r="Y53" s="508"/>
      <c r="Z53" s="351"/>
      <c r="AA53" s="354"/>
      <c r="AB53" s="354"/>
      <c r="AC53" s="351" t="e">
        <f t="shared" si="27"/>
        <v>#N/A</v>
      </c>
      <c r="AD53" s="508"/>
      <c r="AE53" s="351"/>
      <c r="AF53" s="354"/>
      <c r="AG53" s="354"/>
      <c r="AH53" s="351" t="e">
        <f t="shared" si="28"/>
        <v>#N/A</v>
      </c>
      <c r="AI53" s="508"/>
      <c r="AJ53" s="351"/>
      <c r="AK53" s="354"/>
      <c r="AL53" s="354"/>
      <c r="AM53" s="351" t="e">
        <f t="shared" si="29"/>
        <v>#N/A</v>
      </c>
      <c r="AN53" s="508"/>
      <c r="AO53" s="351"/>
      <c r="AP53" s="354"/>
      <c r="AQ53" s="354"/>
      <c r="AR53" s="351" t="e">
        <f t="shared" si="30"/>
        <v>#N/A</v>
      </c>
      <c r="AS53" s="508"/>
      <c r="AT53" s="351"/>
      <c r="AU53" s="354"/>
      <c r="AV53" s="354"/>
      <c r="AW53" s="351" t="e">
        <f t="shared" si="31"/>
        <v>#N/A</v>
      </c>
      <c r="AX53" s="506"/>
    </row>
    <row r="54" spans="2:50">
      <c r="B54" s="483"/>
      <c r="C54" s="351">
        <v>8</v>
      </c>
      <c r="D54" s="257"/>
      <c r="E54" s="187"/>
      <c r="F54" s="351"/>
      <c r="G54" s="354"/>
      <c r="H54" s="508"/>
      <c r="I54" s="219" t="e">
        <f t="shared" si="22"/>
        <v>#DIV/0!</v>
      </c>
      <c r="J54" s="219" t="e">
        <f t="shared" si="23"/>
        <v>#DIV/0!</v>
      </c>
      <c r="K54" s="220" t="e">
        <f t="shared" si="24"/>
        <v>#DIV/0!</v>
      </c>
      <c r="L54" s="457"/>
      <c r="M54" s="221" t="e">
        <f>RANK(K54, K$87:$K$101)</f>
        <v>#DIV/0!</v>
      </c>
      <c r="N54" s="475"/>
      <c r="O54" s="475"/>
      <c r="P54" s="351"/>
      <c r="Q54" s="354"/>
      <c r="R54" s="354"/>
      <c r="S54" s="351" t="e">
        <f t="shared" si="25"/>
        <v>#N/A</v>
      </c>
      <c r="T54" s="508"/>
      <c r="U54" s="351"/>
      <c r="V54" s="354"/>
      <c r="W54" s="354"/>
      <c r="X54" s="351" t="e">
        <f t="shared" si="26"/>
        <v>#N/A</v>
      </c>
      <c r="Y54" s="508"/>
      <c r="Z54" s="351"/>
      <c r="AA54" s="354"/>
      <c r="AB54" s="354"/>
      <c r="AC54" s="351" t="e">
        <f t="shared" si="27"/>
        <v>#N/A</v>
      </c>
      <c r="AD54" s="508"/>
      <c r="AE54" s="351"/>
      <c r="AF54" s="354"/>
      <c r="AG54" s="354"/>
      <c r="AH54" s="351" t="e">
        <f t="shared" si="28"/>
        <v>#N/A</v>
      </c>
      <c r="AI54" s="508"/>
      <c r="AJ54" s="351"/>
      <c r="AK54" s="354"/>
      <c r="AL54" s="354"/>
      <c r="AM54" s="351" t="e">
        <f t="shared" si="29"/>
        <v>#N/A</v>
      </c>
      <c r="AN54" s="508"/>
      <c r="AO54" s="351"/>
      <c r="AP54" s="354"/>
      <c r="AQ54" s="354"/>
      <c r="AR54" s="351" t="e">
        <f t="shared" si="30"/>
        <v>#N/A</v>
      </c>
      <c r="AS54" s="508"/>
      <c r="AT54" s="351"/>
      <c r="AU54" s="354"/>
      <c r="AV54" s="354"/>
      <c r="AW54" s="351" t="e">
        <f t="shared" si="31"/>
        <v>#N/A</v>
      </c>
      <c r="AX54" s="506"/>
    </row>
    <row r="55" spans="2:50">
      <c r="B55" s="483"/>
      <c r="C55" s="351">
        <v>9</v>
      </c>
      <c r="D55" s="257"/>
      <c r="E55" s="187"/>
      <c r="F55" s="351"/>
      <c r="G55" s="354"/>
      <c r="H55" s="508"/>
      <c r="I55" s="219"/>
      <c r="J55" s="219"/>
      <c r="K55" s="220"/>
      <c r="L55" s="457"/>
      <c r="M55" s="221" t="e">
        <f>RANK(K55, K$87:$K$101)</f>
        <v>#DIV/0!</v>
      </c>
      <c r="N55" s="475"/>
      <c r="O55" s="475"/>
      <c r="P55" s="351"/>
      <c r="Q55" s="354"/>
      <c r="R55" s="354"/>
      <c r="S55" s="351" t="e">
        <f t="shared" si="25"/>
        <v>#N/A</v>
      </c>
      <c r="T55" s="508"/>
      <c r="U55" s="351"/>
      <c r="V55" s="354"/>
      <c r="W55" s="354"/>
      <c r="X55" s="351" t="e">
        <f t="shared" si="26"/>
        <v>#N/A</v>
      </c>
      <c r="Y55" s="508"/>
      <c r="Z55" s="351"/>
      <c r="AA55" s="354"/>
      <c r="AB55" s="354"/>
      <c r="AC55" s="351" t="e">
        <f t="shared" si="27"/>
        <v>#N/A</v>
      </c>
      <c r="AD55" s="508"/>
      <c r="AE55" s="351"/>
      <c r="AF55" s="354"/>
      <c r="AG55" s="354"/>
      <c r="AH55" s="351" t="e">
        <f t="shared" si="28"/>
        <v>#N/A</v>
      </c>
      <c r="AI55" s="508"/>
      <c r="AJ55" s="351"/>
      <c r="AK55" s="354"/>
      <c r="AL55" s="354"/>
      <c r="AM55" s="351" t="e">
        <f t="shared" si="29"/>
        <v>#N/A</v>
      </c>
      <c r="AN55" s="508"/>
      <c r="AO55" s="351"/>
      <c r="AP55" s="354"/>
      <c r="AQ55" s="354"/>
      <c r="AR55" s="351" t="e">
        <f t="shared" si="30"/>
        <v>#N/A</v>
      </c>
      <c r="AS55" s="508"/>
      <c r="AT55" s="351"/>
      <c r="AU55" s="354"/>
      <c r="AV55" s="354"/>
      <c r="AW55" s="351" t="e">
        <f t="shared" si="31"/>
        <v>#N/A</v>
      </c>
      <c r="AX55" s="506"/>
    </row>
    <row r="56" spans="2:50">
      <c r="B56" s="483"/>
      <c r="C56" s="351">
        <v>10</v>
      </c>
      <c r="D56" s="257"/>
      <c r="E56" s="187"/>
      <c r="F56" s="351"/>
      <c r="G56" s="354"/>
      <c r="H56" s="508"/>
      <c r="I56" s="219"/>
      <c r="J56" s="219"/>
      <c r="K56" s="220"/>
      <c r="L56" s="457"/>
      <c r="M56" s="221" t="e">
        <f>RANK(K56, K$87:$K$101)</f>
        <v>#DIV/0!</v>
      </c>
      <c r="N56" s="475"/>
      <c r="O56" s="475"/>
      <c r="P56" s="351"/>
      <c r="Q56" s="354"/>
      <c r="R56" s="354"/>
      <c r="S56" s="351" t="e">
        <f t="shared" si="25"/>
        <v>#N/A</v>
      </c>
      <c r="T56" s="508"/>
      <c r="U56" s="351"/>
      <c r="V56" s="354"/>
      <c r="W56" s="354"/>
      <c r="X56" s="351" t="e">
        <f t="shared" si="26"/>
        <v>#N/A</v>
      </c>
      <c r="Y56" s="508"/>
      <c r="Z56" s="351"/>
      <c r="AA56" s="354"/>
      <c r="AB56" s="354"/>
      <c r="AC56" s="351" t="e">
        <f t="shared" si="27"/>
        <v>#N/A</v>
      </c>
      <c r="AD56" s="508"/>
      <c r="AE56" s="351"/>
      <c r="AF56" s="354"/>
      <c r="AG56" s="354"/>
      <c r="AH56" s="351" t="e">
        <f t="shared" si="28"/>
        <v>#N/A</v>
      </c>
      <c r="AI56" s="508"/>
      <c r="AJ56" s="351"/>
      <c r="AK56" s="354"/>
      <c r="AL56" s="354"/>
      <c r="AM56" s="351" t="e">
        <f t="shared" si="29"/>
        <v>#N/A</v>
      </c>
      <c r="AN56" s="508"/>
      <c r="AO56" s="351"/>
      <c r="AP56" s="354"/>
      <c r="AQ56" s="354"/>
      <c r="AR56" s="351" t="e">
        <f t="shared" si="30"/>
        <v>#N/A</v>
      </c>
      <c r="AS56" s="508"/>
      <c r="AT56" s="351"/>
      <c r="AU56" s="354"/>
      <c r="AV56" s="354"/>
      <c r="AW56" s="351" t="e">
        <f t="shared" si="31"/>
        <v>#N/A</v>
      </c>
      <c r="AX56" s="506"/>
    </row>
    <row r="57" spans="2:50">
      <c r="B57" s="483"/>
      <c r="C57" s="351">
        <v>11</v>
      </c>
      <c r="D57" s="257"/>
      <c r="E57" s="187"/>
      <c r="F57" s="351"/>
      <c r="G57" s="354"/>
      <c r="H57" s="508"/>
      <c r="I57" s="222"/>
      <c r="J57" s="222"/>
      <c r="K57" s="222"/>
      <c r="L57" s="457"/>
      <c r="M57" s="221" t="e">
        <f>RANK(K57, K$87:$K$101)</f>
        <v>#DIV/0!</v>
      </c>
      <c r="N57" s="475"/>
      <c r="O57" s="475"/>
      <c r="P57" s="351"/>
      <c r="Q57" s="354"/>
      <c r="R57" s="354"/>
      <c r="S57" s="351" t="e">
        <f t="shared" si="25"/>
        <v>#N/A</v>
      </c>
      <c r="T57" s="508"/>
      <c r="U57" s="351"/>
      <c r="V57" s="354"/>
      <c r="W57" s="354"/>
      <c r="X57" s="351" t="e">
        <f t="shared" si="26"/>
        <v>#N/A</v>
      </c>
      <c r="Y57" s="508"/>
      <c r="Z57" s="351"/>
      <c r="AA57" s="354"/>
      <c r="AB57" s="354"/>
      <c r="AC57" s="351" t="e">
        <f t="shared" si="27"/>
        <v>#N/A</v>
      </c>
      <c r="AD57" s="508"/>
      <c r="AE57" s="351"/>
      <c r="AF57" s="354"/>
      <c r="AG57" s="354"/>
      <c r="AH57" s="351" t="e">
        <f t="shared" si="28"/>
        <v>#N/A</v>
      </c>
      <c r="AI57" s="508"/>
      <c r="AJ57" s="351"/>
      <c r="AK57" s="354"/>
      <c r="AL57" s="354"/>
      <c r="AM57" s="351" t="e">
        <f t="shared" si="29"/>
        <v>#N/A</v>
      </c>
      <c r="AN57" s="508"/>
      <c r="AO57" s="351"/>
      <c r="AP57" s="354"/>
      <c r="AQ57" s="354"/>
      <c r="AR57" s="351" t="e">
        <f t="shared" si="30"/>
        <v>#N/A</v>
      </c>
      <c r="AS57" s="508"/>
      <c r="AT57" s="351"/>
      <c r="AU57" s="354"/>
      <c r="AV57" s="354"/>
      <c r="AW57" s="351" t="e">
        <f t="shared" si="31"/>
        <v>#N/A</v>
      </c>
      <c r="AX57" s="506"/>
    </row>
    <row r="58" spans="2:50">
      <c r="B58" s="483"/>
      <c r="C58" s="351">
        <v>12</v>
      </c>
      <c r="D58" s="257"/>
      <c r="E58" s="187"/>
      <c r="F58" s="351"/>
      <c r="G58" s="354"/>
      <c r="H58" s="508"/>
      <c r="I58" s="222"/>
      <c r="J58" s="222"/>
      <c r="K58" s="222"/>
      <c r="L58" s="457"/>
      <c r="M58" s="221" t="e">
        <f>RANK(K58, K$87:$K$101)</f>
        <v>#DIV/0!</v>
      </c>
      <c r="N58" s="475"/>
      <c r="O58" s="475"/>
      <c r="P58" s="351"/>
      <c r="Q58" s="354"/>
      <c r="R58" s="354"/>
      <c r="S58" s="351" t="e">
        <f t="shared" si="25"/>
        <v>#N/A</v>
      </c>
      <c r="T58" s="508"/>
      <c r="U58" s="351"/>
      <c r="V58" s="354"/>
      <c r="W58" s="354"/>
      <c r="X58" s="351" t="e">
        <f t="shared" si="26"/>
        <v>#N/A</v>
      </c>
      <c r="Y58" s="508"/>
      <c r="Z58" s="351"/>
      <c r="AA58" s="354"/>
      <c r="AB58" s="354"/>
      <c r="AC58" s="351" t="e">
        <f t="shared" si="27"/>
        <v>#N/A</v>
      </c>
      <c r="AD58" s="508"/>
      <c r="AE58" s="351"/>
      <c r="AF58" s="354"/>
      <c r="AG58" s="354"/>
      <c r="AH58" s="351" t="e">
        <f t="shared" si="28"/>
        <v>#N/A</v>
      </c>
      <c r="AI58" s="508"/>
      <c r="AJ58" s="351"/>
      <c r="AK58" s="354"/>
      <c r="AL58" s="354"/>
      <c r="AM58" s="351" t="e">
        <f t="shared" si="29"/>
        <v>#N/A</v>
      </c>
      <c r="AN58" s="508"/>
      <c r="AO58" s="351"/>
      <c r="AP58" s="354"/>
      <c r="AQ58" s="354"/>
      <c r="AR58" s="351" t="e">
        <f t="shared" si="30"/>
        <v>#N/A</v>
      </c>
      <c r="AS58" s="508"/>
      <c r="AT58" s="351"/>
      <c r="AU58" s="351"/>
      <c r="AV58" s="351"/>
      <c r="AW58" s="351" t="e">
        <f t="shared" si="31"/>
        <v>#N/A</v>
      </c>
      <c r="AX58" s="506"/>
    </row>
    <row r="59" spans="2:50">
      <c r="B59" s="483"/>
      <c r="C59" s="351">
        <v>13</v>
      </c>
      <c r="D59" s="257"/>
      <c r="E59" s="187"/>
      <c r="F59" s="351"/>
      <c r="G59" s="354"/>
      <c r="H59" s="508"/>
      <c r="I59" s="222"/>
      <c r="J59" s="222"/>
      <c r="K59" s="222"/>
      <c r="L59" s="457"/>
      <c r="M59" s="221" t="e">
        <f>RANK(K59, K$87:$K$101)</f>
        <v>#DIV/0!</v>
      </c>
      <c r="N59" s="475"/>
      <c r="O59" s="475"/>
      <c r="P59" s="351"/>
      <c r="Q59" s="354"/>
      <c r="R59" s="354"/>
      <c r="S59" s="351" t="e">
        <f t="shared" si="25"/>
        <v>#N/A</v>
      </c>
      <c r="T59" s="508"/>
      <c r="U59" s="351"/>
      <c r="V59" s="354"/>
      <c r="W59" s="354"/>
      <c r="X59" s="351" t="e">
        <f t="shared" si="26"/>
        <v>#N/A</v>
      </c>
      <c r="Y59" s="508"/>
      <c r="Z59" s="351"/>
      <c r="AA59" s="354"/>
      <c r="AB59" s="354"/>
      <c r="AC59" s="351" t="e">
        <f t="shared" si="27"/>
        <v>#N/A</v>
      </c>
      <c r="AD59" s="508"/>
      <c r="AE59" s="351"/>
      <c r="AF59" s="354"/>
      <c r="AG59" s="354"/>
      <c r="AH59" s="351" t="e">
        <f t="shared" si="28"/>
        <v>#N/A</v>
      </c>
      <c r="AI59" s="508"/>
      <c r="AJ59" s="351"/>
      <c r="AK59" s="354"/>
      <c r="AL59" s="354"/>
      <c r="AM59" s="351" t="e">
        <f t="shared" si="29"/>
        <v>#N/A</v>
      </c>
      <c r="AN59" s="508"/>
      <c r="AO59" s="351"/>
      <c r="AP59" s="354"/>
      <c r="AQ59" s="354"/>
      <c r="AR59" s="351" t="e">
        <f t="shared" si="30"/>
        <v>#N/A</v>
      </c>
      <c r="AS59" s="508"/>
      <c r="AT59" s="351"/>
      <c r="AU59" s="351"/>
      <c r="AV59" s="351"/>
      <c r="AW59" s="351" t="e">
        <f t="shared" si="31"/>
        <v>#N/A</v>
      </c>
      <c r="AX59" s="506"/>
    </row>
    <row r="60" spans="2:50">
      <c r="B60" s="483"/>
      <c r="C60" s="351">
        <v>14</v>
      </c>
      <c r="D60" s="257"/>
      <c r="E60" s="187"/>
      <c r="F60" s="351"/>
      <c r="G60" s="354"/>
      <c r="H60" s="508"/>
      <c r="I60" s="222"/>
      <c r="J60" s="222"/>
      <c r="K60" s="222"/>
      <c r="L60" s="457"/>
      <c r="M60" s="221" t="e">
        <f>RANK(K60, K$87:$K$101)</f>
        <v>#DIV/0!</v>
      </c>
      <c r="N60" s="475"/>
      <c r="O60" s="475"/>
      <c r="P60" s="351"/>
      <c r="Q60" s="354"/>
      <c r="R60" s="354"/>
      <c r="S60" s="351" t="e">
        <f t="shared" si="25"/>
        <v>#N/A</v>
      </c>
      <c r="T60" s="508"/>
      <c r="U60" s="351"/>
      <c r="V60" s="354"/>
      <c r="W60" s="354"/>
      <c r="X60" s="351" t="e">
        <f t="shared" si="26"/>
        <v>#N/A</v>
      </c>
      <c r="Y60" s="508"/>
      <c r="Z60" s="351"/>
      <c r="AA60" s="354"/>
      <c r="AB60" s="354"/>
      <c r="AC60" s="351" t="e">
        <f t="shared" si="27"/>
        <v>#N/A</v>
      </c>
      <c r="AD60" s="508"/>
      <c r="AE60" s="351"/>
      <c r="AF60" s="354"/>
      <c r="AG60" s="354"/>
      <c r="AH60" s="351" t="e">
        <f t="shared" si="28"/>
        <v>#N/A</v>
      </c>
      <c r="AI60" s="508"/>
      <c r="AJ60" s="351"/>
      <c r="AK60" s="354"/>
      <c r="AL60" s="354"/>
      <c r="AM60" s="351" t="e">
        <f t="shared" si="29"/>
        <v>#N/A</v>
      </c>
      <c r="AN60" s="508"/>
      <c r="AO60" s="351"/>
      <c r="AP60" s="354"/>
      <c r="AQ60" s="354"/>
      <c r="AR60" s="351" t="e">
        <f t="shared" si="30"/>
        <v>#N/A</v>
      </c>
      <c r="AS60" s="508"/>
      <c r="AT60" s="351"/>
      <c r="AU60" s="351"/>
      <c r="AV60" s="351"/>
      <c r="AW60" s="351" t="e">
        <f t="shared" si="31"/>
        <v>#N/A</v>
      </c>
      <c r="AX60" s="506"/>
    </row>
    <row r="61" spans="2:50">
      <c r="B61" s="483"/>
      <c r="C61" s="351">
        <v>15</v>
      </c>
      <c r="D61" s="257"/>
      <c r="E61" s="187"/>
      <c r="F61" s="351"/>
      <c r="G61" s="354"/>
      <c r="H61" s="509"/>
      <c r="I61" s="222"/>
      <c r="J61" s="222"/>
      <c r="K61" s="222"/>
      <c r="L61" s="458"/>
      <c r="M61" s="219" t="e">
        <f>RANK(K61, K$87:$K$101)</f>
        <v>#DIV/0!</v>
      </c>
      <c r="N61" s="475"/>
      <c r="O61" s="475"/>
      <c r="P61" s="351"/>
      <c r="Q61" s="354"/>
      <c r="R61" s="354"/>
      <c r="S61" s="351" t="e">
        <f t="shared" si="25"/>
        <v>#N/A</v>
      </c>
      <c r="T61" s="509"/>
      <c r="U61" s="351"/>
      <c r="V61" s="354"/>
      <c r="W61" s="354"/>
      <c r="X61" s="351" t="e">
        <f t="shared" si="26"/>
        <v>#N/A</v>
      </c>
      <c r="Y61" s="509"/>
      <c r="Z61" s="351"/>
      <c r="AA61" s="354"/>
      <c r="AB61" s="354"/>
      <c r="AC61" s="351" t="e">
        <f t="shared" si="27"/>
        <v>#N/A</v>
      </c>
      <c r="AD61" s="509"/>
      <c r="AE61" s="351"/>
      <c r="AF61" s="354"/>
      <c r="AG61" s="354"/>
      <c r="AH61" s="351" t="e">
        <f t="shared" si="28"/>
        <v>#N/A</v>
      </c>
      <c r="AI61" s="509"/>
      <c r="AJ61" s="351"/>
      <c r="AK61" s="354"/>
      <c r="AL61" s="354"/>
      <c r="AM61" s="351" t="e">
        <f t="shared" si="29"/>
        <v>#N/A</v>
      </c>
      <c r="AN61" s="509"/>
      <c r="AO61" s="351"/>
      <c r="AP61" s="354"/>
      <c r="AQ61" s="354"/>
      <c r="AR61" s="351" t="e">
        <f t="shared" si="30"/>
        <v>#N/A</v>
      </c>
      <c r="AS61" s="509"/>
      <c r="AT61" s="351"/>
      <c r="AU61" s="351"/>
      <c r="AV61" s="351"/>
      <c r="AW61" s="351" t="e">
        <f t="shared" si="31"/>
        <v>#N/A</v>
      </c>
      <c r="AX61" s="506"/>
    </row>
    <row r="62" spans="2:50" ht="15.75">
      <c r="B62" s="487" t="s">
        <v>172</v>
      </c>
      <c r="C62" s="488"/>
      <c r="D62" s="488"/>
      <c r="E62" s="488"/>
      <c r="F62" s="488"/>
      <c r="G62" s="488"/>
      <c r="H62" s="489"/>
      <c r="I62" s="228"/>
      <c r="J62" s="228"/>
      <c r="K62" s="228"/>
      <c r="L62" s="228"/>
      <c r="M62" s="227"/>
      <c r="N62" s="476" t="s">
        <v>164</v>
      </c>
      <c r="O62" s="476" t="s">
        <v>105</v>
      </c>
      <c r="P62" s="482">
        <f>P42+7</f>
        <v>45916</v>
      </c>
      <c r="Q62" s="483"/>
      <c r="R62" s="483"/>
      <c r="S62" s="483"/>
      <c r="T62" s="483"/>
      <c r="U62" s="479">
        <f>P62+1</f>
        <v>45917</v>
      </c>
      <c r="V62" s="480"/>
      <c r="W62" s="480"/>
      <c r="X62" s="480"/>
      <c r="Y62" s="481"/>
      <c r="Z62" s="479">
        <f>U62+1</f>
        <v>45918</v>
      </c>
      <c r="AA62" s="480"/>
      <c r="AB62" s="480"/>
      <c r="AC62" s="480"/>
      <c r="AD62" s="481"/>
      <c r="AE62" s="479">
        <f t="shared" ref="AE62" si="32">Z62+1</f>
        <v>45919</v>
      </c>
      <c r="AF62" s="480"/>
      <c r="AG62" s="480"/>
      <c r="AH62" s="480"/>
      <c r="AI62" s="481"/>
      <c r="AJ62" s="479">
        <f t="shared" ref="AJ62" si="33">AE62+1</f>
        <v>45920</v>
      </c>
      <c r="AK62" s="480"/>
      <c r="AL62" s="480"/>
      <c r="AM62" s="480"/>
      <c r="AN62" s="481"/>
      <c r="AO62" s="479">
        <f t="shared" ref="AO62" si="34">AJ62+1</f>
        <v>45921</v>
      </c>
      <c r="AP62" s="480"/>
      <c r="AQ62" s="480"/>
      <c r="AR62" s="480"/>
      <c r="AS62" s="481"/>
      <c r="AT62" s="479">
        <f t="shared" ref="AT62" si="35">AO62+1</f>
        <v>45922</v>
      </c>
      <c r="AU62" s="480"/>
      <c r="AV62" s="480"/>
      <c r="AW62" s="480"/>
      <c r="AX62" s="481"/>
    </row>
    <row r="63" spans="2:50" ht="15.75">
      <c r="B63" s="490"/>
      <c r="C63" s="490"/>
      <c r="D63" s="490"/>
      <c r="E63" s="490"/>
      <c r="F63" s="490"/>
      <c r="G63" s="490"/>
      <c r="H63" s="490"/>
      <c r="I63" s="225"/>
      <c r="J63" s="225"/>
      <c r="K63" s="225"/>
      <c r="L63" s="225"/>
      <c r="M63" s="226"/>
      <c r="N63" s="478"/>
      <c r="O63" s="478"/>
      <c r="P63" s="482" t="s">
        <v>393</v>
      </c>
      <c r="Q63" s="483"/>
      <c r="R63" s="483"/>
      <c r="S63" s="483"/>
      <c r="T63" s="483"/>
      <c r="U63" s="482" t="s">
        <v>394</v>
      </c>
      <c r="V63" s="483"/>
      <c r="W63" s="483"/>
      <c r="X63" s="483"/>
      <c r="Y63" s="483"/>
      <c r="Z63" s="482" t="s">
        <v>395</v>
      </c>
      <c r="AA63" s="483"/>
      <c r="AB63" s="483"/>
      <c r="AC63" s="483"/>
      <c r="AD63" s="483"/>
      <c r="AE63" s="482" t="s">
        <v>396</v>
      </c>
      <c r="AF63" s="483"/>
      <c r="AG63" s="483"/>
      <c r="AH63" s="483"/>
      <c r="AI63" s="483"/>
      <c r="AJ63" s="482" t="s">
        <v>397</v>
      </c>
      <c r="AK63" s="483"/>
      <c r="AL63" s="483"/>
      <c r="AM63" s="483"/>
      <c r="AN63" s="483"/>
      <c r="AO63" s="482" t="s">
        <v>398</v>
      </c>
      <c r="AP63" s="483"/>
      <c r="AQ63" s="483"/>
      <c r="AR63" s="483"/>
      <c r="AS63" s="483"/>
      <c r="AT63" s="482" t="s">
        <v>399</v>
      </c>
      <c r="AU63" s="483"/>
      <c r="AV63" s="483"/>
      <c r="AW63" s="483"/>
      <c r="AX63" s="483"/>
    </row>
    <row r="64" spans="2:50">
      <c r="B64" s="475" t="s">
        <v>634</v>
      </c>
      <c r="C64" s="475" t="s">
        <v>644</v>
      </c>
      <c r="D64" s="475"/>
      <c r="E64" s="475" t="s">
        <v>635</v>
      </c>
      <c r="F64" s="475"/>
      <c r="G64" s="475"/>
      <c r="H64" s="491" t="s">
        <v>631</v>
      </c>
      <c r="I64" s="459" t="s">
        <v>636</v>
      </c>
      <c r="J64" s="459"/>
      <c r="K64" s="459"/>
      <c r="L64" s="460" t="s">
        <v>631</v>
      </c>
      <c r="M64" s="466" t="s">
        <v>632</v>
      </c>
      <c r="N64" s="475"/>
      <c r="O64" s="475" t="s">
        <v>637</v>
      </c>
      <c r="P64" s="472" t="s">
        <v>633</v>
      </c>
      <c r="Q64" s="473"/>
      <c r="R64" s="473"/>
      <c r="S64" s="474"/>
      <c r="T64" s="475" t="s">
        <v>631</v>
      </c>
      <c r="U64" s="472" t="s">
        <v>633</v>
      </c>
      <c r="V64" s="473"/>
      <c r="W64" s="473"/>
      <c r="X64" s="474"/>
      <c r="Y64" s="475" t="s">
        <v>631</v>
      </c>
      <c r="Z64" s="472" t="s">
        <v>633</v>
      </c>
      <c r="AA64" s="473"/>
      <c r="AB64" s="473"/>
      <c r="AC64" s="474"/>
      <c r="AD64" s="475" t="s">
        <v>631</v>
      </c>
      <c r="AE64" s="472" t="s">
        <v>633</v>
      </c>
      <c r="AF64" s="473"/>
      <c r="AG64" s="473"/>
      <c r="AH64" s="474"/>
      <c r="AI64" s="475" t="s">
        <v>631</v>
      </c>
      <c r="AJ64" s="472" t="s">
        <v>633</v>
      </c>
      <c r="AK64" s="473"/>
      <c r="AL64" s="473"/>
      <c r="AM64" s="474"/>
      <c r="AN64" s="475" t="s">
        <v>631</v>
      </c>
      <c r="AO64" s="472" t="s">
        <v>633</v>
      </c>
      <c r="AP64" s="473"/>
      <c r="AQ64" s="473"/>
      <c r="AR64" s="474"/>
      <c r="AS64" s="475" t="s">
        <v>631</v>
      </c>
      <c r="AT64" s="472" t="s">
        <v>633</v>
      </c>
      <c r="AU64" s="473"/>
      <c r="AV64" s="473"/>
      <c r="AW64" s="474"/>
      <c r="AX64" s="475" t="s">
        <v>631</v>
      </c>
    </row>
    <row r="65" spans="2:50">
      <c r="B65" s="475"/>
      <c r="C65" s="475"/>
      <c r="D65" s="475"/>
      <c r="E65" s="475" t="s">
        <v>638</v>
      </c>
      <c r="F65" s="475"/>
      <c r="G65" s="475"/>
      <c r="H65" s="492"/>
      <c r="I65" s="459" t="s">
        <v>638</v>
      </c>
      <c r="J65" s="459"/>
      <c r="K65" s="459"/>
      <c r="L65" s="461"/>
      <c r="M65" s="467"/>
      <c r="N65" s="475"/>
      <c r="O65" s="475"/>
      <c r="P65" s="472" t="s">
        <v>639</v>
      </c>
      <c r="Q65" s="473"/>
      <c r="R65" s="473"/>
      <c r="S65" s="474"/>
      <c r="T65" s="475"/>
      <c r="U65" s="472" t="s">
        <v>639</v>
      </c>
      <c r="V65" s="473"/>
      <c r="W65" s="473"/>
      <c r="X65" s="474"/>
      <c r="Y65" s="475"/>
      <c r="Z65" s="472" t="s">
        <v>639</v>
      </c>
      <c r="AA65" s="473"/>
      <c r="AB65" s="473"/>
      <c r="AC65" s="474"/>
      <c r="AD65" s="475"/>
      <c r="AE65" s="472" t="s">
        <v>639</v>
      </c>
      <c r="AF65" s="473"/>
      <c r="AG65" s="473"/>
      <c r="AH65" s="474"/>
      <c r="AI65" s="475"/>
      <c r="AJ65" s="472" t="s">
        <v>639</v>
      </c>
      <c r="AK65" s="473"/>
      <c r="AL65" s="473"/>
      <c r="AM65" s="474"/>
      <c r="AN65" s="475"/>
      <c r="AO65" s="472" t="s">
        <v>639</v>
      </c>
      <c r="AP65" s="473"/>
      <c r="AQ65" s="473"/>
      <c r="AR65" s="474"/>
      <c r="AS65" s="475"/>
      <c r="AT65" s="472" t="s">
        <v>639</v>
      </c>
      <c r="AU65" s="473"/>
      <c r="AV65" s="473"/>
      <c r="AW65" s="474"/>
      <c r="AX65" s="475"/>
    </row>
    <row r="66" spans="2:50">
      <c r="B66" s="475"/>
      <c r="C66" s="475"/>
      <c r="D66" s="475"/>
      <c r="E66" s="350" t="s">
        <v>640</v>
      </c>
      <c r="F66" s="350" t="s">
        <v>641</v>
      </c>
      <c r="G66" s="350" t="s">
        <v>642</v>
      </c>
      <c r="H66" s="493"/>
      <c r="I66" s="349" t="s">
        <v>640</v>
      </c>
      <c r="J66" s="349" t="s">
        <v>641</v>
      </c>
      <c r="K66" s="349" t="s">
        <v>642</v>
      </c>
      <c r="L66" s="462"/>
      <c r="M66" s="468"/>
      <c r="N66" s="475"/>
      <c r="O66" s="475"/>
      <c r="P66" s="350" t="s">
        <v>640</v>
      </c>
      <c r="Q66" s="350" t="s">
        <v>641</v>
      </c>
      <c r="R66" s="350" t="s">
        <v>642</v>
      </c>
      <c r="S66" s="350" t="s">
        <v>632</v>
      </c>
      <c r="T66" s="475"/>
      <c r="U66" s="350" t="s">
        <v>640</v>
      </c>
      <c r="V66" s="350" t="s">
        <v>641</v>
      </c>
      <c r="W66" s="350" t="s">
        <v>642</v>
      </c>
      <c r="X66" s="350" t="s">
        <v>632</v>
      </c>
      <c r="Y66" s="475"/>
      <c r="Z66" s="350" t="s">
        <v>640</v>
      </c>
      <c r="AA66" s="350" t="s">
        <v>641</v>
      </c>
      <c r="AB66" s="350" t="s">
        <v>642</v>
      </c>
      <c r="AC66" s="350" t="s">
        <v>632</v>
      </c>
      <c r="AD66" s="475"/>
      <c r="AE66" s="350" t="s">
        <v>640</v>
      </c>
      <c r="AF66" s="350" t="s">
        <v>641</v>
      </c>
      <c r="AG66" s="350" t="s">
        <v>642</v>
      </c>
      <c r="AH66" s="350" t="s">
        <v>632</v>
      </c>
      <c r="AI66" s="475"/>
      <c r="AJ66" s="350" t="s">
        <v>640</v>
      </c>
      <c r="AK66" s="350" t="s">
        <v>641</v>
      </c>
      <c r="AL66" s="350" t="s">
        <v>642</v>
      </c>
      <c r="AM66" s="350" t="s">
        <v>632</v>
      </c>
      <c r="AN66" s="475"/>
      <c r="AO66" s="350" t="s">
        <v>640</v>
      </c>
      <c r="AP66" s="350" t="s">
        <v>641</v>
      </c>
      <c r="AQ66" s="350" t="s">
        <v>642</v>
      </c>
      <c r="AR66" s="350" t="s">
        <v>632</v>
      </c>
      <c r="AS66" s="475"/>
      <c r="AT66" s="350" t="s">
        <v>640</v>
      </c>
      <c r="AU66" s="350" t="s">
        <v>641</v>
      </c>
      <c r="AV66" s="350" t="s">
        <v>642</v>
      </c>
      <c r="AW66" s="350" t="s">
        <v>632</v>
      </c>
      <c r="AX66" s="475"/>
    </row>
    <row r="67" spans="2:50">
      <c r="B67" s="475" t="s">
        <v>693</v>
      </c>
      <c r="C67" s="351">
        <v>1</v>
      </c>
      <c r="D67" s="257"/>
      <c r="E67" s="187"/>
      <c r="F67" s="351"/>
      <c r="G67" s="354"/>
      <c r="H67" s="507" t="e">
        <f>AVERAGE(G67:G81)</f>
        <v>#DIV/0!</v>
      </c>
      <c r="I67" s="219" t="e">
        <f>AVERAGE(P67,U67,Z67,AE67,AJ67,AO67,AT67)</f>
        <v>#DIV/0!</v>
      </c>
      <c r="J67" s="219" t="e">
        <f>AVERAGE(Q67,V67,AA67,AF67,AK67,AP67,AU67)</f>
        <v>#DIV/0!</v>
      </c>
      <c r="K67" s="220" t="e">
        <f>AVERAGE(R67,W67,AB67,AG67,AL67,AQ67,AV67)</f>
        <v>#DIV/0!</v>
      </c>
      <c r="L67" s="456" t="str">
        <f>IFERROR(AVERAGE(K67:K81),"-")</f>
        <v>-</v>
      </c>
      <c r="M67" s="221" t="e">
        <f>RANK(K67, K$87:$K$101)</f>
        <v>#DIV/0!</v>
      </c>
      <c r="N67" s="475"/>
      <c r="O67" s="475"/>
      <c r="P67" s="351"/>
      <c r="Q67" s="354"/>
      <c r="R67" s="354"/>
      <c r="S67" s="351" t="e">
        <f>RANK(R67, R$87:R$101)</f>
        <v>#N/A</v>
      </c>
      <c r="T67" s="507" t="e">
        <f>AVERAGE(R67:R81)</f>
        <v>#DIV/0!</v>
      </c>
      <c r="U67" s="351"/>
      <c r="V67" s="354"/>
      <c r="W67" s="354"/>
      <c r="X67" s="351" t="e">
        <f>RANK(W67, W$87:W$101)</f>
        <v>#N/A</v>
      </c>
      <c r="Y67" s="507" t="e">
        <f>AVERAGE(W67:W81)</f>
        <v>#DIV/0!</v>
      </c>
      <c r="Z67" s="351"/>
      <c r="AA67" s="354"/>
      <c r="AB67" s="354"/>
      <c r="AC67" s="351" t="e">
        <f>RANK(AB67, AB$87:AB$101)</f>
        <v>#N/A</v>
      </c>
      <c r="AD67" s="507" t="e">
        <f>AVERAGE(AB67:AB81)</f>
        <v>#DIV/0!</v>
      </c>
      <c r="AE67" s="351"/>
      <c r="AF67" s="354"/>
      <c r="AG67" s="354"/>
      <c r="AH67" s="351" t="e">
        <f>RANK(AG67, AG$87:AG$101)</f>
        <v>#N/A</v>
      </c>
      <c r="AI67" s="507" t="e">
        <f>AVERAGE(AG67:AG81)</f>
        <v>#DIV/0!</v>
      </c>
      <c r="AJ67" s="351"/>
      <c r="AK67" s="354"/>
      <c r="AL67" s="354"/>
      <c r="AM67" s="351" t="e">
        <f>RANK(AL67, AL$87:AL$101)</f>
        <v>#N/A</v>
      </c>
      <c r="AN67" s="507" t="e">
        <f>AVERAGE(AL67:AL81)</f>
        <v>#DIV/0!</v>
      </c>
      <c r="AO67" s="351"/>
      <c r="AP67" s="354"/>
      <c r="AQ67" s="354"/>
      <c r="AR67" s="351" t="e">
        <f>RANK(AQ67, AQ$87:AQ$101)</f>
        <v>#N/A</v>
      </c>
      <c r="AS67" s="507" t="e">
        <f>AVERAGE(AQ67:AQ81)</f>
        <v>#DIV/0!</v>
      </c>
      <c r="AT67" s="351"/>
      <c r="AU67" s="354"/>
      <c r="AV67" s="354"/>
      <c r="AW67" s="351" t="e">
        <f>RANK(AV67, AV$87:AV$101)</f>
        <v>#N/A</v>
      </c>
      <c r="AX67" s="506" t="e">
        <f>AVERAGE(AV67:AV81)</f>
        <v>#DIV/0!</v>
      </c>
    </row>
    <row r="68" spans="2:50">
      <c r="B68" s="483"/>
      <c r="C68" s="351">
        <v>2</v>
      </c>
      <c r="D68" s="257"/>
      <c r="E68" s="187"/>
      <c r="F68" s="351"/>
      <c r="G68" s="354"/>
      <c r="H68" s="508"/>
      <c r="I68" s="219" t="e">
        <f t="shared" ref="I68:I74" si="36">AVERAGE(P68,U68,Z68,AE68,AJ68,AO68,AT68)</f>
        <v>#DIV/0!</v>
      </c>
      <c r="J68" s="219" t="e">
        <f t="shared" ref="J68:J74" si="37">AVERAGE(Q68,V68,AA68,AF68,AK68,AP68,AU68)</f>
        <v>#DIV/0!</v>
      </c>
      <c r="K68" s="220" t="e">
        <f t="shared" ref="K68:K74" si="38">AVERAGE(R68,W68,AB68,AG68,AL68,AQ68,AV68)</f>
        <v>#DIV/0!</v>
      </c>
      <c r="L68" s="457"/>
      <c r="M68" s="221" t="e">
        <f>RANK(K68, K$87:$K$101)</f>
        <v>#DIV/0!</v>
      </c>
      <c r="N68" s="475"/>
      <c r="O68" s="475"/>
      <c r="P68" s="351"/>
      <c r="Q68" s="354"/>
      <c r="R68" s="354"/>
      <c r="S68" s="351" t="e">
        <f t="shared" ref="S68:S81" si="39">RANK(R68, R$87:R$101)</f>
        <v>#N/A</v>
      </c>
      <c r="T68" s="508"/>
      <c r="U68" s="351"/>
      <c r="V68" s="354"/>
      <c r="W68" s="354"/>
      <c r="X68" s="351" t="e">
        <f t="shared" ref="X68:X81" si="40">RANK(W68, W$87:W$101)</f>
        <v>#N/A</v>
      </c>
      <c r="Y68" s="508"/>
      <c r="Z68" s="351"/>
      <c r="AA68" s="354"/>
      <c r="AB68" s="354"/>
      <c r="AC68" s="351" t="e">
        <f t="shared" ref="AC68:AC81" si="41">RANK(AB68, AB$87:AB$101)</f>
        <v>#N/A</v>
      </c>
      <c r="AD68" s="508"/>
      <c r="AE68" s="351"/>
      <c r="AF68" s="354"/>
      <c r="AG68" s="354"/>
      <c r="AH68" s="351" t="e">
        <f t="shared" ref="AH68:AH81" si="42">RANK(AG68, AG$87:AG$101)</f>
        <v>#N/A</v>
      </c>
      <c r="AI68" s="508"/>
      <c r="AJ68" s="351"/>
      <c r="AK68" s="354"/>
      <c r="AL68" s="354"/>
      <c r="AM68" s="351" t="e">
        <f t="shared" ref="AM68:AM81" si="43">RANK(AL68, AL$87:AL$101)</f>
        <v>#N/A</v>
      </c>
      <c r="AN68" s="508"/>
      <c r="AO68" s="351"/>
      <c r="AP68" s="354"/>
      <c r="AQ68" s="354"/>
      <c r="AR68" s="351" t="e">
        <f t="shared" ref="AR68:AR81" si="44">RANK(AQ68, AQ$87:AQ$101)</f>
        <v>#N/A</v>
      </c>
      <c r="AS68" s="508"/>
      <c r="AT68" s="351"/>
      <c r="AU68" s="354"/>
      <c r="AV68" s="354"/>
      <c r="AW68" s="351" t="e">
        <f t="shared" ref="AW68:AW81" si="45">RANK(AV68, AV$87:AV$101)</f>
        <v>#N/A</v>
      </c>
      <c r="AX68" s="506"/>
    </row>
    <row r="69" spans="2:50">
      <c r="B69" s="483"/>
      <c r="C69" s="351">
        <v>3</v>
      </c>
      <c r="D69" s="257"/>
      <c r="E69" s="187"/>
      <c r="F69" s="351"/>
      <c r="G69" s="354"/>
      <c r="H69" s="508"/>
      <c r="I69" s="219" t="e">
        <f t="shared" si="36"/>
        <v>#DIV/0!</v>
      </c>
      <c r="J69" s="219" t="e">
        <f t="shared" si="37"/>
        <v>#DIV/0!</v>
      </c>
      <c r="K69" s="220" t="e">
        <f t="shared" si="38"/>
        <v>#DIV/0!</v>
      </c>
      <c r="L69" s="457"/>
      <c r="M69" s="221" t="e">
        <f>RANK(K69, K$87:$K$101)</f>
        <v>#DIV/0!</v>
      </c>
      <c r="N69" s="475"/>
      <c r="O69" s="475"/>
      <c r="P69" s="351"/>
      <c r="Q69" s="354"/>
      <c r="R69" s="354"/>
      <c r="S69" s="351" t="e">
        <f t="shared" si="39"/>
        <v>#N/A</v>
      </c>
      <c r="T69" s="508"/>
      <c r="U69" s="351"/>
      <c r="V69" s="354"/>
      <c r="W69" s="354"/>
      <c r="X69" s="351" t="e">
        <f t="shared" si="40"/>
        <v>#N/A</v>
      </c>
      <c r="Y69" s="508"/>
      <c r="Z69" s="351"/>
      <c r="AA69" s="354"/>
      <c r="AB69" s="354"/>
      <c r="AC69" s="351" t="e">
        <f t="shared" si="41"/>
        <v>#N/A</v>
      </c>
      <c r="AD69" s="508"/>
      <c r="AE69" s="351"/>
      <c r="AF69" s="354"/>
      <c r="AG69" s="354"/>
      <c r="AH69" s="351" t="e">
        <f t="shared" si="42"/>
        <v>#N/A</v>
      </c>
      <c r="AI69" s="508"/>
      <c r="AJ69" s="351"/>
      <c r="AK69" s="354"/>
      <c r="AL69" s="354"/>
      <c r="AM69" s="351" t="e">
        <f t="shared" si="43"/>
        <v>#N/A</v>
      </c>
      <c r="AN69" s="508"/>
      <c r="AO69" s="351"/>
      <c r="AP69" s="354"/>
      <c r="AQ69" s="354"/>
      <c r="AR69" s="351" t="e">
        <f t="shared" si="44"/>
        <v>#N/A</v>
      </c>
      <c r="AS69" s="508"/>
      <c r="AT69" s="351"/>
      <c r="AU69" s="354"/>
      <c r="AV69" s="354"/>
      <c r="AW69" s="351" t="e">
        <f t="shared" si="45"/>
        <v>#N/A</v>
      </c>
      <c r="AX69" s="506"/>
    </row>
    <row r="70" spans="2:50">
      <c r="B70" s="483"/>
      <c r="C70" s="351">
        <v>4</v>
      </c>
      <c r="D70" s="257"/>
      <c r="E70" s="187"/>
      <c r="F70" s="351"/>
      <c r="G70" s="354"/>
      <c r="H70" s="508"/>
      <c r="I70" s="219" t="e">
        <f t="shared" si="36"/>
        <v>#DIV/0!</v>
      </c>
      <c r="J70" s="219" t="e">
        <f t="shared" si="37"/>
        <v>#DIV/0!</v>
      </c>
      <c r="K70" s="220" t="e">
        <f t="shared" si="38"/>
        <v>#DIV/0!</v>
      </c>
      <c r="L70" s="457"/>
      <c r="M70" s="221" t="e">
        <f>RANK(K70, K$87:$K$101)</f>
        <v>#DIV/0!</v>
      </c>
      <c r="N70" s="475"/>
      <c r="O70" s="475"/>
      <c r="P70" s="351"/>
      <c r="Q70" s="354"/>
      <c r="R70" s="354"/>
      <c r="S70" s="351" t="e">
        <f t="shared" si="39"/>
        <v>#N/A</v>
      </c>
      <c r="T70" s="508"/>
      <c r="U70" s="351"/>
      <c r="V70" s="354"/>
      <c r="W70" s="354"/>
      <c r="X70" s="351" t="e">
        <f t="shared" si="40"/>
        <v>#N/A</v>
      </c>
      <c r="Y70" s="508"/>
      <c r="Z70" s="351"/>
      <c r="AA70" s="354"/>
      <c r="AB70" s="354"/>
      <c r="AC70" s="351" t="e">
        <f t="shared" si="41"/>
        <v>#N/A</v>
      </c>
      <c r="AD70" s="508"/>
      <c r="AE70" s="351"/>
      <c r="AF70" s="354"/>
      <c r="AG70" s="354"/>
      <c r="AH70" s="351" t="e">
        <f t="shared" si="42"/>
        <v>#N/A</v>
      </c>
      <c r="AI70" s="508"/>
      <c r="AJ70" s="351"/>
      <c r="AK70" s="354"/>
      <c r="AL70" s="354"/>
      <c r="AM70" s="351" t="e">
        <f t="shared" si="43"/>
        <v>#N/A</v>
      </c>
      <c r="AN70" s="508"/>
      <c r="AO70" s="351"/>
      <c r="AP70" s="354"/>
      <c r="AQ70" s="354"/>
      <c r="AR70" s="351" t="e">
        <f t="shared" si="44"/>
        <v>#N/A</v>
      </c>
      <c r="AS70" s="508"/>
      <c r="AT70" s="351"/>
      <c r="AU70" s="354"/>
      <c r="AV70" s="354"/>
      <c r="AW70" s="351" t="e">
        <f t="shared" si="45"/>
        <v>#N/A</v>
      </c>
      <c r="AX70" s="506"/>
    </row>
    <row r="71" spans="2:50">
      <c r="B71" s="483"/>
      <c r="C71" s="351">
        <v>5</v>
      </c>
      <c r="D71" s="257"/>
      <c r="E71" s="187"/>
      <c r="F71" s="351"/>
      <c r="G71" s="354"/>
      <c r="H71" s="508"/>
      <c r="I71" s="219" t="e">
        <f t="shared" si="36"/>
        <v>#DIV/0!</v>
      </c>
      <c r="J71" s="219" t="e">
        <f t="shared" si="37"/>
        <v>#DIV/0!</v>
      </c>
      <c r="K71" s="220" t="e">
        <f t="shared" si="38"/>
        <v>#DIV/0!</v>
      </c>
      <c r="L71" s="457"/>
      <c r="M71" s="221" t="e">
        <f>RANK(K71, K$87:$K$101)</f>
        <v>#DIV/0!</v>
      </c>
      <c r="N71" s="475"/>
      <c r="O71" s="475"/>
      <c r="P71" s="351"/>
      <c r="Q71" s="354"/>
      <c r="R71" s="354"/>
      <c r="S71" s="351" t="e">
        <f t="shared" si="39"/>
        <v>#N/A</v>
      </c>
      <c r="T71" s="508"/>
      <c r="U71" s="351"/>
      <c r="V71" s="354"/>
      <c r="W71" s="354"/>
      <c r="X71" s="351" t="e">
        <f t="shared" si="40"/>
        <v>#N/A</v>
      </c>
      <c r="Y71" s="508"/>
      <c r="Z71" s="351"/>
      <c r="AA71" s="354"/>
      <c r="AB71" s="354"/>
      <c r="AC71" s="351" t="e">
        <f t="shared" si="41"/>
        <v>#N/A</v>
      </c>
      <c r="AD71" s="508"/>
      <c r="AE71" s="351"/>
      <c r="AF71" s="354"/>
      <c r="AG71" s="354"/>
      <c r="AH71" s="351" t="e">
        <f t="shared" si="42"/>
        <v>#N/A</v>
      </c>
      <c r="AI71" s="508"/>
      <c r="AJ71" s="351"/>
      <c r="AK71" s="354"/>
      <c r="AL71" s="354"/>
      <c r="AM71" s="351" t="e">
        <f t="shared" si="43"/>
        <v>#N/A</v>
      </c>
      <c r="AN71" s="508"/>
      <c r="AO71" s="351"/>
      <c r="AP71" s="354"/>
      <c r="AQ71" s="354"/>
      <c r="AR71" s="351" t="e">
        <f t="shared" si="44"/>
        <v>#N/A</v>
      </c>
      <c r="AS71" s="508"/>
      <c r="AT71" s="351"/>
      <c r="AU71" s="354"/>
      <c r="AV71" s="354"/>
      <c r="AW71" s="351" t="e">
        <f t="shared" si="45"/>
        <v>#N/A</v>
      </c>
      <c r="AX71" s="506"/>
    </row>
    <row r="72" spans="2:50">
      <c r="B72" s="483"/>
      <c r="C72" s="351">
        <v>6</v>
      </c>
      <c r="D72" s="257"/>
      <c r="E72" s="187"/>
      <c r="F72" s="351"/>
      <c r="G72" s="354"/>
      <c r="H72" s="508"/>
      <c r="I72" s="219" t="e">
        <f t="shared" si="36"/>
        <v>#DIV/0!</v>
      </c>
      <c r="J72" s="219" t="e">
        <f t="shared" si="37"/>
        <v>#DIV/0!</v>
      </c>
      <c r="K72" s="220" t="e">
        <f t="shared" si="38"/>
        <v>#DIV/0!</v>
      </c>
      <c r="L72" s="457"/>
      <c r="M72" s="221" t="e">
        <f>RANK(K72, K$87:$K$101)</f>
        <v>#DIV/0!</v>
      </c>
      <c r="N72" s="475"/>
      <c r="O72" s="475"/>
      <c r="P72" s="351"/>
      <c r="Q72" s="354"/>
      <c r="R72" s="354"/>
      <c r="S72" s="351" t="e">
        <f t="shared" si="39"/>
        <v>#N/A</v>
      </c>
      <c r="T72" s="508"/>
      <c r="U72" s="351"/>
      <c r="V72" s="354"/>
      <c r="W72" s="354"/>
      <c r="X72" s="351" t="e">
        <f t="shared" si="40"/>
        <v>#N/A</v>
      </c>
      <c r="Y72" s="508"/>
      <c r="Z72" s="351"/>
      <c r="AA72" s="354"/>
      <c r="AB72" s="354"/>
      <c r="AC72" s="351" t="e">
        <f t="shared" si="41"/>
        <v>#N/A</v>
      </c>
      <c r="AD72" s="508"/>
      <c r="AE72" s="351"/>
      <c r="AF72" s="354"/>
      <c r="AG72" s="354"/>
      <c r="AH72" s="351" t="e">
        <f t="shared" si="42"/>
        <v>#N/A</v>
      </c>
      <c r="AI72" s="508"/>
      <c r="AJ72" s="351"/>
      <c r="AK72" s="354"/>
      <c r="AL72" s="354"/>
      <c r="AM72" s="351" t="e">
        <f t="shared" si="43"/>
        <v>#N/A</v>
      </c>
      <c r="AN72" s="508"/>
      <c r="AO72" s="351"/>
      <c r="AP72" s="354"/>
      <c r="AQ72" s="354"/>
      <c r="AR72" s="351" t="e">
        <f t="shared" si="44"/>
        <v>#N/A</v>
      </c>
      <c r="AS72" s="508"/>
      <c r="AT72" s="351"/>
      <c r="AU72" s="354"/>
      <c r="AV72" s="354"/>
      <c r="AW72" s="351" t="e">
        <f t="shared" si="45"/>
        <v>#N/A</v>
      </c>
      <c r="AX72" s="506"/>
    </row>
    <row r="73" spans="2:50">
      <c r="B73" s="483"/>
      <c r="C73" s="351">
        <v>7</v>
      </c>
      <c r="D73" s="257"/>
      <c r="E73" s="187"/>
      <c r="F73" s="351"/>
      <c r="G73" s="354"/>
      <c r="H73" s="508"/>
      <c r="I73" s="219" t="e">
        <f t="shared" si="36"/>
        <v>#DIV/0!</v>
      </c>
      <c r="J73" s="219" t="e">
        <f t="shared" si="37"/>
        <v>#DIV/0!</v>
      </c>
      <c r="K73" s="220" t="e">
        <f t="shared" si="38"/>
        <v>#DIV/0!</v>
      </c>
      <c r="L73" s="457"/>
      <c r="M73" s="221" t="e">
        <f>RANK(K73, K$87:$K$101)</f>
        <v>#DIV/0!</v>
      </c>
      <c r="N73" s="475"/>
      <c r="O73" s="475"/>
      <c r="P73" s="351"/>
      <c r="Q73" s="354"/>
      <c r="R73" s="354"/>
      <c r="S73" s="351" t="e">
        <f t="shared" si="39"/>
        <v>#N/A</v>
      </c>
      <c r="T73" s="508"/>
      <c r="U73" s="351"/>
      <c r="V73" s="354"/>
      <c r="W73" s="354"/>
      <c r="X73" s="351" t="e">
        <f t="shared" si="40"/>
        <v>#N/A</v>
      </c>
      <c r="Y73" s="508"/>
      <c r="Z73" s="351"/>
      <c r="AA73" s="354"/>
      <c r="AB73" s="354"/>
      <c r="AC73" s="351" t="e">
        <f t="shared" si="41"/>
        <v>#N/A</v>
      </c>
      <c r="AD73" s="508"/>
      <c r="AE73" s="351"/>
      <c r="AF73" s="354"/>
      <c r="AG73" s="354"/>
      <c r="AH73" s="351" t="e">
        <f t="shared" si="42"/>
        <v>#N/A</v>
      </c>
      <c r="AI73" s="508"/>
      <c r="AJ73" s="351"/>
      <c r="AK73" s="354"/>
      <c r="AL73" s="354"/>
      <c r="AM73" s="351" t="e">
        <f t="shared" si="43"/>
        <v>#N/A</v>
      </c>
      <c r="AN73" s="508"/>
      <c r="AO73" s="351"/>
      <c r="AP73" s="354"/>
      <c r="AQ73" s="354"/>
      <c r="AR73" s="351" t="e">
        <f t="shared" si="44"/>
        <v>#N/A</v>
      </c>
      <c r="AS73" s="508"/>
      <c r="AT73" s="351"/>
      <c r="AU73" s="354"/>
      <c r="AV73" s="354"/>
      <c r="AW73" s="351" t="e">
        <f t="shared" si="45"/>
        <v>#N/A</v>
      </c>
      <c r="AX73" s="506"/>
    </row>
    <row r="74" spans="2:50">
      <c r="B74" s="483"/>
      <c r="C74" s="351">
        <v>8</v>
      </c>
      <c r="D74" s="257"/>
      <c r="E74" s="187"/>
      <c r="F74" s="351"/>
      <c r="G74" s="354"/>
      <c r="H74" s="508"/>
      <c r="I74" s="219" t="e">
        <f t="shared" si="36"/>
        <v>#DIV/0!</v>
      </c>
      <c r="J74" s="219" t="e">
        <f t="shared" si="37"/>
        <v>#DIV/0!</v>
      </c>
      <c r="K74" s="220" t="e">
        <f t="shared" si="38"/>
        <v>#DIV/0!</v>
      </c>
      <c r="L74" s="457"/>
      <c r="M74" s="221" t="e">
        <f>RANK(K74, K$87:$K$101)</f>
        <v>#DIV/0!</v>
      </c>
      <c r="N74" s="475"/>
      <c r="O74" s="475"/>
      <c r="P74" s="351"/>
      <c r="Q74" s="354"/>
      <c r="R74" s="354"/>
      <c r="S74" s="351" t="e">
        <f t="shared" si="39"/>
        <v>#N/A</v>
      </c>
      <c r="T74" s="508"/>
      <c r="U74" s="351"/>
      <c r="V74" s="354"/>
      <c r="W74" s="354"/>
      <c r="X74" s="351" t="e">
        <f t="shared" si="40"/>
        <v>#N/A</v>
      </c>
      <c r="Y74" s="508"/>
      <c r="Z74" s="351"/>
      <c r="AA74" s="354"/>
      <c r="AB74" s="354"/>
      <c r="AC74" s="351" t="e">
        <f t="shared" si="41"/>
        <v>#N/A</v>
      </c>
      <c r="AD74" s="508"/>
      <c r="AE74" s="351"/>
      <c r="AF74" s="354"/>
      <c r="AG74" s="354"/>
      <c r="AH74" s="351" t="e">
        <f t="shared" si="42"/>
        <v>#N/A</v>
      </c>
      <c r="AI74" s="508"/>
      <c r="AJ74" s="351"/>
      <c r="AK74" s="354"/>
      <c r="AL74" s="354"/>
      <c r="AM74" s="351" t="e">
        <f t="shared" si="43"/>
        <v>#N/A</v>
      </c>
      <c r="AN74" s="508"/>
      <c r="AO74" s="351"/>
      <c r="AP74" s="354"/>
      <c r="AQ74" s="354"/>
      <c r="AR74" s="351" t="e">
        <f t="shared" si="44"/>
        <v>#N/A</v>
      </c>
      <c r="AS74" s="508"/>
      <c r="AT74" s="351"/>
      <c r="AU74" s="354"/>
      <c r="AV74" s="354"/>
      <c r="AW74" s="351" t="e">
        <f t="shared" si="45"/>
        <v>#N/A</v>
      </c>
      <c r="AX74" s="506"/>
    </row>
    <row r="75" spans="2:50">
      <c r="B75" s="483"/>
      <c r="C75" s="351">
        <v>9</v>
      </c>
      <c r="D75" s="257"/>
      <c r="E75" s="187"/>
      <c r="F75" s="351"/>
      <c r="G75" s="354"/>
      <c r="H75" s="508"/>
      <c r="I75" s="219"/>
      <c r="J75" s="219"/>
      <c r="K75" s="220"/>
      <c r="L75" s="457"/>
      <c r="M75" s="221" t="e">
        <f>RANK(K75, K$87:$K$101)</f>
        <v>#DIV/0!</v>
      </c>
      <c r="N75" s="475"/>
      <c r="O75" s="475"/>
      <c r="P75" s="351"/>
      <c r="Q75" s="354"/>
      <c r="R75" s="354"/>
      <c r="S75" s="351" t="e">
        <f t="shared" si="39"/>
        <v>#N/A</v>
      </c>
      <c r="T75" s="508"/>
      <c r="U75" s="351"/>
      <c r="V75" s="354"/>
      <c r="W75" s="354"/>
      <c r="X75" s="351" t="e">
        <f t="shared" si="40"/>
        <v>#N/A</v>
      </c>
      <c r="Y75" s="508"/>
      <c r="Z75" s="351"/>
      <c r="AA75" s="354"/>
      <c r="AB75" s="354"/>
      <c r="AC75" s="351" t="e">
        <f t="shared" si="41"/>
        <v>#N/A</v>
      </c>
      <c r="AD75" s="508"/>
      <c r="AE75" s="351"/>
      <c r="AF75" s="354"/>
      <c r="AG75" s="354"/>
      <c r="AH75" s="351" t="e">
        <f t="shared" si="42"/>
        <v>#N/A</v>
      </c>
      <c r="AI75" s="508"/>
      <c r="AJ75" s="351"/>
      <c r="AK75" s="354"/>
      <c r="AL75" s="354"/>
      <c r="AM75" s="351" t="e">
        <f t="shared" si="43"/>
        <v>#N/A</v>
      </c>
      <c r="AN75" s="508"/>
      <c r="AO75" s="351"/>
      <c r="AP75" s="354"/>
      <c r="AQ75" s="354"/>
      <c r="AR75" s="351" t="e">
        <f t="shared" si="44"/>
        <v>#N/A</v>
      </c>
      <c r="AS75" s="508"/>
      <c r="AT75" s="351"/>
      <c r="AU75" s="354"/>
      <c r="AV75" s="354"/>
      <c r="AW75" s="351" t="e">
        <f t="shared" si="45"/>
        <v>#N/A</v>
      </c>
      <c r="AX75" s="506"/>
    </row>
    <row r="76" spans="2:50">
      <c r="B76" s="483"/>
      <c r="C76" s="351">
        <v>10</v>
      </c>
      <c r="D76" s="257"/>
      <c r="E76" s="187"/>
      <c r="F76" s="351"/>
      <c r="G76" s="354"/>
      <c r="H76" s="508"/>
      <c r="I76" s="219"/>
      <c r="J76" s="219"/>
      <c r="K76" s="220"/>
      <c r="L76" s="457"/>
      <c r="M76" s="221" t="e">
        <f>RANK(K76, K$87:$K$101)</f>
        <v>#DIV/0!</v>
      </c>
      <c r="N76" s="475"/>
      <c r="O76" s="475"/>
      <c r="P76" s="351"/>
      <c r="Q76" s="354"/>
      <c r="R76" s="354"/>
      <c r="S76" s="351" t="e">
        <f t="shared" si="39"/>
        <v>#N/A</v>
      </c>
      <c r="T76" s="508"/>
      <c r="U76" s="351"/>
      <c r="V76" s="354"/>
      <c r="W76" s="354"/>
      <c r="X76" s="351" t="e">
        <f t="shared" si="40"/>
        <v>#N/A</v>
      </c>
      <c r="Y76" s="508"/>
      <c r="Z76" s="351"/>
      <c r="AA76" s="354"/>
      <c r="AB76" s="354"/>
      <c r="AC76" s="351" t="e">
        <f t="shared" si="41"/>
        <v>#N/A</v>
      </c>
      <c r="AD76" s="508"/>
      <c r="AE76" s="351"/>
      <c r="AF76" s="354"/>
      <c r="AG76" s="354"/>
      <c r="AH76" s="351" t="e">
        <f t="shared" si="42"/>
        <v>#N/A</v>
      </c>
      <c r="AI76" s="508"/>
      <c r="AJ76" s="351"/>
      <c r="AK76" s="354"/>
      <c r="AL76" s="354"/>
      <c r="AM76" s="351" t="e">
        <f t="shared" si="43"/>
        <v>#N/A</v>
      </c>
      <c r="AN76" s="508"/>
      <c r="AO76" s="351"/>
      <c r="AP76" s="354"/>
      <c r="AQ76" s="354"/>
      <c r="AR76" s="351" t="e">
        <f t="shared" si="44"/>
        <v>#N/A</v>
      </c>
      <c r="AS76" s="508"/>
      <c r="AT76" s="351"/>
      <c r="AU76" s="354"/>
      <c r="AV76" s="354"/>
      <c r="AW76" s="351" t="e">
        <f t="shared" si="45"/>
        <v>#N/A</v>
      </c>
      <c r="AX76" s="506"/>
    </row>
    <row r="77" spans="2:50">
      <c r="B77" s="483"/>
      <c r="C77" s="351">
        <v>11</v>
      </c>
      <c r="D77" s="257"/>
      <c r="E77" s="187"/>
      <c r="F77" s="351"/>
      <c r="G77" s="354"/>
      <c r="H77" s="508"/>
      <c r="I77" s="222"/>
      <c r="J77" s="222"/>
      <c r="K77" s="222"/>
      <c r="L77" s="457"/>
      <c r="M77" s="221" t="e">
        <f>RANK(K77, K$87:$K$101)</f>
        <v>#DIV/0!</v>
      </c>
      <c r="N77" s="475"/>
      <c r="O77" s="475"/>
      <c r="P77" s="351"/>
      <c r="Q77" s="354"/>
      <c r="R77" s="354"/>
      <c r="S77" s="351" t="e">
        <f t="shared" si="39"/>
        <v>#N/A</v>
      </c>
      <c r="T77" s="508"/>
      <c r="U77" s="351"/>
      <c r="V77" s="354"/>
      <c r="W77" s="354"/>
      <c r="X77" s="351" t="e">
        <f t="shared" si="40"/>
        <v>#N/A</v>
      </c>
      <c r="Y77" s="508"/>
      <c r="Z77" s="351"/>
      <c r="AA77" s="354"/>
      <c r="AB77" s="354"/>
      <c r="AC77" s="351" t="e">
        <f t="shared" si="41"/>
        <v>#N/A</v>
      </c>
      <c r="AD77" s="508"/>
      <c r="AE77" s="351"/>
      <c r="AF77" s="354"/>
      <c r="AG77" s="354"/>
      <c r="AH77" s="351" t="e">
        <f t="shared" si="42"/>
        <v>#N/A</v>
      </c>
      <c r="AI77" s="508"/>
      <c r="AJ77" s="351"/>
      <c r="AK77" s="354"/>
      <c r="AL77" s="354"/>
      <c r="AM77" s="351" t="e">
        <f t="shared" si="43"/>
        <v>#N/A</v>
      </c>
      <c r="AN77" s="508"/>
      <c r="AO77" s="351"/>
      <c r="AP77" s="354"/>
      <c r="AQ77" s="354"/>
      <c r="AR77" s="351" t="e">
        <f t="shared" si="44"/>
        <v>#N/A</v>
      </c>
      <c r="AS77" s="508"/>
      <c r="AT77" s="351"/>
      <c r="AU77" s="354"/>
      <c r="AV77" s="354"/>
      <c r="AW77" s="351" t="e">
        <f t="shared" si="45"/>
        <v>#N/A</v>
      </c>
      <c r="AX77" s="506"/>
    </row>
    <row r="78" spans="2:50">
      <c r="B78" s="483"/>
      <c r="C78" s="351">
        <v>12</v>
      </c>
      <c r="D78" s="257"/>
      <c r="E78" s="187"/>
      <c r="F78" s="351"/>
      <c r="G78" s="354"/>
      <c r="H78" s="508"/>
      <c r="I78" s="222"/>
      <c r="J78" s="222"/>
      <c r="K78" s="222"/>
      <c r="L78" s="457"/>
      <c r="M78" s="221" t="e">
        <f>RANK(K78, K$87:$K$101)</f>
        <v>#DIV/0!</v>
      </c>
      <c r="N78" s="475"/>
      <c r="O78" s="475"/>
      <c r="P78" s="351"/>
      <c r="Q78" s="354"/>
      <c r="R78" s="354"/>
      <c r="S78" s="351" t="e">
        <f t="shared" si="39"/>
        <v>#N/A</v>
      </c>
      <c r="T78" s="508"/>
      <c r="U78" s="351"/>
      <c r="V78" s="354"/>
      <c r="W78" s="354"/>
      <c r="X78" s="351" t="e">
        <f t="shared" si="40"/>
        <v>#N/A</v>
      </c>
      <c r="Y78" s="508"/>
      <c r="Z78" s="351"/>
      <c r="AA78" s="354"/>
      <c r="AB78" s="354"/>
      <c r="AC78" s="351" t="e">
        <f t="shared" si="41"/>
        <v>#N/A</v>
      </c>
      <c r="AD78" s="508"/>
      <c r="AE78" s="351"/>
      <c r="AF78" s="354"/>
      <c r="AG78" s="354"/>
      <c r="AH78" s="351" t="e">
        <f t="shared" si="42"/>
        <v>#N/A</v>
      </c>
      <c r="AI78" s="508"/>
      <c r="AJ78" s="351"/>
      <c r="AK78" s="354"/>
      <c r="AL78" s="354"/>
      <c r="AM78" s="351" t="e">
        <f t="shared" si="43"/>
        <v>#N/A</v>
      </c>
      <c r="AN78" s="508"/>
      <c r="AO78" s="351"/>
      <c r="AP78" s="354"/>
      <c r="AQ78" s="354"/>
      <c r="AR78" s="351" t="e">
        <f t="shared" si="44"/>
        <v>#N/A</v>
      </c>
      <c r="AS78" s="508"/>
      <c r="AT78" s="351"/>
      <c r="AU78" s="351"/>
      <c r="AV78" s="351"/>
      <c r="AW78" s="351" t="e">
        <f t="shared" si="45"/>
        <v>#N/A</v>
      </c>
      <c r="AX78" s="506"/>
    </row>
    <row r="79" spans="2:50">
      <c r="B79" s="483"/>
      <c r="C79" s="351">
        <v>13</v>
      </c>
      <c r="D79" s="257"/>
      <c r="E79" s="187"/>
      <c r="F79" s="351"/>
      <c r="G79" s="354"/>
      <c r="H79" s="508"/>
      <c r="I79" s="222"/>
      <c r="J79" s="222"/>
      <c r="K79" s="222"/>
      <c r="L79" s="457"/>
      <c r="M79" s="221" t="e">
        <f>RANK(K79, K$87:$K$101)</f>
        <v>#DIV/0!</v>
      </c>
      <c r="N79" s="475"/>
      <c r="O79" s="475"/>
      <c r="P79" s="351"/>
      <c r="Q79" s="354"/>
      <c r="R79" s="354"/>
      <c r="S79" s="351" t="e">
        <f t="shared" si="39"/>
        <v>#N/A</v>
      </c>
      <c r="T79" s="508"/>
      <c r="U79" s="351"/>
      <c r="V79" s="354"/>
      <c r="W79" s="354"/>
      <c r="X79" s="351" t="e">
        <f t="shared" si="40"/>
        <v>#N/A</v>
      </c>
      <c r="Y79" s="508"/>
      <c r="Z79" s="351"/>
      <c r="AA79" s="354"/>
      <c r="AB79" s="354"/>
      <c r="AC79" s="351" t="e">
        <f t="shared" si="41"/>
        <v>#N/A</v>
      </c>
      <c r="AD79" s="508"/>
      <c r="AE79" s="351"/>
      <c r="AF79" s="354"/>
      <c r="AG79" s="354"/>
      <c r="AH79" s="351" t="e">
        <f t="shared" si="42"/>
        <v>#N/A</v>
      </c>
      <c r="AI79" s="508"/>
      <c r="AJ79" s="351"/>
      <c r="AK79" s="354"/>
      <c r="AL79" s="354"/>
      <c r="AM79" s="351" t="e">
        <f t="shared" si="43"/>
        <v>#N/A</v>
      </c>
      <c r="AN79" s="508"/>
      <c r="AO79" s="351"/>
      <c r="AP79" s="354"/>
      <c r="AQ79" s="354"/>
      <c r="AR79" s="351" t="e">
        <f t="shared" si="44"/>
        <v>#N/A</v>
      </c>
      <c r="AS79" s="508"/>
      <c r="AT79" s="351"/>
      <c r="AU79" s="351"/>
      <c r="AV79" s="351"/>
      <c r="AW79" s="351" t="e">
        <f t="shared" si="45"/>
        <v>#N/A</v>
      </c>
      <c r="AX79" s="506"/>
    </row>
    <row r="80" spans="2:50">
      <c r="B80" s="483"/>
      <c r="C80" s="351">
        <v>14</v>
      </c>
      <c r="D80" s="257"/>
      <c r="E80" s="187"/>
      <c r="F80" s="351"/>
      <c r="G80" s="354"/>
      <c r="H80" s="508"/>
      <c r="I80" s="222"/>
      <c r="J80" s="222"/>
      <c r="K80" s="222"/>
      <c r="L80" s="457"/>
      <c r="M80" s="221" t="e">
        <f>RANK(K80, K$87:$K$101)</f>
        <v>#DIV/0!</v>
      </c>
      <c r="N80" s="475"/>
      <c r="O80" s="475"/>
      <c r="P80" s="351"/>
      <c r="Q80" s="354"/>
      <c r="R80" s="354"/>
      <c r="S80" s="351" t="e">
        <f t="shared" si="39"/>
        <v>#N/A</v>
      </c>
      <c r="T80" s="508"/>
      <c r="U80" s="351"/>
      <c r="V80" s="354"/>
      <c r="W80" s="354"/>
      <c r="X80" s="351" t="e">
        <f t="shared" si="40"/>
        <v>#N/A</v>
      </c>
      <c r="Y80" s="508"/>
      <c r="Z80" s="351"/>
      <c r="AA80" s="354"/>
      <c r="AB80" s="354"/>
      <c r="AC80" s="351" t="e">
        <f t="shared" si="41"/>
        <v>#N/A</v>
      </c>
      <c r="AD80" s="508"/>
      <c r="AE80" s="351"/>
      <c r="AF80" s="354"/>
      <c r="AG80" s="354"/>
      <c r="AH80" s="351" t="e">
        <f t="shared" si="42"/>
        <v>#N/A</v>
      </c>
      <c r="AI80" s="508"/>
      <c r="AJ80" s="351"/>
      <c r="AK80" s="354"/>
      <c r="AL80" s="354"/>
      <c r="AM80" s="351" t="e">
        <f t="shared" si="43"/>
        <v>#N/A</v>
      </c>
      <c r="AN80" s="508"/>
      <c r="AO80" s="351"/>
      <c r="AP80" s="354"/>
      <c r="AQ80" s="354"/>
      <c r="AR80" s="351" t="e">
        <f t="shared" si="44"/>
        <v>#N/A</v>
      </c>
      <c r="AS80" s="508"/>
      <c r="AT80" s="351"/>
      <c r="AU80" s="351"/>
      <c r="AV80" s="351"/>
      <c r="AW80" s="351" t="e">
        <f t="shared" si="45"/>
        <v>#N/A</v>
      </c>
      <c r="AX80" s="506"/>
    </row>
    <row r="81" spans="2:50">
      <c r="B81" s="483"/>
      <c r="C81" s="351">
        <v>15</v>
      </c>
      <c r="D81" s="257"/>
      <c r="E81" s="187"/>
      <c r="F81" s="351"/>
      <c r="G81" s="354"/>
      <c r="H81" s="509"/>
      <c r="I81" s="222"/>
      <c r="J81" s="222"/>
      <c r="K81" s="222"/>
      <c r="L81" s="458"/>
      <c r="M81" s="219" t="e">
        <f>RANK(K81, K$87:$K$101)</f>
        <v>#DIV/0!</v>
      </c>
      <c r="N81" s="475"/>
      <c r="O81" s="475"/>
      <c r="P81" s="351"/>
      <c r="Q81" s="354"/>
      <c r="R81" s="354"/>
      <c r="S81" s="351" t="e">
        <f t="shared" si="39"/>
        <v>#N/A</v>
      </c>
      <c r="T81" s="509"/>
      <c r="U81" s="351"/>
      <c r="V81" s="354"/>
      <c r="W81" s="354"/>
      <c r="X81" s="351" t="e">
        <f t="shared" si="40"/>
        <v>#N/A</v>
      </c>
      <c r="Y81" s="509"/>
      <c r="Z81" s="351"/>
      <c r="AA81" s="354"/>
      <c r="AB81" s="354"/>
      <c r="AC81" s="351" t="e">
        <f t="shared" si="41"/>
        <v>#N/A</v>
      </c>
      <c r="AD81" s="509"/>
      <c r="AE81" s="351"/>
      <c r="AF81" s="354"/>
      <c r="AG81" s="354"/>
      <c r="AH81" s="351" t="e">
        <f t="shared" si="42"/>
        <v>#N/A</v>
      </c>
      <c r="AI81" s="509"/>
      <c r="AJ81" s="351"/>
      <c r="AK81" s="354"/>
      <c r="AL81" s="354"/>
      <c r="AM81" s="351" t="e">
        <f t="shared" si="43"/>
        <v>#N/A</v>
      </c>
      <c r="AN81" s="509"/>
      <c r="AO81" s="351"/>
      <c r="AP81" s="354"/>
      <c r="AQ81" s="354"/>
      <c r="AR81" s="351" t="e">
        <f t="shared" si="44"/>
        <v>#N/A</v>
      </c>
      <c r="AS81" s="509"/>
      <c r="AT81" s="351"/>
      <c r="AU81" s="351"/>
      <c r="AV81" s="351"/>
      <c r="AW81" s="351" t="e">
        <f t="shared" si="45"/>
        <v>#N/A</v>
      </c>
      <c r="AX81" s="506"/>
    </row>
    <row r="82" spans="2:50" ht="15.75">
      <c r="B82" s="487" t="s">
        <v>172</v>
      </c>
      <c r="C82" s="488"/>
      <c r="D82" s="488"/>
      <c r="E82" s="488"/>
      <c r="F82" s="488"/>
      <c r="G82" s="488"/>
      <c r="H82" s="489"/>
      <c r="I82" s="228"/>
      <c r="J82" s="228"/>
      <c r="K82" s="228"/>
      <c r="L82" s="228"/>
      <c r="M82" s="227"/>
      <c r="N82" s="476" t="s">
        <v>164</v>
      </c>
      <c r="O82" s="476" t="s">
        <v>105</v>
      </c>
      <c r="P82" s="482">
        <f>P62+7</f>
        <v>45923</v>
      </c>
      <c r="Q82" s="483"/>
      <c r="R82" s="483"/>
      <c r="S82" s="483"/>
      <c r="T82" s="483"/>
      <c r="U82" s="479">
        <f>P82+1</f>
        <v>45924</v>
      </c>
      <c r="V82" s="480"/>
      <c r="W82" s="480"/>
      <c r="X82" s="480"/>
      <c r="Y82" s="481"/>
      <c r="Z82" s="479">
        <f>U82+1</f>
        <v>45925</v>
      </c>
      <c r="AA82" s="480"/>
      <c r="AB82" s="480"/>
      <c r="AC82" s="480"/>
      <c r="AD82" s="481"/>
      <c r="AE82" s="479">
        <f t="shared" ref="AE82" si="46">Z82+1</f>
        <v>45926</v>
      </c>
      <c r="AF82" s="480"/>
      <c r="AG82" s="480"/>
      <c r="AH82" s="480"/>
      <c r="AI82" s="481"/>
      <c r="AJ82" s="479">
        <f t="shared" ref="AJ82" si="47">AE82+1</f>
        <v>45927</v>
      </c>
      <c r="AK82" s="480"/>
      <c r="AL82" s="480"/>
      <c r="AM82" s="480"/>
      <c r="AN82" s="481"/>
      <c r="AO82" s="479">
        <f t="shared" ref="AO82" si="48">AJ82+1</f>
        <v>45928</v>
      </c>
      <c r="AP82" s="480"/>
      <c r="AQ82" s="480"/>
      <c r="AR82" s="480"/>
      <c r="AS82" s="481"/>
      <c r="AT82" s="479">
        <f t="shared" ref="AT82" si="49">AO82+1</f>
        <v>45929</v>
      </c>
      <c r="AU82" s="480"/>
      <c r="AV82" s="480"/>
      <c r="AW82" s="480"/>
      <c r="AX82" s="481"/>
    </row>
    <row r="83" spans="2:50" ht="15.75">
      <c r="B83" s="490"/>
      <c r="C83" s="490"/>
      <c r="D83" s="490"/>
      <c r="E83" s="490"/>
      <c r="F83" s="490"/>
      <c r="G83" s="490"/>
      <c r="H83" s="490"/>
      <c r="I83" s="225"/>
      <c r="J83" s="225"/>
      <c r="K83" s="225"/>
      <c r="L83" s="225"/>
      <c r="M83" s="226"/>
      <c r="N83" s="478"/>
      <c r="O83" s="478"/>
      <c r="P83" s="482" t="s">
        <v>393</v>
      </c>
      <c r="Q83" s="483"/>
      <c r="R83" s="483"/>
      <c r="S83" s="483"/>
      <c r="T83" s="483"/>
      <c r="U83" s="482" t="s">
        <v>394</v>
      </c>
      <c r="V83" s="483"/>
      <c r="W83" s="483"/>
      <c r="X83" s="483"/>
      <c r="Y83" s="483"/>
      <c r="Z83" s="482" t="s">
        <v>395</v>
      </c>
      <c r="AA83" s="483"/>
      <c r="AB83" s="483"/>
      <c r="AC83" s="483"/>
      <c r="AD83" s="483"/>
      <c r="AE83" s="482" t="s">
        <v>396</v>
      </c>
      <c r="AF83" s="483"/>
      <c r="AG83" s="483"/>
      <c r="AH83" s="483"/>
      <c r="AI83" s="483"/>
      <c r="AJ83" s="482" t="s">
        <v>397</v>
      </c>
      <c r="AK83" s="483"/>
      <c r="AL83" s="483"/>
      <c r="AM83" s="483"/>
      <c r="AN83" s="483"/>
      <c r="AO83" s="482" t="s">
        <v>398</v>
      </c>
      <c r="AP83" s="483"/>
      <c r="AQ83" s="483"/>
      <c r="AR83" s="483"/>
      <c r="AS83" s="483"/>
      <c r="AT83" s="482" t="s">
        <v>399</v>
      </c>
      <c r="AU83" s="483"/>
      <c r="AV83" s="483"/>
      <c r="AW83" s="483"/>
      <c r="AX83" s="483"/>
    </row>
    <row r="84" spans="2:50">
      <c r="B84" s="475" t="s">
        <v>707</v>
      </c>
      <c r="C84" s="475" t="s">
        <v>708</v>
      </c>
      <c r="D84" s="475"/>
      <c r="E84" s="475" t="s">
        <v>709</v>
      </c>
      <c r="F84" s="475"/>
      <c r="G84" s="475"/>
      <c r="H84" s="491" t="s">
        <v>710</v>
      </c>
      <c r="I84" s="459" t="s">
        <v>711</v>
      </c>
      <c r="J84" s="459"/>
      <c r="K84" s="459"/>
      <c r="L84" s="460" t="s">
        <v>710</v>
      </c>
      <c r="M84" s="466" t="s">
        <v>712</v>
      </c>
      <c r="N84" s="475"/>
      <c r="O84" s="475" t="s">
        <v>713</v>
      </c>
      <c r="P84" s="472" t="s">
        <v>714</v>
      </c>
      <c r="Q84" s="473"/>
      <c r="R84" s="473"/>
      <c r="S84" s="474"/>
      <c r="T84" s="475" t="s">
        <v>710</v>
      </c>
      <c r="U84" s="472" t="s">
        <v>714</v>
      </c>
      <c r="V84" s="473"/>
      <c r="W84" s="473"/>
      <c r="X84" s="474"/>
      <c r="Y84" s="475" t="s">
        <v>710</v>
      </c>
      <c r="Z84" s="472" t="s">
        <v>714</v>
      </c>
      <c r="AA84" s="473"/>
      <c r="AB84" s="473"/>
      <c r="AC84" s="474"/>
      <c r="AD84" s="475" t="s">
        <v>710</v>
      </c>
      <c r="AE84" s="472" t="s">
        <v>714</v>
      </c>
      <c r="AF84" s="473"/>
      <c r="AG84" s="473"/>
      <c r="AH84" s="474"/>
      <c r="AI84" s="475" t="s">
        <v>710</v>
      </c>
      <c r="AJ84" s="472" t="s">
        <v>714</v>
      </c>
      <c r="AK84" s="473"/>
      <c r="AL84" s="473"/>
      <c r="AM84" s="474"/>
      <c r="AN84" s="475" t="s">
        <v>710</v>
      </c>
      <c r="AO84" s="472" t="s">
        <v>714</v>
      </c>
      <c r="AP84" s="473"/>
      <c r="AQ84" s="473"/>
      <c r="AR84" s="474"/>
      <c r="AS84" s="475" t="s">
        <v>710</v>
      </c>
      <c r="AT84" s="472" t="s">
        <v>714</v>
      </c>
      <c r="AU84" s="473"/>
      <c r="AV84" s="473"/>
      <c r="AW84" s="474"/>
      <c r="AX84" s="475" t="s">
        <v>710</v>
      </c>
    </row>
    <row r="85" spans="2:50">
      <c r="B85" s="475"/>
      <c r="C85" s="475"/>
      <c r="D85" s="475"/>
      <c r="E85" s="475" t="s">
        <v>715</v>
      </c>
      <c r="F85" s="475"/>
      <c r="G85" s="475"/>
      <c r="H85" s="492"/>
      <c r="I85" s="459" t="s">
        <v>715</v>
      </c>
      <c r="J85" s="459"/>
      <c r="K85" s="459"/>
      <c r="L85" s="461"/>
      <c r="M85" s="467"/>
      <c r="N85" s="475"/>
      <c r="O85" s="475"/>
      <c r="P85" s="472" t="s">
        <v>716</v>
      </c>
      <c r="Q85" s="473"/>
      <c r="R85" s="473"/>
      <c r="S85" s="474"/>
      <c r="T85" s="475"/>
      <c r="U85" s="472" t="s">
        <v>716</v>
      </c>
      <c r="V85" s="473"/>
      <c r="W85" s="473"/>
      <c r="X85" s="474"/>
      <c r="Y85" s="475"/>
      <c r="Z85" s="472" t="s">
        <v>716</v>
      </c>
      <c r="AA85" s="473"/>
      <c r="AB85" s="473"/>
      <c r="AC85" s="474"/>
      <c r="AD85" s="475"/>
      <c r="AE85" s="472" t="s">
        <v>716</v>
      </c>
      <c r="AF85" s="473"/>
      <c r="AG85" s="473"/>
      <c r="AH85" s="474"/>
      <c r="AI85" s="475"/>
      <c r="AJ85" s="472" t="s">
        <v>716</v>
      </c>
      <c r="AK85" s="473"/>
      <c r="AL85" s="473"/>
      <c r="AM85" s="474"/>
      <c r="AN85" s="475"/>
      <c r="AO85" s="472" t="s">
        <v>716</v>
      </c>
      <c r="AP85" s="473"/>
      <c r="AQ85" s="473"/>
      <c r="AR85" s="474"/>
      <c r="AS85" s="475"/>
      <c r="AT85" s="472" t="s">
        <v>716</v>
      </c>
      <c r="AU85" s="473"/>
      <c r="AV85" s="473"/>
      <c r="AW85" s="474"/>
      <c r="AX85" s="475"/>
    </row>
    <row r="86" spans="2:50">
      <c r="B86" s="475"/>
      <c r="C86" s="475"/>
      <c r="D86" s="475"/>
      <c r="E86" s="335" t="s">
        <v>717</v>
      </c>
      <c r="F86" s="335" t="s">
        <v>718</v>
      </c>
      <c r="G86" s="335" t="s">
        <v>719</v>
      </c>
      <c r="H86" s="493"/>
      <c r="I86" s="337" t="s">
        <v>717</v>
      </c>
      <c r="J86" s="337" t="s">
        <v>718</v>
      </c>
      <c r="K86" s="337" t="s">
        <v>719</v>
      </c>
      <c r="L86" s="462"/>
      <c r="M86" s="468"/>
      <c r="N86" s="475"/>
      <c r="O86" s="475"/>
      <c r="P86" s="335" t="s">
        <v>717</v>
      </c>
      <c r="Q86" s="335" t="s">
        <v>718</v>
      </c>
      <c r="R86" s="335" t="s">
        <v>719</v>
      </c>
      <c r="S86" s="335" t="s">
        <v>712</v>
      </c>
      <c r="T86" s="475"/>
      <c r="U86" s="335" t="s">
        <v>717</v>
      </c>
      <c r="V86" s="335" t="s">
        <v>718</v>
      </c>
      <c r="W86" s="335" t="s">
        <v>719</v>
      </c>
      <c r="X86" s="335" t="s">
        <v>712</v>
      </c>
      <c r="Y86" s="475"/>
      <c r="Z86" s="335" t="s">
        <v>717</v>
      </c>
      <c r="AA86" s="335" t="s">
        <v>718</v>
      </c>
      <c r="AB86" s="335" t="s">
        <v>719</v>
      </c>
      <c r="AC86" s="335" t="s">
        <v>712</v>
      </c>
      <c r="AD86" s="475"/>
      <c r="AE86" s="335" t="s">
        <v>717</v>
      </c>
      <c r="AF86" s="335" t="s">
        <v>718</v>
      </c>
      <c r="AG86" s="335" t="s">
        <v>719</v>
      </c>
      <c r="AH86" s="335" t="s">
        <v>712</v>
      </c>
      <c r="AI86" s="475"/>
      <c r="AJ86" s="335" t="s">
        <v>717</v>
      </c>
      <c r="AK86" s="335" t="s">
        <v>718</v>
      </c>
      <c r="AL86" s="335" t="s">
        <v>719</v>
      </c>
      <c r="AM86" s="335" t="s">
        <v>712</v>
      </c>
      <c r="AN86" s="475"/>
      <c r="AO86" s="335" t="s">
        <v>717</v>
      </c>
      <c r="AP86" s="335" t="s">
        <v>718</v>
      </c>
      <c r="AQ86" s="335" t="s">
        <v>719</v>
      </c>
      <c r="AR86" s="335" t="s">
        <v>712</v>
      </c>
      <c r="AS86" s="475"/>
      <c r="AT86" s="335" t="s">
        <v>717</v>
      </c>
      <c r="AU86" s="335" t="s">
        <v>718</v>
      </c>
      <c r="AV86" s="335" t="s">
        <v>719</v>
      </c>
      <c r="AW86" s="335" t="s">
        <v>712</v>
      </c>
      <c r="AX86" s="475"/>
    </row>
    <row r="87" spans="2:50">
      <c r="B87" s="475" t="s">
        <v>723</v>
      </c>
      <c r="C87" s="334">
        <v>1</v>
      </c>
      <c r="D87" s="257"/>
      <c r="E87" s="187"/>
      <c r="F87" s="334"/>
      <c r="G87" s="336"/>
      <c r="H87" s="507" t="e">
        <f>AVERAGE(G87:G101)</f>
        <v>#DIV/0!</v>
      </c>
      <c r="I87" s="219" t="e">
        <f>AVERAGE(P87,U87,Z87,AE87,AJ87,AO87,AT87)</f>
        <v>#DIV/0!</v>
      </c>
      <c r="J87" s="219" t="e">
        <f>AVERAGE(Q87,V87,AA87,AF87,AK87,AP87,AU87)</f>
        <v>#DIV/0!</v>
      </c>
      <c r="K87" s="220" t="e">
        <f>AVERAGE(R87,W87,AB87,AG87,AL87,AQ87,AV87)</f>
        <v>#DIV/0!</v>
      </c>
      <c r="L87" s="456" t="str">
        <f>IFERROR(AVERAGE(K87:K101),"-")</f>
        <v>-</v>
      </c>
      <c r="M87" s="221" t="e">
        <f>RANK(K87, K$87:$K$101)</f>
        <v>#DIV/0!</v>
      </c>
      <c r="N87" s="475"/>
      <c r="O87" s="475"/>
      <c r="P87" s="334"/>
      <c r="Q87" s="336"/>
      <c r="R87" s="336"/>
      <c r="S87" s="334" t="e">
        <f>RANK(R87, R$87:R$101)</f>
        <v>#N/A</v>
      </c>
      <c r="T87" s="507" t="e">
        <f>AVERAGE(R87:R101)</f>
        <v>#DIV/0!</v>
      </c>
      <c r="U87" s="351"/>
      <c r="V87" s="354"/>
      <c r="W87" s="354"/>
      <c r="X87" s="334" t="e">
        <f>RANK(W87, W$87:W$101)</f>
        <v>#N/A</v>
      </c>
      <c r="Y87" s="507" t="e">
        <f>AVERAGE(W87:W101)</f>
        <v>#DIV/0!</v>
      </c>
      <c r="Z87" s="351"/>
      <c r="AA87" s="354"/>
      <c r="AB87" s="354"/>
      <c r="AC87" s="334" t="e">
        <f>RANK(AB87, AB$87:AB$101)</f>
        <v>#N/A</v>
      </c>
      <c r="AD87" s="507" t="e">
        <f>AVERAGE(AB87:AB101)</f>
        <v>#DIV/0!</v>
      </c>
      <c r="AE87" s="351"/>
      <c r="AF87" s="354"/>
      <c r="AG87" s="354"/>
      <c r="AH87" s="334" t="e">
        <f>RANK(AG87, AG$87:AG$101)</f>
        <v>#N/A</v>
      </c>
      <c r="AI87" s="507" t="e">
        <f>AVERAGE(AG87:AG101)</f>
        <v>#DIV/0!</v>
      </c>
      <c r="AJ87" s="351"/>
      <c r="AK87" s="354"/>
      <c r="AL87" s="354"/>
      <c r="AM87" s="334" t="e">
        <f>RANK(AL87, AL$87:AL$101)</f>
        <v>#N/A</v>
      </c>
      <c r="AN87" s="507" t="e">
        <f>AVERAGE(AL87:AL101)</f>
        <v>#DIV/0!</v>
      </c>
      <c r="AO87" s="351"/>
      <c r="AP87" s="354"/>
      <c r="AQ87" s="354"/>
      <c r="AR87" s="334" t="e">
        <f>RANK(AQ87, AQ$87:AQ$101)</f>
        <v>#N/A</v>
      </c>
      <c r="AS87" s="507" t="e">
        <f>AVERAGE(AQ87:AQ101)</f>
        <v>#DIV/0!</v>
      </c>
      <c r="AT87" s="334"/>
      <c r="AU87" s="336"/>
      <c r="AV87" s="336"/>
      <c r="AW87" s="334" t="e">
        <f>RANK(AV87, AV$87:AV$101)</f>
        <v>#N/A</v>
      </c>
      <c r="AX87" s="506" t="e">
        <f>AVERAGE(AV87:AV101)</f>
        <v>#DIV/0!</v>
      </c>
    </row>
    <row r="88" spans="2:50">
      <c r="B88" s="483"/>
      <c r="C88" s="334">
        <v>2</v>
      </c>
      <c r="D88" s="257"/>
      <c r="E88" s="187"/>
      <c r="F88" s="334"/>
      <c r="G88" s="336"/>
      <c r="H88" s="508"/>
      <c r="I88" s="219" t="e">
        <f t="shared" ref="I88:K94" si="50">AVERAGE(P88,U88,Z88,AE88,AJ88,AO88,AT88)</f>
        <v>#DIV/0!</v>
      </c>
      <c r="J88" s="219" t="e">
        <f t="shared" si="50"/>
        <v>#DIV/0!</v>
      </c>
      <c r="K88" s="220" t="e">
        <f t="shared" si="50"/>
        <v>#DIV/0!</v>
      </c>
      <c r="L88" s="457"/>
      <c r="M88" s="221" t="e">
        <f>RANK(K88, K$87:$K$101)</f>
        <v>#DIV/0!</v>
      </c>
      <c r="N88" s="475"/>
      <c r="O88" s="475"/>
      <c r="P88" s="334"/>
      <c r="Q88" s="336"/>
      <c r="R88" s="336"/>
      <c r="S88" s="334" t="e">
        <f t="shared" ref="S88:S101" si="51">RANK(R88, R$87:R$101)</f>
        <v>#N/A</v>
      </c>
      <c r="T88" s="508"/>
      <c r="U88" s="351"/>
      <c r="V88" s="354"/>
      <c r="W88" s="354"/>
      <c r="X88" s="334" t="e">
        <f t="shared" ref="X88:X101" si="52">RANK(W88, W$87:W$101)</f>
        <v>#N/A</v>
      </c>
      <c r="Y88" s="508"/>
      <c r="Z88" s="351"/>
      <c r="AA88" s="354"/>
      <c r="AB88" s="354"/>
      <c r="AC88" s="334" t="e">
        <f t="shared" ref="AC88:AC101" si="53">RANK(AB88, AB$87:AB$101)</f>
        <v>#N/A</v>
      </c>
      <c r="AD88" s="508"/>
      <c r="AE88" s="351"/>
      <c r="AF88" s="354"/>
      <c r="AG88" s="354"/>
      <c r="AH88" s="334" t="e">
        <f t="shared" ref="AH88:AH101" si="54">RANK(AG88, AG$87:AG$101)</f>
        <v>#N/A</v>
      </c>
      <c r="AI88" s="508"/>
      <c r="AJ88" s="351"/>
      <c r="AK88" s="354"/>
      <c r="AL88" s="354"/>
      <c r="AM88" s="334" t="e">
        <f t="shared" ref="AM88:AM101" si="55">RANK(AL88, AL$87:AL$101)</f>
        <v>#N/A</v>
      </c>
      <c r="AN88" s="508"/>
      <c r="AO88" s="351"/>
      <c r="AP88" s="354"/>
      <c r="AQ88" s="354"/>
      <c r="AR88" s="334" t="e">
        <f t="shared" ref="AR88:AR101" si="56">RANK(AQ88, AQ$87:AQ$101)</f>
        <v>#N/A</v>
      </c>
      <c r="AS88" s="508"/>
      <c r="AT88" s="334"/>
      <c r="AU88" s="336"/>
      <c r="AV88" s="336"/>
      <c r="AW88" s="334" t="e">
        <f t="shared" ref="AW88:AW101" si="57">RANK(AV88, AV$87:AV$101)</f>
        <v>#N/A</v>
      </c>
      <c r="AX88" s="506"/>
    </row>
    <row r="89" spans="2:50">
      <c r="B89" s="483"/>
      <c r="C89" s="334">
        <v>3</v>
      </c>
      <c r="D89" s="257"/>
      <c r="E89" s="187"/>
      <c r="F89" s="334"/>
      <c r="G89" s="336"/>
      <c r="H89" s="508"/>
      <c r="I89" s="219" t="e">
        <f t="shared" si="50"/>
        <v>#DIV/0!</v>
      </c>
      <c r="J89" s="219" t="e">
        <f t="shared" si="50"/>
        <v>#DIV/0!</v>
      </c>
      <c r="K89" s="220" t="e">
        <f t="shared" si="50"/>
        <v>#DIV/0!</v>
      </c>
      <c r="L89" s="457"/>
      <c r="M89" s="221" t="e">
        <f>RANK(K89, K$87:$K$101)</f>
        <v>#DIV/0!</v>
      </c>
      <c r="N89" s="475"/>
      <c r="O89" s="475"/>
      <c r="P89" s="334"/>
      <c r="Q89" s="336"/>
      <c r="R89" s="336"/>
      <c r="S89" s="334" t="e">
        <f t="shared" si="51"/>
        <v>#N/A</v>
      </c>
      <c r="T89" s="508"/>
      <c r="U89" s="351"/>
      <c r="V89" s="354"/>
      <c r="W89" s="354"/>
      <c r="X89" s="334" t="e">
        <f t="shared" si="52"/>
        <v>#N/A</v>
      </c>
      <c r="Y89" s="508"/>
      <c r="Z89" s="351"/>
      <c r="AA89" s="354"/>
      <c r="AB89" s="354"/>
      <c r="AC89" s="334" t="e">
        <f t="shared" si="53"/>
        <v>#N/A</v>
      </c>
      <c r="AD89" s="508"/>
      <c r="AE89" s="351"/>
      <c r="AF89" s="354"/>
      <c r="AG89" s="354"/>
      <c r="AH89" s="334" t="e">
        <f t="shared" si="54"/>
        <v>#N/A</v>
      </c>
      <c r="AI89" s="508"/>
      <c r="AJ89" s="351"/>
      <c r="AK89" s="354"/>
      <c r="AL89" s="354"/>
      <c r="AM89" s="334" t="e">
        <f t="shared" si="55"/>
        <v>#N/A</v>
      </c>
      <c r="AN89" s="508"/>
      <c r="AO89" s="351"/>
      <c r="AP89" s="354"/>
      <c r="AQ89" s="354"/>
      <c r="AR89" s="334" t="e">
        <f t="shared" si="56"/>
        <v>#N/A</v>
      </c>
      <c r="AS89" s="508"/>
      <c r="AT89" s="334"/>
      <c r="AU89" s="336"/>
      <c r="AV89" s="336"/>
      <c r="AW89" s="334" t="e">
        <f t="shared" si="57"/>
        <v>#N/A</v>
      </c>
      <c r="AX89" s="506"/>
    </row>
    <row r="90" spans="2:50">
      <c r="B90" s="483"/>
      <c r="C90" s="334">
        <v>4</v>
      </c>
      <c r="D90" s="257"/>
      <c r="E90" s="187"/>
      <c r="F90" s="334"/>
      <c r="G90" s="336"/>
      <c r="H90" s="508"/>
      <c r="I90" s="219" t="e">
        <f t="shared" si="50"/>
        <v>#DIV/0!</v>
      </c>
      <c r="J90" s="219" t="e">
        <f t="shared" si="50"/>
        <v>#DIV/0!</v>
      </c>
      <c r="K90" s="220" t="e">
        <f t="shared" si="50"/>
        <v>#DIV/0!</v>
      </c>
      <c r="L90" s="457"/>
      <c r="M90" s="221" t="e">
        <f>RANK(K90, K$87:$K$101)</f>
        <v>#DIV/0!</v>
      </c>
      <c r="N90" s="475"/>
      <c r="O90" s="475"/>
      <c r="P90" s="334"/>
      <c r="Q90" s="336"/>
      <c r="R90" s="336"/>
      <c r="S90" s="334" t="e">
        <f t="shared" si="51"/>
        <v>#N/A</v>
      </c>
      <c r="T90" s="508"/>
      <c r="U90" s="351"/>
      <c r="V90" s="354"/>
      <c r="W90" s="354"/>
      <c r="X90" s="334" t="e">
        <f t="shared" si="52"/>
        <v>#N/A</v>
      </c>
      <c r="Y90" s="508"/>
      <c r="Z90" s="351"/>
      <c r="AA90" s="354"/>
      <c r="AB90" s="354"/>
      <c r="AC90" s="334" t="e">
        <f t="shared" si="53"/>
        <v>#N/A</v>
      </c>
      <c r="AD90" s="508"/>
      <c r="AE90" s="351"/>
      <c r="AF90" s="354"/>
      <c r="AG90" s="354"/>
      <c r="AH90" s="334" t="e">
        <f t="shared" si="54"/>
        <v>#N/A</v>
      </c>
      <c r="AI90" s="508"/>
      <c r="AJ90" s="351"/>
      <c r="AK90" s="354"/>
      <c r="AL90" s="354"/>
      <c r="AM90" s="334" t="e">
        <f t="shared" si="55"/>
        <v>#N/A</v>
      </c>
      <c r="AN90" s="508"/>
      <c r="AO90" s="351"/>
      <c r="AP90" s="354"/>
      <c r="AQ90" s="354"/>
      <c r="AR90" s="334" t="e">
        <f t="shared" si="56"/>
        <v>#N/A</v>
      </c>
      <c r="AS90" s="508"/>
      <c r="AT90" s="334"/>
      <c r="AU90" s="336"/>
      <c r="AV90" s="336"/>
      <c r="AW90" s="334" t="e">
        <f t="shared" si="57"/>
        <v>#N/A</v>
      </c>
      <c r="AX90" s="506"/>
    </row>
    <row r="91" spans="2:50">
      <c r="B91" s="483"/>
      <c r="C91" s="334">
        <v>5</v>
      </c>
      <c r="D91" s="257"/>
      <c r="E91" s="187"/>
      <c r="F91" s="334"/>
      <c r="G91" s="336"/>
      <c r="H91" s="508"/>
      <c r="I91" s="219" t="e">
        <f t="shared" si="50"/>
        <v>#DIV/0!</v>
      </c>
      <c r="J91" s="219" t="e">
        <f t="shared" si="50"/>
        <v>#DIV/0!</v>
      </c>
      <c r="K91" s="220" t="e">
        <f t="shared" si="50"/>
        <v>#DIV/0!</v>
      </c>
      <c r="L91" s="457"/>
      <c r="M91" s="221" t="e">
        <f>RANK(K91, K$87:$K$101)</f>
        <v>#DIV/0!</v>
      </c>
      <c r="N91" s="475"/>
      <c r="O91" s="475"/>
      <c r="P91" s="334"/>
      <c r="Q91" s="336"/>
      <c r="R91" s="336"/>
      <c r="S91" s="334" t="e">
        <f t="shared" si="51"/>
        <v>#N/A</v>
      </c>
      <c r="T91" s="508"/>
      <c r="U91" s="351"/>
      <c r="V91" s="354"/>
      <c r="W91" s="354"/>
      <c r="X91" s="334" t="e">
        <f t="shared" si="52"/>
        <v>#N/A</v>
      </c>
      <c r="Y91" s="508"/>
      <c r="Z91" s="351"/>
      <c r="AA91" s="354"/>
      <c r="AB91" s="354"/>
      <c r="AC91" s="334" t="e">
        <f t="shared" si="53"/>
        <v>#N/A</v>
      </c>
      <c r="AD91" s="508"/>
      <c r="AE91" s="351"/>
      <c r="AF91" s="354"/>
      <c r="AG91" s="354"/>
      <c r="AH91" s="334" t="e">
        <f t="shared" si="54"/>
        <v>#N/A</v>
      </c>
      <c r="AI91" s="508"/>
      <c r="AJ91" s="351"/>
      <c r="AK91" s="354"/>
      <c r="AL91" s="354"/>
      <c r="AM91" s="334" t="e">
        <f t="shared" si="55"/>
        <v>#N/A</v>
      </c>
      <c r="AN91" s="508"/>
      <c r="AO91" s="351"/>
      <c r="AP91" s="354"/>
      <c r="AQ91" s="354"/>
      <c r="AR91" s="334" t="e">
        <f t="shared" si="56"/>
        <v>#N/A</v>
      </c>
      <c r="AS91" s="508"/>
      <c r="AT91" s="334"/>
      <c r="AU91" s="336"/>
      <c r="AV91" s="336"/>
      <c r="AW91" s="334" t="e">
        <f t="shared" si="57"/>
        <v>#N/A</v>
      </c>
      <c r="AX91" s="506"/>
    </row>
    <row r="92" spans="2:50">
      <c r="B92" s="483"/>
      <c r="C92" s="334">
        <v>6</v>
      </c>
      <c r="D92" s="257"/>
      <c r="E92" s="187"/>
      <c r="F92" s="334"/>
      <c r="G92" s="336"/>
      <c r="H92" s="508"/>
      <c r="I92" s="219" t="e">
        <f t="shared" si="50"/>
        <v>#DIV/0!</v>
      </c>
      <c r="J92" s="219" t="e">
        <f t="shared" si="50"/>
        <v>#DIV/0!</v>
      </c>
      <c r="K92" s="220" t="e">
        <f t="shared" si="50"/>
        <v>#DIV/0!</v>
      </c>
      <c r="L92" s="457"/>
      <c r="M92" s="221" t="e">
        <f>RANK(K92, K$87:$K$101)</f>
        <v>#DIV/0!</v>
      </c>
      <c r="N92" s="475"/>
      <c r="O92" s="475"/>
      <c r="P92" s="334"/>
      <c r="Q92" s="336"/>
      <c r="R92" s="336"/>
      <c r="S92" s="334" t="e">
        <f t="shared" si="51"/>
        <v>#N/A</v>
      </c>
      <c r="T92" s="508"/>
      <c r="U92" s="351"/>
      <c r="V92" s="354"/>
      <c r="W92" s="354"/>
      <c r="X92" s="334" t="e">
        <f t="shared" si="52"/>
        <v>#N/A</v>
      </c>
      <c r="Y92" s="508"/>
      <c r="Z92" s="351"/>
      <c r="AA92" s="354"/>
      <c r="AB92" s="354"/>
      <c r="AC92" s="334" t="e">
        <f t="shared" si="53"/>
        <v>#N/A</v>
      </c>
      <c r="AD92" s="508"/>
      <c r="AE92" s="351"/>
      <c r="AF92" s="354"/>
      <c r="AG92" s="354"/>
      <c r="AH92" s="334" t="e">
        <f t="shared" si="54"/>
        <v>#N/A</v>
      </c>
      <c r="AI92" s="508"/>
      <c r="AJ92" s="351"/>
      <c r="AK92" s="354"/>
      <c r="AL92" s="354"/>
      <c r="AM92" s="334" t="e">
        <f t="shared" si="55"/>
        <v>#N/A</v>
      </c>
      <c r="AN92" s="508"/>
      <c r="AO92" s="351"/>
      <c r="AP92" s="354"/>
      <c r="AQ92" s="354"/>
      <c r="AR92" s="334" t="e">
        <f t="shared" si="56"/>
        <v>#N/A</v>
      </c>
      <c r="AS92" s="508"/>
      <c r="AT92" s="334"/>
      <c r="AU92" s="336"/>
      <c r="AV92" s="336"/>
      <c r="AW92" s="334" t="e">
        <f t="shared" si="57"/>
        <v>#N/A</v>
      </c>
      <c r="AX92" s="506"/>
    </row>
    <row r="93" spans="2:50">
      <c r="B93" s="483"/>
      <c r="C93" s="334">
        <v>7</v>
      </c>
      <c r="D93" s="257"/>
      <c r="E93" s="187"/>
      <c r="F93" s="334"/>
      <c r="G93" s="336"/>
      <c r="H93" s="508"/>
      <c r="I93" s="219" t="e">
        <f t="shared" si="50"/>
        <v>#DIV/0!</v>
      </c>
      <c r="J93" s="219" t="e">
        <f t="shared" si="50"/>
        <v>#DIV/0!</v>
      </c>
      <c r="K93" s="220" t="e">
        <f t="shared" si="50"/>
        <v>#DIV/0!</v>
      </c>
      <c r="L93" s="457"/>
      <c r="M93" s="221" t="e">
        <f>RANK(K93, K$87:$K$101)</f>
        <v>#DIV/0!</v>
      </c>
      <c r="N93" s="475"/>
      <c r="O93" s="475"/>
      <c r="P93" s="334"/>
      <c r="Q93" s="336"/>
      <c r="R93" s="336"/>
      <c r="S93" s="334" t="e">
        <f t="shared" si="51"/>
        <v>#N/A</v>
      </c>
      <c r="T93" s="508"/>
      <c r="U93" s="351"/>
      <c r="V93" s="354"/>
      <c r="W93" s="354"/>
      <c r="X93" s="334" t="e">
        <f t="shared" si="52"/>
        <v>#N/A</v>
      </c>
      <c r="Y93" s="508"/>
      <c r="Z93" s="351"/>
      <c r="AA93" s="354"/>
      <c r="AB93" s="354"/>
      <c r="AC93" s="334" t="e">
        <f t="shared" si="53"/>
        <v>#N/A</v>
      </c>
      <c r="AD93" s="508"/>
      <c r="AE93" s="351"/>
      <c r="AF93" s="354"/>
      <c r="AG93" s="354"/>
      <c r="AH93" s="334" t="e">
        <f t="shared" si="54"/>
        <v>#N/A</v>
      </c>
      <c r="AI93" s="508"/>
      <c r="AJ93" s="351"/>
      <c r="AK93" s="354"/>
      <c r="AL93" s="354"/>
      <c r="AM93" s="334" t="e">
        <f t="shared" si="55"/>
        <v>#N/A</v>
      </c>
      <c r="AN93" s="508"/>
      <c r="AO93" s="351"/>
      <c r="AP93" s="354"/>
      <c r="AQ93" s="354"/>
      <c r="AR93" s="334" t="e">
        <f t="shared" si="56"/>
        <v>#N/A</v>
      </c>
      <c r="AS93" s="508"/>
      <c r="AT93" s="334"/>
      <c r="AU93" s="336"/>
      <c r="AV93" s="336"/>
      <c r="AW93" s="334" t="e">
        <f t="shared" si="57"/>
        <v>#N/A</v>
      </c>
      <c r="AX93" s="506"/>
    </row>
    <row r="94" spans="2:50">
      <c r="B94" s="483"/>
      <c r="C94" s="334">
        <v>8</v>
      </c>
      <c r="D94" s="257"/>
      <c r="E94" s="187"/>
      <c r="F94" s="334"/>
      <c r="G94" s="336"/>
      <c r="H94" s="508"/>
      <c r="I94" s="219" t="e">
        <f t="shared" si="50"/>
        <v>#DIV/0!</v>
      </c>
      <c r="J94" s="219" t="e">
        <f t="shared" si="50"/>
        <v>#DIV/0!</v>
      </c>
      <c r="K94" s="220" t="e">
        <f t="shared" si="50"/>
        <v>#DIV/0!</v>
      </c>
      <c r="L94" s="457"/>
      <c r="M94" s="221" t="e">
        <f>RANK(K94, K$87:$K$101)</f>
        <v>#DIV/0!</v>
      </c>
      <c r="N94" s="475"/>
      <c r="O94" s="475"/>
      <c r="P94" s="334"/>
      <c r="Q94" s="336"/>
      <c r="R94" s="336"/>
      <c r="S94" s="334" t="e">
        <f t="shared" si="51"/>
        <v>#N/A</v>
      </c>
      <c r="T94" s="508"/>
      <c r="U94" s="351"/>
      <c r="V94" s="354"/>
      <c r="W94" s="354"/>
      <c r="X94" s="334" t="e">
        <f t="shared" si="52"/>
        <v>#N/A</v>
      </c>
      <c r="Y94" s="508"/>
      <c r="Z94" s="351"/>
      <c r="AA94" s="354"/>
      <c r="AB94" s="354"/>
      <c r="AC94" s="334" t="e">
        <f t="shared" si="53"/>
        <v>#N/A</v>
      </c>
      <c r="AD94" s="508"/>
      <c r="AE94" s="351"/>
      <c r="AF94" s="354"/>
      <c r="AG94" s="354"/>
      <c r="AH94" s="334" t="e">
        <f t="shared" si="54"/>
        <v>#N/A</v>
      </c>
      <c r="AI94" s="508"/>
      <c r="AJ94" s="351"/>
      <c r="AK94" s="354"/>
      <c r="AL94" s="354"/>
      <c r="AM94" s="334" t="e">
        <f t="shared" si="55"/>
        <v>#N/A</v>
      </c>
      <c r="AN94" s="508"/>
      <c r="AO94" s="351"/>
      <c r="AP94" s="354"/>
      <c r="AQ94" s="354"/>
      <c r="AR94" s="334" t="e">
        <f t="shared" si="56"/>
        <v>#N/A</v>
      </c>
      <c r="AS94" s="508"/>
      <c r="AT94" s="334"/>
      <c r="AU94" s="336"/>
      <c r="AV94" s="336"/>
      <c r="AW94" s="334" t="e">
        <f t="shared" si="57"/>
        <v>#N/A</v>
      </c>
      <c r="AX94" s="506"/>
    </row>
    <row r="95" spans="2:50">
      <c r="B95" s="483"/>
      <c r="C95" s="334">
        <v>9</v>
      </c>
      <c r="D95" s="257"/>
      <c r="E95" s="187"/>
      <c r="F95" s="334"/>
      <c r="G95" s="336"/>
      <c r="H95" s="508"/>
      <c r="I95" s="219"/>
      <c r="J95" s="219"/>
      <c r="K95" s="220"/>
      <c r="L95" s="457"/>
      <c r="M95" s="221" t="e">
        <f>RANK(K95, K$87:$K$101)</f>
        <v>#DIV/0!</v>
      </c>
      <c r="N95" s="475"/>
      <c r="O95" s="475"/>
      <c r="P95" s="334"/>
      <c r="Q95" s="336"/>
      <c r="R95" s="336"/>
      <c r="S95" s="334" t="e">
        <f t="shared" si="51"/>
        <v>#N/A</v>
      </c>
      <c r="T95" s="508"/>
      <c r="U95" s="351"/>
      <c r="V95" s="354"/>
      <c r="W95" s="354"/>
      <c r="X95" s="334" t="e">
        <f t="shared" si="52"/>
        <v>#N/A</v>
      </c>
      <c r="Y95" s="508"/>
      <c r="Z95" s="351"/>
      <c r="AA95" s="354"/>
      <c r="AB95" s="354"/>
      <c r="AC95" s="334" t="e">
        <f t="shared" si="53"/>
        <v>#N/A</v>
      </c>
      <c r="AD95" s="508"/>
      <c r="AE95" s="351"/>
      <c r="AF95" s="354"/>
      <c r="AG95" s="354"/>
      <c r="AH95" s="334" t="e">
        <f t="shared" si="54"/>
        <v>#N/A</v>
      </c>
      <c r="AI95" s="508"/>
      <c r="AJ95" s="351"/>
      <c r="AK95" s="354"/>
      <c r="AL95" s="354"/>
      <c r="AM95" s="334" t="e">
        <f t="shared" si="55"/>
        <v>#N/A</v>
      </c>
      <c r="AN95" s="508"/>
      <c r="AO95" s="351"/>
      <c r="AP95" s="354"/>
      <c r="AQ95" s="354"/>
      <c r="AR95" s="334" t="e">
        <f t="shared" si="56"/>
        <v>#N/A</v>
      </c>
      <c r="AS95" s="508"/>
      <c r="AT95" s="334"/>
      <c r="AU95" s="336"/>
      <c r="AV95" s="336"/>
      <c r="AW95" s="334" t="e">
        <f t="shared" si="57"/>
        <v>#N/A</v>
      </c>
      <c r="AX95" s="506"/>
    </row>
    <row r="96" spans="2:50">
      <c r="B96" s="483"/>
      <c r="C96" s="334">
        <v>10</v>
      </c>
      <c r="D96" s="257"/>
      <c r="E96" s="187"/>
      <c r="F96" s="334"/>
      <c r="G96" s="336"/>
      <c r="H96" s="508"/>
      <c r="I96" s="219"/>
      <c r="J96" s="219"/>
      <c r="K96" s="220"/>
      <c r="L96" s="457"/>
      <c r="M96" s="221" t="e">
        <f>RANK(K96, K$87:$K$101)</f>
        <v>#DIV/0!</v>
      </c>
      <c r="N96" s="475"/>
      <c r="O96" s="475"/>
      <c r="P96" s="334"/>
      <c r="Q96" s="336"/>
      <c r="R96" s="336"/>
      <c r="S96" s="334" t="e">
        <f t="shared" si="51"/>
        <v>#N/A</v>
      </c>
      <c r="T96" s="508"/>
      <c r="U96" s="351"/>
      <c r="V96" s="354"/>
      <c r="W96" s="354"/>
      <c r="X96" s="334" t="e">
        <f t="shared" si="52"/>
        <v>#N/A</v>
      </c>
      <c r="Y96" s="508"/>
      <c r="Z96" s="351"/>
      <c r="AA96" s="354"/>
      <c r="AB96" s="354"/>
      <c r="AC96" s="334" t="e">
        <f t="shared" si="53"/>
        <v>#N/A</v>
      </c>
      <c r="AD96" s="508"/>
      <c r="AE96" s="351"/>
      <c r="AF96" s="354"/>
      <c r="AG96" s="354"/>
      <c r="AH96" s="334" t="e">
        <f t="shared" si="54"/>
        <v>#N/A</v>
      </c>
      <c r="AI96" s="508"/>
      <c r="AJ96" s="351"/>
      <c r="AK96" s="354"/>
      <c r="AL96" s="354"/>
      <c r="AM96" s="334" t="e">
        <f t="shared" si="55"/>
        <v>#N/A</v>
      </c>
      <c r="AN96" s="508"/>
      <c r="AO96" s="351"/>
      <c r="AP96" s="354"/>
      <c r="AQ96" s="354"/>
      <c r="AR96" s="334" t="e">
        <f t="shared" si="56"/>
        <v>#N/A</v>
      </c>
      <c r="AS96" s="508"/>
      <c r="AT96" s="334"/>
      <c r="AU96" s="336"/>
      <c r="AV96" s="336"/>
      <c r="AW96" s="334" t="e">
        <f t="shared" si="57"/>
        <v>#N/A</v>
      </c>
      <c r="AX96" s="506"/>
    </row>
    <row r="97" spans="2:50">
      <c r="B97" s="483"/>
      <c r="C97" s="334">
        <v>11</v>
      </c>
      <c r="D97" s="257"/>
      <c r="E97" s="187"/>
      <c r="F97" s="334"/>
      <c r="G97" s="336"/>
      <c r="H97" s="508"/>
      <c r="I97" s="222"/>
      <c r="J97" s="222"/>
      <c r="K97" s="222"/>
      <c r="L97" s="457"/>
      <c r="M97" s="221" t="e">
        <f>RANK(K97, K$87:$K$101)</f>
        <v>#DIV/0!</v>
      </c>
      <c r="N97" s="475"/>
      <c r="O97" s="475"/>
      <c r="P97" s="334"/>
      <c r="Q97" s="336"/>
      <c r="R97" s="336"/>
      <c r="S97" s="334" t="e">
        <f t="shared" si="51"/>
        <v>#N/A</v>
      </c>
      <c r="T97" s="508"/>
      <c r="U97" s="351"/>
      <c r="V97" s="354"/>
      <c r="W97" s="354"/>
      <c r="X97" s="334" t="e">
        <f t="shared" si="52"/>
        <v>#N/A</v>
      </c>
      <c r="Y97" s="508"/>
      <c r="Z97" s="351"/>
      <c r="AA97" s="354"/>
      <c r="AB97" s="354"/>
      <c r="AC97" s="334" t="e">
        <f t="shared" si="53"/>
        <v>#N/A</v>
      </c>
      <c r="AD97" s="508"/>
      <c r="AE97" s="351"/>
      <c r="AF97" s="354"/>
      <c r="AG97" s="354"/>
      <c r="AH97" s="334" t="e">
        <f t="shared" si="54"/>
        <v>#N/A</v>
      </c>
      <c r="AI97" s="508"/>
      <c r="AJ97" s="351"/>
      <c r="AK97" s="354"/>
      <c r="AL97" s="354"/>
      <c r="AM97" s="334" t="e">
        <f t="shared" si="55"/>
        <v>#N/A</v>
      </c>
      <c r="AN97" s="508"/>
      <c r="AO97" s="351"/>
      <c r="AP97" s="354"/>
      <c r="AQ97" s="354"/>
      <c r="AR97" s="334" t="e">
        <f t="shared" si="56"/>
        <v>#N/A</v>
      </c>
      <c r="AS97" s="508"/>
      <c r="AT97" s="334"/>
      <c r="AU97" s="336"/>
      <c r="AV97" s="336"/>
      <c r="AW97" s="334" t="e">
        <f t="shared" si="57"/>
        <v>#N/A</v>
      </c>
      <c r="AX97" s="506"/>
    </row>
    <row r="98" spans="2:50">
      <c r="B98" s="483"/>
      <c r="C98" s="334">
        <v>12</v>
      </c>
      <c r="D98" s="257"/>
      <c r="E98" s="187"/>
      <c r="F98" s="334"/>
      <c r="G98" s="336"/>
      <c r="H98" s="508"/>
      <c r="I98" s="222"/>
      <c r="J98" s="222"/>
      <c r="K98" s="222"/>
      <c r="L98" s="457"/>
      <c r="M98" s="221" t="e">
        <f>RANK(K98, K$87:$K$101)</f>
        <v>#DIV/0!</v>
      </c>
      <c r="N98" s="475"/>
      <c r="O98" s="475"/>
      <c r="P98" s="334"/>
      <c r="Q98" s="336"/>
      <c r="R98" s="336"/>
      <c r="S98" s="334" t="e">
        <f t="shared" si="51"/>
        <v>#N/A</v>
      </c>
      <c r="T98" s="508"/>
      <c r="U98" s="351"/>
      <c r="V98" s="354"/>
      <c r="W98" s="354"/>
      <c r="X98" s="334" t="e">
        <f t="shared" si="52"/>
        <v>#N/A</v>
      </c>
      <c r="Y98" s="508"/>
      <c r="Z98" s="351"/>
      <c r="AA98" s="354"/>
      <c r="AB98" s="354"/>
      <c r="AC98" s="334" t="e">
        <f t="shared" si="53"/>
        <v>#N/A</v>
      </c>
      <c r="AD98" s="508"/>
      <c r="AE98" s="351"/>
      <c r="AF98" s="354"/>
      <c r="AG98" s="354"/>
      <c r="AH98" s="334" t="e">
        <f t="shared" si="54"/>
        <v>#N/A</v>
      </c>
      <c r="AI98" s="508"/>
      <c r="AJ98" s="351"/>
      <c r="AK98" s="354"/>
      <c r="AL98" s="354"/>
      <c r="AM98" s="334" t="e">
        <f t="shared" si="55"/>
        <v>#N/A</v>
      </c>
      <c r="AN98" s="508"/>
      <c r="AO98" s="351"/>
      <c r="AP98" s="354"/>
      <c r="AQ98" s="354"/>
      <c r="AR98" s="334" t="e">
        <f t="shared" si="56"/>
        <v>#N/A</v>
      </c>
      <c r="AS98" s="508"/>
      <c r="AT98" s="334"/>
      <c r="AU98" s="334"/>
      <c r="AV98" s="334"/>
      <c r="AW98" s="334" t="e">
        <f t="shared" si="57"/>
        <v>#N/A</v>
      </c>
      <c r="AX98" s="506"/>
    </row>
    <row r="99" spans="2:50">
      <c r="B99" s="483"/>
      <c r="C99" s="334">
        <v>13</v>
      </c>
      <c r="D99" s="257"/>
      <c r="E99" s="187"/>
      <c r="F99" s="334"/>
      <c r="G99" s="336"/>
      <c r="H99" s="508"/>
      <c r="I99" s="222"/>
      <c r="J99" s="222"/>
      <c r="K99" s="222"/>
      <c r="L99" s="457"/>
      <c r="M99" s="221" t="e">
        <f>RANK(K99, K$87:$K$101)</f>
        <v>#DIV/0!</v>
      </c>
      <c r="N99" s="475"/>
      <c r="O99" s="475"/>
      <c r="P99" s="334"/>
      <c r="Q99" s="336"/>
      <c r="R99" s="336"/>
      <c r="S99" s="334" t="e">
        <f t="shared" si="51"/>
        <v>#N/A</v>
      </c>
      <c r="T99" s="508"/>
      <c r="U99" s="351"/>
      <c r="V99" s="354"/>
      <c r="W99" s="354"/>
      <c r="X99" s="334" t="e">
        <f t="shared" si="52"/>
        <v>#N/A</v>
      </c>
      <c r="Y99" s="508"/>
      <c r="Z99" s="351"/>
      <c r="AA99" s="354"/>
      <c r="AB99" s="354"/>
      <c r="AC99" s="334" t="e">
        <f t="shared" si="53"/>
        <v>#N/A</v>
      </c>
      <c r="AD99" s="508"/>
      <c r="AE99" s="351"/>
      <c r="AF99" s="354"/>
      <c r="AG99" s="354"/>
      <c r="AH99" s="334" t="e">
        <f t="shared" si="54"/>
        <v>#N/A</v>
      </c>
      <c r="AI99" s="508"/>
      <c r="AJ99" s="351"/>
      <c r="AK99" s="354"/>
      <c r="AL99" s="354"/>
      <c r="AM99" s="334" t="e">
        <f t="shared" si="55"/>
        <v>#N/A</v>
      </c>
      <c r="AN99" s="508"/>
      <c r="AO99" s="351"/>
      <c r="AP99" s="354"/>
      <c r="AQ99" s="354"/>
      <c r="AR99" s="334" t="e">
        <f t="shared" si="56"/>
        <v>#N/A</v>
      </c>
      <c r="AS99" s="508"/>
      <c r="AT99" s="334"/>
      <c r="AU99" s="334"/>
      <c r="AV99" s="334"/>
      <c r="AW99" s="334" t="e">
        <f t="shared" si="57"/>
        <v>#N/A</v>
      </c>
      <c r="AX99" s="506"/>
    </row>
    <row r="100" spans="2:50">
      <c r="B100" s="483"/>
      <c r="C100" s="334">
        <v>14</v>
      </c>
      <c r="D100" s="257"/>
      <c r="E100" s="187"/>
      <c r="F100" s="334"/>
      <c r="G100" s="336"/>
      <c r="H100" s="508"/>
      <c r="I100" s="222"/>
      <c r="J100" s="222"/>
      <c r="K100" s="222"/>
      <c r="L100" s="457"/>
      <c r="M100" s="221" t="e">
        <f>RANK(K100, K$87:$K$101)</f>
        <v>#DIV/0!</v>
      </c>
      <c r="N100" s="475"/>
      <c r="O100" s="475"/>
      <c r="P100" s="334"/>
      <c r="Q100" s="336"/>
      <c r="R100" s="336"/>
      <c r="S100" s="334" t="e">
        <f t="shared" si="51"/>
        <v>#N/A</v>
      </c>
      <c r="T100" s="508"/>
      <c r="U100" s="351"/>
      <c r="V100" s="354"/>
      <c r="W100" s="354"/>
      <c r="X100" s="334" t="e">
        <f t="shared" si="52"/>
        <v>#N/A</v>
      </c>
      <c r="Y100" s="508"/>
      <c r="Z100" s="351"/>
      <c r="AA100" s="354"/>
      <c r="AB100" s="354"/>
      <c r="AC100" s="334" t="e">
        <f t="shared" si="53"/>
        <v>#N/A</v>
      </c>
      <c r="AD100" s="508"/>
      <c r="AE100" s="351"/>
      <c r="AF100" s="354"/>
      <c r="AG100" s="354"/>
      <c r="AH100" s="334" t="e">
        <f t="shared" si="54"/>
        <v>#N/A</v>
      </c>
      <c r="AI100" s="508"/>
      <c r="AJ100" s="351"/>
      <c r="AK100" s="354"/>
      <c r="AL100" s="354"/>
      <c r="AM100" s="334" t="e">
        <f t="shared" si="55"/>
        <v>#N/A</v>
      </c>
      <c r="AN100" s="508"/>
      <c r="AO100" s="351"/>
      <c r="AP100" s="354"/>
      <c r="AQ100" s="354"/>
      <c r="AR100" s="334" t="e">
        <f t="shared" si="56"/>
        <v>#N/A</v>
      </c>
      <c r="AS100" s="508"/>
      <c r="AT100" s="334"/>
      <c r="AU100" s="334"/>
      <c r="AV100" s="334"/>
      <c r="AW100" s="334" t="e">
        <f t="shared" si="57"/>
        <v>#N/A</v>
      </c>
      <c r="AX100" s="506"/>
    </row>
    <row r="101" spans="2:50">
      <c r="B101" s="483"/>
      <c r="C101" s="334">
        <v>15</v>
      </c>
      <c r="D101" s="257"/>
      <c r="E101" s="187"/>
      <c r="F101" s="334"/>
      <c r="G101" s="336"/>
      <c r="H101" s="509"/>
      <c r="I101" s="222"/>
      <c r="J101" s="222"/>
      <c r="K101" s="222"/>
      <c r="L101" s="458"/>
      <c r="M101" s="219" t="e">
        <f>RANK(K101, K$87:$K$101)</f>
        <v>#DIV/0!</v>
      </c>
      <c r="N101" s="475"/>
      <c r="O101" s="475"/>
      <c r="P101" s="334"/>
      <c r="Q101" s="336"/>
      <c r="R101" s="336"/>
      <c r="S101" s="334" t="e">
        <f t="shared" si="51"/>
        <v>#N/A</v>
      </c>
      <c r="T101" s="509"/>
      <c r="U101" s="351"/>
      <c r="V101" s="354"/>
      <c r="W101" s="354"/>
      <c r="X101" s="334" t="e">
        <f t="shared" si="52"/>
        <v>#N/A</v>
      </c>
      <c r="Y101" s="509"/>
      <c r="Z101" s="351"/>
      <c r="AA101" s="354"/>
      <c r="AB101" s="354"/>
      <c r="AC101" s="334" t="e">
        <f t="shared" si="53"/>
        <v>#N/A</v>
      </c>
      <c r="AD101" s="509"/>
      <c r="AE101" s="351"/>
      <c r="AF101" s="354"/>
      <c r="AG101" s="354"/>
      <c r="AH101" s="334" t="e">
        <f t="shared" si="54"/>
        <v>#N/A</v>
      </c>
      <c r="AI101" s="509"/>
      <c r="AJ101" s="351"/>
      <c r="AK101" s="354"/>
      <c r="AL101" s="354"/>
      <c r="AM101" s="334" t="e">
        <f t="shared" si="55"/>
        <v>#N/A</v>
      </c>
      <c r="AN101" s="509"/>
      <c r="AO101" s="351"/>
      <c r="AP101" s="354"/>
      <c r="AQ101" s="354"/>
      <c r="AR101" s="334" t="e">
        <f t="shared" si="56"/>
        <v>#N/A</v>
      </c>
      <c r="AS101" s="509"/>
      <c r="AT101" s="334"/>
      <c r="AU101" s="334"/>
      <c r="AV101" s="334"/>
      <c r="AW101" s="334" t="e">
        <f t="shared" si="57"/>
        <v>#N/A</v>
      </c>
      <c r="AX101" s="506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="50" zoomScaleNormal="50" workbookViewId="0">
      <pane xSplit="15" topLeftCell="S1" activePane="topRight" state="frozen"/>
      <selection sqref="A1:L2"/>
      <selection pane="topRight" sqref="A1:L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7" t="s">
        <v>381</v>
      </c>
      <c r="C1" s="107">
        <f>AVERAGE(L7,L27,L47,L67,L87)</f>
        <v>87.692998777548084</v>
      </c>
    </row>
    <row r="2" spans="1:50" ht="15.75">
      <c r="A2" s="81"/>
      <c r="B2" s="487" t="s">
        <v>172</v>
      </c>
      <c r="C2" s="487"/>
      <c r="D2" s="487"/>
      <c r="E2" s="487"/>
      <c r="F2" s="487"/>
      <c r="G2" s="487"/>
      <c r="H2" s="487"/>
      <c r="I2" s="352"/>
      <c r="J2" s="352"/>
      <c r="K2" s="352"/>
      <c r="L2" s="352"/>
      <c r="M2" s="217"/>
      <c r="N2" s="476" t="s">
        <v>164</v>
      </c>
      <c r="O2" s="476" t="s">
        <v>163</v>
      </c>
      <c r="P2" s="479">
        <v>45895</v>
      </c>
      <c r="Q2" s="480"/>
      <c r="R2" s="480"/>
      <c r="S2" s="480"/>
      <c r="T2" s="481"/>
      <c r="U2" s="482">
        <f>P2+1</f>
        <v>45896</v>
      </c>
      <c r="V2" s="483"/>
      <c r="W2" s="483"/>
      <c r="X2" s="483"/>
      <c r="Y2" s="483"/>
      <c r="Z2" s="482">
        <f>U2+1</f>
        <v>45897</v>
      </c>
      <c r="AA2" s="483"/>
      <c r="AB2" s="483"/>
      <c r="AC2" s="483"/>
      <c r="AD2" s="483"/>
      <c r="AE2" s="482">
        <f>Z2+1</f>
        <v>45898</v>
      </c>
      <c r="AF2" s="483"/>
      <c r="AG2" s="483"/>
      <c r="AH2" s="483"/>
      <c r="AI2" s="483"/>
      <c r="AJ2" s="482">
        <f>AE2+1</f>
        <v>45899</v>
      </c>
      <c r="AK2" s="483"/>
      <c r="AL2" s="483"/>
      <c r="AM2" s="483"/>
      <c r="AN2" s="483"/>
      <c r="AO2" s="482">
        <f>AJ2+1</f>
        <v>45900</v>
      </c>
      <c r="AP2" s="483"/>
      <c r="AQ2" s="483"/>
      <c r="AR2" s="483"/>
      <c r="AS2" s="483"/>
      <c r="AT2" s="482">
        <f>AO2+1</f>
        <v>45901</v>
      </c>
      <c r="AU2" s="483"/>
      <c r="AV2" s="483"/>
      <c r="AW2" s="483"/>
      <c r="AX2" s="483"/>
    </row>
    <row r="3" spans="1:50" ht="15.75">
      <c r="A3" s="81"/>
      <c r="B3" s="504"/>
      <c r="C3" s="504"/>
      <c r="D3" s="504"/>
      <c r="E3" s="504"/>
      <c r="F3" s="504"/>
      <c r="G3" s="504"/>
      <c r="H3" s="504"/>
      <c r="I3" s="353"/>
      <c r="J3" s="353"/>
      <c r="K3" s="353"/>
      <c r="L3" s="353"/>
      <c r="M3" s="218"/>
      <c r="N3" s="478"/>
      <c r="O3" s="478"/>
      <c r="P3" s="479" t="s">
        <v>166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168</v>
      </c>
      <c r="AA3" s="480"/>
      <c r="AB3" s="480"/>
      <c r="AC3" s="480"/>
      <c r="AD3" s="481"/>
      <c r="AE3" s="479" t="s">
        <v>165</v>
      </c>
      <c r="AF3" s="480"/>
      <c r="AG3" s="480"/>
      <c r="AH3" s="480"/>
      <c r="AI3" s="481"/>
      <c r="AJ3" s="479" t="s">
        <v>169</v>
      </c>
      <c r="AK3" s="480"/>
      <c r="AL3" s="480"/>
      <c r="AM3" s="480"/>
      <c r="AN3" s="481"/>
      <c r="AO3" s="479" t="s">
        <v>170</v>
      </c>
      <c r="AP3" s="480"/>
      <c r="AQ3" s="480"/>
      <c r="AR3" s="480"/>
      <c r="AS3" s="481"/>
      <c r="AT3" s="479" t="s">
        <v>171</v>
      </c>
      <c r="AU3" s="480"/>
      <c r="AV3" s="480"/>
      <c r="AW3" s="480"/>
      <c r="AX3" s="481"/>
    </row>
    <row r="4" spans="1:50">
      <c r="A4" s="81"/>
      <c r="B4" s="475" t="s">
        <v>766</v>
      </c>
      <c r="C4" s="475" t="s">
        <v>767</v>
      </c>
      <c r="D4" s="475"/>
      <c r="E4" s="475" t="s">
        <v>768</v>
      </c>
      <c r="F4" s="475"/>
      <c r="G4" s="475"/>
      <c r="H4" s="491" t="s">
        <v>769</v>
      </c>
      <c r="I4" s="459" t="s">
        <v>770</v>
      </c>
      <c r="J4" s="459"/>
      <c r="K4" s="459"/>
      <c r="L4" s="460" t="s">
        <v>769</v>
      </c>
      <c r="M4" s="466" t="s">
        <v>771</v>
      </c>
      <c r="N4" s="475"/>
      <c r="O4" s="475" t="s">
        <v>772</v>
      </c>
      <c r="P4" s="472" t="s">
        <v>773</v>
      </c>
      <c r="Q4" s="473"/>
      <c r="R4" s="473"/>
      <c r="S4" s="474"/>
      <c r="T4" s="475" t="s">
        <v>769</v>
      </c>
      <c r="U4" s="472" t="s">
        <v>773</v>
      </c>
      <c r="V4" s="473"/>
      <c r="W4" s="473"/>
      <c r="X4" s="474"/>
      <c r="Y4" s="475" t="s">
        <v>769</v>
      </c>
      <c r="Z4" s="472" t="s">
        <v>773</v>
      </c>
      <c r="AA4" s="473"/>
      <c r="AB4" s="473"/>
      <c r="AC4" s="474"/>
      <c r="AD4" s="475" t="s">
        <v>769</v>
      </c>
      <c r="AE4" s="472" t="s">
        <v>773</v>
      </c>
      <c r="AF4" s="473"/>
      <c r="AG4" s="473"/>
      <c r="AH4" s="474"/>
      <c r="AI4" s="475" t="s">
        <v>769</v>
      </c>
      <c r="AJ4" s="472" t="s">
        <v>773</v>
      </c>
      <c r="AK4" s="473"/>
      <c r="AL4" s="473"/>
      <c r="AM4" s="474"/>
      <c r="AN4" s="475" t="s">
        <v>769</v>
      </c>
      <c r="AO4" s="472" t="s">
        <v>773</v>
      </c>
      <c r="AP4" s="473"/>
      <c r="AQ4" s="473"/>
      <c r="AR4" s="474"/>
      <c r="AS4" s="475" t="s">
        <v>769</v>
      </c>
      <c r="AT4" s="472" t="s">
        <v>773</v>
      </c>
      <c r="AU4" s="473"/>
      <c r="AV4" s="473"/>
      <c r="AW4" s="474"/>
      <c r="AX4" s="475" t="s">
        <v>769</v>
      </c>
    </row>
    <row r="5" spans="1:50">
      <c r="A5" s="81"/>
      <c r="B5" s="475"/>
      <c r="C5" s="475"/>
      <c r="D5" s="475"/>
      <c r="E5" s="475" t="s">
        <v>774</v>
      </c>
      <c r="F5" s="475"/>
      <c r="G5" s="475"/>
      <c r="H5" s="492"/>
      <c r="I5" s="459" t="s">
        <v>774</v>
      </c>
      <c r="J5" s="459"/>
      <c r="K5" s="459"/>
      <c r="L5" s="461"/>
      <c r="M5" s="467"/>
      <c r="N5" s="475"/>
      <c r="O5" s="475"/>
      <c r="P5" s="472" t="s">
        <v>775</v>
      </c>
      <c r="Q5" s="473"/>
      <c r="R5" s="473"/>
      <c r="S5" s="474"/>
      <c r="T5" s="475"/>
      <c r="U5" s="472" t="s">
        <v>775</v>
      </c>
      <c r="V5" s="473"/>
      <c r="W5" s="473"/>
      <c r="X5" s="474"/>
      <c r="Y5" s="475"/>
      <c r="Z5" s="472" t="s">
        <v>775</v>
      </c>
      <c r="AA5" s="473"/>
      <c r="AB5" s="473"/>
      <c r="AC5" s="474"/>
      <c r="AD5" s="475"/>
      <c r="AE5" s="472" t="s">
        <v>775</v>
      </c>
      <c r="AF5" s="473"/>
      <c r="AG5" s="473"/>
      <c r="AH5" s="474"/>
      <c r="AI5" s="475"/>
      <c r="AJ5" s="472" t="s">
        <v>775</v>
      </c>
      <c r="AK5" s="473"/>
      <c r="AL5" s="473"/>
      <c r="AM5" s="474"/>
      <c r="AN5" s="475"/>
      <c r="AO5" s="472" t="s">
        <v>775</v>
      </c>
      <c r="AP5" s="473"/>
      <c r="AQ5" s="473"/>
      <c r="AR5" s="474"/>
      <c r="AS5" s="475"/>
      <c r="AT5" s="472" t="s">
        <v>775</v>
      </c>
      <c r="AU5" s="473"/>
      <c r="AV5" s="473"/>
      <c r="AW5" s="474"/>
      <c r="AX5" s="475"/>
    </row>
    <row r="6" spans="1:50">
      <c r="A6" s="79"/>
      <c r="B6" s="475"/>
      <c r="C6" s="475"/>
      <c r="D6" s="475"/>
      <c r="E6" s="369" t="s">
        <v>776</v>
      </c>
      <c r="F6" s="369" t="s">
        <v>777</v>
      </c>
      <c r="G6" s="369" t="s">
        <v>778</v>
      </c>
      <c r="H6" s="493"/>
      <c r="I6" s="370" t="s">
        <v>776</v>
      </c>
      <c r="J6" s="370" t="s">
        <v>777</v>
      </c>
      <c r="K6" s="370" t="s">
        <v>778</v>
      </c>
      <c r="L6" s="462"/>
      <c r="M6" s="468"/>
      <c r="N6" s="475"/>
      <c r="O6" s="475"/>
      <c r="P6" s="369" t="s">
        <v>776</v>
      </c>
      <c r="Q6" s="369" t="s">
        <v>777</v>
      </c>
      <c r="R6" s="369" t="s">
        <v>778</v>
      </c>
      <c r="S6" s="369" t="s">
        <v>771</v>
      </c>
      <c r="T6" s="475"/>
      <c r="U6" s="369" t="s">
        <v>776</v>
      </c>
      <c r="V6" s="369" t="s">
        <v>777</v>
      </c>
      <c r="W6" s="369" t="s">
        <v>778</v>
      </c>
      <c r="X6" s="369" t="s">
        <v>771</v>
      </c>
      <c r="Y6" s="475"/>
      <c r="Z6" s="369" t="s">
        <v>776</v>
      </c>
      <c r="AA6" s="369" t="s">
        <v>777</v>
      </c>
      <c r="AB6" s="369" t="s">
        <v>778</v>
      </c>
      <c r="AC6" s="369" t="s">
        <v>771</v>
      </c>
      <c r="AD6" s="475"/>
      <c r="AE6" s="369" t="s">
        <v>776</v>
      </c>
      <c r="AF6" s="369" t="s">
        <v>777</v>
      </c>
      <c r="AG6" s="369" t="s">
        <v>778</v>
      </c>
      <c r="AH6" s="369" t="s">
        <v>771</v>
      </c>
      <c r="AI6" s="475"/>
      <c r="AJ6" s="369" t="s">
        <v>776</v>
      </c>
      <c r="AK6" s="369" t="s">
        <v>777</v>
      </c>
      <c r="AL6" s="369" t="s">
        <v>778</v>
      </c>
      <c r="AM6" s="369" t="s">
        <v>771</v>
      </c>
      <c r="AN6" s="475"/>
      <c r="AO6" s="369" t="s">
        <v>776</v>
      </c>
      <c r="AP6" s="369" t="s">
        <v>777</v>
      </c>
      <c r="AQ6" s="369" t="s">
        <v>778</v>
      </c>
      <c r="AR6" s="369" t="s">
        <v>771</v>
      </c>
      <c r="AS6" s="475"/>
      <c r="AT6" s="369" t="s">
        <v>776</v>
      </c>
      <c r="AU6" s="369" t="s">
        <v>777</v>
      </c>
      <c r="AV6" s="369" t="s">
        <v>778</v>
      </c>
      <c r="AW6" s="369" t="s">
        <v>771</v>
      </c>
      <c r="AX6" s="475"/>
    </row>
    <row r="7" spans="1:50">
      <c r="A7" s="81"/>
      <c r="B7" s="475" t="s">
        <v>785</v>
      </c>
      <c r="C7" s="368">
        <v>1</v>
      </c>
      <c r="D7" s="257" t="s">
        <v>489</v>
      </c>
      <c r="E7" s="187">
        <v>19</v>
      </c>
      <c r="F7" s="368">
        <v>1636</v>
      </c>
      <c r="G7" s="371">
        <v>86.10526315789474</v>
      </c>
      <c r="H7" s="507">
        <f>AVERAGE(G7:G21)</f>
        <v>95.049247769283156</v>
      </c>
      <c r="I7" s="219">
        <f>AVERAGE(P7,U7,Z7,AE7,AJ7,AO7,AT7)</f>
        <v>19</v>
      </c>
      <c r="J7" s="219">
        <f>AVERAGE(Q7,V7,AA7,AF7,AK7,AP7,AU7)</f>
        <v>1382.2361707179055</v>
      </c>
      <c r="K7" s="220">
        <f>AVERAGE(R7,W7,AB7,AG7,AL7,AQ7,AV7)</f>
        <v>72.749272143047648</v>
      </c>
      <c r="L7" s="456">
        <f>IFERROR(AVERAGE(K7:K21),"-")</f>
        <v>87.552348375596253</v>
      </c>
      <c r="M7" s="221">
        <f>RANK(K7, K$7:$K$21)</f>
        <v>7</v>
      </c>
      <c r="N7" s="475"/>
      <c r="O7" s="475"/>
      <c r="P7" s="187">
        <v>19</v>
      </c>
      <c r="Q7" s="187">
        <v>1349.6842105263154</v>
      </c>
      <c r="R7" s="187">
        <v>71.036011080332386</v>
      </c>
      <c r="S7" s="368">
        <f t="shared" ref="S7:S21" si="0">RANK(R7, R$7:R$21)</f>
        <v>6</v>
      </c>
      <c r="T7" s="506">
        <f>AVERAGE(R7:R21)</f>
        <v>85.463663562237073</v>
      </c>
      <c r="U7" s="187">
        <v>19</v>
      </c>
      <c r="V7" s="187">
        <v>1394.6808510638293</v>
      </c>
      <c r="W7" s="187">
        <v>73.404255319148916</v>
      </c>
      <c r="X7" s="368">
        <f t="shared" ref="X7:X21" si="1">RANK(W7, W$7:W$21)</f>
        <v>6</v>
      </c>
      <c r="Y7" s="506">
        <f>AVERAGE(W7:W21)</f>
        <v>87.236459533284616</v>
      </c>
      <c r="Z7" s="187">
        <v>19</v>
      </c>
      <c r="AA7" s="187">
        <v>1384.7727272727273</v>
      </c>
      <c r="AB7" s="187">
        <v>72.882775119617222</v>
      </c>
      <c r="AC7" s="368">
        <f t="shared" ref="AC7:AC21" si="2">RANK(AB7, AB$7:AB$21)</f>
        <v>6</v>
      </c>
      <c r="AD7" s="506">
        <f>AVERAGE(AB7:AB21)</f>
        <v>89.745435003295029</v>
      </c>
      <c r="AE7" s="187">
        <v>19</v>
      </c>
      <c r="AF7" s="187">
        <v>1408.0519480519481</v>
      </c>
      <c r="AG7" s="187">
        <v>74.10799726589201</v>
      </c>
      <c r="AH7" s="368">
        <f t="shared" ref="AH7:AH21" si="3">RANK(AG7, AG$7:AG$21)</f>
        <v>5</v>
      </c>
      <c r="AI7" s="506">
        <f>AVERAGE(AG7:AG21)</f>
        <v>89.260491469306416</v>
      </c>
      <c r="AJ7" s="187">
        <v>19</v>
      </c>
      <c r="AK7" s="187">
        <v>1368.0000000000005</v>
      </c>
      <c r="AL7" s="187">
        <v>72.000000000000028</v>
      </c>
      <c r="AM7" s="368">
        <f t="shared" ref="AM7:AM21" si="4">RANK(AL7, AL$7:AL$21)</f>
        <v>6</v>
      </c>
      <c r="AN7" s="506">
        <f>AVERAGE(AL7:AL21)</f>
        <v>87.722333908861415</v>
      </c>
      <c r="AO7" s="187">
        <v>19</v>
      </c>
      <c r="AP7" s="187">
        <v>1374.705882352941</v>
      </c>
      <c r="AQ7" s="187">
        <v>72.35294117647058</v>
      </c>
      <c r="AR7" s="368">
        <f t="shared" ref="AR7:AR21" si="5">RANK(AQ7, AQ$7:AQ$21)</f>
        <v>6</v>
      </c>
      <c r="AS7" s="506">
        <f>AVERAGE(AQ7:AQ21)</f>
        <v>91.005289612132103</v>
      </c>
      <c r="AT7" s="187">
        <v>19</v>
      </c>
      <c r="AU7" s="187">
        <v>1395.7575757575755</v>
      </c>
      <c r="AV7" s="187">
        <v>73.460925039872393</v>
      </c>
      <c r="AW7" s="368">
        <f t="shared" ref="AW7:AW21" si="6">RANK(AV7, AV$7:AV$21)</f>
        <v>6</v>
      </c>
      <c r="AX7" s="506">
        <f>AVERAGE(AV7:AV21)</f>
        <v>90.835582290722982</v>
      </c>
    </row>
    <row r="8" spans="1:50" ht="15" customHeight="1">
      <c r="A8" s="81"/>
      <c r="B8" s="483"/>
      <c r="C8" s="368">
        <v>2</v>
      </c>
      <c r="D8" s="257" t="s">
        <v>493</v>
      </c>
      <c r="E8" s="187">
        <v>17</v>
      </c>
      <c r="F8" s="368">
        <v>1500</v>
      </c>
      <c r="G8" s="371">
        <v>88.235294117647058</v>
      </c>
      <c r="H8" s="508"/>
      <c r="I8" s="219">
        <f t="shared" ref="I8:K13" si="7">AVERAGE(P8,U8,Z8,AE8,AJ8,AO8,AT8)</f>
        <v>17</v>
      </c>
      <c r="J8" s="219">
        <f t="shared" si="7"/>
        <v>1325.1480111008327</v>
      </c>
      <c r="K8" s="220">
        <f t="shared" si="7"/>
        <v>77.949883005931326</v>
      </c>
      <c r="L8" s="457"/>
      <c r="M8" s="221">
        <f>RANK(K8, K$7:$K$21)</f>
        <v>3</v>
      </c>
      <c r="N8" s="475"/>
      <c r="O8" s="475"/>
      <c r="P8" s="187">
        <v>17</v>
      </c>
      <c r="Q8" s="187">
        <v>1323.9130434782608</v>
      </c>
      <c r="R8" s="187">
        <v>77.8772378516624</v>
      </c>
      <c r="S8" s="368">
        <f t="shared" si="0"/>
        <v>2</v>
      </c>
      <c r="T8" s="506"/>
      <c r="U8" s="187">
        <v>17</v>
      </c>
      <c r="V8" s="187">
        <v>1326.3829787234044</v>
      </c>
      <c r="W8" s="187">
        <v>78.022528160200267</v>
      </c>
      <c r="X8" s="368">
        <f t="shared" si="1"/>
        <v>2</v>
      </c>
      <c r="Y8" s="506"/>
      <c r="Z8" s="187"/>
      <c r="AA8" s="187"/>
      <c r="AB8" s="187"/>
      <c r="AC8" s="368" t="e">
        <f t="shared" si="2"/>
        <v>#N/A</v>
      </c>
      <c r="AD8" s="506"/>
      <c r="AE8" s="187"/>
      <c r="AF8" s="187"/>
      <c r="AG8" s="187"/>
      <c r="AH8" s="368" t="e">
        <f t="shared" si="3"/>
        <v>#N/A</v>
      </c>
      <c r="AI8" s="506"/>
      <c r="AJ8" s="187"/>
      <c r="AK8" s="187"/>
      <c r="AL8" s="187"/>
      <c r="AM8" s="368" t="e">
        <f t="shared" si="4"/>
        <v>#N/A</v>
      </c>
      <c r="AN8" s="506"/>
      <c r="AO8" s="187"/>
      <c r="AP8" s="187"/>
      <c r="AQ8" s="187"/>
      <c r="AR8" s="368" t="e">
        <f t="shared" si="5"/>
        <v>#N/A</v>
      </c>
      <c r="AS8" s="506"/>
      <c r="AT8" s="187"/>
      <c r="AU8" s="187"/>
      <c r="AV8" s="187"/>
      <c r="AW8" s="368" t="e">
        <f t="shared" si="6"/>
        <v>#N/A</v>
      </c>
      <c r="AX8" s="506"/>
    </row>
    <row r="9" spans="1:50">
      <c r="A9" s="81"/>
      <c r="B9" s="483"/>
      <c r="C9" s="368">
        <v>3</v>
      </c>
      <c r="D9" s="257" t="s">
        <v>413</v>
      </c>
      <c r="E9" s="187">
        <v>18</v>
      </c>
      <c r="F9" s="368">
        <v>1636</v>
      </c>
      <c r="G9" s="371">
        <v>90.888888888888886</v>
      </c>
      <c r="H9" s="508"/>
      <c r="I9" s="219">
        <f t="shared" si="7"/>
        <v>18</v>
      </c>
      <c r="J9" s="219">
        <f t="shared" si="7"/>
        <v>1377.8133884522979</v>
      </c>
      <c r="K9" s="220">
        <f t="shared" si="7"/>
        <v>76.545188247349898</v>
      </c>
      <c r="L9" s="457"/>
      <c r="M9" s="221">
        <f>RANK(K9, K$7:$K$21)</f>
        <v>4</v>
      </c>
      <c r="N9" s="475"/>
      <c r="O9" s="475"/>
      <c r="P9" s="187">
        <v>18</v>
      </c>
      <c r="Q9" s="187">
        <v>1353.9749999999999</v>
      </c>
      <c r="R9" s="187">
        <v>75.220833333333331</v>
      </c>
      <c r="S9" s="368">
        <f t="shared" si="0"/>
        <v>3</v>
      </c>
      <c r="T9" s="506"/>
      <c r="U9" s="187">
        <v>18</v>
      </c>
      <c r="V9" s="187">
        <v>1383.1428571428569</v>
      </c>
      <c r="W9" s="187">
        <v>76.841269841269821</v>
      </c>
      <c r="X9" s="368">
        <f t="shared" si="1"/>
        <v>3</v>
      </c>
      <c r="Y9" s="506"/>
      <c r="Z9" s="187">
        <v>18</v>
      </c>
      <c r="AA9" s="187">
        <v>1366.0279720279721</v>
      </c>
      <c r="AB9" s="187">
        <v>75.890442890442898</v>
      </c>
      <c r="AC9" s="368">
        <f t="shared" si="2"/>
        <v>4</v>
      </c>
      <c r="AD9" s="506"/>
      <c r="AE9" s="187">
        <v>18</v>
      </c>
      <c r="AF9" s="187">
        <v>1381.4594594594594</v>
      </c>
      <c r="AG9" s="187">
        <v>76.747747747747738</v>
      </c>
      <c r="AH9" s="368">
        <f t="shared" si="3"/>
        <v>3</v>
      </c>
      <c r="AI9" s="506"/>
      <c r="AJ9" s="187">
        <v>18</v>
      </c>
      <c r="AK9" s="187">
        <v>1361.0270270270269</v>
      </c>
      <c r="AL9" s="187">
        <v>75.612612612612608</v>
      </c>
      <c r="AM9" s="368">
        <f t="shared" si="4"/>
        <v>3</v>
      </c>
      <c r="AN9" s="506"/>
      <c r="AO9" s="187">
        <v>18</v>
      </c>
      <c r="AP9" s="187">
        <v>1416.394736842105</v>
      </c>
      <c r="AQ9" s="187">
        <v>78.688596491228054</v>
      </c>
      <c r="AR9" s="368">
        <f t="shared" si="5"/>
        <v>3</v>
      </c>
      <c r="AS9" s="506"/>
      <c r="AT9" s="187">
        <v>18</v>
      </c>
      <c r="AU9" s="187">
        <v>1382.6666666666667</v>
      </c>
      <c r="AV9" s="187">
        <v>76.814814814814824</v>
      </c>
      <c r="AW9" s="368">
        <f t="shared" si="6"/>
        <v>3</v>
      </c>
      <c r="AX9" s="506"/>
    </row>
    <row r="10" spans="1:50">
      <c r="A10" s="81"/>
      <c r="B10" s="483"/>
      <c r="C10" s="368">
        <v>4</v>
      </c>
      <c r="D10" s="257" t="s">
        <v>492</v>
      </c>
      <c r="E10" s="187">
        <v>19</v>
      </c>
      <c r="F10" s="368">
        <v>1636</v>
      </c>
      <c r="G10" s="371">
        <v>86.10526315789474</v>
      </c>
      <c r="H10" s="508"/>
      <c r="I10" s="219">
        <f t="shared" si="7"/>
        <v>17.142857142857142</v>
      </c>
      <c r="J10" s="219">
        <f t="shared" si="7"/>
        <v>1340.1093142338602</v>
      </c>
      <c r="K10" s="220">
        <f t="shared" si="7"/>
        <v>78.463042544099707</v>
      </c>
      <c r="L10" s="457"/>
      <c r="M10" s="221">
        <f>RANK(K10, K$7:$K$21)</f>
        <v>2</v>
      </c>
      <c r="N10" s="475"/>
      <c r="O10" s="475"/>
      <c r="P10" s="187">
        <v>18</v>
      </c>
      <c r="Q10" s="187">
        <v>1339.3749999999998</v>
      </c>
      <c r="R10" s="187">
        <v>74.409722222222214</v>
      </c>
      <c r="S10" s="368">
        <f t="shared" si="0"/>
        <v>4</v>
      </c>
      <c r="T10" s="506"/>
      <c r="U10" s="187">
        <v>18</v>
      </c>
      <c r="V10" s="187">
        <v>1351.3333333333326</v>
      </c>
      <c r="W10" s="187">
        <v>75.074074074074034</v>
      </c>
      <c r="X10" s="368">
        <f t="shared" si="1"/>
        <v>5</v>
      </c>
      <c r="Y10" s="506"/>
      <c r="Z10" s="187">
        <v>16</v>
      </c>
      <c r="AA10" s="187">
        <v>1342.7586206896551</v>
      </c>
      <c r="AB10" s="187">
        <v>83.922413793103445</v>
      </c>
      <c r="AC10" s="368">
        <f t="shared" si="2"/>
        <v>2</v>
      </c>
      <c r="AD10" s="506"/>
      <c r="AE10" s="187">
        <v>18</v>
      </c>
      <c r="AF10" s="187">
        <v>1332.6315789473681</v>
      </c>
      <c r="AG10" s="187">
        <v>74.035087719298232</v>
      </c>
      <c r="AH10" s="368">
        <f t="shared" si="3"/>
        <v>6</v>
      </c>
      <c r="AI10" s="506"/>
      <c r="AJ10" s="187">
        <v>18</v>
      </c>
      <c r="AK10" s="187">
        <v>1312.8000000000006</v>
      </c>
      <c r="AL10" s="187">
        <v>72.933333333333366</v>
      </c>
      <c r="AM10" s="368">
        <f t="shared" si="4"/>
        <v>5</v>
      </c>
      <c r="AN10" s="506"/>
      <c r="AO10" s="187">
        <v>16</v>
      </c>
      <c r="AP10" s="187">
        <v>1333.1999999999998</v>
      </c>
      <c r="AQ10" s="187">
        <v>83.324999999999989</v>
      </c>
      <c r="AR10" s="368">
        <f t="shared" si="5"/>
        <v>2</v>
      </c>
      <c r="AS10" s="506"/>
      <c r="AT10" s="187">
        <v>16</v>
      </c>
      <c r="AU10" s="187">
        <v>1368.6666666666661</v>
      </c>
      <c r="AV10" s="187">
        <v>85.541666666666629</v>
      </c>
      <c r="AW10" s="368">
        <f t="shared" si="6"/>
        <v>2</v>
      </c>
      <c r="AX10" s="506"/>
    </row>
    <row r="11" spans="1:50">
      <c r="A11" s="81"/>
      <c r="B11" s="483"/>
      <c r="C11" s="368">
        <v>5</v>
      </c>
      <c r="D11" s="257" t="s">
        <v>600</v>
      </c>
      <c r="E11" s="187">
        <v>21</v>
      </c>
      <c r="F11" s="368">
        <v>1636</v>
      </c>
      <c r="G11" s="371">
        <v>77.904761904761898</v>
      </c>
      <c r="H11" s="508"/>
      <c r="I11" s="219">
        <f t="shared" si="7"/>
        <v>17.285714285714285</v>
      </c>
      <c r="J11" s="219">
        <f t="shared" si="7"/>
        <v>1280.9569002111682</v>
      </c>
      <c r="K11" s="220">
        <f t="shared" si="7"/>
        <v>74.146591035497565</v>
      </c>
      <c r="L11" s="457"/>
      <c r="M11" s="221">
        <f>RANK(K11, K$7:$K$21)</f>
        <v>6</v>
      </c>
      <c r="N11" s="475"/>
      <c r="O11" s="475"/>
      <c r="P11" s="187">
        <v>18</v>
      </c>
      <c r="Q11" s="187">
        <v>1260</v>
      </c>
      <c r="R11" s="187">
        <v>70</v>
      </c>
      <c r="S11" s="368">
        <f t="shared" si="0"/>
        <v>7</v>
      </c>
      <c r="T11" s="506"/>
      <c r="U11" s="187">
        <v>18</v>
      </c>
      <c r="V11" s="187">
        <v>1318.571428571428</v>
      </c>
      <c r="W11" s="187">
        <v>73.253968253968225</v>
      </c>
      <c r="X11" s="368">
        <f t="shared" si="1"/>
        <v>7</v>
      </c>
      <c r="Y11" s="506"/>
      <c r="Z11" s="187">
        <v>17</v>
      </c>
      <c r="AA11" s="187">
        <v>1272.0000000000002</v>
      </c>
      <c r="AB11" s="187">
        <v>74.823529411764724</v>
      </c>
      <c r="AC11" s="368">
        <f t="shared" si="2"/>
        <v>5</v>
      </c>
      <c r="AD11" s="506"/>
      <c r="AE11" s="187">
        <v>17</v>
      </c>
      <c r="AF11" s="187">
        <v>1290.4166666666661</v>
      </c>
      <c r="AG11" s="187">
        <v>75.90686274509801</v>
      </c>
      <c r="AH11" s="368">
        <f t="shared" si="3"/>
        <v>4</v>
      </c>
      <c r="AI11" s="506"/>
      <c r="AJ11" s="187">
        <v>17</v>
      </c>
      <c r="AK11" s="187">
        <v>1265.4193548387098</v>
      </c>
      <c r="AL11" s="187">
        <v>74.436432637571158</v>
      </c>
      <c r="AM11" s="368">
        <f t="shared" si="4"/>
        <v>4</v>
      </c>
      <c r="AN11" s="506"/>
      <c r="AO11" s="187">
        <v>17</v>
      </c>
      <c r="AP11" s="187">
        <v>1282.2580645161286</v>
      </c>
      <c r="AQ11" s="187">
        <v>75.426944971536969</v>
      </c>
      <c r="AR11" s="368">
        <f t="shared" si="5"/>
        <v>4</v>
      </c>
      <c r="AS11" s="506"/>
      <c r="AT11" s="187">
        <v>17</v>
      </c>
      <c r="AU11" s="187">
        <v>1278.032786885246</v>
      </c>
      <c r="AV11" s="187">
        <v>75.178399228543881</v>
      </c>
      <c r="AW11" s="368">
        <f t="shared" si="6"/>
        <v>5</v>
      </c>
      <c r="AX11" s="506"/>
    </row>
    <row r="12" spans="1:50">
      <c r="A12" s="81"/>
      <c r="B12" s="483"/>
      <c r="C12" s="368">
        <v>6</v>
      </c>
      <c r="D12" s="257" t="s">
        <v>660</v>
      </c>
      <c r="E12" s="187">
        <v>19</v>
      </c>
      <c r="F12" s="368">
        <v>1636</v>
      </c>
      <c r="G12" s="371">
        <v>86.10526315789474</v>
      </c>
      <c r="H12" s="508"/>
      <c r="I12" s="219">
        <f t="shared" si="7"/>
        <v>17.142857142857142</v>
      </c>
      <c r="J12" s="219">
        <f t="shared" si="7"/>
        <v>1295.3892322835106</v>
      </c>
      <c r="K12" s="220">
        <f t="shared" si="7"/>
        <v>75.5893883478753</v>
      </c>
      <c r="L12" s="457"/>
      <c r="M12" s="221">
        <f>RANK(K12, K$7:$K$21)</f>
        <v>5</v>
      </c>
      <c r="N12" s="475"/>
      <c r="O12" s="475"/>
      <c r="P12" s="187">
        <v>18</v>
      </c>
      <c r="Q12" s="187">
        <v>1306.5734265734263</v>
      </c>
      <c r="R12" s="187">
        <v>72.587412587412572</v>
      </c>
      <c r="S12" s="368">
        <f t="shared" si="0"/>
        <v>5</v>
      </c>
      <c r="T12" s="506"/>
      <c r="U12" s="187">
        <v>17</v>
      </c>
      <c r="V12" s="187">
        <v>1279.3469387755101</v>
      </c>
      <c r="W12" s="187">
        <v>75.255702280912359</v>
      </c>
      <c r="X12" s="368">
        <f t="shared" si="1"/>
        <v>4</v>
      </c>
      <c r="Y12" s="506"/>
      <c r="Z12" s="187">
        <v>17</v>
      </c>
      <c r="AA12" s="187">
        <v>1310.5945945945946</v>
      </c>
      <c r="AB12" s="187">
        <v>77.09379968203497</v>
      </c>
      <c r="AC12" s="368">
        <f t="shared" si="2"/>
        <v>3</v>
      </c>
      <c r="AD12" s="506"/>
      <c r="AE12" s="187">
        <v>17</v>
      </c>
      <c r="AF12" s="187">
        <v>1312.9846153846156</v>
      </c>
      <c r="AG12" s="187">
        <v>77.234389140271503</v>
      </c>
      <c r="AH12" s="368">
        <f t="shared" si="3"/>
        <v>2</v>
      </c>
      <c r="AI12" s="506"/>
      <c r="AJ12" s="187">
        <v>17</v>
      </c>
      <c r="AK12" s="187">
        <v>1301.8064516129034</v>
      </c>
      <c r="AL12" s="187">
        <v>76.576850094876676</v>
      </c>
      <c r="AM12" s="368">
        <f t="shared" si="4"/>
        <v>2</v>
      </c>
      <c r="AN12" s="506"/>
      <c r="AO12" s="187">
        <v>17</v>
      </c>
      <c r="AP12" s="187">
        <v>1270.55033557047</v>
      </c>
      <c r="AQ12" s="187">
        <v>74.738255033557053</v>
      </c>
      <c r="AR12" s="368">
        <f t="shared" si="5"/>
        <v>5</v>
      </c>
      <c r="AS12" s="506"/>
      <c r="AT12" s="187">
        <v>17</v>
      </c>
      <c r="AU12" s="187">
        <v>1285.8682634730537</v>
      </c>
      <c r="AV12" s="187">
        <v>75.639309616061979</v>
      </c>
      <c r="AW12" s="368">
        <f t="shared" si="6"/>
        <v>4</v>
      </c>
      <c r="AX12" s="506"/>
    </row>
    <row r="13" spans="1:50">
      <c r="A13" s="81"/>
      <c r="B13" s="483"/>
      <c r="C13" s="368">
        <v>7</v>
      </c>
      <c r="D13" s="257" t="s">
        <v>697</v>
      </c>
      <c r="E13" s="187">
        <v>10</v>
      </c>
      <c r="F13" s="368">
        <v>1500</v>
      </c>
      <c r="G13" s="371">
        <v>150</v>
      </c>
      <c r="H13" s="508"/>
      <c r="I13" s="219">
        <f t="shared" si="7"/>
        <v>9</v>
      </c>
      <c r="J13" s="219">
        <f t="shared" si="7"/>
        <v>1416.8076597483507</v>
      </c>
      <c r="K13" s="220">
        <f t="shared" si="7"/>
        <v>157.4230733053723</v>
      </c>
      <c r="L13" s="457"/>
      <c r="M13" s="221">
        <f>RANK(K13, K$7:$K$21)</f>
        <v>1</v>
      </c>
      <c r="N13" s="475"/>
      <c r="O13" s="475"/>
      <c r="P13" s="187">
        <v>9</v>
      </c>
      <c r="Q13" s="187">
        <v>1414.0298507462687</v>
      </c>
      <c r="R13" s="187">
        <v>157.11442786069654</v>
      </c>
      <c r="S13" s="368">
        <f t="shared" si="0"/>
        <v>1</v>
      </c>
      <c r="T13" s="506"/>
      <c r="U13" s="187">
        <v>9</v>
      </c>
      <c r="V13" s="187">
        <v>1429.2307692307684</v>
      </c>
      <c r="W13" s="187">
        <v>158.80341880341871</v>
      </c>
      <c r="X13" s="368">
        <f t="shared" si="1"/>
        <v>1</v>
      </c>
      <c r="Y13" s="506"/>
      <c r="Z13" s="187">
        <v>9</v>
      </c>
      <c r="AA13" s="187">
        <v>1384.7368421052622</v>
      </c>
      <c r="AB13" s="187">
        <v>153.8596491228069</v>
      </c>
      <c r="AC13" s="368">
        <f t="shared" si="2"/>
        <v>1</v>
      </c>
      <c r="AD13" s="506"/>
      <c r="AE13" s="187">
        <v>9</v>
      </c>
      <c r="AF13" s="187">
        <v>1417.7777777777785</v>
      </c>
      <c r="AG13" s="187">
        <v>157.53086419753095</v>
      </c>
      <c r="AH13" s="368">
        <f t="shared" si="3"/>
        <v>1</v>
      </c>
      <c r="AI13" s="506"/>
      <c r="AJ13" s="187">
        <v>9</v>
      </c>
      <c r="AK13" s="187">
        <v>1392.972972972972</v>
      </c>
      <c r="AL13" s="187">
        <v>154.77477477477467</v>
      </c>
      <c r="AM13" s="368">
        <f t="shared" si="4"/>
        <v>1</v>
      </c>
      <c r="AN13" s="506"/>
      <c r="AO13" s="187">
        <v>9</v>
      </c>
      <c r="AP13" s="187">
        <v>1453.4999999999995</v>
      </c>
      <c r="AQ13" s="187">
        <v>161.49999999999994</v>
      </c>
      <c r="AR13" s="368">
        <f t="shared" si="5"/>
        <v>1</v>
      </c>
      <c r="AS13" s="506"/>
      <c r="AT13" s="187">
        <v>9</v>
      </c>
      <c r="AU13" s="187">
        <v>1425.4054054054045</v>
      </c>
      <c r="AV13" s="187">
        <v>158.37837837837827</v>
      </c>
      <c r="AW13" s="368">
        <f t="shared" si="6"/>
        <v>1</v>
      </c>
      <c r="AX13" s="506"/>
    </row>
    <row r="14" spans="1:50">
      <c r="A14" s="81"/>
      <c r="B14" s="483"/>
      <c r="C14" s="368">
        <v>8</v>
      </c>
      <c r="D14" s="257"/>
      <c r="E14" s="187"/>
      <c r="F14" s="368"/>
      <c r="G14" s="371"/>
      <c r="H14" s="508"/>
      <c r="I14" s="219"/>
      <c r="J14" s="219"/>
      <c r="K14" s="220"/>
      <c r="L14" s="457"/>
      <c r="M14" s="221" t="e">
        <f>RANK(K14, K$7:$K$21)</f>
        <v>#N/A</v>
      </c>
      <c r="N14" s="475"/>
      <c r="O14" s="475"/>
      <c r="P14" s="187"/>
      <c r="Q14" s="187"/>
      <c r="R14" s="187"/>
      <c r="S14" s="368" t="e">
        <f t="shared" si="0"/>
        <v>#N/A</v>
      </c>
      <c r="T14" s="506"/>
      <c r="U14" s="187"/>
      <c r="V14" s="187"/>
      <c r="W14" s="187"/>
      <c r="X14" s="368" t="e">
        <f t="shared" si="1"/>
        <v>#N/A</v>
      </c>
      <c r="Y14" s="506"/>
      <c r="Z14" s="187"/>
      <c r="AA14" s="187"/>
      <c r="AB14" s="187"/>
      <c r="AC14" s="368" t="e">
        <f t="shared" si="2"/>
        <v>#N/A</v>
      </c>
      <c r="AD14" s="506"/>
      <c r="AE14" s="187"/>
      <c r="AF14" s="187"/>
      <c r="AG14" s="187"/>
      <c r="AH14" s="368" t="e">
        <f t="shared" si="3"/>
        <v>#N/A</v>
      </c>
      <c r="AI14" s="506"/>
      <c r="AJ14" s="187"/>
      <c r="AK14" s="187"/>
      <c r="AL14" s="187"/>
      <c r="AM14" s="368" t="e">
        <f t="shared" si="4"/>
        <v>#N/A</v>
      </c>
      <c r="AN14" s="506"/>
      <c r="AO14" s="187"/>
      <c r="AP14" s="187"/>
      <c r="AQ14" s="187"/>
      <c r="AR14" s="368" t="e">
        <f t="shared" si="5"/>
        <v>#N/A</v>
      </c>
      <c r="AS14" s="506"/>
      <c r="AT14" s="187"/>
      <c r="AU14" s="187"/>
      <c r="AV14" s="187"/>
      <c r="AW14" s="368" t="e">
        <f t="shared" si="6"/>
        <v>#N/A</v>
      </c>
      <c r="AX14" s="506"/>
    </row>
    <row r="15" spans="1:50">
      <c r="A15" s="81"/>
      <c r="B15" s="483"/>
      <c r="C15" s="368">
        <v>9</v>
      </c>
      <c r="D15" s="257"/>
      <c r="E15" s="187"/>
      <c r="F15" s="368"/>
      <c r="G15" s="371"/>
      <c r="H15" s="508"/>
      <c r="I15" s="219"/>
      <c r="J15" s="219"/>
      <c r="K15" s="220"/>
      <c r="L15" s="457"/>
      <c r="M15" s="221" t="e">
        <f>RANK(K15, K$7:$K$21)</f>
        <v>#N/A</v>
      </c>
      <c r="N15" s="475"/>
      <c r="O15" s="475"/>
      <c r="P15" s="187"/>
      <c r="Q15" s="187"/>
      <c r="R15" s="187"/>
      <c r="S15" s="368" t="e">
        <f t="shared" si="0"/>
        <v>#N/A</v>
      </c>
      <c r="T15" s="506"/>
      <c r="U15" s="187"/>
      <c r="V15" s="187"/>
      <c r="W15" s="371"/>
      <c r="X15" s="368" t="e">
        <f t="shared" si="1"/>
        <v>#N/A</v>
      </c>
      <c r="Y15" s="506"/>
      <c r="Z15" s="187"/>
      <c r="AA15" s="187"/>
      <c r="AB15" s="371"/>
      <c r="AC15" s="368" t="e">
        <f t="shared" si="2"/>
        <v>#N/A</v>
      </c>
      <c r="AD15" s="506"/>
      <c r="AE15" s="187"/>
      <c r="AF15" s="187"/>
      <c r="AG15" s="371"/>
      <c r="AH15" s="368" t="e">
        <f t="shared" si="3"/>
        <v>#N/A</v>
      </c>
      <c r="AI15" s="506"/>
      <c r="AJ15" s="187"/>
      <c r="AK15" s="187"/>
      <c r="AL15" s="371"/>
      <c r="AM15" s="368" t="e">
        <f t="shared" si="4"/>
        <v>#N/A</v>
      </c>
      <c r="AN15" s="506"/>
      <c r="AO15" s="187"/>
      <c r="AP15" s="187"/>
      <c r="AQ15" s="371"/>
      <c r="AR15" s="368" t="e">
        <f t="shared" si="5"/>
        <v>#N/A</v>
      </c>
      <c r="AS15" s="506"/>
      <c r="AT15" s="187"/>
      <c r="AU15" s="187"/>
      <c r="AV15" s="371"/>
      <c r="AW15" s="368" t="e">
        <f t="shared" si="6"/>
        <v>#N/A</v>
      </c>
      <c r="AX15" s="506"/>
    </row>
    <row r="16" spans="1:50">
      <c r="A16" s="81"/>
      <c r="B16" s="483"/>
      <c r="C16" s="368">
        <v>10</v>
      </c>
      <c r="D16" s="257"/>
      <c r="E16" s="187"/>
      <c r="F16" s="368"/>
      <c r="G16" s="371"/>
      <c r="H16" s="508"/>
      <c r="I16" s="219"/>
      <c r="J16" s="219"/>
      <c r="K16" s="220"/>
      <c r="L16" s="457"/>
      <c r="M16" s="221" t="e">
        <f>RANK(K16, K$7:$K$21)</f>
        <v>#N/A</v>
      </c>
      <c r="N16" s="475"/>
      <c r="O16" s="475"/>
      <c r="P16" s="187"/>
      <c r="Q16" s="187"/>
      <c r="R16" s="187"/>
      <c r="S16" s="368" t="e">
        <f t="shared" si="0"/>
        <v>#N/A</v>
      </c>
      <c r="T16" s="506"/>
      <c r="U16" s="187"/>
      <c r="V16" s="187"/>
      <c r="W16" s="371"/>
      <c r="X16" s="368" t="e">
        <f t="shared" si="1"/>
        <v>#N/A</v>
      </c>
      <c r="Y16" s="506"/>
      <c r="Z16" s="187"/>
      <c r="AA16" s="187"/>
      <c r="AB16" s="371"/>
      <c r="AC16" s="368" t="e">
        <f t="shared" si="2"/>
        <v>#N/A</v>
      </c>
      <c r="AD16" s="506"/>
      <c r="AE16" s="187"/>
      <c r="AF16" s="187"/>
      <c r="AG16" s="371"/>
      <c r="AH16" s="368" t="e">
        <f t="shared" si="3"/>
        <v>#N/A</v>
      </c>
      <c r="AI16" s="506"/>
      <c r="AJ16" s="187"/>
      <c r="AK16" s="187"/>
      <c r="AL16" s="371"/>
      <c r="AM16" s="368" t="e">
        <f t="shared" si="4"/>
        <v>#N/A</v>
      </c>
      <c r="AN16" s="506"/>
      <c r="AO16" s="187"/>
      <c r="AP16" s="187"/>
      <c r="AQ16" s="371"/>
      <c r="AR16" s="368" t="e">
        <f t="shared" si="5"/>
        <v>#N/A</v>
      </c>
      <c r="AS16" s="506"/>
      <c r="AT16" s="187"/>
      <c r="AU16" s="187"/>
      <c r="AV16" s="371"/>
      <c r="AW16" s="368" t="e">
        <f t="shared" si="6"/>
        <v>#N/A</v>
      </c>
      <c r="AX16" s="506"/>
    </row>
    <row r="17" spans="2:50">
      <c r="B17" s="483"/>
      <c r="C17" s="368">
        <v>11</v>
      </c>
      <c r="D17" s="257"/>
      <c r="E17" s="187"/>
      <c r="F17" s="368"/>
      <c r="G17" s="371"/>
      <c r="H17" s="508"/>
      <c r="I17" s="222"/>
      <c r="J17" s="222"/>
      <c r="K17" s="222"/>
      <c r="L17" s="457"/>
      <c r="M17" s="221" t="e">
        <f>RANK(K17, K$7:$K$21)</f>
        <v>#N/A</v>
      </c>
      <c r="N17" s="475"/>
      <c r="O17" s="475"/>
      <c r="P17" s="187"/>
      <c r="Q17" s="187"/>
      <c r="R17" s="187"/>
      <c r="S17" s="368" t="e">
        <f t="shared" si="0"/>
        <v>#N/A</v>
      </c>
      <c r="T17" s="506"/>
      <c r="U17" s="187"/>
      <c r="V17" s="187"/>
      <c r="W17" s="371"/>
      <c r="X17" s="368" t="e">
        <f t="shared" si="1"/>
        <v>#N/A</v>
      </c>
      <c r="Y17" s="506"/>
      <c r="Z17" s="187"/>
      <c r="AA17" s="187"/>
      <c r="AB17" s="371"/>
      <c r="AC17" s="368" t="e">
        <f t="shared" si="2"/>
        <v>#N/A</v>
      </c>
      <c r="AD17" s="506"/>
      <c r="AE17" s="187"/>
      <c r="AF17" s="187"/>
      <c r="AG17" s="371"/>
      <c r="AH17" s="368" t="e">
        <f t="shared" si="3"/>
        <v>#N/A</v>
      </c>
      <c r="AI17" s="506"/>
      <c r="AJ17" s="187"/>
      <c r="AK17" s="187"/>
      <c r="AL17" s="371"/>
      <c r="AM17" s="368" t="e">
        <f t="shared" si="4"/>
        <v>#N/A</v>
      </c>
      <c r="AN17" s="506"/>
      <c r="AO17" s="187"/>
      <c r="AP17" s="187"/>
      <c r="AQ17" s="371"/>
      <c r="AR17" s="368" t="e">
        <f t="shared" si="5"/>
        <v>#N/A</v>
      </c>
      <c r="AS17" s="506"/>
      <c r="AT17" s="187"/>
      <c r="AU17" s="187"/>
      <c r="AV17" s="371"/>
      <c r="AW17" s="368" t="e">
        <f t="shared" si="6"/>
        <v>#N/A</v>
      </c>
      <c r="AX17" s="506"/>
    </row>
    <row r="18" spans="2:50">
      <c r="B18" s="483"/>
      <c r="C18" s="368">
        <v>12</v>
      </c>
      <c r="D18" s="257"/>
      <c r="E18" s="187"/>
      <c r="F18" s="368"/>
      <c r="G18" s="371"/>
      <c r="H18" s="508"/>
      <c r="I18" s="222"/>
      <c r="J18" s="222"/>
      <c r="K18" s="222"/>
      <c r="L18" s="457"/>
      <c r="M18" s="221" t="e">
        <f>RANK(K18, K$7:$K$21)</f>
        <v>#N/A</v>
      </c>
      <c r="N18" s="475"/>
      <c r="O18" s="475"/>
      <c r="P18" s="187"/>
      <c r="Q18" s="187"/>
      <c r="R18" s="187"/>
      <c r="S18" s="368" t="e">
        <f t="shared" si="0"/>
        <v>#N/A</v>
      </c>
      <c r="T18" s="506"/>
      <c r="U18" s="187"/>
      <c r="V18" s="187"/>
      <c r="W18" s="371"/>
      <c r="X18" s="368" t="e">
        <f t="shared" si="1"/>
        <v>#N/A</v>
      </c>
      <c r="Y18" s="506"/>
      <c r="Z18" s="187"/>
      <c r="AA18" s="187"/>
      <c r="AB18" s="371"/>
      <c r="AC18" s="368" t="e">
        <f t="shared" si="2"/>
        <v>#N/A</v>
      </c>
      <c r="AD18" s="506"/>
      <c r="AE18" s="187"/>
      <c r="AF18" s="187"/>
      <c r="AG18" s="371"/>
      <c r="AH18" s="368" t="e">
        <f t="shared" si="3"/>
        <v>#N/A</v>
      </c>
      <c r="AI18" s="506"/>
      <c r="AJ18" s="187"/>
      <c r="AK18" s="187"/>
      <c r="AL18" s="371"/>
      <c r="AM18" s="368" t="e">
        <f t="shared" si="4"/>
        <v>#N/A</v>
      </c>
      <c r="AN18" s="506"/>
      <c r="AO18" s="187"/>
      <c r="AP18" s="187"/>
      <c r="AQ18" s="371"/>
      <c r="AR18" s="368" t="e">
        <f t="shared" si="5"/>
        <v>#N/A</v>
      </c>
      <c r="AS18" s="506"/>
      <c r="AT18" s="187"/>
      <c r="AU18" s="187"/>
      <c r="AV18" s="371"/>
      <c r="AW18" s="368" t="e">
        <f t="shared" si="6"/>
        <v>#N/A</v>
      </c>
      <c r="AX18" s="506"/>
    </row>
    <row r="19" spans="2:50">
      <c r="B19" s="483"/>
      <c r="C19" s="368">
        <v>13</v>
      </c>
      <c r="D19" s="257"/>
      <c r="E19" s="187"/>
      <c r="F19" s="368"/>
      <c r="G19" s="371"/>
      <c r="H19" s="508"/>
      <c r="I19" s="222"/>
      <c r="J19" s="222"/>
      <c r="K19" s="222"/>
      <c r="L19" s="457"/>
      <c r="M19" s="221" t="e">
        <f>RANK(K19, K$7:$K$21)</f>
        <v>#N/A</v>
      </c>
      <c r="N19" s="475"/>
      <c r="O19" s="475"/>
      <c r="P19" s="187"/>
      <c r="Q19" s="187"/>
      <c r="R19" s="187"/>
      <c r="S19" s="368" t="e">
        <f t="shared" si="0"/>
        <v>#N/A</v>
      </c>
      <c r="T19" s="506"/>
      <c r="U19" s="187"/>
      <c r="V19" s="187"/>
      <c r="W19" s="371"/>
      <c r="X19" s="368" t="e">
        <f t="shared" si="1"/>
        <v>#N/A</v>
      </c>
      <c r="Y19" s="506"/>
      <c r="Z19" s="187"/>
      <c r="AA19" s="187"/>
      <c r="AB19" s="371"/>
      <c r="AC19" s="368" t="e">
        <f t="shared" si="2"/>
        <v>#N/A</v>
      </c>
      <c r="AD19" s="506"/>
      <c r="AE19" s="187"/>
      <c r="AF19" s="187"/>
      <c r="AG19" s="371"/>
      <c r="AH19" s="368" t="e">
        <f t="shared" si="3"/>
        <v>#N/A</v>
      </c>
      <c r="AI19" s="506"/>
      <c r="AJ19" s="187"/>
      <c r="AK19" s="187"/>
      <c r="AL19" s="371"/>
      <c r="AM19" s="368" t="e">
        <f t="shared" si="4"/>
        <v>#N/A</v>
      </c>
      <c r="AN19" s="506"/>
      <c r="AO19" s="187"/>
      <c r="AP19" s="187"/>
      <c r="AQ19" s="371"/>
      <c r="AR19" s="368" t="e">
        <f t="shared" si="5"/>
        <v>#N/A</v>
      </c>
      <c r="AS19" s="506"/>
      <c r="AT19" s="187"/>
      <c r="AU19" s="187"/>
      <c r="AV19" s="371"/>
      <c r="AW19" s="368" t="e">
        <f t="shared" si="6"/>
        <v>#N/A</v>
      </c>
      <c r="AX19" s="506"/>
    </row>
    <row r="20" spans="2:50">
      <c r="B20" s="483"/>
      <c r="C20" s="368">
        <v>14</v>
      </c>
      <c r="D20" s="257"/>
      <c r="E20" s="187"/>
      <c r="F20" s="368"/>
      <c r="G20" s="371"/>
      <c r="H20" s="508"/>
      <c r="I20" s="222"/>
      <c r="J20" s="222"/>
      <c r="K20" s="222"/>
      <c r="L20" s="457"/>
      <c r="M20" s="221" t="e">
        <f>RANK(K20, K$7:$K$21)</f>
        <v>#N/A</v>
      </c>
      <c r="N20" s="475"/>
      <c r="O20" s="475"/>
      <c r="P20" s="187"/>
      <c r="Q20" s="187"/>
      <c r="R20" s="187"/>
      <c r="S20" s="368" t="e">
        <f t="shared" si="0"/>
        <v>#N/A</v>
      </c>
      <c r="T20" s="506"/>
      <c r="U20" s="187"/>
      <c r="V20" s="187"/>
      <c r="W20" s="371"/>
      <c r="X20" s="368" t="e">
        <f t="shared" si="1"/>
        <v>#N/A</v>
      </c>
      <c r="Y20" s="506"/>
      <c r="Z20" s="187"/>
      <c r="AA20" s="187"/>
      <c r="AB20" s="371"/>
      <c r="AC20" s="368" t="e">
        <f t="shared" si="2"/>
        <v>#N/A</v>
      </c>
      <c r="AD20" s="506"/>
      <c r="AE20" s="187"/>
      <c r="AF20" s="187"/>
      <c r="AG20" s="371"/>
      <c r="AH20" s="368" t="e">
        <f t="shared" si="3"/>
        <v>#N/A</v>
      </c>
      <c r="AI20" s="506"/>
      <c r="AJ20" s="187"/>
      <c r="AK20" s="187"/>
      <c r="AL20" s="371"/>
      <c r="AM20" s="368" t="e">
        <f t="shared" si="4"/>
        <v>#N/A</v>
      </c>
      <c r="AN20" s="506"/>
      <c r="AO20" s="187"/>
      <c r="AP20" s="187"/>
      <c r="AQ20" s="371"/>
      <c r="AR20" s="368" t="e">
        <f t="shared" si="5"/>
        <v>#N/A</v>
      </c>
      <c r="AS20" s="506"/>
      <c r="AT20" s="187"/>
      <c r="AU20" s="187"/>
      <c r="AV20" s="371"/>
      <c r="AW20" s="368" t="e">
        <f t="shared" si="6"/>
        <v>#N/A</v>
      </c>
      <c r="AX20" s="506"/>
    </row>
    <row r="21" spans="2:50">
      <c r="B21" s="483"/>
      <c r="C21" s="368">
        <v>15</v>
      </c>
      <c r="D21" s="257"/>
      <c r="E21" s="187"/>
      <c r="F21" s="368"/>
      <c r="G21" s="371"/>
      <c r="H21" s="509"/>
      <c r="I21" s="222"/>
      <c r="J21" s="222"/>
      <c r="K21" s="222"/>
      <c r="L21" s="458"/>
      <c r="M21" s="219" t="e">
        <f>RANK(K21, K$7:$K$21)</f>
        <v>#N/A</v>
      </c>
      <c r="N21" s="475"/>
      <c r="O21" s="475"/>
      <c r="P21" s="187"/>
      <c r="Q21" s="187"/>
      <c r="R21" s="187"/>
      <c r="S21" s="368" t="e">
        <f t="shared" si="0"/>
        <v>#N/A</v>
      </c>
      <c r="T21" s="506"/>
      <c r="U21" s="187"/>
      <c r="V21" s="187"/>
      <c r="W21" s="371"/>
      <c r="X21" s="368" t="e">
        <f t="shared" si="1"/>
        <v>#N/A</v>
      </c>
      <c r="Y21" s="506"/>
      <c r="Z21" s="187"/>
      <c r="AA21" s="187"/>
      <c r="AB21" s="371"/>
      <c r="AC21" s="368" t="e">
        <f t="shared" si="2"/>
        <v>#N/A</v>
      </c>
      <c r="AD21" s="506"/>
      <c r="AE21" s="187"/>
      <c r="AF21" s="187"/>
      <c r="AG21" s="371"/>
      <c r="AH21" s="368" t="e">
        <f t="shared" si="3"/>
        <v>#N/A</v>
      </c>
      <c r="AI21" s="506"/>
      <c r="AJ21" s="187"/>
      <c r="AK21" s="187"/>
      <c r="AL21" s="371"/>
      <c r="AM21" s="368" t="e">
        <f t="shared" si="4"/>
        <v>#N/A</v>
      </c>
      <c r="AN21" s="506"/>
      <c r="AO21" s="187"/>
      <c r="AP21" s="187"/>
      <c r="AQ21" s="371"/>
      <c r="AR21" s="368" t="e">
        <f t="shared" si="5"/>
        <v>#N/A</v>
      </c>
      <c r="AS21" s="506"/>
      <c r="AT21" s="187"/>
      <c r="AU21" s="187"/>
      <c r="AV21" s="371"/>
      <c r="AW21" s="368" t="e">
        <f t="shared" si="6"/>
        <v>#N/A</v>
      </c>
      <c r="AX21" s="506"/>
    </row>
    <row r="22" spans="2:50" ht="15.75">
      <c r="B22" s="500" t="s">
        <v>172</v>
      </c>
      <c r="C22" s="501"/>
      <c r="D22" s="501"/>
      <c r="E22" s="501"/>
      <c r="F22" s="501"/>
      <c r="G22" s="501"/>
      <c r="H22" s="501"/>
      <c r="I22" s="223"/>
      <c r="J22" s="223"/>
      <c r="K22" s="223"/>
      <c r="L22" s="223"/>
      <c r="M22" s="224"/>
      <c r="N22" s="476" t="s">
        <v>164</v>
      </c>
      <c r="O22" s="476" t="s">
        <v>105</v>
      </c>
      <c r="P22" s="502">
        <f>AT2+1</f>
        <v>45902</v>
      </c>
      <c r="Q22" s="503"/>
      <c r="R22" s="503"/>
      <c r="S22" s="503"/>
      <c r="T22" s="503"/>
      <c r="U22" s="482">
        <f>P22+1</f>
        <v>45903</v>
      </c>
      <c r="V22" s="483"/>
      <c r="W22" s="483"/>
      <c r="X22" s="483"/>
      <c r="Y22" s="483"/>
      <c r="Z22" s="482">
        <f>U22+1</f>
        <v>45904</v>
      </c>
      <c r="AA22" s="483"/>
      <c r="AB22" s="483"/>
      <c r="AC22" s="483"/>
      <c r="AD22" s="483"/>
      <c r="AE22" s="482">
        <f>Z22+1</f>
        <v>45905</v>
      </c>
      <c r="AF22" s="483"/>
      <c r="AG22" s="483"/>
      <c r="AH22" s="483"/>
      <c r="AI22" s="483"/>
      <c r="AJ22" s="482">
        <f>AE22+1</f>
        <v>45906</v>
      </c>
      <c r="AK22" s="483"/>
      <c r="AL22" s="483"/>
      <c r="AM22" s="483"/>
      <c r="AN22" s="483"/>
      <c r="AO22" s="482">
        <f>AJ22+1</f>
        <v>45907</v>
      </c>
      <c r="AP22" s="483"/>
      <c r="AQ22" s="483"/>
      <c r="AR22" s="483"/>
      <c r="AS22" s="483"/>
      <c r="AT22" s="482">
        <f>AO22+1</f>
        <v>45908</v>
      </c>
      <c r="AU22" s="483"/>
      <c r="AV22" s="483"/>
      <c r="AW22" s="483"/>
      <c r="AX22" s="483"/>
    </row>
    <row r="23" spans="2:50" ht="15.75">
      <c r="B23" s="490"/>
      <c r="C23" s="490"/>
      <c r="D23" s="490"/>
      <c r="E23" s="490"/>
      <c r="F23" s="490"/>
      <c r="G23" s="490"/>
      <c r="H23" s="490"/>
      <c r="I23" s="225"/>
      <c r="J23" s="225"/>
      <c r="K23" s="225"/>
      <c r="L23" s="225"/>
      <c r="M23" s="226"/>
      <c r="N23" s="478"/>
      <c r="O23" s="478"/>
      <c r="P23" s="482" t="s">
        <v>393</v>
      </c>
      <c r="Q23" s="483"/>
      <c r="R23" s="483"/>
      <c r="S23" s="483"/>
      <c r="T23" s="483"/>
      <c r="U23" s="482" t="s">
        <v>394</v>
      </c>
      <c r="V23" s="483"/>
      <c r="W23" s="483"/>
      <c r="X23" s="483"/>
      <c r="Y23" s="483"/>
      <c r="Z23" s="482" t="s">
        <v>395</v>
      </c>
      <c r="AA23" s="483"/>
      <c r="AB23" s="483"/>
      <c r="AC23" s="483"/>
      <c r="AD23" s="483"/>
      <c r="AE23" s="482" t="s">
        <v>396</v>
      </c>
      <c r="AF23" s="483"/>
      <c r="AG23" s="483"/>
      <c r="AH23" s="483"/>
      <c r="AI23" s="483"/>
      <c r="AJ23" s="482" t="s">
        <v>397</v>
      </c>
      <c r="AK23" s="483"/>
      <c r="AL23" s="483"/>
      <c r="AM23" s="483"/>
      <c r="AN23" s="483"/>
      <c r="AO23" s="482" t="s">
        <v>398</v>
      </c>
      <c r="AP23" s="483"/>
      <c r="AQ23" s="483"/>
      <c r="AR23" s="483"/>
      <c r="AS23" s="483"/>
      <c r="AT23" s="482" t="s">
        <v>399</v>
      </c>
      <c r="AU23" s="483"/>
      <c r="AV23" s="483"/>
      <c r="AW23" s="483"/>
      <c r="AX23" s="483"/>
    </row>
    <row r="24" spans="2:50">
      <c r="B24" s="475" t="s">
        <v>634</v>
      </c>
      <c r="C24" s="475" t="s">
        <v>644</v>
      </c>
      <c r="D24" s="475"/>
      <c r="E24" s="475" t="s">
        <v>635</v>
      </c>
      <c r="F24" s="475"/>
      <c r="G24" s="475"/>
      <c r="H24" s="491" t="s">
        <v>631</v>
      </c>
      <c r="I24" s="459" t="s">
        <v>636</v>
      </c>
      <c r="J24" s="459"/>
      <c r="K24" s="459"/>
      <c r="L24" s="460" t="s">
        <v>631</v>
      </c>
      <c r="M24" s="466" t="s">
        <v>632</v>
      </c>
      <c r="N24" s="475"/>
      <c r="O24" s="475" t="s">
        <v>637</v>
      </c>
      <c r="P24" s="472" t="s">
        <v>633</v>
      </c>
      <c r="Q24" s="473"/>
      <c r="R24" s="473"/>
      <c r="S24" s="474"/>
      <c r="T24" s="475" t="s">
        <v>631</v>
      </c>
      <c r="U24" s="472" t="s">
        <v>633</v>
      </c>
      <c r="V24" s="473"/>
      <c r="W24" s="473"/>
      <c r="X24" s="474"/>
      <c r="Y24" s="475" t="s">
        <v>631</v>
      </c>
      <c r="Z24" s="472" t="s">
        <v>633</v>
      </c>
      <c r="AA24" s="473"/>
      <c r="AB24" s="473"/>
      <c r="AC24" s="474"/>
      <c r="AD24" s="475" t="s">
        <v>631</v>
      </c>
      <c r="AE24" s="472" t="s">
        <v>633</v>
      </c>
      <c r="AF24" s="473"/>
      <c r="AG24" s="473"/>
      <c r="AH24" s="474"/>
      <c r="AI24" s="475" t="s">
        <v>631</v>
      </c>
      <c r="AJ24" s="472" t="s">
        <v>633</v>
      </c>
      <c r="AK24" s="473"/>
      <c r="AL24" s="473"/>
      <c r="AM24" s="474"/>
      <c r="AN24" s="475" t="s">
        <v>631</v>
      </c>
      <c r="AO24" s="472" t="s">
        <v>633</v>
      </c>
      <c r="AP24" s="473"/>
      <c r="AQ24" s="473"/>
      <c r="AR24" s="474"/>
      <c r="AS24" s="475" t="s">
        <v>631</v>
      </c>
      <c r="AT24" s="472" t="s">
        <v>633</v>
      </c>
      <c r="AU24" s="473"/>
      <c r="AV24" s="473"/>
      <c r="AW24" s="474"/>
      <c r="AX24" s="475" t="s">
        <v>631</v>
      </c>
    </row>
    <row r="25" spans="2:50">
      <c r="B25" s="475"/>
      <c r="C25" s="475"/>
      <c r="D25" s="475"/>
      <c r="E25" s="475" t="s">
        <v>638</v>
      </c>
      <c r="F25" s="475"/>
      <c r="G25" s="475"/>
      <c r="H25" s="492"/>
      <c r="I25" s="459" t="s">
        <v>638</v>
      </c>
      <c r="J25" s="459"/>
      <c r="K25" s="459"/>
      <c r="L25" s="461"/>
      <c r="M25" s="467"/>
      <c r="N25" s="475"/>
      <c r="O25" s="475"/>
      <c r="P25" s="472" t="s">
        <v>639</v>
      </c>
      <c r="Q25" s="473"/>
      <c r="R25" s="473"/>
      <c r="S25" s="474"/>
      <c r="T25" s="475"/>
      <c r="U25" s="472" t="s">
        <v>639</v>
      </c>
      <c r="V25" s="473"/>
      <c r="W25" s="473"/>
      <c r="X25" s="474"/>
      <c r="Y25" s="475"/>
      <c r="Z25" s="472" t="s">
        <v>639</v>
      </c>
      <c r="AA25" s="473"/>
      <c r="AB25" s="473"/>
      <c r="AC25" s="474"/>
      <c r="AD25" s="475"/>
      <c r="AE25" s="472" t="s">
        <v>639</v>
      </c>
      <c r="AF25" s="473"/>
      <c r="AG25" s="473"/>
      <c r="AH25" s="474"/>
      <c r="AI25" s="475"/>
      <c r="AJ25" s="472" t="s">
        <v>639</v>
      </c>
      <c r="AK25" s="473"/>
      <c r="AL25" s="473"/>
      <c r="AM25" s="474"/>
      <c r="AN25" s="475"/>
      <c r="AO25" s="472" t="s">
        <v>639</v>
      </c>
      <c r="AP25" s="473"/>
      <c r="AQ25" s="473"/>
      <c r="AR25" s="474"/>
      <c r="AS25" s="475"/>
      <c r="AT25" s="472" t="s">
        <v>639</v>
      </c>
      <c r="AU25" s="473"/>
      <c r="AV25" s="473"/>
      <c r="AW25" s="474"/>
      <c r="AX25" s="475"/>
    </row>
    <row r="26" spans="2:50">
      <c r="B26" s="475"/>
      <c r="C26" s="475"/>
      <c r="D26" s="475"/>
      <c r="E26" s="350" t="s">
        <v>640</v>
      </c>
      <c r="F26" s="350" t="s">
        <v>641</v>
      </c>
      <c r="G26" s="350" t="s">
        <v>642</v>
      </c>
      <c r="H26" s="493"/>
      <c r="I26" s="349" t="s">
        <v>640</v>
      </c>
      <c r="J26" s="349" t="s">
        <v>641</v>
      </c>
      <c r="K26" s="349" t="s">
        <v>642</v>
      </c>
      <c r="L26" s="462"/>
      <c r="M26" s="468"/>
      <c r="N26" s="475"/>
      <c r="O26" s="475"/>
      <c r="P26" s="350" t="s">
        <v>640</v>
      </c>
      <c r="Q26" s="350" t="s">
        <v>641</v>
      </c>
      <c r="R26" s="350" t="s">
        <v>642</v>
      </c>
      <c r="S26" s="350" t="s">
        <v>632</v>
      </c>
      <c r="T26" s="475"/>
      <c r="U26" s="350" t="s">
        <v>640</v>
      </c>
      <c r="V26" s="350" t="s">
        <v>641</v>
      </c>
      <c r="W26" s="350" t="s">
        <v>642</v>
      </c>
      <c r="X26" s="350" t="s">
        <v>632</v>
      </c>
      <c r="Y26" s="475"/>
      <c r="Z26" s="350" t="s">
        <v>640</v>
      </c>
      <c r="AA26" s="350" t="s">
        <v>641</v>
      </c>
      <c r="AB26" s="350" t="s">
        <v>642</v>
      </c>
      <c r="AC26" s="350" t="s">
        <v>632</v>
      </c>
      <c r="AD26" s="475"/>
      <c r="AE26" s="350" t="s">
        <v>640</v>
      </c>
      <c r="AF26" s="350" t="s">
        <v>641</v>
      </c>
      <c r="AG26" s="350" t="s">
        <v>642</v>
      </c>
      <c r="AH26" s="350" t="s">
        <v>632</v>
      </c>
      <c r="AI26" s="475"/>
      <c r="AJ26" s="350" t="s">
        <v>640</v>
      </c>
      <c r="AK26" s="350" t="s">
        <v>641</v>
      </c>
      <c r="AL26" s="350" t="s">
        <v>642</v>
      </c>
      <c r="AM26" s="350" t="s">
        <v>632</v>
      </c>
      <c r="AN26" s="475"/>
      <c r="AO26" s="350" t="s">
        <v>640</v>
      </c>
      <c r="AP26" s="350" t="s">
        <v>641</v>
      </c>
      <c r="AQ26" s="350" t="s">
        <v>642</v>
      </c>
      <c r="AR26" s="350" t="s">
        <v>632</v>
      </c>
      <c r="AS26" s="475"/>
      <c r="AT26" s="350" t="s">
        <v>640</v>
      </c>
      <c r="AU26" s="350" t="s">
        <v>641</v>
      </c>
      <c r="AV26" s="350" t="s">
        <v>642</v>
      </c>
      <c r="AW26" s="350" t="s">
        <v>632</v>
      </c>
      <c r="AX26" s="475"/>
    </row>
    <row r="27" spans="2:50">
      <c r="B27" s="475" t="s">
        <v>646</v>
      </c>
      <c r="C27" s="351">
        <v>1</v>
      </c>
      <c r="D27" s="257" t="s">
        <v>489</v>
      </c>
      <c r="E27" s="187">
        <v>19</v>
      </c>
      <c r="F27" s="351">
        <v>1636</v>
      </c>
      <c r="G27" s="354">
        <v>86.10526315789474</v>
      </c>
      <c r="H27" s="507">
        <f>AVERAGE(G27:G41)</f>
        <v>88.773471749146225</v>
      </c>
      <c r="I27" s="219">
        <f>AVERAGE(P27,U27,Z27,AE27,AJ27,AO27,AT27)</f>
        <v>19</v>
      </c>
      <c r="J27" s="219">
        <f>AVERAGE(Q27,V27,AA27,AF27,AK27,AP27,AU27)</f>
        <v>1390.8508240280692</v>
      </c>
      <c r="K27" s="220">
        <f>AVERAGE(R27,W27,AB27,AG27,AL27,AQ27,AV27)</f>
        <v>73.202674948845726</v>
      </c>
      <c r="L27" s="456">
        <f>IFERROR(AVERAGE(K27:K41),"-")</f>
        <v>87.833649179499915</v>
      </c>
      <c r="M27" s="221">
        <f>RANK(K27, K$27:$K$41)</f>
        <v>4</v>
      </c>
      <c r="N27" s="475"/>
      <c r="O27" s="475"/>
      <c r="P27" s="187">
        <v>19</v>
      </c>
      <c r="Q27" s="187">
        <v>1396.0824742268039</v>
      </c>
      <c r="R27" s="187">
        <v>73.478024959305472</v>
      </c>
      <c r="S27" s="351">
        <f t="shared" ref="S27:S41" si="8">RANK(R27, R$27:R$41)</f>
        <v>5</v>
      </c>
      <c r="T27" s="506">
        <f>AVERAGE(R27:R41)</f>
        <v>88.317321965031297</v>
      </c>
      <c r="U27" s="187">
        <v>19</v>
      </c>
      <c r="V27" s="187">
        <v>1354.1538461538462</v>
      </c>
      <c r="W27" s="187">
        <v>71.271255060728748</v>
      </c>
      <c r="X27" s="351">
        <f t="shared" ref="X27:X41" si="9">RANK(W27, W$27:W$41)</f>
        <v>6</v>
      </c>
      <c r="Y27" s="506">
        <f>AVERAGE(W27:W41)</f>
        <v>88.746980299160143</v>
      </c>
      <c r="Z27" s="187">
        <v>19</v>
      </c>
      <c r="AA27" s="187">
        <v>1412.0000000000002</v>
      </c>
      <c r="AB27" s="187">
        <v>74.31578947368422</v>
      </c>
      <c r="AC27" s="351">
        <f t="shared" ref="AC27:AC41" si="10">RANK(AB27, AB$27:AB$41)</f>
        <v>4</v>
      </c>
      <c r="AD27" s="506">
        <f>AVERAGE(AB27:AB41)</f>
        <v>88.350581807371768</v>
      </c>
      <c r="AE27" s="187">
        <v>19</v>
      </c>
      <c r="AF27" s="187">
        <v>1377.5675675675673</v>
      </c>
      <c r="AG27" s="187">
        <v>72.503556187766705</v>
      </c>
      <c r="AH27" s="351">
        <f t="shared" ref="AH27:AH41" si="11">RANK(AG27, AG$27:AG$41)</f>
        <v>4</v>
      </c>
      <c r="AI27" s="506">
        <f>AVERAGE(AG27:AG41)</f>
        <v>86.086010152854413</v>
      </c>
      <c r="AJ27" s="187">
        <v>19</v>
      </c>
      <c r="AK27" s="187">
        <v>1374.9397590361448</v>
      </c>
      <c r="AL27" s="187">
        <v>72.365250475586564</v>
      </c>
      <c r="AM27" s="351">
        <f t="shared" ref="AM27:AM41" si="12">RANK(AL27, AL$27:AL$41)</f>
        <v>4</v>
      </c>
      <c r="AN27" s="506">
        <f>AVERAGE(AL27:AL41)</f>
        <v>87.77466906306357</v>
      </c>
      <c r="AO27" s="187">
        <v>19</v>
      </c>
      <c r="AP27" s="187">
        <v>1415.7575757575755</v>
      </c>
      <c r="AQ27" s="187">
        <v>74.513556618819763</v>
      </c>
      <c r="AR27" s="351">
        <f t="shared" ref="AR27:AR41" si="13">RANK(AQ27, AQ$27:AQ$41)</f>
        <v>5</v>
      </c>
      <c r="AS27" s="506">
        <f>AVERAGE(AQ27:AQ41)</f>
        <v>88.093645766157934</v>
      </c>
      <c r="AT27" s="187">
        <v>19</v>
      </c>
      <c r="AU27" s="187">
        <v>1405.4545454545453</v>
      </c>
      <c r="AV27" s="187">
        <v>73.971291866028693</v>
      </c>
      <c r="AW27" s="351">
        <f t="shared" ref="AW27:AW41" si="14">RANK(AV27, AV$27:AV$41)</f>
        <v>5</v>
      </c>
      <c r="AX27" s="506">
        <f>AVERAGE(AV27:AV41)</f>
        <v>87.466335202860321</v>
      </c>
    </row>
    <row r="28" spans="2:50">
      <c r="B28" s="483"/>
      <c r="C28" s="351">
        <v>2</v>
      </c>
      <c r="D28" s="257" t="s">
        <v>834</v>
      </c>
      <c r="E28" s="187">
        <v>19</v>
      </c>
      <c r="F28" s="351">
        <v>1440</v>
      </c>
      <c r="G28" s="354">
        <v>75.78947368421052</v>
      </c>
      <c r="H28" s="508"/>
      <c r="I28" s="219">
        <f t="shared" ref="I28:I33" si="15">AVERAGE(P28,U28,Z28,AE28,AJ28,AO28,AT28)</f>
        <v>18.714285714285715</v>
      </c>
      <c r="J28" s="219">
        <f t="shared" ref="J28:J33" si="16">AVERAGE(Q28,V28,AA28,AF28,AK28,AP28,AU28)</f>
        <v>1347.7357329924323</v>
      </c>
      <c r="K28" s="220">
        <f t="shared" ref="K28:K33" si="17">AVERAGE(R28,W28,AB28,AG28,AL28,AQ28,AV28)</f>
        <v>72.069544220464948</v>
      </c>
      <c r="L28" s="457"/>
      <c r="M28" s="221">
        <f>RANK(K28, K$27:$K$41)</f>
        <v>5</v>
      </c>
      <c r="N28" s="475"/>
      <c r="O28" s="475"/>
      <c r="P28" s="187">
        <v>19</v>
      </c>
      <c r="Q28" s="187">
        <v>1347.4500000000003</v>
      </c>
      <c r="R28" s="187">
        <v>70.918421052631587</v>
      </c>
      <c r="S28" s="351">
        <f t="shared" si="8"/>
        <v>6</v>
      </c>
      <c r="T28" s="506"/>
      <c r="U28" s="187">
        <v>19</v>
      </c>
      <c r="V28" s="187">
        <v>1313.8807947019866</v>
      </c>
      <c r="W28" s="187">
        <v>69.151620773788764</v>
      </c>
      <c r="X28" s="351">
        <f t="shared" si="9"/>
        <v>7</v>
      </c>
      <c r="Y28" s="506"/>
      <c r="Z28" s="187">
        <v>19</v>
      </c>
      <c r="AA28" s="187">
        <v>1351.5384615384617</v>
      </c>
      <c r="AB28" s="187">
        <v>71.133603238866399</v>
      </c>
      <c r="AC28" s="351">
        <f t="shared" si="10"/>
        <v>5</v>
      </c>
      <c r="AD28" s="506"/>
      <c r="AE28" s="187">
        <v>19</v>
      </c>
      <c r="AF28" s="187">
        <v>1352.5531914893618</v>
      </c>
      <c r="AG28" s="187">
        <v>71.187010078387459</v>
      </c>
      <c r="AH28" s="351">
        <f t="shared" si="11"/>
        <v>5</v>
      </c>
      <c r="AI28" s="506"/>
      <c r="AJ28" s="187">
        <v>19</v>
      </c>
      <c r="AK28" s="187">
        <v>1348.9411764705885</v>
      </c>
      <c r="AL28" s="187">
        <v>70.996904024767815</v>
      </c>
      <c r="AM28" s="351">
        <f t="shared" si="12"/>
        <v>5</v>
      </c>
      <c r="AN28" s="506"/>
      <c r="AO28" s="187">
        <v>18</v>
      </c>
      <c r="AP28" s="187">
        <v>1359.3517241379309</v>
      </c>
      <c r="AQ28" s="187">
        <v>75.519540229885052</v>
      </c>
      <c r="AR28" s="351">
        <f t="shared" si="13"/>
        <v>4</v>
      </c>
      <c r="AS28" s="506"/>
      <c r="AT28" s="187">
        <v>18</v>
      </c>
      <c r="AU28" s="187">
        <v>1360.4347826086951</v>
      </c>
      <c r="AV28" s="187">
        <v>75.579710144927503</v>
      </c>
      <c r="AW28" s="351">
        <f t="shared" si="14"/>
        <v>4</v>
      </c>
      <c r="AX28" s="506"/>
    </row>
    <row r="29" spans="2:50">
      <c r="B29" s="483"/>
      <c r="C29" s="351">
        <v>3</v>
      </c>
      <c r="D29" s="257" t="s">
        <v>413</v>
      </c>
      <c r="E29" s="187">
        <v>17</v>
      </c>
      <c r="F29" s="351">
        <v>1636</v>
      </c>
      <c r="G29" s="354">
        <v>96.235294117647058</v>
      </c>
      <c r="H29" s="508"/>
      <c r="I29" s="219">
        <f t="shared" si="15"/>
        <v>17.142857142857142</v>
      </c>
      <c r="J29" s="219">
        <f t="shared" si="16"/>
        <v>1377.6140741264662</v>
      </c>
      <c r="K29" s="220">
        <f t="shared" si="17"/>
        <v>80.387342966410998</v>
      </c>
      <c r="L29" s="457"/>
      <c r="M29" s="221">
        <f>RANK(K29, K$27:$K$41)</f>
        <v>2</v>
      </c>
      <c r="N29" s="475"/>
      <c r="O29" s="475"/>
      <c r="P29" s="187">
        <v>18</v>
      </c>
      <c r="Q29" s="187">
        <v>1389.6847058823532</v>
      </c>
      <c r="R29" s="187">
        <v>77.204705882352954</v>
      </c>
      <c r="S29" s="351">
        <f t="shared" si="8"/>
        <v>2</v>
      </c>
      <c r="T29" s="506"/>
      <c r="U29" s="187">
        <v>17</v>
      </c>
      <c r="V29" s="187">
        <v>1365.859090909091</v>
      </c>
      <c r="W29" s="187">
        <v>80.344652406417126</v>
      </c>
      <c r="X29" s="351">
        <f t="shared" si="9"/>
        <v>2</v>
      </c>
      <c r="Y29" s="506"/>
      <c r="Z29" s="187">
        <v>17</v>
      </c>
      <c r="AA29" s="187">
        <v>1401.6294478527611</v>
      </c>
      <c r="AB29" s="187">
        <v>82.448791050162413</v>
      </c>
      <c r="AC29" s="351">
        <f t="shared" si="10"/>
        <v>2</v>
      </c>
      <c r="AD29" s="506"/>
      <c r="AE29" s="187">
        <v>17</v>
      </c>
      <c r="AF29" s="187">
        <v>1355.3424657534242</v>
      </c>
      <c r="AG29" s="187">
        <v>79.726027397260253</v>
      </c>
      <c r="AH29" s="351">
        <f t="shared" si="11"/>
        <v>2</v>
      </c>
      <c r="AI29" s="506"/>
      <c r="AJ29" s="187">
        <v>17</v>
      </c>
      <c r="AK29" s="187">
        <v>1375.2317880794699</v>
      </c>
      <c r="AL29" s="187">
        <v>80.895987534086458</v>
      </c>
      <c r="AM29" s="351">
        <f t="shared" si="12"/>
        <v>2</v>
      </c>
      <c r="AN29" s="506"/>
      <c r="AO29" s="187">
        <v>17</v>
      </c>
      <c r="AP29" s="187">
        <v>1385.714285714286</v>
      </c>
      <c r="AQ29" s="187">
        <v>81.51260504201683</v>
      </c>
      <c r="AR29" s="351">
        <f t="shared" si="13"/>
        <v>2</v>
      </c>
      <c r="AS29" s="506"/>
      <c r="AT29" s="187">
        <v>17</v>
      </c>
      <c r="AU29" s="187">
        <v>1369.8367346938774</v>
      </c>
      <c r="AV29" s="187">
        <v>80.578631452581021</v>
      </c>
      <c r="AW29" s="351">
        <f t="shared" si="14"/>
        <v>2</v>
      </c>
      <c r="AX29" s="506"/>
    </row>
    <row r="30" spans="2:50">
      <c r="B30" s="483"/>
      <c r="C30" s="351">
        <v>4</v>
      </c>
      <c r="D30" s="257" t="s">
        <v>492</v>
      </c>
      <c r="E30" s="187">
        <v>18</v>
      </c>
      <c r="F30" s="351">
        <v>1636</v>
      </c>
      <c r="G30" s="354">
        <v>90.888888888888886</v>
      </c>
      <c r="H30" s="508"/>
      <c r="I30" s="219">
        <f t="shared" si="15"/>
        <v>18</v>
      </c>
      <c r="J30" s="219">
        <f t="shared" si="16"/>
        <v>1387.680598194604</v>
      </c>
      <c r="K30" s="220">
        <f t="shared" si="17"/>
        <v>77.093366566366896</v>
      </c>
      <c r="L30" s="457"/>
      <c r="M30" s="221">
        <f>RANK(K30, K$27:$K$41)</f>
        <v>3</v>
      </c>
      <c r="N30" s="475"/>
      <c r="O30" s="475"/>
      <c r="P30" s="187">
        <v>18</v>
      </c>
      <c r="Q30" s="187">
        <v>1374.8780487804879</v>
      </c>
      <c r="R30" s="187">
        <v>76.382113821138219</v>
      </c>
      <c r="S30" s="351">
        <f t="shared" si="8"/>
        <v>3</v>
      </c>
      <c r="T30" s="506"/>
      <c r="U30" s="187">
        <v>18</v>
      </c>
      <c r="V30" s="187">
        <v>1396.6265060240967</v>
      </c>
      <c r="W30" s="187">
        <v>77.590361445783145</v>
      </c>
      <c r="X30" s="351">
        <f t="shared" si="9"/>
        <v>3</v>
      </c>
      <c r="Y30" s="506"/>
      <c r="Z30" s="187">
        <v>18</v>
      </c>
      <c r="AA30" s="187">
        <v>1405.5999999999997</v>
      </c>
      <c r="AB30" s="187">
        <v>78.088888888888874</v>
      </c>
      <c r="AC30" s="351">
        <f t="shared" si="10"/>
        <v>3</v>
      </c>
      <c r="AD30" s="506"/>
      <c r="AE30" s="187">
        <v>18</v>
      </c>
      <c r="AF30" s="187">
        <v>1380.9836065573772</v>
      </c>
      <c r="AG30" s="187">
        <v>76.721311475409848</v>
      </c>
      <c r="AH30" s="351">
        <f t="shared" si="11"/>
        <v>3</v>
      </c>
      <c r="AI30" s="506"/>
      <c r="AJ30" s="187">
        <v>18</v>
      </c>
      <c r="AK30" s="187">
        <v>1390.7462686567164</v>
      </c>
      <c r="AL30" s="187">
        <v>77.263681592039802</v>
      </c>
      <c r="AM30" s="351">
        <f t="shared" si="12"/>
        <v>3</v>
      </c>
      <c r="AN30" s="506"/>
      <c r="AO30" s="187">
        <v>18</v>
      </c>
      <c r="AP30" s="187">
        <v>1381.4814814814818</v>
      </c>
      <c r="AQ30" s="187">
        <v>76.748971193415656</v>
      </c>
      <c r="AR30" s="351">
        <f t="shared" si="13"/>
        <v>3</v>
      </c>
      <c r="AS30" s="506"/>
      <c r="AT30" s="187">
        <v>18</v>
      </c>
      <c r="AU30" s="187">
        <v>1383.4482758620688</v>
      </c>
      <c r="AV30" s="187">
        <v>76.858237547892713</v>
      </c>
      <c r="AW30" s="351">
        <f t="shared" si="14"/>
        <v>3</v>
      </c>
      <c r="AX30" s="506"/>
    </row>
    <row r="31" spans="2:50">
      <c r="B31" s="483"/>
      <c r="C31" s="351">
        <v>5</v>
      </c>
      <c r="D31" s="257" t="s">
        <v>600</v>
      </c>
      <c r="E31" s="187">
        <v>22</v>
      </c>
      <c r="F31" s="351">
        <v>1636</v>
      </c>
      <c r="G31" s="354">
        <v>74.36363636363636</v>
      </c>
      <c r="H31" s="508"/>
      <c r="I31" s="219">
        <f t="shared" si="15"/>
        <v>20.428571428571427</v>
      </c>
      <c r="J31" s="219">
        <f t="shared" si="16"/>
        <v>1391.0919158268637</v>
      </c>
      <c r="K31" s="220">
        <f t="shared" si="17"/>
        <v>68.248684058299318</v>
      </c>
      <c r="L31" s="457"/>
      <c r="M31" s="221">
        <f>RANK(K31, K$27:$K$41)</f>
        <v>7</v>
      </c>
      <c r="N31" s="475"/>
      <c r="O31" s="475"/>
      <c r="P31" s="187">
        <v>20</v>
      </c>
      <c r="Q31" s="187">
        <v>1398.2727272727275</v>
      </c>
      <c r="R31" s="187">
        <v>69.913636363636371</v>
      </c>
      <c r="S31" s="351">
        <f t="shared" si="8"/>
        <v>7</v>
      </c>
      <c r="T31" s="506"/>
      <c r="U31" s="187">
        <v>19</v>
      </c>
      <c r="V31" s="187">
        <v>1387.0072992700725</v>
      </c>
      <c r="W31" s="187">
        <v>73.000384172109079</v>
      </c>
      <c r="X31" s="351">
        <f t="shared" si="9"/>
        <v>5</v>
      </c>
      <c r="Y31" s="506"/>
      <c r="Z31" s="187">
        <v>20</v>
      </c>
      <c r="AA31" s="187">
        <v>1383.8400000000004</v>
      </c>
      <c r="AB31" s="187">
        <v>69.192000000000021</v>
      </c>
      <c r="AC31" s="351">
        <f t="shared" si="10"/>
        <v>7</v>
      </c>
      <c r="AD31" s="506"/>
      <c r="AE31" s="187">
        <v>22</v>
      </c>
      <c r="AF31" s="187">
        <v>1419.6116504854365</v>
      </c>
      <c r="AG31" s="187">
        <v>64.527802294792565</v>
      </c>
      <c r="AH31" s="351">
        <f t="shared" si="11"/>
        <v>7</v>
      </c>
      <c r="AI31" s="506"/>
      <c r="AJ31" s="187">
        <v>20</v>
      </c>
      <c r="AK31" s="187">
        <v>1390.6194690265488</v>
      </c>
      <c r="AL31" s="187">
        <v>69.530973451327441</v>
      </c>
      <c r="AM31" s="351">
        <f t="shared" si="12"/>
        <v>6</v>
      </c>
      <c r="AN31" s="506"/>
      <c r="AO31" s="187">
        <v>22</v>
      </c>
      <c r="AP31" s="187">
        <v>1394.4966442953025</v>
      </c>
      <c r="AQ31" s="187">
        <v>63.386211104331935</v>
      </c>
      <c r="AR31" s="351">
        <f t="shared" si="13"/>
        <v>7</v>
      </c>
      <c r="AS31" s="506"/>
      <c r="AT31" s="187">
        <v>20</v>
      </c>
      <c r="AU31" s="187">
        <v>1363.7956204379561</v>
      </c>
      <c r="AV31" s="187">
        <v>68.189781021897801</v>
      </c>
      <c r="AW31" s="351">
        <f t="shared" si="14"/>
        <v>7</v>
      </c>
      <c r="AX31" s="506"/>
    </row>
    <row r="32" spans="2:50">
      <c r="B32" s="483"/>
      <c r="C32" s="351">
        <v>6</v>
      </c>
      <c r="D32" s="257" t="s">
        <v>660</v>
      </c>
      <c r="E32" s="187">
        <v>18</v>
      </c>
      <c r="F32" s="351">
        <v>1636</v>
      </c>
      <c r="G32" s="354">
        <v>90.888888888888886</v>
      </c>
      <c r="H32" s="508"/>
      <c r="I32" s="219">
        <f t="shared" si="15"/>
        <v>18</v>
      </c>
      <c r="J32" s="219">
        <f t="shared" si="16"/>
        <v>1289.9771599368396</v>
      </c>
      <c r="K32" s="220">
        <f t="shared" si="17"/>
        <v>71.665397774268868</v>
      </c>
      <c r="L32" s="457"/>
      <c r="M32" s="221">
        <f>RANK(K32, K$27:$K$41)</f>
        <v>6</v>
      </c>
      <c r="N32" s="475"/>
      <c r="O32" s="475"/>
      <c r="P32" s="187">
        <v>18</v>
      </c>
      <c r="Q32" s="187">
        <v>1329.3677419354817</v>
      </c>
      <c r="R32" s="187">
        <v>73.853763440860092</v>
      </c>
      <c r="S32" s="351">
        <f t="shared" si="8"/>
        <v>4</v>
      </c>
      <c r="T32" s="506"/>
      <c r="U32" s="187">
        <v>18</v>
      </c>
      <c r="V32" s="187">
        <v>1388.6999999999957</v>
      </c>
      <c r="W32" s="187">
        <v>77.149999999999764</v>
      </c>
      <c r="X32" s="351">
        <f t="shared" si="9"/>
        <v>4</v>
      </c>
      <c r="Y32" s="506"/>
      <c r="Z32" s="187">
        <v>18</v>
      </c>
      <c r="AA32" s="187">
        <v>1273.9500000000044</v>
      </c>
      <c r="AB32" s="187">
        <v>70.775000000000247</v>
      </c>
      <c r="AC32" s="351">
        <f t="shared" si="10"/>
        <v>6</v>
      </c>
      <c r="AD32" s="506"/>
      <c r="AE32" s="187">
        <v>18</v>
      </c>
      <c r="AF32" s="187">
        <v>1247.4000000000044</v>
      </c>
      <c r="AG32" s="187">
        <v>69.300000000000239</v>
      </c>
      <c r="AH32" s="351">
        <f t="shared" si="11"/>
        <v>6</v>
      </c>
      <c r="AI32" s="506"/>
      <c r="AJ32" s="187">
        <v>18</v>
      </c>
      <c r="AK32" s="187">
        <v>1250.3454545454588</v>
      </c>
      <c r="AL32" s="187">
        <v>69.463636363636596</v>
      </c>
      <c r="AM32" s="351">
        <f t="shared" si="12"/>
        <v>7</v>
      </c>
      <c r="AN32" s="506"/>
      <c r="AO32" s="187">
        <v>18</v>
      </c>
      <c r="AP32" s="187">
        <v>1297.2461538461584</v>
      </c>
      <c r="AQ32" s="187">
        <v>72.069230769231027</v>
      </c>
      <c r="AR32" s="351">
        <f t="shared" si="13"/>
        <v>6</v>
      </c>
      <c r="AS32" s="506"/>
      <c r="AT32" s="187">
        <v>18</v>
      </c>
      <c r="AU32" s="187">
        <v>1242.8307692307735</v>
      </c>
      <c r="AV32" s="187">
        <v>69.046153846154084</v>
      </c>
      <c r="AW32" s="351">
        <f t="shared" si="14"/>
        <v>6</v>
      </c>
      <c r="AX32" s="506"/>
    </row>
    <row r="33" spans="2:50">
      <c r="B33" s="483"/>
      <c r="C33" s="351">
        <v>7</v>
      </c>
      <c r="D33" s="257" t="s">
        <v>697</v>
      </c>
      <c r="E33" s="187">
        <v>14</v>
      </c>
      <c r="F33" s="351">
        <v>1500</v>
      </c>
      <c r="G33" s="354">
        <v>107.14285714285714</v>
      </c>
      <c r="H33" s="508"/>
      <c r="I33" s="219">
        <f t="shared" si="15"/>
        <v>8</v>
      </c>
      <c r="J33" s="219">
        <f t="shared" si="16"/>
        <v>1377.3482697747411</v>
      </c>
      <c r="K33" s="220">
        <f t="shared" si="17"/>
        <v>172.16853372184264</v>
      </c>
      <c r="L33" s="457"/>
      <c r="M33" s="221">
        <f>RANK(K33, K$27:$K$41)</f>
        <v>1</v>
      </c>
      <c r="N33" s="475"/>
      <c r="O33" s="475"/>
      <c r="P33" s="187">
        <v>8</v>
      </c>
      <c r="Q33" s="187">
        <v>1411.7647058823547</v>
      </c>
      <c r="R33" s="187">
        <v>176.47058823529434</v>
      </c>
      <c r="S33" s="351">
        <f t="shared" si="8"/>
        <v>1</v>
      </c>
      <c r="T33" s="506"/>
      <c r="U33" s="187">
        <v>8</v>
      </c>
      <c r="V33" s="187">
        <v>1381.7647058823547</v>
      </c>
      <c r="W33" s="187">
        <v>172.72058823529434</v>
      </c>
      <c r="X33" s="351">
        <f t="shared" si="9"/>
        <v>1</v>
      </c>
      <c r="Y33" s="506"/>
      <c r="Z33" s="187">
        <v>8</v>
      </c>
      <c r="AA33" s="187">
        <v>1380.0000000000016</v>
      </c>
      <c r="AB33" s="187">
        <v>172.5000000000002</v>
      </c>
      <c r="AC33" s="351">
        <f t="shared" si="10"/>
        <v>1</v>
      </c>
      <c r="AD33" s="506"/>
      <c r="AE33" s="187">
        <v>8</v>
      </c>
      <c r="AF33" s="187">
        <v>1349.0909090909106</v>
      </c>
      <c r="AG33" s="187">
        <v>168.63636363636382</v>
      </c>
      <c r="AH33" s="351">
        <f t="shared" si="11"/>
        <v>1</v>
      </c>
      <c r="AI33" s="506"/>
      <c r="AJ33" s="187">
        <v>8</v>
      </c>
      <c r="AK33" s="187">
        <v>1391.2500000000016</v>
      </c>
      <c r="AL33" s="187">
        <v>173.9062500000002</v>
      </c>
      <c r="AM33" s="351">
        <f t="shared" si="12"/>
        <v>1</v>
      </c>
      <c r="AN33" s="506"/>
      <c r="AO33" s="187">
        <v>8</v>
      </c>
      <c r="AP33" s="187">
        <v>1383.243243243242</v>
      </c>
      <c r="AQ33" s="187">
        <v>172.90540540540525</v>
      </c>
      <c r="AR33" s="351">
        <f t="shared" si="13"/>
        <v>1</v>
      </c>
      <c r="AS33" s="506"/>
      <c r="AT33" s="187">
        <v>8</v>
      </c>
      <c r="AU33" s="187">
        <v>1344.3243243243232</v>
      </c>
      <c r="AV33" s="187">
        <v>168.04054054054041</v>
      </c>
      <c r="AW33" s="351">
        <f t="shared" si="14"/>
        <v>1</v>
      </c>
      <c r="AX33" s="506"/>
    </row>
    <row r="34" spans="2:50">
      <c r="B34" s="483"/>
      <c r="C34" s="351">
        <v>8</v>
      </c>
      <c r="D34" s="257"/>
      <c r="E34" s="187"/>
      <c r="F34" s="351"/>
      <c r="G34" s="354"/>
      <c r="H34" s="508"/>
      <c r="I34" s="219"/>
      <c r="J34" s="219"/>
      <c r="K34" s="220"/>
      <c r="L34" s="457"/>
      <c r="M34" s="221" t="e">
        <f>RANK(K34, K$27:$K$41)</f>
        <v>#N/A</v>
      </c>
      <c r="N34" s="475"/>
      <c r="O34" s="475"/>
      <c r="P34" s="187"/>
      <c r="Q34" s="187"/>
      <c r="R34" s="187"/>
      <c r="S34" s="351" t="e">
        <f t="shared" si="8"/>
        <v>#N/A</v>
      </c>
      <c r="T34" s="506"/>
      <c r="U34" s="187"/>
      <c r="V34" s="187"/>
      <c r="W34" s="187"/>
      <c r="X34" s="351" t="e">
        <f t="shared" si="9"/>
        <v>#N/A</v>
      </c>
      <c r="Y34" s="506"/>
      <c r="Z34" s="187"/>
      <c r="AA34" s="187"/>
      <c r="AB34" s="187"/>
      <c r="AC34" s="351" t="e">
        <f t="shared" si="10"/>
        <v>#N/A</v>
      </c>
      <c r="AD34" s="506"/>
      <c r="AE34" s="187"/>
      <c r="AF34" s="187"/>
      <c r="AG34" s="187"/>
      <c r="AH34" s="351" t="e">
        <f t="shared" si="11"/>
        <v>#N/A</v>
      </c>
      <c r="AI34" s="506"/>
      <c r="AJ34" s="187"/>
      <c r="AK34" s="187"/>
      <c r="AL34" s="187"/>
      <c r="AM34" s="351" t="e">
        <f t="shared" si="12"/>
        <v>#N/A</v>
      </c>
      <c r="AN34" s="506"/>
      <c r="AO34" s="187"/>
      <c r="AP34" s="187"/>
      <c r="AQ34" s="187"/>
      <c r="AR34" s="351" t="e">
        <f t="shared" si="13"/>
        <v>#N/A</v>
      </c>
      <c r="AS34" s="506"/>
      <c r="AT34" s="187"/>
      <c r="AU34" s="187"/>
      <c r="AV34" s="187"/>
      <c r="AW34" s="351" t="e">
        <f t="shared" si="14"/>
        <v>#N/A</v>
      </c>
      <c r="AX34" s="506"/>
    </row>
    <row r="35" spans="2:50">
      <c r="B35" s="483"/>
      <c r="C35" s="351">
        <v>9</v>
      </c>
      <c r="D35" s="257"/>
      <c r="E35" s="187"/>
      <c r="F35" s="351"/>
      <c r="G35" s="354"/>
      <c r="H35" s="508"/>
      <c r="I35" s="219"/>
      <c r="J35" s="219"/>
      <c r="K35" s="220"/>
      <c r="L35" s="457"/>
      <c r="M35" s="221" t="e">
        <f>RANK(K35, K$27:$K$41)</f>
        <v>#N/A</v>
      </c>
      <c r="N35" s="475"/>
      <c r="O35" s="475"/>
      <c r="P35" s="187"/>
      <c r="Q35" s="187"/>
      <c r="R35" s="187"/>
      <c r="S35" s="351" t="e">
        <f t="shared" si="8"/>
        <v>#N/A</v>
      </c>
      <c r="T35" s="506"/>
      <c r="U35" s="187"/>
      <c r="V35" s="187"/>
      <c r="W35" s="187"/>
      <c r="X35" s="351" t="e">
        <f t="shared" si="9"/>
        <v>#N/A</v>
      </c>
      <c r="Y35" s="506"/>
      <c r="Z35" s="187"/>
      <c r="AA35" s="187"/>
      <c r="AB35" s="187"/>
      <c r="AC35" s="351" t="e">
        <f t="shared" si="10"/>
        <v>#N/A</v>
      </c>
      <c r="AD35" s="506"/>
      <c r="AE35" s="187"/>
      <c r="AF35" s="187"/>
      <c r="AG35" s="187"/>
      <c r="AH35" s="351" t="e">
        <f t="shared" si="11"/>
        <v>#N/A</v>
      </c>
      <c r="AI35" s="506"/>
      <c r="AJ35" s="187"/>
      <c r="AK35" s="187"/>
      <c r="AL35" s="187"/>
      <c r="AM35" s="351" t="e">
        <f t="shared" si="12"/>
        <v>#N/A</v>
      </c>
      <c r="AN35" s="506"/>
      <c r="AO35" s="187"/>
      <c r="AP35" s="187"/>
      <c r="AQ35" s="187"/>
      <c r="AR35" s="351" t="e">
        <f t="shared" si="13"/>
        <v>#N/A</v>
      </c>
      <c r="AS35" s="506"/>
      <c r="AT35" s="187"/>
      <c r="AU35" s="187"/>
      <c r="AV35" s="354"/>
      <c r="AW35" s="351" t="e">
        <f t="shared" si="14"/>
        <v>#N/A</v>
      </c>
      <c r="AX35" s="506"/>
    </row>
    <row r="36" spans="2:50">
      <c r="B36" s="483"/>
      <c r="C36" s="351">
        <v>10</v>
      </c>
      <c r="D36" s="257"/>
      <c r="E36" s="187"/>
      <c r="F36" s="351"/>
      <c r="G36" s="354"/>
      <c r="H36" s="508"/>
      <c r="I36" s="219"/>
      <c r="J36" s="219"/>
      <c r="K36" s="220"/>
      <c r="L36" s="457"/>
      <c r="M36" s="221" t="e">
        <f>RANK(K36, K$27:$K$41)</f>
        <v>#N/A</v>
      </c>
      <c r="N36" s="475"/>
      <c r="O36" s="475"/>
      <c r="P36" s="187"/>
      <c r="Q36" s="187"/>
      <c r="R36" s="187"/>
      <c r="S36" s="351" t="e">
        <f t="shared" si="8"/>
        <v>#N/A</v>
      </c>
      <c r="T36" s="506"/>
      <c r="U36" s="187"/>
      <c r="V36" s="187"/>
      <c r="W36" s="187"/>
      <c r="X36" s="351" t="e">
        <f t="shared" si="9"/>
        <v>#N/A</v>
      </c>
      <c r="Y36" s="506"/>
      <c r="Z36" s="187"/>
      <c r="AA36" s="187"/>
      <c r="AB36" s="187"/>
      <c r="AC36" s="351" t="e">
        <f t="shared" si="10"/>
        <v>#N/A</v>
      </c>
      <c r="AD36" s="506"/>
      <c r="AE36" s="187"/>
      <c r="AF36" s="187"/>
      <c r="AG36" s="187"/>
      <c r="AH36" s="351" t="e">
        <f t="shared" si="11"/>
        <v>#N/A</v>
      </c>
      <c r="AI36" s="506"/>
      <c r="AJ36" s="187"/>
      <c r="AK36" s="187"/>
      <c r="AL36" s="187"/>
      <c r="AM36" s="351" t="e">
        <f t="shared" si="12"/>
        <v>#N/A</v>
      </c>
      <c r="AN36" s="506"/>
      <c r="AO36" s="187"/>
      <c r="AP36" s="187"/>
      <c r="AQ36" s="187"/>
      <c r="AR36" s="351" t="e">
        <f t="shared" si="13"/>
        <v>#N/A</v>
      </c>
      <c r="AS36" s="506"/>
      <c r="AT36" s="187"/>
      <c r="AU36" s="187"/>
      <c r="AV36" s="354"/>
      <c r="AW36" s="351" t="e">
        <f t="shared" si="14"/>
        <v>#N/A</v>
      </c>
      <c r="AX36" s="506"/>
    </row>
    <row r="37" spans="2:50">
      <c r="B37" s="483"/>
      <c r="C37" s="351">
        <v>11</v>
      </c>
      <c r="D37" s="257"/>
      <c r="E37" s="187"/>
      <c r="F37" s="351"/>
      <c r="G37" s="354"/>
      <c r="H37" s="508"/>
      <c r="I37" s="222"/>
      <c r="J37" s="222"/>
      <c r="K37" s="222"/>
      <c r="L37" s="457"/>
      <c r="M37" s="221" t="e">
        <f>RANK(K37, K$27:$K$41)</f>
        <v>#N/A</v>
      </c>
      <c r="N37" s="475"/>
      <c r="O37" s="475"/>
      <c r="P37" s="187"/>
      <c r="Q37" s="187"/>
      <c r="R37" s="187"/>
      <c r="S37" s="351" t="e">
        <f t="shared" si="8"/>
        <v>#N/A</v>
      </c>
      <c r="T37" s="506"/>
      <c r="U37" s="187"/>
      <c r="V37" s="187"/>
      <c r="W37" s="187"/>
      <c r="X37" s="351" t="e">
        <f t="shared" si="9"/>
        <v>#N/A</v>
      </c>
      <c r="Y37" s="506"/>
      <c r="Z37" s="187"/>
      <c r="AA37" s="187"/>
      <c r="AB37" s="187"/>
      <c r="AC37" s="351" t="e">
        <f t="shared" si="10"/>
        <v>#N/A</v>
      </c>
      <c r="AD37" s="506"/>
      <c r="AE37" s="187"/>
      <c r="AF37" s="187"/>
      <c r="AG37" s="187"/>
      <c r="AH37" s="351" t="e">
        <f t="shared" si="11"/>
        <v>#N/A</v>
      </c>
      <c r="AI37" s="506"/>
      <c r="AJ37" s="187"/>
      <c r="AK37" s="187"/>
      <c r="AL37" s="187"/>
      <c r="AM37" s="351" t="e">
        <f t="shared" si="12"/>
        <v>#N/A</v>
      </c>
      <c r="AN37" s="506"/>
      <c r="AO37" s="187"/>
      <c r="AP37" s="187"/>
      <c r="AQ37" s="187"/>
      <c r="AR37" s="351" t="e">
        <f t="shared" si="13"/>
        <v>#N/A</v>
      </c>
      <c r="AS37" s="506"/>
      <c r="AT37" s="187"/>
      <c r="AU37" s="187"/>
      <c r="AV37" s="354"/>
      <c r="AW37" s="351" t="e">
        <f t="shared" si="14"/>
        <v>#N/A</v>
      </c>
      <c r="AX37" s="506"/>
    </row>
    <row r="38" spans="2:50">
      <c r="B38" s="483"/>
      <c r="C38" s="351">
        <v>12</v>
      </c>
      <c r="D38" s="257"/>
      <c r="E38" s="187"/>
      <c r="F38" s="351"/>
      <c r="G38" s="354"/>
      <c r="H38" s="508"/>
      <c r="I38" s="222"/>
      <c r="J38" s="222"/>
      <c r="K38" s="222"/>
      <c r="L38" s="457"/>
      <c r="M38" s="221" t="e">
        <f>RANK(K38, K$27:$K$41)</f>
        <v>#N/A</v>
      </c>
      <c r="N38" s="475"/>
      <c r="O38" s="475"/>
      <c r="P38" s="187"/>
      <c r="Q38" s="187"/>
      <c r="R38" s="187"/>
      <c r="S38" s="351" t="e">
        <f t="shared" si="8"/>
        <v>#N/A</v>
      </c>
      <c r="T38" s="506"/>
      <c r="U38" s="187"/>
      <c r="V38" s="187"/>
      <c r="W38" s="187"/>
      <c r="X38" s="351" t="e">
        <f t="shared" si="9"/>
        <v>#N/A</v>
      </c>
      <c r="Y38" s="506"/>
      <c r="Z38" s="187"/>
      <c r="AA38" s="187"/>
      <c r="AB38" s="187"/>
      <c r="AC38" s="351" t="e">
        <f t="shared" si="10"/>
        <v>#N/A</v>
      </c>
      <c r="AD38" s="506"/>
      <c r="AE38" s="187"/>
      <c r="AF38" s="187"/>
      <c r="AG38" s="187"/>
      <c r="AH38" s="351" t="e">
        <f t="shared" si="11"/>
        <v>#N/A</v>
      </c>
      <c r="AI38" s="506"/>
      <c r="AJ38" s="187"/>
      <c r="AK38" s="187"/>
      <c r="AL38" s="187"/>
      <c r="AM38" s="351" t="e">
        <f t="shared" si="12"/>
        <v>#N/A</v>
      </c>
      <c r="AN38" s="506"/>
      <c r="AO38" s="187"/>
      <c r="AP38" s="187"/>
      <c r="AQ38" s="187"/>
      <c r="AR38" s="351" t="e">
        <f t="shared" si="13"/>
        <v>#N/A</v>
      </c>
      <c r="AS38" s="506"/>
      <c r="AT38" s="187"/>
      <c r="AU38" s="187"/>
      <c r="AV38" s="354"/>
      <c r="AW38" s="351" t="e">
        <f t="shared" si="14"/>
        <v>#N/A</v>
      </c>
      <c r="AX38" s="506"/>
    </row>
    <row r="39" spans="2:50">
      <c r="B39" s="483"/>
      <c r="C39" s="351">
        <v>13</v>
      </c>
      <c r="D39" s="257"/>
      <c r="E39" s="187"/>
      <c r="F39" s="351"/>
      <c r="G39" s="354"/>
      <c r="H39" s="508"/>
      <c r="I39" s="222"/>
      <c r="J39" s="222"/>
      <c r="K39" s="222"/>
      <c r="L39" s="457"/>
      <c r="M39" s="221" t="e">
        <f>RANK(K39, K$27:$K$41)</f>
        <v>#N/A</v>
      </c>
      <c r="N39" s="475"/>
      <c r="O39" s="475"/>
      <c r="P39" s="187"/>
      <c r="Q39" s="187"/>
      <c r="R39" s="187"/>
      <c r="S39" s="351" t="e">
        <f t="shared" si="8"/>
        <v>#N/A</v>
      </c>
      <c r="T39" s="506"/>
      <c r="U39" s="187"/>
      <c r="V39" s="187"/>
      <c r="W39" s="187"/>
      <c r="X39" s="351" t="e">
        <f t="shared" si="9"/>
        <v>#N/A</v>
      </c>
      <c r="Y39" s="506"/>
      <c r="Z39" s="187"/>
      <c r="AA39" s="187"/>
      <c r="AB39" s="187"/>
      <c r="AC39" s="351" t="e">
        <f t="shared" si="10"/>
        <v>#N/A</v>
      </c>
      <c r="AD39" s="506"/>
      <c r="AE39" s="187"/>
      <c r="AF39" s="187"/>
      <c r="AG39" s="187"/>
      <c r="AH39" s="351" t="e">
        <f t="shared" si="11"/>
        <v>#N/A</v>
      </c>
      <c r="AI39" s="506"/>
      <c r="AJ39" s="187"/>
      <c r="AK39" s="187"/>
      <c r="AL39" s="187"/>
      <c r="AM39" s="351" t="e">
        <f t="shared" si="12"/>
        <v>#N/A</v>
      </c>
      <c r="AN39" s="506"/>
      <c r="AO39" s="187"/>
      <c r="AP39" s="187"/>
      <c r="AQ39" s="187"/>
      <c r="AR39" s="351" t="e">
        <f t="shared" si="13"/>
        <v>#N/A</v>
      </c>
      <c r="AS39" s="506"/>
      <c r="AT39" s="187"/>
      <c r="AU39" s="187"/>
      <c r="AV39" s="354"/>
      <c r="AW39" s="351" t="e">
        <f t="shared" si="14"/>
        <v>#N/A</v>
      </c>
      <c r="AX39" s="506"/>
    </row>
    <row r="40" spans="2:50">
      <c r="B40" s="483"/>
      <c r="C40" s="351">
        <v>14</v>
      </c>
      <c r="D40" s="257"/>
      <c r="E40" s="187"/>
      <c r="F40" s="351"/>
      <c r="G40" s="354"/>
      <c r="H40" s="508"/>
      <c r="I40" s="222"/>
      <c r="J40" s="222"/>
      <c r="K40" s="222"/>
      <c r="L40" s="457"/>
      <c r="M40" s="221" t="e">
        <f>RANK(K40, K$27:$K$41)</f>
        <v>#N/A</v>
      </c>
      <c r="N40" s="475"/>
      <c r="O40" s="475"/>
      <c r="P40" s="187"/>
      <c r="Q40" s="187"/>
      <c r="R40" s="187"/>
      <c r="S40" s="351" t="e">
        <f t="shared" si="8"/>
        <v>#N/A</v>
      </c>
      <c r="T40" s="506"/>
      <c r="U40" s="187"/>
      <c r="V40" s="187"/>
      <c r="W40" s="187"/>
      <c r="X40" s="351" t="e">
        <f t="shared" si="9"/>
        <v>#N/A</v>
      </c>
      <c r="Y40" s="506"/>
      <c r="Z40" s="187"/>
      <c r="AA40" s="187"/>
      <c r="AB40" s="187"/>
      <c r="AC40" s="351" t="e">
        <f t="shared" si="10"/>
        <v>#N/A</v>
      </c>
      <c r="AD40" s="506"/>
      <c r="AE40" s="187"/>
      <c r="AF40" s="187"/>
      <c r="AG40" s="187"/>
      <c r="AH40" s="351" t="e">
        <f t="shared" si="11"/>
        <v>#N/A</v>
      </c>
      <c r="AI40" s="506"/>
      <c r="AJ40" s="187"/>
      <c r="AK40" s="187"/>
      <c r="AL40" s="187"/>
      <c r="AM40" s="351" t="e">
        <f t="shared" si="12"/>
        <v>#N/A</v>
      </c>
      <c r="AN40" s="506"/>
      <c r="AO40" s="187"/>
      <c r="AP40" s="187"/>
      <c r="AQ40" s="187"/>
      <c r="AR40" s="351" t="e">
        <f t="shared" si="13"/>
        <v>#N/A</v>
      </c>
      <c r="AS40" s="506"/>
      <c r="AT40" s="187"/>
      <c r="AU40" s="187"/>
      <c r="AV40" s="354"/>
      <c r="AW40" s="351" t="e">
        <f t="shared" si="14"/>
        <v>#N/A</v>
      </c>
      <c r="AX40" s="506"/>
    </row>
    <row r="41" spans="2:50">
      <c r="B41" s="483"/>
      <c r="C41" s="351">
        <v>15</v>
      </c>
      <c r="D41" s="257"/>
      <c r="E41" s="187"/>
      <c r="F41" s="351"/>
      <c r="G41" s="354"/>
      <c r="H41" s="509"/>
      <c r="I41" s="222"/>
      <c r="J41" s="222"/>
      <c r="K41" s="222"/>
      <c r="L41" s="458"/>
      <c r="M41" s="219" t="e">
        <f>RANK(K41, K$27:$K$41)</f>
        <v>#N/A</v>
      </c>
      <c r="N41" s="475"/>
      <c r="O41" s="475"/>
      <c r="P41" s="187"/>
      <c r="Q41" s="187"/>
      <c r="R41" s="187"/>
      <c r="S41" s="351" t="e">
        <f t="shared" si="8"/>
        <v>#N/A</v>
      </c>
      <c r="T41" s="506"/>
      <c r="U41" s="187"/>
      <c r="V41" s="187"/>
      <c r="W41" s="187"/>
      <c r="X41" s="351" t="e">
        <f t="shared" si="9"/>
        <v>#N/A</v>
      </c>
      <c r="Y41" s="506"/>
      <c r="Z41" s="187"/>
      <c r="AA41" s="187"/>
      <c r="AB41" s="187"/>
      <c r="AC41" s="351" t="e">
        <f t="shared" si="10"/>
        <v>#N/A</v>
      </c>
      <c r="AD41" s="506"/>
      <c r="AE41" s="187"/>
      <c r="AF41" s="187"/>
      <c r="AG41" s="187"/>
      <c r="AH41" s="351" t="e">
        <f t="shared" si="11"/>
        <v>#N/A</v>
      </c>
      <c r="AI41" s="506"/>
      <c r="AJ41" s="187"/>
      <c r="AK41" s="187"/>
      <c r="AL41" s="187"/>
      <c r="AM41" s="351" t="e">
        <f t="shared" si="12"/>
        <v>#N/A</v>
      </c>
      <c r="AN41" s="506"/>
      <c r="AO41" s="187"/>
      <c r="AP41" s="187"/>
      <c r="AQ41" s="187"/>
      <c r="AR41" s="351" t="e">
        <f t="shared" si="13"/>
        <v>#N/A</v>
      </c>
      <c r="AS41" s="506"/>
      <c r="AT41" s="187"/>
      <c r="AU41" s="187"/>
      <c r="AV41" s="354"/>
      <c r="AW41" s="351" t="e">
        <f t="shared" si="14"/>
        <v>#N/A</v>
      </c>
      <c r="AX41" s="506"/>
    </row>
    <row r="42" spans="2:50" ht="15.75">
      <c r="B42" s="500" t="s">
        <v>172</v>
      </c>
      <c r="C42" s="501"/>
      <c r="D42" s="501"/>
      <c r="E42" s="501"/>
      <c r="F42" s="501"/>
      <c r="G42" s="501"/>
      <c r="H42" s="501"/>
      <c r="I42" s="228"/>
      <c r="J42" s="223"/>
      <c r="K42" s="228"/>
      <c r="L42" s="228"/>
      <c r="M42" s="224"/>
      <c r="N42" s="476" t="s">
        <v>164</v>
      </c>
      <c r="O42" s="476" t="s">
        <v>105</v>
      </c>
      <c r="P42" s="482">
        <f>P22+7</f>
        <v>45909</v>
      </c>
      <c r="Q42" s="483"/>
      <c r="R42" s="483"/>
      <c r="S42" s="483"/>
      <c r="T42" s="483"/>
      <c r="U42" s="479">
        <f>P42+1</f>
        <v>45910</v>
      </c>
      <c r="V42" s="480"/>
      <c r="W42" s="480"/>
      <c r="X42" s="480"/>
      <c r="Y42" s="481"/>
      <c r="Z42" s="479">
        <f>U42+1</f>
        <v>45911</v>
      </c>
      <c r="AA42" s="480"/>
      <c r="AB42" s="480"/>
      <c r="AC42" s="480"/>
      <c r="AD42" s="481"/>
      <c r="AE42" s="479">
        <f t="shared" ref="AE42" si="18">Z42+1</f>
        <v>45912</v>
      </c>
      <c r="AF42" s="480"/>
      <c r="AG42" s="480"/>
      <c r="AH42" s="480"/>
      <c r="AI42" s="481"/>
      <c r="AJ42" s="479">
        <f t="shared" ref="AJ42" si="19">AE42+1</f>
        <v>45913</v>
      </c>
      <c r="AK42" s="480"/>
      <c r="AL42" s="480"/>
      <c r="AM42" s="480"/>
      <c r="AN42" s="481"/>
      <c r="AO42" s="479">
        <f t="shared" ref="AO42" si="20">AJ42+1</f>
        <v>45914</v>
      </c>
      <c r="AP42" s="480"/>
      <c r="AQ42" s="480"/>
      <c r="AR42" s="480"/>
      <c r="AS42" s="481"/>
      <c r="AT42" s="479">
        <f t="shared" ref="AT42" si="21">AO42+1</f>
        <v>45915</v>
      </c>
      <c r="AU42" s="480"/>
      <c r="AV42" s="480"/>
      <c r="AW42" s="480"/>
      <c r="AX42" s="481"/>
    </row>
    <row r="43" spans="2:50" ht="15.75">
      <c r="B43" s="490"/>
      <c r="C43" s="490"/>
      <c r="D43" s="490"/>
      <c r="E43" s="490"/>
      <c r="F43" s="490"/>
      <c r="G43" s="490"/>
      <c r="H43" s="490"/>
      <c r="I43" s="225"/>
      <c r="J43" s="225"/>
      <c r="K43" s="225"/>
      <c r="L43" s="225"/>
      <c r="M43" s="226"/>
      <c r="N43" s="478"/>
      <c r="O43" s="478"/>
      <c r="P43" s="482" t="s">
        <v>393</v>
      </c>
      <c r="Q43" s="483"/>
      <c r="R43" s="483"/>
      <c r="S43" s="483"/>
      <c r="T43" s="483"/>
      <c r="U43" s="482" t="s">
        <v>394</v>
      </c>
      <c r="V43" s="483"/>
      <c r="W43" s="483"/>
      <c r="X43" s="483"/>
      <c r="Y43" s="483"/>
      <c r="Z43" s="482" t="s">
        <v>395</v>
      </c>
      <c r="AA43" s="483"/>
      <c r="AB43" s="483"/>
      <c r="AC43" s="483"/>
      <c r="AD43" s="483"/>
      <c r="AE43" s="482" t="s">
        <v>396</v>
      </c>
      <c r="AF43" s="483"/>
      <c r="AG43" s="483"/>
      <c r="AH43" s="483"/>
      <c r="AI43" s="483"/>
      <c r="AJ43" s="482" t="s">
        <v>397</v>
      </c>
      <c r="AK43" s="483"/>
      <c r="AL43" s="483"/>
      <c r="AM43" s="483"/>
      <c r="AN43" s="483"/>
      <c r="AO43" s="482" t="s">
        <v>398</v>
      </c>
      <c r="AP43" s="483"/>
      <c r="AQ43" s="483"/>
      <c r="AR43" s="483"/>
      <c r="AS43" s="483"/>
      <c r="AT43" s="482" t="s">
        <v>399</v>
      </c>
      <c r="AU43" s="483"/>
      <c r="AV43" s="483"/>
      <c r="AW43" s="483"/>
      <c r="AX43" s="483"/>
    </row>
    <row r="44" spans="2:50">
      <c r="B44" s="475" t="s">
        <v>634</v>
      </c>
      <c r="C44" s="475" t="s">
        <v>644</v>
      </c>
      <c r="D44" s="475"/>
      <c r="E44" s="475" t="s">
        <v>635</v>
      </c>
      <c r="F44" s="475"/>
      <c r="G44" s="475"/>
      <c r="H44" s="491" t="s">
        <v>631</v>
      </c>
      <c r="I44" s="459" t="s">
        <v>636</v>
      </c>
      <c r="J44" s="459"/>
      <c r="K44" s="459"/>
      <c r="L44" s="460" t="s">
        <v>631</v>
      </c>
      <c r="M44" s="466" t="s">
        <v>632</v>
      </c>
      <c r="N44" s="475"/>
      <c r="O44" s="475" t="s">
        <v>637</v>
      </c>
      <c r="P44" s="472" t="s">
        <v>633</v>
      </c>
      <c r="Q44" s="473"/>
      <c r="R44" s="473"/>
      <c r="S44" s="474"/>
      <c r="T44" s="475" t="s">
        <v>631</v>
      </c>
      <c r="U44" s="472" t="s">
        <v>633</v>
      </c>
      <c r="V44" s="473"/>
      <c r="W44" s="473"/>
      <c r="X44" s="474"/>
      <c r="Y44" s="475" t="s">
        <v>631</v>
      </c>
      <c r="Z44" s="472" t="s">
        <v>633</v>
      </c>
      <c r="AA44" s="473"/>
      <c r="AB44" s="473"/>
      <c r="AC44" s="474"/>
      <c r="AD44" s="475" t="s">
        <v>631</v>
      </c>
      <c r="AE44" s="472" t="s">
        <v>633</v>
      </c>
      <c r="AF44" s="473"/>
      <c r="AG44" s="473"/>
      <c r="AH44" s="474"/>
      <c r="AI44" s="475" t="s">
        <v>631</v>
      </c>
      <c r="AJ44" s="472" t="s">
        <v>633</v>
      </c>
      <c r="AK44" s="473"/>
      <c r="AL44" s="473"/>
      <c r="AM44" s="474"/>
      <c r="AN44" s="475" t="s">
        <v>631</v>
      </c>
      <c r="AO44" s="472" t="s">
        <v>633</v>
      </c>
      <c r="AP44" s="473"/>
      <c r="AQ44" s="473"/>
      <c r="AR44" s="474"/>
      <c r="AS44" s="475" t="s">
        <v>631</v>
      </c>
      <c r="AT44" s="472" t="s">
        <v>633</v>
      </c>
      <c r="AU44" s="473"/>
      <c r="AV44" s="473"/>
      <c r="AW44" s="474"/>
      <c r="AX44" s="475" t="s">
        <v>631</v>
      </c>
    </row>
    <row r="45" spans="2:50">
      <c r="B45" s="475"/>
      <c r="C45" s="475"/>
      <c r="D45" s="475"/>
      <c r="E45" s="475" t="s">
        <v>638</v>
      </c>
      <c r="F45" s="475"/>
      <c r="G45" s="475"/>
      <c r="H45" s="492"/>
      <c r="I45" s="459" t="s">
        <v>638</v>
      </c>
      <c r="J45" s="459"/>
      <c r="K45" s="459"/>
      <c r="L45" s="461"/>
      <c r="M45" s="467"/>
      <c r="N45" s="475"/>
      <c r="O45" s="475"/>
      <c r="P45" s="472" t="s">
        <v>639</v>
      </c>
      <c r="Q45" s="473"/>
      <c r="R45" s="473"/>
      <c r="S45" s="474"/>
      <c r="T45" s="475"/>
      <c r="U45" s="472" t="s">
        <v>639</v>
      </c>
      <c r="V45" s="473"/>
      <c r="W45" s="473"/>
      <c r="X45" s="474"/>
      <c r="Y45" s="475"/>
      <c r="Z45" s="472" t="s">
        <v>639</v>
      </c>
      <c r="AA45" s="473"/>
      <c r="AB45" s="473"/>
      <c r="AC45" s="474"/>
      <c r="AD45" s="475"/>
      <c r="AE45" s="472" t="s">
        <v>639</v>
      </c>
      <c r="AF45" s="473"/>
      <c r="AG45" s="473"/>
      <c r="AH45" s="474"/>
      <c r="AI45" s="475"/>
      <c r="AJ45" s="472" t="s">
        <v>639</v>
      </c>
      <c r="AK45" s="473"/>
      <c r="AL45" s="473"/>
      <c r="AM45" s="474"/>
      <c r="AN45" s="475"/>
      <c r="AO45" s="472" t="s">
        <v>639</v>
      </c>
      <c r="AP45" s="473"/>
      <c r="AQ45" s="473"/>
      <c r="AR45" s="474"/>
      <c r="AS45" s="475"/>
      <c r="AT45" s="472" t="s">
        <v>639</v>
      </c>
      <c r="AU45" s="473"/>
      <c r="AV45" s="473"/>
      <c r="AW45" s="474"/>
      <c r="AX45" s="475"/>
    </row>
    <row r="46" spans="2:50">
      <c r="B46" s="475"/>
      <c r="C46" s="475"/>
      <c r="D46" s="475"/>
      <c r="E46" s="350" t="s">
        <v>640</v>
      </c>
      <c r="F46" s="350" t="s">
        <v>641</v>
      </c>
      <c r="G46" s="350" t="s">
        <v>642</v>
      </c>
      <c r="H46" s="493"/>
      <c r="I46" s="349" t="s">
        <v>640</v>
      </c>
      <c r="J46" s="349" t="s">
        <v>641</v>
      </c>
      <c r="K46" s="349" t="s">
        <v>642</v>
      </c>
      <c r="L46" s="462"/>
      <c r="M46" s="468"/>
      <c r="N46" s="475"/>
      <c r="O46" s="475"/>
      <c r="P46" s="350" t="s">
        <v>640</v>
      </c>
      <c r="Q46" s="350" t="s">
        <v>641</v>
      </c>
      <c r="R46" s="350" t="s">
        <v>642</v>
      </c>
      <c r="S46" s="350" t="s">
        <v>632</v>
      </c>
      <c r="T46" s="475"/>
      <c r="U46" s="350" t="s">
        <v>640</v>
      </c>
      <c r="V46" s="350" t="s">
        <v>641</v>
      </c>
      <c r="W46" s="350" t="s">
        <v>642</v>
      </c>
      <c r="X46" s="350" t="s">
        <v>632</v>
      </c>
      <c r="Y46" s="475"/>
      <c r="Z46" s="350" t="s">
        <v>640</v>
      </c>
      <c r="AA46" s="350" t="s">
        <v>641</v>
      </c>
      <c r="AB46" s="350" t="s">
        <v>642</v>
      </c>
      <c r="AC46" s="350" t="s">
        <v>632</v>
      </c>
      <c r="AD46" s="475"/>
      <c r="AE46" s="350" t="s">
        <v>640</v>
      </c>
      <c r="AF46" s="350" t="s">
        <v>641</v>
      </c>
      <c r="AG46" s="350" t="s">
        <v>642</v>
      </c>
      <c r="AH46" s="350" t="s">
        <v>632</v>
      </c>
      <c r="AI46" s="475"/>
      <c r="AJ46" s="350" t="s">
        <v>640</v>
      </c>
      <c r="AK46" s="350" t="s">
        <v>641</v>
      </c>
      <c r="AL46" s="350" t="s">
        <v>642</v>
      </c>
      <c r="AM46" s="350" t="s">
        <v>632</v>
      </c>
      <c r="AN46" s="475"/>
      <c r="AO46" s="350" t="s">
        <v>640</v>
      </c>
      <c r="AP46" s="350" t="s">
        <v>641</v>
      </c>
      <c r="AQ46" s="350" t="s">
        <v>642</v>
      </c>
      <c r="AR46" s="350" t="s">
        <v>632</v>
      </c>
      <c r="AS46" s="475"/>
      <c r="AT46" s="350" t="s">
        <v>640</v>
      </c>
      <c r="AU46" s="350" t="s">
        <v>641</v>
      </c>
      <c r="AV46" s="350" t="s">
        <v>642</v>
      </c>
      <c r="AW46" s="350" t="s">
        <v>632</v>
      </c>
      <c r="AX46" s="475"/>
    </row>
    <row r="47" spans="2:50">
      <c r="B47" s="475" t="s">
        <v>646</v>
      </c>
      <c r="C47" s="351">
        <v>1</v>
      </c>
      <c r="D47" s="257"/>
      <c r="E47" s="187"/>
      <c r="F47" s="351"/>
      <c r="G47" s="354"/>
      <c r="H47" s="507" t="e">
        <f>AVERAGE(G47:G61)</f>
        <v>#DIV/0!</v>
      </c>
      <c r="I47" s="219" t="e">
        <f>AVERAGE(P47,U47,Z47,AE47,AJ47,AO47,AT47)</f>
        <v>#DIV/0!</v>
      </c>
      <c r="J47" s="219" t="e">
        <f>AVERAGE(Q47,V47,AA47,AF47,AK47,AP47,AU47)</f>
        <v>#DIV/0!</v>
      </c>
      <c r="K47" s="220" t="e">
        <f>AVERAGE(R47,W47,AB47,AG47,AL47,AQ47,AV47)</f>
        <v>#DIV/0!</v>
      </c>
      <c r="L47" s="456" t="str">
        <f>IFERROR(AVERAGE(K47:K61),"-")</f>
        <v>-</v>
      </c>
      <c r="M47" s="221" t="e">
        <f>RANK(K47, K$87:$K$101)</f>
        <v>#DIV/0!</v>
      </c>
      <c r="N47" s="475"/>
      <c r="O47" s="475"/>
      <c r="P47" s="187"/>
      <c r="Q47" s="187"/>
      <c r="R47" s="187"/>
      <c r="S47" s="351" t="e">
        <f>RANK(R47, R$87:R$101)</f>
        <v>#N/A</v>
      </c>
      <c r="T47" s="506" t="e">
        <f>AVERAGE(R47:R61)</f>
        <v>#DIV/0!</v>
      </c>
      <c r="U47" s="187"/>
      <c r="V47" s="187"/>
      <c r="W47" s="187"/>
      <c r="X47" s="351" t="e">
        <f>RANK(W47, W$87:W$101)</f>
        <v>#N/A</v>
      </c>
      <c r="Y47" s="506" t="e">
        <f>AVERAGE(W47:W61)</f>
        <v>#DIV/0!</v>
      </c>
      <c r="Z47" s="187"/>
      <c r="AA47" s="187"/>
      <c r="AB47" s="187"/>
      <c r="AC47" s="351" t="e">
        <f>RANK(AB47, AB$87:AB$101)</f>
        <v>#N/A</v>
      </c>
      <c r="AD47" s="506" t="e">
        <f>AVERAGE(AB47:AB61)</f>
        <v>#DIV/0!</v>
      </c>
      <c r="AE47" s="187"/>
      <c r="AF47" s="187"/>
      <c r="AG47" s="187"/>
      <c r="AH47" s="351" t="e">
        <f>RANK(AG47, AG$87:AG$101)</f>
        <v>#N/A</v>
      </c>
      <c r="AI47" s="506" t="e">
        <f>AVERAGE(AG47:AG61)</f>
        <v>#DIV/0!</v>
      </c>
      <c r="AJ47" s="187"/>
      <c r="AK47" s="187"/>
      <c r="AL47" s="187"/>
      <c r="AM47" s="351" t="e">
        <f>RANK(AL47, AL$87:AL$101)</f>
        <v>#N/A</v>
      </c>
      <c r="AN47" s="506" t="e">
        <f>AVERAGE(AL47:AL61)</f>
        <v>#DIV/0!</v>
      </c>
      <c r="AO47" s="187"/>
      <c r="AP47" s="187"/>
      <c r="AQ47" s="187"/>
      <c r="AR47" s="351" t="e">
        <f>RANK(AQ47, AQ$87:AQ$101)</f>
        <v>#N/A</v>
      </c>
      <c r="AS47" s="506" t="e">
        <f>AVERAGE(AQ47:AQ61)</f>
        <v>#DIV/0!</v>
      </c>
      <c r="AT47" s="187"/>
      <c r="AU47" s="187"/>
      <c r="AV47" s="187"/>
      <c r="AW47" s="351" t="e">
        <f>RANK(AV47, AV$87:AV$101)</f>
        <v>#N/A</v>
      </c>
      <c r="AX47" s="506" t="e">
        <f>AVERAGE(AV47:AV61)</f>
        <v>#DIV/0!</v>
      </c>
    </row>
    <row r="48" spans="2:50">
      <c r="B48" s="483"/>
      <c r="C48" s="351">
        <v>2</v>
      </c>
      <c r="D48" s="257"/>
      <c r="E48" s="187"/>
      <c r="F48" s="351"/>
      <c r="G48" s="354"/>
      <c r="H48" s="508"/>
      <c r="I48" s="219" t="e">
        <f t="shared" ref="I48:I53" si="22">AVERAGE(P48,U48,Z48,AE48,AJ48,AO48,AT48)</f>
        <v>#DIV/0!</v>
      </c>
      <c r="J48" s="219" t="e">
        <f t="shared" ref="J48:J53" si="23">AVERAGE(Q48,V48,AA48,AF48,AK48,AP48,AU48)</f>
        <v>#DIV/0!</v>
      </c>
      <c r="K48" s="220" t="e">
        <f t="shared" ref="K48:K53" si="24">AVERAGE(R48,W48,AB48,AG48,AL48,AQ48,AV48)</f>
        <v>#DIV/0!</v>
      </c>
      <c r="L48" s="457"/>
      <c r="M48" s="221" t="e">
        <f>RANK(K48, K$87:$K$101)</f>
        <v>#DIV/0!</v>
      </c>
      <c r="N48" s="475"/>
      <c r="O48" s="475"/>
      <c r="P48" s="187"/>
      <c r="Q48" s="187"/>
      <c r="R48" s="187"/>
      <c r="S48" s="351" t="e">
        <f t="shared" ref="S48:S61" si="25">RANK(R48, R$87:R$101)</f>
        <v>#N/A</v>
      </c>
      <c r="T48" s="506"/>
      <c r="U48" s="187"/>
      <c r="V48" s="187"/>
      <c r="W48" s="187"/>
      <c r="X48" s="351" t="e">
        <f t="shared" ref="X48:X61" si="26">RANK(W48, W$87:W$101)</f>
        <v>#N/A</v>
      </c>
      <c r="Y48" s="506"/>
      <c r="Z48" s="187"/>
      <c r="AA48" s="187"/>
      <c r="AB48" s="187"/>
      <c r="AC48" s="351" t="e">
        <f t="shared" ref="AC48:AC61" si="27">RANK(AB48, AB$87:AB$101)</f>
        <v>#N/A</v>
      </c>
      <c r="AD48" s="506"/>
      <c r="AE48" s="187"/>
      <c r="AF48" s="187"/>
      <c r="AG48" s="187"/>
      <c r="AH48" s="351" t="e">
        <f t="shared" ref="AH48:AH61" si="28">RANK(AG48, AG$87:AG$101)</f>
        <v>#N/A</v>
      </c>
      <c r="AI48" s="506"/>
      <c r="AJ48" s="187"/>
      <c r="AK48" s="187"/>
      <c r="AL48" s="187"/>
      <c r="AM48" s="351" t="e">
        <f t="shared" ref="AM48:AM61" si="29">RANK(AL48, AL$87:AL$101)</f>
        <v>#N/A</v>
      </c>
      <c r="AN48" s="506"/>
      <c r="AO48" s="187"/>
      <c r="AP48" s="187"/>
      <c r="AQ48" s="187"/>
      <c r="AR48" s="351" t="e">
        <f t="shared" ref="AR48:AR61" si="30">RANK(AQ48, AQ$87:AQ$101)</f>
        <v>#N/A</v>
      </c>
      <c r="AS48" s="506"/>
      <c r="AT48" s="187"/>
      <c r="AU48" s="187"/>
      <c r="AV48" s="187"/>
      <c r="AW48" s="351" t="e">
        <f t="shared" ref="AW48:AW61" si="31">RANK(AV48, AV$87:AV$101)</f>
        <v>#N/A</v>
      </c>
      <c r="AX48" s="506"/>
    </row>
    <row r="49" spans="2:50">
      <c r="B49" s="483"/>
      <c r="C49" s="351">
        <v>3</v>
      </c>
      <c r="D49" s="257"/>
      <c r="E49" s="187"/>
      <c r="F49" s="351"/>
      <c r="G49" s="354"/>
      <c r="H49" s="508"/>
      <c r="I49" s="219" t="e">
        <f t="shared" si="22"/>
        <v>#DIV/0!</v>
      </c>
      <c r="J49" s="219" t="e">
        <f t="shared" si="23"/>
        <v>#DIV/0!</v>
      </c>
      <c r="K49" s="220" t="e">
        <f t="shared" si="24"/>
        <v>#DIV/0!</v>
      </c>
      <c r="L49" s="457"/>
      <c r="M49" s="221" t="e">
        <f>RANK(K49, K$87:$K$101)</f>
        <v>#DIV/0!</v>
      </c>
      <c r="N49" s="475"/>
      <c r="O49" s="475"/>
      <c r="P49" s="187"/>
      <c r="Q49" s="187"/>
      <c r="R49" s="187"/>
      <c r="S49" s="351" t="e">
        <f t="shared" si="25"/>
        <v>#N/A</v>
      </c>
      <c r="T49" s="506"/>
      <c r="U49" s="187"/>
      <c r="V49" s="187"/>
      <c r="W49" s="187"/>
      <c r="X49" s="351" t="e">
        <f t="shared" si="26"/>
        <v>#N/A</v>
      </c>
      <c r="Y49" s="506"/>
      <c r="Z49" s="187"/>
      <c r="AA49" s="187"/>
      <c r="AB49" s="187"/>
      <c r="AC49" s="351" t="e">
        <f t="shared" si="27"/>
        <v>#N/A</v>
      </c>
      <c r="AD49" s="506"/>
      <c r="AE49" s="187"/>
      <c r="AF49" s="187"/>
      <c r="AG49" s="187"/>
      <c r="AH49" s="351" t="e">
        <f t="shared" si="28"/>
        <v>#N/A</v>
      </c>
      <c r="AI49" s="506"/>
      <c r="AJ49" s="187"/>
      <c r="AK49" s="187"/>
      <c r="AL49" s="187"/>
      <c r="AM49" s="351" t="e">
        <f t="shared" si="29"/>
        <v>#N/A</v>
      </c>
      <c r="AN49" s="506"/>
      <c r="AO49" s="187"/>
      <c r="AP49" s="187"/>
      <c r="AQ49" s="187"/>
      <c r="AR49" s="351" t="e">
        <f t="shared" si="30"/>
        <v>#N/A</v>
      </c>
      <c r="AS49" s="506"/>
      <c r="AT49" s="187"/>
      <c r="AU49" s="187"/>
      <c r="AV49" s="187"/>
      <c r="AW49" s="351" t="e">
        <f t="shared" si="31"/>
        <v>#N/A</v>
      </c>
      <c r="AX49" s="506"/>
    </row>
    <row r="50" spans="2:50">
      <c r="B50" s="483"/>
      <c r="C50" s="351">
        <v>4</v>
      </c>
      <c r="D50" s="257"/>
      <c r="E50" s="187"/>
      <c r="F50" s="351"/>
      <c r="G50" s="354"/>
      <c r="H50" s="508"/>
      <c r="I50" s="219" t="e">
        <f t="shared" si="22"/>
        <v>#DIV/0!</v>
      </c>
      <c r="J50" s="219" t="e">
        <f t="shared" si="23"/>
        <v>#DIV/0!</v>
      </c>
      <c r="K50" s="220" t="e">
        <f t="shared" si="24"/>
        <v>#DIV/0!</v>
      </c>
      <c r="L50" s="457"/>
      <c r="M50" s="221" t="e">
        <f>RANK(K50, K$87:$K$101)</f>
        <v>#DIV/0!</v>
      </c>
      <c r="N50" s="475"/>
      <c r="O50" s="475"/>
      <c r="P50" s="187"/>
      <c r="Q50" s="187"/>
      <c r="R50" s="187"/>
      <c r="S50" s="351" t="e">
        <f t="shared" si="25"/>
        <v>#N/A</v>
      </c>
      <c r="T50" s="506"/>
      <c r="U50" s="187"/>
      <c r="V50" s="187"/>
      <c r="W50" s="187"/>
      <c r="X50" s="351" t="e">
        <f t="shared" si="26"/>
        <v>#N/A</v>
      </c>
      <c r="Y50" s="506"/>
      <c r="Z50" s="187"/>
      <c r="AA50" s="187"/>
      <c r="AB50" s="187"/>
      <c r="AC50" s="351" t="e">
        <f t="shared" si="27"/>
        <v>#N/A</v>
      </c>
      <c r="AD50" s="506"/>
      <c r="AE50" s="187"/>
      <c r="AF50" s="187"/>
      <c r="AG50" s="187"/>
      <c r="AH50" s="351" t="e">
        <f t="shared" si="28"/>
        <v>#N/A</v>
      </c>
      <c r="AI50" s="506"/>
      <c r="AJ50" s="187"/>
      <c r="AK50" s="187"/>
      <c r="AL50" s="187"/>
      <c r="AM50" s="351" t="e">
        <f t="shared" si="29"/>
        <v>#N/A</v>
      </c>
      <c r="AN50" s="506"/>
      <c r="AO50" s="187"/>
      <c r="AP50" s="187"/>
      <c r="AQ50" s="187"/>
      <c r="AR50" s="351" t="e">
        <f t="shared" si="30"/>
        <v>#N/A</v>
      </c>
      <c r="AS50" s="506"/>
      <c r="AT50" s="187"/>
      <c r="AU50" s="187"/>
      <c r="AV50" s="187"/>
      <c r="AW50" s="351" t="e">
        <f t="shared" si="31"/>
        <v>#N/A</v>
      </c>
      <c r="AX50" s="506"/>
    </row>
    <row r="51" spans="2:50">
      <c r="B51" s="483"/>
      <c r="C51" s="351">
        <v>5</v>
      </c>
      <c r="D51" s="257"/>
      <c r="E51" s="187"/>
      <c r="F51" s="351"/>
      <c r="G51" s="354"/>
      <c r="H51" s="508"/>
      <c r="I51" s="219" t="e">
        <f t="shared" si="22"/>
        <v>#DIV/0!</v>
      </c>
      <c r="J51" s="219" t="e">
        <f t="shared" si="23"/>
        <v>#DIV/0!</v>
      </c>
      <c r="K51" s="220" t="e">
        <f t="shared" si="24"/>
        <v>#DIV/0!</v>
      </c>
      <c r="L51" s="457"/>
      <c r="M51" s="221" t="e">
        <f>RANK(K51, K$87:$K$101)</f>
        <v>#DIV/0!</v>
      </c>
      <c r="N51" s="475"/>
      <c r="O51" s="475"/>
      <c r="P51" s="187"/>
      <c r="Q51" s="187"/>
      <c r="R51" s="187"/>
      <c r="S51" s="351" t="e">
        <f t="shared" si="25"/>
        <v>#N/A</v>
      </c>
      <c r="T51" s="506"/>
      <c r="U51" s="187"/>
      <c r="V51" s="187"/>
      <c r="W51" s="187"/>
      <c r="X51" s="351" t="e">
        <f t="shared" si="26"/>
        <v>#N/A</v>
      </c>
      <c r="Y51" s="506"/>
      <c r="Z51" s="187"/>
      <c r="AA51" s="187"/>
      <c r="AB51" s="187"/>
      <c r="AC51" s="351" t="e">
        <f t="shared" si="27"/>
        <v>#N/A</v>
      </c>
      <c r="AD51" s="506"/>
      <c r="AE51" s="187"/>
      <c r="AF51" s="187"/>
      <c r="AG51" s="187"/>
      <c r="AH51" s="351" t="e">
        <f t="shared" si="28"/>
        <v>#N/A</v>
      </c>
      <c r="AI51" s="506"/>
      <c r="AJ51" s="187"/>
      <c r="AK51" s="187"/>
      <c r="AL51" s="187"/>
      <c r="AM51" s="351" t="e">
        <f t="shared" si="29"/>
        <v>#N/A</v>
      </c>
      <c r="AN51" s="506"/>
      <c r="AO51" s="187"/>
      <c r="AP51" s="187"/>
      <c r="AQ51" s="187"/>
      <c r="AR51" s="351" t="e">
        <f t="shared" si="30"/>
        <v>#N/A</v>
      </c>
      <c r="AS51" s="506"/>
      <c r="AT51" s="187"/>
      <c r="AU51" s="187"/>
      <c r="AV51" s="187"/>
      <c r="AW51" s="351" t="e">
        <f t="shared" si="31"/>
        <v>#N/A</v>
      </c>
      <c r="AX51" s="506"/>
    </row>
    <row r="52" spans="2:50">
      <c r="B52" s="483"/>
      <c r="C52" s="351">
        <v>6</v>
      </c>
      <c r="D52" s="257"/>
      <c r="E52" s="187"/>
      <c r="F52" s="351"/>
      <c r="G52" s="354"/>
      <c r="H52" s="508"/>
      <c r="I52" s="219" t="e">
        <f t="shared" si="22"/>
        <v>#DIV/0!</v>
      </c>
      <c r="J52" s="219" t="e">
        <f t="shared" si="23"/>
        <v>#DIV/0!</v>
      </c>
      <c r="K52" s="220" t="e">
        <f t="shared" si="24"/>
        <v>#DIV/0!</v>
      </c>
      <c r="L52" s="457"/>
      <c r="M52" s="221" t="e">
        <f>RANK(K52, K$87:$K$101)</f>
        <v>#DIV/0!</v>
      </c>
      <c r="N52" s="475"/>
      <c r="O52" s="475"/>
      <c r="P52" s="187"/>
      <c r="Q52" s="187"/>
      <c r="R52" s="187"/>
      <c r="S52" s="351" t="e">
        <f t="shared" si="25"/>
        <v>#N/A</v>
      </c>
      <c r="T52" s="506"/>
      <c r="U52" s="187"/>
      <c r="V52" s="187"/>
      <c r="W52" s="187"/>
      <c r="X52" s="351" t="e">
        <f t="shared" si="26"/>
        <v>#N/A</v>
      </c>
      <c r="Y52" s="506"/>
      <c r="Z52" s="187"/>
      <c r="AA52" s="187"/>
      <c r="AB52" s="187"/>
      <c r="AC52" s="351" t="e">
        <f t="shared" si="27"/>
        <v>#N/A</v>
      </c>
      <c r="AD52" s="506"/>
      <c r="AE52" s="187"/>
      <c r="AF52" s="187"/>
      <c r="AG52" s="187"/>
      <c r="AH52" s="351" t="e">
        <f t="shared" si="28"/>
        <v>#N/A</v>
      </c>
      <c r="AI52" s="506"/>
      <c r="AJ52" s="187"/>
      <c r="AK52" s="187"/>
      <c r="AL52" s="187"/>
      <c r="AM52" s="351" t="e">
        <f t="shared" si="29"/>
        <v>#N/A</v>
      </c>
      <c r="AN52" s="506"/>
      <c r="AO52" s="187"/>
      <c r="AP52" s="187"/>
      <c r="AQ52" s="187"/>
      <c r="AR52" s="351" t="e">
        <f t="shared" si="30"/>
        <v>#N/A</v>
      </c>
      <c r="AS52" s="506"/>
      <c r="AT52" s="187"/>
      <c r="AU52" s="187"/>
      <c r="AV52" s="187"/>
      <c r="AW52" s="351" t="e">
        <f t="shared" si="31"/>
        <v>#N/A</v>
      </c>
      <c r="AX52" s="506"/>
    </row>
    <row r="53" spans="2:50">
      <c r="B53" s="483"/>
      <c r="C53" s="351">
        <v>7</v>
      </c>
      <c r="D53" s="257"/>
      <c r="E53" s="187"/>
      <c r="F53" s="351"/>
      <c r="G53" s="354"/>
      <c r="H53" s="508"/>
      <c r="I53" s="219" t="e">
        <f t="shared" si="22"/>
        <v>#DIV/0!</v>
      </c>
      <c r="J53" s="219" t="e">
        <f t="shared" si="23"/>
        <v>#DIV/0!</v>
      </c>
      <c r="K53" s="220" t="e">
        <f t="shared" si="24"/>
        <v>#DIV/0!</v>
      </c>
      <c r="L53" s="457"/>
      <c r="M53" s="221" t="e">
        <f>RANK(K53, K$87:$K$101)</f>
        <v>#DIV/0!</v>
      </c>
      <c r="N53" s="475"/>
      <c r="O53" s="475"/>
      <c r="P53" s="187"/>
      <c r="Q53" s="187"/>
      <c r="R53" s="187"/>
      <c r="S53" s="351" t="e">
        <f t="shared" si="25"/>
        <v>#N/A</v>
      </c>
      <c r="T53" s="506"/>
      <c r="U53" s="187"/>
      <c r="V53" s="187"/>
      <c r="W53" s="187"/>
      <c r="X53" s="351" t="e">
        <f t="shared" si="26"/>
        <v>#N/A</v>
      </c>
      <c r="Y53" s="506"/>
      <c r="Z53" s="187"/>
      <c r="AA53" s="187"/>
      <c r="AB53" s="187"/>
      <c r="AC53" s="351" t="e">
        <f t="shared" si="27"/>
        <v>#N/A</v>
      </c>
      <c r="AD53" s="506"/>
      <c r="AE53" s="187"/>
      <c r="AF53" s="187"/>
      <c r="AG53" s="187"/>
      <c r="AH53" s="351" t="e">
        <f t="shared" si="28"/>
        <v>#N/A</v>
      </c>
      <c r="AI53" s="506"/>
      <c r="AJ53" s="187"/>
      <c r="AK53" s="187"/>
      <c r="AL53" s="187"/>
      <c r="AM53" s="351" t="e">
        <f t="shared" si="29"/>
        <v>#N/A</v>
      </c>
      <c r="AN53" s="506"/>
      <c r="AO53" s="187"/>
      <c r="AP53" s="187"/>
      <c r="AQ53" s="187"/>
      <c r="AR53" s="351" t="e">
        <f t="shared" si="30"/>
        <v>#N/A</v>
      </c>
      <c r="AS53" s="506"/>
      <c r="AT53" s="187"/>
      <c r="AU53" s="187"/>
      <c r="AV53" s="187"/>
      <c r="AW53" s="351" t="e">
        <f t="shared" si="31"/>
        <v>#N/A</v>
      </c>
      <c r="AX53" s="506"/>
    </row>
    <row r="54" spans="2:50">
      <c r="B54" s="483"/>
      <c r="C54" s="351">
        <v>8</v>
      </c>
      <c r="D54" s="257"/>
      <c r="E54" s="187"/>
      <c r="F54" s="351"/>
      <c r="G54" s="354"/>
      <c r="H54" s="508"/>
      <c r="I54" s="219"/>
      <c r="J54" s="219"/>
      <c r="K54" s="220"/>
      <c r="L54" s="457"/>
      <c r="M54" s="221" t="e">
        <f>RANK(K54, K$87:$K$101)</f>
        <v>#DIV/0!</v>
      </c>
      <c r="N54" s="475"/>
      <c r="O54" s="475"/>
      <c r="P54" s="187"/>
      <c r="Q54" s="187"/>
      <c r="R54" s="187"/>
      <c r="S54" s="351" t="e">
        <f t="shared" si="25"/>
        <v>#N/A</v>
      </c>
      <c r="T54" s="506"/>
      <c r="U54" s="187"/>
      <c r="V54" s="187"/>
      <c r="W54" s="187"/>
      <c r="X54" s="351" t="e">
        <f t="shared" si="26"/>
        <v>#N/A</v>
      </c>
      <c r="Y54" s="506"/>
      <c r="Z54" s="187"/>
      <c r="AA54" s="187"/>
      <c r="AB54" s="187"/>
      <c r="AC54" s="351" t="e">
        <f t="shared" si="27"/>
        <v>#N/A</v>
      </c>
      <c r="AD54" s="506"/>
      <c r="AE54" s="187"/>
      <c r="AF54" s="187"/>
      <c r="AG54" s="187"/>
      <c r="AH54" s="351" t="e">
        <f t="shared" si="28"/>
        <v>#N/A</v>
      </c>
      <c r="AI54" s="506"/>
      <c r="AJ54" s="187"/>
      <c r="AK54" s="187"/>
      <c r="AL54" s="187"/>
      <c r="AM54" s="351" t="e">
        <f t="shared" si="29"/>
        <v>#N/A</v>
      </c>
      <c r="AN54" s="506"/>
      <c r="AO54" s="187"/>
      <c r="AP54" s="187"/>
      <c r="AQ54" s="187"/>
      <c r="AR54" s="351" t="e">
        <f t="shared" si="30"/>
        <v>#N/A</v>
      </c>
      <c r="AS54" s="506"/>
      <c r="AT54" s="187"/>
      <c r="AU54" s="187"/>
      <c r="AV54" s="187"/>
      <c r="AW54" s="351" t="e">
        <f t="shared" si="31"/>
        <v>#N/A</v>
      </c>
      <c r="AX54" s="506"/>
    </row>
    <row r="55" spans="2:50">
      <c r="B55" s="483"/>
      <c r="C55" s="351">
        <v>9</v>
      </c>
      <c r="D55" s="257"/>
      <c r="E55" s="187"/>
      <c r="F55" s="351"/>
      <c r="G55" s="354"/>
      <c r="H55" s="508"/>
      <c r="I55" s="219"/>
      <c r="J55" s="219"/>
      <c r="K55" s="220"/>
      <c r="L55" s="457"/>
      <c r="M55" s="221" t="e">
        <f>RANK(K55, K$87:$K$101)</f>
        <v>#DIV/0!</v>
      </c>
      <c r="N55" s="475"/>
      <c r="O55" s="475"/>
      <c r="P55" s="187"/>
      <c r="Q55" s="187"/>
      <c r="R55" s="187"/>
      <c r="S55" s="351" t="e">
        <f t="shared" si="25"/>
        <v>#N/A</v>
      </c>
      <c r="T55" s="506"/>
      <c r="U55" s="187"/>
      <c r="V55" s="187"/>
      <c r="W55" s="187"/>
      <c r="X55" s="351" t="e">
        <f t="shared" si="26"/>
        <v>#N/A</v>
      </c>
      <c r="Y55" s="506"/>
      <c r="Z55" s="187"/>
      <c r="AA55" s="187"/>
      <c r="AB55" s="187"/>
      <c r="AC55" s="351" t="e">
        <f t="shared" si="27"/>
        <v>#N/A</v>
      </c>
      <c r="AD55" s="506"/>
      <c r="AE55" s="187"/>
      <c r="AF55" s="187"/>
      <c r="AG55" s="187"/>
      <c r="AH55" s="351" t="e">
        <f t="shared" si="28"/>
        <v>#N/A</v>
      </c>
      <c r="AI55" s="506"/>
      <c r="AJ55" s="187"/>
      <c r="AK55" s="187"/>
      <c r="AL55" s="187"/>
      <c r="AM55" s="351" t="e">
        <f t="shared" si="29"/>
        <v>#N/A</v>
      </c>
      <c r="AN55" s="506"/>
      <c r="AO55" s="187"/>
      <c r="AP55" s="187"/>
      <c r="AQ55" s="187"/>
      <c r="AR55" s="351" t="e">
        <f t="shared" si="30"/>
        <v>#N/A</v>
      </c>
      <c r="AS55" s="506"/>
      <c r="AT55" s="187"/>
      <c r="AU55" s="187"/>
      <c r="AV55" s="354"/>
      <c r="AW55" s="351" t="e">
        <f t="shared" si="31"/>
        <v>#N/A</v>
      </c>
      <c r="AX55" s="506"/>
    </row>
    <row r="56" spans="2:50">
      <c r="B56" s="483"/>
      <c r="C56" s="351">
        <v>10</v>
      </c>
      <c r="D56" s="257"/>
      <c r="E56" s="187"/>
      <c r="F56" s="351"/>
      <c r="G56" s="354"/>
      <c r="H56" s="508"/>
      <c r="I56" s="219"/>
      <c r="J56" s="219"/>
      <c r="K56" s="220"/>
      <c r="L56" s="457"/>
      <c r="M56" s="221" t="e">
        <f>RANK(K56, K$87:$K$101)</f>
        <v>#DIV/0!</v>
      </c>
      <c r="N56" s="475"/>
      <c r="O56" s="475"/>
      <c r="P56" s="187"/>
      <c r="Q56" s="187"/>
      <c r="R56" s="187"/>
      <c r="S56" s="351" t="e">
        <f t="shared" si="25"/>
        <v>#N/A</v>
      </c>
      <c r="T56" s="506"/>
      <c r="U56" s="187"/>
      <c r="V56" s="187"/>
      <c r="W56" s="187"/>
      <c r="X56" s="351" t="e">
        <f t="shared" si="26"/>
        <v>#N/A</v>
      </c>
      <c r="Y56" s="506"/>
      <c r="Z56" s="187"/>
      <c r="AA56" s="187"/>
      <c r="AB56" s="187"/>
      <c r="AC56" s="351" t="e">
        <f t="shared" si="27"/>
        <v>#N/A</v>
      </c>
      <c r="AD56" s="506"/>
      <c r="AE56" s="187"/>
      <c r="AF56" s="187"/>
      <c r="AG56" s="187"/>
      <c r="AH56" s="351" t="e">
        <f t="shared" si="28"/>
        <v>#N/A</v>
      </c>
      <c r="AI56" s="506"/>
      <c r="AJ56" s="187"/>
      <c r="AK56" s="187"/>
      <c r="AL56" s="187"/>
      <c r="AM56" s="351" t="e">
        <f t="shared" si="29"/>
        <v>#N/A</v>
      </c>
      <c r="AN56" s="506"/>
      <c r="AO56" s="187"/>
      <c r="AP56" s="187"/>
      <c r="AQ56" s="187"/>
      <c r="AR56" s="351" t="e">
        <f t="shared" si="30"/>
        <v>#N/A</v>
      </c>
      <c r="AS56" s="506"/>
      <c r="AT56" s="187"/>
      <c r="AU56" s="187"/>
      <c r="AV56" s="354"/>
      <c r="AW56" s="351" t="e">
        <f t="shared" si="31"/>
        <v>#N/A</v>
      </c>
      <c r="AX56" s="506"/>
    </row>
    <row r="57" spans="2:50">
      <c r="B57" s="483"/>
      <c r="C57" s="351">
        <v>11</v>
      </c>
      <c r="D57" s="257"/>
      <c r="E57" s="187"/>
      <c r="F57" s="351"/>
      <c r="G57" s="354"/>
      <c r="H57" s="508"/>
      <c r="I57" s="222"/>
      <c r="J57" s="222"/>
      <c r="K57" s="222"/>
      <c r="L57" s="457"/>
      <c r="M57" s="221" t="e">
        <f>RANK(K57, K$87:$K$101)</f>
        <v>#DIV/0!</v>
      </c>
      <c r="N57" s="475"/>
      <c r="O57" s="475"/>
      <c r="P57" s="187"/>
      <c r="Q57" s="187"/>
      <c r="R57" s="187"/>
      <c r="S57" s="351" t="e">
        <f t="shared" si="25"/>
        <v>#N/A</v>
      </c>
      <c r="T57" s="506"/>
      <c r="U57" s="187"/>
      <c r="V57" s="187"/>
      <c r="W57" s="187"/>
      <c r="X57" s="351" t="e">
        <f t="shared" si="26"/>
        <v>#N/A</v>
      </c>
      <c r="Y57" s="506"/>
      <c r="Z57" s="187"/>
      <c r="AA57" s="187"/>
      <c r="AB57" s="187"/>
      <c r="AC57" s="351" t="e">
        <f t="shared" si="27"/>
        <v>#N/A</v>
      </c>
      <c r="AD57" s="506"/>
      <c r="AE57" s="187"/>
      <c r="AF57" s="187"/>
      <c r="AG57" s="187"/>
      <c r="AH57" s="351" t="e">
        <f t="shared" si="28"/>
        <v>#N/A</v>
      </c>
      <c r="AI57" s="506"/>
      <c r="AJ57" s="187"/>
      <c r="AK57" s="187"/>
      <c r="AL57" s="187"/>
      <c r="AM57" s="351" t="e">
        <f t="shared" si="29"/>
        <v>#N/A</v>
      </c>
      <c r="AN57" s="506"/>
      <c r="AO57" s="187"/>
      <c r="AP57" s="187"/>
      <c r="AQ57" s="187"/>
      <c r="AR57" s="351" t="e">
        <f t="shared" si="30"/>
        <v>#N/A</v>
      </c>
      <c r="AS57" s="506"/>
      <c r="AT57" s="187"/>
      <c r="AU57" s="187"/>
      <c r="AV57" s="354"/>
      <c r="AW57" s="351" t="e">
        <f t="shared" si="31"/>
        <v>#N/A</v>
      </c>
      <c r="AX57" s="506"/>
    </row>
    <row r="58" spans="2:50">
      <c r="B58" s="483"/>
      <c r="C58" s="351">
        <v>12</v>
      </c>
      <c r="D58" s="257"/>
      <c r="E58" s="187"/>
      <c r="F58" s="351"/>
      <c r="G58" s="354"/>
      <c r="H58" s="508"/>
      <c r="I58" s="222"/>
      <c r="J58" s="222"/>
      <c r="K58" s="222"/>
      <c r="L58" s="457"/>
      <c r="M58" s="221" t="e">
        <f>RANK(K58, K$87:$K$101)</f>
        <v>#DIV/0!</v>
      </c>
      <c r="N58" s="475"/>
      <c r="O58" s="475"/>
      <c r="P58" s="187"/>
      <c r="Q58" s="187"/>
      <c r="R58" s="187"/>
      <c r="S58" s="351" t="e">
        <f t="shared" si="25"/>
        <v>#N/A</v>
      </c>
      <c r="T58" s="506"/>
      <c r="U58" s="187"/>
      <c r="V58" s="187"/>
      <c r="W58" s="187"/>
      <c r="X58" s="351" t="e">
        <f t="shared" si="26"/>
        <v>#N/A</v>
      </c>
      <c r="Y58" s="506"/>
      <c r="Z58" s="187"/>
      <c r="AA58" s="187"/>
      <c r="AB58" s="187"/>
      <c r="AC58" s="351" t="e">
        <f t="shared" si="27"/>
        <v>#N/A</v>
      </c>
      <c r="AD58" s="506"/>
      <c r="AE58" s="187"/>
      <c r="AF58" s="187"/>
      <c r="AG58" s="187"/>
      <c r="AH58" s="351" t="e">
        <f t="shared" si="28"/>
        <v>#N/A</v>
      </c>
      <c r="AI58" s="506"/>
      <c r="AJ58" s="187"/>
      <c r="AK58" s="187"/>
      <c r="AL58" s="187"/>
      <c r="AM58" s="351" t="e">
        <f t="shared" si="29"/>
        <v>#N/A</v>
      </c>
      <c r="AN58" s="506"/>
      <c r="AO58" s="187"/>
      <c r="AP58" s="187"/>
      <c r="AQ58" s="187"/>
      <c r="AR58" s="351" t="e">
        <f t="shared" si="30"/>
        <v>#N/A</v>
      </c>
      <c r="AS58" s="506"/>
      <c r="AT58" s="187"/>
      <c r="AU58" s="187"/>
      <c r="AV58" s="354"/>
      <c r="AW58" s="351" t="e">
        <f t="shared" si="31"/>
        <v>#N/A</v>
      </c>
      <c r="AX58" s="506"/>
    </row>
    <row r="59" spans="2:50">
      <c r="B59" s="483"/>
      <c r="C59" s="351">
        <v>13</v>
      </c>
      <c r="D59" s="257"/>
      <c r="E59" s="187"/>
      <c r="F59" s="351"/>
      <c r="G59" s="354"/>
      <c r="H59" s="508"/>
      <c r="I59" s="222"/>
      <c r="J59" s="222"/>
      <c r="K59" s="222"/>
      <c r="L59" s="457"/>
      <c r="M59" s="221" t="e">
        <f>RANK(K59, K$87:$K$101)</f>
        <v>#DIV/0!</v>
      </c>
      <c r="N59" s="475"/>
      <c r="O59" s="475"/>
      <c r="P59" s="187"/>
      <c r="Q59" s="187"/>
      <c r="R59" s="187"/>
      <c r="S59" s="351" t="e">
        <f t="shared" si="25"/>
        <v>#N/A</v>
      </c>
      <c r="T59" s="506"/>
      <c r="U59" s="187"/>
      <c r="V59" s="187"/>
      <c r="W59" s="187"/>
      <c r="X59" s="351" t="e">
        <f t="shared" si="26"/>
        <v>#N/A</v>
      </c>
      <c r="Y59" s="506"/>
      <c r="Z59" s="187"/>
      <c r="AA59" s="187"/>
      <c r="AB59" s="187"/>
      <c r="AC59" s="351" t="e">
        <f t="shared" si="27"/>
        <v>#N/A</v>
      </c>
      <c r="AD59" s="506"/>
      <c r="AE59" s="187"/>
      <c r="AF59" s="187"/>
      <c r="AG59" s="187"/>
      <c r="AH59" s="351" t="e">
        <f t="shared" si="28"/>
        <v>#N/A</v>
      </c>
      <c r="AI59" s="506"/>
      <c r="AJ59" s="187"/>
      <c r="AK59" s="187"/>
      <c r="AL59" s="187"/>
      <c r="AM59" s="351" t="e">
        <f t="shared" si="29"/>
        <v>#N/A</v>
      </c>
      <c r="AN59" s="506"/>
      <c r="AO59" s="187"/>
      <c r="AP59" s="187"/>
      <c r="AQ59" s="187"/>
      <c r="AR59" s="351" t="e">
        <f t="shared" si="30"/>
        <v>#N/A</v>
      </c>
      <c r="AS59" s="506"/>
      <c r="AT59" s="187"/>
      <c r="AU59" s="187"/>
      <c r="AV59" s="354"/>
      <c r="AW59" s="351" t="e">
        <f t="shared" si="31"/>
        <v>#N/A</v>
      </c>
      <c r="AX59" s="506"/>
    </row>
    <row r="60" spans="2:50">
      <c r="B60" s="483"/>
      <c r="C60" s="351">
        <v>14</v>
      </c>
      <c r="D60" s="257"/>
      <c r="E60" s="187"/>
      <c r="F60" s="351"/>
      <c r="G60" s="354"/>
      <c r="H60" s="508"/>
      <c r="I60" s="222"/>
      <c r="J60" s="222"/>
      <c r="K60" s="222"/>
      <c r="L60" s="457"/>
      <c r="M60" s="221" t="e">
        <f>RANK(K60, K$87:$K$101)</f>
        <v>#DIV/0!</v>
      </c>
      <c r="N60" s="475"/>
      <c r="O60" s="475"/>
      <c r="P60" s="187"/>
      <c r="Q60" s="187"/>
      <c r="R60" s="187"/>
      <c r="S60" s="351" t="e">
        <f t="shared" si="25"/>
        <v>#N/A</v>
      </c>
      <c r="T60" s="506"/>
      <c r="U60" s="187"/>
      <c r="V60" s="187"/>
      <c r="W60" s="187"/>
      <c r="X60" s="351" t="e">
        <f t="shared" si="26"/>
        <v>#N/A</v>
      </c>
      <c r="Y60" s="506"/>
      <c r="Z60" s="187"/>
      <c r="AA60" s="187"/>
      <c r="AB60" s="187"/>
      <c r="AC60" s="351" t="e">
        <f t="shared" si="27"/>
        <v>#N/A</v>
      </c>
      <c r="AD60" s="506"/>
      <c r="AE60" s="187"/>
      <c r="AF60" s="187"/>
      <c r="AG60" s="187"/>
      <c r="AH60" s="351" t="e">
        <f t="shared" si="28"/>
        <v>#N/A</v>
      </c>
      <c r="AI60" s="506"/>
      <c r="AJ60" s="187"/>
      <c r="AK60" s="187"/>
      <c r="AL60" s="187"/>
      <c r="AM60" s="351" t="e">
        <f t="shared" si="29"/>
        <v>#N/A</v>
      </c>
      <c r="AN60" s="506"/>
      <c r="AO60" s="187"/>
      <c r="AP60" s="187"/>
      <c r="AQ60" s="187"/>
      <c r="AR60" s="351" t="e">
        <f t="shared" si="30"/>
        <v>#N/A</v>
      </c>
      <c r="AS60" s="506"/>
      <c r="AT60" s="187"/>
      <c r="AU60" s="187"/>
      <c r="AV60" s="354"/>
      <c r="AW60" s="351" t="e">
        <f t="shared" si="31"/>
        <v>#N/A</v>
      </c>
      <c r="AX60" s="506"/>
    </row>
    <row r="61" spans="2:50">
      <c r="B61" s="483"/>
      <c r="C61" s="351">
        <v>15</v>
      </c>
      <c r="D61" s="257"/>
      <c r="E61" s="187"/>
      <c r="F61" s="351"/>
      <c r="G61" s="354"/>
      <c r="H61" s="509"/>
      <c r="I61" s="222"/>
      <c r="J61" s="222"/>
      <c r="K61" s="222"/>
      <c r="L61" s="458"/>
      <c r="M61" s="219" t="e">
        <f>RANK(K61, K$87:$K$101)</f>
        <v>#DIV/0!</v>
      </c>
      <c r="N61" s="475"/>
      <c r="O61" s="475"/>
      <c r="P61" s="187"/>
      <c r="Q61" s="187"/>
      <c r="R61" s="187"/>
      <c r="S61" s="351" t="e">
        <f t="shared" si="25"/>
        <v>#N/A</v>
      </c>
      <c r="T61" s="506"/>
      <c r="U61" s="187"/>
      <c r="V61" s="187"/>
      <c r="W61" s="187"/>
      <c r="X61" s="351" t="e">
        <f t="shared" si="26"/>
        <v>#N/A</v>
      </c>
      <c r="Y61" s="506"/>
      <c r="Z61" s="187"/>
      <c r="AA61" s="187"/>
      <c r="AB61" s="187"/>
      <c r="AC61" s="351" t="e">
        <f t="shared" si="27"/>
        <v>#N/A</v>
      </c>
      <c r="AD61" s="506"/>
      <c r="AE61" s="187"/>
      <c r="AF61" s="187"/>
      <c r="AG61" s="187"/>
      <c r="AH61" s="351" t="e">
        <f t="shared" si="28"/>
        <v>#N/A</v>
      </c>
      <c r="AI61" s="506"/>
      <c r="AJ61" s="187"/>
      <c r="AK61" s="187"/>
      <c r="AL61" s="187"/>
      <c r="AM61" s="351" t="e">
        <f t="shared" si="29"/>
        <v>#N/A</v>
      </c>
      <c r="AN61" s="506"/>
      <c r="AO61" s="187"/>
      <c r="AP61" s="187"/>
      <c r="AQ61" s="187"/>
      <c r="AR61" s="351" t="e">
        <f t="shared" si="30"/>
        <v>#N/A</v>
      </c>
      <c r="AS61" s="506"/>
      <c r="AT61" s="187"/>
      <c r="AU61" s="187"/>
      <c r="AV61" s="354"/>
      <c r="AW61" s="351" t="e">
        <f t="shared" si="31"/>
        <v>#N/A</v>
      </c>
      <c r="AX61" s="506"/>
    </row>
    <row r="62" spans="2:50" ht="15.75">
      <c r="B62" s="487" t="s">
        <v>172</v>
      </c>
      <c r="C62" s="488"/>
      <c r="D62" s="488"/>
      <c r="E62" s="488"/>
      <c r="F62" s="488"/>
      <c r="G62" s="488"/>
      <c r="H62" s="489"/>
      <c r="I62" s="228"/>
      <c r="J62" s="228"/>
      <c r="K62" s="228"/>
      <c r="L62" s="228"/>
      <c r="M62" s="227"/>
      <c r="N62" s="476" t="s">
        <v>164</v>
      </c>
      <c r="O62" s="476" t="s">
        <v>105</v>
      </c>
      <c r="P62" s="482">
        <f>P42+7</f>
        <v>45916</v>
      </c>
      <c r="Q62" s="483"/>
      <c r="R62" s="483"/>
      <c r="S62" s="483"/>
      <c r="T62" s="483"/>
      <c r="U62" s="479">
        <f>P62+1</f>
        <v>45917</v>
      </c>
      <c r="V62" s="480"/>
      <c r="W62" s="480"/>
      <c r="X62" s="480"/>
      <c r="Y62" s="481"/>
      <c r="Z62" s="479">
        <f>U62+1</f>
        <v>45918</v>
      </c>
      <c r="AA62" s="480"/>
      <c r="AB62" s="480"/>
      <c r="AC62" s="480"/>
      <c r="AD62" s="481"/>
      <c r="AE62" s="479">
        <f t="shared" ref="AE62" si="32">Z62+1</f>
        <v>45919</v>
      </c>
      <c r="AF62" s="480"/>
      <c r="AG62" s="480"/>
      <c r="AH62" s="480"/>
      <c r="AI62" s="481"/>
      <c r="AJ62" s="479">
        <f t="shared" ref="AJ62" si="33">AE62+1</f>
        <v>45920</v>
      </c>
      <c r="AK62" s="480"/>
      <c r="AL62" s="480"/>
      <c r="AM62" s="480"/>
      <c r="AN62" s="481"/>
      <c r="AO62" s="479">
        <f t="shared" ref="AO62" si="34">AJ62+1</f>
        <v>45921</v>
      </c>
      <c r="AP62" s="480"/>
      <c r="AQ62" s="480"/>
      <c r="AR62" s="480"/>
      <c r="AS62" s="481"/>
      <c r="AT62" s="479">
        <f t="shared" ref="AT62" si="35">AO62+1</f>
        <v>45922</v>
      </c>
      <c r="AU62" s="480"/>
      <c r="AV62" s="480"/>
      <c r="AW62" s="480"/>
      <c r="AX62" s="481"/>
    </row>
    <row r="63" spans="2:50" ht="15.75">
      <c r="B63" s="490"/>
      <c r="C63" s="490"/>
      <c r="D63" s="490"/>
      <c r="E63" s="490"/>
      <c r="F63" s="490"/>
      <c r="G63" s="490"/>
      <c r="H63" s="490"/>
      <c r="I63" s="225"/>
      <c r="J63" s="225"/>
      <c r="K63" s="225"/>
      <c r="L63" s="225"/>
      <c r="M63" s="226"/>
      <c r="N63" s="478"/>
      <c r="O63" s="478"/>
      <c r="P63" s="482" t="s">
        <v>393</v>
      </c>
      <c r="Q63" s="483"/>
      <c r="R63" s="483"/>
      <c r="S63" s="483"/>
      <c r="T63" s="483"/>
      <c r="U63" s="482" t="s">
        <v>394</v>
      </c>
      <c r="V63" s="483"/>
      <c r="W63" s="483"/>
      <c r="X63" s="483"/>
      <c r="Y63" s="483"/>
      <c r="Z63" s="482" t="s">
        <v>395</v>
      </c>
      <c r="AA63" s="483"/>
      <c r="AB63" s="483"/>
      <c r="AC63" s="483"/>
      <c r="AD63" s="483"/>
      <c r="AE63" s="482" t="s">
        <v>396</v>
      </c>
      <c r="AF63" s="483"/>
      <c r="AG63" s="483"/>
      <c r="AH63" s="483"/>
      <c r="AI63" s="483"/>
      <c r="AJ63" s="482" t="s">
        <v>397</v>
      </c>
      <c r="AK63" s="483"/>
      <c r="AL63" s="483"/>
      <c r="AM63" s="483"/>
      <c r="AN63" s="483"/>
      <c r="AO63" s="482" t="s">
        <v>398</v>
      </c>
      <c r="AP63" s="483"/>
      <c r="AQ63" s="483"/>
      <c r="AR63" s="483"/>
      <c r="AS63" s="483"/>
      <c r="AT63" s="482" t="s">
        <v>399</v>
      </c>
      <c r="AU63" s="483"/>
      <c r="AV63" s="483"/>
      <c r="AW63" s="483"/>
      <c r="AX63" s="483"/>
    </row>
    <row r="64" spans="2:50">
      <c r="B64" s="475" t="s">
        <v>634</v>
      </c>
      <c r="C64" s="475" t="s">
        <v>644</v>
      </c>
      <c r="D64" s="475"/>
      <c r="E64" s="475" t="s">
        <v>635</v>
      </c>
      <c r="F64" s="475"/>
      <c r="G64" s="475"/>
      <c r="H64" s="491" t="s">
        <v>631</v>
      </c>
      <c r="I64" s="459" t="s">
        <v>636</v>
      </c>
      <c r="J64" s="459"/>
      <c r="K64" s="459"/>
      <c r="L64" s="460" t="s">
        <v>631</v>
      </c>
      <c r="M64" s="466" t="s">
        <v>632</v>
      </c>
      <c r="N64" s="475"/>
      <c r="O64" s="475" t="s">
        <v>637</v>
      </c>
      <c r="P64" s="472" t="s">
        <v>633</v>
      </c>
      <c r="Q64" s="473"/>
      <c r="R64" s="473"/>
      <c r="S64" s="474"/>
      <c r="T64" s="475" t="s">
        <v>631</v>
      </c>
      <c r="U64" s="472" t="s">
        <v>633</v>
      </c>
      <c r="V64" s="473"/>
      <c r="W64" s="473"/>
      <c r="X64" s="474"/>
      <c r="Y64" s="475" t="s">
        <v>631</v>
      </c>
      <c r="Z64" s="472" t="s">
        <v>633</v>
      </c>
      <c r="AA64" s="473"/>
      <c r="AB64" s="473"/>
      <c r="AC64" s="474"/>
      <c r="AD64" s="475" t="s">
        <v>631</v>
      </c>
      <c r="AE64" s="472" t="s">
        <v>633</v>
      </c>
      <c r="AF64" s="473"/>
      <c r="AG64" s="473"/>
      <c r="AH64" s="474"/>
      <c r="AI64" s="475" t="s">
        <v>631</v>
      </c>
      <c r="AJ64" s="472" t="s">
        <v>633</v>
      </c>
      <c r="AK64" s="473"/>
      <c r="AL64" s="473"/>
      <c r="AM64" s="474"/>
      <c r="AN64" s="475" t="s">
        <v>631</v>
      </c>
      <c r="AO64" s="472" t="s">
        <v>633</v>
      </c>
      <c r="AP64" s="473"/>
      <c r="AQ64" s="473"/>
      <c r="AR64" s="474"/>
      <c r="AS64" s="475" t="s">
        <v>631</v>
      </c>
      <c r="AT64" s="472" t="s">
        <v>633</v>
      </c>
      <c r="AU64" s="473"/>
      <c r="AV64" s="473"/>
      <c r="AW64" s="474"/>
      <c r="AX64" s="475" t="s">
        <v>631</v>
      </c>
    </row>
    <row r="65" spans="2:50">
      <c r="B65" s="475"/>
      <c r="C65" s="475"/>
      <c r="D65" s="475"/>
      <c r="E65" s="475" t="s">
        <v>638</v>
      </c>
      <c r="F65" s="475"/>
      <c r="G65" s="475"/>
      <c r="H65" s="492"/>
      <c r="I65" s="459" t="s">
        <v>638</v>
      </c>
      <c r="J65" s="459"/>
      <c r="K65" s="459"/>
      <c r="L65" s="461"/>
      <c r="M65" s="467"/>
      <c r="N65" s="475"/>
      <c r="O65" s="475"/>
      <c r="P65" s="472" t="s">
        <v>639</v>
      </c>
      <c r="Q65" s="473"/>
      <c r="R65" s="473"/>
      <c r="S65" s="474"/>
      <c r="T65" s="475"/>
      <c r="U65" s="472" t="s">
        <v>639</v>
      </c>
      <c r="V65" s="473"/>
      <c r="W65" s="473"/>
      <c r="X65" s="474"/>
      <c r="Y65" s="475"/>
      <c r="Z65" s="472" t="s">
        <v>639</v>
      </c>
      <c r="AA65" s="473"/>
      <c r="AB65" s="473"/>
      <c r="AC65" s="474"/>
      <c r="AD65" s="475"/>
      <c r="AE65" s="472" t="s">
        <v>639</v>
      </c>
      <c r="AF65" s="473"/>
      <c r="AG65" s="473"/>
      <c r="AH65" s="474"/>
      <c r="AI65" s="475"/>
      <c r="AJ65" s="472" t="s">
        <v>639</v>
      </c>
      <c r="AK65" s="473"/>
      <c r="AL65" s="473"/>
      <c r="AM65" s="474"/>
      <c r="AN65" s="475"/>
      <c r="AO65" s="472" t="s">
        <v>639</v>
      </c>
      <c r="AP65" s="473"/>
      <c r="AQ65" s="473"/>
      <c r="AR65" s="474"/>
      <c r="AS65" s="475"/>
      <c r="AT65" s="472" t="s">
        <v>639</v>
      </c>
      <c r="AU65" s="473"/>
      <c r="AV65" s="473"/>
      <c r="AW65" s="474"/>
      <c r="AX65" s="475"/>
    </row>
    <row r="66" spans="2:50">
      <c r="B66" s="475"/>
      <c r="C66" s="475"/>
      <c r="D66" s="475"/>
      <c r="E66" s="350" t="s">
        <v>640</v>
      </c>
      <c r="F66" s="350" t="s">
        <v>641</v>
      </c>
      <c r="G66" s="350" t="s">
        <v>642</v>
      </c>
      <c r="H66" s="493"/>
      <c r="I66" s="349" t="s">
        <v>640</v>
      </c>
      <c r="J66" s="349" t="s">
        <v>641</v>
      </c>
      <c r="K66" s="349" t="s">
        <v>642</v>
      </c>
      <c r="L66" s="462"/>
      <c r="M66" s="468"/>
      <c r="N66" s="475"/>
      <c r="O66" s="475"/>
      <c r="P66" s="350" t="s">
        <v>640</v>
      </c>
      <c r="Q66" s="350" t="s">
        <v>641</v>
      </c>
      <c r="R66" s="350" t="s">
        <v>642</v>
      </c>
      <c r="S66" s="350" t="s">
        <v>632</v>
      </c>
      <c r="T66" s="475"/>
      <c r="U66" s="350" t="s">
        <v>640</v>
      </c>
      <c r="V66" s="350" t="s">
        <v>641</v>
      </c>
      <c r="W66" s="350" t="s">
        <v>642</v>
      </c>
      <c r="X66" s="350" t="s">
        <v>632</v>
      </c>
      <c r="Y66" s="475"/>
      <c r="Z66" s="350" t="s">
        <v>640</v>
      </c>
      <c r="AA66" s="350" t="s">
        <v>641</v>
      </c>
      <c r="AB66" s="350" t="s">
        <v>642</v>
      </c>
      <c r="AC66" s="350" t="s">
        <v>632</v>
      </c>
      <c r="AD66" s="475"/>
      <c r="AE66" s="350" t="s">
        <v>640</v>
      </c>
      <c r="AF66" s="350" t="s">
        <v>641</v>
      </c>
      <c r="AG66" s="350" t="s">
        <v>642</v>
      </c>
      <c r="AH66" s="350" t="s">
        <v>632</v>
      </c>
      <c r="AI66" s="475"/>
      <c r="AJ66" s="350" t="s">
        <v>640</v>
      </c>
      <c r="AK66" s="350" t="s">
        <v>641</v>
      </c>
      <c r="AL66" s="350" t="s">
        <v>642</v>
      </c>
      <c r="AM66" s="350" t="s">
        <v>632</v>
      </c>
      <c r="AN66" s="475"/>
      <c r="AO66" s="350" t="s">
        <v>640</v>
      </c>
      <c r="AP66" s="350" t="s">
        <v>641</v>
      </c>
      <c r="AQ66" s="350" t="s">
        <v>642</v>
      </c>
      <c r="AR66" s="350" t="s">
        <v>632</v>
      </c>
      <c r="AS66" s="475"/>
      <c r="AT66" s="350" t="s">
        <v>640</v>
      </c>
      <c r="AU66" s="350" t="s">
        <v>641</v>
      </c>
      <c r="AV66" s="350" t="s">
        <v>642</v>
      </c>
      <c r="AW66" s="350" t="s">
        <v>632</v>
      </c>
      <c r="AX66" s="475"/>
    </row>
    <row r="67" spans="2:50">
      <c r="B67" s="475" t="s">
        <v>646</v>
      </c>
      <c r="C67" s="351">
        <v>1</v>
      </c>
      <c r="D67" s="257"/>
      <c r="E67" s="187"/>
      <c r="F67" s="351"/>
      <c r="G67" s="354"/>
      <c r="H67" s="507" t="e">
        <f>AVERAGE(G67:G81)</f>
        <v>#DIV/0!</v>
      </c>
      <c r="I67" s="219" t="e">
        <f>AVERAGE(P67,U67,Z67,AE67,AJ67,AO67,AT67)</f>
        <v>#DIV/0!</v>
      </c>
      <c r="J67" s="219" t="e">
        <f>AVERAGE(Q67,V67,AA67,AF67,AK67,AP67,AU67)</f>
        <v>#DIV/0!</v>
      </c>
      <c r="K67" s="220" t="e">
        <f>AVERAGE(R67,W67,AB67,AG67,AL67,AQ67,AV67)</f>
        <v>#DIV/0!</v>
      </c>
      <c r="L67" s="456" t="str">
        <f>IFERROR(AVERAGE(K67:K81),"-")</f>
        <v>-</v>
      </c>
      <c r="M67" s="221" t="e">
        <f>RANK(K67, K$87:$K$101)</f>
        <v>#DIV/0!</v>
      </c>
      <c r="N67" s="475"/>
      <c r="O67" s="475"/>
      <c r="P67" s="187"/>
      <c r="Q67" s="187"/>
      <c r="R67" s="187"/>
      <c r="S67" s="351" t="e">
        <f>RANK(R67, R$87:R$101)</f>
        <v>#N/A</v>
      </c>
      <c r="T67" s="506" t="e">
        <f>AVERAGE(R67:R81)</f>
        <v>#DIV/0!</v>
      </c>
      <c r="U67" s="187"/>
      <c r="V67" s="187"/>
      <c r="W67" s="187"/>
      <c r="X67" s="351" t="e">
        <f>RANK(W67, W$87:W$101)</f>
        <v>#N/A</v>
      </c>
      <c r="Y67" s="506" t="e">
        <f>AVERAGE(W67:W81)</f>
        <v>#DIV/0!</v>
      </c>
      <c r="Z67" s="187"/>
      <c r="AA67" s="187"/>
      <c r="AB67" s="187"/>
      <c r="AC67" s="351" t="e">
        <f>RANK(AB67, AB$87:AB$101)</f>
        <v>#N/A</v>
      </c>
      <c r="AD67" s="506" t="e">
        <f>AVERAGE(AB67:AB81)</f>
        <v>#DIV/0!</v>
      </c>
      <c r="AE67" s="187"/>
      <c r="AF67" s="187"/>
      <c r="AG67" s="187"/>
      <c r="AH67" s="351" t="e">
        <f>RANK(AG67, AG$87:AG$101)</f>
        <v>#N/A</v>
      </c>
      <c r="AI67" s="506" t="e">
        <f>AVERAGE(AG67:AG81)</f>
        <v>#DIV/0!</v>
      </c>
      <c r="AJ67" s="187"/>
      <c r="AK67" s="187"/>
      <c r="AL67" s="187"/>
      <c r="AM67" s="351" t="e">
        <f>RANK(AL67, AL$87:AL$101)</f>
        <v>#N/A</v>
      </c>
      <c r="AN67" s="506" t="e">
        <f>AVERAGE(AL67:AL81)</f>
        <v>#DIV/0!</v>
      </c>
      <c r="AO67" s="187"/>
      <c r="AP67" s="187"/>
      <c r="AQ67" s="187"/>
      <c r="AR67" s="351" t="e">
        <f>RANK(AQ67, AQ$87:AQ$101)</f>
        <v>#N/A</v>
      </c>
      <c r="AS67" s="506" t="e">
        <f>AVERAGE(AQ67:AQ81)</f>
        <v>#DIV/0!</v>
      </c>
      <c r="AT67" s="187"/>
      <c r="AU67" s="187"/>
      <c r="AV67" s="187"/>
      <c r="AW67" s="351" t="e">
        <f>RANK(AV67, AV$87:AV$101)</f>
        <v>#N/A</v>
      </c>
      <c r="AX67" s="506" t="e">
        <f>AVERAGE(AV67:AV81)</f>
        <v>#DIV/0!</v>
      </c>
    </row>
    <row r="68" spans="2:50">
      <c r="B68" s="483"/>
      <c r="C68" s="351">
        <v>2</v>
      </c>
      <c r="D68" s="257"/>
      <c r="E68" s="187"/>
      <c r="F68" s="351"/>
      <c r="G68" s="354"/>
      <c r="H68" s="508"/>
      <c r="I68" s="219" t="e">
        <f t="shared" ref="I68:I73" si="36">AVERAGE(P68,U68,Z68,AE68,AJ68,AO68,AT68)</f>
        <v>#DIV/0!</v>
      </c>
      <c r="J68" s="219" t="e">
        <f t="shared" ref="J68:J73" si="37">AVERAGE(Q68,V68,AA68,AF68,AK68,AP68,AU68)</f>
        <v>#DIV/0!</v>
      </c>
      <c r="K68" s="220" t="e">
        <f t="shared" ref="K68:K73" si="38">AVERAGE(R68,W68,AB68,AG68,AL68,AQ68,AV68)</f>
        <v>#DIV/0!</v>
      </c>
      <c r="L68" s="457"/>
      <c r="M68" s="221" t="e">
        <f>RANK(K68, K$87:$K$101)</f>
        <v>#DIV/0!</v>
      </c>
      <c r="N68" s="475"/>
      <c r="O68" s="475"/>
      <c r="P68" s="187"/>
      <c r="Q68" s="187"/>
      <c r="R68" s="187"/>
      <c r="S68" s="351" t="e">
        <f t="shared" ref="S68:S81" si="39">RANK(R68, R$87:R$101)</f>
        <v>#N/A</v>
      </c>
      <c r="T68" s="506"/>
      <c r="U68" s="187"/>
      <c r="V68" s="187"/>
      <c r="W68" s="187"/>
      <c r="X68" s="351" t="e">
        <f t="shared" ref="X68:X81" si="40">RANK(W68, W$87:W$101)</f>
        <v>#N/A</v>
      </c>
      <c r="Y68" s="506"/>
      <c r="Z68" s="187"/>
      <c r="AA68" s="187"/>
      <c r="AB68" s="187"/>
      <c r="AC68" s="351" t="e">
        <f t="shared" ref="AC68:AC81" si="41">RANK(AB68, AB$87:AB$101)</f>
        <v>#N/A</v>
      </c>
      <c r="AD68" s="506"/>
      <c r="AE68" s="187"/>
      <c r="AF68" s="187"/>
      <c r="AG68" s="187"/>
      <c r="AH68" s="351" t="e">
        <f t="shared" ref="AH68:AH81" si="42">RANK(AG68, AG$87:AG$101)</f>
        <v>#N/A</v>
      </c>
      <c r="AI68" s="506"/>
      <c r="AJ68" s="187"/>
      <c r="AK68" s="187"/>
      <c r="AL68" s="187"/>
      <c r="AM68" s="351" t="e">
        <f t="shared" ref="AM68:AM81" si="43">RANK(AL68, AL$87:AL$101)</f>
        <v>#N/A</v>
      </c>
      <c r="AN68" s="506"/>
      <c r="AO68" s="187"/>
      <c r="AP68" s="187"/>
      <c r="AQ68" s="187"/>
      <c r="AR68" s="351" t="e">
        <f t="shared" ref="AR68:AR81" si="44">RANK(AQ68, AQ$87:AQ$101)</f>
        <v>#N/A</v>
      </c>
      <c r="AS68" s="506"/>
      <c r="AT68" s="187"/>
      <c r="AU68" s="187"/>
      <c r="AV68" s="187"/>
      <c r="AW68" s="351" t="e">
        <f t="shared" ref="AW68:AW81" si="45">RANK(AV68, AV$87:AV$101)</f>
        <v>#N/A</v>
      </c>
      <c r="AX68" s="506"/>
    </row>
    <row r="69" spans="2:50">
      <c r="B69" s="483"/>
      <c r="C69" s="351">
        <v>3</v>
      </c>
      <c r="D69" s="257"/>
      <c r="E69" s="187"/>
      <c r="F69" s="351"/>
      <c r="G69" s="354"/>
      <c r="H69" s="508"/>
      <c r="I69" s="219" t="e">
        <f t="shared" si="36"/>
        <v>#DIV/0!</v>
      </c>
      <c r="J69" s="219" t="e">
        <f t="shared" si="37"/>
        <v>#DIV/0!</v>
      </c>
      <c r="K69" s="220" t="e">
        <f t="shared" si="38"/>
        <v>#DIV/0!</v>
      </c>
      <c r="L69" s="457"/>
      <c r="M69" s="221" t="e">
        <f>RANK(K69, K$87:$K$101)</f>
        <v>#DIV/0!</v>
      </c>
      <c r="N69" s="475"/>
      <c r="O69" s="475"/>
      <c r="P69" s="187"/>
      <c r="Q69" s="187"/>
      <c r="R69" s="187"/>
      <c r="S69" s="351" t="e">
        <f t="shared" si="39"/>
        <v>#N/A</v>
      </c>
      <c r="T69" s="506"/>
      <c r="U69" s="187"/>
      <c r="V69" s="187"/>
      <c r="W69" s="187"/>
      <c r="X69" s="351" t="e">
        <f t="shared" si="40"/>
        <v>#N/A</v>
      </c>
      <c r="Y69" s="506"/>
      <c r="Z69" s="187"/>
      <c r="AA69" s="187"/>
      <c r="AB69" s="187"/>
      <c r="AC69" s="351" t="e">
        <f t="shared" si="41"/>
        <v>#N/A</v>
      </c>
      <c r="AD69" s="506"/>
      <c r="AE69" s="187"/>
      <c r="AF69" s="187"/>
      <c r="AG69" s="187"/>
      <c r="AH69" s="351" t="e">
        <f t="shared" si="42"/>
        <v>#N/A</v>
      </c>
      <c r="AI69" s="506"/>
      <c r="AJ69" s="187"/>
      <c r="AK69" s="187"/>
      <c r="AL69" s="187"/>
      <c r="AM69" s="351" t="e">
        <f t="shared" si="43"/>
        <v>#N/A</v>
      </c>
      <c r="AN69" s="506"/>
      <c r="AO69" s="187"/>
      <c r="AP69" s="187"/>
      <c r="AQ69" s="187"/>
      <c r="AR69" s="351" t="e">
        <f t="shared" si="44"/>
        <v>#N/A</v>
      </c>
      <c r="AS69" s="506"/>
      <c r="AT69" s="187"/>
      <c r="AU69" s="187"/>
      <c r="AV69" s="187"/>
      <c r="AW69" s="351" t="e">
        <f t="shared" si="45"/>
        <v>#N/A</v>
      </c>
      <c r="AX69" s="506"/>
    </row>
    <row r="70" spans="2:50">
      <c r="B70" s="483"/>
      <c r="C70" s="351">
        <v>4</v>
      </c>
      <c r="D70" s="257"/>
      <c r="E70" s="187"/>
      <c r="F70" s="351"/>
      <c r="G70" s="354"/>
      <c r="H70" s="508"/>
      <c r="I70" s="219" t="e">
        <f t="shared" si="36"/>
        <v>#DIV/0!</v>
      </c>
      <c r="J70" s="219" t="e">
        <f t="shared" si="37"/>
        <v>#DIV/0!</v>
      </c>
      <c r="K70" s="220" t="e">
        <f t="shared" si="38"/>
        <v>#DIV/0!</v>
      </c>
      <c r="L70" s="457"/>
      <c r="M70" s="221" t="e">
        <f>RANK(K70, K$87:$K$101)</f>
        <v>#DIV/0!</v>
      </c>
      <c r="N70" s="475"/>
      <c r="O70" s="475"/>
      <c r="P70" s="187"/>
      <c r="Q70" s="187"/>
      <c r="R70" s="187"/>
      <c r="S70" s="351" t="e">
        <f t="shared" si="39"/>
        <v>#N/A</v>
      </c>
      <c r="T70" s="506"/>
      <c r="U70" s="187"/>
      <c r="V70" s="187"/>
      <c r="W70" s="187"/>
      <c r="X70" s="351" t="e">
        <f t="shared" si="40"/>
        <v>#N/A</v>
      </c>
      <c r="Y70" s="506"/>
      <c r="Z70" s="187"/>
      <c r="AA70" s="187"/>
      <c r="AB70" s="187"/>
      <c r="AC70" s="351" t="e">
        <f t="shared" si="41"/>
        <v>#N/A</v>
      </c>
      <c r="AD70" s="506"/>
      <c r="AE70" s="187"/>
      <c r="AF70" s="187"/>
      <c r="AG70" s="187"/>
      <c r="AH70" s="351" t="e">
        <f t="shared" si="42"/>
        <v>#N/A</v>
      </c>
      <c r="AI70" s="506"/>
      <c r="AJ70" s="187"/>
      <c r="AK70" s="187"/>
      <c r="AL70" s="187"/>
      <c r="AM70" s="351" t="e">
        <f t="shared" si="43"/>
        <v>#N/A</v>
      </c>
      <c r="AN70" s="506"/>
      <c r="AO70" s="187"/>
      <c r="AP70" s="187"/>
      <c r="AQ70" s="187"/>
      <c r="AR70" s="351" t="e">
        <f t="shared" si="44"/>
        <v>#N/A</v>
      </c>
      <c r="AS70" s="506"/>
      <c r="AT70" s="187"/>
      <c r="AU70" s="187"/>
      <c r="AV70" s="187"/>
      <c r="AW70" s="351" t="e">
        <f t="shared" si="45"/>
        <v>#N/A</v>
      </c>
      <c r="AX70" s="506"/>
    </row>
    <row r="71" spans="2:50">
      <c r="B71" s="483"/>
      <c r="C71" s="351">
        <v>5</v>
      </c>
      <c r="D71" s="257"/>
      <c r="E71" s="187"/>
      <c r="F71" s="351"/>
      <c r="G71" s="354"/>
      <c r="H71" s="508"/>
      <c r="I71" s="219" t="e">
        <f t="shared" si="36"/>
        <v>#DIV/0!</v>
      </c>
      <c r="J71" s="219" t="e">
        <f t="shared" si="37"/>
        <v>#DIV/0!</v>
      </c>
      <c r="K71" s="220" t="e">
        <f t="shared" si="38"/>
        <v>#DIV/0!</v>
      </c>
      <c r="L71" s="457"/>
      <c r="M71" s="221" t="e">
        <f>RANK(K71, K$87:$K$101)</f>
        <v>#DIV/0!</v>
      </c>
      <c r="N71" s="475"/>
      <c r="O71" s="475"/>
      <c r="P71" s="187"/>
      <c r="Q71" s="187"/>
      <c r="R71" s="187"/>
      <c r="S71" s="351" t="e">
        <f t="shared" si="39"/>
        <v>#N/A</v>
      </c>
      <c r="T71" s="506"/>
      <c r="U71" s="187"/>
      <c r="V71" s="187"/>
      <c r="W71" s="187"/>
      <c r="X71" s="351" t="e">
        <f t="shared" si="40"/>
        <v>#N/A</v>
      </c>
      <c r="Y71" s="506"/>
      <c r="Z71" s="187"/>
      <c r="AA71" s="187"/>
      <c r="AB71" s="187"/>
      <c r="AC71" s="351" t="e">
        <f t="shared" si="41"/>
        <v>#N/A</v>
      </c>
      <c r="AD71" s="506"/>
      <c r="AE71" s="187"/>
      <c r="AF71" s="187"/>
      <c r="AG71" s="187"/>
      <c r="AH71" s="351" t="e">
        <f t="shared" si="42"/>
        <v>#N/A</v>
      </c>
      <c r="AI71" s="506"/>
      <c r="AJ71" s="187"/>
      <c r="AK71" s="187"/>
      <c r="AL71" s="187"/>
      <c r="AM71" s="351" t="e">
        <f t="shared" si="43"/>
        <v>#N/A</v>
      </c>
      <c r="AN71" s="506"/>
      <c r="AO71" s="187"/>
      <c r="AP71" s="187"/>
      <c r="AQ71" s="187"/>
      <c r="AR71" s="351" t="e">
        <f t="shared" si="44"/>
        <v>#N/A</v>
      </c>
      <c r="AS71" s="506"/>
      <c r="AT71" s="187"/>
      <c r="AU71" s="187"/>
      <c r="AV71" s="187"/>
      <c r="AW71" s="351" t="e">
        <f t="shared" si="45"/>
        <v>#N/A</v>
      </c>
      <c r="AX71" s="506"/>
    </row>
    <row r="72" spans="2:50">
      <c r="B72" s="483"/>
      <c r="C72" s="351">
        <v>6</v>
      </c>
      <c r="D72" s="257"/>
      <c r="E72" s="187"/>
      <c r="F72" s="351"/>
      <c r="G72" s="354"/>
      <c r="H72" s="508"/>
      <c r="I72" s="219" t="e">
        <f t="shared" si="36"/>
        <v>#DIV/0!</v>
      </c>
      <c r="J72" s="219" t="e">
        <f t="shared" si="37"/>
        <v>#DIV/0!</v>
      </c>
      <c r="K72" s="220" t="e">
        <f t="shared" si="38"/>
        <v>#DIV/0!</v>
      </c>
      <c r="L72" s="457"/>
      <c r="M72" s="221" t="e">
        <f>RANK(K72, K$87:$K$101)</f>
        <v>#DIV/0!</v>
      </c>
      <c r="N72" s="475"/>
      <c r="O72" s="475"/>
      <c r="P72" s="187"/>
      <c r="Q72" s="187"/>
      <c r="R72" s="187"/>
      <c r="S72" s="351" t="e">
        <f t="shared" si="39"/>
        <v>#N/A</v>
      </c>
      <c r="T72" s="506"/>
      <c r="U72" s="187"/>
      <c r="V72" s="187"/>
      <c r="W72" s="187"/>
      <c r="X72" s="351" t="e">
        <f t="shared" si="40"/>
        <v>#N/A</v>
      </c>
      <c r="Y72" s="506"/>
      <c r="Z72" s="187"/>
      <c r="AA72" s="187"/>
      <c r="AB72" s="187"/>
      <c r="AC72" s="351" t="e">
        <f t="shared" si="41"/>
        <v>#N/A</v>
      </c>
      <c r="AD72" s="506"/>
      <c r="AE72" s="187"/>
      <c r="AF72" s="187"/>
      <c r="AG72" s="187"/>
      <c r="AH72" s="351" t="e">
        <f t="shared" si="42"/>
        <v>#N/A</v>
      </c>
      <c r="AI72" s="506"/>
      <c r="AJ72" s="187"/>
      <c r="AK72" s="187"/>
      <c r="AL72" s="187"/>
      <c r="AM72" s="351" t="e">
        <f t="shared" si="43"/>
        <v>#N/A</v>
      </c>
      <c r="AN72" s="506"/>
      <c r="AO72" s="187"/>
      <c r="AP72" s="187"/>
      <c r="AQ72" s="187"/>
      <c r="AR72" s="351" t="e">
        <f t="shared" si="44"/>
        <v>#N/A</v>
      </c>
      <c r="AS72" s="506"/>
      <c r="AT72" s="187"/>
      <c r="AU72" s="187"/>
      <c r="AV72" s="187"/>
      <c r="AW72" s="351" t="e">
        <f t="shared" si="45"/>
        <v>#N/A</v>
      </c>
      <c r="AX72" s="506"/>
    </row>
    <row r="73" spans="2:50">
      <c r="B73" s="483"/>
      <c r="C73" s="351">
        <v>7</v>
      </c>
      <c r="D73" s="257"/>
      <c r="E73" s="187"/>
      <c r="F73" s="351"/>
      <c r="G73" s="354"/>
      <c r="H73" s="508"/>
      <c r="I73" s="219" t="e">
        <f t="shared" si="36"/>
        <v>#DIV/0!</v>
      </c>
      <c r="J73" s="219" t="e">
        <f t="shared" si="37"/>
        <v>#DIV/0!</v>
      </c>
      <c r="K73" s="220" t="e">
        <f t="shared" si="38"/>
        <v>#DIV/0!</v>
      </c>
      <c r="L73" s="457"/>
      <c r="M73" s="221" t="e">
        <f>RANK(K73, K$87:$K$101)</f>
        <v>#DIV/0!</v>
      </c>
      <c r="N73" s="475"/>
      <c r="O73" s="475"/>
      <c r="P73" s="187"/>
      <c r="Q73" s="187"/>
      <c r="R73" s="187"/>
      <c r="S73" s="351" t="e">
        <f t="shared" si="39"/>
        <v>#N/A</v>
      </c>
      <c r="T73" s="506"/>
      <c r="U73" s="187"/>
      <c r="V73" s="187"/>
      <c r="W73" s="187"/>
      <c r="X73" s="351" t="e">
        <f t="shared" si="40"/>
        <v>#N/A</v>
      </c>
      <c r="Y73" s="506"/>
      <c r="Z73" s="187"/>
      <c r="AA73" s="187"/>
      <c r="AB73" s="187"/>
      <c r="AC73" s="351" t="e">
        <f t="shared" si="41"/>
        <v>#N/A</v>
      </c>
      <c r="AD73" s="506"/>
      <c r="AE73" s="187"/>
      <c r="AF73" s="187"/>
      <c r="AG73" s="187"/>
      <c r="AH73" s="351" t="e">
        <f t="shared" si="42"/>
        <v>#N/A</v>
      </c>
      <c r="AI73" s="506"/>
      <c r="AJ73" s="187"/>
      <c r="AK73" s="187"/>
      <c r="AL73" s="187"/>
      <c r="AM73" s="351" t="e">
        <f t="shared" si="43"/>
        <v>#N/A</v>
      </c>
      <c r="AN73" s="506"/>
      <c r="AO73" s="187"/>
      <c r="AP73" s="187"/>
      <c r="AQ73" s="187"/>
      <c r="AR73" s="351" t="e">
        <f t="shared" si="44"/>
        <v>#N/A</v>
      </c>
      <c r="AS73" s="506"/>
      <c r="AT73" s="187"/>
      <c r="AU73" s="187"/>
      <c r="AV73" s="187"/>
      <c r="AW73" s="351" t="e">
        <f t="shared" si="45"/>
        <v>#N/A</v>
      </c>
      <c r="AX73" s="506"/>
    </row>
    <row r="74" spans="2:50">
      <c r="B74" s="483"/>
      <c r="C74" s="351">
        <v>8</v>
      </c>
      <c r="D74" s="257"/>
      <c r="E74" s="187"/>
      <c r="F74" s="351"/>
      <c r="G74" s="354"/>
      <c r="H74" s="508"/>
      <c r="I74" s="219"/>
      <c r="J74" s="219"/>
      <c r="K74" s="220"/>
      <c r="L74" s="457"/>
      <c r="M74" s="221" t="e">
        <f>RANK(K74, K$87:$K$101)</f>
        <v>#DIV/0!</v>
      </c>
      <c r="N74" s="475"/>
      <c r="O74" s="475"/>
      <c r="P74" s="187"/>
      <c r="Q74" s="187"/>
      <c r="R74" s="187"/>
      <c r="S74" s="351" t="e">
        <f t="shared" si="39"/>
        <v>#N/A</v>
      </c>
      <c r="T74" s="506"/>
      <c r="U74" s="187"/>
      <c r="V74" s="187"/>
      <c r="W74" s="187"/>
      <c r="X74" s="351" t="e">
        <f t="shared" si="40"/>
        <v>#N/A</v>
      </c>
      <c r="Y74" s="506"/>
      <c r="Z74" s="187"/>
      <c r="AA74" s="187"/>
      <c r="AB74" s="187"/>
      <c r="AC74" s="351" t="e">
        <f t="shared" si="41"/>
        <v>#N/A</v>
      </c>
      <c r="AD74" s="506"/>
      <c r="AE74" s="187"/>
      <c r="AF74" s="187"/>
      <c r="AG74" s="187"/>
      <c r="AH74" s="351" t="e">
        <f t="shared" si="42"/>
        <v>#N/A</v>
      </c>
      <c r="AI74" s="506"/>
      <c r="AJ74" s="187"/>
      <c r="AK74" s="187"/>
      <c r="AL74" s="187"/>
      <c r="AM74" s="351" t="e">
        <f t="shared" si="43"/>
        <v>#N/A</v>
      </c>
      <c r="AN74" s="506"/>
      <c r="AO74" s="187"/>
      <c r="AP74" s="187"/>
      <c r="AQ74" s="187"/>
      <c r="AR74" s="351" t="e">
        <f t="shared" si="44"/>
        <v>#N/A</v>
      </c>
      <c r="AS74" s="506"/>
      <c r="AT74" s="187"/>
      <c r="AU74" s="187"/>
      <c r="AV74" s="187"/>
      <c r="AW74" s="351" t="e">
        <f t="shared" si="45"/>
        <v>#N/A</v>
      </c>
      <c r="AX74" s="506"/>
    </row>
    <row r="75" spans="2:50">
      <c r="B75" s="483"/>
      <c r="C75" s="351">
        <v>9</v>
      </c>
      <c r="D75" s="257"/>
      <c r="E75" s="187"/>
      <c r="F75" s="351"/>
      <c r="G75" s="354"/>
      <c r="H75" s="508"/>
      <c r="I75" s="219"/>
      <c r="J75" s="219"/>
      <c r="K75" s="220"/>
      <c r="L75" s="457"/>
      <c r="M75" s="221" t="e">
        <f>RANK(K75, K$87:$K$101)</f>
        <v>#DIV/0!</v>
      </c>
      <c r="N75" s="475"/>
      <c r="O75" s="475"/>
      <c r="P75" s="187"/>
      <c r="Q75" s="187"/>
      <c r="R75" s="187"/>
      <c r="S75" s="351" t="e">
        <f t="shared" si="39"/>
        <v>#N/A</v>
      </c>
      <c r="T75" s="506"/>
      <c r="U75" s="187"/>
      <c r="V75" s="187"/>
      <c r="W75" s="187"/>
      <c r="X75" s="351" t="e">
        <f t="shared" si="40"/>
        <v>#N/A</v>
      </c>
      <c r="Y75" s="506"/>
      <c r="Z75" s="187"/>
      <c r="AA75" s="187"/>
      <c r="AB75" s="187"/>
      <c r="AC75" s="351" t="e">
        <f t="shared" si="41"/>
        <v>#N/A</v>
      </c>
      <c r="AD75" s="506"/>
      <c r="AE75" s="187"/>
      <c r="AF75" s="187"/>
      <c r="AG75" s="187"/>
      <c r="AH75" s="351" t="e">
        <f t="shared" si="42"/>
        <v>#N/A</v>
      </c>
      <c r="AI75" s="506"/>
      <c r="AJ75" s="187"/>
      <c r="AK75" s="187"/>
      <c r="AL75" s="187"/>
      <c r="AM75" s="351" t="e">
        <f t="shared" si="43"/>
        <v>#N/A</v>
      </c>
      <c r="AN75" s="506"/>
      <c r="AO75" s="187"/>
      <c r="AP75" s="187"/>
      <c r="AQ75" s="187"/>
      <c r="AR75" s="351" t="e">
        <f t="shared" si="44"/>
        <v>#N/A</v>
      </c>
      <c r="AS75" s="506"/>
      <c r="AT75" s="187"/>
      <c r="AU75" s="187"/>
      <c r="AV75" s="354"/>
      <c r="AW75" s="351" t="e">
        <f t="shared" si="45"/>
        <v>#N/A</v>
      </c>
      <c r="AX75" s="506"/>
    </row>
    <row r="76" spans="2:50">
      <c r="B76" s="483"/>
      <c r="C76" s="351">
        <v>10</v>
      </c>
      <c r="D76" s="257"/>
      <c r="E76" s="187"/>
      <c r="F76" s="351"/>
      <c r="G76" s="354"/>
      <c r="H76" s="508"/>
      <c r="I76" s="219"/>
      <c r="J76" s="219"/>
      <c r="K76" s="220"/>
      <c r="L76" s="457"/>
      <c r="M76" s="221" t="e">
        <f>RANK(K76, K$87:$K$101)</f>
        <v>#DIV/0!</v>
      </c>
      <c r="N76" s="475"/>
      <c r="O76" s="475"/>
      <c r="P76" s="187"/>
      <c r="Q76" s="187"/>
      <c r="R76" s="187"/>
      <c r="S76" s="351" t="e">
        <f t="shared" si="39"/>
        <v>#N/A</v>
      </c>
      <c r="T76" s="506"/>
      <c r="U76" s="187"/>
      <c r="V76" s="187"/>
      <c r="W76" s="187"/>
      <c r="X76" s="351" t="e">
        <f t="shared" si="40"/>
        <v>#N/A</v>
      </c>
      <c r="Y76" s="506"/>
      <c r="Z76" s="187"/>
      <c r="AA76" s="187"/>
      <c r="AB76" s="187"/>
      <c r="AC76" s="351" t="e">
        <f t="shared" si="41"/>
        <v>#N/A</v>
      </c>
      <c r="AD76" s="506"/>
      <c r="AE76" s="187"/>
      <c r="AF76" s="187"/>
      <c r="AG76" s="187"/>
      <c r="AH76" s="351" t="e">
        <f t="shared" si="42"/>
        <v>#N/A</v>
      </c>
      <c r="AI76" s="506"/>
      <c r="AJ76" s="187"/>
      <c r="AK76" s="187"/>
      <c r="AL76" s="187"/>
      <c r="AM76" s="351" t="e">
        <f t="shared" si="43"/>
        <v>#N/A</v>
      </c>
      <c r="AN76" s="506"/>
      <c r="AO76" s="187"/>
      <c r="AP76" s="187"/>
      <c r="AQ76" s="187"/>
      <c r="AR76" s="351" t="e">
        <f t="shared" si="44"/>
        <v>#N/A</v>
      </c>
      <c r="AS76" s="506"/>
      <c r="AT76" s="187"/>
      <c r="AU76" s="187"/>
      <c r="AV76" s="354"/>
      <c r="AW76" s="351" t="e">
        <f t="shared" si="45"/>
        <v>#N/A</v>
      </c>
      <c r="AX76" s="506"/>
    </row>
    <row r="77" spans="2:50">
      <c r="B77" s="483"/>
      <c r="C77" s="351">
        <v>11</v>
      </c>
      <c r="D77" s="257"/>
      <c r="E77" s="187"/>
      <c r="F77" s="351"/>
      <c r="G77" s="354"/>
      <c r="H77" s="508"/>
      <c r="I77" s="222"/>
      <c r="J77" s="222"/>
      <c r="K77" s="222"/>
      <c r="L77" s="457"/>
      <c r="M77" s="221" t="e">
        <f>RANK(K77, K$87:$K$101)</f>
        <v>#DIV/0!</v>
      </c>
      <c r="N77" s="475"/>
      <c r="O77" s="475"/>
      <c r="P77" s="187"/>
      <c r="Q77" s="187"/>
      <c r="R77" s="187"/>
      <c r="S77" s="351" t="e">
        <f t="shared" si="39"/>
        <v>#N/A</v>
      </c>
      <c r="T77" s="506"/>
      <c r="U77" s="187"/>
      <c r="V77" s="187"/>
      <c r="W77" s="187"/>
      <c r="X77" s="351" t="e">
        <f t="shared" si="40"/>
        <v>#N/A</v>
      </c>
      <c r="Y77" s="506"/>
      <c r="Z77" s="187"/>
      <c r="AA77" s="187"/>
      <c r="AB77" s="187"/>
      <c r="AC77" s="351" t="e">
        <f t="shared" si="41"/>
        <v>#N/A</v>
      </c>
      <c r="AD77" s="506"/>
      <c r="AE77" s="187"/>
      <c r="AF77" s="187"/>
      <c r="AG77" s="187"/>
      <c r="AH77" s="351" t="e">
        <f t="shared" si="42"/>
        <v>#N/A</v>
      </c>
      <c r="AI77" s="506"/>
      <c r="AJ77" s="187"/>
      <c r="AK77" s="187"/>
      <c r="AL77" s="187"/>
      <c r="AM77" s="351" t="e">
        <f t="shared" si="43"/>
        <v>#N/A</v>
      </c>
      <c r="AN77" s="506"/>
      <c r="AO77" s="187"/>
      <c r="AP77" s="187"/>
      <c r="AQ77" s="187"/>
      <c r="AR77" s="351" t="e">
        <f t="shared" si="44"/>
        <v>#N/A</v>
      </c>
      <c r="AS77" s="506"/>
      <c r="AT77" s="187"/>
      <c r="AU77" s="187"/>
      <c r="AV77" s="354"/>
      <c r="AW77" s="351" t="e">
        <f t="shared" si="45"/>
        <v>#N/A</v>
      </c>
      <c r="AX77" s="506"/>
    </row>
    <row r="78" spans="2:50">
      <c r="B78" s="483"/>
      <c r="C78" s="351">
        <v>12</v>
      </c>
      <c r="D78" s="257"/>
      <c r="E78" s="187"/>
      <c r="F78" s="351"/>
      <c r="G78" s="354"/>
      <c r="H78" s="508"/>
      <c r="I78" s="222"/>
      <c r="J78" s="222"/>
      <c r="K78" s="222"/>
      <c r="L78" s="457"/>
      <c r="M78" s="221" t="e">
        <f>RANK(K78, K$87:$K$101)</f>
        <v>#DIV/0!</v>
      </c>
      <c r="N78" s="475"/>
      <c r="O78" s="475"/>
      <c r="P78" s="187"/>
      <c r="Q78" s="187"/>
      <c r="R78" s="187"/>
      <c r="S78" s="351" t="e">
        <f t="shared" si="39"/>
        <v>#N/A</v>
      </c>
      <c r="T78" s="506"/>
      <c r="U78" s="187"/>
      <c r="V78" s="187"/>
      <c r="W78" s="187"/>
      <c r="X78" s="351" t="e">
        <f t="shared" si="40"/>
        <v>#N/A</v>
      </c>
      <c r="Y78" s="506"/>
      <c r="Z78" s="187"/>
      <c r="AA78" s="187"/>
      <c r="AB78" s="187"/>
      <c r="AC78" s="351" t="e">
        <f t="shared" si="41"/>
        <v>#N/A</v>
      </c>
      <c r="AD78" s="506"/>
      <c r="AE78" s="187"/>
      <c r="AF78" s="187"/>
      <c r="AG78" s="187"/>
      <c r="AH78" s="351" t="e">
        <f t="shared" si="42"/>
        <v>#N/A</v>
      </c>
      <c r="AI78" s="506"/>
      <c r="AJ78" s="187"/>
      <c r="AK78" s="187"/>
      <c r="AL78" s="187"/>
      <c r="AM78" s="351" t="e">
        <f t="shared" si="43"/>
        <v>#N/A</v>
      </c>
      <c r="AN78" s="506"/>
      <c r="AO78" s="187"/>
      <c r="AP78" s="187"/>
      <c r="AQ78" s="187"/>
      <c r="AR78" s="351" t="e">
        <f t="shared" si="44"/>
        <v>#N/A</v>
      </c>
      <c r="AS78" s="506"/>
      <c r="AT78" s="187"/>
      <c r="AU78" s="187"/>
      <c r="AV78" s="354"/>
      <c r="AW78" s="351" t="e">
        <f t="shared" si="45"/>
        <v>#N/A</v>
      </c>
      <c r="AX78" s="506"/>
    </row>
    <row r="79" spans="2:50">
      <c r="B79" s="483"/>
      <c r="C79" s="351">
        <v>13</v>
      </c>
      <c r="D79" s="257"/>
      <c r="E79" s="187"/>
      <c r="F79" s="351"/>
      <c r="G79" s="354"/>
      <c r="H79" s="508"/>
      <c r="I79" s="222"/>
      <c r="J79" s="222"/>
      <c r="K79" s="222"/>
      <c r="L79" s="457"/>
      <c r="M79" s="221" t="e">
        <f>RANK(K79, K$87:$K$101)</f>
        <v>#DIV/0!</v>
      </c>
      <c r="N79" s="475"/>
      <c r="O79" s="475"/>
      <c r="P79" s="187"/>
      <c r="Q79" s="187"/>
      <c r="R79" s="187"/>
      <c r="S79" s="351" t="e">
        <f t="shared" si="39"/>
        <v>#N/A</v>
      </c>
      <c r="T79" s="506"/>
      <c r="U79" s="187"/>
      <c r="V79" s="187"/>
      <c r="W79" s="187"/>
      <c r="X79" s="351" t="e">
        <f t="shared" si="40"/>
        <v>#N/A</v>
      </c>
      <c r="Y79" s="506"/>
      <c r="Z79" s="187"/>
      <c r="AA79" s="187"/>
      <c r="AB79" s="187"/>
      <c r="AC79" s="351" t="e">
        <f t="shared" si="41"/>
        <v>#N/A</v>
      </c>
      <c r="AD79" s="506"/>
      <c r="AE79" s="187"/>
      <c r="AF79" s="187"/>
      <c r="AG79" s="187"/>
      <c r="AH79" s="351" t="e">
        <f t="shared" si="42"/>
        <v>#N/A</v>
      </c>
      <c r="AI79" s="506"/>
      <c r="AJ79" s="187"/>
      <c r="AK79" s="187"/>
      <c r="AL79" s="187"/>
      <c r="AM79" s="351" t="e">
        <f t="shared" si="43"/>
        <v>#N/A</v>
      </c>
      <c r="AN79" s="506"/>
      <c r="AO79" s="187"/>
      <c r="AP79" s="187"/>
      <c r="AQ79" s="187"/>
      <c r="AR79" s="351" t="e">
        <f t="shared" si="44"/>
        <v>#N/A</v>
      </c>
      <c r="AS79" s="506"/>
      <c r="AT79" s="187"/>
      <c r="AU79" s="187"/>
      <c r="AV79" s="354"/>
      <c r="AW79" s="351" t="e">
        <f t="shared" si="45"/>
        <v>#N/A</v>
      </c>
      <c r="AX79" s="506"/>
    </row>
    <row r="80" spans="2:50">
      <c r="B80" s="483"/>
      <c r="C80" s="351">
        <v>14</v>
      </c>
      <c r="D80" s="257"/>
      <c r="E80" s="187"/>
      <c r="F80" s="351"/>
      <c r="G80" s="354"/>
      <c r="H80" s="508"/>
      <c r="I80" s="222"/>
      <c r="J80" s="222"/>
      <c r="K80" s="222"/>
      <c r="L80" s="457"/>
      <c r="M80" s="221" t="e">
        <f>RANK(K80, K$87:$K$101)</f>
        <v>#DIV/0!</v>
      </c>
      <c r="N80" s="475"/>
      <c r="O80" s="475"/>
      <c r="P80" s="187"/>
      <c r="Q80" s="187"/>
      <c r="R80" s="187"/>
      <c r="S80" s="351" t="e">
        <f t="shared" si="39"/>
        <v>#N/A</v>
      </c>
      <c r="T80" s="506"/>
      <c r="U80" s="187"/>
      <c r="V80" s="187"/>
      <c r="W80" s="187"/>
      <c r="X80" s="351" t="e">
        <f t="shared" si="40"/>
        <v>#N/A</v>
      </c>
      <c r="Y80" s="506"/>
      <c r="Z80" s="187"/>
      <c r="AA80" s="187"/>
      <c r="AB80" s="187"/>
      <c r="AC80" s="351" t="e">
        <f t="shared" si="41"/>
        <v>#N/A</v>
      </c>
      <c r="AD80" s="506"/>
      <c r="AE80" s="187"/>
      <c r="AF80" s="187"/>
      <c r="AG80" s="187"/>
      <c r="AH80" s="351" t="e">
        <f t="shared" si="42"/>
        <v>#N/A</v>
      </c>
      <c r="AI80" s="506"/>
      <c r="AJ80" s="187"/>
      <c r="AK80" s="187"/>
      <c r="AL80" s="187"/>
      <c r="AM80" s="351" t="e">
        <f t="shared" si="43"/>
        <v>#N/A</v>
      </c>
      <c r="AN80" s="506"/>
      <c r="AO80" s="187"/>
      <c r="AP80" s="187"/>
      <c r="AQ80" s="187"/>
      <c r="AR80" s="351" t="e">
        <f t="shared" si="44"/>
        <v>#N/A</v>
      </c>
      <c r="AS80" s="506"/>
      <c r="AT80" s="187"/>
      <c r="AU80" s="187"/>
      <c r="AV80" s="354"/>
      <c r="AW80" s="351" t="e">
        <f t="shared" si="45"/>
        <v>#N/A</v>
      </c>
      <c r="AX80" s="506"/>
    </row>
    <row r="81" spans="2:50">
      <c r="B81" s="483"/>
      <c r="C81" s="351">
        <v>15</v>
      </c>
      <c r="D81" s="257"/>
      <c r="E81" s="187"/>
      <c r="F81" s="351"/>
      <c r="G81" s="354"/>
      <c r="H81" s="509"/>
      <c r="I81" s="222"/>
      <c r="J81" s="222"/>
      <c r="K81" s="222"/>
      <c r="L81" s="458"/>
      <c r="M81" s="219" t="e">
        <f>RANK(K81, K$87:$K$101)</f>
        <v>#DIV/0!</v>
      </c>
      <c r="N81" s="475"/>
      <c r="O81" s="475"/>
      <c r="P81" s="187"/>
      <c r="Q81" s="187"/>
      <c r="R81" s="187"/>
      <c r="S81" s="351" t="e">
        <f t="shared" si="39"/>
        <v>#N/A</v>
      </c>
      <c r="T81" s="506"/>
      <c r="U81" s="187"/>
      <c r="V81" s="187"/>
      <c r="W81" s="187"/>
      <c r="X81" s="351" t="e">
        <f t="shared" si="40"/>
        <v>#N/A</v>
      </c>
      <c r="Y81" s="506"/>
      <c r="Z81" s="187"/>
      <c r="AA81" s="187"/>
      <c r="AB81" s="187"/>
      <c r="AC81" s="351" t="e">
        <f t="shared" si="41"/>
        <v>#N/A</v>
      </c>
      <c r="AD81" s="506"/>
      <c r="AE81" s="187"/>
      <c r="AF81" s="187"/>
      <c r="AG81" s="187"/>
      <c r="AH81" s="351" t="e">
        <f t="shared" si="42"/>
        <v>#N/A</v>
      </c>
      <c r="AI81" s="506"/>
      <c r="AJ81" s="187"/>
      <c r="AK81" s="187"/>
      <c r="AL81" s="187"/>
      <c r="AM81" s="351" t="e">
        <f t="shared" si="43"/>
        <v>#N/A</v>
      </c>
      <c r="AN81" s="506"/>
      <c r="AO81" s="187"/>
      <c r="AP81" s="187"/>
      <c r="AQ81" s="187"/>
      <c r="AR81" s="351" t="e">
        <f t="shared" si="44"/>
        <v>#N/A</v>
      </c>
      <c r="AS81" s="506"/>
      <c r="AT81" s="187"/>
      <c r="AU81" s="187"/>
      <c r="AV81" s="354"/>
      <c r="AW81" s="351" t="e">
        <f t="shared" si="45"/>
        <v>#N/A</v>
      </c>
      <c r="AX81" s="506"/>
    </row>
    <row r="82" spans="2:50" ht="15.75">
      <c r="B82" s="487" t="s">
        <v>172</v>
      </c>
      <c r="C82" s="488"/>
      <c r="D82" s="488"/>
      <c r="E82" s="488"/>
      <c r="F82" s="488"/>
      <c r="G82" s="488"/>
      <c r="H82" s="489"/>
      <c r="I82" s="228"/>
      <c r="J82" s="228"/>
      <c r="K82" s="228"/>
      <c r="L82" s="228"/>
      <c r="M82" s="227"/>
      <c r="N82" s="476" t="s">
        <v>164</v>
      </c>
      <c r="O82" s="476" t="s">
        <v>105</v>
      </c>
      <c r="P82" s="482">
        <f>P62+7</f>
        <v>45923</v>
      </c>
      <c r="Q82" s="483"/>
      <c r="R82" s="483"/>
      <c r="S82" s="483"/>
      <c r="T82" s="483"/>
      <c r="U82" s="479">
        <f>P82+1</f>
        <v>45924</v>
      </c>
      <c r="V82" s="480"/>
      <c r="W82" s="480"/>
      <c r="X82" s="480"/>
      <c r="Y82" s="481"/>
      <c r="Z82" s="479">
        <f>U82+1</f>
        <v>45925</v>
      </c>
      <c r="AA82" s="480"/>
      <c r="AB82" s="480"/>
      <c r="AC82" s="480"/>
      <c r="AD82" s="481"/>
      <c r="AE82" s="479">
        <f t="shared" ref="AE82" si="46">Z82+1</f>
        <v>45926</v>
      </c>
      <c r="AF82" s="480"/>
      <c r="AG82" s="480"/>
      <c r="AH82" s="480"/>
      <c r="AI82" s="481"/>
      <c r="AJ82" s="479">
        <f t="shared" ref="AJ82" si="47">AE82+1</f>
        <v>45927</v>
      </c>
      <c r="AK82" s="480"/>
      <c r="AL82" s="480"/>
      <c r="AM82" s="480"/>
      <c r="AN82" s="481"/>
      <c r="AO82" s="479">
        <f t="shared" ref="AO82" si="48">AJ82+1</f>
        <v>45928</v>
      </c>
      <c r="AP82" s="480"/>
      <c r="AQ82" s="480"/>
      <c r="AR82" s="480"/>
      <c r="AS82" s="481"/>
      <c r="AT82" s="479">
        <f t="shared" ref="AT82" si="49">AO82+1</f>
        <v>45929</v>
      </c>
      <c r="AU82" s="480"/>
      <c r="AV82" s="480"/>
      <c r="AW82" s="480"/>
      <c r="AX82" s="481"/>
    </row>
    <row r="83" spans="2:50" ht="15.75">
      <c r="B83" s="490"/>
      <c r="C83" s="490"/>
      <c r="D83" s="490"/>
      <c r="E83" s="490"/>
      <c r="F83" s="490"/>
      <c r="G83" s="490"/>
      <c r="H83" s="490"/>
      <c r="I83" s="225"/>
      <c r="J83" s="225"/>
      <c r="K83" s="225"/>
      <c r="L83" s="225"/>
      <c r="M83" s="226"/>
      <c r="N83" s="478"/>
      <c r="O83" s="478"/>
      <c r="P83" s="482" t="s">
        <v>393</v>
      </c>
      <c r="Q83" s="483"/>
      <c r="R83" s="483"/>
      <c r="S83" s="483"/>
      <c r="T83" s="483"/>
      <c r="U83" s="482" t="s">
        <v>394</v>
      </c>
      <c r="V83" s="483"/>
      <c r="W83" s="483"/>
      <c r="X83" s="483"/>
      <c r="Y83" s="483"/>
      <c r="Z83" s="482" t="s">
        <v>395</v>
      </c>
      <c r="AA83" s="483"/>
      <c r="AB83" s="483"/>
      <c r="AC83" s="483"/>
      <c r="AD83" s="483"/>
      <c r="AE83" s="482" t="s">
        <v>396</v>
      </c>
      <c r="AF83" s="483"/>
      <c r="AG83" s="483"/>
      <c r="AH83" s="483"/>
      <c r="AI83" s="483"/>
      <c r="AJ83" s="482" t="s">
        <v>397</v>
      </c>
      <c r="AK83" s="483"/>
      <c r="AL83" s="483"/>
      <c r="AM83" s="483"/>
      <c r="AN83" s="483"/>
      <c r="AO83" s="482" t="s">
        <v>398</v>
      </c>
      <c r="AP83" s="483"/>
      <c r="AQ83" s="483"/>
      <c r="AR83" s="483"/>
      <c r="AS83" s="483"/>
      <c r="AT83" s="482" t="s">
        <v>399</v>
      </c>
      <c r="AU83" s="483"/>
      <c r="AV83" s="483"/>
      <c r="AW83" s="483"/>
      <c r="AX83" s="483"/>
    </row>
    <row r="84" spans="2:50">
      <c r="B84" s="475" t="s">
        <v>707</v>
      </c>
      <c r="C84" s="475" t="s">
        <v>708</v>
      </c>
      <c r="D84" s="475"/>
      <c r="E84" s="475" t="s">
        <v>709</v>
      </c>
      <c r="F84" s="475"/>
      <c r="G84" s="475"/>
      <c r="H84" s="491" t="s">
        <v>710</v>
      </c>
      <c r="I84" s="459" t="s">
        <v>711</v>
      </c>
      <c r="J84" s="459"/>
      <c r="K84" s="459"/>
      <c r="L84" s="460" t="s">
        <v>710</v>
      </c>
      <c r="M84" s="466" t="s">
        <v>712</v>
      </c>
      <c r="N84" s="475"/>
      <c r="O84" s="475" t="s">
        <v>713</v>
      </c>
      <c r="P84" s="472" t="s">
        <v>714</v>
      </c>
      <c r="Q84" s="473"/>
      <c r="R84" s="473"/>
      <c r="S84" s="474"/>
      <c r="T84" s="475" t="s">
        <v>710</v>
      </c>
      <c r="U84" s="472" t="s">
        <v>714</v>
      </c>
      <c r="V84" s="473"/>
      <c r="W84" s="473"/>
      <c r="X84" s="474"/>
      <c r="Y84" s="475" t="s">
        <v>710</v>
      </c>
      <c r="Z84" s="472" t="s">
        <v>714</v>
      </c>
      <c r="AA84" s="473"/>
      <c r="AB84" s="473"/>
      <c r="AC84" s="474"/>
      <c r="AD84" s="475" t="s">
        <v>710</v>
      </c>
      <c r="AE84" s="472" t="s">
        <v>714</v>
      </c>
      <c r="AF84" s="473"/>
      <c r="AG84" s="473"/>
      <c r="AH84" s="474"/>
      <c r="AI84" s="475" t="s">
        <v>710</v>
      </c>
      <c r="AJ84" s="472" t="s">
        <v>714</v>
      </c>
      <c r="AK84" s="473"/>
      <c r="AL84" s="473"/>
      <c r="AM84" s="474"/>
      <c r="AN84" s="475" t="s">
        <v>710</v>
      </c>
      <c r="AO84" s="472" t="s">
        <v>714</v>
      </c>
      <c r="AP84" s="473"/>
      <c r="AQ84" s="473"/>
      <c r="AR84" s="474"/>
      <c r="AS84" s="475" t="s">
        <v>710</v>
      </c>
      <c r="AT84" s="472" t="s">
        <v>714</v>
      </c>
      <c r="AU84" s="473"/>
      <c r="AV84" s="473"/>
      <c r="AW84" s="474"/>
      <c r="AX84" s="475" t="s">
        <v>710</v>
      </c>
    </row>
    <row r="85" spans="2:50">
      <c r="B85" s="475"/>
      <c r="C85" s="475"/>
      <c r="D85" s="475"/>
      <c r="E85" s="475" t="s">
        <v>715</v>
      </c>
      <c r="F85" s="475"/>
      <c r="G85" s="475"/>
      <c r="H85" s="492"/>
      <c r="I85" s="459" t="s">
        <v>715</v>
      </c>
      <c r="J85" s="459"/>
      <c r="K85" s="459"/>
      <c r="L85" s="461"/>
      <c r="M85" s="467"/>
      <c r="N85" s="475"/>
      <c r="O85" s="475"/>
      <c r="P85" s="472" t="s">
        <v>716</v>
      </c>
      <c r="Q85" s="473"/>
      <c r="R85" s="473"/>
      <c r="S85" s="474"/>
      <c r="T85" s="475"/>
      <c r="U85" s="472" t="s">
        <v>716</v>
      </c>
      <c r="V85" s="473"/>
      <c r="W85" s="473"/>
      <c r="X85" s="474"/>
      <c r="Y85" s="475"/>
      <c r="Z85" s="472" t="s">
        <v>716</v>
      </c>
      <c r="AA85" s="473"/>
      <c r="AB85" s="473"/>
      <c r="AC85" s="474"/>
      <c r="AD85" s="475"/>
      <c r="AE85" s="472" t="s">
        <v>716</v>
      </c>
      <c r="AF85" s="473"/>
      <c r="AG85" s="473"/>
      <c r="AH85" s="474"/>
      <c r="AI85" s="475"/>
      <c r="AJ85" s="472" t="s">
        <v>716</v>
      </c>
      <c r="AK85" s="473"/>
      <c r="AL85" s="473"/>
      <c r="AM85" s="474"/>
      <c r="AN85" s="475"/>
      <c r="AO85" s="472" t="s">
        <v>716</v>
      </c>
      <c r="AP85" s="473"/>
      <c r="AQ85" s="473"/>
      <c r="AR85" s="474"/>
      <c r="AS85" s="475"/>
      <c r="AT85" s="472" t="s">
        <v>716</v>
      </c>
      <c r="AU85" s="473"/>
      <c r="AV85" s="473"/>
      <c r="AW85" s="474"/>
      <c r="AX85" s="475"/>
    </row>
    <row r="86" spans="2:50">
      <c r="B86" s="475"/>
      <c r="C86" s="475"/>
      <c r="D86" s="475"/>
      <c r="E86" s="335" t="s">
        <v>717</v>
      </c>
      <c r="F86" s="335" t="s">
        <v>718</v>
      </c>
      <c r="G86" s="335" t="s">
        <v>719</v>
      </c>
      <c r="H86" s="493"/>
      <c r="I86" s="337" t="s">
        <v>717</v>
      </c>
      <c r="J86" s="337" t="s">
        <v>718</v>
      </c>
      <c r="K86" s="337" t="s">
        <v>719</v>
      </c>
      <c r="L86" s="462"/>
      <c r="M86" s="468"/>
      <c r="N86" s="475"/>
      <c r="O86" s="475"/>
      <c r="P86" s="335" t="s">
        <v>717</v>
      </c>
      <c r="Q86" s="335" t="s">
        <v>718</v>
      </c>
      <c r="R86" s="335" t="s">
        <v>719</v>
      </c>
      <c r="S86" s="335" t="s">
        <v>712</v>
      </c>
      <c r="T86" s="475"/>
      <c r="U86" s="335" t="s">
        <v>717</v>
      </c>
      <c r="V86" s="335" t="s">
        <v>718</v>
      </c>
      <c r="W86" s="335" t="s">
        <v>719</v>
      </c>
      <c r="X86" s="335" t="s">
        <v>712</v>
      </c>
      <c r="Y86" s="475"/>
      <c r="Z86" s="335" t="s">
        <v>717</v>
      </c>
      <c r="AA86" s="335" t="s">
        <v>718</v>
      </c>
      <c r="AB86" s="335" t="s">
        <v>719</v>
      </c>
      <c r="AC86" s="335" t="s">
        <v>712</v>
      </c>
      <c r="AD86" s="475"/>
      <c r="AE86" s="335" t="s">
        <v>717</v>
      </c>
      <c r="AF86" s="335" t="s">
        <v>718</v>
      </c>
      <c r="AG86" s="335" t="s">
        <v>719</v>
      </c>
      <c r="AH86" s="335" t="s">
        <v>712</v>
      </c>
      <c r="AI86" s="475"/>
      <c r="AJ86" s="335" t="s">
        <v>717</v>
      </c>
      <c r="AK86" s="335" t="s">
        <v>718</v>
      </c>
      <c r="AL86" s="335" t="s">
        <v>719</v>
      </c>
      <c r="AM86" s="335" t="s">
        <v>712</v>
      </c>
      <c r="AN86" s="475"/>
      <c r="AO86" s="335" t="s">
        <v>717</v>
      </c>
      <c r="AP86" s="335" t="s">
        <v>718</v>
      </c>
      <c r="AQ86" s="335" t="s">
        <v>719</v>
      </c>
      <c r="AR86" s="335" t="s">
        <v>712</v>
      </c>
      <c r="AS86" s="475"/>
      <c r="AT86" s="335" t="s">
        <v>717</v>
      </c>
      <c r="AU86" s="335" t="s">
        <v>718</v>
      </c>
      <c r="AV86" s="335" t="s">
        <v>719</v>
      </c>
      <c r="AW86" s="335" t="s">
        <v>712</v>
      </c>
      <c r="AX86" s="475"/>
    </row>
    <row r="87" spans="2:50">
      <c r="B87" s="475" t="s">
        <v>724</v>
      </c>
      <c r="C87" s="334">
        <v>1</v>
      </c>
      <c r="D87" s="257"/>
      <c r="E87" s="187"/>
      <c r="F87" s="334"/>
      <c r="G87" s="336"/>
      <c r="H87" s="507" t="e">
        <f>AVERAGE(G87:G101)</f>
        <v>#DIV/0!</v>
      </c>
      <c r="I87" s="219" t="e">
        <f>AVERAGE(P87,U87,Z87,AE87,AJ87,AO87,AT87)</f>
        <v>#DIV/0!</v>
      </c>
      <c r="J87" s="219" t="e">
        <f>AVERAGE(Q87,V87,AA87,AF87,AK87,AP87,AU87)</f>
        <v>#DIV/0!</v>
      </c>
      <c r="K87" s="220" t="e">
        <f>AVERAGE(R87,W87,AB87,AG87,AL87,AQ87,AV87)</f>
        <v>#DIV/0!</v>
      </c>
      <c r="L87" s="456" t="str">
        <f>IFERROR(AVERAGE(K87:K101),"-")</f>
        <v>-</v>
      </c>
      <c r="M87" s="221" t="e">
        <f>RANK(K87, K$87:$K$101)</f>
        <v>#DIV/0!</v>
      </c>
      <c r="N87" s="475"/>
      <c r="O87" s="475"/>
      <c r="P87" s="187"/>
      <c r="Q87" s="187"/>
      <c r="R87" s="187"/>
      <c r="S87" s="334" t="e">
        <f>RANK(R87, R$87:R$101)</f>
        <v>#N/A</v>
      </c>
      <c r="T87" s="506" t="e">
        <f>AVERAGE(R87:R101)</f>
        <v>#DIV/0!</v>
      </c>
      <c r="U87" s="187"/>
      <c r="V87" s="187"/>
      <c r="W87" s="187"/>
      <c r="X87" s="334" t="e">
        <f>RANK(W87, W$87:W$101)</f>
        <v>#N/A</v>
      </c>
      <c r="Y87" s="506" t="e">
        <f>AVERAGE(W87:W101)</f>
        <v>#DIV/0!</v>
      </c>
      <c r="Z87" s="187"/>
      <c r="AA87" s="187"/>
      <c r="AB87" s="187"/>
      <c r="AC87" s="334" t="e">
        <f>RANK(AB87, AB$87:AB$101)</f>
        <v>#N/A</v>
      </c>
      <c r="AD87" s="506" t="e">
        <f>AVERAGE(AB87:AB101)</f>
        <v>#DIV/0!</v>
      </c>
      <c r="AE87" s="187"/>
      <c r="AF87" s="187"/>
      <c r="AG87" s="187"/>
      <c r="AH87" s="334" t="e">
        <f>RANK(AG87, AG$87:AG$101)</f>
        <v>#N/A</v>
      </c>
      <c r="AI87" s="506" t="e">
        <f>AVERAGE(AG87:AG101)</f>
        <v>#DIV/0!</v>
      </c>
      <c r="AJ87" s="187"/>
      <c r="AK87" s="187"/>
      <c r="AL87" s="187"/>
      <c r="AM87" s="334" t="e">
        <f>RANK(AL87, AL$87:AL$101)</f>
        <v>#N/A</v>
      </c>
      <c r="AN87" s="506" t="e">
        <f>AVERAGE(AL87:AL101)</f>
        <v>#DIV/0!</v>
      </c>
      <c r="AO87" s="187"/>
      <c r="AP87" s="187"/>
      <c r="AQ87" s="187"/>
      <c r="AR87" s="334" t="e">
        <f>RANK(AQ87, AQ$87:AQ$101)</f>
        <v>#N/A</v>
      </c>
      <c r="AS87" s="506" t="e">
        <f>AVERAGE(AQ87:AQ101)</f>
        <v>#DIV/0!</v>
      </c>
      <c r="AT87" s="187"/>
      <c r="AU87" s="187"/>
      <c r="AV87" s="187"/>
      <c r="AW87" s="334" t="e">
        <f>RANK(AV87, AV$87:AV$101)</f>
        <v>#N/A</v>
      </c>
      <c r="AX87" s="506" t="e">
        <f>AVERAGE(AV87:AV101)</f>
        <v>#DIV/0!</v>
      </c>
    </row>
    <row r="88" spans="2:50">
      <c r="B88" s="483"/>
      <c r="C88" s="334">
        <v>2</v>
      </c>
      <c r="D88" s="257"/>
      <c r="E88" s="187"/>
      <c r="F88" s="334"/>
      <c r="G88" s="336"/>
      <c r="H88" s="508"/>
      <c r="I88" s="219" t="e">
        <f t="shared" ref="I88:K93" si="50">AVERAGE(P88,U88,Z88,AE88,AJ88,AO88,AT88)</f>
        <v>#DIV/0!</v>
      </c>
      <c r="J88" s="219" t="e">
        <f t="shared" si="50"/>
        <v>#DIV/0!</v>
      </c>
      <c r="K88" s="220" t="e">
        <f t="shared" si="50"/>
        <v>#DIV/0!</v>
      </c>
      <c r="L88" s="457"/>
      <c r="M88" s="221" t="e">
        <f>RANK(K88, K$87:$K$101)</f>
        <v>#DIV/0!</v>
      </c>
      <c r="N88" s="475"/>
      <c r="O88" s="475"/>
      <c r="P88" s="187"/>
      <c r="Q88" s="187"/>
      <c r="R88" s="187"/>
      <c r="S88" s="334" t="e">
        <f t="shared" ref="S88:S101" si="51">RANK(R88, R$87:R$101)</f>
        <v>#N/A</v>
      </c>
      <c r="T88" s="506"/>
      <c r="U88" s="187"/>
      <c r="V88" s="187"/>
      <c r="W88" s="187"/>
      <c r="X88" s="334" t="e">
        <f t="shared" ref="X88:X101" si="52">RANK(W88, W$87:W$101)</f>
        <v>#N/A</v>
      </c>
      <c r="Y88" s="506"/>
      <c r="Z88" s="187"/>
      <c r="AA88" s="187"/>
      <c r="AB88" s="187"/>
      <c r="AC88" s="334" t="e">
        <f t="shared" ref="AC88:AC101" si="53">RANK(AB88, AB$87:AB$101)</f>
        <v>#N/A</v>
      </c>
      <c r="AD88" s="506"/>
      <c r="AE88" s="187"/>
      <c r="AF88" s="187"/>
      <c r="AG88" s="187"/>
      <c r="AH88" s="334" t="e">
        <f t="shared" ref="AH88:AH101" si="54">RANK(AG88, AG$87:AG$101)</f>
        <v>#N/A</v>
      </c>
      <c r="AI88" s="506"/>
      <c r="AJ88" s="187"/>
      <c r="AK88" s="187"/>
      <c r="AL88" s="187"/>
      <c r="AM88" s="334" t="e">
        <f t="shared" ref="AM88:AM101" si="55">RANK(AL88, AL$87:AL$101)</f>
        <v>#N/A</v>
      </c>
      <c r="AN88" s="506"/>
      <c r="AO88" s="187"/>
      <c r="AP88" s="187"/>
      <c r="AQ88" s="187"/>
      <c r="AR88" s="334" t="e">
        <f t="shared" ref="AR88:AR101" si="56">RANK(AQ88, AQ$87:AQ$101)</f>
        <v>#N/A</v>
      </c>
      <c r="AS88" s="506"/>
      <c r="AT88" s="187"/>
      <c r="AU88" s="187"/>
      <c r="AV88" s="187"/>
      <c r="AW88" s="334" t="e">
        <f t="shared" ref="AW88:AW101" si="57">RANK(AV88, AV$87:AV$101)</f>
        <v>#N/A</v>
      </c>
      <c r="AX88" s="506"/>
    </row>
    <row r="89" spans="2:50">
      <c r="B89" s="483"/>
      <c r="C89" s="334">
        <v>3</v>
      </c>
      <c r="D89" s="257"/>
      <c r="E89" s="187"/>
      <c r="F89" s="334"/>
      <c r="G89" s="336"/>
      <c r="H89" s="508"/>
      <c r="I89" s="219" t="e">
        <f t="shared" si="50"/>
        <v>#DIV/0!</v>
      </c>
      <c r="J89" s="219" t="e">
        <f t="shared" si="50"/>
        <v>#DIV/0!</v>
      </c>
      <c r="K89" s="220" t="e">
        <f t="shared" si="50"/>
        <v>#DIV/0!</v>
      </c>
      <c r="L89" s="457"/>
      <c r="M89" s="221" t="e">
        <f>RANK(K89, K$87:$K$101)</f>
        <v>#DIV/0!</v>
      </c>
      <c r="N89" s="475"/>
      <c r="O89" s="475"/>
      <c r="P89" s="187"/>
      <c r="Q89" s="187"/>
      <c r="R89" s="187"/>
      <c r="S89" s="334" t="e">
        <f t="shared" si="51"/>
        <v>#N/A</v>
      </c>
      <c r="T89" s="506"/>
      <c r="U89" s="187"/>
      <c r="V89" s="187"/>
      <c r="W89" s="187"/>
      <c r="X89" s="334" t="e">
        <f t="shared" si="52"/>
        <v>#N/A</v>
      </c>
      <c r="Y89" s="506"/>
      <c r="Z89" s="187"/>
      <c r="AA89" s="187"/>
      <c r="AB89" s="187"/>
      <c r="AC89" s="334" t="e">
        <f t="shared" si="53"/>
        <v>#N/A</v>
      </c>
      <c r="AD89" s="506"/>
      <c r="AE89" s="187"/>
      <c r="AF89" s="187"/>
      <c r="AG89" s="187"/>
      <c r="AH89" s="334" t="e">
        <f t="shared" si="54"/>
        <v>#N/A</v>
      </c>
      <c r="AI89" s="506"/>
      <c r="AJ89" s="187"/>
      <c r="AK89" s="187"/>
      <c r="AL89" s="187"/>
      <c r="AM89" s="334" t="e">
        <f t="shared" si="55"/>
        <v>#N/A</v>
      </c>
      <c r="AN89" s="506"/>
      <c r="AO89" s="187"/>
      <c r="AP89" s="187"/>
      <c r="AQ89" s="187"/>
      <c r="AR89" s="334" t="e">
        <f t="shared" si="56"/>
        <v>#N/A</v>
      </c>
      <c r="AS89" s="506"/>
      <c r="AT89" s="187"/>
      <c r="AU89" s="187"/>
      <c r="AV89" s="187"/>
      <c r="AW89" s="334" t="e">
        <f t="shared" si="57"/>
        <v>#N/A</v>
      </c>
      <c r="AX89" s="506"/>
    </row>
    <row r="90" spans="2:50">
      <c r="B90" s="483"/>
      <c r="C90" s="334">
        <v>4</v>
      </c>
      <c r="D90" s="257"/>
      <c r="E90" s="187"/>
      <c r="F90" s="334"/>
      <c r="G90" s="336"/>
      <c r="H90" s="508"/>
      <c r="I90" s="219" t="e">
        <f t="shared" si="50"/>
        <v>#DIV/0!</v>
      </c>
      <c r="J90" s="219" t="e">
        <f t="shared" si="50"/>
        <v>#DIV/0!</v>
      </c>
      <c r="K90" s="220" t="e">
        <f t="shared" si="50"/>
        <v>#DIV/0!</v>
      </c>
      <c r="L90" s="457"/>
      <c r="M90" s="221" t="e">
        <f>RANK(K90, K$87:$K$101)</f>
        <v>#DIV/0!</v>
      </c>
      <c r="N90" s="475"/>
      <c r="O90" s="475"/>
      <c r="P90" s="187"/>
      <c r="Q90" s="187"/>
      <c r="R90" s="187"/>
      <c r="S90" s="334" t="e">
        <f t="shared" si="51"/>
        <v>#N/A</v>
      </c>
      <c r="T90" s="506"/>
      <c r="U90" s="187"/>
      <c r="V90" s="187"/>
      <c r="W90" s="187"/>
      <c r="X90" s="334" t="e">
        <f t="shared" si="52"/>
        <v>#N/A</v>
      </c>
      <c r="Y90" s="506"/>
      <c r="Z90" s="187"/>
      <c r="AA90" s="187"/>
      <c r="AB90" s="187"/>
      <c r="AC90" s="334" t="e">
        <f t="shared" si="53"/>
        <v>#N/A</v>
      </c>
      <c r="AD90" s="506"/>
      <c r="AE90" s="187"/>
      <c r="AF90" s="187"/>
      <c r="AG90" s="187"/>
      <c r="AH90" s="334" t="e">
        <f t="shared" si="54"/>
        <v>#N/A</v>
      </c>
      <c r="AI90" s="506"/>
      <c r="AJ90" s="187"/>
      <c r="AK90" s="187"/>
      <c r="AL90" s="187"/>
      <c r="AM90" s="334" t="e">
        <f t="shared" si="55"/>
        <v>#N/A</v>
      </c>
      <c r="AN90" s="506"/>
      <c r="AO90" s="187"/>
      <c r="AP90" s="187"/>
      <c r="AQ90" s="187"/>
      <c r="AR90" s="334" t="e">
        <f t="shared" si="56"/>
        <v>#N/A</v>
      </c>
      <c r="AS90" s="506"/>
      <c r="AT90" s="187"/>
      <c r="AU90" s="187"/>
      <c r="AV90" s="187"/>
      <c r="AW90" s="334" t="e">
        <f t="shared" si="57"/>
        <v>#N/A</v>
      </c>
      <c r="AX90" s="506"/>
    </row>
    <row r="91" spans="2:50">
      <c r="B91" s="483"/>
      <c r="C91" s="334">
        <v>5</v>
      </c>
      <c r="D91" s="257"/>
      <c r="E91" s="187"/>
      <c r="F91" s="334"/>
      <c r="G91" s="336"/>
      <c r="H91" s="508"/>
      <c r="I91" s="219" t="e">
        <f t="shared" si="50"/>
        <v>#DIV/0!</v>
      </c>
      <c r="J91" s="219" t="e">
        <f t="shared" si="50"/>
        <v>#DIV/0!</v>
      </c>
      <c r="K91" s="220" t="e">
        <f t="shared" si="50"/>
        <v>#DIV/0!</v>
      </c>
      <c r="L91" s="457"/>
      <c r="M91" s="221" t="e">
        <f>RANK(K91, K$87:$K$101)</f>
        <v>#DIV/0!</v>
      </c>
      <c r="N91" s="475"/>
      <c r="O91" s="475"/>
      <c r="P91" s="187"/>
      <c r="Q91" s="187"/>
      <c r="R91" s="187"/>
      <c r="S91" s="334" t="e">
        <f t="shared" si="51"/>
        <v>#N/A</v>
      </c>
      <c r="T91" s="506"/>
      <c r="U91" s="187"/>
      <c r="V91" s="187"/>
      <c r="W91" s="187"/>
      <c r="X91" s="334" t="e">
        <f t="shared" si="52"/>
        <v>#N/A</v>
      </c>
      <c r="Y91" s="506"/>
      <c r="Z91" s="187"/>
      <c r="AA91" s="187"/>
      <c r="AB91" s="187"/>
      <c r="AC91" s="334" t="e">
        <f t="shared" si="53"/>
        <v>#N/A</v>
      </c>
      <c r="AD91" s="506"/>
      <c r="AE91" s="187"/>
      <c r="AF91" s="187"/>
      <c r="AG91" s="187"/>
      <c r="AH91" s="334" t="e">
        <f t="shared" si="54"/>
        <v>#N/A</v>
      </c>
      <c r="AI91" s="506"/>
      <c r="AJ91" s="187"/>
      <c r="AK91" s="187"/>
      <c r="AL91" s="187"/>
      <c r="AM91" s="334" t="e">
        <f t="shared" si="55"/>
        <v>#N/A</v>
      </c>
      <c r="AN91" s="506"/>
      <c r="AO91" s="187"/>
      <c r="AP91" s="187"/>
      <c r="AQ91" s="187"/>
      <c r="AR91" s="334" t="e">
        <f t="shared" si="56"/>
        <v>#N/A</v>
      </c>
      <c r="AS91" s="506"/>
      <c r="AT91" s="187"/>
      <c r="AU91" s="187"/>
      <c r="AV91" s="187"/>
      <c r="AW91" s="334" t="e">
        <f t="shared" si="57"/>
        <v>#N/A</v>
      </c>
      <c r="AX91" s="506"/>
    </row>
    <row r="92" spans="2:50">
      <c r="B92" s="483"/>
      <c r="C92" s="334">
        <v>6</v>
      </c>
      <c r="D92" s="257"/>
      <c r="E92" s="187"/>
      <c r="F92" s="334"/>
      <c r="G92" s="336"/>
      <c r="H92" s="508"/>
      <c r="I92" s="219" t="e">
        <f t="shared" si="50"/>
        <v>#DIV/0!</v>
      </c>
      <c r="J92" s="219" t="e">
        <f t="shared" si="50"/>
        <v>#DIV/0!</v>
      </c>
      <c r="K92" s="220" t="e">
        <f t="shared" si="50"/>
        <v>#DIV/0!</v>
      </c>
      <c r="L92" s="457"/>
      <c r="M92" s="221" t="e">
        <f>RANK(K92, K$87:$K$101)</f>
        <v>#DIV/0!</v>
      </c>
      <c r="N92" s="475"/>
      <c r="O92" s="475"/>
      <c r="P92" s="187"/>
      <c r="Q92" s="187"/>
      <c r="R92" s="187"/>
      <c r="S92" s="334" t="e">
        <f t="shared" si="51"/>
        <v>#N/A</v>
      </c>
      <c r="T92" s="506"/>
      <c r="U92" s="187"/>
      <c r="V92" s="187"/>
      <c r="W92" s="187"/>
      <c r="X92" s="334" t="e">
        <f t="shared" si="52"/>
        <v>#N/A</v>
      </c>
      <c r="Y92" s="506"/>
      <c r="Z92" s="187"/>
      <c r="AA92" s="187"/>
      <c r="AB92" s="187"/>
      <c r="AC92" s="334" t="e">
        <f t="shared" si="53"/>
        <v>#N/A</v>
      </c>
      <c r="AD92" s="506"/>
      <c r="AE92" s="187"/>
      <c r="AF92" s="187"/>
      <c r="AG92" s="187"/>
      <c r="AH92" s="334" t="e">
        <f t="shared" si="54"/>
        <v>#N/A</v>
      </c>
      <c r="AI92" s="506"/>
      <c r="AJ92" s="187"/>
      <c r="AK92" s="187"/>
      <c r="AL92" s="187"/>
      <c r="AM92" s="334" t="e">
        <f t="shared" si="55"/>
        <v>#N/A</v>
      </c>
      <c r="AN92" s="506"/>
      <c r="AO92" s="187"/>
      <c r="AP92" s="187"/>
      <c r="AQ92" s="187"/>
      <c r="AR92" s="334" t="e">
        <f t="shared" si="56"/>
        <v>#N/A</v>
      </c>
      <c r="AS92" s="506"/>
      <c r="AT92" s="187"/>
      <c r="AU92" s="187"/>
      <c r="AV92" s="187"/>
      <c r="AW92" s="334" t="e">
        <f t="shared" si="57"/>
        <v>#N/A</v>
      </c>
      <c r="AX92" s="506"/>
    </row>
    <row r="93" spans="2:50">
      <c r="B93" s="483"/>
      <c r="C93" s="334">
        <v>7</v>
      </c>
      <c r="D93" s="257"/>
      <c r="E93" s="187"/>
      <c r="F93" s="334"/>
      <c r="G93" s="336"/>
      <c r="H93" s="508"/>
      <c r="I93" s="219" t="e">
        <f t="shared" si="50"/>
        <v>#DIV/0!</v>
      </c>
      <c r="J93" s="219" t="e">
        <f t="shared" si="50"/>
        <v>#DIV/0!</v>
      </c>
      <c r="K93" s="220" t="e">
        <f t="shared" si="50"/>
        <v>#DIV/0!</v>
      </c>
      <c r="L93" s="457"/>
      <c r="M93" s="221" t="e">
        <f>RANK(K93, K$87:$K$101)</f>
        <v>#DIV/0!</v>
      </c>
      <c r="N93" s="475"/>
      <c r="O93" s="475"/>
      <c r="P93" s="187"/>
      <c r="Q93" s="187"/>
      <c r="R93" s="187"/>
      <c r="S93" s="334" t="e">
        <f t="shared" si="51"/>
        <v>#N/A</v>
      </c>
      <c r="T93" s="506"/>
      <c r="U93" s="187"/>
      <c r="V93" s="187"/>
      <c r="W93" s="187"/>
      <c r="X93" s="334" t="e">
        <f t="shared" si="52"/>
        <v>#N/A</v>
      </c>
      <c r="Y93" s="506"/>
      <c r="Z93" s="187"/>
      <c r="AA93" s="187"/>
      <c r="AB93" s="187"/>
      <c r="AC93" s="334" t="e">
        <f t="shared" si="53"/>
        <v>#N/A</v>
      </c>
      <c r="AD93" s="506"/>
      <c r="AE93" s="187"/>
      <c r="AF93" s="187"/>
      <c r="AG93" s="187"/>
      <c r="AH93" s="334" t="e">
        <f t="shared" si="54"/>
        <v>#N/A</v>
      </c>
      <c r="AI93" s="506"/>
      <c r="AJ93" s="187"/>
      <c r="AK93" s="187"/>
      <c r="AL93" s="187"/>
      <c r="AM93" s="334" t="e">
        <f t="shared" si="55"/>
        <v>#N/A</v>
      </c>
      <c r="AN93" s="506"/>
      <c r="AO93" s="187"/>
      <c r="AP93" s="187"/>
      <c r="AQ93" s="187"/>
      <c r="AR93" s="334" t="e">
        <f t="shared" si="56"/>
        <v>#N/A</v>
      </c>
      <c r="AS93" s="506"/>
      <c r="AT93" s="187"/>
      <c r="AU93" s="187"/>
      <c r="AV93" s="187"/>
      <c r="AW93" s="334" t="e">
        <f t="shared" si="57"/>
        <v>#N/A</v>
      </c>
      <c r="AX93" s="506"/>
    </row>
    <row r="94" spans="2:50">
      <c r="B94" s="483"/>
      <c r="C94" s="334">
        <v>8</v>
      </c>
      <c r="D94" s="257"/>
      <c r="E94" s="187"/>
      <c r="F94" s="334"/>
      <c r="G94" s="336"/>
      <c r="H94" s="508"/>
      <c r="I94" s="219"/>
      <c r="J94" s="219"/>
      <c r="K94" s="220"/>
      <c r="L94" s="457"/>
      <c r="M94" s="221" t="e">
        <f>RANK(K94, K$87:$K$101)</f>
        <v>#DIV/0!</v>
      </c>
      <c r="N94" s="475"/>
      <c r="O94" s="475"/>
      <c r="P94" s="187"/>
      <c r="Q94" s="187"/>
      <c r="R94" s="187"/>
      <c r="S94" s="334" t="e">
        <f t="shared" si="51"/>
        <v>#N/A</v>
      </c>
      <c r="T94" s="506"/>
      <c r="U94" s="187"/>
      <c r="V94" s="187"/>
      <c r="W94" s="187"/>
      <c r="X94" s="334" t="e">
        <f t="shared" si="52"/>
        <v>#N/A</v>
      </c>
      <c r="Y94" s="506"/>
      <c r="Z94" s="187"/>
      <c r="AA94" s="187"/>
      <c r="AB94" s="187"/>
      <c r="AC94" s="334" t="e">
        <f t="shared" si="53"/>
        <v>#N/A</v>
      </c>
      <c r="AD94" s="506"/>
      <c r="AE94" s="187"/>
      <c r="AF94" s="187"/>
      <c r="AG94" s="187"/>
      <c r="AH94" s="334" t="e">
        <f t="shared" si="54"/>
        <v>#N/A</v>
      </c>
      <c r="AI94" s="506"/>
      <c r="AJ94" s="187"/>
      <c r="AK94" s="187"/>
      <c r="AL94" s="187"/>
      <c r="AM94" s="334" t="e">
        <f t="shared" si="55"/>
        <v>#N/A</v>
      </c>
      <c r="AN94" s="506"/>
      <c r="AO94" s="187"/>
      <c r="AP94" s="187"/>
      <c r="AQ94" s="187"/>
      <c r="AR94" s="334" t="e">
        <f t="shared" si="56"/>
        <v>#N/A</v>
      </c>
      <c r="AS94" s="506"/>
      <c r="AT94" s="187"/>
      <c r="AU94" s="187"/>
      <c r="AV94" s="187"/>
      <c r="AW94" s="334" t="e">
        <f t="shared" si="57"/>
        <v>#N/A</v>
      </c>
      <c r="AX94" s="506"/>
    </row>
    <row r="95" spans="2:50">
      <c r="B95" s="483"/>
      <c r="C95" s="334">
        <v>9</v>
      </c>
      <c r="D95" s="257"/>
      <c r="E95" s="187"/>
      <c r="F95" s="334"/>
      <c r="G95" s="336"/>
      <c r="H95" s="508"/>
      <c r="I95" s="219"/>
      <c r="J95" s="219"/>
      <c r="K95" s="220"/>
      <c r="L95" s="457"/>
      <c r="M95" s="221" t="e">
        <f>RANK(K95, K$87:$K$101)</f>
        <v>#DIV/0!</v>
      </c>
      <c r="N95" s="475"/>
      <c r="O95" s="475"/>
      <c r="P95" s="187"/>
      <c r="Q95" s="187"/>
      <c r="R95" s="187"/>
      <c r="S95" s="334" t="e">
        <f t="shared" si="51"/>
        <v>#N/A</v>
      </c>
      <c r="T95" s="506"/>
      <c r="U95" s="187"/>
      <c r="V95" s="187"/>
      <c r="W95" s="187"/>
      <c r="X95" s="334" t="e">
        <f t="shared" si="52"/>
        <v>#N/A</v>
      </c>
      <c r="Y95" s="506"/>
      <c r="Z95" s="187"/>
      <c r="AA95" s="187"/>
      <c r="AB95" s="187"/>
      <c r="AC95" s="334" t="e">
        <f t="shared" si="53"/>
        <v>#N/A</v>
      </c>
      <c r="AD95" s="506"/>
      <c r="AE95" s="187"/>
      <c r="AF95" s="187"/>
      <c r="AG95" s="187"/>
      <c r="AH95" s="334" t="e">
        <f t="shared" si="54"/>
        <v>#N/A</v>
      </c>
      <c r="AI95" s="506"/>
      <c r="AJ95" s="187"/>
      <c r="AK95" s="187"/>
      <c r="AL95" s="187"/>
      <c r="AM95" s="334" t="e">
        <f t="shared" si="55"/>
        <v>#N/A</v>
      </c>
      <c r="AN95" s="506"/>
      <c r="AO95" s="187"/>
      <c r="AP95" s="187"/>
      <c r="AQ95" s="187"/>
      <c r="AR95" s="334" t="e">
        <f t="shared" si="56"/>
        <v>#N/A</v>
      </c>
      <c r="AS95" s="506"/>
      <c r="AT95" s="187"/>
      <c r="AU95" s="187"/>
      <c r="AV95" s="336"/>
      <c r="AW95" s="334" t="e">
        <f t="shared" si="57"/>
        <v>#N/A</v>
      </c>
      <c r="AX95" s="506"/>
    </row>
    <row r="96" spans="2:50">
      <c r="B96" s="483"/>
      <c r="C96" s="334">
        <v>10</v>
      </c>
      <c r="D96" s="257"/>
      <c r="E96" s="187"/>
      <c r="F96" s="334"/>
      <c r="G96" s="336"/>
      <c r="H96" s="508"/>
      <c r="I96" s="219"/>
      <c r="J96" s="219"/>
      <c r="K96" s="220"/>
      <c r="L96" s="457"/>
      <c r="M96" s="221" t="e">
        <f>RANK(K96, K$87:$K$101)</f>
        <v>#DIV/0!</v>
      </c>
      <c r="N96" s="475"/>
      <c r="O96" s="475"/>
      <c r="P96" s="187"/>
      <c r="Q96" s="187"/>
      <c r="R96" s="187"/>
      <c r="S96" s="334" t="e">
        <f t="shared" si="51"/>
        <v>#N/A</v>
      </c>
      <c r="T96" s="506"/>
      <c r="U96" s="187"/>
      <c r="V96" s="187"/>
      <c r="W96" s="187"/>
      <c r="X96" s="334" t="e">
        <f t="shared" si="52"/>
        <v>#N/A</v>
      </c>
      <c r="Y96" s="506"/>
      <c r="Z96" s="187"/>
      <c r="AA96" s="187"/>
      <c r="AB96" s="187"/>
      <c r="AC96" s="334" t="e">
        <f t="shared" si="53"/>
        <v>#N/A</v>
      </c>
      <c r="AD96" s="506"/>
      <c r="AE96" s="187"/>
      <c r="AF96" s="187"/>
      <c r="AG96" s="187"/>
      <c r="AH96" s="334" t="e">
        <f t="shared" si="54"/>
        <v>#N/A</v>
      </c>
      <c r="AI96" s="506"/>
      <c r="AJ96" s="187"/>
      <c r="AK96" s="187"/>
      <c r="AL96" s="187"/>
      <c r="AM96" s="334" t="e">
        <f t="shared" si="55"/>
        <v>#N/A</v>
      </c>
      <c r="AN96" s="506"/>
      <c r="AO96" s="187"/>
      <c r="AP96" s="187"/>
      <c r="AQ96" s="187"/>
      <c r="AR96" s="334" t="e">
        <f t="shared" si="56"/>
        <v>#N/A</v>
      </c>
      <c r="AS96" s="506"/>
      <c r="AT96" s="187"/>
      <c r="AU96" s="187"/>
      <c r="AV96" s="336"/>
      <c r="AW96" s="334" t="e">
        <f t="shared" si="57"/>
        <v>#N/A</v>
      </c>
      <c r="AX96" s="506"/>
    </row>
    <row r="97" spans="2:50">
      <c r="B97" s="483"/>
      <c r="C97" s="334">
        <v>11</v>
      </c>
      <c r="D97" s="257"/>
      <c r="E97" s="187"/>
      <c r="F97" s="334"/>
      <c r="G97" s="336"/>
      <c r="H97" s="508"/>
      <c r="I97" s="222"/>
      <c r="J97" s="222"/>
      <c r="K97" s="222"/>
      <c r="L97" s="457"/>
      <c r="M97" s="221" t="e">
        <f>RANK(K97, K$87:$K$101)</f>
        <v>#DIV/0!</v>
      </c>
      <c r="N97" s="475"/>
      <c r="O97" s="475"/>
      <c r="P97" s="187"/>
      <c r="Q97" s="187"/>
      <c r="R97" s="187"/>
      <c r="S97" s="334" t="e">
        <f t="shared" si="51"/>
        <v>#N/A</v>
      </c>
      <c r="T97" s="506"/>
      <c r="U97" s="187"/>
      <c r="V97" s="187"/>
      <c r="W97" s="187"/>
      <c r="X97" s="334" t="e">
        <f t="shared" si="52"/>
        <v>#N/A</v>
      </c>
      <c r="Y97" s="506"/>
      <c r="Z97" s="187"/>
      <c r="AA97" s="187"/>
      <c r="AB97" s="187"/>
      <c r="AC97" s="334" t="e">
        <f t="shared" si="53"/>
        <v>#N/A</v>
      </c>
      <c r="AD97" s="506"/>
      <c r="AE97" s="187"/>
      <c r="AF97" s="187"/>
      <c r="AG97" s="187"/>
      <c r="AH97" s="334" t="e">
        <f t="shared" si="54"/>
        <v>#N/A</v>
      </c>
      <c r="AI97" s="506"/>
      <c r="AJ97" s="187"/>
      <c r="AK97" s="187"/>
      <c r="AL97" s="187"/>
      <c r="AM97" s="334" t="e">
        <f t="shared" si="55"/>
        <v>#N/A</v>
      </c>
      <c r="AN97" s="506"/>
      <c r="AO97" s="187"/>
      <c r="AP97" s="187"/>
      <c r="AQ97" s="187"/>
      <c r="AR97" s="334" t="e">
        <f t="shared" si="56"/>
        <v>#N/A</v>
      </c>
      <c r="AS97" s="506"/>
      <c r="AT97" s="187"/>
      <c r="AU97" s="187"/>
      <c r="AV97" s="336"/>
      <c r="AW97" s="334" t="e">
        <f t="shared" si="57"/>
        <v>#N/A</v>
      </c>
      <c r="AX97" s="506"/>
    </row>
    <row r="98" spans="2:50">
      <c r="B98" s="483"/>
      <c r="C98" s="334">
        <v>12</v>
      </c>
      <c r="D98" s="257"/>
      <c r="E98" s="187"/>
      <c r="F98" s="334"/>
      <c r="G98" s="336"/>
      <c r="H98" s="508"/>
      <c r="I98" s="222"/>
      <c r="J98" s="222"/>
      <c r="K98" s="222"/>
      <c r="L98" s="457"/>
      <c r="M98" s="221" t="e">
        <f>RANK(K98, K$87:$K$101)</f>
        <v>#DIV/0!</v>
      </c>
      <c r="N98" s="475"/>
      <c r="O98" s="475"/>
      <c r="P98" s="187"/>
      <c r="Q98" s="187"/>
      <c r="R98" s="187"/>
      <c r="S98" s="334" t="e">
        <f t="shared" si="51"/>
        <v>#N/A</v>
      </c>
      <c r="T98" s="506"/>
      <c r="U98" s="187"/>
      <c r="V98" s="187"/>
      <c r="W98" s="187"/>
      <c r="X98" s="334" t="e">
        <f t="shared" si="52"/>
        <v>#N/A</v>
      </c>
      <c r="Y98" s="506"/>
      <c r="Z98" s="187"/>
      <c r="AA98" s="187"/>
      <c r="AB98" s="187"/>
      <c r="AC98" s="334" t="e">
        <f t="shared" si="53"/>
        <v>#N/A</v>
      </c>
      <c r="AD98" s="506"/>
      <c r="AE98" s="187"/>
      <c r="AF98" s="187"/>
      <c r="AG98" s="187"/>
      <c r="AH98" s="334" t="e">
        <f t="shared" si="54"/>
        <v>#N/A</v>
      </c>
      <c r="AI98" s="506"/>
      <c r="AJ98" s="187"/>
      <c r="AK98" s="187"/>
      <c r="AL98" s="187"/>
      <c r="AM98" s="334" t="e">
        <f t="shared" si="55"/>
        <v>#N/A</v>
      </c>
      <c r="AN98" s="506"/>
      <c r="AO98" s="187"/>
      <c r="AP98" s="187"/>
      <c r="AQ98" s="187"/>
      <c r="AR98" s="334" t="e">
        <f t="shared" si="56"/>
        <v>#N/A</v>
      </c>
      <c r="AS98" s="506"/>
      <c r="AT98" s="187"/>
      <c r="AU98" s="187"/>
      <c r="AV98" s="336"/>
      <c r="AW98" s="334" t="e">
        <f t="shared" si="57"/>
        <v>#N/A</v>
      </c>
      <c r="AX98" s="506"/>
    </row>
    <row r="99" spans="2:50">
      <c r="B99" s="483"/>
      <c r="C99" s="334">
        <v>13</v>
      </c>
      <c r="D99" s="257"/>
      <c r="E99" s="187"/>
      <c r="F99" s="334"/>
      <c r="G99" s="336"/>
      <c r="H99" s="508"/>
      <c r="I99" s="222"/>
      <c r="J99" s="222"/>
      <c r="K99" s="222"/>
      <c r="L99" s="457"/>
      <c r="M99" s="221" t="e">
        <f>RANK(K99, K$87:$K$101)</f>
        <v>#DIV/0!</v>
      </c>
      <c r="N99" s="475"/>
      <c r="O99" s="475"/>
      <c r="P99" s="187"/>
      <c r="Q99" s="187"/>
      <c r="R99" s="187"/>
      <c r="S99" s="334" t="e">
        <f t="shared" si="51"/>
        <v>#N/A</v>
      </c>
      <c r="T99" s="506"/>
      <c r="U99" s="187"/>
      <c r="V99" s="187"/>
      <c r="W99" s="187"/>
      <c r="X99" s="334" t="e">
        <f t="shared" si="52"/>
        <v>#N/A</v>
      </c>
      <c r="Y99" s="506"/>
      <c r="Z99" s="187"/>
      <c r="AA99" s="187"/>
      <c r="AB99" s="187"/>
      <c r="AC99" s="334" t="e">
        <f t="shared" si="53"/>
        <v>#N/A</v>
      </c>
      <c r="AD99" s="506"/>
      <c r="AE99" s="187"/>
      <c r="AF99" s="187"/>
      <c r="AG99" s="187"/>
      <c r="AH99" s="334" t="e">
        <f t="shared" si="54"/>
        <v>#N/A</v>
      </c>
      <c r="AI99" s="506"/>
      <c r="AJ99" s="187"/>
      <c r="AK99" s="187"/>
      <c r="AL99" s="187"/>
      <c r="AM99" s="334" t="e">
        <f t="shared" si="55"/>
        <v>#N/A</v>
      </c>
      <c r="AN99" s="506"/>
      <c r="AO99" s="187"/>
      <c r="AP99" s="187"/>
      <c r="AQ99" s="187"/>
      <c r="AR99" s="334" t="e">
        <f t="shared" si="56"/>
        <v>#N/A</v>
      </c>
      <c r="AS99" s="506"/>
      <c r="AT99" s="187"/>
      <c r="AU99" s="187"/>
      <c r="AV99" s="336"/>
      <c r="AW99" s="334" t="e">
        <f t="shared" si="57"/>
        <v>#N/A</v>
      </c>
      <c r="AX99" s="506"/>
    </row>
    <row r="100" spans="2:50">
      <c r="B100" s="483"/>
      <c r="C100" s="334">
        <v>14</v>
      </c>
      <c r="D100" s="257"/>
      <c r="E100" s="187"/>
      <c r="F100" s="334"/>
      <c r="G100" s="336"/>
      <c r="H100" s="508"/>
      <c r="I100" s="222"/>
      <c r="J100" s="222"/>
      <c r="K100" s="222"/>
      <c r="L100" s="457"/>
      <c r="M100" s="221" t="e">
        <f>RANK(K100, K$87:$K$101)</f>
        <v>#DIV/0!</v>
      </c>
      <c r="N100" s="475"/>
      <c r="O100" s="475"/>
      <c r="P100" s="187"/>
      <c r="Q100" s="187"/>
      <c r="R100" s="187"/>
      <c r="S100" s="334" t="e">
        <f t="shared" si="51"/>
        <v>#N/A</v>
      </c>
      <c r="T100" s="506"/>
      <c r="U100" s="187"/>
      <c r="V100" s="187"/>
      <c r="W100" s="187"/>
      <c r="X100" s="334" t="e">
        <f t="shared" si="52"/>
        <v>#N/A</v>
      </c>
      <c r="Y100" s="506"/>
      <c r="Z100" s="187"/>
      <c r="AA100" s="187"/>
      <c r="AB100" s="187"/>
      <c r="AC100" s="334" t="e">
        <f t="shared" si="53"/>
        <v>#N/A</v>
      </c>
      <c r="AD100" s="506"/>
      <c r="AE100" s="187"/>
      <c r="AF100" s="187"/>
      <c r="AG100" s="187"/>
      <c r="AH100" s="334" t="e">
        <f t="shared" si="54"/>
        <v>#N/A</v>
      </c>
      <c r="AI100" s="506"/>
      <c r="AJ100" s="187"/>
      <c r="AK100" s="187"/>
      <c r="AL100" s="187"/>
      <c r="AM100" s="334" t="e">
        <f t="shared" si="55"/>
        <v>#N/A</v>
      </c>
      <c r="AN100" s="506"/>
      <c r="AO100" s="187"/>
      <c r="AP100" s="187"/>
      <c r="AQ100" s="187"/>
      <c r="AR100" s="334" t="e">
        <f t="shared" si="56"/>
        <v>#N/A</v>
      </c>
      <c r="AS100" s="506"/>
      <c r="AT100" s="187"/>
      <c r="AU100" s="187"/>
      <c r="AV100" s="336"/>
      <c r="AW100" s="334" t="e">
        <f t="shared" si="57"/>
        <v>#N/A</v>
      </c>
      <c r="AX100" s="506"/>
    </row>
    <row r="101" spans="2:50">
      <c r="B101" s="483"/>
      <c r="C101" s="334">
        <v>15</v>
      </c>
      <c r="D101" s="257"/>
      <c r="E101" s="187"/>
      <c r="F101" s="334"/>
      <c r="G101" s="336"/>
      <c r="H101" s="509"/>
      <c r="I101" s="222"/>
      <c r="J101" s="222"/>
      <c r="K101" s="222"/>
      <c r="L101" s="458"/>
      <c r="M101" s="219" t="e">
        <f>RANK(K101, K$87:$K$101)</f>
        <v>#DIV/0!</v>
      </c>
      <c r="N101" s="475"/>
      <c r="O101" s="475"/>
      <c r="P101" s="187"/>
      <c r="Q101" s="187"/>
      <c r="R101" s="187"/>
      <c r="S101" s="334" t="e">
        <f t="shared" si="51"/>
        <v>#N/A</v>
      </c>
      <c r="T101" s="506"/>
      <c r="U101" s="187"/>
      <c r="V101" s="187"/>
      <c r="W101" s="187"/>
      <c r="X101" s="334" t="e">
        <f t="shared" si="52"/>
        <v>#N/A</v>
      </c>
      <c r="Y101" s="506"/>
      <c r="Z101" s="187"/>
      <c r="AA101" s="187"/>
      <c r="AB101" s="187"/>
      <c r="AC101" s="334" t="e">
        <f t="shared" si="53"/>
        <v>#N/A</v>
      </c>
      <c r="AD101" s="506"/>
      <c r="AE101" s="187"/>
      <c r="AF101" s="187"/>
      <c r="AG101" s="187"/>
      <c r="AH101" s="334" t="e">
        <f t="shared" si="54"/>
        <v>#N/A</v>
      </c>
      <c r="AI101" s="506"/>
      <c r="AJ101" s="187"/>
      <c r="AK101" s="187"/>
      <c r="AL101" s="187"/>
      <c r="AM101" s="334" t="e">
        <f t="shared" si="55"/>
        <v>#N/A</v>
      </c>
      <c r="AN101" s="506"/>
      <c r="AO101" s="187"/>
      <c r="AP101" s="187"/>
      <c r="AQ101" s="187"/>
      <c r="AR101" s="334" t="e">
        <f t="shared" si="56"/>
        <v>#N/A</v>
      </c>
      <c r="AS101" s="506"/>
      <c r="AT101" s="187"/>
      <c r="AU101" s="187"/>
      <c r="AV101" s="336"/>
      <c r="AW101" s="334" t="e">
        <f t="shared" si="57"/>
        <v>#N/A</v>
      </c>
      <c r="AX101" s="506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="50" zoomScaleNormal="50" workbookViewId="0">
      <pane xSplit="15" topLeftCell="S1" activePane="topRight" state="frozen"/>
      <selection sqref="A1:L2"/>
      <selection pane="topRight" sqref="A1:L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7" t="s">
        <v>381</v>
      </c>
      <c r="C1" s="107">
        <f>AVERAGE(L7,L27,L47,L67,L87)</f>
        <v>117.17190042663185</v>
      </c>
    </row>
    <row r="2" spans="1:50" ht="15.75">
      <c r="A2" s="81"/>
      <c r="B2" s="487" t="s">
        <v>172</v>
      </c>
      <c r="C2" s="487"/>
      <c r="D2" s="487"/>
      <c r="E2" s="487"/>
      <c r="F2" s="487"/>
      <c r="G2" s="487"/>
      <c r="H2" s="487"/>
      <c r="I2" s="352"/>
      <c r="J2" s="352"/>
      <c r="K2" s="352"/>
      <c r="L2" s="352"/>
      <c r="M2" s="217"/>
      <c r="N2" s="476" t="s">
        <v>164</v>
      </c>
      <c r="O2" s="476" t="s">
        <v>163</v>
      </c>
      <c r="P2" s="479">
        <v>45895</v>
      </c>
      <c r="Q2" s="480"/>
      <c r="R2" s="480"/>
      <c r="S2" s="480"/>
      <c r="T2" s="481"/>
      <c r="U2" s="482">
        <f>P2+1</f>
        <v>45896</v>
      </c>
      <c r="V2" s="483"/>
      <c r="W2" s="483"/>
      <c r="X2" s="483"/>
      <c r="Y2" s="483"/>
      <c r="Z2" s="482">
        <f>U2+1</f>
        <v>45897</v>
      </c>
      <c r="AA2" s="483"/>
      <c r="AB2" s="483"/>
      <c r="AC2" s="483"/>
      <c r="AD2" s="483"/>
      <c r="AE2" s="482">
        <f>Z2+1</f>
        <v>45898</v>
      </c>
      <c r="AF2" s="483"/>
      <c r="AG2" s="483"/>
      <c r="AH2" s="483"/>
      <c r="AI2" s="483"/>
      <c r="AJ2" s="482">
        <f>AE2+1</f>
        <v>45899</v>
      </c>
      <c r="AK2" s="483"/>
      <c r="AL2" s="483"/>
      <c r="AM2" s="483"/>
      <c r="AN2" s="483"/>
      <c r="AO2" s="482">
        <f>AJ2+1</f>
        <v>45900</v>
      </c>
      <c r="AP2" s="483"/>
      <c r="AQ2" s="483"/>
      <c r="AR2" s="483"/>
      <c r="AS2" s="483"/>
      <c r="AT2" s="482">
        <f>AO2+1</f>
        <v>45901</v>
      </c>
      <c r="AU2" s="483"/>
      <c r="AV2" s="483"/>
      <c r="AW2" s="483"/>
      <c r="AX2" s="483"/>
    </row>
    <row r="3" spans="1:50" ht="15.75">
      <c r="A3" s="81"/>
      <c r="B3" s="504"/>
      <c r="C3" s="504"/>
      <c r="D3" s="504"/>
      <c r="E3" s="504"/>
      <c r="F3" s="504"/>
      <c r="G3" s="504"/>
      <c r="H3" s="504"/>
      <c r="I3" s="353"/>
      <c r="J3" s="353"/>
      <c r="K3" s="353"/>
      <c r="L3" s="353"/>
      <c r="M3" s="218"/>
      <c r="N3" s="478"/>
      <c r="O3" s="478"/>
      <c r="P3" s="479" t="s">
        <v>166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168</v>
      </c>
      <c r="AA3" s="480"/>
      <c r="AB3" s="480"/>
      <c r="AC3" s="480"/>
      <c r="AD3" s="481"/>
      <c r="AE3" s="479" t="s">
        <v>165</v>
      </c>
      <c r="AF3" s="480"/>
      <c r="AG3" s="480"/>
      <c r="AH3" s="480"/>
      <c r="AI3" s="481"/>
      <c r="AJ3" s="479" t="s">
        <v>169</v>
      </c>
      <c r="AK3" s="480"/>
      <c r="AL3" s="480"/>
      <c r="AM3" s="480"/>
      <c r="AN3" s="481"/>
      <c r="AO3" s="479" t="s">
        <v>170</v>
      </c>
      <c r="AP3" s="480"/>
      <c r="AQ3" s="480"/>
      <c r="AR3" s="480"/>
      <c r="AS3" s="481"/>
      <c r="AT3" s="479" t="s">
        <v>171</v>
      </c>
      <c r="AU3" s="480"/>
      <c r="AV3" s="480"/>
      <c r="AW3" s="480"/>
      <c r="AX3" s="481"/>
    </row>
    <row r="4" spans="1:50">
      <c r="A4" s="81"/>
      <c r="B4" s="475" t="s">
        <v>766</v>
      </c>
      <c r="C4" s="475" t="s">
        <v>767</v>
      </c>
      <c r="D4" s="475"/>
      <c r="E4" s="475" t="s">
        <v>768</v>
      </c>
      <c r="F4" s="475"/>
      <c r="G4" s="475"/>
      <c r="H4" s="491" t="s">
        <v>769</v>
      </c>
      <c r="I4" s="459" t="s">
        <v>770</v>
      </c>
      <c r="J4" s="459"/>
      <c r="K4" s="459"/>
      <c r="L4" s="460" t="s">
        <v>769</v>
      </c>
      <c r="M4" s="466" t="s">
        <v>771</v>
      </c>
      <c r="N4" s="475"/>
      <c r="O4" s="475" t="s">
        <v>772</v>
      </c>
      <c r="P4" s="472" t="s">
        <v>773</v>
      </c>
      <c r="Q4" s="473"/>
      <c r="R4" s="473"/>
      <c r="S4" s="474"/>
      <c r="T4" s="475" t="s">
        <v>769</v>
      </c>
      <c r="U4" s="472" t="s">
        <v>773</v>
      </c>
      <c r="V4" s="473"/>
      <c r="W4" s="473"/>
      <c r="X4" s="474"/>
      <c r="Y4" s="475" t="s">
        <v>769</v>
      </c>
      <c r="Z4" s="472" t="s">
        <v>773</v>
      </c>
      <c r="AA4" s="473"/>
      <c r="AB4" s="473"/>
      <c r="AC4" s="474"/>
      <c r="AD4" s="475" t="s">
        <v>769</v>
      </c>
      <c r="AE4" s="472" t="s">
        <v>773</v>
      </c>
      <c r="AF4" s="473"/>
      <c r="AG4" s="473"/>
      <c r="AH4" s="474"/>
      <c r="AI4" s="475" t="s">
        <v>769</v>
      </c>
      <c r="AJ4" s="472" t="s">
        <v>773</v>
      </c>
      <c r="AK4" s="473"/>
      <c r="AL4" s="473"/>
      <c r="AM4" s="474"/>
      <c r="AN4" s="475" t="s">
        <v>769</v>
      </c>
      <c r="AO4" s="472" t="s">
        <v>773</v>
      </c>
      <c r="AP4" s="473"/>
      <c r="AQ4" s="473"/>
      <c r="AR4" s="474"/>
      <c r="AS4" s="475" t="s">
        <v>769</v>
      </c>
      <c r="AT4" s="472" t="s">
        <v>773</v>
      </c>
      <c r="AU4" s="473"/>
      <c r="AV4" s="473"/>
      <c r="AW4" s="474"/>
      <c r="AX4" s="475" t="s">
        <v>769</v>
      </c>
    </row>
    <row r="5" spans="1:50">
      <c r="A5" s="81"/>
      <c r="B5" s="475"/>
      <c r="C5" s="475"/>
      <c r="D5" s="475"/>
      <c r="E5" s="475" t="s">
        <v>774</v>
      </c>
      <c r="F5" s="475"/>
      <c r="G5" s="475"/>
      <c r="H5" s="492"/>
      <c r="I5" s="459" t="s">
        <v>774</v>
      </c>
      <c r="J5" s="459"/>
      <c r="K5" s="459"/>
      <c r="L5" s="461"/>
      <c r="M5" s="467"/>
      <c r="N5" s="475"/>
      <c r="O5" s="475"/>
      <c r="P5" s="472" t="s">
        <v>775</v>
      </c>
      <c r="Q5" s="473"/>
      <c r="R5" s="473"/>
      <c r="S5" s="474"/>
      <c r="T5" s="475"/>
      <c r="U5" s="472" t="s">
        <v>775</v>
      </c>
      <c r="V5" s="473"/>
      <c r="W5" s="473"/>
      <c r="X5" s="474"/>
      <c r="Y5" s="475"/>
      <c r="Z5" s="472" t="s">
        <v>775</v>
      </c>
      <c r="AA5" s="473"/>
      <c r="AB5" s="473"/>
      <c r="AC5" s="474"/>
      <c r="AD5" s="475"/>
      <c r="AE5" s="472" t="s">
        <v>775</v>
      </c>
      <c r="AF5" s="473"/>
      <c r="AG5" s="473"/>
      <c r="AH5" s="474"/>
      <c r="AI5" s="475"/>
      <c r="AJ5" s="472" t="s">
        <v>775</v>
      </c>
      <c r="AK5" s="473"/>
      <c r="AL5" s="473"/>
      <c r="AM5" s="474"/>
      <c r="AN5" s="475"/>
      <c r="AO5" s="472" t="s">
        <v>775</v>
      </c>
      <c r="AP5" s="473"/>
      <c r="AQ5" s="473"/>
      <c r="AR5" s="474"/>
      <c r="AS5" s="475"/>
      <c r="AT5" s="472" t="s">
        <v>775</v>
      </c>
      <c r="AU5" s="473"/>
      <c r="AV5" s="473"/>
      <c r="AW5" s="474"/>
      <c r="AX5" s="475"/>
    </row>
    <row r="6" spans="1:50">
      <c r="A6" s="79"/>
      <c r="B6" s="475"/>
      <c r="C6" s="475"/>
      <c r="D6" s="475"/>
      <c r="E6" s="369" t="s">
        <v>776</v>
      </c>
      <c r="F6" s="369" t="s">
        <v>777</v>
      </c>
      <c r="G6" s="369" t="s">
        <v>778</v>
      </c>
      <c r="H6" s="493"/>
      <c r="I6" s="370" t="s">
        <v>776</v>
      </c>
      <c r="J6" s="370" t="s">
        <v>777</v>
      </c>
      <c r="K6" s="370" t="s">
        <v>778</v>
      </c>
      <c r="L6" s="462"/>
      <c r="M6" s="468"/>
      <c r="N6" s="475"/>
      <c r="O6" s="475"/>
      <c r="P6" s="369" t="s">
        <v>776</v>
      </c>
      <c r="Q6" s="369" t="s">
        <v>777</v>
      </c>
      <c r="R6" s="369" t="s">
        <v>778</v>
      </c>
      <c r="S6" s="369" t="s">
        <v>771</v>
      </c>
      <c r="T6" s="475"/>
      <c r="U6" s="369" t="s">
        <v>776</v>
      </c>
      <c r="V6" s="369" t="s">
        <v>777</v>
      </c>
      <c r="W6" s="369" t="s">
        <v>778</v>
      </c>
      <c r="X6" s="369" t="s">
        <v>771</v>
      </c>
      <c r="Y6" s="475"/>
      <c r="Z6" s="369" t="s">
        <v>776</v>
      </c>
      <c r="AA6" s="369" t="s">
        <v>777</v>
      </c>
      <c r="AB6" s="369" t="s">
        <v>778</v>
      </c>
      <c r="AC6" s="369" t="s">
        <v>771</v>
      </c>
      <c r="AD6" s="475"/>
      <c r="AE6" s="369" t="s">
        <v>776</v>
      </c>
      <c r="AF6" s="369" t="s">
        <v>777</v>
      </c>
      <c r="AG6" s="369" t="s">
        <v>778</v>
      </c>
      <c r="AH6" s="369" t="s">
        <v>771</v>
      </c>
      <c r="AI6" s="475"/>
      <c r="AJ6" s="369" t="s">
        <v>776</v>
      </c>
      <c r="AK6" s="369" t="s">
        <v>777</v>
      </c>
      <c r="AL6" s="369" t="s">
        <v>778</v>
      </c>
      <c r="AM6" s="369" t="s">
        <v>771</v>
      </c>
      <c r="AN6" s="475"/>
      <c r="AO6" s="369" t="s">
        <v>776</v>
      </c>
      <c r="AP6" s="369" t="s">
        <v>777</v>
      </c>
      <c r="AQ6" s="369" t="s">
        <v>778</v>
      </c>
      <c r="AR6" s="369" t="s">
        <v>771</v>
      </c>
      <c r="AS6" s="475"/>
      <c r="AT6" s="369" t="s">
        <v>776</v>
      </c>
      <c r="AU6" s="369" t="s">
        <v>777</v>
      </c>
      <c r="AV6" s="369" t="s">
        <v>778</v>
      </c>
      <c r="AW6" s="369" t="s">
        <v>771</v>
      </c>
      <c r="AX6" s="475"/>
    </row>
    <row r="7" spans="1:50">
      <c r="A7" s="81"/>
      <c r="B7" s="475" t="s">
        <v>786</v>
      </c>
      <c r="C7" s="368">
        <v>1</v>
      </c>
      <c r="D7" s="257" t="s">
        <v>494</v>
      </c>
      <c r="E7" s="187">
        <v>21</v>
      </c>
      <c r="F7" s="368">
        <v>2400</v>
      </c>
      <c r="G7" s="371">
        <v>114.28571428571429</v>
      </c>
      <c r="H7" s="507">
        <f>AVERAGE(G7:G21)</f>
        <v>128.05012531328322</v>
      </c>
      <c r="I7" s="219">
        <f>AVERAGE(P7,U7,Z7,AE7,AJ7,AO7,AT7)</f>
        <v>21</v>
      </c>
      <c r="J7" s="219">
        <f>AVERAGE(Q7,V7,AA7,AF7,AK7,AP7,AU7)</f>
        <v>2177.7979316210358</v>
      </c>
      <c r="K7" s="220">
        <f>AVERAGE(R7,W7,AB7,AG7,AL7,AQ7,AV7)</f>
        <v>103.7046634105255</v>
      </c>
      <c r="L7" s="456">
        <f>IFERROR(AVERAGE(K7:K21),"-")</f>
        <v>116.94994015983767</v>
      </c>
      <c r="M7" s="221">
        <f>RANK(K7, K$7:$K$21)</f>
        <v>5</v>
      </c>
      <c r="N7" s="475"/>
      <c r="O7" s="475"/>
      <c r="P7" s="368">
        <v>21</v>
      </c>
      <c r="Q7" s="371">
        <v>2213.1645569620268</v>
      </c>
      <c r="R7" s="371">
        <v>105.38878842676318</v>
      </c>
      <c r="S7" s="368">
        <f t="shared" ref="S7:S21" si="0">RANK(R7, R$7:R$21)</f>
        <v>5</v>
      </c>
      <c r="T7" s="507">
        <f>AVERAGE(R7:R21)</f>
        <v>117.39670851947876</v>
      </c>
      <c r="U7" s="368">
        <v>21</v>
      </c>
      <c r="V7" s="371">
        <v>2151.9512195121943</v>
      </c>
      <c r="W7" s="371">
        <v>102.47386759581877</v>
      </c>
      <c r="X7" s="368">
        <f t="shared" ref="X7:X21" si="1">RANK(W7, W$7:W$21)</f>
        <v>5</v>
      </c>
      <c r="Y7" s="507">
        <f>AVERAGE(W7:W21)</f>
        <v>116.29588132283727</v>
      </c>
      <c r="Z7" s="368">
        <v>21</v>
      </c>
      <c r="AA7" s="371">
        <v>2199.2307692307704</v>
      </c>
      <c r="AB7" s="371">
        <v>104.72527472527479</v>
      </c>
      <c r="AC7" s="368">
        <f t="shared" ref="AC7:AC21" si="2">RANK(AB7, AB$7:AB$21)</f>
        <v>5</v>
      </c>
      <c r="AD7" s="507">
        <f>AVERAGE(AB7:AB21)</f>
        <v>116.29529348700078</v>
      </c>
      <c r="AE7" s="368">
        <v>21</v>
      </c>
      <c r="AF7" s="371">
        <v>2196.3157894736851</v>
      </c>
      <c r="AG7" s="371">
        <v>104.58646616541357</v>
      </c>
      <c r="AH7" s="368">
        <f t="shared" ref="AH7:AH21" si="3">RANK(AG7, AG$7:AG$21)</f>
        <v>5</v>
      </c>
      <c r="AI7" s="507">
        <f>AVERAGE(AG7:AG21)</f>
        <v>117.3333651587587</v>
      </c>
      <c r="AJ7" s="368">
        <v>21</v>
      </c>
      <c r="AK7" s="371">
        <v>2184.8000000000011</v>
      </c>
      <c r="AL7" s="371">
        <v>104.03809523809529</v>
      </c>
      <c r="AM7" s="368">
        <f t="shared" ref="AM7:AM21" si="4">RANK(AL7, AL$7:AL$21)</f>
        <v>5</v>
      </c>
      <c r="AN7" s="507">
        <f>AVERAGE(AL7:AL21)</f>
        <v>117.89282913165266</v>
      </c>
      <c r="AO7" s="368">
        <v>21</v>
      </c>
      <c r="AP7" s="371">
        <v>2149.7560975609749</v>
      </c>
      <c r="AQ7" s="371">
        <v>102.36933797909404</v>
      </c>
      <c r="AR7" s="368">
        <f t="shared" ref="AR7:AR21" si="5">RANK(AQ7, AQ$7:AQ$21)</f>
        <v>5</v>
      </c>
      <c r="AS7" s="507">
        <f>AVERAGE(AQ7:AQ21)</f>
        <v>116.58936880289835</v>
      </c>
      <c r="AT7" s="374">
        <v>21</v>
      </c>
      <c r="AU7" s="375">
        <v>2149.3670886075961</v>
      </c>
      <c r="AV7" s="375">
        <v>102.35081374321886</v>
      </c>
      <c r="AW7" s="368">
        <f t="shared" ref="AW7:AW21" si="6">RANK(AV7, AV$7:AV$21)</f>
        <v>5</v>
      </c>
      <c r="AX7" s="506">
        <f>AVERAGE(AV7:AV21)</f>
        <v>116.8461346962371</v>
      </c>
    </row>
    <row r="8" spans="1:50" ht="15" customHeight="1">
      <c r="A8" s="81"/>
      <c r="B8" s="483"/>
      <c r="C8" s="368">
        <v>2</v>
      </c>
      <c r="D8" s="257" t="s">
        <v>495</v>
      </c>
      <c r="E8" s="187">
        <v>18</v>
      </c>
      <c r="F8" s="368">
        <v>2571</v>
      </c>
      <c r="G8" s="371">
        <v>142.83333333333334</v>
      </c>
      <c r="H8" s="508"/>
      <c r="I8" s="219">
        <f t="shared" ref="I8:K11" si="7">AVERAGE(P8,U8,Z8,AE8,AJ8,AO8,AT8)</f>
        <v>20</v>
      </c>
      <c r="J8" s="219">
        <f t="shared" si="7"/>
        <v>2389.0129057421541</v>
      </c>
      <c r="K8" s="220">
        <f t="shared" si="7"/>
        <v>119.4506452871077</v>
      </c>
      <c r="L8" s="457"/>
      <c r="M8" s="221">
        <f>RANK(K8, K$7:$K$21)</f>
        <v>3</v>
      </c>
      <c r="N8" s="475"/>
      <c r="O8" s="475"/>
      <c r="P8" s="368">
        <v>20</v>
      </c>
      <c r="Q8" s="371">
        <v>2368.8000000000011</v>
      </c>
      <c r="R8" s="371">
        <v>118.44000000000005</v>
      </c>
      <c r="S8" s="368">
        <f t="shared" si="0"/>
        <v>3</v>
      </c>
      <c r="T8" s="508"/>
      <c r="U8" s="368">
        <v>20</v>
      </c>
      <c r="V8" s="371">
        <v>2402.4324324324334</v>
      </c>
      <c r="W8" s="371">
        <v>120.12162162162167</v>
      </c>
      <c r="X8" s="368">
        <f t="shared" si="1"/>
        <v>3</v>
      </c>
      <c r="Y8" s="508"/>
      <c r="Z8" s="368">
        <v>20</v>
      </c>
      <c r="AA8" s="371">
        <v>2361.428571428572</v>
      </c>
      <c r="AB8" s="371">
        <v>118.0714285714286</v>
      </c>
      <c r="AC8" s="368">
        <f t="shared" si="2"/>
        <v>3</v>
      </c>
      <c r="AD8" s="508"/>
      <c r="AE8" s="368">
        <v>20</v>
      </c>
      <c r="AF8" s="371">
        <v>2398.2089552238804</v>
      </c>
      <c r="AG8" s="371">
        <v>119.91044776119402</v>
      </c>
      <c r="AH8" s="368">
        <f t="shared" si="3"/>
        <v>3</v>
      </c>
      <c r="AI8" s="508"/>
      <c r="AJ8" s="368">
        <v>20</v>
      </c>
      <c r="AK8" s="371">
        <v>2355.8823529411766</v>
      </c>
      <c r="AL8" s="371">
        <v>117.79411764705883</v>
      </c>
      <c r="AM8" s="368">
        <f t="shared" si="4"/>
        <v>3</v>
      </c>
      <c r="AN8" s="508"/>
      <c r="AO8" s="368">
        <v>20</v>
      </c>
      <c r="AP8" s="371">
        <v>2432.9577464788736</v>
      </c>
      <c r="AQ8" s="371">
        <v>121.64788732394368</v>
      </c>
      <c r="AR8" s="368">
        <f t="shared" si="5"/>
        <v>2</v>
      </c>
      <c r="AS8" s="508"/>
      <c r="AT8" s="374">
        <v>20</v>
      </c>
      <c r="AU8" s="375">
        <v>2403.3802816901416</v>
      </c>
      <c r="AV8" s="375">
        <v>120.16901408450708</v>
      </c>
      <c r="AW8" s="368">
        <f t="shared" si="6"/>
        <v>3</v>
      </c>
      <c r="AX8" s="506"/>
    </row>
    <row r="9" spans="1:50">
      <c r="A9" s="81"/>
      <c r="B9" s="483"/>
      <c r="C9" s="368">
        <v>3</v>
      </c>
      <c r="D9" s="257" t="s">
        <v>496</v>
      </c>
      <c r="E9" s="187">
        <v>20</v>
      </c>
      <c r="F9" s="368">
        <v>2250</v>
      </c>
      <c r="G9" s="371">
        <v>112.5</v>
      </c>
      <c r="H9" s="508"/>
      <c r="I9" s="219">
        <f t="shared" si="7"/>
        <v>20</v>
      </c>
      <c r="J9" s="219">
        <f t="shared" si="7"/>
        <v>2285.6362457868813</v>
      </c>
      <c r="K9" s="220">
        <f t="shared" si="7"/>
        <v>114.28181228934406</v>
      </c>
      <c r="L9" s="457"/>
      <c r="M9" s="221">
        <f>RANK(K9, K$7:$K$21)</f>
        <v>4</v>
      </c>
      <c r="N9" s="475"/>
      <c r="O9" s="475"/>
      <c r="P9" s="368">
        <v>20</v>
      </c>
      <c r="Q9" s="371">
        <v>2277.8571428571445</v>
      </c>
      <c r="R9" s="371">
        <v>113.89285714285722</v>
      </c>
      <c r="S9" s="368">
        <f t="shared" si="0"/>
        <v>4</v>
      </c>
      <c r="T9" s="508"/>
      <c r="U9" s="368">
        <v>20</v>
      </c>
      <c r="V9" s="371">
        <v>2279.9999999999991</v>
      </c>
      <c r="W9" s="371">
        <v>113.99999999999996</v>
      </c>
      <c r="X9" s="368">
        <f t="shared" si="1"/>
        <v>4</v>
      </c>
      <c r="Y9" s="508"/>
      <c r="Z9" s="368">
        <v>20</v>
      </c>
      <c r="AA9" s="371">
        <v>2203.9999999999986</v>
      </c>
      <c r="AB9" s="371">
        <v>110.19999999999993</v>
      </c>
      <c r="AC9" s="368">
        <f t="shared" si="2"/>
        <v>4</v>
      </c>
      <c r="AD9" s="508"/>
      <c r="AE9" s="368">
        <v>20</v>
      </c>
      <c r="AF9" s="371">
        <v>2297.1428571428587</v>
      </c>
      <c r="AG9" s="371">
        <v>114.85714285714293</v>
      </c>
      <c r="AH9" s="368">
        <f t="shared" si="3"/>
        <v>4</v>
      </c>
      <c r="AI9" s="508"/>
      <c r="AJ9" s="368">
        <v>20</v>
      </c>
      <c r="AK9" s="371">
        <v>2320.0000000000009</v>
      </c>
      <c r="AL9" s="371">
        <v>116.00000000000004</v>
      </c>
      <c r="AM9" s="368">
        <f t="shared" si="4"/>
        <v>4</v>
      </c>
      <c r="AN9" s="508"/>
      <c r="AO9" s="368">
        <v>20</v>
      </c>
      <c r="AP9" s="371">
        <v>2314.137931034481</v>
      </c>
      <c r="AQ9" s="371">
        <v>115.70689655172404</v>
      </c>
      <c r="AR9" s="368">
        <f t="shared" si="5"/>
        <v>4</v>
      </c>
      <c r="AS9" s="508"/>
      <c r="AT9" s="374">
        <v>20</v>
      </c>
      <c r="AU9" s="375">
        <v>2306.315789473686</v>
      </c>
      <c r="AV9" s="375">
        <v>115.3157894736843</v>
      </c>
      <c r="AW9" s="368">
        <f t="shared" si="6"/>
        <v>4</v>
      </c>
      <c r="AX9" s="506"/>
    </row>
    <row r="10" spans="1:50">
      <c r="A10" s="81"/>
      <c r="B10" s="483"/>
      <c r="C10" s="368">
        <v>4</v>
      </c>
      <c r="D10" s="257" t="s">
        <v>497</v>
      </c>
      <c r="E10" s="187">
        <v>19</v>
      </c>
      <c r="F10" s="368">
        <v>2571</v>
      </c>
      <c r="G10" s="371">
        <v>135.31578947368422</v>
      </c>
      <c r="H10" s="508"/>
      <c r="I10" s="219">
        <f t="shared" si="7"/>
        <v>20</v>
      </c>
      <c r="J10" s="219">
        <f t="shared" si="7"/>
        <v>2479.8528380933976</v>
      </c>
      <c r="K10" s="220">
        <f t="shared" si="7"/>
        <v>123.99264190466987</v>
      </c>
      <c r="L10" s="457"/>
      <c r="M10" s="221">
        <f>RANK(K10, K$7:$K$21)</f>
        <v>1</v>
      </c>
      <c r="N10" s="475"/>
      <c r="O10" s="475"/>
      <c r="P10" s="368">
        <v>20</v>
      </c>
      <c r="Q10" s="371">
        <v>2496.3829787234044</v>
      </c>
      <c r="R10" s="371">
        <v>124.81914893617022</v>
      </c>
      <c r="S10" s="368">
        <f t="shared" si="0"/>
        <v>1</v>
      </c>
      <c r="T10" s="508"/>
      <c r="U10" s="368">
        <v>20</v>
      </c>
      <c r="V10" s="371">
        <v>2479.1489361702133</v>
      </c>
      <c r="W10" s="371">
        <v>123.95744680851067</v>
      </c>
      <c r="X10" s="368">
        <f t="shared" si="1"/>
        <v>1</v>
      </c>
      <c r="Y10" s="508"/>
      <c r="Z10" s="368">
        <v>20</v>
      </c>
      <c r="AA10" s="371">
        <v>2448.1318681318662</v>
      </c>
      <c r="AB10" s="371">
        <v>122.40659340659332</v>
      </c>
      <c r="AC10" s="368">
        <f t="shared" si="2"/>
        <v>2</v>
      </c>
      <c r="AD10" s="508"/>
      <c r="AE10" s="368">
        <v>20</v>
      </c>
      <c r="AF10" s="371">
        <v>2503.9024390243894</v>
      </c>
      <c r="AG10" s="371">
        <v>125.19512195121948</v>
      </c>
      <c r="AH10" s="368">
        <f t="shared" si="3"/>
        <v>1</v>
      </c>
      <c r="AI10" s="508"/>
      <c r="AJ10" s="368">
        <v>20</v>
      </c>
      <c r="AK10" s="371">
        <v>2506.5882352941171</v>
      </c>
      <c r="AL10" s="371">
        <v>125.32941176470585</v>
      </c>
      <c r="AM10" s="368">
        <f t="shared" si="4"/>
        <v>2</v>
      </c>
      <c r="AN10" s="508"/>
      <c r="AO10" s="368">
        <v>20</v>
      </c>
      <c r="AP10" s="371">
        <v>2425.7142857142858</v>
      </c>
      <c r="AQ10" s="371">
        <v>121.28571428571429</v>
      </c>
      <c r="AR10" s="368">
        <f t="shared" si="5"/>
        <v>3</v>
      </c>
      <c r="AS10" s="508"/>
      <c r="AT10" s="374">
        <v>20</v>
      </c>
      <c r="AU10" s="375">
        <v>2499.1011235955057</v>
      </c>
      <c r="AV10" s="375">
        <v>124.95505617977528</v>
      </c>
      <c r="AW10" s="368">
        <f t="shared" si="6"/>
        <v>1</v>
      </c>
      <c r="AX10" s="506"/>
    </row>
    <row r="11" spans="1:50">
      <c r="A11" s="81"/>
      <c r="B11" s="483"/>
      <c r="C11" s="368">
        <v>5</v>
      </c>
      <c r="D11" s="257" t="s">
        <v>498</v>
      </c>
      <c r="E11" s="187">
        <v>19</v>
      </c>
      <c r="F11" s="368">
        <v>2571</v>
      </c>
      <c r="G11" s="371">
        <v>135.31578947368422</v>
      </c>
      <c r="H11" s="508"/>
      <c r="I11" s="219">
        <f t="shared" si="7"/>
        <v>20</v>
      </c>
      <c r="J11" s="219">
        <f t="shared" si="7"/>
        <v>2466.3987581508231</v>
      </c>
      <c r="K11" s="220">
        <f t="shared" si="7"/>
        <v>123.31993790754117</v>
      </c>
      <c r="L11" s="457"/>
      <c r="M11" s="221">
        <f>RANK(K11, K$7:$K$21)</f>
        <v>2</v>
      </c>
      <c r="N11" s="475"/>
      <c r="O11" s="475"/>
      <c r="P11" s="368">
        <v>20</v>
      </c>
      <c r="Q11" s="371">
        <v>2488.8549618320612</v>
      </c>
      <c r="R11" s="371">
        <v>124.44274809160306</v>
      </c>
      <c r="S11" s="368">
        <f t="shared" si="0"/>
        <v>2</v>
      </c>
      <c r="T11" s="508"/>
      <c r="U11" s="368">
        <v>20</v>
      </c>
      <c r="V11" s="371">
        <v>2418.5294117647063</v>
      </c>
      <c r="W11" s="371">
        <v>120.92647058823532</v>
      </c>
      <c r="X11" s="368">
        <f t="shared" si="1"/>
        <v>2</v>
      </c>
      <c r="Y11" s="508"/>
      <c r="Z11" s="368">
        <v>20</v>
      </c>
      <c r="AA11" s="371">
        <v>2521.4634146341455</v>
      </c>
      <c r="AB11" s="371">
        <v>126.07317073170728</v>
      </c>
      <c r="AC11" s="368">
        <f t="shared" si="2"/>
        <v>1</v>
      </c>
      <c r="AD11" s="508"/>
      <c r="AE11" s="368">
        <v>20</v>
      </c>
      <c r="AF11" s="371">
        <v>2442.3529411764694</v>
      </c>
      <c r="AG11" s="371">
        <v>122.11764705882347</v>
      </c>
      <c r="AH11" s="368">
        <f t="shared" si="3"/>
        <v>2</v>
      </c>
      <c r="AI11" s="508"/>
      <c r="AJ11" s="368">
        <v>20</v>
      </c>
      <c r="AK11" s="371">
        <v>2526.050420168066</v>
      </c>
      <c r="AL11" s="371">
        <v>126.3025210084033</v>
      </c>
      <c r="AM11" s="368">
        <f t="shared" si="4"/>
        <v>1</v>
      </c>
      <c r="AN11" s="508"/>
      <c r="AO11" s="368">
        <v>20</v>
      </c>
      <c r="AP11" s="371">
        <v>2438.7401574803143</v>
      </c>
      <c r="AQ11" s="371">
        <v>121.93700787401572</v>
      </c>
      <c r="AR11" s="368">
        <f t="shared" si="5"/>
        <v>1</v>
      </c>
      <c r="AS11" s="508"/>
      <c r="AT11" s="374">
        <v>20</v>
      </c>
      <c r="AU11" s="375">
        <v>2428.7999999999993</v>
      </c>
      <c r="AV11" s="375">
        <v>121.43999999999997</v>
      </c>
      <c r="AW11" s="368">
        <f t="shared" si="6"/>
        <v>2</v>
      </c>
      <c r="AX11" s="506"/>
    </row>
    <row r="12" spans="1:50">
      <c r="A12" s="81"/>
      <c r="B12" s="483"/>
      <c r="C12" s="368">
        <v>6</v>
      </c>
      <c r="D12" s="257"/>
      <c r="E12" s="187"/>
      <c r="F12" s="368"/>
      <c r="G12" s="371"/>
      <c r="H12" s="508"/>
      <c r="I12" s="219"/>
      <c r="J12" s="219"/>
      <c r="K12" s="220"/>
      <c r="L12" s="457"/>
      <c r="M12" s="221" t="e">
        <f>RANK(K12, K$7:$K$21)</f>
        <v>#N/A</v>
      </c>
      <c r="N12" s="475"/>
      <c r="O12" s="475"/>
      <c r="P12" s="368"/>
      <c r="Q12" s="371"/>
      <c r="R12" s="371"/>
      <c r="S12" s="368" t="e">
        <f t="shared" si="0"/>
        <v>#N/A</v>
      </c>
      <c r="T12" s="508"/>
      <c r="U12" s="368"/>
      <c r="V12" s="371"/>
      <c r="W12" s="371"/>
      <c r="X12" s="368" t="e">
        <f t="shared" si="1"/>
        <v>#N/A</v>
      </c>
      <c r="Y12" s="508"/>
      <c r="Z12" s="368"/>
      <c r="AA12" s="371"/>
      <c r="AB12" s="371"/>
      <c r="AC12" s="368" t="e">
        <f t="shared" si="2"/>
        <v>#N/A</v>
      </c>
      <c r="AD12" s="508"/>
      <c r="AE12" s="368"/>
      <c r="AF12" s="371"/>
      <c r="AG12" s="371"/>
      <c r="AH12" s="368" t="e">
        <f t="shared" si="3"/>
        <v>#N/A</v>
      </c>
      <c r="AI12" s="508"/>
      <c r="AJ12" s="368"/>
      <c r="AK12" s="371"/>
      <c r="AL12" s="371"/>
      <c r="AM12" s="368" t="e">
        <f t="shared" si="4"/>
        <v>#N/A</v>
      </c>
      <c r="AN12" s="508"/>
      <c r="AO12" s="368"/>
      <c r="AP12" s="371"/>
      <c r="AQ12" s="371"/>
      <c r="AR12" s="368" t="e">
        <f t="shared" si="5"/>
        <v>#N/A</v>
      </c>
      <c r="AS12" s="508"/>
      <c r="AT12" s="368"/>
      <c r="AU12" s="371"/>
      <c r="AV12" s="371"/>
      <c r="AW12" s="368" t="e">
        <f t="shared" si="6"/>
        <v>#N/A</v>
      </c>
      <c r="AX12" s="506"/>
    </row>
    <row r="13" spans="1:50">
      <c r="A13" s="81"/>
      <c r="B13" s="483"/>
      <c r="C13" s="368">
        <v>7</v>
      </c>
      <c r="D13" s="257"/>
      <c r="E13" s="187"/>
      <c r="F13" s="368"/>
      <c r="G13" s="371"/>
      <c r="H13" s="508"/>
      <c r="I13" s="219"/>
      <c r="J13" s="219"/>
      <c r="K13" s="220"/>
      <c r="L13" s="457"/>
      <c r="M13" s="221" t="e">
        <f>RANK(K13, K$7:$K$21)</f>
        <v>#N/A</v>
      </c>
      <c r="N13" s="475"/>
      <c r="O13" s="475"/>
      <c r="P13" s="368"/>
      <c r="Q13" s="371"/>
      <c r="R13" s="371"/>
      <c r="S13" s="368" t="e">
        <f t="shared" si="0"/>
        <v>#N/A</v>
      </c>
      <c r="T13" s="508"/>
      <c r="U13" s="368"/>
      <c r="V13" s="371"/>
      <c r="W13" s="371"/>
      <c r="X13" s="368" t="e">
        <f t="shared" si="1"/>
        <v>#N/A</v>
      </c>
      <c r="Y13" s="508"/>
      <c r="Z13" s="368"/>
      <c r="AA13" s="371"/>
      <c r="AB13" s="371"/>
      <c r="AC13" s="368" t="e">
        <f t="shared" si="2"/>
        <v>#N/A</v>
      </c>
      <c r="AD13" s="508"/>
      <c r="AE13" s="368"/>
      <c r="AF13" s="371"/>
      <c r="AG13" s="371"/>
      <c r="AH13" s="368" t="e">
        <f t="shared" si="3"/>
        <v>#N/A</v>
      </c>
      <c r="AI13" s="508"/>
      <c r="AJ13" s="368"/>
      <c r="AK13" s="371"/>
      <c r="AL13" s="371"/>
      <c r="AM13" s="368" t="e">
        <f t="shared" si="4"/>
        <v>#N/A</v>
      </c>
      <c r="AN13" s="508"/>
      <c r="AO13" s="368"/>
      <c r="AP13" s="371"/>
      <c r="AQ13" s="371"/>
      <c r="AR13" s="368" t="e">
        <f t="shared" si="5"/>
        <v>#N/A</v>
      </c>
      <c r="AS13" s="508"/>
      <c r="AT13" s="368"/>
      <c r="AU13" s="371"/>
      <c r="AV13" s="371"/>
      <c r="AW13" s="368" t="e">
        <f t="shared" si="6"/>
        <v>#N/A</v>
      </c>
      <c r="AX13" s="506"/>
    </row>
    <row r="14" spans="1:50">
      <c r="A14" s="81"/>
      <c r="B14" s="483"/>
      <c r="C14" s="368">
        <v>8</v>
      </c>
      <c r="D14" s="257"/>
      <c r="E14" s="187"/>
      <c r="F14" s="368"/>
      <c r="G14" s="371"/>
      <c r="H14" s="508"/>
      <c r="I14" s="219"/>
      <c r="J14" s="219"/>
      <c r="K14" s="220"/>
      <c r="L14" s="457"/>
      <c r="M14" s="221" t="e">
        <f>RANK(K14, K$7:$K$21)</f>
        <v>#N/A</v>
      </c>
      <c r="N14" s="475"/>
      <c r="O14" s="475"/>
      <c r="P14" s="368"/>
      <c r="Q14" s="371"/>
      <c r="R14" s="371"/>
      <c r="S14" s="368" t="e">
        <f t="shared" si="0"/>
        <v>#N/A</v>
      </c>
      <c r="T14" s="508"/>
      <c r="U14" s="368"/>
      <c r="V14" s="371"/>
      <c r="W14" s="371"/>
      <c r="X14" s="368" t="e">
        <f t="shared" si="1"/>
        <v>#N/A</v>
      </c>
      <c r="Y14" s="508"/>
      <c r="Z14" s="368"/>
      <c r="AA14" s="371"/>
      <c r="AB14" s="371"/>
      <c r="AC14" s="368" t="e">
        <f t="shared" si="2"/>
        <v>#N/A</v>
      </c>
      <c r="AD14" s="508"/>
      <c r="AE14" s="368"/>
      <c r="AF14" s="371"/>
      <c r="AG14" s="371"/>
      <c r="AH14" s="368" t="e">
        <f t="shared" si="3"/>
        <v>#N/A</v>
      </c>
      <c r="AI14" s="508"/>
      <c r="AJ14" s="368"/>
      <c r="AK14" s="371"/>
      <c r="AL14" s="371"/>
      <c r="AM14" s="368" t="e">
        <f t="shared" si="4"/>
        <v>#N/A</v>
      </c>
      <c r="AN14" s="508"/>
      <c r="AO14" s="368"/>
      <c r="AP14" s="371"/>
      <c r="AQ14" s="371"/>
      <c r="AR14" s="368" t="e">
        <f t="shared" si="5"/>
        <v>#N/A</v>
      </c>
      <c r="AS14" s="508"/>
      <c r="AT14" s="368"/>
      <c r="AU14" s="371"/>
      <c r="AV14" s="371"/>
      <c r="AW14" s="368" t="e">
        <f t="shared" si="6"/>
        <v>#N/A</v>
      </c>
      <c r="AX14" s="506"/>
    </row>
    <row r="15" spans="1:50">
      <c r="A15" s="81"/>
      <c r="B15" s="483"/>
      <c r="C15" s="368">
        <v>9</v>
      </c>
      <c r="D15" s="257"/>
      <c r="E15" s="187"/>
      <c r="F15" s="368"/>
      <c r="G15" s="371"/>
      <c r="H15" s="508"/>
      <c r="I15" s="219"/>
      <c r="J15" s="219"/>
      <c r="K15" s="220"/>
      <c r="L15" s="457"/>
      <c r="M15" s="221" t="e">
        <f>RANK(K15, K$7:$K$21)</f>
        <v>#N/A</v>
      </c>
      <c r="N15" s="475"/>
      <c r="O15" s="475"/>
      <c r="P15" s="368"/>
      <c r="Q15" s="371"/>
      <c r="R15" s="371"/>
      <c r="S15" s="368" t="e">
        <f t="shared" si="0"/>
        <v>#N/A</v>
      </c>
      <c r="T15" s="508"/>
      <c r="U15" s="368"/>
      <c r="V15" s="371"/>
      <c r="W15" s="371"/>
      <c r="X15" s="368" t="e">
        <f t="shared" si="1"/>
        <v>#N/A</v>
      </c>
      <c r="Y15" s="508"/>
      <c r="Z15" s="368"/>
      <c r="AA15" s="371"/>
      <c r="AB15" s="371"/>
      <c r="AC15" s="368" t="e">
        <f t="shared" si="2"/>
        <v>#N/A</v>
      </c>
      <c r="AD15" s="508"/>
      <c r="AE15" s="368"/>
      <c r="AF15" s="371"/>
      <c r="AG15" s="371"/>
      <c r="AH15" s="368" t="e">
        <f t="shared" si="3"/>
        <v>#N/A</v>
      </c>
      <c r="AI15" s="508"/>
      <c r="AJ15" s="368"/>
      <c r="AK15" s="371"/>
      <c r="AL15" s="371"/>
      <c r="AM15" s="368" t="e">
        <f t="shared" si="4"/>
        <v>#N/A</v>
      </c>
      <c r="AN15" s="508"/>
      <c r="AO15" s="368"/>
      <c r="AP15" s="371"/>
      <c r="AQ15" s="371"/>
      <c r="AR15" s="368" t="e">
        <f t="shared" si="5"/>
        <v>#N/A</v>
      </c>
      <c r="AS15" s="508"/>
      <c r="AT15" s="368"/>
      <c r="AU15" s="371"/>
      <c r="AV15" s="371"/>
      <c r="AW15" s="368" t="e">
        <f t="shared" si="6"/>
        <v>#N/A</v>
      </c>
      <c r="AX15" s="506"/>
    </row>
    <row r="16" spans="1:50">
      <c r="A16" s="81"/>
      <c r="B16" s="483"/>
      <c r="C16" s="368">
        <v>10</v>
      </c>
      <c r="D16" s="257"/>
      <c r="E16" s="187"/>
      <c r="F16" s="368"/>
      <c r="G16" s="371"/>
      <c r="H16" s="508"/>
      <c r="I16" s="219"/>
      <c r="J16" s="219"/>
      <c r="K16" s="220"/>
      <c r="L16" s="457"/>
      <c r="M16" s="221" t="e">
        <f>RANK(K16, K$7:$K$21)</f>
        <v>#N/A</v>
      </c>
      <c r="N16" s="475"/>
      <c r="O16" s="475"/>
      <c r="P16" s="368"/>
      <c r="Q16" s="368"/>
      <c r="R16" s="371"/>
      <c r="S16" s="368" t="e">
        <f t="shared" si="0"/>
        <v>#N/A</v>
      </c>
      <c r="T16" s="508"/>
      <c r="U16" s="368"/>
      <c r="V16" s="368"/>
      <c r="W16" s="371"/>
      <c r="X16" s="368" t="e">
        <f t="shared" si="1"/>
        <v>#N/A</v>
      </c>
      <c r="Y16" s="508"/>
      <c r="Z16" s="368"/>
      <c r="AA16" s="368"/>
      <c r="AB16" s="371"/>
      <c r="AC16" s="368" t="e">
        <f t="shared" si="2"/>
        <v>#N/A</v>
      </c>
      <c r="AD16" s="508"/>
      <c r="AE16" s="368"/>
      <c r="AF16" s="368"/>
      <c r="AG16" s="371"/>
      <c r="AH16" s="368" t="e">
        <f t="shared" si="3"/>
        <v>#N/A</v>
      </c>
      <c r="AI16" s="508"/>
      <c r="AJ16" s="368"/>
      <c r="AK16" s="368"/>
      <c r="AL16" s="371"/>
      <c r="AM16" s="368" t="e">
        <f t="shared" si="4"/>
        <v>#N/A</v>
      </c>
      <c r="AN16" s="508"/>
      <c r="AO16" s="368"/>
      <c r="AP16" s="368"/>
      <c r="AQ16" s="371"/>
      <c r="AR16" s="368" t="e">
        <f t="shared" si="5"/>
        <v>#N/A</v>
      </c>
      <c r="AS16" s="508"/>
      <c r="AT16" s="368"/>
      <c r="AU16" s="368"/>
      <c r="AV16" s="371"/>
      <c r="AW16" s="368" t="e">
        <f t="shared" si="6"/>
        <v>#N/A</v>
      </c>
      <c r="AX16" s="506"/>
    </row>
    <row r="17" spans="2:50">
      <c r="B17" s="483"/>
      <c r="C17" s="368">
        <v>11</v>
      </c>
      <c r="D17" s="257"/>
      <c r="E17" s="187"/>
      <c r="F17" s="368"/>
      <c r="G17" s="371"/>
      <c r="H17" s="508"/>
      <c r="I17" s="222"/>
      <c r="J17" s="222"/>
      <c r="K17" s="222"/>
      <c r="L17" s="457"/>
      <c r="M17" s="221" t="e">
        <f>RANK(K17, K$7:$K$21)</f>
        <v>#N/A</v>
      </c>
      <c r="N17" s="475"/>
      <c r="O17" s="475"/>
      <c r="P17" s="368"/>
      <c r="Q17" s="368"/>
      <c r="R17" s="368"/>
      <c r="S17" s="368" t="e">
        <f t="shared" si="0"/>
        <v>#N/A</v>
      </c>
      <c r="T17" s="508"/>
      <c r="U17" s="368"/>
      <c r="V17" s="368"/>
      <c r="W17" s="368"/>
      <c r="X17" s="368" t="e">
        <f t="shared" si="1"/>
        <v>#N/A</v>
      </c>
      <c r="Y17" s="508"/>
      <c r="Z17" s="368"/>
      <c r="AA17" s="368"/>
      <c r="AB17" s="368"/>
      <c r="AC17" s="368" t="e">
        <f t="shared" si="2"/>
        <v>#N/A</v>
      </c>
      <c r="AD17" s="508"/>
      <c r="AE17" s="368"/>
      <c r="AF17" s="368"/>
      <c r="AG17" s="368"/>
      <c r="AH17" s="368" t="e">
        <f t="shared" si="3"/>
        <v>#N/A</v>
      </c>
      <c r="AI17" s="508"/>
      <c r="AJ17" s="368"/>
      <c r="AK17" s="368"/>
      <c r="AL17" s="368"/>
      <c r="AM17" s="368" t="e">
        <f t="shared" si="4"/>
        <v>#N/A</v>
      </c>
      <c r="AN17" s="508"/>
      <c r="AO17" s="368"/>
      <c r="AP17" s="368"/>
      <c r="AQ17" s="368"/>
      <c r="AR17" s="368" t="e">
        <f t="shared" si="5"/>
        <v>#N/A</v>
      </c>
      <c r="AS17" s="508"/>
      <c r="AT17" s="368"/>
      <c r="AU17" s="368"/>
      <c r="AV17" s="368"/>
      <c r="AW17" s="368" t="e">
        <f t="shared" si="6"/>
        <v>#N/A</v>
      </c>
      <c r="AX17" s="506"/>
    </row>
    <row r="18" spans="2:50">
      <c r="B18" s="483"/>
      <c r="C18" s="368">
        <v>12</v>
      </c>
      <c r="D18" s="257"/>
      <c r="E18" s="187"/>
      <c r="F18" s="368"/>
      <c r="G18" s="371"/>
      <c r="H18" s="508"/>
      <c r="I18" s="222"/>
      <c r="J18" s="222"/>
      <c r="K18" s="222"/>
      <c r="L18" s="457"/>
      <c r="M18" s="221" t="e">
        <f>RANK(K18, K$7:$K$21)</f>
        <v>#N/A</v>
      </c>
      <c r="N18" s="475"/>
      <c r="O18" s="475"/>
      <c r="P18" s="368"/>
      <c r="Q18" s="368"/>
      <c r="R18" s="368"/>
      <c r="S18" s="368" t="e">
        <f t="shared" si="0"/>
        <v>#N/A</v>
      </c>
      <c r="T18" s="508"/>
      <c r="U18" s="368"/>
      <c r="V18" s="368"/>
      <c r="W18" s="368"/>
      <c r="X18" s="368" t="e">
        <f t="shared" si="1"/>
        <v>#N/A</v>
      </c>
      <c r="Y18" s="508"/>
      <c r="Z18" s="368"/>
      <c r="AA18" s="368"/>
      <c r="AB18" s="368"/>
      <c r="AC18" s="368" t="e">
        <f t="shared" si="2"/>
        <v>#N/A</v>
      </c>
      <c r="AD18" s="508"/>
      <c r="AE18" s="368"/>
      <c r="AF18" s="368"/>
      <c r="AG18" s="368"/>
      <c r="AH18" s="368" t="e">
        <f t="shared" si="3"/>
        <v>#N/A</v>
      </c>
      <c r="AI18" s="508"/>
      <c r="AJ18" s="368"/>
      <c r="AK18" s="368"/>
      <c r="AL18" s="368"/>
      <c r="AM18" s="368" t="e">
        <f t="shared" si="4"/>
        <v>#N/A</v>
      </c>
      <c r="AN18" s="508"/>
      <c r="AO18" s="368"/>
      <c r="AP18" s="368"/>
      <c r="AQ18" s="368"/>
      <c r="AR18" s="368" t="e">
        <f t="shared" si="5"/>
        <v>#N/A</v>
      </c>
      <c r="AS18" s="508"/>
      <c r="AT18" s="368"/>
      <c r="AU18" s="368"/>
      <c r="AV18" s="368"/>
      <c r="AW18" s="368" t="e">
        <f t="shared" si="6"/>
        <v>#N/A</v>
      </c>
      <c r="AX18" s="506"/>
    </row>
    <row r="19" spans="2:50">
      <c r="B19" s="483"/>
      <c r="C19" s="368">
        <v>13</v>
      </c>
      <c r="D19" s="257"/>
      <c r="E19" s="187"/>
      <c r="F19" s="368"/>
      <c r="G19" s="371"/>
      <c r="H19" s="508"/>
      <c r="I19" s="222"/>
      <c r="J19" s="222"/>
      <c r="K19" s="222"/>
      <c r="L19" s="457"/>
      <c r="M19" s="221" t="e">
        <f>RANK(K19, K$7:$K$21)</f>
        <v>#N/A</v>
      </c>
      <c r="N19" s="475"/>
      <c r="O19" s="475"/>
      <c r="P19" s="368"/>
      <c r="Q19" s="368"/>
      <c r="R19" s="368"/>
      <c r="S19" s="368" t="e">
        <f t="shared" si="0"/>
        <v>#N/A</v>
      </c>
      <c r="T19" s="508"/>
      <c r="U19" s="368"/>
      <c r="V19" s="368"/>
      <c r="W19" s="368"/>
      <c r="X19" s="368" t="e">
        <f t="shared" si="1"/>
        <v>#N/A</v>
      </c>
      <c r="Y19" s="508"/>
      <c r="Z19" s="368"/>
      <c r="AA19" s="368"/>
      <c r="AB19" s="368"/>
      <c r="AC19" s="368" t="e">
        <f t="shared" si="2"/>
        <v>#N/A</v>
      </c>
      <c r="AD19" s="508"/>
      <c r="AE19" s="368"/>
      <c r="AF19" s="368"/>
      <c r="AG19" s="368"/>
      <c r="AH19" s="368" t="e">
        <f t="shared" si="3"/>
        <v>#N/A</v>
      </c>
      <c r="AI19" s="508"/>
      <c r="AJ19" s="368"/>
      <c r="AK19" s="368"/>
      <c r="AL19" s="368"/>
      <c r="AM19" s="368" t="e">
        <f t="shared" si="4"/>
        <v>#N/A</v>
      </c>
      <c r="AN19" s="508"/>
      <c r="AO19" s="368"/>
      <c r="AP19" s="368"/>
      <c r="AQ19" s="368"/>
      <c r="AR19" s="368" t="e">
        <f t="shared" si="5"/>
        <v>#N/A</v>
      </c>
      <c r="AS19" s="508"/>
      <c r="AT19" s="368"/>
      <c r="AU19" s="368"/>
      <c r="AV19" s="368"/>
      <c r="AW19" s="368" t="e">
        <f t="shared" si="6"/>
        <v>#N/A</v>
      </c>
      <c r="AX19" s="506"/>
    </row>
    <row r="20" spans="2:50">
      <c r="B20" s="483"/>
      <c r="C20" s="368">
        <v>14</v>
      </c>
      <c r="D20" s="257"/>
      <c r="E20" s="187"/>
      <c r="F20" s="368"/>
      <c r="G20" s="371"/>
      <c r="H20" s="508"/>
      <c r="I20" s="222"/>
      <c r="J20" s="222"/>
      <c r="K20" s="222"/>
      <c r="L20" s="457"/>
      <c r="M20" s="221" t="e">
        <f>RANK(K20, K$7:$K$21)</f>
        <v>#N/A</v>
      </c>
      <c r="N20" s="475"/>
      <c r="O20" s="475"/>
      <c r="P20" s="368"/>
      <c r="Q20" s="368"/>
      <c r="R20" s="368"/>
      <c r="S20" s="368" t="e">
        <f t="shared" si="0"/>
        <v>#N/A</v>
      </c>
      <c r="T20" s="508"/>
      <c r="U20" s="368"/>
      <c r="V20" s="368"/>
      <c r="W20" s="368"/>
      <c r="X20" s="368" t="e">
        <f t="shared" si="1"/>
        <v>#N/A</v>
      </c>
      <c r="Y20" s="508"/>
      <c r="Z20" s="368"/>
      <c r="AA20" s="368"/>
      <c r="AB20" s="368"/>
      <c r="AC20" s="368" t="e">
        <f t="shared" si="2"/>
        <v>#N/A</v>
      </c>
      <c r="AD20" s="508"/>
      <c r="AE20" s="368"/>
      <c r="AF20" s="368"/>
      <c r="AG20" s="368"/>
      <c r="AH20" s="368" t="e">
        <f t="shared" si="3"/>
        <v>#N/A</v>
      </c>
      <c r="AI20" s="508"/>
      <c r="AJ20" s="368"/>
      <c r="AK20" s="368"/>
      <c r="AL20" s="368"/>
      <c r="AM20" s="368" t="e">
        <f t="shared" si="4"/>
        <v>#N/A</v>
      </c>
      <c r="AN20" s="508"/>
      <c r="AO20" s="368"/>
      <c r="AP20" s="368"/>
      <c r="AQ20" s="368"/>
      <c r="AR20" s="368" t="e">
        <f t="shared" si="5"/>
        <v>#N/A</v>
      </c>
      <c r="AS20" s="508"/>
      <c r="AT20" s="368"/>
      <c r="AU20" s="368"/>
      <c r="AV20" s="368"/>
      <c r="AW20" s="368" t="e">
        <f t="shared" si="6"/>
        <v>#N/A</v>
      </c>
      <c r="AX20" s="506"/>
    </row>
    <row r="21" spans="2:50">
      <c r="B21" s="483"/>
      <c r="C21" s="368">
        <v>15</v>
      </c>
      <c r="D21" s="257"/>
      <c r="E21" s="187"/>
      <c r="F21" s="368"/>
      <c r="G21" s="371"/>
      <c r="H21" s="509"/>
      <c r="I21" s="222"/>
      <c r="J21" s="222"/>
      <c r="K21" s="222"/>
      <c r="L21" s="458"/>
      <c r="M21" s="219" t="e">
        <f>RANK(K21, K$7:$K$21)</f>
        <v>#N/A</v>
      </c>
      <c r="N21" s="475"/>
      <c r="O21" s="475"/>
      <c r="P21" s="368"/>
      <c r="Q21" s="368"/>
      <c r="R21" s="368"/>
      <c r="S21" s="368" t="e">
        <f t="shared" si="0"/>
        <v>#N/A</v>
      </c>
      <c r="T21" s="509"/>
      <c r="U21" s="368"/>
      <c r="V21" s="368"/>
      <c r="W21" s="368"/>
      <c r="X21" s="368" t="e">
        <f t="shared" si="1"/>
        <v>#N/A</v>
      </c>
      <c r="Y21" s="509"/>
      <c r="Z21" s="368"/>
      <c r="AA21" s="368"/>
      <c r="AB21" s="368"/>
      <c r="AC21" s="368" t="e">
        <f t="shared" si="2"/>
        <v>#N/A</v>
      </c>
      <c r="AD21" s="509"/>
      <c r="AE21" s="368"/>
      <c r="AF21" s="368"/>
      <c r="AG21" s="368"/>
      <c r="AH21" s="368" t="e">
        <f t="shared" si="3"/>
        <v>#N/A</v>
      </c>
      <c r="AI21" s="509"/>
      <c r="AJ21" s="368"/>
      <c r="AK21" s="368"/>
      <c r="AL21" s="368"/>
      <c r="AM21" s="368" t="e">
        <f t="shared" si="4"/>
        <v>#N/A</v>
      </c>
      <c r="AN21" s="509"/>
      <c r="AO21" s="368"/>
      <c r="AP21" s="368"/>
      <c r="AQ21" s="368"/>
      <c r="AR21" s="368" t="e">
        <f t="shared" si="5"/>
        <v>#N/A</v>
      </c>
      <c r="AS21" s="509"/>
      <c r="AT21" s="368"/>
      <c r="AU21" s="368"/>
      <c r="AV21" s="368"/>
      <c r="AW21" s="368" t="e">
        <f t="shared" si="6"/>
        <v>#N/A</v>
      </c>
      <c r="AX21" s="506"/>
    </row>
    <row r="22" spans="2:50" ht="15.75">
      <c r="B22" s="500" t="s">
        <v>172</v>
      </c>
      <c r="C22" s="501"/>
      <c r="D22" s="501"/>
      <c r="E22" s="501"/>
      <c r="F22" s="501"/>
      <c r="G22" s="501"/>
      <c r="H22" s="501"/>
      <c r="I22" s="223"/>
      <c r="J22" s="223"/>
      <c r="K22" s="223"/>
      <c r="L22" s="223"/>
      <c r="M22" s="224"/>
      <c r="N22" s="476" t="s">
        <v>164</v>
      </c>
      <c r="O22" s="476" t="s">
        <v>105</v>
      </c>
      <c r="P22" s="502">
        <f>AT2+1</f>
        <v>45902</v>
      </c>
      <c r="Q22" s="503"/>
      <c r="R22" s="503"/>
      <c r="S22" s="503"/>
      <c r="T22" s="503"/>
      <c r="U22" s="482">
        <f>P22+1</f>
        <v>45903</v>
      </c>
      <c r="V22" s="483"/>
      <c r="W22" s="483"/>
      <c r="X22" s="483"/>
      <c r="Y22" s="483"/>
      <c r="Z22" s="482">
        <f>U22+1</f>
        <v>45904</v>
      </c>
      <c r="AA22" s="483"/>
      <c r="AB22" s="483"/>
      <c r="AC22" s="483"/>
      <c r="AD22" s="483"/>
      <c r="AE22" s="482">
        <f>Z22+1</f>
        <v>45905</v>
      </c>
      <c r="AF22" s="483"/>
      <c r="AG22" s="483"/>
      <c r="AH22" s="483"/>
      <c r="AI22" s="483"/>
      <c r="AJ22" s="482">
        <f>AE22+1</f>
        <v>45906</v>
      </c>
      <c r="AK22" s="483"/>
      <c r="AL22" s="483"/>
      <c r="AM22" s="483"/>
      <c r="AN22" s="483"/>
      <c r="AO22" s="482">
        <f>AJ22+1</f>
        <v>45907</v>
      </c>
      <c r="AP22" s="483"/>
      <c r="AQ22" s="483"/>
      <c r="AR22" s="483"/>
      <c r="AS22" s="483"/>
      <c r="AT22" s="482">
        <f>AO22+1</f>
        <v>45908</v>
      </c>
      <c r="AU22" s="483"/>
      <c r="AV22" s="483"/>
      <c r="AW22" s="483"/>
      <c r="AX22" s="483"/>
    </row>
    <row r="23" spans="2:50" ht="15.75">
      <c r="B23" s="490"/>
      <c r="C23" s="490"/>
      <c r="D23" s="490"/>
      <c r="E23" s="490"/>
      <c r="F23" s="490"/>
      <c r="G23" s="490"/>
      <c r="H23" s="490"/>
      <c r="I23" s="225"/>
      <c r="J23" s="225"/>
      <c r="K23" s="225"/>
      <c r="L23" s="225"/>
      <c r="M23" s="226"/>
      <c r="N23" s="478"/>
      <c r="O23" s="478"/>
      <c r="P23" s="482" t="s">
        <v>393</v>
      </c>
      <c r="Q23" s="483"/>
      <c r="R23" s="483"/>
      <c r="S23" s="483"/>
      <c r="T23" s="483"/>
      <c r="U23" s="482" t="s">
        <v>394</v>
      </c>
      <c r="V23" s="483"/>
      <c r="W23" s="483"/>
      <c r="X23" s="483"/>
      <c r="Y23" s="483"/>
      <c r="Z23" s="482" t="s">
        <v>395</v>
      </c>
      <c r="AA23" s="483"/>
      <c r="AB23" s="483"/>
      <c r="AC23" s="483"/>
      <c r="AD23" s="483"/>
      <c r="AE23" s="482" t="s">
        <v>396</v>
      </c>
      <c r="AF23" s="483"/>
      <c r="AG23" s="483"/>
      <c r="AH23" s="483"/>
      <c r="AI23" s="483"/>
      <c r="AJ23" s="482" t="s">
        <v>397</v>
      </c>
      <c r="AK23" s="483"/>
      <c r="AL23" s="483"/>
      <c r="AM23" s="483"/>
      <c r="AN23" s="483"/>
      <c r="AO23" s="482" t="s">
        <v>398</v>
      </c>
      <c r="AP23" s="483"/>
      <c r="AQ23" s="483"/>
      <c r="AR23" s="483"/>
      <c r="AS23" s="483"/>
      <c r="AT23" s="482" t="s">
        <v>399</v>
      </c>
      <c r="AU23" s="483"/>
      <c r="AV23" s="483"/>
      <c r="AW23" s="483"/>
      <c r="AX23" s="483"/>
    </row>
    <row r="24" spans="2:50">
      <c r="B24" s="475" t="s">
        <v>162</v>
      </c>
      <c r="C24" s="475" t="s">
        <v>835</v>
      </c>
      <c r="D24" s="475"/>
      <c r="E24" s="475" t="s">
        <v>836</v>
      </c>
      <c r="F24" s="475"/>
      <c r="G24" s="475"/>
      <c r="H24" s="491" t="s">
        <v>631</v>
      </c>
      <c r="I24" s="459" t="s">
        <v>636</v>
      </c>
      <c r="J24" s="459"/>
      <c r="K24" s="459"/>
      <c r="L24" s="460" t="s">
        <v>837</v>
      </c>
      <c r="M24" s="466" t="s">
        <v>829</v>
      </c>
      <c r="N24" s="475"/>
      <c r="O24" s="475" t="s">
        <v>637</v>
      </c>
      <c r="P24" s="472" t="s">
        <v>838</v>
      </c>
      <c r="Q24" s="473"/>
      <c r="R24" s="473"/>
      <c r="S24" s="474"/>
      <c r="T24" s="475" t="s">
        <v>631</v>
      </c>
      <c r="U24" s="472" t="s">
        <v>838</v>
      </c>
      <c r="V24" s="473"/>
      <c r="W24" s="473"/>
      <c r="X24" s="474"/>
      <c r="Y24" s="475" t="s">
        <v>837</v>
      </c>
      <c r="Z24" s="472" t="s">
        <v>633</v>
      </c>
      <c r="AA24" s="473"/>
      <c r="AB24" s="473"/>
      <c r="AC24" s="474"/>
      <c r="AD24" s="475" t="s">
        <v>631</v>
      </c>
      <c r="AE24" s="472" t="s">
        <v>633</v>
      </c>
      <c r="AF24" s="473"/>
      <c r="AG24" s="473"/>
      <c r="AH24" s="474"/>
      <c r="AI24" s="475" t="s">
        <v>837</v>
      </c>
      <c r="AJ24" s="472" t="s">
        <v>633</v>
      </c>
      <c r="AK24" s="473"/>
      <c r="AL24" s="473"/>
      <c r="AM24" s="474"/>
      <c r="AN24" s="475" t="s">
        <v>631</v>
      </c>
      <c r="AO24" s="472" t="s">
        <v>838</v>
      </c>
      <c r="AP24" s="473"/>
      <c r="AQ24" s="473"/>
      <c r="AR24" s="474"/>
      <c r="AS24" s="475" t="s">
        <v>631</v>
      </c>
      <c r="AT24" s="472" t="s">
        <v>838</v>
      </c>
      <c r="AU24" s="473"/>
      <c r="AV24" s="473"/>
      <c r="AW24" s="474"/>
      <c r="AX24" s="475" t="s">
        <v>631</v>
      </c>
    </row>
    <row r="25" spans="2:50">
      <c r="B25" s="475"/>
      <c r="C25" s="475"/>
      <c r="D25" s="475"/>
      <c r="E25" s="475" t="s">
        <v>839</v>
      </c>
      <c r="F25" s="475"/>
      <c r="G25" s="475"/>
      <c r="H25" s="492"/>
      <c r="I25" s="459" t="s">
        <v>839</v>
      </c>
      <c r="J25" s="459"/>
      <c r="K25" s="459"/>
      <c r="L25" s="461"/>
      <c r="M25" s="467"/>
      <c r="N25" s="475"/>
      <c r="O25" s="475"/>
      <c r="P25" s="472" t="s">
        <v>639</v>
      </c>
      <c r="Q25" s="473"/>
      <c r="R25" s="473"/>
      <c r="S25" s="474"/>
      <c r="T25" s="475"/>
      <c r="U25" s="472" t="s">
        <v>639</v>
      </c>
      <c r="V25" s="473"/>
      <c r="W25" s="473"/>
      <c r="X25" s="474"/>
      <c r="Y25" s="475"/>
      <c r="Z25" s="472" t="s">
        <v>840</v>
      </c>
      <c r="AA25" s="473"/>
      <c r="AB25" s="473"/>
      <c r="AC25" s="474"/>
      <c r="AD25" s="475"/>
      <c r="AE25" s="472" t="s">
        <v>840</v>
      </c>
      <c r="AF25" s="473"/>
      <c r="AG25" s="473"/>
      <c r="AH25" s="474"/>
      <c r="AI25" s="475"/>
      <c r="AJ25" s="472" t="s">
        <v>639</v>
      </c>
      <c r="AK25" s="473"/>
      <c r="AL25" s="473"/>
      <c r="AM25" s="474"/>
      <c r="AN25" s="475"/>
      <c r="AO25" s="472" t="s">
        <v>639</v>
      </c>
      <c r="AP25" s="473"/>
      <c r="AQ25" s="473"/>
      <c r="AR25" s="474"/>
      <c r="AS25" s="475"/>
      <c r="AT25" s="472" t="s">
        <v>840</v>
      </c>
      <c r="AU25" s="473"/>
      <c r="AV25" s="473"/>
      <c r="AW25" s="474"/>
      <c r="AX25" s="475"/>
    </row>
    <row r="26" spans="2:50">
      <c r="B26" s="475"/>
      <c r="C26" s="475"/>
      <c r="D26" s="475"/>
      <c r="E26" s="373" t="s">
        <v>640</v>
      </c>
      <c r="F26" s="373" t="s">
        <v>641</v>
      </c>
      <c r="G26" s="373" t="s">
        <v>642</v>
      </c>
      <c r="H26" s="493"/>
      <c r="I26" s="372" t="s">
        <v>841</v>
      </c>
      <c r="J26" s="372" t="s">
        <v>842</v>
      </c>
      <c r="K26" s="372" t="s">
        <v>843</v>
      </c>
      <c r="L26" s="462"/>
      <c r="M26" s="468"/>
      <c r="N26" s="475"/>
      <c r="O26" s="475"/>
      <c r="P26" s="373" t="s">
        <v>841</v>
      </c>
      <c r="Q26" s="373" t="s">
        <v>641</v>
      </c>
      <c r="R26" s="373" t="s">
        <v>642</v>
      </c>
      <c r="S26" s="373" t="s">
        <v>632</v>
      </c>
      <c r="T26" s="475"/>
      <c r="U26" s="373" t="s">
        <v>640</v>
      </c>
      <c r="V26" s="373" t="s">
        <v>842</v>
      </c>
      <c r="W26" s="373" t="s">
        <v>843</v>
      </c>
      <c r="X26" s="373" t="s">
        <v>632</v>
      </c>
      <c r="Y26" s="475"/>
      <c r="Z26" s="373" t="s">
        <v>841</v>
      </c>
      <c r="AA26" s="373" t="s">
        <v>842</v>
      </c>
      <c r="AB26" s="373" t="s">
        <v>642</v>
      </c>
      <c r="AC26" s="373" t="s">
        <v>632</v>
      </c>
      <c r="AD26" s="475"/>
      <c r="AE26" s="373" t="s">
        <v>841</v>
      </c>
      <c r="AF26" s="373" t="s">
        <v>844</v>
      </c>
      <c r="AG26" s="373" t="s">
        <v>642</v>
      </c>
      <c r="AH26" s="373" t="s">
        <v>845</v>
      </c>
      <c r="AI26" s="475"/>
      <c r="AJ26" s="373" t="s">
        <v>640</v>
      </c>
      <c r="AK26" s="373" t="s">
        <v>842</v>
      </c>
      <c r="AL26" s="373" t="s">
        <v>642</v>
      </c>
      <c r="AM26" s="373" t="s">
        <v>632</v>
      </c>
      <c r="AN26" s="475"/>
      <c r="AO26" s="373" t="s">
        <v>640</v>
      </c>
      <c r="AP26" s="373" t="s">
        <v>842</v>
      </c>
      <c r="AQ26" s="373" t="s">
        <v>843</v>
      </c>
      <c r="AR26" s="373" t="s">
        <v>632</v>
      </c>
      <c r="AS26" s="475"/>
      <c r="AT26" s="373" t="s">
        <v>640</v>
      </c>
      <c r="AU26" s="373" t="s">
        <v>842</v>
      </c>
      <c r="AV26" s="373" t="s">
        <v>642</v>
      </c>
      <c r="AW26" s="373" t="s">
        <v>632</v>
      </c>
      <c r="AX26" s="475"/>
    </row>
    <row r="27" spans="2:50">
      <c r="B27" s="475" t="s">
        <v>846</v>
      </c>
      <c r="C27" s="374">
        <v>1</v>
      </c>
      <c r="D27" s="257" t="s">
        <v>494</v>
      </c>
      <c r="E27" s="187">
        <v>21</v>
      </c>
      <c r="F27" s="374">
        <v>2400</v>
      </c>
      <c r="G27" s="375">
        <v>114.28571428571429</v>
      </c>
      <c r="H27" s="507">
        <f>AVERAGE(G27:G41)</f>
        <v>143.60275689223059</v>
      </c>
      <c r="I27" s="219">
        <f>AVERAGE(P27,U27,Z27,AE27,AJ27,AO27,AT27)</f>
        <v>20</v>
      </c>
      <c r="J27" s="219">
        <f>AVERAGE(Q27,V27,AA27,AF27,AK27,AP27,AU27)</f>
        <v>2163.4197682499307</v>
      </c>
      <c r="K27" s="220">
        <f>AVERAGE(R27,W27,AB27,AG27,AL27,AQ27,AV27)</f>
        <v>108.17098841249654</v>
      </c>
      <c r="L27" s="456">
        <f>IFERROR(AVERAGE(K27:K41),"-")</f>
        <v>117.39386069342603</v>
      </c>
      <c r="M27" s="221">
        <f>RANK(K27, K$27:$K$41)</f>
        <v>5</v>
      </c>
      <c r="N27" s="475"/>
      <c r="O27" s="475"/>
      <c r="P27" s="374">
        <v>20</v>
      </c>
      <c r="Q27" s="375">
        <v>2148.4615384615372</v>
      </c>
      <c r="R27" s="375">
        <v>107.42307692307686</v>
      </c>
      <c r="S27" s="374">
        <f t="shared" ref="S27:S41" si="8">RANK(R27, R$27:R$41)</f>
        <v>5</v>
      </c>
      <c r="T27" s="507">
        <f>AVERAGE(R27:R41)</f>
        <v>116.59889583033596</v>
      </c>
      <c r="U27" s="374">
        <v>20</v>
      </c>
      <c r="V27" s="375">
        <v>2120.9999999999991</v>
      </c>
      <c r="W27" s="375">
        <v>106.04999999999995</v>
      </c>
      <c r="X27" s="374">
        <f t="shared" ref="X27:X41" si="9">RANK(W27, W$27:W$41)</f>
        <v>5</v>
      </c>
      <c r="Y27" s="507">
        <f>AVERAGE(W27:W41)</f>
        <v>116.54833019952412</v>
      </c>
      <c r="Z27" s="374">
        <v>20</v>
      </c>
      <c r="AA27" s="375">
        <v>2192.8000000000011</v>
      </c>
      <c r="AB27" s="375">
        <v>109.64000000000006</v>
      </c>
      <c r="AC27" s="374">
        <f t="shared" ref="AC27:AC41" si="10">RANK(AB27, AB$27:AB$41)</f>
        <v>5</v>
      </c>
      <c r="AD27" s="507">
        <f>AVERAGE(AB27:AB41)</f>
        <v>117.67140155257587</v>
      </c>
      <c r="AE27" s="374">
        <v>20</v>
      </c>
      <c r="AF27" s="375">
        <v>2176.9014084507048</v>
      </c>
      <c r="AG27" s="375">
        <v>108.84507042253524</v>
      </c>
      <c r="AH27" s="374">
        <f t="shared" ref="AH27:AH41" si="11">RANK(AG27, AG$27:AG$41)</f>
        <v>5</v>
      </c>
      <c r="AI27" s="507">
        <f>AVERAGE(AG27:AG41)</f>
        <v>117.75791759691776</v>
      </c>
      <c r="AJ27" s="374">
        <v>20</v>
      </c>
      <c r="AK27" s="375">
        <v>2142.5000000000005</v>
      </c>
      <c r="AL27" s="375">
        <v>107.12500000000003</v>
      </c>
      <c r="AM27" s="374">
        <f t="shared" ref="AM27:AM41" si="12">RANK(AL27, AL$27:AL$41)</f>
        <v>5</v>
      </c>
      <c r="AN27" s="507">
        <f>AVERAGE(AL27:AL41)</f>
        <v>117.25319266122494</v>
      </c>
      <c r="AO27" s="374">
        <v>20</v>
      </c>
      <c r="AP27" s="375">
        <v>2165.0602409638545</v>
      </c>
      <c r="AQ27" s="375">
        <v>108.25301204819273</v>
      </c>
      <c r="AR27" s="374">
        <f t="shared" ref="AR27:AR41" si="13">RANK(AQ27, AQ$27:AQ$41)</f>
        <v>5</v>
      </c>
      <c r="AS27" s="507">
        <f>AVERAGE(AQ27:AQ41)</f>
        <v>116.94252243323328</v>
      </c>
      <c r="AT27" s="374">
        <v>20</v>
      </c>
      <c r="AU27" s="375">
        <v>2197.2151898734191</v>
      </c>
      <c r="AV27" s="375">
        <v>109.86075949367095</v>
      </c>
      <c r="AW27" s="374">
        <f t="shared" ref="AW27:AW41" si="14">RANK(AV27, AV$27:AV$41)</f>
        <v>5</v>
      </c>
      <c r="AX27" s="506">
        <f>AVERAGE(AV27:AV41)</f>
        <v>118.98476458017039</v>
      </c>
    </row>
    <row r="28" spans="2:50">
      <c r="B28" s="483"/>
      <c r="C28" s="374">
        <v>2</v>
      </c>
      <c r="D28" s="257" t="s">
        <v>495</v>
      </c>
      <c r="E28" s="187">
        <v>18</v>
      </c>
      <c r="F28" s="374">
        <v>3000</v>
      </c>
      <c r="G28" s="375">
        <v>166.66666666666666</v>
      </c>
      <c r="H28" s="508"/>
      <c r="I28" s="219">
        <f t="shared" ref="I28:I31" si="15">AVERAGE(P28,U28,Z28,AE28,AJ28,AO28,AT28)</f>
        <v>20</v>
      </c>
      <c r="J28" s="219">
        <f t="shared" ref="J28:J31" si="16">AVERAGE(Q28,V28,AA28,AF28,AK28,AP28,AU28)</f>
        <v>2376.9199745061464</v>
      </c>
      <c r="K28" s="220">
        <f t="shared" ref="K28:K31" si="17">AVERAGE(R28,W28,AB28,AG28,AL28,AQ28,AV28)</f>
        <v>118.84599872530734</v>
      </c>
      <c r="L28" s="457"/>
      <c r="M28" s="221">
        <f>RANK(K28, K$27:$K$41)</f>
        <v>3</v>
      </c>
      <c r="N28" s="475"/>
      <c r="O28" s="475"/>
      <c r="P28" s="374">
        <v>20</v>
      </c>
      <c r="Q28" s="375">
        <v>2380.588235294118</v>
      </c>
      <c r="R28" s="375">
        <v>119.0294117647059</v>
      </c>
      <c r="S28" s="374">
        <f t="shared" si="8"/>
        <v>3</v>
      </c>
      <c r="T28" s="508"/>
      <c r="U28" s="374">
        <v>20</v>
      </c>
      <c r="V28" s="375">
        <v>2352.3529411764703</v>
      </c>
      <c r="W28" s="375">
        <v>117.61764705882351</v>
      </c>
      <c r="X28" s="374">
        <f t="shared" si="9"/>
        <v>3</v>
      </c>
      <c r="Y28" s="508"/>
      <c r="Z28" s="374">
        <v>20</v>
      </c>
      <c r="AA28" s="375">
        <v>2320.6153846153838</v>
      </c>
      <c r="AB28" s="375">
        <v>116.0307692307692</v>
      </c>
      <c r="AC28" s="374">
        <f t="shared" si="10"/>
        <v>3</v>
      </c>
      <c r="AD28" s="508"/>
      <c r="AE28" s="374">
        <v>20</v>
      </c>
      <c r="AF28" s="375">
        <v>2400.967741935483</v>
      </c>
      <c r="AG28" s="375">
        <v>120.04838709677415</v>
      </c>
      <c r="AH28" s="374">
        <f t="shared" si="11"/>
        <v>3</v>
      </c>
      <c r="AI28" s="508"/>
      <c r="AJ28" s="374">
        <v>20</v>
      </c>
      <c r="AK28" s="375">
        <v>2357.4193548387088</v>
      </c>
      <c r="AL28" s="375">
        <v>117.87096774193544</v>
      </c>
      <c r="AM28" s="374">
        <f t="shared" si="12"/>
        <v>3</v>
      </c>
      <c r="AN28" s="508"/>
      <c r="AO28" s="374">
        <v>20</v>
      </c>
      <c r="AP28" s="375">
        <v>2398.2608695652175</v>
      </c>
      <c r="AQ28" s="375">
        <v>119.91304347826087</v>
      </c>
      <c r="AR28" s="374">
        <f t="shared" si="13"/>
        <v>3</v>
      </c>
      <c r="AS28" s="508"/>
      <c r="AT28" s="374">
        <v>20</v>
      </c>
      <c r="AU28" s="375">
        <v>2428.2352941176468</v>
      </c>
      <c r="AV28" s="375">
        <v>121.41176470588235</v>
      </c>
      <c r="AW28" s="374">
        <f t="shared" si="14"/>
        <v>3</v>
      </c>
      <c r="AX28" s="506"/>
    </row>
    <row r="29" spans="2:50">
      <c r="B29" s="483"/>
      <c r="C29" s="374">
        <v>3</v>
      </c>
      <c r="D29" s="257" t="s">
        <v>496</v>
      </c>
      <c r="E29" s="187">
        <v>20</v>
      </c>
      <c r="F29" s="374">
        <v>2250</v>
      </c>
      <c r="G29" s="375">
        <v>112.5</v>
      </c>
      <c r="H29" s="508"/>
      <c r="I29" s="219">
        <f t="shared" si="15"/>
        <v>20</v>
      </c>
      <c r="J29" s="219">
        <f t="shared" si="16"/>
        <v>2278.6796205576211</v>
      </c>
      <c r="K29" s="220">
        <f t="shared" si="17"/>
        <v>113.93398102788103</v>
      </c>
      <c r="L29" s="457"/>
      <c r="M29" s="221">
        <f>RANK(K29, K$27:$K$41)</f>
        <v>4</v>
      </c>
      <c r="N29" s="475"/>
      <c r="O29" s="475"/>
      <c r="P29" s="374">
        <v>20</v>
      </c>
      <c r="Q29" s="375">
        <v>2214.8275862068954</v>
      </c>
      <c r="R29" s="375">
        <v>110.74137931034477</v>
      </c>
      <c r="S29" s="374">
        <f t="shared" si="8"/>
        <v>4</v>
      </c>
      <c r="T29" s="508"/>
      <c r="U29" s="374">
        <v>20</v>
      </c>
      <c r="V29" s="375">
        <v>2267.1428571428587</v>
      </c>
      <c r="W29" s="375">
        <v>113.35714285714293</v>
      </c>
      <c r="X29" s="374">
        <f t="shared" si="9"/>
        <v>4</v>
      </c>
      <c r="Y29" s="508"/>
      <c r="Z29" s="374">
        <v>20</v>
      </c>
      <c r="AA29" s="375">
        <v>2280</v>
      </c>
      <c r="AB29" s="375">
        <v>114</v>
      </c>
      <c r="AC29" s="374">
        <f t="shared" si="10"/>
        <v>4</v>
      </c>
      <c r="AD29" s="508"/>
      <c r="AE29" s="374">
        <v>20</v>
      </c>
      <c r="AF29" s="375">
        <v>2324.6808510638302</v>
      </c>
      <c r="AG29" s="375">
        <v>116.23404255319151</v>
      </c>
      <c r="AH29" s="374">
        <f t="shared" si="11"/>
        <v>4</v>
      </c>
      <c r="AI29" s="508"/>
      <c r="AJ29" s="374">
        <v>20</v>
      </c>
      <c r="AK29" s="375">
        <v>2333.6170212765965</v>
      </c>
      <c r="AL29" s="375">
        <v>116.68085106382982</v>
      </c>
      <c r="AM29" s="374">
        <f t="shared" si="12"/>
        <v>4</v>
      </c>
      <c r="AN29" s="508"/>
      <c r="AO29" s="374">
        <v>20</v>
      </c>
      <c r="AP29" s="375">
        <v>2221.0344827586191</v>
      </c>
      <c r="AQ29" s="375">
        <v>111.05172413793096</v>
      </c>
      <c r="AR29" s="374">
        <f t="shared" si="13"/>
        <v>4</v>
      </c>
      <c r="AS29" s="508"/>
      <c r="AT29" s="374">
        <v>20</v>
      </c>
      <c r="AU29" s="375">
        <v>2309.4545454545469</v>
      </c>
      <c r="AV29" s="375">
        <v>115.47272727272734</v>
      </c>
      <c r="AW29" s="374">
        <f t="shared" si="14"/>
        <v>4</v>
      </c>
      <c r="AX29" s="506"/>
    </row>
    <row r="30" spans="2:50">
      <c r="B30" s="483"/>
      <c r="C30" s="374">
        <v>4</v>
      </c>
      <c r="D30" s="257" t="s">
        <v>497</v>
      </c>
      <c r="E30" s="187">
        <v>18</v>
      </c>
      <c r="F30" s="374">
        <v>3000</v>
      </c>
      <c r="G30" s="375">
        <v>166.66666666666666</v>
      </c>
      <c r="H30" s="508"/>
      <c r="I30" s="219">
        <f t="shared" si="15"/>
        <v>20</v>
      </c>
      <c r="J30" s="219">
        <f t="shared" si="16"/>
        <v>2461.4239043792136</v>
      </c>
      <c r="K30" s="220">
        <f t="shared" si="17"/>
        <v>123.07119521896065</v>
      </c>
      <c r="L30" s="457"/>
      <c r="M30" s="221">
        <f>RANK(K30, K$27:$K$41)</f>
        <v>1</v>
      </c>
      <c r="N30" s="475"/>
      <c r="O30" s="475"/>
      <c r="P30" s="374">
        <v>20</v>
      </c>
      <c r="Q30" s="375">
        <v>2427.272727272727</v>
      </c>
      <c r="R30" s="375">
        <v>121.36363636363635</v>
      </c>
      <c r="S30" s="374">
        <f t="shared" si="8"/>
        <v>2</v>
      </c>
      <c r="T30" s="508"/>
      <c r="U30" s="374">
        <v>20</v>
      </c>
      <c r="V30" s="375">
        <v>2503.9024390243894</v>
      </c>
      <c r="W30" s="375">
        <v>125.19512195121948</v>
      </c>
      <c r="X30" s="374">
        <f t="shared" si="9"/>
        <v>1</v>
      </c>
      <c r="Y30" s="508"/>
      <c r="Z30" s="374">
        <v>20</v>
      </c>
      <c r="AA30" s="375">
        <v>2483.9999999999991</v>
      </c>
      <c r="AB30" s="375">
        <v>124.19999999999996</v>
      </c>
      <c r="AC30" s="374">
        <f t="shared" si="10"/>
        <v>2</v>
      </c>
      <c r="AD30" s="508"/>
      <c r="AE30" s="374">
        <v>20</v>
      </c>
      <c r="AF30" s="375">
        <v>2445.3846153846139</v>
      </c>
      <c r="AG30" s="375">
        <v>122.26923076923069</v>
      </c>
      <c r="AH30" s="374">
        <f t="shared" si="11"/>
        <v>1</v>
      </c>
      <c r="AI30" s="508"/>
      <c r="AJ30" s="374">
        <v>20</v>
      </c>
      <c r="AK30" s="375">
        <v>2446.9230769230758</v>
      </c>
      <c r="AL30" s="375">
        <v>122.34615384615378</v>
      </c>
      <c r="AM30" s="374">
        <f t="shared" si="12"/>
        <v>1</v>
      </c>
      <c r="AN30" s="508"/>
      <c r="AO30" s="374">
        <v>20</v>
      </c>
      <c r="AP30" s="375">
        <v>2418.913043478261</v>
      </c>
      <c r="AQ30" s="375">
        <v>120.94565217391305</v>
      </c>
      <c r="AR30" s="374">
        <f t="shared" si="13"/>
        <v>2</v>
      </c>
      <c r="AS30" s="508"/>
      <c r="AT30" s="374">
        <v>20</v>
      </c>
      <c r="AU30" s="375">
        <v>2503.5714285714275</v>
      </c>
      <c r="AV30" s="375">
        <v>125.17857142857137</v>
      </c>
      <c r="AW30" s="374">
        <f t="shared" si="14"/>
        <v>1</v>
      </c>
      <c r="AX30" s="506"/>
    </row>
    <row r="31" spans="2:50">
      <c r="B31" s="483"/>
      <c r="C31" s="374">
        <v>5</v>
      </c>
      <c r="D31" s="257" t="s">
        <v>498</v>
      </c>
      <c r="E31" s="187">
        <v>19</v>
      </c>
      <c r="F31" s="374">
        <v>3000</v>
      </c>
      <c r="G31" s="375">
        <v>157.89473684210526</v>
      </c>
      <c r="H31" s="508"/>
      <c r="I31" s="219">
        <f t="shared" si="15"/>
        <v>20</v>
      </c>
      <c r="J31" s="219">
        <f t="shared" si="16"/>
        <v>2458.9428016496927</v>
      </c>
      <c r="K31" s="220">
        <f t="shared" si="17"/>
        <v>122.94714008248464</v>
      </c>
      <c r="L31" s="457"/>
      <c r="M31" s="221">
        <f>RANK(K31, K$27:$K$41)</f>
        <v>2</v>
      </c>
      <c r="N31" s="475"/>
      <c r="O31" s="475"/>
      <c r="P31" s="374">
        <v>20</v>
      </c>
      <c r="Q31" s="375">
        <v>2488.7394957983183</v>
      </c>
      <c r="R31" s="375">
        <v>124.43697478991592</v>
      </c>
      <c r="S31" s="374">
        <f t="shared" si="8"/>
        <v>1</v>
      </c>
      <c r="T31" s="508"/>
      <c r="U31" s="374">
        <v>20</v>
      </c>
      <c r="V31" s="375">
        <v>2410.4347826086941</v>
      </c>
      <c r="W31" s="375">
        <v>120.52173913043471</v>
      </c>
      <c r="X31" s="374">
        <f t="shared" si="9"/>
        <v>2</v>
      </c>
      <c r="Y31" s="508"/>
      <c r="Z31" s="374">
        <v>20</v>
      </c>
      <c r="AA31" s="375">
        <v>2489.7247706422031</v>
      </c>
      <c r="AB31" s="375">
        <v>124.48623853211015</v>
      </c>
      <c r="AC31" s="374">
        <f t="shared" si="10"/>
        <v>1</v>
      </c>
      <c r="AD31" s="508"/>
      <c r="AE31" s="374">
        <v>20</v>
      </c>
      <c r="AF31" s="375">
        <v>2427.8571428571445</v>
      </c>
      <c r="AG31" s="375">
        <v>121.39285714285722</v>
      </c>
      <c r="AH31" s="374">
        <f t="shared" si="11"/>
        <v>2</v>
      </c>
      <c r="AI31" s="508"/>
      <c r="AJ31" s="374">
        <v>20</v>
      </c>
      <c r="AK31" s="375">
        <v>2444.8598130841137</v>
      </c>
      <c r="AL31" s="375">
        <v>122.24299065420568</v>
      </c>
      <c r="AM31" s="374">
        <f t="shared" si="12"/>
        <v>2</v>
      </c>
      <c r="AN31" s="508"/>
      <c r="AO31" s="374">
        <v>20</v>
      </c>
      <c r="AP31" s="375">
        <v>2490.9836065573759</v>
      </c>
      <c r="AQ31" s="375">
        <v>124.5491803278688</v>
      </c>
      <c r="AR31" s="374">
        <f t="shared" si="13"/>
        <v>1</v>
      </c>
      <c r="AS31" s="508"/>
      <c r="AT31" s="374">
        <v>20</v>
      </c>
      <c r="AU31" s="375">
        <v>2459.9999999999986</v>
      </c>
      <c r="AV31" s="375">
        <v>122.99999999999993</v>
      </c>
      <c r="AW31" s="374">
        <f t="shared" si="14"/>
        <v>2</v>
      </c>
      <c r="AX31" s="506"/>
    </row>
    <row r="32" spans="2:50">
      <c r="B32" s="483"/>
      <c r="C32" s="374">
        <v>6</v>
      </c>
      <c r="D32" s="257"/>
      <c r="E32" s="187"/>
      <c r="F32" s="374"/>
      <c r="G32" s="375"/>
      <c r="H32" s="508"/>
      <c r="I32" s="219"/>
      <c r="J32" s="219"/>
      <c r="K32" s="220"/>
      <c r="L32" s="457"/>
      <c r="M32" s="221" t="e">
        <f>RANK(K32, K$27:$K$41)</f>
        <v>#N/A</v>
      </c>
      <c r="N32" s="475"/>
      <c r="O32" s="475"/>
      <c r="P32" s="374"/>
      <c r="Q32" s="375"/>
      <c r="R32" s="375"/>
      <c r="S32" s="374" t="e">
        <f t="shared" si="8"/>
        <v>#N/A</v>
      </c>
      <c r="T32" s="508"/>
      <c r="U32" s="374"/>
      <c r="V32" s="375"/>
      <c r="W32" s="375"/>
      <c r="X32" s="374" t="e">
        <f t="shared" si="9"/>
        <v>#N/A</v>
      </c>
      <c r="Y32" s="508"/>
      <c r="Z32" s="374"/>
      <c r="AA32" s="375"/>
      <c r="AB32" s="375"/>
      <c r="AC32" s="374" t="e">
        <f t="shared" si="10"/>
        <v>#N/A</v>
      </c>
      <c r="AD32" s="508"/>
      <c r="AE32" s="374"/>
      <c r="AF32" s="375"/>
      <c r="AG32" s="375"/>
      <c r="AH32" s="374" t="e">
        <f t="shared" si="11"/>
        <v>#N/A</v>
      </c>
      <c r="AI32" s="508"/>
      <c r="AJ32" s="374"/>
      <c r="AK32" s="375"/>
      <c r="AL32" s="375"/>
      <c r="AM32" s="374" t="e">
        <f t="shared" si="12"/>
        <v>#N/A</v>
      </c>
      <c r="AN32" s="508"/>
      <c r="AO32" s="374"/>
      <c r="AP32" s="375"/>
      <c r="AQ32" s="375"/>
      <c r="AR32" s="374" t="e">
        <f t="shared" si="13"/>
        <v>#N/A</v>
      </c>
      <c r="AS32" s="508"/>
      <c r="AT32" s="374"/>
      <c r="AU32" s="375"/>
      <c r="AV32" s="375"/>
      <c r="AW32" s="374" t="e">
        <f t="shared" si="14"/>
        <v>#N/A</v>
      </c>
      <c r="AX32" s="506"/>
    </row>
    <row r="33" spans="2:50">
      <c r="B33" s="483"/>
      <c r="C33" s="374">
        <v>7</v>
      </c>
      <c r="D33" s="257"/>
      <c r="E33" s="187"/>
      <c r="F33" s="374"/>
      <c r="G33" s="375"/>
      <c r="H33" s="508"/>
      <c r="I33" s="219"/>
      <c r="J33" s="219"/>
      <c r="K33" s="220"/>
      <c r="L33" s="457"/>
      <c r="M33" s="221" t="e">
        <f>RANK(K33, K$27:$K$41)</f>
        <v>#N/A</v>
      </c>
      <c r="N33" s="475"/>
      <c r="O33" s="475"/>
      <c r="P33" s="374"/>
      <c r="Q33" s="375"/>
      <c r="R33" s="375"/>
      <c r="S33" s="374" t="e">
        <f t="shared" si="8"/>
        <v>#N/A</v>
      </c>
      <c r="T33" s="508"/>
      <c r="U33" s="374"/>
      <c r="V33" s="375"/>
      <c r="W33" s="375"/>
      <c r="X33" s="374" t="e">
        <f t="shared" si="9"/>
        <v>#N/A</v>
      </c>
      <c r="Y33" s="508"/>
      <c r="Z33" s="374"/>
      <c r="AA33" s="375"/>
      <c r="AB33" s="375"/>
      <c r="AC33" s="374" t="e">
        <f t="shared" si="10"/>
        <v>#N/A</v>
      </c>
      <c r="AD33" s="508"/>
      <c r="AE33" s="374"/>
      <c r="AF33" s="375"/>
      <c r="AG33" s="375"/>
      <c r="AH33" s="374" t="e">
        <f t="shared" si="11"/>
        <v>#N/A</v>
      </c>
      <c r="AI33" s="508"/>
      <c r="AJ33" s="374"/>
      <c r="AK33" s="375"/>
      <c r="AL33" s="375"/>
      <c r="AM33" s="374" t="e">
        <f t="shared" si="12"/>
        <v>#N/A</v>
      </c>
      <c r="AN33" s="508"/>
      <c r="AO33" s="374"/>
      <c r="AP33" s="375"/>
      <c r="AQ33" s="375"/>
      <c r="AR33" s="374" t="e">
        <f t="shared" si="13"/>
        <v>#N/A</v>
      </c>
      <c r="AS33" s="508"/>
      <c r="AT33" s="374"/>
      <c r="AU33" s="375"/>
      <c r="AV33" s="375"/>
      <c r="AW33" s="374" t="e">
        <f t="shared" si="14"/>
        <v>#N/A</v>
      </c>
      <c r="AX33" s="506"/>
    </row>
    <row r="34" spans="2:50">
      <c r="B34" s="483"/>
      <c r="C34" s="374">
        <v>8</v>
      </c>
      <c r="D34" s="257"/>
      <c r="E34" s="187"/>
      <c r="F34" s="374"/>
      <c r="G34" s="375"/>
      <c r="H34" s="508"/>
      <c r="I34" s="219"/>
      <c r="J34" s="219"/>
      <c r="K34" s="220"/>
      <c r="L34" s="457"/>
      <c r="M34" s="221" t="e">
        <f>RANK(K34, K$27:$K$41)</f>
        <v>#N/A</v>
      </c>
      <c r="N34" s="475"/>
      <c r="O34" s="475"/>
      <c r="P34" s="374"/>
      <c r="Q34" s="375"/>
      <c r="R34" s="375"/>
      <c r="S34" s="374" t="e">
        <f t="shared" si="8"/>
        <v>#N/A</v>
      </c>
      <c r="T34" s="508"/>
      <c r="U34" s="374"/>
      <c r="V34" s="375"/>
      <c r="W34" s="375"/>
      <c r="X34" s="374" t="e">
        <f t="shared" si="9"/>
        <v>#N/A</v>
      </c>
      <c r="Y34" s="508"/>
      <c r="Z34" s="374"/>
      <c r="AA34" s="375"/>
      <c r="AB34" s="375"/>
      <c r="AC34" s="374" t="e">
        <f t="shared" si="10"/>
        <v>#N/A</v>
      </c>
      <c r="AD34" s="508"/>
      <c r="AE34" s="374"/>
      <c r="AF34" s="375"/>
      <c r="AG34" s="375"/>
      <c r="AH34" s="374" t="e">
        <f t="shared" si="11"/>
        <v>#N/A</v>
      </c>
      <c r="AI34" s="508"/>
      <c r="AJ34" s="374"/>
      <c r="AK34" s="375"/>
      <c r="AL34" s="375"/>
      <c r="AM34" s="374" t="e">
        <f t="shared" si="12"/>
        <v>#N/A</v>
      </c>
      <c r="AN34" s="508"/>
      <c r="AO34" s="374"/>
      <c r="AP34" s="375"/>
      <c r="AQ34" s="375"/>
      <c r="AR34" s="374" t="e">
        <f t="shared" si="13"/>
        <v>#N/A</v>
      </c>
      <c r="AS34" s="508"/>
      <c r="AT34" s="374"/>
      <c r="AU34" s="375"/>
      <c r="AV34" s="375"/>
      <c r="AW34" s="374" t="e">
        <f t="shared" si="14"/>
        <v>#N/A</v>
      </c>
      <c r="AX34" s="506"/>
    </row>
    <row r="35" spans="2:50">
      <c r="B35" s="483"/>
      <c r="C35" s="374">
        <v>9</v>
      </c>
      <c r="D35" s="257"/>
      <c r="E35" s="187"/>
      <c r="F35" s="374"/>
      <c r="G35" s="375"/>
      <c r="H35" s="508"/>
      <c r="I35" s="219"/>
      <c r="J35" s="219"/>
      <c r="K35" s="220"/>
      <c r="L35" s="457"/>
      <c r="M35" s="221" t="e">
        <f>RANK(K35, K$27:$K$41)</f>
        <v>#N/A</v>
      </c>
      <c r="N35" s="475"/>
      <c r="O35" s="475"/>
      <c r="P35" s="374"/>
      <c r="Q35" s="375"/>
      <c r="R35" s="375"/>
      <c r="S35" s="374" t="e">
        <f t="shared" si="8"/>
        <v>#N/A</v>
      </c>
      <c r="T35" s="508"/>
      <c r="U35" s="374"/>
      <c r="V35" s="375"/>
      <c r="W35" s="375"/>
      <c r="X35" s="374" t="e">
        <f t="shared" si="9"/>
        <v>#N/A</v>
      </c>
      <c r="Y35" s="508"/>
      <c r="Z35" s="374"/>
      <c r="AA35" s="375"/>
      <c r="AB35" s="375"/>
      <c r="AC35" s="374" t="e">
        <f t="shared" si="10"/>
        <v>#N/A</v>
      </c>
      <c r="AD35" s="508"/>
      <c r="AE35" s="374"/>
      <c r="AF35" s="375"/>
      <c r="AG35" s="375"/>
      <c r="AH35" s="374" t="e">
        <f t="shared" si="11"/>
        <v>#N/A</v>
      </c>
      <c r="AI35" s="508"/>
      <c r="AJ35" s="374"/>
      <c r="AK35" s="375"/>
      <c r="AL35" s="375"/>
      <c r="AM35" s="374" t="e">
        <f t="shared" si="12"/>
        <v>#N/A</v>
      </c>
      <c r="AN35" s="508"/>
      <c r="AO35" s="374"/>
      <c r="AP35" s="375"/>
      <c r="AQ35" s="375"/>
      <c r="AR35" s="374" t="e">
        <f t="shared" si="13"/>
        <v>#N/A</v>
      </c>
      <c r="AS35" s="508"/>
      <c r="AT35" s="374"/>
      <c r="AU35" s="375"/>
      <c r="AV35" s="375"/>
      <c r="AW35" s="374" t="e">
        <f t="shared" si="14"/>
        <v>#N/A</v>
      </c>
      <c r="AX35" s="506"/>
    </row>
    <row r="36" spans="2:50">
      <c r="B36" s="483"/>
      <c r="C36" s="374">
        <v>10</v>
      </c>
      <c r="D36" s="257"/>
      <c r="E36" s="187"/>
      <c r="F36" s="374"/>
      <c r="G36" s="375"/>
      <c r="H36" s="508"/>
      <c r="I36" s="219"/>
      <c r="J36" s="219"/>
      <c r="K36" s="220"/>
      <c r="L36" s="457"/>
      <c r="M36" s="221" t="e">
        <f>RANK(K36, K$27:$K$41)</f>
        <v>#N/A</v>
      </c>
      <c r="N36" s="475"/>
      <c r="O36" s="475"/>
      <c r="P36" s="374"/>
      <c r="Q36" s="374"/>
      <c r="R36" s="375"/>
      <c r="S36" s="374" t="e">
        <f t="shared" si="8"/>
        <v>#N/A</v>
      </c>
      <c r="T36" s="508"/>
      <c r="U36" s="374"/>
      <c r="V36" s="374"/>
      <c r="W36" s="375"/>
      <c r="X36" s="374" t="e">
        <f t="shared" si="9"/>
        <v>#N/A</v>
      </c>
      <c r="Y36" s="508"/>
      <c r="Z36" s="374"/>
      <c r="AA36" s="374"/>
      <c r="AB36" s="375"/>
      <c r="AC36" s="374" t="e">
        <f t="shared" si="10"/>
        <v>#N/A</v>
      </c>
      <c r="AD36" s="508"/>
      <c r="AE36" s="374"/>
      <c r="AF36" s="374"/>
      <c r="AG36" s="375"/>
      <c r="AH36" s="374" t="e">
        <f t="shared" si="11"/>
        <v>#N/A</v>
      </c>
      <c r="AI36" s="508"/>
      <c r="AJ36" s="374"/>
      <c r="AK36" s="374"/>
      <c r="AL36" s="375"/>
      <c r="AM36" s="374" t="e">
        <f t="shared" si="12"/>
        <v>#N/A</v>
      </c>
      <c r="AN36" s="508"/>
      <c r="AO36" s="374"/>
      <c r="AP36" s="374"/>
      <c r="AQ36" s="375"/>
      <c r="AR36" s="374" t="e">
        <f t="shared" si="13"/>
        <v>#N/A</v>
      </c>
      <c r="AS36" s="508"/>
      <c r="AT36" s="374"/>
      <c r="AU36" s="374"/>
      <c r="AV36" s="375"/>
      <c r="AW36" s="374" t="e">
        <f t="shared" si="14"/>
        <v>#N/A</v>
      </c>
      <c r="AX36" s="506"/>
    </row>
    <row r="37" spans="2:50">
      <c r="B37" s="483"/>
      <c r="C37" s="374">
        <v>11</v>
      </c>
      <c r="D37" s="257"/>
      <c r="E37" s="187"/>
      <c r="F37" s="374"/>
      <c r="G37" s="375"/>
      <c r="H37" s="508"/>
      <c r="I37" s="222"/>
      <c r="J37" s="222"/>
      <c r="K37" s="222"/>
      <c r="L37" s="457"/>
      <c r="M37" s="221" t="e">
        <f>RANK(K37, K$27:$K$41)</f>
        <v>#N/A</v>
      </c>
      <c r="N37" s="475"/>
      <c r="O37" s="475"/>
      <c r="P37" s="374"/>
      <c r="Q37" s="374"/>
      <c r="R37" s="374"/>
      <c r="S37" s="374" t="e">
        <f t="shared" si="8"/>
        <v>#N/A</v>
      </c>
      <c r="T37" s="508"/>
      <c r="U37" s="374"/>
      <c r="V37" s="374"/>
      <c r="W37" s="374"/>
      <c r="X37" s="374" t="e">
        <f t="shared" si="9"/>
        <v>#N/A</v>
      </c>
      <c r="Y37" s="508"/>
      <c r="Z37" s="374"/>
      <c r="AA37" s="374"/>
      <c r="AB37" s="374"/>
      <c r="AC37" s="374" t="e">
        <f t="shared" si="10"/>
        <v>#N/A</v>
      </c>
      <c r="AD37" s="508"/>
      <c r="AE37" s="374"/>
      <c r="AF37" s="374"/>
      <c r="AG37" s="374"/>
      <c r="AH37" s="374" t="e">
        <f t="shared" si="11"/>
        <v>#N/A</v>
      </c>
      <c r="AI37" s="508"/>
      <c r="AJ37" s="374"/>
      <c r="AK37" s="374"/>
      <c r="AL37" s="374"/>
      <c r="AM37" s="374" t="e">
        <f t="shared" si="12"/>
        <v>#N/A</v>
      </c>
      <c r="AN37" s="508"/>
      <c r="AO37" s="374"/>
      <c r="AP37" s="374"/>
      <c r="AQ37" s="374"/>
      <c r="AR37" s="374" t="e">
        <f t="shared" si="13"/>
        <v>#N/A</v>
      </c>
      <c r="AS37" s="508"/>
      <c r="AT37" s="374"/>
      <c r="AU37" s="374"/>
      <c r="AV37" s="374"/>
      <c r="AW37" s="374" t="e">
        <f t="shared" si="14"/>
        <v>#N/A</v>
      </c>
      <c r="AX37" s="506"/>
    </row>
    <row r="38" spans="2:50">
      <c r="B38" s="483"/>
      <c r="C38" s="374">
        <v>12</v>
      </c>
      <c r="D38" s="257"/>
      <c r="E38" s="187"/>
      <c r="F38" s="374"/>
      <c r="G38" s="375"/>
      <c r="H38" s="508"/>
      <c r="I38" s="222"/>
      <c r="J38" s="222"/>
      <c r="K38" s="222"/>
      <c r="L38" s="457"/>
      <c r="M38" s="221" t="e">
        <f>RANK(K38, K$27:$K$41)</f>
        <v>#N/A</v>
      </c>
      <c r="N38" s="475"/>
      <c r="O38" s="475"/>
      <c r="P38" s="374"/>
      <c r="Q38" s="374"/>
      <c r="R38" s="374"/>
      <c r="S38" s="374" t="e">
        <f t="shared" si="8"/>
        <v>#N/A</v>
      </c>
      <c r="T38" s="508"/>
      <c r="U38" s="374"/>
      <c r="V38" s="374"/>
      <c r="W38" s="374"/>
      <c r="X38" s="374" t="e">
        <f t="shared" si="9"/>
        <v>#N/A</v>
      </c>
      <c r="Y38" s="508"/>
      <c r="Z38" s="374"/>
      <c r="AA38" s="374"/>
      <c r="AB38" s="374"/>
      <c r="AC38" s="374" t="e">
        <f t="shared" si="10"/>
        <v>#N/A</v>
      </c>
      <c r="AD38" s="508"/>
      <c r="AE38" s="374"/>
      <c r="AF38" s="374"/>
      <c r="AG38" s="374"/>
      <c r="AH38" s="374" t="e">
        <f t="shared" si="11"/>
        <v>#N/A</v>
      </c>
      <c r="AI38" s="508"/>
      <c r="AJ38" s="374"/>
      <c r="AK38" s="374"/>
      <c r="AL38" s="374"/>
      <c r="AM38" s="374" t="e">
        <f t="shared" si="12"/>
        <v>#N/A</v>
      </c>
      <c r="AN38" s="508"/>
      <c r="AO38" s="374"/>
      <c r="AP38" s="374"/>
      <c r="AQ38" s="374"/>
      <c r="AR38" s="374" t="e">
        <f t="shared" si="13"/>
        <v>#N/A</v>
      </c>
      <c r="AS38" s="508"/>
      <c r="AT38" s="374"/>
      <c r="AU38" s="374"/>
      <c r="AV38" s="374"/>
      <c r="AW38" s="374" t="e">
        <f t="shared" si="14"/>
        <v>#N/A</v>
      </c>
      <c r="AX38" s="506"/>
    </row>
    <row r="39" spans="2:50">
      <c r="B39" s="483"/>
      <c r="C39" s="374">
        <v>13</v>
      </c>
      <c r="D39" s="257"/>
      <c r="E39" s="187"/>
      <c r="F39" s="374"/>
      <c r="G39" s="375"/>
      <c r="H39" s="508"/>
      <c r="I39" s="222"/>
      <c r="J39" s="222"/>
      <c r="K39" s="222"/>
      <c r="L39" s="457"/>
      <c r="M39" s="221" t="e">
        <f>RANK(K39, K$27:$K$41)</f>
        <v>#N/A</v>
      </c>
      <c r="N39" s="475"/>
      <c r="O39" s="475"/>
      <c r="P39" s="374"/>
      <c r="Q39" s="374"/>
      <c r="R39" s="374"/>
      <c r="S39" s="374" t="e">
        <f t="shared" si="8"/>
        <v>#N/A</v>
      </c>
      <c r="T39" s="508"/>
      <c r="U39" s="374"/>
      <c r="V39" s="374"/>
      <c r="W39" s="374"/>
      <c r="X39" s="374" t="e">
        <f t="shared" si="9"/>
        <v>#N/A</v>
      </c>
      <c r="Y39" s="508"/>
      <c r="Z39" s="374"/>
      <c r="AA39" s="374"/>
      <c r="AB39" s="374"/>
      <c r="AC39" s="374" t="e">
        <f t="shared" si="10"/>
        <v>#N/A</v>
      </c>
      <c r="AD39" s="508"/>
      <c r="AE39" s="374"/>
      <c r="AF39" s="374"/>
      <c r="AG39" s="374"/>
      <c r="AH39" s="374" t="e">
        <f t="shared" si="11"/>
        <v>#N/A</v>
      </c>
      <c r="AI39" s="508"/>
      <c r="AJ39" s="374"/>
      <c r="AK39" s="374"/>
      <c r="AL39" s="374"/>
      <c r="AM39" s="374" t="e">
        <f t="shared" si="12"/>
        <v>#N/A</v>
      </c>
      <c r="AN39" s="508"/>
      <c r="AO39" s="374"/>
      <c r="AP39" s="374"/>
      <c r="AQ39" s="374"/>
      <c r="AR39" s="374" t="e">
        <f t="shared" si="13"/>
        <v>#N/A</v>
      </c>
      <c r="AS39" s="508"/>
      <c r="AT39" s="374"/>
      <c r="AU39" s="374"/>
      <c r="AV39" s="374"/>
      <c r="AW39" s="374" t="e">
        <f t="shared" si="14"/>
        <v>#N/A</v>
      </c>
      <c r="AX39" s="506"/>
    </row>
    <row r="40" spans="2:50">
      <c r="B40" s="483"/>
      <c r="C40" s="374">
        <v>14</v>
      </c>
      <c r="D40" s="257"/>
      <c r="E40" s="187"/>
      <c r="F40" s="374"/>
      <c r="G40" s="375"/>
      <c r="H40" s="508"/>
      <c r="I40" s="222"/>
      <c r="J40" s="222"/>
      <c r="K40" s="222"/>
      <c r="L40" s="457"/>
      <c r="M40" s="221" t="e">
        <f>RANK(K40, K$27:$K$41)</f>
        <v>#N/A</v>
      </c>
      <c r="N40" s="475"/>
      <c r="O40" s="475"/>
      <c r="P40" s="374"/>
      <c r="Q40" s="374"/>
      <c r="R40" s="374"/>
      <c r="S40" s="374" t="e">
        <f t="shared" si="8"/>
        <v>#N/A</v>
      </c>
      <c r="T40" s="508"/>
      <c r="U40" s="374"/>
      <c r="V40" s="374"/>
      <c r="W40" s="374"/>
      <c r="X40" s="374" t="e">
        <f t="shared" si="9"/>
        <v>#N/A</v>
      </c>
      <c r="Y40" s="508"/>
      <c r="Z40" s="374"/>
      <c r="AA40" s="374"/>
      <c r="AB40" s="374"/>
      <c r="AC40" s="374" t="e">
        <f t="shared" si="10"/>
        <v>#N/A</v>
      </c>
      <c r="AD40" s="508"/>
      <c r="AE40" s="374"/>
      <c r="AF40" s="374"/>
      <c r="AG40" s="374"/>
      <c r="AH40" s="374" t="e">
        <f t="shared" si="11"/>
        <v>#N/A</v>
      </c>
      <c r="AI40" s="508"/>
      <c r="AJ40" s="374"/>
      <c r="AK40" s="374"/>
      <c r="AL40" s="374"/>
      <c r="AM40" s="374" t="e">
        <f t="shared" si="12"/>
        <v>#N/A</v>
      </c>
      <c r="AN40" s="508"/>
      <c r="AO40" s="374"/>
      <c r="AP40" s="374"/>
      <c r="AQ40" s="374"/>
      <c r="AR40" s="374" t="e">
        <f t="shared" si="13"/>
        <v>#N/A</v>
      </c>
      <c r="AS40" s="508"/>
      <c r="AT40" s="374"/>
      <c r="AU40" s="374"/>
      <c r="AV40" s="374"/>
      <c r="AW40" s="374" t="e">
        <f t="shared" si="14"/>
        <v>#N/A</v>
      </c>
      <c r="AX40" s="506"/>
    </row>
    <row r="41" spans="2:50">
      <c r="B41" s="483"/>
      <c r="C41" s="374">
        <v>15</v>
      </c>
      <c r="D41" s="257"/>
      <c r="E41" s="187"/>
      <c r="F41" s="374"/>
      <c r="G41" s="375"/>
      <c r="H41" s="509"/>
      <c r="I41" s="222"/>
      <c r="J41" s="222"/>
      <c r="K41" s="222"/>
      <c r="L41" s="458"/>
      <c r="M41" s="219" t="e">
        <f>RANK(K41, K$27:$K$41)</f>
        <v>#N/A</v>
      </c>
      <c r="N41" s="475"/>
      <c r="O41" s="475"/>
      <c r="P41" s="374"/>
      <c r="Q41" s="374"/>
      <c r="R41" s="374"/>
      <c r="S41" s="374" t="e">
        <f t="shared" si="8"/>
        <v>#N/A</v>
      </c>
      <c r="T41" s="509"/>
      <c r="U41" s="374"/>
      <c r="V41" s="374"/>
      <c r="W41" s="374"/>
      <c r="X41" s="374" t="e">
        <f t="shared" si="9"/>
        <v>#N/A</v>
      </c>
      <c r="Y41" s="509"/>
      <c r="Z41" s="374"/>
      <c r="AA41" s="374"/>
      <c r="AB41" s="374"/>
      <c r="AC41" s="374" t="e">
        <f t="shared" si="10"/>
        <v>#N/A</v>
      </c>
      <c r="AD41" s="509"/>
      <c r="AE41" s="374"/>
      <c r="AF41" s="374"/>
      <c r="AG41" s="374"/>
      <c r="AH41" s="374" t="e">
        <f t="shared" si="11"/>
        <v>#N/A</v>
      </c>
      <c r="AI41" s="509"/>
      <c r="AJ41" s="374"/>
      <c r="AK41" s="374"/>
      <c r="AL41" s="374"/>
      <c r="AM41" s="374" t="e">
        <f t="shared" si="12"/>
        <v>#N/A</v>
      </c>
      <c r="AN41" s="509"/>
      <c r="AO41" s="374"/>
      <c r="AP41" s="374"/>
      <c r="AQ41" s="374"/>
      <c r="AR41" s="374" t="e">
        <f t="shared" si="13"/>
        <v>#N/A</v>
      </c>
      <c r="AS41" s="509"/>
      <c r="AT41" s="374"/>
      <c r="AU41" s="374"/>
      <c r="AV41" s="374"/>
      <c r="AW41" s="374" t="e">
        <f t="shared" si="14"/>
        <v>#N/A</v>
      </c>
      <c r="AX41" s="506"/>
    </row>
    <row r="42" spans="2:50" ht="15.75">
      <c r="B42" s="500" t="s">
        <v>172</v>
      </c>
      <c r="C42" s="501"/>
      <c r="D42" s="501"/>
      <c r="E42" s="501"/>
      <c r="F42" s="501"/>
      <c r="G42" s="501"/>
      <c r="H42" s="501"/>
      <c r="I42" s="228"/>
      <c r="J42" s="223"/>
      <c r="K42" s="228"/>
      <c r="L42" s="228"/>
      <c r="M42" s="224"/>
      <c r="N42" s="476" t="s">
        <v>164</v>
      </c>
      <c r="O42" s="476" t="s">
        <v>105</v>
      </c>
      <c r="P42" s="482">
        <f>P22+7</f>
        <v>45909</v>
      </c>
      <c r="Q42" s="483"/>
      <c r="R42" s="483"/>
      <c r="S42" s="483"/>
      <c r="T42" s="483"/>
      <c r="U42" s="479">
        <f>P42+1</f>
        <v>45910</v>
      </c>
      <c r="V42" s="480"/>
      <c r="W42" s="480"/>
      <c r="X42" s="480"/>
      <c r="Y42" s="481"/>
      <c r="Z42" s="479">
        <f>U42+1</f>
        <v>45911</v>
      </c>
      <c r="AA42" s="480"/>
      <c r="AB42" s="480"/>
      <c r="AC42" s="480"/>
      <c r="AD42" s="481"/>
      <c r="AE42" s="479">
        <f t="shared" ref="AE42" si="18">Z42+1</f>
        <v>45912</v>
      </c>
      <c r="AF42" s="480"/>
      <c r="AG42" s="480"/>
      <c r="AH42" s="480"/>
      <c r="AI42" s="481"/>
      <c r="AJ42" s="479">
        <f t="shared" ref="AJ42" si="19">AE42+1</f>
        <v>45913</v>
      </c>
      <c r="AK42" s="480"/>
      <c r="AL42" s="480"/>
      <c r="AM42" s="480"/>
      <c r="AN42" s="481"/>
      <c r="AO42" s="479">
        <f t="shared" ref="AO42" si="20">AJ42+1</f>
        <v>45914</v>
      </c>
      <c r="AP42" s="480"/>
      <c r="AQ42" s="480"/>
      <c r="AR42" s="480"/>
      <c r="AS42" s="481"/>
      <c r="AT42" s="479">
        <f t="shared" ref="AT42" si="21">AO42+1</f>
        <v>45915</v>
      </c>
      <c r="AU42" s="480"/>
      <c r="AV42" s="480"/>
      <c r="AW42" s="480"/>
      <c r="AX42" s="481"/>
    </row>
    <row r="43" spans="2:50" ht="15.75">
      <c r="B43" s="490"/>
      <c r="C43" s="490"/>
      <c r="D43" s="490"/>
      <c r="E43" s="490"/>
      <c r="F43" s="490"/>
      <c r="G43" s="490"/>
      <c r="H43" s="490"/>
      <c r="I43" s="225"/>
      <c r="J43" s="225"/>
      <c r="K43" s="225"/>
      <c r="L43" s="225"/>
      <c r="M43" s="226"/>
      <c r="N43" s="478"/>
      <c r="O43" s="478"/>
      <c r="P43" s="482" t="s">
        <v>393</v>
      </c>
      <c r="Q43" s="483"/>
      <c r="R43" s="483"/>
      <c r="S43" s="483"/>
      <c r="T43" s="483"/>
      <c r="U43" s="482" t="s">
        <v>394</v>
      </c>
      <c r="V43" s="483"/>
      <c r="W43" s="483"/>
      <c r="X43" s="483"/>
      <c r="Y43" s="483"/>
      <c r="Z43" s="482" t="s">
        <v>395</v>
      </c>
      <c r="AA43" s="483"/>
      <c r="AB43" s="483"/>
      <c r="AC43" s="483"/>
      <c r="AD43" s="483"/>
      <c r="AE43" s="482" t="s">
        <v>396</v>
      </c>
      <c r="AF43" s="483"/>
      <c r="AG43" s="483"/>
      <c r="AH43" s="483"/>
      <c r="AI43" s="483"/>
      <c r="AJ43" s="482" t="s">
        <v>397</v>
      </c>
      <c r="AK43" s="483"/>
      <c r="AL43" s="483"/>
      <c r="AM43" s="483"/>
      <c r="AN43" s="483"/>
      <c r="AO43" s="482" t="s">
        <v>398</v>
      </c>
      <c r="AP43" s="483"/>
      <c r="AQ43" s="483"/>
      <c r="AR43" s="483"/>
      <c r="AS43" s="483"/>
      <c r="AT43" s="482" t="s">
        <v>399</v>
      </c>
      <c r="AU43" s="483"/>
      <c r="AV43" s="483"/>
      <c r="AW43" s="483"/>
      <c r="AX43" s="483"/>
    </row>
    <row r="44" spans="2:50">
      <c r="B44" s="475" t="s">
        <v>726</v>
      </c>
      <c r="C44" s="475" t="s">
        <v>727</v>
      </c>
      <c r="D44" s="475"/>
      <c r="E44" s="475" t="s">
        <v>728</v>
      </c>
      <c r="F44" s="475"/>
      <c r="G44" s="475"/>
      <c r="H44" s="491" t="s">
        <v>729</v>
      </c>
      <c r="I44" s="459" t="s">
        <v>730</v>
      </c>
      <c r="J44" s="459"/>
      <c r="K44" s="459"/>
      <c r="L44" s="460" t="s">
        <v>729</v>
      </c>
      <c r="M44" s="466" t="s">
        <v>731</v>
      </c>
      <c r="N44" s="475"/>
      <c r="O44" s="475" t="s">
        <v>732</v>
      </c>
      <c r="P44" s="472" t="s">
        <v>733</v>
      </c>
      <c r="Q44" s="473"/>
      <c r="R44" s="473"/>
      <c r="S44" s="474"/>
      <c r="T44" s="475" t="s">
        <v>729</v>
      </c>
      <c r="U44" s="472" t="s">
        <v>733</v>
      </c>
      <c r="V44" s="473"/>
      <c r="W44" s="473"/>
      <c r="X44" s="474"/>
      <c r="Y44" s="475" t="s">
        <v>729</v>
      </c>
      <c r="Z44" s="472" t="s">
        <v>733</v>
      </c>
      <c r="AA44" s="473"/>
      <c r="AB44" s="473"/>
      <c r="AC44" s="474"/>
      <c r="AD44" s="475" t="s">
        <v>729</v>
      </c>
      <c r="AE44" s="472" t="s">
        <v>733</v>
      </c>
      <c r="AF44" s="473"/>
      <c r="AG44" s="473"/>
      <c r="AH44" s="474"/>
      <c r="AI44" s="475" t="s">
        <v>729</v>
      </c>
      <c r="AJ44" s="472" t="s">
        <v>733</v>
      </c>
      <c r="AK44" s="473"/>
      <c r="AL44" s="473"/>
      <c r="AM44" s="474"/>
      <c r="AN44" s="475" t="s">
        <v>729</v>
      </c>
      <c r="AO44" s="472" t="s">
        <v>733</v>
      </c>
      <c r="AP44" s="473"/>
      <c r="AQ44" s="473"/>
      <c r="AR44" s="474"/>
      <c r="AS44" s="475" t="s">
        <v>729</v>
      </c>
      <c r="AT44" s="472" t="s">
        <v>733</v>
      </c>
      <c r="AU44" s="473"/>
      <c r="AV44" s="473"/>
      <c r="AW44" s="474"/>
      <c r="AX44" s="475" t="s">
        <v>729</v>
      </c>
    </row>
    <row r="45" spans="2:50">
      <c r="B45" s="475"/>
      <c r="C45" s="475"/>
      <c r="D45" s="475"/>
      <c r="E45" s="475" t="s">
        <v>734</v>
      </c>
      <c r="F45" s="475"/>
      <c r="G45" s="475"/>
      <c r="H45" s="492"/>
      <c r="I45" s="459" t="s">
        <v>734</v>
      </c>
      <c r="J45" s="459"/>
      <c r="K45" s="459"/>
      <c r="L45" s="461"/>
      <c r="M45" s="467"/>
      <c r="N45" s="475"/>
      <c r="O45" s="475"/>
      <c r="P45" s="472" t="s">
        <v>735</v>
      </c>
      <c r="Q45" s="473"/>
      <c r="R45" s="473"/>
      <c r="S45" s="474"/>
      <c r="T45" s="475"/>
      <c r="U45" s="472" t="s">
        <v>735</v>
      </c>
      <c r="V45" s="473"/>
      <c r="W45" s="473"/>
      <c r="X45" s="474"/>
      <c r="Y45" s="475"/>
      <c r="Z45" s="472" t="s">
        <v>735</v>
      </c>
      <c r="AA45" s="473"/>
      <c r="AB45" s="473"/>
      <c r="AC45" s="474"/>
      <c r="AD45" s="475"/>
      <c r="AE45" s="472" t="s">
        <v>735</v>
      </c>
      <c r="AF45" s="473"/>
      <c r="AG45" s="473"/>
      <c r="AH45" s="474"/>
      <c r="AI45" s="475"/>
      <c r="AJ45" s="472" t="s">
        <v>735</v>
      </c>
      <c r="AK45" s="473"/>
      <c r="AL45" s="473"/>
      <c r="AM45" s="474"/>
      <c r="AN45" s="475"/>
      <c r="AO45" s="472" t="s">
        <v>735</v>
      </c>
      <c r="AP45" s="473"/>
      <c r="AQ45" s="473"/>
      <c r="AR45" s="474"/>
      <c r="AS45" s="475"/>
      <c r="AT45" s="472" t="s">
        <v>735</v>
      </c>
      <c r="AU45" s="473"/>
      <c r="AV45" s="473"/>
      <c r="AW45" s="474"/>
      <c r="AX45" s="475"/>
    </row>
    <row r="46" spans="2:50">
      <c r="B46" s="475"/>
      <c r="C46" s="475"/>
      <c r="D46" s="475"/>
      <c r="E46" s="350" t="s">
        <v>736</v>
      </c>
      <c r="F46" s="350" t="s">
        <v>737</v>
      </c>
      <c r="G46" s="350" t="s">
        <v>738</v>
      </c>
      <c r="H46" s="493"/>
      <c r="I46" s="349" t="s">
        <v>736</v>
      </c>
      <c r="J46" s="349" t="s">
        <v>737</v>
      </c>
      <c r="K46" s="349" t="s">
        <v>738</v>
      </c>
      <c r="L46" s="462"/>
      <c r="M46" s="468"/>
      <c r="N46" s="475"/>
      <c r="O46" s="475"/>
      <c r="P46" s="350" t="s">
        <v>736</v>
      </c>
      <c r="Q46" s="350" t="s">
        <v>737</v>
      </c>
      <c r="R46" s="350" t="s">
        <v>738</v>
      </c>
      <c r="S46" s="350" t="s">
        <v>731</v>
      </c>
      <c r="T46" s="475"/>
      <c r="U46" s="350" t="s">
        <v>736</v>
      </c>
      <c r="V46" s="350" t="s">
        <v>737</v>
      </c>
      <c r="W46" s="350" t="s">
        <v>738</v>
      </c>
      <c r="X46" s="350" t="s">
        <v>731</v>
      </c>
      <c r="Y46" s="475"/>
      <c r="Z46" s="350" t="s">
        <v>736</v>
      </c>
      <c r="AA46" s="350" t="s">
        <v>737</v>
      </c>
      <c r="AB46" s="350" t="s">
        <v>738</v>
      </c>
      <c r="AC46" s="350" t="s">
        <v>731</v>
      </c>
      <c r="AD46" s="475"/>
      <c r="AE46" s="350" t="s">
        <v>736</v>
      </c>
      <c r="AF46" s="350" t="s">
        <v>737</v>
      </c>
      <c r="AG46" s="350" t="s">
        <v>738</v>
      </c>
      <c r="AH46" s="350" t="s">
        <v>731</v>
      </c>
      <c r="AI46" s="475"/>
      <c r="AJ46" s="350" t="s">
        <v>736</v>
      </c>
      <c r="AK46" s="350" t="s">
        <v>737</v>
      </c>
      <c r="AL46" s="350" t="s">
        <v>738</v>
      </c>
      <c r="AM46" s="350" t="s">
        <v>731</v>
      </c>
      <c r="AN46" s="475"/>
      <c r="AO46" s="350" t="s">
        <v>736</v>
      </c>
      <c r="AP46" s="350" t="s">
        <v>737</v>
      </c>
      <c r="AQ46" s="350" t="s">
        <v>738</v>
      </c>
      <c r="AR46" s="350" t="s">
        <v>731</v>
      </c>
      <c r="AS46" s="475"/>
      <c r="AT46" s="350" t="s">
        <v>736</v>
      </c>
      <c r="AU46" s="350" t="s">
        <v>737</v>
      </c>
      <c r="AV46" s="350" t="s">
        <v>738</v>
      </c>
      <c r="AW46" s="350" t="s">
        <v>731</v>
      </c>
      <c r="AX46" s="475"/>
    </row>
    <row r="47" spans="2:50">
      <c r="B47" s="475" t="s">
        <v>759</v>
      </c>
      <c r="C47" s="351">
        <v>1</v>
      </c>
      <c r="D47" s="257"/>
      <c r="E47" s="187"/>
      <c r="F47" s="351"/>
      <c r="G47" s="354"/>
      <c r="H47" s="507" t="e">
        <f>AVERAGE(G47:G61)</f>
        <v>#DIV/0!</v>
      </c>
      <c r="I47" s="219" t="e">
        <f>AVERAGE(P47,U47,Z47,AE47,AJ47,AO47,AT47)</f>
        <v>#DIV/0!</v>
      </c>
      <c r="J47" s="219" t="e">
        <f>AVERAGE(Q47,V47,AA47,AF47,AK47,AP47,AU47)</f>
        <v>#DIV/0!</v>
      </c>
      <c r="K47" s="220" t="e">
        <f>AVERAGE(R47,W47,AB47,AG47,AL47,AQ47,AV47)</f>
        <v>#DIV/0!</v>
      </c>
      <c r="L47" s="456" t="str">
        <f>IFERROR(AVERAGE(K47:K61),"-")</f>
        <v>-</v>
      </c>
      <c r="M47" s="221" t="e">
        <f>RANK(K47, K$87:$K$101)</f>
        <v>#DIV/0!</v>
      </c>
      <c r="N47" s="475"/>
      <c r="O47" s="475"/>
      <c r="P47" s="351"/>
      <c r="Q47" s="354"/>
      <c r="R47" s="354"/>
      <c r="S47" s="351" t="e">
        <f>RANK(R47, R$87:R$101)</f>
        <v>#N/A</v>
      </c>
      <c r="T47" s="507" t="e">
        <f>AVERAGE(R47:R61)</f>
        <v>#DIV/0!</v>
      </c>
      <c r="U47" s="351"/>
      <c r="V47" s="354"/>
      <c r="W47" s="354"/>
      <c r="X47" s="351" t="e">
        <f>RANK(W47, W$87:W$101)</f>
        <v>#N/A</v>
      </c>
      <c r="Y47" s="507" t="e">
        <f>AVERAGE(W47:W61)</f>
        <v>#DIV/0!</v>
      </c>
      <c r="Z47" s="351"/>
      <c r="AA47" s="354"/>
      <c r="AB47" s="354"/>
      <c r="AC47" s="351" t="e">
        <f>RANK(AB47, AB$87:AB$101)</f>
        <v>#N/A</v>
      </c>
      <c r="AD47" s="507" t="e">
        <f>AVERAGE(AB47:AB61)</f>
        <v>#DIV/0!</v>
      </c>
      <c r="AE47" s="351"/>
      <c r="AF47" s="354"/>
      <c r="AG47" s="354"/>
      <c r="AH47" s="351" t="e">
        <f>RANK(AG47, AG$87:AG$101)</f>
        <v>#N/A</v>
      </c>
      <c r="AI47" s="507" t="e">
        <f>AVERAGE(AG47:AG61)</f>
        <v>#DIV/0!</v>
      </c>
      <c r="AJ47" s="351"/>
      <c r="AK47" s="354"/>
      <c r="AL47" s="354"/>
      <c r="AM47" s="351" t="e">
        <f>RANK(AL47, AL$87:AL$101)</f>
        <v>#N/A</v>
      </c>
      <c r="AN47" s="507" t="e">
        <f>AVERAGE(AL47:AL61)</f>
        <v>#DIV/0!</v>
      </c>
      <c r="AO47" s="351"/>
      <c r="AP47" s="354"/>
      <c r="AQ47" s="354"/>
      <c r="AR47" s="351" t="e">
        <f>RANK(AQ47, AQ$87:AQ$101)</f>
        <v>#N/A</v>
      </c>
      <c r="AS47" s="507" t="e">
        <f>AVERAGE(AQ47:AQ61)</f>
        <v>#DIV/0!</v>
      </c>
      <c r="AT47" s="351"/>
      <c r="AU47" s="354"/>
      <c r="AV47" s="354"/>
      <c r="AW47" s="351" t="e">
        <f>RANK(AV47, AV$87:AV$101)</f>
        <v>#N/A</v>
      </c>
      <c r="AX47" s="506" t="e">
        <f>AVERAGE(AV47:AV61)</f>
        <v>#DIV/0!</v>
      </c>
    </row>
    <row r="48" spans="2:50">
      <c r="B48" s="483"/>
      <c r="C48" s="351">
        <v>2</v>
      </c>
      <c r="D48" s="257"/>
      <c r="E48" s="187"/>
      <c r="F48" s="351"/>
      <c r="G48" s="354"/>
      <c r="H48" s="508"/>
      <c r="I48" s="219" t="e">
        <f t="shared" ref="I48:I51" si="22">AVERAGE(P48,U48,Z48,AE48,AJ48,AO48,AT48)</f>
        <v>#DIV/0!</v>
      </c>
      <c r="J48" s="219" t="e">
        <f t="shared" ref="J48:J51" si="23">AVERAGE(Q48,V48,AA48,AF48,AK48,AP48,AU48)</f>
        <v>#DIV/0!</v>
      </c>
      <c r="K48" s="220" t="e">
        <f t="shared" ref="K48:K51" si="24">AVERAGE(R48,W48,AB48,AG48,AL48,AQ48,AV48)</f>
        <v>#DIV/0!</v>
      </c>
      <c r="L48" s="457"/>
      <c r="M48" s="221" t="e">
        <f>RANK(K48, K$87:$K$101)</f>
        <v>#DIV/0!</v>
      </c>
      <c r="N48" s="475"/>
      <c r="O48" s="475"/>
      <c r="P48" s="351"/>
      <c r="Q48" s="354"/>
      <c r="R48" s="354"/>
      <c r="S48" s="351" t="e">
        <f t="shared" ref="S48:S61" si="25">RANK(R48, R$87:R$101)</f>
        <v>#N/A</v>
      </c>
      <c r="T48" s="508"/>
      <c r="U48" s="351"/>
      <c r="V48" s="354"/>
      <c r="W48" s="354"/>
      <c r="X48" s="351" t="e">
        <f t="shared" ref="X48:X61" si="26">RANK(W48, W$87:W$101)</f>
        <v>#N/A</v>
      </c>
      <c r="Y48" s="508"/>
      <c r="Z48" s="351"/>
      <c r="AA48" s="354"/>
      <c r="AB48" s="354"/>
      <c r="AC48" s="351" t="e">
        <f t="shared" ref="AC48:AC61" si="27">RANK(AB48, AB$87:AB$101)</f>
        <v>#N/A</v>
      </c>
      <c r="AD48" s="508"/>
      <c r="AE48" s="351"/>
      <c r="AF48" s="354"/>
      <c r="AG48" s="354"/>
      <c r="AH48" s="351" t="e">
        <f t="shared" ref="AH48:AH61" si="28">RANK(AG48, AG$87:AG$101)</f>
        <v>#N/A</v>
      </c>
      <c r="AI48" s="508"/>
      <c r="AJ48" s="351"/>
      <c r="AK48" s="354"/>
      <c r="AL48" s="354"/>
      <c r="AM48" s="351" t="e">
        <f t="shared" ref="AM48:AM61" si="29">RANK(AL48, AL$87:AL$101)</f>
        <v>#N/A</v>
      </c>
      <c r="AN48" s="508"/>
      <c r="AO48" s="351"/>
      <c r="AP48" s="354"/>
      <c r="AQ48" s="354"/>
      <c r="AR48" s="351" t="e">
        <f t="shared" ref="AR48:AR61" si="30">RANK(AQ48, AQ$87:AQ$101)</f>
        <v>#N/A</v>
      </c>
      <c r="AS48" s="508"/>
      <c r="AT48" s="351"/>
      <c r="AU48" s="354"/>
      <c r="AV48" s="354"/>
      <c r="AW48" s="351" t="e">
        <f t="shared" ref="AW48:AW61" si="31">RANK(AV48, AV$87:AV$101)</f>
        <v>#N/A</v>
      </c>
      <c r="AX48" s="506"/>
    </row>
    <row r="49" spans="2:50">
      <c r="B49" s="483"/>
      <c r="C49" s="351">
        <v>3</v>
      </c>
      <c r="D49" s="257"/>
      <c r="E49" s="187"/>
      <c r="F49" s="351"/>
      <c r="G49" s="354"/>
      <c r="H49" s="508"/>
      <c r="I49" s="219" t="e">
        <f t="shared" si="22"/>
        <v>#DIV/0!</v>
      </c>
      <c r="J49" s="219" t="e">
        <f t="shared" si="23"/>
        <v>#DIV/0!</v>
      </c>
      <c r="K49" s="220" t="e">
        <f t="shared" si="24"/>
        <v>#DIV/0!</v>
      </c>
      <c r="L49" s="457"/>
      <c r="M49" s="221" t="e">
        <f>RANK(K49, K$87:$K$101)</f>
        <v>#DIV/0!</v>
      </c>
      <c r="N49" s="475"/>
      <c r="O49" s="475"/>
      <c r="P49" s="351"/>
      <c r="Q49" s="354"/>
      <c r="R49" s="354"/>
      <c r="S49" s="351" t="e">
        <f t="shared" si="25"/>
        <v>#N/A</v>
      </c>
      <c r="T49" s="508"/>
      <c r="U49" s="351"/>
      <c r="V49" s="354"/>
      <c r="W49" s="354"/>
      <c r="X49" s="351" t="e">
        <f t="shared" si="26"/>
        <v>#N/A</v>
      </c>
      <c r="Y49" s="508"/>
      <c r="Z49" s="351"/>
      <c r="AA49" s="354"/>
      <c r="AB49" s="354"/>
      <c r="AC49" s="351" t="e">
        <f t="shared" si="27"/>
        <v>#N/A</v>
      </c>
      <c r="AD49" s="508"/>
      <c r="AE49" s="351"/>
      <c r="AF49" s="354"/>
      <c r="AG49" s="354"/>
      <c r="AH49" s="351" t="e">
        <f t="shared" si="28"/>
        <v>#N/A</v>
      </c>
      <c r="AI49" s="508"/>
      <c r="AJ49" s="351"/>
      <c r="AK49" s="354"/>
      <c r="AL49" s="354"/>
      <c r="AM49" s="351" t="e">
        <f t="shared" si="29"/>
        <v>#N/A</v>
      </c>
      <c r="AN49" s="508"/>
      <c r="AO49" s="351"/>
      <c r="AP49" s="354"/>
      <c r="AQ49" s="354"/>
      <c r="AR49" s="351" t="e">
        <f t="shared" si="30"/>
        <v>#N/A</v>
      </c>
      <c r="AS49" s="508"/>
      <c r="AT49" s="351"/>
      <c r="AU49" s="354"/>
      <c r="AV49" s="354"/>
      <c r="AW49" s="351" t="e">
        <f t="shared" si="31"/>
        <v>#N/A</v>
      </c>
      <c r="AX49" s="506"/>
    </row>
    <row r="50" spans="2:50">
      <c r="B50" s="483"/>
      <c r="C50" s="351">
        <v>4</v>
      </c>
      <c r="D50" s="257"/>
      <c r="E50" s="187"/>
      <c r="F50" s="351"/>
      <c r="G50" s="354"/>
      <c r="H50" s="508"/>
      <c r="I50" s="219" t="e">
        <f t="shared" si="22"/>
        <v>#DIV/0!</v>
      </c>
      <c r="J50" s="219" t="e">
        <f t="shared" si="23"/>
        <v>#DIV/0!</v>
      </c>
      <c r="K50" s="220" t="e">
        <f t="shared" si="24"/>
        <v>#DIV/0!</v>
      </c>
      <c r="L50" s="457"/>
      <c r="M50" s="221" t="e">
        <f>RANK(K50, K$87:$K$101)</f>
        <v>#DIV/0!</v>
      </c>
      <c r="N50" s="475"/>
      <c r="O50" s="475"/>
      <c r="P50" s="351"/>
      <c r="Q50" s="354"/>
      <c r="R50" s="354"/>
      <c r="S50" s="351" t="e">
        <f t="shared" si="25"/>
        <v>#N/A</v>
      </c>
      <c r="T50" s="508"/>
      <c r="U50" s="351"/>
      <c r="V50" s="354"/>
      <c r="W50" s="354"/>
      <c r="X50" s="351" t="e">
        <f t="shared" si="26"/>
        <v>#N/A</v>
      </c>
      <c r="Y50" s="508"/>
      <c r="Z50" s="351"/>
      <c r="AA50" s="354"/>
      <c r="AB50" s="354"/>
      <c r="AC50" s="351" t="e">
        <f t="shared" si="27"/>
        <v>#N/A</v>
      </c>
      <c r="AD50" s="508"/>
      <c r="AE50" s="351"/>
      <c r="AF50" s="354"/>
      <c r="AG50" s="354"/>
      <c r="AH50" s="351" t="e">
        <f t="shared" si="28"/>
        <v>#N/A</v>
      </c>
      <c r="AI50" s="508"/>
      <c r="AJ50" s="351"/>
      <c r="AK50" s="354"/>
      <c r="AL50" s="354"/>
      <c r="AM50" s="351" t="e">
        <f t="shared" si="29"/>
        <v>#N/A</v>
      </c>
      <c r="AN50" s="508"/>
      <c r="AO50" s="351"/>
      <c r="AP50" s="354"/>
      <c r="AQ50" s="354"/>
      <c r="AR50" s="351" t="e">
        <f t="shared" si="30"/>
        <v>#N/A</v>
      </c>
      <c r="AS50" s="508"/>
      <c r="AT50" s="351"/>
      <c r="AU50" s="354"/>
      <c r="AV50" s="354"/>
      <c r="AW50" s="351" t="e">
        <f t="shared" si="31"/>
        <v>#N/A</v>
      </c>
      <c r="AX50" s="506"/>
    </row>
    <row r="51" spans="2:50">
      <c r="B51" s="483"/>
      <c r="C51" s="351">
        <v>5</v>
      </c>
      <c r="D51" s="257"/>
      <c r="E51" s="187"/>
      <c r="F51" s="351"/>
      <c r="G51" s="354"/>
      <c r="H51" s="508"/>
      <c r="I51" s="219" t="e">
        <f t="shared" si="22"/>
        <v>#DIV/0!</v>
      </c>
      <c r="J51" s="219" t="e">
        <f t="shared" si="23"/>
        <v>#DIV/0!</v>
      </c>
      <c r="K51" s="220" t="e">
        <f t="shared" si="24"/>
        <v>#DIV/0!</v>
      </c>
      <c r="L51" s="457"/>
      <c r="M51" s="221" t="e">
        <f>RANK(K51, K$87:$K$101)</f>
        <v>#DIV/0!</v>
      </c>
      <c r="N51" s="475"/>
      <c r="O51" s="475"/>
      <c r="P51" s="351"/>
      <c r="Q51" s="354"/>
      <c r="R51" s="354"/>
      <c r="S51" s="351" t="e">
        <f t="shared" si="25"/>
        <v>#N/A</v>
      </c>
      <c r="T51" s="508"/>
      <c r="U51" s="351"/>
      <c r="V51" s="354"/>
      <c r="W51" s="354"/>
      <c r="X51" s="351" t="e">
        <f t="shared" si="26"/>
        <v>#N/A</v>
      </c>
      <c r="Y51" s="508"/>
      <c r="Z51" s="351"/>
      <c r="AA51" s="354"/>
      <c r="AB51" s="354"/>
      <c r="AC51" s="351" t="e">
        <f t="shared" si="27"/>
        <v>#N/A</v>
      </c>
      <c r="AD51" s="508"/>
      <c r="AE51" s="351"/>
      <c r="AF51" s="354"/>
      <c r="AG51" s="354"/>
      <c r="AH51" s="351" t="e">
        <f t="shared" si="28"/>
        <v>#N/A</v>
      </c>
      <c r="AI51" s="508"/>
      <c r="AJ51" s="351"/>
      <c r="AK51" s="354"/>
      <c r="AL51" s="354"/>
      <c r="AM51" s="351" t="e">
        <f t="shared" si="29"/>
        <v>#N/A</v>
      </c>
      <c r="AN51" s="508"/>
      <c r="AO51" s="351"/>
      <c r="AP51" s="354"/>
      <c r="AQ51" s="354"/>
      <c r="AR51" s="351" t="e">
        <f t="shared" si="30"/>
        <v>#N/A</v>
      </c>
      <c r="AS51" s="508"/>
      <c r="AT51" s="351"/>
      <c r="AU51" s="354"/>
      <c r="AV51" s="354"/>
      <c r="AW51" s="351" t="e">
        <f t="shared" si="31"/>
        <v>#N/A</v>
      </c>
      <c r="AX51" s="506"/>
    </row>
    <row r="52" spans="2:50">
      <c r="B52" s="483"/>
      <c r="C52" s="351">
        <v>6</v>
      </c>
      <c r="D52" s="257"/>
      <c r="E52" s="187"/>
      <c r="F52" s="351"/>
      <c r="G52" s="354"/>
      <c r="H52" s="508"/>
      <c r="I52" s="219"/>
      <c r="J52" s="219"/>
      <c r="K52" s="220"/>
      <c r="L52" s="457"/>
      <c r="M52" s="221" t="e">
        <f>RANK(K52, K$87:$K$101)</f>
        <v>#DIV/0!</v>
      </c>
      <c r="N52" s="475"/>
      <c r="O52" s="475"/>
      <c r="P52" s="351"/>
      <c r="Q52" s="354"/>
      <c r="R52" s="354"/>
      <c r="S52" s="351" t="e">
        <f t="shared" si="25"/>
        <v>#N/A</v>
      </c>
      <c r="T52" s="508"/>
      <c r="U52" s="351"/>
      <c r="V52" s="354"/>
      <c r="W52" s="354"/>
      <c r="X52" s="351" t="e">
        <f t="shared" si="26"/>
        <v>#N/A</v>
      </c>
      <c r="Y52" s="508"/>
      <c r="Z52" s="351"/>
      <c r="AA52" s="354"/>
      <c r="AB52" s="354"/>
      <c r="AC52" s="351" t="e">
        <f t="shared" si="27"/>
        <v>#N/A</v>
      </c>
      <c r="AD52" s="508"/>
      <c r="AE52" s="351"/>
      <c r="AF52" s="354"/>
      <c r="AG52" s="354"/>
      <c r="AH52" s="351" t="e">
        <f t="shared" si="28"/>
        <v>#N/A</v>
      </c>
      <c r="AI52" s="508"/>
      <c r="AJ52" s="351"/>
      <c r="AK52" s="354"/>
      <c r="AL52" s="354"/>
      <c r="AM52" s="351" t="e">
        <f t="shared" si="29"/>
        <v>#N/A</v>
      </c>
      <c r="AN52" s="508"/>
      <c r="AO52" s="351"/>
      <c r="AP52" s="354"/>
      <c r="AQ52" s="354"/>
      <c r="AR52" s="351" t="e">
        <f t="shared" si="30"/>
        <v>#N/A</v>
      </c>
      <c r="AS52" s="508"/>
      <c r="AT52" s="351"/>
      <c r="AU52" s="354"/>
      <c r="AV52" s="354"/>
      <c r="AW52" s="351" t="e">
        <f t="shared" si="31"/>
        <v>#N/A</v>
      </c>
      <c r="AX52" s="506"/>
    </row>
    <row r="53" spans="2:50">
      <c r="B53" s="483"/>
      <c r="C53" s="351">
        <v>7</v>
      </c>
      <c r="D53" s="257"/>
      <c r="E53" s="187"/>
      <c r="F53" s="351"/>
      <c r="G53" s="354"/>
      <c r="H53" s="508"/>
      <c r="I53" s="219"/>
      <c r="J53" s="219"/>
      <c r="K53" s="220"/>
      <c r="L53" s="457"/>
      <c r="M53" s="221" t="e">
        <f>RANK(K53, K$87:$K$101)</f>
        <v>#DIV/0!</v>
      </c>
      <c r="N53" s="475"/>
      <c r="O53" s="475"/>
      <c r="P53" s="351"/>
      <c r="Q53" s="354"/>
      <c r="R53" s="354"/>
      <c r="S53" s="351" t="e">
        <f t="shared" si="25"/>
        <v>#N/A</v>
      </c>
      <c r="T53" s="508"/>
      <c r="U53" s="351"/>
      <c r="V53" s="354"/>
      <c r="W53" s="354"/>
      <c r="X53" s="351" t="e">
        <f t="shared" si="26"/>
        <v>#N/A</v>
      </c>
      <c r="Y53" s="508"/>
      <c r="Z53" s="351"/>
      <c r="AA53" s="354"/>
      <c r="AB53" s="354"/>
      <c r="AC53" s="351" t="e">
        <f t="shared" si="27"/>
        <v>#N/A</v>
      </c>
      <c r="AD53" s="508"/>
      <c r="AE53" s="351"/>
      <c r="AF53" s="354"/>
      <c r="AG53" s="354"/>
      <c r="AH53" s="351" t="e">
        <f t="shared" si="28"/>
        <v>#N/A</v>
      </c>
      <c r="AI53" s="508"/>
      <c r="AJ53" s="351"/>
      <c r="AK53" s="354"/>
      <c r="AL53" s="354"/>
      <c r="AM53" s="351" t="e">
        <f t="shared" si="29"/>
        <v>#N/A</v>
      </c>
      <c r="AN53" s="508"/>
      <c r="AO53" s="351"/>
      <c r="AP53" s="354"/>
      <c r="AQ53" s="354"/>
      <c r="AR53" s="351" t="e">
        <f t="shared" si="30"/>
        <v>#N/A</v>
      </c>
      <c r="AS53" s="508"/>
      <c r="AT53" s="351"/>
      <c r="AU53" s="354"/>
      <c r="AV53" s="354"/>
      <c r="AW53" s="351" t="e">
        <f t="shared" si="31"/>
        <v>#N/A</v>
      </c>
      <c r="AX53" s="506"/>
    </row>
    <row r="54" spans="2:50">
      <c r="B54" s="483"/>
      <c r="C54" s="351">
        <v>8</v>
      </c>
      <c r="D54" s="257"/>
      <c r="E54" s="187"/>
      <c r="F54" s="351"/>
      <c r="G54" s="354"/>
      <c r="H54" s="508"/>
      <c r="I54" s="219"/>
      <c r="J54" s="219"/>
      <c r="K54" s="220"/>
      <c r="L54" s="457"/>
      <c r="M54" s="221" t="e">
        <f>RANK(K54, K$87:$K$101)</f>
        <v>#DIV/0!</v>
      </c>
      <c r="N54" s="475"/>
      <c r="O54" s="475"/>
      <c r="P54" s="351"/>
      <c r="Q54" s="354"/>
      <c r="R54" s="354"/>
      <c r="S54" s="351" t="e">
        <f t="shared" si="25"/>
        <v>#N/A</v>
      </c>
      <c r="T54" s="508"/>
      <c r="U54" s="351"/>
      <c r="V54" s="354"/>
      <c r="W54" s="354"/>
      <c r="X54" s="351" t="e">
        <f t="shared" si="26"/>
        <v>#N/A</v>
      </c>
      <c r="Y54" s="508"/>
      <c r="Z54" s="351"/>
      <c r="AA54" s="354"/>
      <c r="AB54" s="354"/>
      <c r="AC54" s="351" t="e">
        <f t="shared" si="27"/>
        <v>#N/A</v>
      </c>
      <c r="AD54" s="508"/>
      <c r="AE54" s="351"/>
      <c r="AF54" s="354"/>
      <c r="AG54" s="354"/>
      <c r="AH54" s="351" t="e">
        <f t="shared" si="28"/>
        <v>#N/A</v>
      </c>
      <c r="AI54" s="508"/>
      <c r="AJ54" s="351"/>
      <c r="AK54" s="354"/>
      <c r="AL54" s="354"/>
      <c r="AM54" s="351" t="e">
        <f t="shared" si="29"/>
        <v>#N/A</v>
      </c>
      <c r="AN54" s="508"/>
      <c r="AO54" s="351"/>
      <c r="AP54" s="354"/>
      <c r="AQ54" s="354"/>
      <c r="AR54" s="351" t="e">
        <f t="shared" si="30"/>
        <v>#N/A</v>
      </c>
      <c r="AS54" s="508"/>
      <c r="AT54" s="351"/>
      <c r="AU54" s="354"/>
      <c r="AV54" s="354"/>
      <c r="AW54" s="351" t="e">
        <f t="shared" si="31"/>
        <v>#N/A</v>
      </c>
      <c r="AX54" s="506"/>
    </row>
    <row r="55" spans="2:50">
      <c r="B55" s="483"/>
      <c r="C55" s="351">
        <v>9</v>
      </c>
      <c r="D55" s="257"/>
      <c r="E55" s="187"/>
      <c r="F55" s="351"/>
      <c r="G55" s="354"/>
      <c r="H55" s="508"/>
      <c r="I55" s="219"/>
      <c r="J55" s="219"/>
      <c r="K55" s="220"/>
      <c r="L55" s="457"/>
      <c r="M55" s="221" t="e">
        <f>RANK(K55, K$87:$K$101)</f>
        <v>#DIV/0!</v>
      </c>
      <c r="N55" s="475"/>
      <c r="O55" s="475"/>
      <c r="P55" s="351"/>
      <c r="Q55" s="354"/>
      <c r="R55" s="354"/>
      <c r="S55" s="351" t="e">
        <f t="shared" si="25"/>
        <v>#N/A</v>
      </c>
      <c r="T55" s="508"/>
      <c r="U55" s="351"/>
      <c r="V55" s="354"/>
      <c r="W55" s="354"/>
      <c r="X55" s="351" t="e">
        <f t="shared" si="26"/>
        <v>#N/A</v>
      </c>
      <c r="Y55" s="508"/>
      <c r="Z55" s="351"/>
      <c r="AA55" s="354"/>
      <c r="AB55" s="354"/>
      <c r="AC55" s="351" t="e">
        <f t="shared" si="27"/>
        <v>#N/A</v>
      </c>
      <c r="AD55" s="508"/>
      <c r="AE55" s="351"/>
      <c r="AF55" s="354"/>
      <c r="AG55" s="354"/>
      <c r="AH55" s="351" t="e">
        <f t="shared" si="28"/>
        <v>#N/A</v>
      </c>
      <c r="AI55" s="508"/>
      <c r="AJ55" s="351"/>
      <c r="AK55" s="354"/>
      <c r="AL55" s="354"/>
      <c r="AM55" s="351" t="e">
        <f t="shared" si="29"/>
        <v>#N/A</v>
      </c>
      <c r="AN55" s="508"/>
      <c r="AO55" s="351"/>
      <c r="AP55" s="354"/>
      <c r="AQ55" s="354"/>
      <c r="AR55" s="351" t="e">
        <f t="shared" si="30"/>
        <v>#N/A</v>
      </c>
      <c r="AS55" s="508"/>
      <c r="AT55" s="351"/>
      <c r="AU55" s="354"/>
      <c r="AV55" s="354"/>
      <c r="AW55" s="351" t="e">
        <f t="shared" si="31"/>
        <v>#N/A</v>
      </c>
      <c r="AX55" s="506"/>
    </row>
    <row r="56" spans="2:50">
      <c r="B56" s="483"/>
      <c r="C56" s="351">
        <v>10</v>
      </c>
      <c r="D56" s="257"/>
      <c r="E56" s="187"/>
      <c r="F56" s="351"/>
      <c r="G56" s="354"/>
      <c r="H56" s="508"/>
      <c r="I56" s="219"/>
      <c r="J56" s="219"/>
      <c r="K56" s="220"/>
      <c r="L56" s="457"/>
      <c r="M56" s="221" t="e">
        <f>RANK(K56, K$87:$K$101)</f>
        <v>#DIV/0!</v>
      </c>
      <c r="N56" s="475"/>
      <c r="O56" s="475"/>
      <c r="P56" s="351"/>
      <c r="Q56" s="351"/>
      <c r="R56" s="354"/>
      <c r="S56" s="351" t="e">
        <f t="shared" si="25"/>
        <v>#N/A</v>
      </c>
      <c r="T56" s="508"/>
      <c r="U56" s="351"/>
      <c r="V56" s="351"/>
      <c r="W56" s="354"/>
      <c r="X56" s="351" t="e">
        <f t="shared" si="26"/>
        <v>#N/A</v>
      </c>
      <c r="Y56" s="508"/>
      <c r="Z56" s="351"/>
      <c r="AA56" s="351"/>
      <c r="AB56" s="354"/>
      <c r="AC56" s="351" t="e">
        <f t="shared" si="27"/>
        <v>#N/A</v>
      </c>
      <c r="AD56" s="508"/>
      <c r="AE56" s="351"/>
      <c r="AF56" s="351"/>
      <c r="AG56" s="354"/>
      <c r="AH56" s="351" t="e">
        <f t="shared" si="28"/>
        <v>#N/A</v>
      </c>
      <c r="AI56" s="508"/>
      <c r="AJ56" s="351"/>
      <c r="AK56" s="351"/>
      <c r="AL56" s="354"/>
      <c r="AM56" s="351" t="e">
        <f t="shared" si="29"/>
        <v>#N/A</v>
      </c>
      <c r="AN56" s="508"/>
      <c r="AO56" s="351"/>
      <c r="AP56" s="351"/>
      <c r="AQ56" s="354"/>
      <c r="AR56" s="351" t="e">
        <f t="shared" si="30"/>
        <v>#N/A</v>
      </c>
      <c r="AS56" s="508"/>
      <c r="AT56" s="351"/>
      <c r="AU56" s="351"/>
      <c r="AV56" s="354"/>
      <c r="AW56" s="351" t="e">
        <f t="shared" si="31"/>
        <v>#N/A</v>
      </c>
      <c r="AX56" s="506"/>
    </row>
    <row r="57" spans="2:50">
      <c r="B57" s="483"/>
      <c r="C57" s="351">
        <v>11</v>
      </c>
      <c r="D57" s="257"/>
      <c r="E57" s="187"/>
      <c r="F57" s="351"/>
      <c r="G57" s="354"/>
      <c r="H57" s="508"/>
      <c r="I57" s="222"/>
      <c r="J57" s="222"/>
      <c r="K57" s="222"/>
      <c r="L57" s="457"/>
      <c r="M57" s="221" t="e">
        <f>RANK(K57, K$87:$K$101)</f>
        <v>#DIV/0!</v>
      </c>
      <c r="N57" s="475"/>
      <c r="O57" s="475"/>
      <c r="P57" s="351"/>
      <c r="Q57" s="351"/>
      <c r="R57" s="351"/>
      <c r="S57" s="351" t="e">
        <f t="shared" si="25"/>
        <v>#N/A</v>
      </c>
      <c r="T57" s="508"/>
      <c r="U57" s="351"/>
      <c r="V57" s="351"/>
      <c r="W57" s="351"/>
      <c r="X57" s="351" t="e">
        <f t="shared" si="26"/>
        <v>#N/A</v>
      </c>
      <c r="Y57" s="508"/>
      <c r="Z57" s="351"/>
      <c r="AA57" s="351"/>
      <c r="AB57" s="351"/>
      <c r="AC57" s="351" t="e">
        <f t="shared" si="27"/>
        <v>#N/A</v>
      </c>
      <c r="AD57" s="508"/>
      <c r="AE57" s="351"/>
      <c r="AF57" s="351"/>
      <c r="AG57" s="351"/>
      <c r="AH57" s="351" t="e">
        <f t="shared" si="28"/>
        <v>#N/A</v>
      </c>
      <c r="AI57" s="508"/>
      <c r="AJ57" s="351"/>
      <c r="AK57" s="351"/>
      <c r="AL57" s="351"/>
      <c r="AM57" s="351" t="e">
        <f t="shared" si="29"/>
        <v>#N/A</v>
      </c>
      <c r="AN57" s="508"/>
      <c r="AO57" s="351"/>
      <c r="AP57" s="351"/>
      <c r="AQ57" s="351"/>
      <c r="AR57" s="351" t="e">
        <f t="shared" si="30"/>
        <v>#N/A</v>
      </c>
      <c r="AS57" s="508"/>
      <c r="AT57" s="351"/>
      <c r="AU57" s="351"/>
      <c r="AV57" s="351"/>
      <c r="AW57" s="351" t="e">
        <f t="shared" si="31"/>
        <v>#N/A</v>
      </c>
      <c r="AX57" s="506"/>
    </row>
    <row r="58" spans="2:50">
      <c r="B58" s="483"/>
      <c r="C58" s="351">
        <v>12</v>
      </c>
      <c r="D58" s="257"/>
      <c r="E58" s="187"/>
      <c r="F58" s="351"/>
      <c r="G58" s="354"/>
      <c r="H58" s="508"/>
      <c r="I58" s="222"/>
      <c r="J58" s="222"/>
      <c r="K58" s="222"/>
      <c r="L58" s="457"/>
      <c r="M58" s="221" t="e">
        <f>RANK(K58, K$87:$K$101)</f>
        <v>#DIV/0!</v>
      </c>
      <c r="N58" s="475"/>
      <c r="O58" s="475"/>
      <c r="P58" s="351"/>
      <c r="Q58" s="351"/>
      <c r="R58" s="351"/>
      <c r="S58" s="351" t="e">
        <f t="shared" si="25"/>
        <v>#N/A</v>
      </c>
      <c r="T58" s="508"/>
      <c r="U58" s="351"/>
      <c r="V58" s="351"/>
      <c r="W58" s="351"/>
      <c r="X58" s="351" t="e">
        <f t="shared" si="26"/>
        <v>#N/A</v>
      </c>
      <c r="Y58" s="508"/>
      <c r="Z58" s="351"/>
      <c r="AA58" s="351"/>
      <c r="AB58" s="351"/>
      <c r="AC58" s="351" t="e">
        <f t="shared" si="27"/>
        <v>#N/A</v>
      </c>
      <c r="AD58" s="508"/>
      <c r="AE58" s="351"/>
      <c r="AF58" s="351"/>
      <c r="AG58" s="351"/>
      <c r="AH58" s="351" t="e">
        <f t="shared" si="28"/>
        <v>#N/A</v>
      </c>
      <c r="AI58" s="508"/>
      <c r="AJ58" s="351"/>
      <c r="AK58" s="351"/>
      <c r="AL58" s="351"/>
      <c r="AM58" s="351" t="e">
        <f t="shared" si="29"/>
        <v>#N/A</v>
      </c>
      <c r="AN58" s="508"/>
      <c r="AO58" s="351"/>
      <c r="AP58" s="351"/>
      <c r="AQ58" s="351"/>
      <c r="AR58" s="351" t="e">
        <f t="shared" si="30"/>
        <v>#N/A</v>
      </c>
      <c r="AS58" s="508"/>
      <c r="AT58" s="351"/>
      <c r="AU58" s="351"/>
      <c r="AV58" s="351"/>
      <c r="AW58" s="351" t="e">
        <f t="shared" si="31"/>
        <v>#N/A</v>
      </c>
      <c r="AX58" s="506"/>
    </row>
    <row r="59" spans="2:50">
      <c r="B59" s="483"/>
      <c r="C59" s="351">
        <v>13</v>
      </c>
      <c r="D59" s="257"/>
      <c r="E59" s="187"/>
      <c r="F59" s="351"/>
      <c r="G59" s="354"/>
      <c r="H59" s="508"/>
      <c r="I59" s="222"/>
      <c r="J59" s="222"/>
      <c r="K59" s="222"/>
      <c r="L59" s="457"/>
      <c r="M59" s="221" t="e">
        <f>RANK(K59, K$87:$K$101)</f>
        <v>#DIV/0!</v>
      </c>
      <c r="N59" s="475"/>
      <c r="O59" s="475"/>
      <c r="P59" s="351"/>
      <c r="Q59" s="351"/>
      <c r="R59" s="351"/>
      <c r="S59" s="351" t="e">
        <f t="shared" si="25"/>
        <v>#N/A</v>
      </c>
      <c r="T59" s="508"/>
      <c r="U59" s="351"/>
      <c r="V59" s="351"/>
      <c r="W59" s="351"/>
      <c r="X59" s="351" t="e">
        <f t="shared" si="26"/>
        <v>#N/A</v>
      </c>
      <c r="Y59" s="508"/>
      <c r="Z59" s="351"/>
      <c r="AA59" s="351"/>
      <c r="AB59" s="351"/>
      <c r="AC59" s="351" t="e">
        <f t="shared" si="27"/>
        <v>#N/A</v>
      </c>
      <c r="AD59" s="508"/>
      <c r="AE59" s="351"/>
      <c r="AF59" s="351"/>
      <c r="AG59" s="351"/>
      <c r="AH59" s="351" t="e">
        <f t="shared" si="28"/>
        <v>#N/A</v>
      </c>
      <c r="AI59" s="508"/>
      <c r="AJ59" s="351"/>
      <c r="AK59" s="351"/>
      <c r="AL59" s="351"/>
      <c r="AM59" s="351" t="e">
        <f t="shared" si="29"/>
        <v>#N/A</v>
      </c>
      <c r="AN59" s="508"/>
      <c r="AO59" s="351"/>
      <c r="AP59" s="351"/>
      <c r="AQ59" s="351"/>
      <c r="AR59" s="351" t="e">
        <f t="shared" si="30"/>
        <v>#N/A</v>
      </c>
      <c r="AS59" s="508"/>
      <c r="AT59" s="351"/>
      <c r="AU59" s="351"/>
      <c r="AV59" s="351"/>
      <c r="AW59" s="351" t="e">
        <f t="shared" si="31"/>
        <v>#N/A</v>
      </c>
      <c r="AX59" s="506"/>
    </row>
    <row r="60" spans="2:50">
      <c r="B60" s="483"/>
      <c r="C60" s="351">
        <v>14</v>
      </c>
      <c r="D60" s="257"/>
      <c r="E60" s="187"/>
      <c r="F60" s="351"/>
      <c r="G60" s="354"/>
      <c r="H60" s="508"/>
      <c r="I60" s="222"/>
      <c r="J60" s="222"/>
      <c r="K60" s="222"/>
      <c r="L60" s="457"/>
      <c r="M60" s="221" t="e">
        <f>RANK(K60, K$87:$K$101)</f>
        <v>#DIV/0!</v>
      </c>
      <c r="N60" s="475"/>
      <c r="O60" s="475"/>
      <c r="P60" s="351"/>
      <c r="Q60" s="351"/>
      <c r="R60" s="351"/>
      <c r="S60" s="351" t="e">
        <f t="shared" si="25"/>
        <v>#N/A</v>
      </c>
      <c r="T60" s="508"/>
      <c r="U60" s="351"/>
      <c r="V60" s="351"/>
      <c r="W60" s="351"/>
      <c r="X60" s="351" t="e">
        <f t="shared" si="26"/>
        <v>#N/A</v>
      </c>
      <c r="Y60" s="508"/>
      <c r="Z60" s="351"/>
      <c r="AA60" s="351"/>
      <c r="AB60" s="351"/>
      <c r="AC60" s="351" t="e">
        <f t="shared" si="27"/>
        <v>#N/A</v>
      </c>
      <c r="AD60" s="508"/>
      <c r="AE60" s="351"/>
      <c r="AF60" s="351"/>
      <c r="AG60" s="351"/>
      <c r="AH60" s="351" t="e">
        <f t="shared" si="28"/>
        <v>#N/A</v>
      </c>
      <c r="AI60" s="508"/>
      <c r="AJ60" s="351"/>
      <c r="AK60" s="351"/>
      <c r="AL60" s="351"/>
      <c r="AM60" s="351" t="e">
        <f t="shared" si="29"/>
        <v>#N/A</v>
      </c>
      <c r="AN60" s="508"/>
      <c r="AO60" s="351"/>
      <c r="AP60" s="351"/>
      <c r="AQ60" s="351"/>
      <c r="AR60" s="351" t="e">
        <f t="shared" si="30"/>
        <v>#N/A</v>
      </c>
      <c r="AS60" s="508"/>
      <c r="AT60" s="351"/>
      <c r="AU60" s="351"/>
      <c r="AV60" s="351"/>
      <c r="AW60" s="351" t="e">
        <f t="shared" si="31"/>
        <v>#N/A</v>
      </c>
      <c r="AX60" s="506"/>
    </row>
    <row r="61" spans="2:50">
      <c r="B61" s="483"/>
      <c r="C61" s="351">
        <v>15</v>
      </c>
      <c r="D61" s="257"/>
      <c r="E61" s="187"/>
      <c r="F61" s="351"/>
      <c r="G61" s="354"/>
      <c r="H61" s="509"/>
      <c r="I61" s="222"/>
      <c r="J61" s="222"/>
      <c r="K61" s="222"/>
      <c r="L61" s="458"/>
      <c r="M61" s="219" t="e">
        <f>RANK(K61, K$87:$K$101)</f>
        <v>#DIV/0!</v>
      </c>
      <c r="N61" s="475"/>
      <c r="O61" s="475"/>
      <c r="P61" s="351"/>
      <c r="Q61" s="351"/>
      <c r="R61" s="351"/>
      <c r="S61" s="351" t="e">
        <f t="shared" si="25"/>
        <v>#N/A</v>
      </c>
      <c r="T61" s="509"/>
      <c r="U61" s="351"/>
      <c r="V61" s="351"/>
      <c r="W61" s="351"/>
      <c r="X61" s="351" t="e">
        <f t="shared" si="26"/>
        <v>#N/A</v>
      </c>
      <c r="Y61" s="509"/>
      <c r="Z61" s="351"/>
      <c r="AA61" s="351"/>
      <c r="AB61" s="351"/>
      <c r="AC61" s="351" t="e">
        <f t="shared" si="27"/>
        <v>#N/A</v>
      </c>
      <c r="AD61" s="509"/>
      <c r="AE61" s="351"/>
      <c r="AF61" s="351"/>
      <c r="AG61" s="351"/>
      <c r="AH61" s="351" t="e">
        <f t="shared" si="28"/>
        <v>#N/A</v>
      </c>
      <c r="AI61" s="509"/>
      <c r="AJ61" s="351"/>
      <c r="AK61" s="351"/>
      <c r="AL61" s="351"/>
      <c r="AM61" s="351" t="e">
        <f t="shared" si="29"/>
        <v>#N/A</v>
      </c>
      <c r="AN61" s="509"/>
      <c r="AO61" s="351"/>
      <c r="AP61" s="351"/>
      <c r="AQ61" s="351"/>
      <c r="AR61" s="351" t="e">
        <f t="shared" si="30"/>
        <v>#N/A</v>
      </c>
      <c r="AS61" s="509"/>
      <c r="AT61" s="351"/>
      <c r="AU61" s="351"/>
      <c r="AV61" s="351"/>
      <c r="AW61" s="351" t="e">
        <f t="shared" si="31"/>
        <v>#N/A</v>
      </c>
      <c r="AX61" s="506"/>
    </row>
    <row r="62" spans="2:50" ht="15.75">
      <c r="B62" s="487" t="s">
        <v>172</v>
      </c>
      <c r="C62" s="488"/>
      <c r="D62" s="488"/>
      <c r="E62" s="488"/>
      <c r="F62" s="488"/>
      <c r="G62" s="488"/>
      <c r="H62" s="489"/>
      <c r="I62" s="228"/>
      <c r="J62" s="228"/>
      <c r="K62" s="228"/>
      <c r="L62" s="228"/>
      <c r="M62" s="227"/>
      <c r="N62" s="476" t="s">
        <v>164</v>
      </c>
      <c r="O62" s="476" t="s">
        <v>105</v>
      </c>
      <c r="P62" s="482">
        <f>P42+7</f>
        <v>45916</v>
      </c>
      <c r="Q62" s="483"/>
      <c r="R62" s="483"/>
      <c r="S62" s="483"/>
      <c r="T62" s="483"/>
      <c r="U62" s="479">
        <f>P62+1</f>
        <v>45917</v>
      </c>
      <c r="V62" s="480"/>
      <c r="W62" s="480"/>
      <c r="X62" s="480"/>
      <c r="Y62" s="481"/>
      <c r="Z62" s="479">
        <f>U62+1</f>
        <v>45918</v>
      </c>
      <c r="AA62" s="480"/>
      <c r="AB62" s="480"/>
      <c r="AC62" s="480"/>
      <c r="AD62" s="481"/>
      <c r="AE62" s="479">
        <f t="shared" ref="AE62" si="32">Z62+1</f>
        <v>45919</v>
      </c>
      <c r="AF62" s="480"/>
      <c r="AG62" s="480"/>
      <c r="AH62" s="480"/>
      <c r="AI62" s="481"/>
      <c r="AJ62" s="479">
        <f t="shared" ref="AJ62" si="33">AE62+1</f>
        <v>45920</v>
      </c>
      <c r="AK62" s="480"/>
      <c r="AL62" s="480"/>
      <c r="AM62" s="480"/>
      <c r="AN62" s="481"/>
      <c r="AO62" s="479">
        <f t="shared" ref="AO62" si="34">AJ62+1</f>
        <v>45921</v>
      </c>
      <c r="AP62" s="480"/>
      <c r="AQ62" s="480"/>
      <c r="AR62" s="480"/>
      <c r="AS62" s="481"/>
      <c r="AT62" s="479">
        <f t="shared" ref="AT62" si="35">AO62+1</f>
        <v>45922</v>
      </c>
      <c r="AU62" s="480"/>
      <c r="AV62" s="480"/>
      <c r="AW62" s="480"/>
      <c r="AX62" s="481"/>
    </row>
    <row r="63" spans="2:50" ht="15.75">
      <c r="B63" s="490"/>
      <c r="C63" s="490"/>
      <c r="D63" s="490"/>
      <c r="E63" s="490"/>
      <c r="F63" s="490"/>
      <c r="G63" s="490"/>
      <c r="H63" s="490"/>
      <c r="I63" s="225"/>
      <c r="J63" s="225"/>
      <c r="K63" s="225"/>
      <c r="L63" s="225"/>
      <c r="M63" s="226"/>
      <c r="N63" s="478"/>
      <c r="O63" s="478"/>
      <c r="P63" s="482" t="s">
        <v>393</v>
      </c>
      <c r="Q63" s="483"/>
      <c r="R63" s="483"/>
      <c r="S63" s="483"/>
      <c r="T63" s="483"/>
      <c r="U63" s="482" t="s">
        <v>394</v>
      </c>
      <c r="V63" s="483"/>
      <c r="W63" s="483"/>
      <c r="X63" s="483"/>
      <c r="Y63" s="483"/>
      <c r="Z63" s="482" t="s">
        <v>395</v>
      </c>
      <c r="AA63" s="483"/>
      <c r="AB63" s="483"/>
      <c r="AC63" s="483"/>
      <c r="AD63" s="483"/>
      <c r="AE63" s="482" t="s">
        <v>396</v>
      </c>
      <c r="AF63" s="483"/>
      <c r="AG63" s="483"/>
      <c r="AH63" s="483"/>
      <c r="AI63" s="483"/>
      <c r="AJ63" s="482" t="s">
        <v>397</v>
      </c>
      <c r="AK63" s="483"/>
      <c r="AL63" s="483"/>
      <c r="AM63" s="483"/>
      <c r="AN63" s="483"/>
      <c r="AO63" s="482" t="s">
        <v>398</v>
      </c>
      <c r="AP63" s="483"/>
      <c r="AQ63" s="483"/>
      <c r="AR63" s="483"/>
      <c r="AS63" s="483"/>
      <c r="AT63" s="482" t="s">
        <v>399</v>
      </c>
      <c r="AU63" s="483"/>
      <c r="AV63" s="483"/>
      <c r="AW63" s="483"/>
      <c r="AX63" s="483"/>
    </row>
    <row r="64" spans="2:50">
      <c r="B64" s="475" t="s">
        <v>726</v>
      </c>
      <c r="C64" s="475" t="s">
        <v>727</v>
      </c>
      <c r="D64" s="475"/>
      <c r="E64" s="475" t="s">
        <v>728</v>
      </c>
      <c r="F64" s="475"/>
      <c r="G64" s="475"/>
      <c r="H64" s="491" t="s">
        <v>729</v>
      </c>
      <c r="I64" s="459" t="s">
        <v>730</v>
      </c>
      <c r="J64" s="459"/>
      <c r="K64" s="459"/>
      <c r="L64" s="460" t="s">
        <v>729</v>
      </c>
      <c r="M64" s="466" t="s">
        <v>731</v>
      </c>
      <c r="N64" s="475"/>
      <c r="O64" s="475" t="s">
        <v>732</v>
      </c>
      <c r="P64" s="472" t="s">
        <v>733</v>
      </c>
      <c r="Q64" s="473"/>
      <c r="R64" s="473"/>
      <c r="S64" s="474"/>
      <c r="T64" s="475" t="s">
        <v>729</v>
      </c>
      <c r="U64" s="472" t="s">
        <v>733</v>
      </c>
      <c r="V64" s="473"/>
      <c r="W64" s="473"/>
      <c r="X64" s="474"/>
      <c r="Y64" s="475" t="s">
        <v>729</v>
      </c>
      <c r="Z64" s="472" t="s">
        <v>733</v>
      </c>
      <c r="AA64" s="473"/>
      <c r="AB64" s="473"/>
      <c r="AC64" s="474"/>
      <c r="AD64" s="475" t="s">
        <v>729</v>
      </c>
      <c r="AE64" s="472" t="s">
        <v>733</v>
      </c>
      <c r="AF64" s="473"/>
      <c r="AG64" s="473"/>
      <c r="AH64" s="474"/>
      <c r="AI64" s="475" t="s">
        <v>729</v>
      </c>
      <c r="AJ64" s="472" t="s">
        <v>733</v>
      </c>
      <c r="AK64" s="473"/>
      <c r="AL64" s="473"/>
      <c r="AM64" s="474"/>
      <c r="AN64" s="475" t="s">
        <v>729</v>
      </c>
      <c r="AO64" s="472" t="s">
        <v>733</v>
      </c>
      <c r="AP64" s="473"/>
      <c r="AQ64" s="473"/>
      <c r="AR64" s="474"/>
      <c r="AS64" s="475" t="s">
        <v>729</v>
      </c>
      <c r="AT64" s="472" t="s">
        <v>733</v>
      </c>
      <c r="AU64" s="473"/>
      <c r="AV64" s="473"/>
      <c r="AW64" s="474"/>
      <c r="AX64" s="475" t="s">
        <v>729</v>
      </c>
    </row>
    <row r="65" spans="2:50">
      <c r="B65" s="475"/>
      <c r="C65" s="475"/>
      <c r="D65" s="475"/>
      <c r="E65" s="475" t="s">
        <v>734</v>
      </c>
      <c r="F65" s="475"/>
      <c r="G65" s="475"/>
      <c r="H65" s="492"/>
      <c r="I65" s="459" t="s">
        <v>734</v>
      </c>
      <c r="J65" s="459"/>
      <c r="K65" s="459"/>
      <c r="L65" s="461"/>
      <c r="M65" s="467"/>
      <c r="N65" s="475"/>
      <c r="O65" s="475"/>
      <c r="P65" s="472" t="s">
        <v>735</v>
      </c>
      <c r="Q65" s="473"/>
      <c r="R65" s="473"/>
      <c r="S65" s="474"/>
      <c r="T65" s="475"/>
      <c r="U65" s="472" t="s">
        <v>735</v>
      </c>
      <c r="V65" s="473"/>
      <c r="W65" s="473"/>
      <c r="X65" s="474"/>
      <c r="Y65" s="475"/>
      <c r="Z65" s="472" t="s">
        <v>735</v>
      </c>
      <c r="AA65" s="473"/>
      <c r="AB65" s="473"/>
      <c r="AC65" s="474"/>
      <c r="AD65" s="475"/>
      <c r="AE65" s="472" t="s">
        <v>735</v>
      </c>
      <c r="AF65" s="473"/>
      <c r="AG65" s="473"/>
      <c r="AH65" s="474"/>
      <c r="AI65" s="475"/>
      <c r="AJ65" s="472" t="s">
        <v>735</v>
      </c>
      <c r="AK65" s="473"/>
      <c r="AL65" s="473"/>
      <c r="AM65" s="474"/>
      <c r="AN65" s="475"/>
      <c r="AO65" s="472" t="s">
        <v>735</v>
      </c>
      <c r="AP65" s="473"/>
      <c r="AQ65" s="473"/>
      <c r="AR65" s="474"/>
      <c r="AS65" s="475"/>
      <c r="AT65" s="472" t="s">
        <v>735</v>
      </c>
      <c r="AU65" s="473"/>
      <c r="AV65" s="473"/>
      <c r="AW65" s="474"/>
      <c r="AX65" s="475"/>
    </row>
    <row r="66" spans="2:50">
      <c r="B66" s="475"/>
      <c r="C66" s="475"/>
      <c r="D66" s="475"/>
      <c r="E66" s="350" t="s">
        <v>736</v>
      </c>
      <c r="F66" s="350" t="s">
        <v>737</v>
      </c>
      <c r="G66" s="350" t="s">
        <v>738</v>
      </c>
      <c r="H66" s="493"/>
      <c r="I66" s="349" t="s">
        <v>736</v>
      </c>
      <c r="J66" s="349" t="s">
        <v>737</v>
      </c>
      <c r="K66" s="349" t="s">
        <v>738</v>
      </c>
      <c r="L66" s="462"/>
      <c r="M66" s="468"/>
      <c r="N66" s="475"/>
      <c r="O66" s="475"/>
      <c r="P66" s="350" t="s">
        <v>736</v>
      </c>
      <c r="Q66" s="350" t="s">
        <v>737</v>
      </c>
      <c r="R66" s="350" t="s">
        <v>738</v>
      </c>
      <c r="S66" s="350" t="s">
        <v>731</v>
      </c>
      <c r="T66" s="475"/>
      <c r="U66" s="350" t="s">
        <v>736</v>
      </c>
      <c r="V66" s="350" t="s">
        <v>737</v>
      </c>
      <c r="W66" s="350" t="s">
        <v>738</v>
      </c>
      <c r="X66" s="350" t="s">
        <v>731</v>
      </c>
      <c r="Y66" s="475"/>
      <c r="Z66" s="350" t="s">
        <v>736</v>
      </c>
      <c r="AA66" s="350" t="s">
        <v>737</v>
      </c>
      <c r="AB66" s="350" t="s">
        <v>738</v>
      </c>
      <c r="AC66" s="350" t="s">
        <v>731</v>
      </c>
      <c r="AD66" s="475"/>
      <c r="AE66" s="350" t="s">
        <v>736</v>
      </c>
      <c r="AF66" s="350" t="s">
        <v>737</v>
      </c>
      <c r="AG66" s="350" t="s">
        <v>738</v>
      </c>
      <c r="AH66" s="350" t="s">
        <v>731</v>
      </c>
      <c r="AI66" s="475"/>
      <c r="AJ66" s="350" t="s">
        <v>736</v>
      </c>
      <c r="AK66" s="350" t="s">
        <v>737</v>
      </c>
      <c r="AL66" s="350" t="s">
        <v>738</v>
      </c>
      <c r="AM66" s="350" t="s">
        <v>731</v>
      </c>
      <c r="AN66" s="475"/>
      <c r="AO66" s="350" t="s">
        <v>736</v>
      </c>
      <c r="AP66" s="350" t="s">
        <v>737</v>
      </c>
      <c r="AQ66" s="350" t="s">
        <v>738</v>
      </c>
      <c r="AR66" s="350" t="s">
        <v>731</v>
      </c>
      <c r="AS66" s="475"/>
      <c r="AT66" s="350" t="s">
        <v>736</v>
      </c>
      <c r="AU66" s="350" t="s">
        <v>737</v>
      </c>
      <c r="AV66" s="350" t="s">
        <v>738</v>
      </c>
      <c r="AW66" s="350" t="s">
        <v>731</v>
      </c>
      <c r="AX66" s="475"/>
    </row>
    <row r="67" spans="2:50">
      <c r="B67" s="475" t="s">
        <v>759</v>
      </c>
      <c r="C67" s="351">
        <v>1</v>
      </c>
      <c r="D67" s="257"/>
      <c r="E67" s="187"/>
      <c r="F67" s="351"/>
      <c r="G67" s="354"/>
      <c r="H67" s="507" t="e">
        <f>AVERAGE(G67:G81)</f>
        <v>#DIV/0!</v>
      </c>
      <c r="I67" s="219" t="e">
        <f>AVERAGE(P67,U67,Z67,AE67,AJ67,AO67,AT67)</f>
        <v>#DIV/0!</v>
      </c>
      <c r="J67" s="219" t="e">
        <f>AVERAGE(Q67,V67,AA67,AF67,AK67,AP67,AU67)</f>
        <v>#DIV/0!</v>
      </c>
      <c r="K67" s="220" t="e">
        <f>AVERAGE(R67,W67,AB67,AG67,AL67,AQ67,AV67)</f>
        <v>#DIV/0!</v>
      </c>
      <c r="L67" s="456" t="str">
        <f>IFERROR(AVERAGE(K67:K81),"-")</f>
        <v>-</v>
      </c>
      <c r="M67" s="221" t="e">
        <f>RANK(K67, K$87:$K$101)</f>
        <v>#DIV/0!</v>
      </c>
      <c r="N67" s="475"/>
      <c r="O67" s="475"/>
      <c r="P67" s="351"/>
      <c r="Q67" s="354"/>
      <c r="R67" s="354"/>
      <c r="S67" s="351" t="e">
        <f>RANK(R67, R$87:R$101)</f>
        <v>#N/A</v>
      </c>
      <c r="T67" s="507" t="e">
        <f>AVERAGE(R67:R81)</f>
        <v>#DIV/0!</v>
      </c>
      <c r="U67" s="351"/>
      <c r="V67" s="354"/>
      <c r="W67" s="354"/>
      <c r="X67" s="351" t="e">
        <f>RANK(W67, W$87:W$101)</f>
        <v>#N/A</v>
      </c>
      <c r="Y67" s="507" t="e">
        <f>AVERAGE(W67:W81)</f>
        <v>#DIV/0!</v>
      </c>
      <c r="Z67" s="351"/>
      <c r="AA67" s="354"/>
      <c r="AB67" s="354"/>
      <c r="AC67" s="351" t="e">
        <f>RANK(AB67, AB$87:AB$101)</f>
        <v>#N/A</v>
      </c>
      <c r="AD67" s="507" t="e">
        <f>AVERAGE(AB67:AB81)</f>
        <v>#DIV/0!</v>
      </c>
      <c r="AE67" s="351"/>
      <c r="AF67" s="354"/>
      <c r="AG67" s="354"/>
      <c r="AH67" s="351" t="e">
        <f>RANK(AG67, AG$87:AG$101)</f>
        <v>#N/A</v>
      </c>
      <c r="AI67" s="507" t="e">
        <f>AVERAGE(AG67:AG81)</f>
        <v>#DIV/0!</v>
      </c>
      <c r="AJ67" s="351"/>
      <c r="AK67" s="354"/>
      <c r="AL67" s="354"/>
      <c r="AM67" s="351" t="e">
        <f>RANK(AL67, AL$87:AL$101)</f>
        <v>#N/A</v>
      </c>
      <c r="AN67" s="507" t="e">
        <f>AVERAGE(AL67:AL81)</f>
        <v>#DIV/0!</v>
      </c>
      <c r="AO67" s="351"/>
      <c r="AP67" s="354"/>
      <c r="AQ67" s="354"/>
      <c r="AR67" s="351" t="e">
        <f>RANK(AQ67, AQ$87:AQ$101)</f>
        <v>#N/A</v>
      </c>
      <c r="AS67" s="507" t="e">
        <f>AVERAGE(AQ67:AQ81)</f>
        <v>#DIV/0!</v>
      </c>
      <c r="AT67" s="351"/>
      <c r="AU67" s="354"/>
      <c r="AV67" s="354"/>
      <c r="AW67" s="351" t="e">
        <f>RANK(AV67, AV$87:AV$101)</f>
        <v>#N/A</v>
      </c>
      <c r="AX67" s="506" t="e">
        <f>AVERAGE(AV67:AV81)</f>
        <v>#DIV/0!</v>
      </c>
    </row>
    <row r="68" spans="2:50">
      <c r="B68" s="483"/>
      <c r="C68" s="351">
        <v>2</v>
      </c>
      <c r="D68" s="257"/>
      <c r="E68" s="187"/>
      <c r="F68" s="351"/>
      <c r="G68" s="354"/>
      <c r="H68" s="508"/>
      <c r="I68" s="219" t="e">
        <f t="shared" ref="I68:I71" si="36">AVERAGE(P68,U68,Z68,AE68,AJ68,AO68,AT68)</f>
        <v>#DIV/0!</v>
      </c>
      <c r="J68" s="219" t="e">
        <f t="shared" ref="J68:J71" si="37">AVERAGE(Q68,V68,AA68,AF68,AK68,AP68,AU68)</f>
        <v>#DIV/0!</v>
      </c>
      <c r="K68" s="220" t="e">
        <f t="shared" ref="K68:K71" si="38">AVERAGE(R68,W68,AB68,AG68,AL68,AQ68,AV68)</f>
        <v>#DIV/0!</v>
      </c>
      <c r="L68" s="457"/>
      <c r="M68" s="221" t="e">
        <f>RANK(K68, K$87:$K$101)</f>
        <v>#DIV/0!</v>
      </c>
      <c r="N68" s="475"/>
      <c r="O68" s="475"/>
      <c r="P68" s="351"/>
      <c r="Q68" s="354"/>
      <c r="R68" s="354"/>
      <c r="S68" s="351" t="e">
        <f t="shared" ref="S68:S81" si="39">RANK(R68, R$87:R$101)</f>
        <v>#N/A</v>
      </c>
      <c r="T68" s="508"/>
      <c r="U68" s="351"/>
      <c r="V68" s="354"/>
      <c r="W68" s="354"/>
      <c r="X68" s="351" t="e">
        <f t="shared" ref="X68:X81" si="40">RANK(W68, W$87:W$101)</f>
        <v>#N/A</v>
      </c>
      <c r="Y68" s="508"/>
      <c r="Z68" s="351"/>
      <c r="AA68" s="354"/>
      <c r="AB68" s="354"/>
      <c r="AC68" s="351" t="e">
        <f t="shared" ref="AC68:AC81" si="41">RANK(AB68, AB$87:AB$101)</f>
        <v>#N/A</v>
      </c>
      <c r="AD68" s="508"/>
      <c r="AE68" s="351"/>
      <c r="AF68" s="354"/>
      <c r="AG68" s="354"/>
      <c r="AH68" s="351" t="e">
        <f t="shared" ref="AH68:AH81" si="42">RANK(AG68, AG$87:AG$101)</f>
        <v>#N/A</v>
      </c>
      <c r="AI68" s="508"/>
      <c r="AJ68" s="351"/>
      <c r="AK68" s="354"/>
      <c r="AL68" s="354"/>
      <c r="AM68" s="351" t="e">
        <f t="shared" ref="AM68:AM81" si="43">RANK(AL68, AL$87:AL$101)</f>
        <v>#N/A</v>
      </c>
      <c r="AN68" s="508"/>
      <c r="AO68" s="351"/>
      <c r="AP68" s="354"/>
      <c r="AQ68" s="354"/>
      <c r="AR68" s="351" t="e">
        <f t="shared" ref="AR68:AR81" si="44">RANK(AQ68, AQ$87:AQ$101)</f>
        <v>#N/A</v>
      </c>
      <c r="AS68" s="508"/>
      <c r="AT68" s="351"/>
      <c r="AU68" s="354"/>
      <c r="AV68" s="354"/>
      <c r="AW68" s="351" t="e">
        <f t="shared" ref="AW68:AW81" si="45">RANK(AV68, AV$87:AV$101)</f>
        <v>#N/A</v>
      </c>
      <c r="AX68" s="506"/>
    </row>
    <row r="69" spans="2:50">
      <c r="B69" s="483"/>
      <c r="C69" s="351">
        <v>3</v>
      </c>
      <c r="D69" s="257"/>
      <c r="E69" s="187"/>
      <c r="F69" s="351"/>
      <c r="G69" s="354"/>
      <c r="H69" s="508"/>
      <c r="I69" s="219" t="e">
        <f t="shared" si="36"/>
        <v>#DIV/0!</v>
      </c>
      <c r="J69" s="219" t="e">
        <f t="shared" si="37"/>
        <v>#DIV/0!</v>
      </c>
      <c r="K69" s="220" t="e">
        <f t="shared" si="38"/>
        <v>#DIV/0!</v>
      </c>
      <c r="L69" s="457"/>
      <c r="M69" s="221" t="e">
        <f>RANK(K69, K$87:$K$101)</f>
        <v>#DIV/0!</v>
      </c>
      <c r="N69" s="475"/>
      <c r="O69" s="475"/>
      <c r="P69" s="351"/>
      <c r="Q69" s="354"/>
      <c r="R69" s="354"/>
      <c r="S69" s="351" t="e">
        <f t="shared" si="39"/>
        <v>#N/A</v>
      </c>
      <c r="T69" s="508"/>
      <c r="U69" s="351"/>
      <c r="V69" s="354"/>
      <c r="W69" s="354"/>
      <c r="X69" s="351" t="e">
        <f t="shared" si="40"/>
        <v>#N/A</v>
      </c>
      <c r="Y69" s="508"/>
      <c r="Z69" s="351"/>
      <c r="AA69" s="354"/>
      <c r="AB69" s="354"/>
      <c r="AC69" s="351" t="e">
        <f t="shared" si="41"/>
        <v>#N/A</v>
      </c>
      <c r="AD69" s="508"/>
      <c r="AE69" s="351"/>
      <c r="AF69" s="354"/>
      <c r="AG69" s="354"/>
      <c r="AH69" s="351" t="e">
        <f t="shared" si="42"/>
        <v>#N/A</v>
      </c>
      <c r="AI69" s="508"/>
      <c r="AJ69" s="351"/>
      <c r="AK69" s="354"/>
      <c r="AL69" s="354"/>
      <c r="AM69" s="351" t="e">
        <f t="shared" si="43"/>
        <v>#N/A</v>
      </c>
      <c r="AN69" s="508"/>
      <c r="AO69" s="351"/>
      <c r="AP69" s="354"/>
      <c r="AQ69" s="354"/>
      <c r="AR69" s="351" t="e">
        <f t="shared" si="44"/>
        <v>#N/A</v>
      </c>
      <c r="AS69" s="508"/>
      <c r="AT69" s="351"/>
      <c r="AU69" s="354"/>
      <c r="AV69" s="354"/>
      <c r="AW69" s="351" t="e">
        <f t="shared" si="45"/>
        <v>#N/A</v>
      </c>
      <c r="AX69" s="506"/>
    </row>
    <row r="70" spans="2:50">
      <c r="B70" s="483"/>
      <c r="C70" s="351">
        <v>4</v>
      </c>
      <c r="D70" s="257"/>
      <c r="E70" s="187"/>
      <c r="F70" s="351"/>
      <c r="G70" s="354"/>
      <c r="H70" s="508"/>
      <c r="I70" s="219" t="e">
        <f t="shared" si="36"/>
        <v>#DIV/0!</v>
      </c>
      <c r="J70" s="219" t="e">
        <f t="shared" si="37"/>
        <v>#DIV/0!</v>
      </c>
      <c r="K70" s="220" t="e">
        <f t="shared" si="38"/>
        <v>#DIV/0!</v>
      </c>
      <c r="L70" s="457"/>
      <c r="M70" s="221" t="e">
        <f>RANK(K70, K$87:$K$101)</f>
        <v>#DIV/0!</v>
      </c>
      <c r="N70" s="475"/>
      <c r="O70" s="475"/>
      <c r="P70" s="351"/>
      <c r="Q70" s="354"/>
      <c r="R70" s="354"/>
      <c r="S70" s="351" t="e">
        <f t="shared" si="39"/>
        <v>#N/A</v>
      </c>
      <c r="T70" s="508"/>
      <c r="U70" s="351"/>
      <c r="V70" s="354"/>
      <c r="W70" s="354"/>
      <c r="X70" s="351" t="e">
        <f t="shared" si="40"/>
        <v>#N/A</v>
      </c>
      <c r="Y70" s="508"/>
      <c r="Z70" s="351"/>
      <c r="AA70" s="354"/>
      <c r="AB70" s="354"/>
      <c r="AC70" s="351" t="e">
        <f t="shared" si="41"/>
        <v>#N/A</v>
      </c>
      <c r="AD70" s="508"/>
      <c r="AE70" s="351"/>
      <c r="AF70" s="354"/>
      <c r="AG70" s="354"/>
      <c r="AH70" s="351" t="e">
        <f t="shared" si="42"/>
        <v>#N/A</v>
      </c>
      <c r="AI70" s="508"/>
      <c r="AJ70" s="351"/>
      <c r="AK70" s="354"/>
      <c r="AL70" s="354"/>
      <c r="AM70" s="351" t="e">
        <f t="shared" si="43"/>
        <v>#N/A</v>
      </c>
      <c r="AN70" s="508"/>
      <c r="AO70" s="351"/>
      <c r="AP70" s="354"/>
      <c r="AQ70" s="354"/>
      <c r="AR70" s="351" t="e">
        <f t="shared" si="44"/>
        <v>#N/A</v>
      </c>
      <c r="AS70" s="508"/>
      <c r="AT70" s="351"/>
      <c r="AU70" s="354"/>
      <c r="AV70" s="354"/>
      <c r="AW70" s="351" t="e">
        <f t="shared" si="45"/>
        <v>#N/A</v>
      </c>
      <c r="AX70" s="506"/>
    </row>
    <row r="71" spans="2:50">
      <c r="B71" s="483"/>
      <c r="C71" s="351">
        <v>5</v>
      </c>
      <c r="D71" s="257"/>
      <c r="E71" s="187"/>
      <c r="F71" s="351"/>
      <c r="G71" s="354"/>
      <c r="H71" s="508"/>
      <c r="I71" s="219" t="e">
        <f t="shared" si="36"/>
        <v>#DIV/0!</v>
      </c>
      <c r="J71" s="219" t="e">
        <f t="shared" si="37"/>
        <v>#DIV/0!</v>
      </c>
      <c r="K71" s="220" t="e">
        <f t="shared" si="38"/>
        <v>#DIV/0!</v>
      </c>
      <c r="L71" s="457"/>
      <c r="M71" s="221" t="e">
        <f>RANK(K71, K$87:$K$101)</f>
        <v>#DIV/0!</v>
      </c>
      <c r="N71" s="475"/>
      <c r="O71" s="475"/>
      <c r="P71" s="351"/>
      <c r="Q71" s="354"/>
      <c r="R71" s="354"/>
      <c r="S71" s="351" t="e">
        <f t="shared" si="39"/>
        <v>#N/A</v>
      </c>
      <c r="T71" s="508"/>
      <c r="U71" s="351"/>
      <c r="V71" s="354"/>
      <c r="W71" s="354"/>
      <c r="X71" s="351" t="e">
        <f t="shared" si="40"/>
        <v>#N/A</v>
      </c>
      <c r="Y71" s="508"/>
      <c r="Z71" s="351"/>
      <c r="AA71" s="354"/>
      <c r="AB71" s="354"/>
      <c r="AC71" s="351" t="e">
        <f t="shared" si="41"/>
        <v>#N/A</v>
      </c>
      <c r="AD71" s="508"/>
      <c r="AE71" s="351"/>
      <c r="AF71" s="354"/>
      <c r="AG71" s="354"/>
      <c r="AH71" s="351" t="e">
        <f t="shared" si="42"/>
        <v>#N/A</v>
      </c>
      <c r="AI71" s="508"/>
      <c r="AJ71" s="351"/>
      <c r="AK71" s="354"/>
      <c r="AL71" s="354"/>
      <c r="AM71" s="351" t="e">
        <f t="shared" si="43"/>
        <v>#N/A</v>
      </c>
      <c r="AN71" s="508"/>
      <c r="AO71" s="351"/>
      <c r="AP71" s="354"/>
      <c r="AQ71" s="354"/>
      <c r="AR71" s="351" t="e">
        <f t="shared" si="44"/>
        <v>#N/A</v>
      </c>
      <c r="AS71" s="508"/>
      <c r="AT71" s="351"/>
      <c r="AU71" s="354"/>
      <c r="AV71" s="354"/>
      <c r="AW71" s="351" t="e">
        <f t="shared" si="45"/>
        <v>#N/A</v>
      </c>
      <c r="AX71" s="506"/>
    </row>
    <row r="72" spans="2:50">
      <c r="B72" s="483"/>
      <c r="C72" s="351">
        <v>6</v>
      </c>
      <c r="D72" s="257"/>
      <c r="E72" s="187"/>
      <c r="F72" s="351"/>
      <c r="G72" s="354"/>
      <c r="H72" s="508"/>
      <c r="I72" s="219"/>
      <c r="J72" s="219"/>
      <c r="K72" s="220"/>
      <c r="L72" s="457"/>
      <c r="M72" s="221" t="e">
        <f>RANK(K72, K$87:$K$101)</f>
        <v>#DIV/0!</v>
      </c>
      <c r="N72" s="475"/>
      <c r="O72" s="475"/>
      <c r="P72" s="351"/>
      <c r="Q72" s="354"/>
      <c r="R72" s="354"/>
      <c r="S72" s="351" t="e">
        <f t="shared" si="39"/>
        <v>#N/A</v>
      </c>
      <c r="T72" s="508"/>
      <c r="U72" s="351"/>
      <c r="V72" s="354"/>
      <c r="W72" s="354"/>
      <c r="X72" s="351" t="e">
        <f t="shared" si="40"/>
        <v>#N/A</v>
      </c>
      <c r="Y72" s="508"/>
      <c r="Z72" s="351"/>
      <c r="AA72" s="354"/>
      <c r="AB72" s="354"/>
      <c r="AC72" s="351" t="e">
        <f t="shared" si="41"/>
        <v>#N/A</v>
      </c>
      <c r="AD72" s="508"/>
      <c r="AE72" s="351"/>
      <c r="AF72" s="354"/>
      <c r="AG72" s="354"/>
      <c r="AH72" s="351" t="e">
        <f t="shared" si="42"/>
        <v>#N/A</v>
      </c>
      <c r="AI72" s="508"/>
      <c r="AJ72" s="351"/>
      <c r="AK72" s="354"/>
      <c r="AL72" s="354"/>
      <c r="AM72" s="351" t="e">
        <f t="shared" si="43"/>
        <v>#N/A</v>
      </c>
      <c r="AN72" s="508"/>
      <c r="AO72" s="351"/>
      <c r="AP72" s="354"/>
      <c r="AQ72" s="354"/>
      <c r="AR72" s="351" t="e">
        <f t="shared" si="44"/>
        <v>#N/A</v>
      </c>
      <c r="AS72" s="508"/>
      <c r="AT72" s="351"/>
      <c r="AU72" s="354"/>
      <c r="AV72" s="354"/>
      <c r="AW72" s="351" t="e">
        <f t="shared" si="45"/>
        <v>#N/A</v>
      </c>
      <c r="AX72" s="506"/>
    </row>
    <row r="73" spans="2:50">
      <c r="B73" s="483"/>
      <c r="C73" s="351">
        <v>7</v>
      </c>
      <c r="D73" s="257"/>
      <c r="E73" s="187"/>
      <c r="F73" s="351"/>
      <c r="G73" s="354"/>
      <c r="H73" s="508"/>
      <c r="I73" s="219"/>
      <c r="J73" s="219"/>
      <c r="K73" s="220"/>
      <c r="L73" s="457"/>
      <c r="M73" s="221" t="e">
        <f>RANK(K73, K$87:$K$101)</f>
        <v>#DIV/0!</v>
      </c>
      <c r="N73" s="475"/>
      <c r="O73" s="475"/>
      <c r="P73" s="351"/>
      <c r="Q73" s="354"/>
      <c r="R73" s="354"/>
      <c r="S73" s="351" t="e">
        <f t="shared" si="39"/>
        <v>#N/A</v>
      </c>
      <c r="T73" s="508"/>
      <c r="U73" s="351"/>
      <c r="V73" s="354"/>
      <c r="W73" s="354"/>
      <c r="X73" s="351" t="e">
        <f t="shared" si="40"/>
        <v>#N/A</v>
      </c>
      <c r="Y73" s="508"/>
      <c r="Z73" s="351"/>
      <c r="AA73" s="354"/>
      <c r="AB73" s="354"/>
      <c r="AC73" s="351" t="e">
        <f t="shared" si="41"/>
        <v>#N/A</v>
      </c>
      <c r="AD73" s="508"/>
      <c r="AE73" s="351"/>
      <c r="AF73" s="354"/>
      <c r="AG73" s="354"/>
      <c r="AH73" s="351" t="e">
        <f t="shared" si="42"/>
        <v>#N/A</v>
      </c>
      <c r="AI73" s="508"/>
      <c r="AJ73" s="351"/>
      <c r="AK73" s="354"/>
      <c r="AL73" s="354"/>
      <c r="AM73" s="351" t="e">
        <f t="shared" si="43"/>
        <v>#N/A</v>
      </c>
      <c r="AN73" s="508"/>
      <c r="AO73" s="351"/>
      <c r="AP73" s="354"/>
      <c r="AQ73" s="354"/>
      <c r="AR73" s="351" t="e">
        <f t="shared" si="44"/>
        <v>#N/A</v>
      </c>
      <c r="AS73" s="508"/>
      <c r="AT73" s="351"/>
      <c r="AU73" s="354"/>
      <c r="AV73" s="354"/>
      <c r="AW73" s="351" t="e">
        <f t="shared" si="45"/>
        <v>#N/A</v>
      </c>
      <c r="AX73" s="506"/>
    </row>
    <row r="74" spans="2:50">
      <c r="B74" s="483"/>
      <c r="C74" s="351">
        <v>8</v>
      </c>
      <c r="D74" s="257"/>
      <c r="E74" s="187"/>
      <c r="F74" s="351"/>
      <c r="G74" s="354"/>
      <c r="H74" s="508"/>
      <c r="I74" s="219"/>
      <c r="J74" s="219"/>
      <c r="K74" s="220"/>
      <c r="L74" s="457"/>
      <c r="M74" s="221" t="e">
        <f>RANK(K74, K$87:$K$101)</f>
        <v>#DIV/0!</v>
      </c>
      <c r="N74" s="475"/>
      <c r="O74" s="475"/>
      <c r="P74" s="351"/>
      <c r="Q74" s="354"/>
      <c r="R74" s="354"/>
      <c r="S74" s="351" t="e">
        <f t="shared" si="39"/>
        <v>#N/A</v>
      </c>
      <c r="T74" s="508"/>
      <c r="U74" s="351"/>
      <c r="V74" s="354"/>
      <c r="W74" s="354"/>
      <c r="X74" s="351" t="e">
        <f t="shared" si="40"/>
        <v>#N/A</v>
      </c>
      <c r="Y74" s="508"/>
      <c r="Z74" s="351"/>
      <c r="AA74" s="354"/>
      <c r="AB74" s="354"/>
      <c r="AC74" s="351" t="e">
        <f t="shared" si="41"/>
        <v>#N/A</v>
      </c>
      <c r="AD74" s="508"/>
      <c r="AE74" s="351"/>
      <c r="AF74" s="354"/>
      <c r="AG74" s="354"/>
      <c r="AH74" s="351" t="e">
        <f t="shared" si="42"/>
        <v>#N/A</v>
      </c>
      <c r="AI74" s="508"/>
      <c r="AJ74" s="351"/>
      <c r="AK74" s="354"/>
      <c r="AL74" s="354"/>
      <c r="AM74" s="351" t="e">
        <f t="shared" si="43"/>
        <v>#N/A</v>
      </c>
      <c r="AN74" s="508"/>
      <c r="AO74" s="351"/>
      <c r="AP74" s="354"/>
      <c r="AQ74" s="354"/>
      <c r="AR74" s="351" t="e">
        <f t="shared" si="44"/>
        <v>#N/A</v>
      </c>
      <c r="AS74" s="508"/>
      <c r="AT74" s="351"/>
      <c r="AU74" s="354"/>
      <c r="AV74" s="354"/>
      <c r="AW74" s="351" t="e">
        <f t="shared" si="45"/>
        <v>#N/A</v>
      </c>
      <c r="AX74" s="506"/>
    </row>
    <row r="75" spans="2:50">
      <c r="B75" s="483"/>
      <c r="C75" s="351">
        <v>9</v>
      </c>
      <c r="D75" s="257"/>
      <c r="E75" s="187"/>
      <c r="F75" s="351"/>
      <c r="G75" s="354"/>
      <c r="H75" s="508"/>
      <c r="I75" s="219"/>
      <c r="J75" s="219"/>
      <c r="K75" s="220"/>
      <c r="L75" s="457"/>
      <c r="M75" s="221" t="e">
        <f>RANK(K75, K$87:$K$101)</f>
        <v>#DIV/0!</v>
      </c>
      <c r="N75" s="475"/>
      <c r="O75" s="475"/>
      <c r="P75" s="351"/>
      <c r="Q75" s="354"/>
      <c r="R75" s="354"/>
      <c r="S75" s="351" t="e">
        <f t="shared" si="39"/>
        <v>#N/A</v>
      </c>
      <c r="T75" s="508"/>
      <c r="U75" s="351"/>
      <c r="V75" s="354"/>
      <c r="W75" s="354"/>
      <c r="X75" s="351" t="e">
        <f t="shared" si="40"/>
        <v>#N/A</v>
      </c>
      <c r="Y75" s="508"/>
      <c r="Z75" s="351"/>
      <c r="AA75" s="354"/>
      <c r="AB75" s="354"/>
      <c r="AC75" s="351" t="e">
        <f t="shared" si="41"/>
        <v>#N/A</v>
      </c>
      <c r="AD75" s="508"/>
      <c r="AE75" s="351"/>
      <c r="AF75" s="354"/>
      <c r="AG75" s="354"/>
      <c r="AH75" s="351" t="e">
        <f t="shared" si="42"/>
        <v>#N/A</v>
      </c>
      <c r="AI75" s="508"/>
      <c r="AJ75" s="351"/>
      <c r="AK75" s="354"/>
      <c r="AL75" s="354"/>
      <c r="AM75" s="351" t="e">
        <f t="shared" si="43"/>
        <v>#N/A</v>
      </c>
      <c r="AN75" s="508"/>
      <c r="AO75" s="351"/>
      <c r="AP75" s="354"/>
      <c r="AQ75" s="354"/>
      <c r="AR75" s="351" t="e">
        <f t="shared" si="44"/>
        <v>#N/A</v>
      </c>
      <c r="AS75" s="508"/>
      <c r="AT75" s="351"/>
      <c r="AU75" s="354"/>
      <c r="AV75" s="354"/>
      <c r="AW75" s="351" t="e">
        <f t="shared" si="45"/>
        <v>#N/A</v>
      </c>
      <c r="AX75" s="506"/>
    </row>
    <row r="76" spans="2:50">
      <c r="B76" s="483"/>
      <c r="C76" s="351">
        <v>10</v>
      </c>
      <c r="D76" s="257"/>
      <c r="E76" s="187"/>
      <c r="F76" s="351"/>
      <c r="G76" s="354"/>
      <c r="H76" s="508"/>
      <c r="I76" s="219"/>
      <c r="J76" s="219"/>
      <c r="K76" s="220"/>
      <c r="L76" s="457"/>
      <c r="M76" s="221" t="e">
        <f>RANK(K76, K$87:$K$101)</f>
        <v>#DIV/0!</v>
      </c>
      <c r="N76" s="475"/>
      <c r="O76" s="475"/>
      <c r="P76" s="351"/>
      <c r="Q76" s="351"/>
      <c r="R76" s="354"/>
      <c r="S76" s="351" t="e">
        <f t="shared" si="39"/>
        <v>#N/A</v>
      </c>
      <c r="T76" s="508"/>
      <c r="U76" s="351"/>
      <c r="V76" s="351"/>
      <c r="W76" s="354"/>
      <c r="X76" s="351" t="e">
        <f t="shared" si="40"/>
        <v>#N/A</v>
      </c>
      <c r="Y76" s="508"/>
      <c r="Z76" s="351"/>
      <c r="AA76" s="351"/>
      <c r="AB76" s="354"/>
      <c r="AC76" s="351" t="e">
        <f t="shared" si="41"/>
        <v>#N/A</v>
      </c>
      <c r="AD76" s="508"/>
      <c r="AE76" s="351"/>
      <c r="AF76" s="351"/>
      <c r="AG76" s="354"/>
      <c r="AH76" s="351" t="e">
        <f t="shared" si="42"/>
        <v>#N/A</v>
      </c>
      <c r="AI76" s="508"/>
      <c r="AJ76" s="351"/>
      <c r="AK76" s="351"/>
      <c r="AL76" s="354"/>
      <c r="AM76" s="351" t="e">
        <f t="shared" si="43"/>
        <v>#N/A</v>
      </c>
      <c r="AN76" s="508"/>
      <c r="AO76" s="351"/>
      <c r="AP76" s="351"/>
      <c r="AQ76" s="354"/>
      <c r="AR76" s="351" t="e">
        <f t="shared" si="44"/>
        <v>#N/A</v>
      </c>
      <c r="AS76" s="508"/>
      <c r="AT76" s="351"/>
      <c r="AU76" s="351"/>
      <c r="AV76" s="354"/>
      <c r="AW76" s="351" t="e">
        <f t="shared" si="45"/>
        <v>#N/A</v>
      </c>
      <c r="AX76" s="506"/>
    </row>
    <row r="77" spans="2:50">
      <c r="B77" s="483"/>
      <c r="C77" s="351">
        <v>11</v>
      </c>
      <c r="D77" s="257"/>
      <c r="E77" s="187"/>
      <c r="F77" s="351"/>
      <c r="G77" s="354"/>
      <c r="H77" s="508"/>
      <c r="I77" s="222"/>
      <c r="J77" s="222"/>
      <c r="K77" s="222"/>
      <c r="L77" s="457"/>
      <c r="M77" s="221" t="e">
        <f>RANK(K77, K$87:$K$101)</f>
        <v>#DIV/0!</v>
      </c>
      <c r="N77" s="475"/>
      <c r="O77" s="475"/>
      <c r="P77" s="351"/>
      <c r="Q77" s="351"/>
      <c r="R77" s="351"/>
      <c r="S77" s="351" t="e">
        <f t="shared" si="39"/>
        <v>#N/A</v>
      </c>
      <c r="T77" s="508"/>
      <c r="U77" s="351"/>
      <c r="V77" s="351"/>
      <c r="W77" s="351"/>
      <c r="X77" s="351" t="e">
        <f t="shared" si="40"/>
        <v>#N/A</v>
      </c>
      <c r="Y77" s="508"/>
      <c r="Z77" s="351"/>
      <c r="AA77" s="351"/>
      <c r="AB77" s="351"/>
      <c r="AC77" s="351" t="e">
        <f t="shared" si="41"/>
        <v>#N/A</v>
      </c>
      <c r="AD77" s="508"/>
      <c r="AE77" s="351"/>
      <c r="AF77" s="351"/>
      <c r="AG77" s="351"/>
      <c r="AH77" s="351" t="e">
        <f t="shared" si="42"/>
        <v>#N/A</v>
      </c>
      <c r="AI77" s="508"/>
      <c r="AJ77" s="351"/>
      <c r="AK77" s="351"/>
      <c r="AL77" s="351"/>
      <c r="AM77" s="351" t="e">
        <f t="shared" si="43"/>
        <v>#N/A</v>
      </c>
      <c r="AN77" s="508"/>
      <c r="AO77" s="351"/>
      <c r="AP77" s="351"/>
      <c r="AQ77" s="351"/>
      <c r="AR77" s="351" t="e">
        <f t="shared" si="44"/>
        <v>#N/A</v>
      </c>
      <c r="AS77" s="508"/>
      <c r="AT77" s="351"/>
      <c r="AU77" s="351"/>
      <c r="AV77" s="351"/>
      <c r="AW77" s="351" t="e">
        <f t="shared" si="45"/>
        <v>#N/A</v>
      </c>
      <c r="AX77" s="506"/>
    </row>
    <row r="78" spans="2:50">
      <c r="B78" s="483"/>
      <c r="C78" s="351">
        <v>12</v>
      </c>
      <c r="D78" s="257"/>
      <c r="E78" s="187"/>
      <c r="F78" s="351"/>
      <c r="G78" s="354"/>
      <c r="H78" s="508"/>
      <c r="I78" s="222"/>
      <c r="J78" s="222"/>
      <c r="K78" s="222"/>
      <c r="L78" s="457"/>
      <c r="M78" s="221" t="e">
        <f>RANK(K78, K$87:$K$101)</f>
        <v>#DIV/0!</v>
      </c>
      <c r="N78" s="475"/>
      <c r="O78" s="475"/>
      <c r="P78" s="351"/>
      <c r="Q78" s="351"/>
      <c r="R78" s="351"/>
      <c r="S78" s="351" t="e">
        <f t="shared" si="39"/>
        <v>#N/A</v>
      </c>
      <c r="T78" s="508"/>
      <c r="U78" s="351"/>
      <c r="V78" s="351"/>
      <c r="W78" s="351"/>
      <c r="X78" s="351" t="e">
        <f t="shared" si="40"/>
        <v>#N/A</v>
      </c>
      <c r="Y78" s="508"/>
      <c r="Z78" s="351"/>
      <c r="AA78" s="351"/>
      <c r="AB78" s="351"/>
      <c r="AC78" s="351" t="e">
        <f t="shared" si="41"/>
        <v>#N/A</v>
      </c>
      <c r="AD78" s="508"/>
      <c r="AE78" s="351"/>
      <c r="AF78" s="351"/>
      <c r="AG78" s="351"/>
      <c r="AH78" s="351" t="e">
        <f t="shared" si="42"/>
        <v>#N/A</v>
      </c>
      <c r="AI78" s="508"/>
      <c r="AJ78" s="351"/>
      <c r="AK78" s="351"/>
      <c r="AL78" s="351"/>
      <c r="AM78" s="351" t="e">
        <f t="shared" si="43"/>
        <v>#N/A</v>
      </c>
      <c r="AN78" s="508"/>
      <c r="AO78" s="351"/>
      <c r="AP78" s="351"/>
      <c r="AQ78" s="351"/>
      <c r="AR78" s="351" t="e">
        <f t="shared" si="44"/>
        <v>#N/A</v>
      </c>
      <c r="AS78" s="508"/>
      <c r="AT78" s="351"/>
      <c r="AU78" s="351"/>
      <c r="AV78" s="351"/>
      <c r="AW78" s="351" t="e">
        <f t="shared" si="45"/>
        <v>#N/A</v>
      </c>
      <c r="AX78" s="506"/>
    </row>
    <row r="79" spans="2:50">
      <c r="B79" s="483"/>
      <c r="C79" s="351">
        <v>13</v>
      </c>
      <c r="D79" s="257"/>
      <c r="E79" s="187"/>
      <c r="F79" s="351"/>
      <c r="G79" s="354"/>
      <c r="H79" s="508"/>
      <c r="I79" s="222"/>
      <c r="J79" s="222"/>
      <c r="K79" s="222"/>
      <c r="L79" s="457"/>
      <c r="M79" s="221" t="e">
        <f>RANK(K79, K$87:$K$101)</f>
        <v>#DIV/0!</v>
      </c>
      <c r="N79" s="475"/>
      <c r="O79" s="475"/>
      <c r="P79" s="351"/>
      <c r="Q79" s="351"/>
      <c r="R79" s="351"/>
      <c r="S79" s="351" t="e">
        <f t="shared" si="39"/>
        <v>#N/A</v>
      </c>
      <c r="T79" s="508"/>
      <c r="U79" s="351"/>
      <c r="V79" s="351"/>
      <c r="W79" s="351"/>
      <c r="X79" s="351" t="e">
        <f t="shared" si="40"/>
        <v>#N/A</v>
      </c>
      <c r="Y79" s="508"/>
      <c r="Z79" s="351"/>
      <c r="AA79" s="351"/>
      <c r="AB79" s="351"/>
      <c r="AC79" s="351" t="e">
        <f t="shared" si="41"/>
        <v>#N/A</v>
      </c>
      <c r="AD79" s="508"/>
      <c r="AE79" s="351"/>
      <c r="AF79" s="351"/>
      <c r="AG79" s="351"/>
      <c r="AH79" s="351" t="e">
        <f t="shared" si="42"/>
        <v>#N/A</v>
      </c>
      <c r="AI79" s="508"/>
      <c r="AJ79" s="351"/>
      <c r="AK79" s="351"/>
      <c r="AL79" s="351"/>
      <c r="AM79" s="351" t="e">
        <f t="shared" si="43"/>
        <v>#N/A</v>
      </c>
      <c r="AN79" s="508"/>
      <c r="AO79" s="351"/>
      <c r="AP79" s="351"/>
      <c r="AQ79" s="351"/>
      <c r="AR79" s="351" t="e">
        <f t="shared" si="44"/>
        <v>#N/A</v>
      </c>
      <c r="AS79" s="508"/>
      <c r="AT79" s="351"/>
      <c r="AU79" s="351"/>
      <c r="AV79" s="351"/>
      <c r="AW79" s="351" t="e">
        <f t="shared" si="45"/>
        <v>#N/A</v>
      </c>
      <c r="AX79" s="506"/>
    </row>
    <row r="80" spans="2:50">
      <c r="B80" s="483"/>
      <c r="C80" s="351">
        <v>14</v>
      </c>
      <c r="D80" s="257"/>
      <c r="E80" s="187"/>
      <c r="F80" s="351"/>
      <c r="G80" s="354"/>
      <c r="H80" s="508"/>
      <c r="I80" s="222"/>
      <c r="J80" s="222"/>
      <c r="K80" s="222"/>
      <c r="L80" s="457"/>
      <c r="M80" s="221" t="e">
        <f>RANK(K80, K$87:$K$101)</f>
        <v>#DIV/0!</v>
      </c>
      <c r="N80" s="475"/>
      <c r="O80" s="475"/>
      <c r="P80" s="351"/>
      <c r="Q80" s="351"/>
      <c r="R80" s="351"/>
      <c r="S80" s="351" t="e">
        <f t="shared" si="39"/>
        <v>#N/A</v>
      </c>
      <c r="T80" s="508"/>
      <c r="U80" s="351"/>
      <c r="V80" s="351"/>
      <c r="W80" s="351"/>
      <c r="X80" s="351" t="e">
        <f t="shared" si="40"/>
        <v>#N/A</v>
      </c>
      <c r="Y80" s="508"/>
      <c r="Z80" s="351"/>
      <c r="AA80" s="351"/>
      <c r="AB80" s="351"/>
      <c r="AC80" s="351" t="e">
        <f t="shared" si="41"/>
        <v>#N/A</v>
      </c>
      <c r="AD80" s="508"/>
      <c r="AE80" s="351"/>
      <c r="AF80" s="351"/>
      <c r="AG80" s="351"/>
      <c r="AH80" s="351" t="e">
        <f t="shared" si="42"/>
        <v>#N/A</v>
      </c>
      <c r="AI80" s="508"/>
      <c r="AJ80" s="351"/>
      <c r="AK80" s="351"/>
      <c r="AL80" s="351"/>
      <c r="AM80" s="351" t="e">
        <f t="shared" si="43"/>
        <v>#N/A</v>
      </c>
      <c r="AN80" s="508"/>
      <c r="AO80" s="351"/>
      <c r="AP80" s="351"/>
      <c r="AQ80" s="351"/>
      <c r="AR80" s="351" t="e">
        <f t="shared" si="44"/>
        <v>#N/A</v>
      </c>
      <c r="AS80" s="508"/>
      <c r="AT80" s="351"/>
      <c r="AU80" s="351"/>
      <c r="AV80" s="351"/>
      <c r="AW80" s="351" t="e">
        <f t="shared" si="45"/>
        <v>#N/A</v>
      </c>
      <c r="AX80" s="506"/>
    </row>
    <row r="81" spans="2:50">
      <c r="B81" s="483"/>
      <c r="C81" s="351">
        <v>15</v>
      </c>
      <c r="D81" s="257"/>
      <c r="E81" s="187"/>
      <c r="F81" s="351"/>
      <c r="G81" s="354"/>
      <c r="H81" s="509"/>
      <c r="I81" s="222"/>
      <c r="J81" s="222"/>
      <c r="K81" s="222"/>
      <c r="L81" s="458"/>
      <c r="M81" s="219" t="e">
        <f>RANK(K81, K$87:$K$101)</f>
        <v>#DIV/0!</v>
      </c>
      <c r="N81" s="475"/>
      <c r="O81" s="475"/>
      <c r="P81" s="351"/>
      <c r="Q81" s="351"/>
      <c r="R81" s="351"/>
      <c r="S81" s="351" t="e">
        <f t="shared" si="39"/>
        <v>#N/A</v>
      </c>
      <c r="T81" s="509"/>
      <c r="U81" s="351"/>
      <c r="V81" s="351"/>
      <c r="W81" s="351"/>
      <c r="X81" s="351" t="e">
        <f t="shared" si="40"/>
        <v>#N/A</v>
      </c>
      <c r="Y81" s="509"/>
      <c r="Z81" s="351"/>
      <c r="AA81" s="351"/>
      <c r="AB81" s="351"/>
      <c r="AC81" s="351" t="e">
        <f t="shared" si="41"/>
        <v>#N/A</v>
      </c>
      <c r="AD81" s="509"/>
      <c r="AE81" s="351"/>
      <c r="AF81" s="351"/>
      <c r="AG81" s="351"/>
      <c r="AH81" s="351" t="e">
        <f t="shared" si="42"/>
        <v>#N/A</v>
      </c>
      <c r="AI81" s="509"/>
      <c r="AJ81" s="351"/>
      <c r="AK81" s="351"/>
      <c r="AL81" s="351"/>
      <c r="AM81" s="351" t="e">
        <f t="shared" si="43"/>
        <v>#N/A</v>
      </c>
      <c r="AN81" s="509"/>
      <c r="AO81" s="351"/>
      <c r="AP81" s="351"/>
      <c r="AQ81" s="351"/>
      <c r="AR81" s="351" t="e">
        <f t="shared" si="44"/>
        <v>#N/A</v>
      </c>
      <c r="AS81" s="509"/>
      <c r="AT81" s="351"/>
      <c r="AU81" s="351"/>
      <c r="AV81" s="351"/>
      <c r="AW81" s="351" t="e">
        <f t="shared" si="45"/>
        <v>#N/A</v>
      </c>
      <c r="AX81" s="506"/>
    </row>
    <row r="82" spans="2:50" ht="15.75">
      <c r="B82" s="487" t="s">
        <v>172</v>
      </c>
      <c r="C82" s="488"/>
      <c r="D82" s="488"/>
      <c r="E82" s="488"/>
      <c r="F82" s="488"/>
      <c r="G82" s="488"/>
      <c r="H82" s="489"/>
      <c r="I82" s="228"/>
      <c r="J82" s="228"/>
      <c r="K82" s="228"/>
      <c r="L82" s="228"/>
      <c r="M82" s="227"/>
      <c r="N82" s="476" t="s">
        <v>164</v>
      </c>
      <c r="O82" s="476" t="s">
        <v>105</v>
      </c>
      <c r="P82" s="482">
        <f>P62+7</f>
        <v>45923</v>
      </c>
      <c r="Q82" s="483"/>
      <c r="R82" s="483"/>
      <c r="S82" s="483"/>
      <c r="T82" s="483"/>
      <c r="U82" s="479">
        <f>P82+1</f>
        <v>45924</v>
      </c>
      <c r="V82" s="480"/>
      <c r="W82" s="480"/>
      <c r="X82" s="480"/>
      <c r="Y82" s="481"/>
      <c r="Z82" s="479">
        <f>U82+1</f>
        <v>45925</v>
      </c>
      <c r="AA82" s="480"/>
      <c r="AB82" s="480"/>
      <c r="AC82" s="480"/>
      <c r="AD82" s="481"/>
      <c r="AE82" s="479">
        <f t="shared" ref="AE82" si="46">Z82+1</f>
        <v>45926</v>
      </c>
      <c r="AF82" s="480"/>
      <c r="AG82" s="480"/>
      <c r="AH82" s="480"/>
      <c r="AI82" s="481"/>
      <c r="AJ82" s="479">
        <f t="shared" ref="AJ82" si="47">AE82+1</f>
        <v>45927</v>
      </c>
      <c r="AK82" s="480"/>
      <c r="AL82" s="480"/>
      <c r="AM82" s="480"/>
      <c r="AN82" s="481"/>
      <c r="AO82" s="479">
        <f t="shared" ref="AO82" si="48">AJ82+1</f>
        <v>45928</v>
      </c>
      <c r="AP82" s="480"/>
      <c r="AQ82" s="480"/>
      <c r="AR82" s="480"/>
      <c r="AS82" s="481"/>
      <c r="AT82" s="479">
        <f t="shared" ref="AT82" si="49">AO82+1</f>
        <v>45929</v>
      </c>
      <c r="AU82" s="480"/>
      <c r="AV82" s="480"/>
      <c r="AW82" s="480"/>
      <c r="AX82" s="481"/>
    </row>
    <row r="83" spans="2:50" ht="15.75">
      <c r="B83" s="490"/>
      <c r="C83" s="490"/>
      <c r="D83" s="490"/>
      <c r="E83" s="490"/>
      <c r="F83" s="490"/>
      <c r="G83" s="490"/>
      <c r="H83" s="490"/>
      <c r="I83" s="225"/>
      <c r="J83" s="225"/>
      <c r="K83" s="225"/>
      <c r="L83" s="225"/>
      <c r="M83" s="226"/>
      <c r="N83" s="478"/>
      <c r="O83" s="478"/>
      <c r="P83" s="482" t="s">
        <v>393</v>
      </c>
      <c r="Q83" s="483"/>
      <c r="R83" s="483"/>
      <c r="S83" s="483"/>
      <c r="T83" s="483"/>
      <c r="U83" s="482" t="s">
        <v>394</v>
      </c>
      <c r="V83" s="483"/>
      <c r="W83" s="483"/>
      <c r="X83" s="483"/>
      <c r="Y83" s="483"/>
      <c r="Z83" s="482" t="s">
        <v>395</v>
      </c>
      <c r="AA83" s="483"/>
      <c r="AB83" s="483"/>
      <c r="AC83" s="483"/>
      <c r="AD83" s="483"/>
      <c r="AE83" s="482" t="s">
        <v>396</v>
      </c>
      <c r="AF83" s="483"/>
      <c r="AG83" s="483"/>
      <c r="AH83" s="483"/>
      <c r="AI83" s="483"/>
      <c r="AJ83" s="482" t="s">
        <v>397</v>
      </c>
      <c r="AK83" s="483"/>
      <c r="AL83" s="483"/>
      <c r="AM83" s="483"/>
      <c r="AN83" s="483"/>
      <c r="AO83" s="482" t="s">
        <v>398</v>
      </c>
      <c r="AP83" s="483"/>
      <c r="AQ83" s="483"/>
      <c r="AR83" s="483"/>
      <c r="AS83" s="483"/>
      <c r="AT83" s="482" t="s">
        <v>399</v>
      </c>
      <c r="AU83" s="483"/>
      <c r="AV83" s="483"/>
      <c r="AW83" s="483"/>
      <c r="AX83" s="483"/>
    </row>
    <row r="84" spans="2:50">
      <c r="B84" s="475" t="s">
        <v>726</v>
      </c>
      <c r="C84" s="475" t="s">
        <v>727</v>
      </c>
      <c r="D84" s="475"/>
      <c r="E84" s="475" t="s">
        <v>728</v>
      </c>
      <c r="F84" s="475"/>
      <c r="G84" s="475"/>
      <c r="H84" s="491" t="s">
        <v>729</v>
      </c>
      <c r="I84" s="459" t="s">
        <v>730</v>
      </c>
      <c r="J84" s="459"/>
      <c r="K84" s="459"/>
      <c r="L84" s="460" t="s">
        <v>729</v>
      </c>
      <c r="M84" s="466" t="s">
        <v>731</v>
      </c>
      <c r="N84" s="475"/>
      <c r="O84" s="475" t="s">
        <v>732</v>
      </c>
      <c r="P84" s="472" t="s">
        <v>733</v>
      </c>
      <c r="Q84" s="473"/>
      <c r="R84" s="473"/>
      <c r="S84" s="474"/>
      <c r="T84" s="475" t="s">
        <v>729</v>
      </c>
      <c r="U84" s="472" t="s">
        <v>733</v>
      </c>
      <c r="V84" s="473"/>
      <c r="W84" s="473"/>
      <c r="X84" s="474"/>
      <c r="Y84" s="475" t="s">
        <v>729</v>
      </c>
      <c r="Z84" s="472" t="s">
        <v>733</v>
      </c>
      <c r="AA84" s="473"/>
      <c r="AB84" s="473"/>
      <c r="AC84" s="474"/>
      <c r="AD84" s="475" t="s">
        <v>729</v>
      </c>
      <c r="AE84" s="472" t="s">
        <v>733</v>
      </c>
      <c r="AF84" s="473"/>
      <c r="AG84" s="473"/>
      <c r="AH84" s="474"/>
      <c r="AI84" s="475" t="s">
        <v>729</v>
      </c>
      <c r="AJ84" s="472" t="s">
        <v>733</v>
      </c>
      <c r="AK84" s="473"/>
      <c r="AL84" s="473"/>
      <c r="AM84" s="474"/>
      <c r="AN84" s="475" t="s">
        <v>729</v>
      </c>
      <c r="AO84" s="472" t="s">
        <v>733</v>
      </c>
      <c r="AP84" s="473"/>
      <c r="AQ84" s="473"/>
      <c r="AR84" s="474"/>
      <c r="AS84" s="475" t="s">
        <v>729</v>
      </c>
      <c r="AT84" s="472" t="s">
        <v>733</v>
      </c>
      <c r="AU84" s="473"/>
      <c r="AV84" s="473"/>
      <c r="AW84" s="474"/>
      <c r="AX84" s="475" t="s">
        <v>729</v>
      </c>
    </row>
    <row r="85" spans="2:50">
      <c r="B85" s="475"/>
      <c r="C85" s="475"/>
      <c r="D85" s="475"/>
      <c r="E85" s="475" t="s">
        <v>734</v>
      </c>
      <c r="F85" s="475"/>
      <c r="G85" s="475"/>
      <c r="H85" s="492"/>
      <c r="I85" s="459" t="s">
        <v>734</v>
      </c>
      <c r="J85" s="459"/>
      <c r="K85" s="459"/>
      <c r="L85" s="461"/>
      <c r="M85" s="467"/>
      <c r="N85" s="475"/>
      <c r="O85" s="475"/>
      <c r="P85" s="472" t="s">
        <v>735</v>
      </c>
      <c r="Q85" s="473"/>
      <c r="R85" s="473"/>
      <c r="S85" s="474"/>
      <c r="T85" s="475"/>
      <c r="U85" s="472" t="s">
        <v>735</v>
      </c>
      <c r="V85" s="473"/>
      <c r="W85" s="473"/>
      <c r="X85" s="474"/>
      <c r="Y85" s="475"/>
      <c r="Z85" s="472" t="s">
        <v>735</v>
      </c>
      <c r="AA85" s="473"/>
      <c r="AB85" s="473"/>
      <c r="AC85" s="474"/>
      <c r="AD85" s="475"/>
      <c r="AE85" s="472" t="s">
        <v>735</v>
      </c>
      <c r="AF85" s="473"/>
      <c r="AG85" s="473"/>
      <c r="AH85" s="474"/>
      <c r="AI85" s="475"/>
      <c r="AJ85" s="472" t="s">
        <v>735</v>
      </c>
      <c r="AK85" s="473"/>
      <c r="AL85" s="473"/>
      <c r="AM85" s="474"/>
      <c r="AN85" s="475"/>
      <c r="AO85" s="472" t="s">
        <v>735</v>
      </c>
      <c r="AP85" s="473"/>
      <c r="AQ85" s="473"/>
      <c r="AR85" s="474"/>
      <c r="AS85" s="475"/>
      <c r="AT85" s="472" t="s">
        <v>735</v>
      </c>
      <c r="AU85" s="473"/>
      <c r="AV85" s="473"/>
      <c r="AW85" s="474"/>
      <c r="AX85" s="475"/>
    </row>
    <row r="86" spans="2:50">
      <c r="B86" s="475"/>
      <c r="C86" s="475"/>
      <c r="D86" s="475"/>
      <c r="E86" s="340" t="s">
        <v>736</v>
      </c>
      <c r="F86" s="340" t="s">
        <v>737</v>
      </c>
      <c r="G86" s="340" t="s">
        <v>738</v>
      </c>
      <c r="H86" s="493"/>
      <c r="I86" s="342" t="s">
        <v>736</v>
      </c>
      <c r="J86" s="342" t="s">
        <v>737</v>
      </c>
      <c r="K86" s="342" t="s">
        <v>738</v>
      </c>
      <c r="L86" s="462"/>
      <c r="M86" s="468"/>
      <c r="N86" s="475"/>
      <c r="O86" s="475"/>
      <c r="P86" s="340" t="s">
        <v>736</v>
      </c>
      <c r="Q86" s="340" t="s">
        <v>737</v>
      </c>
      <c r="R86" s="340" t="s">
        <v>738</v>
      </c>
      <c r="S86" s="340" t="s">
        <v>731</v>
      </c>
      <c r="T86" s="475"/>
      <c r="U86" s="340" t="s">
        <v>736</v>
      </c>
      <c r="V86" s="340" t="s">
        <v>737</v>
      </c>
      <c r="W86" s="340" t="s">
        <v>738</v>
      </c>
      <c r="X86" s="340" t="s">
        <v>731</v>
      </c>
      <c r="Y86" s="475"/>
      <c r="Z86" s="340" t="s">
        <v>736</v>
      </c>
      <c r="AA86" s="340" t="s">
        <v>737</v>
      </c>
      <c r="AB86" s="340" t="s">
        <v>738</v>
      </c>
      <c r="AC86" s="340" t="s">
        <v>731</v>
      </c>
      <c r="AD86" s="475"/>
      <c r="AE86" s="340" t="s">
        <v>736</v>
      </c>
      <c r="AF86" s="340" t="s">
        <v>737</v>
      </c>
      <c r="AG86" s="340" t="s">
        <v>738</v>
      </c>
      <c r="AH86" s="340" t="s">
        <v>731</v>
      </c>
      <c r="AI86" s="475"/>
      <c r="AJ86" s="340" t="s">
        <v>736</v>
      </c>
      <c r="AK86" s="340" t="s">
        <v>737</v>
      </c>
      <c r="AL86" s="340" t="s">
        <v>738</v>
      </c>
      <c r="AM86" s="340" t="s">
        <v>731</v>
      </c>
      <c r="AN86" s="475"/>
      <c r="AO86" s="340" t="s">
        <v>736</v>
      </c>
      <c r="AP86" s="340" t="s">
        <v>737</v>
      </c>
      <c r="AQ86" s="340" t="s">
        <v>738</v>
      </c>
      <c r="AR86" s="340" t="s">
        <v>731</v>
      </c>
      <c r="AS86" s="475"/>
      <c r="AT86" s="340" t="s">
        <v>736</v>
      </c>
      <c r="AU86" s="340" t="s">
        <v>737</v>
      </c>
      <c r="AV86" s="340" t="s">
        <v>738</v>
      </c>
      <c r="AW86" s="340" t="s">
        <v>731</v>
      </c>
      <c r="AX86" s="475"/>
    </row>
    <row r="87" spans="2:50">
      <c r="B87" s="475" t="s">
        <v>759</v>
      </c>
      <c r="C87" s="339">
        <v>1</v>
      </c>
      <c r="D87" s="257"/>
      <c r="E87" s="187"/>
      <c r="F87" s="339"/>
      <c r="G87" s="341"/>
      <c r="H87" s="507" t="e">
        <f>AVERAGE(G87:G101)</f>
        <v>#DIV/0!</v>
      </c>
      <c r="I87" s="219" t="e">
        <f>AVERAGE(P87,U87,Z87,AE87,AJ87,AO87,AT87)</f>
        <v>#DIV/0!</v>
      </c>
      <c r="J87" s="219" t="e">
        <f>AVERAGE(Q87,V87,AA87,AF87,AK87,AP87,AU87)</f>
        <v>#DIV/0!</v>
      </c>
      <c r="K87" s="220" t="e">
        <f>AVERAGE(R87,W87,AB87,AG87,AL87,AQ87,AV87)</f>
        <v>#DIV/0!</v>
      </c>
      <c r="L87" s="456" t="str">
        <f>IFERROR(AVERAGE(K87:K101),"-")</f>
        <v>-</v>
      </c>
      <c r="M87" s="221" t="e">
        <f>RANK(K87, K$87:$K$101)</f>
        <v>#DIV/0!</v>
      </c>
      <c r="N87" s="475"/>
      <c r="O87" s="475"/>
      <c r="P87" s="339"/>
      <c r="Q87" s="341"/>
      <c r="R87" s="341"/>
      <c r="S87" s="339" t="e">
        <f>RANK(R87, R$87:R$101)</f>
        <v>#N/A</v>
      </c>
      <c r="T87" s="507" t="e">
        <f>AVERAGE(R87:R101)</f>
        <v>#DIV/0!</v>
      </c>
      <c r="U87" s="351"/>
      <c r="V87" s="354"/>
      <c r="W87" s="354"/>
      <c r="X87" s="339" t="e">
        <f>RANK(W87, W$87:W$101)</f>
        <v>#N/A</v>
      </c>
      <c r="Y87" s="507" t="e">
        <f>AVERAGE(W87:W101)</f>
        <v>#DIV/0!</v>
      </c>
      <c r="Z87" s="351"/>
      <c r="AA87" s="354"/>
      <c r="AB87" s="354"/>
      <c r="AC87" s="339" t="e">
        <f>RANK(AB87, AB$87:AB$101)</f>
        <v>#N/A</v>
      </c>
      <c r="AD87" s="507" t="e">
        <f>AVERAGE(AB87:AB101)</f>
        <v>#DIV/0!</v>
      </c>
      <c r="AE87" s="351"/>
      <c r="AF87" s="354"/>
      <c r="AG87" s="354"/>
      <c r="AH87" s="339" t="e">
        <f>RANK(AG87, AG$87:AG$101)</f>
        <v>#N/A</v>
      </c>
      <c r="AI87" s="507" t="e">
        <f>AVERAGE(AG87:AG101)</f>
        <v>#DIV/0!</v>
      </c>
      <c r="AJ87" s="351"/>
      <c r="AK87" s="354"/>
      <c r="AL87" s="354"/>
      <c r="AM87" s="339" t="e">
        <f>RANK(AL87, AL$87:AL$101)</f>
        <v>#N/A</v>
      </c>
      <c r="AN87" s="507" t="e">
        <f>AVERAGE(AL87:AL101)</f>
        <v>#DIV/0!</v>
      </c>
      <c r="AO87" s="351"/>
      <c r="AP87" s="354"/>
      <c r="AQ87" s="354"/>
      <c r="AR87" s="339" t="e">
        <f>RANK(AQ87, AQ$87:AQ$101)</f>
        <v>#N/A</v>
      </c>
      <c r="AS87" s="507" t="e">
        <f>AVERAGE(AQ87:AQ101)</f>
        <v>#DIV/0!</v>
      </c>
      <c r="AT87" s="339"/>
      <c r="AU87" s="341"/>
      <c r="AV87" s="341"/>
      <c r="AW87" s="339" t="e">
        <f>RANK(AV87, AV$87:AV$101)</f>
        <v>#N/A</v>
      </c>
      <c r="AX87" s="506" t="e">
        <f>AVERAGE(AV87:AV101)</f>
        <v>#DIV/0!</v>
      </c>
    </row>
    <row r="88" spans="2:50">
      <c r="B88" s="483"/>
      <c r="C88" s="339">
        <v>2</v>
      </c>
      <c r="D88" s="257"/>
      <c r="E88" s="187"/>
      <c r="F88" s="339"/>
      <c r="G88" s="341"/>
      <c r="H88" s="508"/>
      <c r="I88" s="219" t="e">
        <f t="shared" ref="I88:K91" si="50">AVERAGE(P88,U88,Z88,AE88,AJ88,AO88,AT88)</f>
        <v>#DIV/0!</v>
      </c>
      <c r="J88" s="219" t="e">
        <f t="shared" si="50"/>
        <v>#DIV/0!</v>
      </c>
      <c r="K88" s="220" t="e">
        <f t="shared" si="50"/>
        <v>#DIV/0!</v>
      </c>
      <c r="L88" s="457"/>
      <c r="M88" s="221" t="e">
        <f>RANK(K88, K$87:$K$101)</f>
        <v>#DIV/0!</v>
      </c>
      <c r="N88" s="475"/>
      <c r="O88" s="475"/>
      <c r="P88" s="339"/>
      <c r="Q88" s="341"/>
      <c r="R88" s="341"/>
      <c r="S88" s="339" t="e">
        <f t="shared" ref="S88:S101" si="51">RANK(R88, R$87:R$101)</f>
        <v>#N/A</v>
      </c>
      <c r="T88" s="508"/>
      <c r="U88" s="351"/>
      <c r="V88" s="354"/>
      <c r="W88" s="354"/>
      <c r="X88" s="339" t="e">
        <f t="shared" ref="X88:X101" si="52">RANK(W88, W$87:W$101)</f>
        <v>#N/A</v>
      </c>
      <c r="Y88" s="508"/>
      <c r="Z88" s="351"/>
      <c r="AA88" s="354"/>
      <c r="AB88" s="354"/>
      <c r="AC88" s="339" t="e">
        <f t="shared" ref="AC88:AC101" si="53">RANK(AB88, AB$87:AB$101)</f>
        <v>#N/A</v>
      </c>
      <c r="AD88" s="508"/>
      <c r="AE88" s="351"/>
      <c r="AF88" s="354"/>
      <c r="AG88" s="354"/>
      <c r="AH88" s="339" t="e">
        <f t="shared" ref="AH88:AH101" si="54">RANK(AG88, AG$87:AG$101)</f>
        <v>#N/A</v>
      </c>
      <c r="AI88" s="508"/>
      <c r="AJ88" s="351"/>
      <c r="AK88" s="354"/>
      <c r="AL88" s="354"/>
      <c r="AM88" s="339" t="e">
        <f t="shared" ref="AM88:AM101" si="55">RANK(AL88, AL$87:AL$101)</f>
        <v>#N/A</v>
      </c>
      <c r="AN88" s="508"/>
      <c r="AO88" s="351"/>
      <c r="AP88" s="354"/>
      <c r="AQ88" s="354"/>
      <c r="AR88" s="339" t="e">
        <f t="shared" ref="AR88:AR101" si="56">RANK(AQ88, AQ$87:AQ$101)</f>
        <v>#N/A</v>
      </c>
      <c r="AS88" s="508"/>
      <c r="AT88" s="339"/>
      <c r="AU88" s="341"/>
      <c r="AV88" s="341"/>
      <c r="AW88" s="339" t="e">
        <f t="shared" ref="AW88:AW101" si="57">RANK(AV88, AV$87:AV$101)</f>
        <v>#N/A</v>
      </c>
      <c r="AX88" s="506"/>
    </row>
    <row r="89" spans="2:50">
      <c r="B89" s="483"/>
      <c r="C89" s="339">
        <v>3</v>
      </c>
      <c r="D89" s="257"/>
      <c r="E89" s="187"/>
      <c r="F89" s="339"/>
      <c r="G89" s="341"/>
      <c r="H89" s="508"/>
      <c r="I89" s="219" t="e">
        <f t="shared" si="50"/>
        <v>#DIV/0!</v>
      </c>
      <c r="J89" s="219" t="e">
        <f t="shared" si="50"/>
        <v>#DIV/0!</v>
      </c>
      <c r="K89" s="220" t="e">
        <f t="shared" si="50"/>
        <v>#DIV/0!</v>
      </c>
      <c r="L89" s="457"/>
      <c r="M89" s="221" t="e">
        <f>RANK(K89, K$87:$K$101)</f>
        <v>#DIV/0!</v>
      </c>
      <c r="N89" s="475"/>
      <c r="O89" s="475"/>
      <c r="P89" s="339"/>
      <c r="Q89" s="341"/>
      <c r="R89" s="341"/>
      <c r="S89" s="339" t="e">
        <f t="shared" si="51"/>
        <v>#N/A</v>
      </c>
      <c r="T89" s="508"/>
      <c r="U89" s="351"/>
      <c r="V89" s="354"/>
      <c r="W89" s="354"/>
      <c r="X89" s="339" t="e">
        <f t="shared" si="52"/>
        <v>#N/A</v>
      </c>
      <c r="Y89" s="508"/>
      <c r="Z89" s="351"/>
      <c r="AA89" s="354"/>
      <c r="AB89" s="354"/>
      <c r="AC89" s="339" t="e">
        <f t="shared" si="53"/>
        <v>#N/A</v>
      </c>
      <c r="AD89" s="508"/>
      <c r="AE89" s="351"/>
      <c r="AF89" s="354"/>
      <c r="AG89" s="354"/>
      <c r="AH89" s="339" t="e">
        <f t="shared" si="54"/>
        <v>#N/A</v>
      </c>
      <c r="AI89" s="508"/>
      <c r="AJ89" s="351"/>
      <c r="AK89" s="354"/>
      <c r="AL89" s="354"/>
      <c r="AM89" s="339" t="e">
        <f t="shared" si="55"/>
        <v>#N/A</v>
      </c>
      <c r="AN89" s="508"/>
      <c r="AO89" s="351"/>
      <c r="AP89" s="354"/>
      <c r="AQ89" s="354"/>
      <c r="AR89" s="339" t="e">
        <f t="shared" si="56"/>
        <v>#N/A</v>
      </c>
      <c r="AS89" s="508"/>
      <c r="AT89" s="339"/>
      <c r="AU89" s="341"/>
      <c r="AV89" s="341"/>
      <c r="AW89" s="339" t="e">
        <f t="shared" si="57"/>
        <v>#N/A</v>
      </c>
      <c r="AX89" s="506"/>
    </row>
    <row r="90" spans="2:50">
      <c r="B90" s="483"/>
      <c r="C90" s="339">
        <v>4</v>
      </c>
      <c r="D90" s="257"/>
      <c r="E90" s="187"/>
      <c r="F90" s="339"/>
      <c r="G90" s="341"/>
      <c r="H90" s="508"/>
      <c r="I90" s="219" t="e">
        <f t="shared" si="50"/>
        <v>#DIV/0!</v>
      </c>
      <c r="J90" s="219" t="e">
        <f t="shared" si="50"/>
        <v>#DIV/0!</v>
      </c>
      <c r="K90" s="220" t="e">
        <f t="shared" si="50"/>
        <v>#DIV/0!</v>
      </c>
      <c r="L90" s="457"/>
      <c r="M90" s="221" t="e">
        <f>RANK(K90, K$87:$K$101)</f>
        <v>#DIV/0!</v>
      </c>
      <c r="N90" s="475"/>
      <c r="O90" s="475"/>
      <c r="P90" s="339"/>
      <c r="Q90" s="341"/>
      <c r="R90" s="341"/>
      <c r="S90" s="339" t="e">
        <f t="shared" si="51"/>
        <v>#N/A</v>
      </c>
      <c r="T90" s="508"/>
      <c r="U90" s="351"/>
      <c r="V90" s="354"/>
      <c r="W90" s="354"/>
      <c r="X90" s="339" t="e">
        <f t="shared" si="52"/>
        <v>#N/A</v>
      </c>
      <c r="Y90" s="508"/>
      <c r="Z90" s="351"/>
      <c r="AA90" s="354"/>
      <c r="AB90" s="354"/>
      <c r="AC90" s="339" t="e">
        <f t="shared" si="53"/>
        <v>#N/A</v>
      </c>
      <c r="AD90" s="508"/>
      <c r="AE90" s="351"/>
      <c r="AF90" s="354"/>
      <c r="AG90" s="354"/>
      <c r="AH90" s="339" t="e">
        <f t="shared" si="54"/>
        <v>#N/A</v>
      </c>
      <c r="AI90" s="508"/>
      <c r="AJ90" s="351"/>
      <c r="AK90" s="354"/>
      <c r="AL90" s="354"/>
      <c r="AM90" s="339" t="e">
        <f t="shared" si="55"/>
        <v>#N/A</v>
      </c>
      <c r="AN90" s="508"/>
      <c r="AO90" s="351"/>
      <c r="AP90" s="354"/>
      <c r="AQ90" s="354"/>
      <c r="AR90" s="339" t="e">
        <f t="shared" si="56"/>
        <v>#N/A</v>
      </c>
      <c r="AS90" s="508"/>
      <c r="AT90" s="339"/>
      <c r="AU90" s="341"/>
      <c r="AV90" s="341"/>
      <c r="AW90" s="339" t="e">
        <f t="shared" si="57"/>
        <v>#N/A</v>
      </c>
      <c r="AX90" s="506"/>
    </row>
    <row r="91" spans="2:50">
      <c r="B91" s="483"/>
      <c r="C91" s="339">
        <v>5</v>
      </c>
      <c r="D91" s="257"/>
      <c r="E91" s="187"/>
      <c r="F91" s="339"/>
      <c r="G91" s="341"/>
      <c r="H91" s="508"/>
      <c r="I91" s="219" t="e">
        <f t="shared" si="50"/>
        <v>#DIV/0!</v>
      </c>
      <c r="J91" s="219" t="e">
        <f t="shared" si="50"/>
        <v>#DIV/0!</v>
      </c>
      <c r="K91" s="220" t="e">
        <f t="shared" si="50"/>
        <v>#DIV/0!</v>
      </c>
      <c r="L91" s="457"/>
      <c r="M91" s="221" t="e">
        <f>RANK(K91, K$87:$K$101)</f>
        <v>#DIV/0!</v>
      </c>
      <c r="N91" s="475"/>
      <c r="O91" s="475"/>
      <c r="P91" s="339"/>
      <c r="Q91" s="341"/>
      <c r="R91" s="341"/>
      <c r="S91" s="339" t="e">
        <f t="shared" si="51"/>
        <v>#N/A</v>
      </c>
      <c r="T91" s="508"/>
      <c r="U91" s="351"/>
      <c r="V91" s="354"/>
      <c r="W91" s="354"/>
      <c r="X91" s="339" t="e">
        <f t="shared" si="52"/>
        <v>#N/A</v>
      </c>
      <c r="Y91" s="508"/>
      <c r="Z91" s="351"/>
      <c r="AA91" s="354"/>
      <c r="AB91" s="354"/>
      <c r="AC91" s="339" t="e">
        <f t="shared" si="53"/>
        <v>#N/A</v>
      </c>
      <c r="AD91" s="508"/>
      <c r="AE91" s="351"/>
      <c r="AF91" s="354"/>
      <c r="AG91" s="354"/>
      <c r="AH91" s="339" t="e">
        <f t="shared" si="54"/>
        <v>#N/A</v>
      </c>
      <c r="AI91" s="508"/>
      <c r="AJ91" s="351"/>
      <c r="AK91" s="354"/>
      <c r="AL91" s="354"/>
      <c r="AM91" s="339" t="e">
        <f t="shared" si="55"/>
        <v>#N/A</v>
      </c>
      <c r="AN91" s="508"/>
      <c r="AO91" s="351"/>
      <c r="AP91" s="354"/>
      <c r="AQ91" s="354"/>
      <c r="AR91" s="339" t="e">
        <f t="shared" si="56"/>
        <v>#N/A</v>
      </c>
      <c r="AS91" s="508"/>
      <c r="AT91" s="339"/>
      <c r="AU91" s="341"/>
      <c r="AV91" s="341"/>
      <c r="AW91" s="339" t="e">
        <f t="shared" si="57"/>
        <v>#N/A</v>
      </c>
      <c r="AX91" s="506"/>
    </row>
    <row r="92" spans="2:50">
      <c r="B92" s="483"/>
      <c r="C92" s="339">
        <v>6</v>
      </c>
      <c r="D92" s="257"/>
      <c r="E92" s="187"/>
      <c r="F92" s="339"/>
      <c r="G92" s="341"/>
      <c r="H92" s="508"/>
      <c r="I92" s="219"/>
      <c r="J92" s="219"/>
      <c r="K92" s="220"/>
      <c r="L92" s="457"/>
      <c r="M92" s="221" t="e">
        <f>RANK(K92, K$87:$K$101)</f>
        <v>#DIV/0!</v>
      </c>
      <c r="N92" s="475"/>
      <c r="O92" s="475"/>
      <c r="P92" s="339"/>
      <c r="Q92" s="341"/>
      <c r="R92" s="341"/>
      <c r="S92" s="339" t="e">
        <f t="shared" si="51"/>
        <v>#N/A</v>
      </c>
      <c r="T92" s="508"/>
      <c r="U92" s="351"/>
      <c r="V92" s="354"/>
      <c r="W92" s="354"/>
      <c r="X92" s="339" t="e">
        <f t="shared" si="52"/>
        <v>#N/A</v>
      </c>
      <c r="Y92" s="508"/>
      <c r="Z92" s="351"/>
      <c r="AA92" s="354"/>
      <c r="AB92" s="354"/>
      <c r="AC92" s="339" t="e">
        <f t="shared" si="53"/>
        <v>#N/A</v>
      </c>
      <c r="AD92" s="508"/>
      <c r="AE92" s="351"/>
      <c r="AF92" s="354"/>
      <c r="AG92" s="354"/>
      <c r="AH92" s="339" t="e">
        <f t="shared" si="54"/>
        <v>#N/A</v>
      </c>
      <c r="AI92" s="508"/>
      <c r="AJ92" s="351"/>
      <c r="AK92" s="354"/>
      <c r="AL92" s="354"/>
      <c r="AM92" s="339" t="e">
        <f t="shared" si="55"/>
        <v>#N/A</v>
      </c>
      <c r="AN92" s="508"/>
      <c r="AO92" s="351"/>
      <c r="AP92" s="354"/>
      <c r="AQ92" s="354"/>
      <c r="AR92" s="339" t="e">
        <f t="shared" si="56"/>
        <v>#N/A</v>
      </c>
      <c r="AS92" s="508"/>
      <c r="AT92" s="339"/>
      <c r="AU92" s="341"/>
      <c r="AV92" s="341"/>
      <c r="AW92" s="339" t="e">
        <f t="shared" si="57"/>
        <v>#N/A</v>
      </c>
      <c r="AX92" s="506"/>
    </row>
    <row r="93" spans="2:50">
      <c r="B93" s="483"/>
      <c r="C93" s="339">
        <v>7</v>
      </c>
      <c r="D93" s="257"/>
      <c r="E93" s="187"/>
      <c r="F93" s="339"/>
      <c r="G93" s="341"/>
      <c r="H93" s="508"/>
      <c r="I93" s="219"/>
      <c r="J93" s="219"/>
      <c r="K93" s="220"/>
      <c r="L93" s="457"/>
      <c r="M93" s="221" t="e">
        <f>RANK(K93, K$87:$K$101)</f>
        <v>#DIV/0!</v>
      </c>
      <c r="N93" s="475"/>
      <c r="O93" s="475"/>
      <c r="P93" s="339"/>
      <c r="Q93" s="341"/>
      <c r="R93" s="341"/>
      <c r="S93" s="339" t="e">
        <f t="shared" si="51"/>
        <v>#N/A</v>
      </c>
      <c r="T93" s="508"/>
      <c r="U93" s="351"/>
      <c r="V93" s="354"/>
      <c r="W93" s="354"/>
      <c r="X93" s="339" t="e">
        <f t="shared" si="52"/>
        <v>#N/A</v>
      </c>
      <c r="Y93" s="508"/>
      <c r="Z93" s="351"/>
      <c r="AA93" s="354"/>
      <c r="AB93" s="354"/>
      <c r="AC93" s="339" t="e">
        <f t="shared" si="53"/>
        <v>#N/A</v>
      </c>
      <c r="AD93" s="508"/>
      <c r="AE93" s="351"/>
      <c r="AF93" s="354"/>
      <c r="AG93" s="354"/>
      <c r="AH93" s="339" t="e">
        <f t="shared" si="54"/>
        <v>#N/A</v>
      </c>
      <c r="AI93" s="508"/>
      <c r="AJ93" s="351"/>
      <c r="AK93" s="354"/>
      <c r="AL93" s="354"/>
      <c r="AM93" s="339" t="e">
        <f t="shared" si="55"/>
        <v>#N/A</v>
      </c>
      <c r="AN93" s="508"/>
      <c r="AO93" s="351"/>
      <c r="AP93" s="354"/>
      <c r="AQ93" s="354"/>
      <c r="AR93" s="339" t="e">
        <f t="shared" si="56"/>
        <v>#N/A</v>
      </c>
      <c r="AS93" s="508"/>
      <c r="AT93" s="339"/>
      <c r="AU93" s="341"/>
      <c r="AV93" s="341"/>
      <c r="AW93" s="339" t="e">
        <f t="shared" si="57"/>
        <v>#N/A</v>
      </c>
      <c r="AX93" s="506"/>
    </row>
    <row r="94" spans="2:50">
      <c r="B94" s="483"/>
      <c r="C94" s="339">
        <v>8</v>
      </c>
      <c r="D94" s="257"/>
      <c r="E94" s="187"/>
      <c r="F94" s="339"/>
      <c r="G94" s="341"/>
      <c r="H94" s="508"/>
      <c r="I94" s="219"/>
      <c r="J94" s="219"/>
      <c r="K94" s="220"/>
      <c r="L94" s="457"/>
      <c r="M94" s="221" t="e">
        <f>RANK(K94, K$87:$K$101)</f>
        <v>#DIV/0!</v>
      </c>
      <c r="N94" s="475"/>
      <c r="O94" s="475"/>
      <c r="P94" s="339"/>
      <c r="Q94" s="341"/>
      <c r="R94" s="341"/>
      <c r="S94" s="339" t="e">
        <f t="shared" si="51"/>
        <v>#N/A</v>
      </c>
      <c r="T94" s="508"/>
      <c r="U94" s="351"/>
      <c r="V94" s="354"/>
      <c r="W94" s="354"/>
      <c r="X94" s="339" t="e">
        <f t="shared" si="52"/>
        <v>#N/A</v>
      </c>
      <c r="Y94" s="508"/>
      <c r="Z94" s="351"/>
      <c r="AA94" s="354"/>
      <c r="AB94" s="354"/>
      <c r="AC94" s="339" t="e">
        <f t="shared" si="53"/>
        <v>#N/A</v>
      </c>
      <c r="AD94" s="508"/>
      <c r="AE94" s="351"/>
      <c r="AF94" s="354"/>
      <c r="AG94" s="354"/>
      <c r="AH94" s="339" t="e">
        <f t="shared" si="54"/>
        <v>#N/A</v>
      </c>
      <c r="AI94" s="508"/>
      <c r="AJ94" s="351"/>
      <c r="AK94" s="354"/>
      <c r="AL94" s="354"/>
      <c r="AM94" s="339" t="e">
        <f t="shared" si="55"/>
        <v>#N/A</v>
      </c>
      <c r="AN94" s="508"/>
      <c r="AO94" s="351"/>
      <c r="AP94" s="354"/>
      <c r="AQ94" s="354"/>
      <c r="AR94" s="339" t="e">
        <f t="shared" si="56"/>
        <v>#N/A</v>
      </c>
      <c r="AS94" s="508"/>
      <c r="AT94" s="339"/>
      <c r="AU94" s="341"/>
      <c r="AV94" s="341"/>
      <c r="AW94" s="339" t="e">
        <f t="shared" si="57"/>
        <v>#N/A</v>
      </c>
      <c r="AX94" s="506"/>
    </row>
    <row r="95" spans="2:50">
      <c r="B95" s="483"/>
      <c r="C95" s="339">
        <v>9</v>
      </c>
      <c r="D95" s="257"/>
      <c r="E95" s="187"/>
      <c r="F95" s="339"/>
      <c r="G95" s="341"/>
      <c r="H95" s="508"/>
      <c r="I95" s="219"/>
      <c r="J95" s="219"/>
      <c r="K95" s="220"/>
      <c r="L95" s="457"/>
      <c r="M95" s="221" t="e">
        <f>RANK(K95, K$87:$K$101)</f>
        <v>#DIV/0!</v>
      </c>
      <c r="N95" s="475"/>
      <c r="O95" s="475"/>
      <c r="P95" s="339"/>
      <c r="Q95" s="341"/>
      <c r="R95" s="341"/>
      <c r="S95" s="339" t="e">
        <f t="shared" si="51"/>
        <v>#N/A</v>
      </c>
      <c r="T95" s="508"/>
      <c r="U95" s="351"/>
      <c r="V95" s="354"/>
      <c r="W95" s="354"/>
      <c r="X95" s="339" t="e">
        <f t="shared" si="52"/>
        <v>#N/A</v>
      </c>
      <c r="Y95" s="508"/>
      <c r="Z95" s="351"/>
      <c r="AA95" s="354"/>
      <c r="AB95" s="354"/>
      <c r="AC95" s="339" t="e">
        <f t="shared" si="53"/>
        <v>#N/A</v>
      </c>
      <c r="AD95" s="508"/>
      <c r="AE95" s="351"/>
      <c r="AF95" s="354"/>
      <c r="AG95" s="354"/>
      <c r="AH95" s="339" t="e">
        <f t="shared" si="54"/>
        <v>#N/A</v>
      </c>
      <c r="AI95" s="508"/>
      <c r="AJ95" s="351"/>
      <c r="AK95" s="354"/>
      <c r="AL95" s="354"/>
      <c r="AM95" s="339" t="e">
        <f t="shared" si="55"/>
        <v>#N/A</v>
      </c>
      <c r="AN95" s="508"/>
      <c r="AO95" s="351"/>
      <c r="AP95" s="354"/>
      <c r="AQ95" s="354"/>
      <c r="AR95" s="339" t="e">
        <f t="shared" si="56"/>
        <v>#N/A</v>
      </c>
      <c r="AS95" s="508"/>
      <c r="AT95" s="339"/>
      <c r="AU95" s="341"/>
      <c r="AV95" s="341"/>
      <c r="AW95" s="339" t="e">
        <f t="shared" si="57"/>
        <v>#N/A</v>
      </c>
      <c r="AX95" s="506"/>
    </row>
    <row r="96" spans="2:50">
      <c r="B96" s="483"/>
      <c r="C96" s="339">
        <v>10</v>
      </c>
      <c r="D96" s="257"/>
      <c r="E96" s="187"/>
      <c r="F96" s="339"/>
      <c r="G96" s="341"/>
      <c r="H96" s="508"/>
      <c r="I96" s="219"/>
      <c r="J96" s="219"/>
      <c r="K96" s="220"/>
      <c r="L96" s="457"/>
      <c r="M96" s="221" t="e">
        <f>RANK(K96, K$87:$K$101)</f>
        <v>#DIV/0!</v>
      </c>
      <c r="N96" s="475"/>
      <c r="O96" s="475"/>
      <c r="P96" s="339"/>
      <c r="Q96" s="339"/>
      <c r="R96" s="341"/>
      <c r="S96" s="339" t="e">
        <f t="shared" si="51"/>
        <v>#N/A</v>
      </c>
      <c r="T96" s="508"/>
      <c r="U96" s="351"/>
      <c r="V96" s="351"/>
      <c r="W96" s="354"/>
      <c r="X96" s="339" t="e">
        <f t="shared" si="52"/>
        <v>#N/A</v>
      </c>
      <c r="Y96" s="508"/>
      <c r="Z96" s="351"/>
      <c r="AA96" s="351"/>
      <c r="AB96" s="354"/>
      <c r="AC96" s="339" t="e">
        <f t="shared" si="53"/>
        <v>#N/A</v>
      </c>
      <c r="AD96" s="508"/>
      <c r="AE96" s="351"/>
      <c r="AF96" s="351"/>
      <c r="AG96" s="354"/>
      <c r="AH96" s="339" t="e">
        <f t="shared" si="54"/>
        <v>#N/A</v>
      </c>
      <c r="AI96" s="508"/>
      <c r="AJ96" s="351"/>
      <c r="AK96" s="351"/>
      <c r="AL96" s="354"/>
      <c r="AM96" s="339" t="e">
        <f t="shared" si="55"/>
        <v>#N/A</v>
      </c>
      <c r="AN96" s="508"/>
      <c r="AO96" s="351"/>
      <c r="AP96" s="351"/>
      <c r="AQ96" s="354"/>
      <c r="AR96" s="339" t="e">
        <f t="shared" si="56"/>
        <v>#N/A</v>
      </c>
      <c r="AS96" s="508"/>
      <c r="AT96" s="339"/>
      <c r="AU96" s="339"/>
      <c r="AV96" s="341"/>
      <c r="AW96" s="339" t="e">
        <f t="shared" si="57"/>
        <v>#N/A</v>
      </c>
      <c r="AX96" s="506"/>
    </row>
    <row r="97" spans="2:50">
      <c r="B97" s="483"/>
      <c r="C97" s="339">
        <v>11</v>
      </c>
      <c r="D97" s="257"/>
      <c r="E97" s="187"/>
      <c r="F97" s="339"/>
      <c r="G97" s="341"/>
      <c r="H97" s="508"/>
      <c r="I97" s="222"/>
      <c r="J97" s="222"/>
      <c r="K97" s="222"/>
      <c r="L97" s="457"/>
      <c r="M97" s="221" t="e">
        <f>RANK(K97, K$87:$K$101)</f>
        <v>#DIV/0!</v>
      </c>
      <c r="N97" s="475"/>
      <c r="O97" s="475"/>
      <c r="P97" s="339"/>
      <c r="Q97" s="339"/>
      <c r="R97" s="339"/>
      <c r="S97" s="339" t="e">
        <f t="shared" si="51"/>
        <v>#N/A</v>
      </c>
      <c r="T97" s="508"/>
      <c r="U97" s="351"/>
      <c r="V97" s="351"/>
      <c r="W97" s="351"/>
      <c r="X97" s="339" t="e">
        <f t="shared" si="52"/>
        <v>#N/A</v>
      </c>
      <c r="Y97" s="508"/>
      <c r="Z97" s="351"/>
      <c r="AA97" s="351"/>
      <c r="AB97" s="351"/>
      <c r="AC97" s="339" t="e">
        <f t="shared" si="53"/>
        <v>#N/A</v>
      </c>
      <c r="AD97" s="508"/>
      <c r="AE97" s="351"/>
      <c r="AF97" s="351"/>
      <c r="AG97" s="351"/>
      <c r="AH97" s="339" t="e">
        <f t="shared" si="54"/>
        <v>#N/A</v>
      </c>
      <c r="AI97" s="508"/>
      <c r="AJ97" s="351"/>
      <c r="AK97" s="351"/>
      <c r="AL97" s="351"/>
      <c r="AM97" s="339" t="e">
        <f t="shared" si="55"/>
        <v>#N/A</v>
      </c>
      <c r="AN97" s="508"/>
      <c r="AO97" s="351"/>
      <c r="AP97" s="351"/>
      <c r="AQ97" s="351"/>
      <c r="AR97" s="339" t="e">
        <f t="shared" si="56"/>
        <v>#N/A</v>
      </c>
      <c r="AS97" s="508"/>
      <c r="AT97" s="339"/>
      <c r="AU97" s="339"/>
      <c r="AV97" s="339"/>
      <c r="AW97" s="339" t="e">
        <f t="shared" si="57"/>
        <v>#N/A</v>
      </c>
      <c r="AX97" s="506"/>
    </row>
    <row r="98" spans="2:50">
      <c r="B98" s="483"/>
      <c r="C98" s="339">
        <v>12</v>
      </c>
      <c r="D98" s="257"/>
      <c r="E98" s="187"/>
      <c r="F98" s="339"/>
      <c r="G98" s="341"/>
      <c r="H98" s="508"/>
      <c r="I98" s="222"/>
      <c r="J98" s="222"/>
      <c r="K98" s="222"/>
      <c r="L98" s="457"/>
      <c r="M98" s="221" t="e">
        <f>RANK(K98, K$87:$K$101)</f>
        <v>#DIV/0!</v>
      </c>
      <c r="N98" s="475"/>
      <c r="O98" s="475"/>
      <c r="P98" s="339"/>
      <c r="Q98" s="339"/>
      <c r="R98" s="339"/>
      <c r="S98" s="339" t="e">
        <f t="shared" si="51"/>
        <v>#N/A</v>
      </c>
      <c r="T98" s="508"/>
      <c r="U98" s="351"/>
      <c r="V98" s="351"/>
      <c r="W98" s="351"/>
      <c r="X98" s="339" t="e">
        <f t="shared" si="52"/>
        <v>#N/A</v>
      </c>
      <c r="Y98" s="508"/>
      <c r="Z98" s="351"/>
      <c r="AA98" s="351"/>
      <c r="AB98" s="351"/>
      <c r="AC98" s="339" t="e">
        <f t="shared" si="53"/>
        <v>#N/A</v>
      </c>
      <c r="AD98" s="508"/>
      <c r="AE98" s="351"/>
      <c r="AF98" s="351"/>
      <c r="AG98" s="351"/>
      <c r="AH98" s="339" t="e">
        <f t="shared" si="54"/>
        <v>#N/A</v>
      </c>
      <c r="AI98" s="508"/>
      <c r="AJ98" s="351"/>
      <c r="AK98" s="351"/>
      <c r="AL98" s="351"/>
      <c r="AM98" s="339" t="e">
        <f t="shared" si="55"/>
        <v>#N/A</v>
      </c>
      <c r="AN98" s="508"/>
      <c r="AO98" s="351"/>
      <c r="AP98" s="351"/>
      <c r="AQ98" s="351"/>
      <c r="AR98" s="339" t="e">
        <f t="shared" si="56"/>
        <v>#N/A</v>
      </c>
      <c r="AS98" s="508"/>
      <c r="AT98" s="339"/>
      <c r="AU98" s="339"/>
      <c r="AV98" s="339"/>
      <c r="AW98" s="339" t="e">
        <f t="shared" si="57"/>
        <v>#N/A</v>
      </c>
      <c r="AX98" s="506"/>
    </row>
    <row r="99" spans="2:50">
      <c r="B99" s="483"/>
      <c r="C99" s="339">
        <v>13</v>
      </c>
      <c r="D99" s="257"/>
      <c r="E99" s="187"/>
      <c r="F99" s="339"/>
      <c r="G99" s="341"/>
      <c r="H99" s="508"/>
      <c r="I99" s="222"/>
      <c r="J99" s="222"/>
      <c r="K99" s="222"/>
      <c r="L99" s="457"/>
      <c r="M99" s="221" t="e">
        <f>RANK(K99, K$87:$K$101)</f>
        <v>#DIV/0!</v>
      </c>
      <c r="N99" s="475"/>
      <c r="O99" s="475"/>
      <c r="P99" s="339"/>
      <c r="Q99" s="339"/>
      <c r="R99" s="339"/>
      <c r="S99" s="339" t="e">
        <f t="shared" si="51"/>
        <v>#N/A</v>
      </c>
      <c r="T99" s="508"/>
      <c r="U99" s="351"/>
      <c r="V99" s="351"/>
      <c r="W99" s="351"/>
      <c r="X99" s="339" t="e">
        <f t="shared" si="52"/>
        <v>#N/A</v>
      </c>
      <c r="Y99" s="508"/>
      <c r="Z99" s="351"/>
      <c r="AA99" s="351"/>
      <c r="AB99" s="351"/>
      <c r="AC99" s="339" t="e">
        <f t="shared" si="53"/>
        <v>#N/A</v>
      </c>
      <c r="AD99" s="508"/>
      <c r="AE99" s="351"/>
      <c r="AF99" s="351"/>
      <c r="AG99" s="351"/>
      <c r="AH99" s="339" t="e">
        <f t="shared" si="54"/>
        <v>#N/A</v>
      </c>
      <c r="AI99" s="508"/>
      <c r="AJ99" s="351"/>
      <c r="AK99" s="351"/>
      <c r="AL99" s="351"/>
      <c r="AM99" s="339" t="e">
        <f t="shared" si="55"/>
        <v>#N/A</v>
      </c>
      <c r="AN99" s="508"/>
      <c r="AO99" s="351"/>
      <c r="AP99" s="351"/>
      <c r="AQ99" s="351"/>
      <c r="AR99" s="339" t="e">
        <f t="shared" si="56"/>
        <v>#N/A</v>
      </c>
      <c r="AS99" s="508"/>
      <c r="AT99" s="339"/>
      <c r="AU99" s="339"/>
      <c r="AV99" s="339"/>
      <c r="AW99" s="339" t="e">
        <f t="shared" si="57"/>
        <v>#N/A</v>
      </c>
      <c r="AX99" s="506"/>
    </row>
    <row r="100" spans="2:50">
      <c r="B100" s="483"/>
      <c r="C100" s="339">
        <v>14</v>
      </c>
      <c r="D100" s="257"/>
      <c r="E100" s="187"/>
      <c r="F100" s="339"/>
      <c r="G100" s="341"/>
      <c r="H100" s="508"/>
      <c r="I100" s="222"/>
      <c r="J100" s="222"/>
      <c r="K100" s="222"/>
      <c r="L100" s="457"/>
      <c r="M100" s="221" t="e">
        <f>RANK(K100, K$87:$K$101)</f>
        <v>#DIV/0!</v>
      </c>
      <c r="N100" s="475"/>
      <c r="O100" s="475"/>
      <c r="P100" s="339"/>
      <c r="Q100" s="339"/>
      <c r="R100" s="339"/>
      <c r="S100" s="339" t="e">
        <f t="shared" si="51"/>
        <v>#N/A</v>
      </c>
      <c r="T100" s="508"/>
      <c r="U100" s="351"/>
      <c r="V100" s="351"/>
      <c r="W100" s="351"/>
      <c r="X100" s="339" t="e">
        <f t="shared" si="52"/>
        <v>#N/A</v>
      </c>
      <c r="Y100" s="508"/>
      <c r="Z100" s="351"/>
      <c r="AA100" s="351"/>
      <c r="AB100" s="351"/>
      <c r="AC100" s="339" t="e">
        <f t="shared" si="53"/>
        <v>#N/A</v>
      </c>
      <c r="AD100" s="508"/>
      <c r="AE100" s="351"/>
      <c r="AF100" s="351"/>
      <c r="AG100" s="351"/>
      <c r="AH100" s="339" t="e">
        <f t="shared" si="54"/>
        <v>#N/A</v>
      </c>
      <c r="AI100" s="508"/>
      <c r="AJ100" s="351"/>
      <c r="AK100" s="351"/>
      <c r="AL100" s="351"/>
      <c r="AM100" s="339" t="e">
        <f t="shared" si="55"/>
        <v>#N/A</v>
      </c>
      <c r="AN100" s="508"/>
      <c r="AO100" s="351"/>
      <c r="AP100" s="351"/>
      <c r="AQ100" s="351"/>
      <c r="AR100" s="339" t="e">
        <f t="shared" si="56"/>
        <v>#N/A</v>
      </c>
      <c r="AS100" s="508"/>
      <c r="AT100" s="339"/>
      <c r="AU100" s="339"/>
      <c r="AV100" s="339"/>
      <c r="AW100" s="339" t="e">
        <f t="shared" si="57"/>
        <v>#N/A</v>
      </c>
      <c r="AX100" s="506"/>
    </row>
    <row r="101" spans="2:50">
      <c r="B101" s="483"/>
      <c r="C101" s="339">
        <v>15</v>
      </c>
      <c r="D101" s="257"/>
      <c r="E101" s="187"/>
      <c r="F101" s="339"/>
      <c r="G101" s="341"/>
      <c r="H101" s="509"/>
      <c r="I101" s="222"/>
      <c r="J101" s="222"/>
      <c r="K101" s="222"/>
      <c r="L101" s="458"/>
      <c r="M101" s="219" t="e">
        <f>RANK(K101, K$87:$K$101)</f>
        <v>#DIV/0!</v>
      </c>
      <c r="N101" s="475"/>
      <c r="O101" s="475"/>
      <c r="P101" s="339"/>
      <c r="Q101" s="339"/>
      <c r="R101" s="339"/>
      <c r="S101" s="339" t="e">
        <f t="shared" si="51"/>
        <v>#N/A</v>
      </c>
      <c r="T101" s="509"/>
      <c r="U101" s="351"/>
      <c r="V101" s="351"/>
      <c r="W101" s="351"/>
      <c r="X101" s="339" t="e">
        <f t="shared" si="52"/>
        <v>#N/A</v>
      </c>
      <c r="Y101" s="509"/>
      <c r="Z101" s="351"/>
      <c r="AA101" s="351"/>
      <c r="AB101" s="351"/>
      <c r="AC101" s="339" t="e">
        <f t="shared" si="53"/>
        <v>#N/A</v>
      </c>
      <c r="AD101" s="509"/>
      <c r="AE101" s="351"/>
      <c r="AF101" s="351"/>
      <c r="AG101" s="351"/>
      <c r="AH101" s="339" t="e">
        <f t="shared" si="54"/>
        <v>#N/A</v>
      </c>
      <c r="AI101" s="509"/>
      <c r="AJ101" s="351"/>
      <c r="AK101" s="351"/>
      <c r="AL101" s="351"/>
      <c r="AM101" s="339" t="e">
        <f t="shared" si="55"/>
        <v>#N/A</v>
      </c>
      <c r="AN101" s="509"/>
      <c r="AO101" s="351"/>
      <c r="AP101" s="351"/>
      <c r="AQ101" s="351"/>
      <c r="AR101" s="339" t="e">
        <f t="shared" si="56"/>
        <v>#N/A</v>
      </c>
      <c r="AS101" s="509"/>
      <c r="AT101" s="339"/>
      <c r="AU101" s="339"/>
      <c r="AV101" s="339"/>
      <c r="AW101" s="339" t="e">
        <f t="shared" si="57"/>
        <v>#N/A</v>
      </c>
      <c r="AX101" s="506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AX101"/>
  <sheetViews>
    <sheetView zoomScale="50" zoomScaleNormal="50" workbookViewId="0">
      <pane xSplit="15" topLeftCell="S1" activePane="topRight" state="frozen"/>
      <selection sqref="A1:L2"/>
      <selection pane="topRight" activeCell="L7" sqref="L7:L2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0" ht="21">
      <c r="A1" s="75"/>
      <c r="B1" s="247" t="s">
        <v>381</v>
      </c>
      <c r="C1" s="107">
        <f>AVERAGE(L7,L27,L47,L67,L87)</f>
        <v>108.43233157970261</v>
      </c>
    </row>
    <row r="2" spans="1:50" ht="15.75">
      <c r="A2" s="81"/>
      <c r="B2" s="487" t="s">
        <v>172</v>
      </c>
      <c r="C2" s="487"/>
      <c r="D2" s="487"/>
      <c r="E2" s="487"/>
      <c r="F2" s="487"/>
      <c r="G2" s="487"/>
      <c r="H2" s="487"/>
      <c r="I2" s="352"/>
      <c r="J2" s="352"/>
      <c r="K2" s="352"/>
      <c r="L2" s="352"/>
      <c r="M2" s="217"/>
      <c r="N2" s="476" t="s">
        <v>164</v>
      </c>
      <c r="O2" s="476" t="s">
        <v>163</v>
      </c>
      <c r="P2" s="479">
        <v>45895</v>
      </c>
      <c r="Q2" s="480"/>
      <c r="R2" s="480"/>
      <c r="S2" s="480"/>
      <c r="T2" s="481"/>
      <c r="U2" s="482">
        <f>P2+1</f>
        <v>45896</v>
      </c>
      <c r="V2" s="483"/>
      <c r="W2" s="483"/>
      <c r="X2" s="483"/>
      <c r="Y2" s="483"/>
      <c r="Z2" s="482">
        <f>U2+1</f>
        <v>45897</v>
      </c>
      <c r="AA2" s="483"/>
      <c r="AB2" s="483"/>
      <c r="AC2" s="483"/>
      <c r="AD2" s="483"/>
      <c r="AE2" s="482">
        <f>Z2+1</f>
        <v>45898</v>
      </c>
      <c r="AF2" s="483"/>
      <c r="AG2" s="483"/>
      <c r="AH2" s="483"/>
      <c r="AI2" s="483"/>
      <c r="AJ2" s="482">
        <f>AE2+1</f>
        <v>45899</v>
      </c>
      <c r="AK2" s="483"/>
      <c r="AL2" s="483"/>
      <c r="AM2" s="483"/>
      <c r="AN2" s="483"/>
      <c r="AO2" s="482">
        <f>AJ2+1</f>
        <v>45900</v>
      </c>
      <c r="AP2" s="483"/>
      <c r="AQ2" s="483"/>
      <c r="AR2" s="483"/>
      <c r="AS2" s="483"/>
      <c r="AT2" s="482">
        <f>AO2+1</f>
        <v>45901</v>
      </c>
      <c r="AU2" s="483"/>
      <c r="AV2" s="483"/>
      <c r="AW2" s="483"/>
      <c r="AX2" s="483"/>
    </row>
    <row r="3" spans="1:50" ht="15.75">
      <c r="A3" s="81"/>
      <c r="B3" s="504"/>
      <c r="C3" s="504"/>
      <c r="D3" s="504"/>
      <c r="E3" s="504"/>
      <c r="F3" s="504"/>
      <c r="G3" s="504"/>
      <c r="H3" s="504"/>
      <c r="I3" s="353"/>
      <c r="J3" s="353"/>
      <c r="K3" s="353"/>
      <c r="L3" s="353"/>
      <c r="M3" s="218"/>
      <c r="N3" s="478"/>
      <c r="O3" s="478"/>
      <c r="P3" s="479" t="s">
        <v>166</v>
      </c>
      <c r="Q3" s="480"/>
      <c r="R3" s="480"/>
      <c r="S3" s="480"/>
      <c r="T3" s="481"/>
      <c r="U3" s="479" t="s">
        <v>114</v>
      </c>
      <c r="V3" s="480"/>
      <c r="W3" s="480"/>
      <c r="X3" s="480"/>
      <c r="Y3" s="481"/>
      <c r="Z3" s="479" t="s">
        <v>168</v>
      </c>
      <c r="AA3" s="480"/>
      <c r="AB3" s="480"/>
      <c r="AC3" s="480"/>
      <c r="AD3" s="481"/>
      <c r="AE3" s="479" t="s">
        <v>165</v>
      </c>
      <c r="AF3" s="480"/>
      <c r="AG3" s="480"/>
      <c r="AH3" s="480"/>
      <c r="AI3" s="481"/>
      <c r="AJ3" s="479" t="s">
        <v>169</v>
      </c>
      <c r="AK3" s="480"/>
      <c r="AL3" s="480"/>
      <c r="AM3" s="480"/>
      <c r="AN3" s="481"/>
      <c r="AO3" s="479" t="s">
        <v>170</v>
      </c>
      <c r="AP3" s="480"/>
      <c r="AQ3" s="480"/>
      <c r="AR3" s="480"/>
      <c r="AS3" s="481"/>
      <c r="AT3" s="479" t="s">
        <v>171</v>
      </c>
      <c r="AU3" s="480"/>
      <c r="AV3" s="480"/>
      <c r="AW3" s="480"/>
      <c r="AX3" s="481"/>
    </row>
    <row r="4" spans="1:50">
      <c r="A4" s="81"/>
      <c r="B4" s="475" t="s">
        <v>766</v>
      </c>
      <c r="C4" s="475" t="s">
        <v>767</v>
      </c>
      <c r="D4" s="475"/>
      <c r="E4" s="475" t="s">
        <v>768</v>
      </c>
      <c r="F4" s="475"/>
      <c r="G4" s="475"/>
      <c r="H4" s="491" t="s">
        <v>769</v>
      </c>
      <c r="I4" s="459" t="s">
        <v>770</v>
      </c>
      <c r="J4" s="459"/>
      <c r="K4" s="459"/>
      <c r="L4" s="460" t="s">
        <v>769</v>
      </c>
      <c r="M4" s="466" t="s">
        <v>771</v>
      </c>
      <c r="N4" s="475"/>
      <c r="O4" s="475" t="s">
        <v>772</v>
      </c>
      <c r="P4" s="472" t="s">
        <v>773</v>
      </c>
      <c r="Q4" s="473"/>
      <c r="R4" s="473"/>
      <c r="S4" s="474"/>
      <c r="T4" s="475" t="s">
        <v>769</v>
      </c>
      <c r="U4" s="472" t="s">
        <v>773</v>
      </c>
      <c r="V4" s="473"/>
      <c r="W4" s="473"/>
      <c r="X4" s="474"/>
      <c r="Y4" s="475" t="s">
        <v>769</v>
      </c>
      <c r="Z4" s="472" t="s">
        <v>773</v>
      </c>
      <c r="AA4" s="473"/>
      <c r="AB4" s="473"/>
      <c r="AC4" s="474"/>
      <c r="AD4" s="475" t="s">
        <v>769</v>
      </c>
      <c r="AE4" s="472" t="s">
        <v>773</v>
      </c>
      <c r="AF4" s="473"/>
      <c r="AG4" s="473"/>
      <c r="AH4" s="474"/>
      <c r="AI4" s="475" t="s">
        <v>769</v>
      </c>
      <c r="AJ4" s="472" t="s">
        <v>773</v>
      </c>
      <c r="AK4" s="473"/>
      <c r="AL4" s="473"/>
      <c r="AM4" s="474"/>
      <c r="AN4" s="475" t="s">
        <v>769</v>
      </c>
      <c r="AO4" s="472" t="s">
        <v>773</v>
      </c>
      <c r="AP4" s="473"/>
      <c r="AQ4" s="473"/>
      <c r="AR4" s="474"/>
      <c r="AS4" s="475" t="s">
        <v>769</v>
      </c>
      <c r="AT4" s="472" t="s">
        <v>773</v>
      </c>
      <c r="AU4" s="473"/>
      <c r="AV4" s="473"/>
      <c r="AW4" s="474"/>
      <c r="AX4" s="475" t="s">
        <v>769</v>
      </c>
    </row>
    <row r="5" spans="1:50">
      <c r="A5" s="81"/>
      <c r="B5" s="475"/>
      <c r="C5" s="475"/>
      <c r="D5" s="475"/>
      <c r="E5" s="475" t="s">
        <v>774</v>
      </c>
      <c r="F5" s="475"/>
      <c r="G5" s="475"/>
      <c r="H5" s="492"/>
      <c r="I5" s="459" t="s">
        <v>774</v>
      </c>
      <c r="J5" s="459"/>
      <c r="K5" s="459"/>
      <c r="L5" s="461"/>
      <c r="M5" s="467"/>
      <c r="N5" s="475"/>
      <c r="O5" s="475"/>
      <c r="P5" s="472" t="s">
        <v>775</v>
      </c>
      <c r="Q5" s="473"/>
      <c r="R5" s="473"/>
      <c r="S5" s="474"/>
      <c r="T5" s="475"/>
      <c r="U5" s="472" t="s">
        <v>775</v>
      </c>
      <c r="V5" s="473"/>
      <c r="W5" s="473"/>
      <c r="X5" s="474"/>
      <c r="Y5" s="475"/>
      <c r="Z5" s="472" t="s">
        <v>775</v>
      </c>
      <c r="AA5" s="473"/>
      <c r="AB5" s="473"/>
      <c r="AC5" s="474"/>
      <c r="AD5" s="475"/>
      <c r="AE5" s="472" t="s">
        <v>775</v>
      </c>
      <c r="AF5" s="473"/>
      <c r="AG5" s="473"/>
      <c r="AH5" s="474"/>
      <c r="AI5" s="475"/>
      <c r="AJ5" s="472" t="s">
        <v>775</v>
      </c>
      <c r="AK5" s="473"/>
      <c r="AL5" s="473"/>
      <c r="AM5" s="474"/>
      <c r="AN5" s="475"/>
      <c r="AO5" s="472" t="s">
        <v>775</v>
      </c>
      <c r="AP5" s="473"/>
      <c r="AQ5" s="473"/>
      <c r="AR5" s="474"/>
      <c r="AS5" s="475"/>
      <c r="AT5" s="472" t="s">
        <v>775</v>
      </c>
      <c r="AU5" s="473"/>
      <c r="AV5" s="473"/>
      <c r="AW5" s="474"/>
      <c r="AX5" s="475"/>
    </row>
    <row r="6" spans="1:50">
      <c r="A6" s="79"/>
      <c r="B6" s="475"/>
      <c r="C6" s="475"/>
      <c r="D6" s="475"/>
      <c r="E6" s="369" t="s">
        <v>776</v>
      </c>
      <c r="F6" s="369" t="s">
        <v>777</v>
      </c>
      <c r="G6" s="369" t="s">
        <v>778</v>
      </c>
      <c r="H6" s="493"/>
      <c r="I6" s="370" t="s">
        <v>776</v>
      </c>
      <c r="J6" s="370" t="s">
        <v>777</v>
      </c>
      <c r="K6" s="370" t="s">
        <v>778</v>
      </c>
      <c r="L6" s="462"/>
      <c r="M6" s="468"/>
      <c r="N6" s="475"/>
      <c r="O6" s="475"/>
      <c r="P6" s="369" t="s">
        <v>776</v>
      </c>
      <c r="Q6" s="369" t="s">
        <v>777</v>
      </c>
      <c r="R6" s="369" t="s">
        <v>778</v>
      </c>
      <c r="S6" s="369" t="s">
        <v>771</v>
      </c>
      <c r="T6" s="475"/>
      <c r="U6" s="369" t="s">
        <v>776</v>
      </c>
      <c r="V6" s="369" t="s">
        <v>777</v>
      </c>
      <c r="W6" s="369" t="s">
        <v>778</v>
      </c>
      <c r="X6" s="369" t="s">
        <v>771</v>
      </c>
      <c r="Y6" s="475"/>
      <c r="Z6" s="369" t="s">
        <v>776</v>
      </c>
      <c r="AA6" s="369" t="s">
        <v>777</v>
      </c>
      <c r="AB6" s="369" t="s">
        <v>778</v>
      </c>
      <c r="AC6" s="369" t="s">
        <v>771</v>
      </c>
      <c r="AD6" s="475"/>
      <c r="AE6" s="369" t="s">
        <v>776</v>
      </c>
      <c r="AF6" s="369" t="s">
        <v>777</v>
      </c>
      <c r="AG6" s="369" t="s">
        <v>778</v>
      </c>
      <c r="AH6" s="369" t="s">
        <v>771</v>
      </c>
      <c r="AI6" s="475"/>
      <c r="AJ6" s="369" t="s">
        <v>776</v>
      </c>
      <c r="AK6" s="369" t="s">
        <v>777</v>
      </c>
      <c r="AL6" s="369" t="s">
        <v>778</v>
      </c>
      <c r="AM6" s="369" t="s">
        <v>771</v>
      </c>
      <c r="AN6" s="475"/>
      <c r="AO6" s="369" t="s">
        <v>776</v>
      </c>
      <c r="AP6" s="369" t="s">
        <v>777</v>
      </c>
      <c r="AQ6" s="369" t="s">
        <v>778</v>
      </c>
      <c r="AR6" s="369" t="s">
        <v>771</v>
      </c>
      <c r="AS6" s="475"/>
      <c r="AT6" s="369" t="s">
        <v>776</v>
      </c>
      <c r="AU6" s="369" t="s">
        <v>777</v>
      </c>
      <c r="AV6" s="369" t="s">
        <v>778</v>
      </c>
      <c r="AW6" s="369" t="s">
        <v>771</v>
      </c>
      <c r="AX6" s="475"/>
    </row>
    <row r="7" spans="1:50">
      <c r="A7" s="81"/>
      <c r="B7" s="475" t="s">
        <v>787</v>
      </c>
      <c r="C7" s="368">
        <v>1</v>
      </c>
      <c r="D7" s="257" t="s">
        <v>501</v>
      </c>
      <c r="E7" s="187">
        <v>8</v>
      </c>
      <c r="F7" s="368">
        <v>1500</v>
      </c>
      <c r="G7" s="371">
        <v>187.5</v>
      </c>
      <c r="H7" s="507">
        <f>AVERAGE(G7:G21)</f>
        <v>117.22222222222221</v>
      </c>
      <c r="I7" s="219">
        <f>AVERAGE(P7,U7,Z7,AE7,AJ7,AO7,AT7)</f>
        <v>7.8571428571428568</v>
      </c>
      <c r="J7" s="219">
        <f>AVERAGE(Q7,V7,AA7,AF7,AK7,AP7,AU7)</f>
        <v>1205.6815396808463</v>
      </c>
      <c r="K7" s="220">
        <f>AVERAGE(R7,W7,AB7,AG7,AL7,AQ7,AV7)</f>
        <v>153.71643379158985</v>
      </c>
      <c r="L7" s="456">
        <f>IFERROR(AVERAGE(K7:K21),"-")</f>
        <v>105.26494753844464</v>
      </c>
      <c r="M7" s="221">
        <f>RANK(K7, K$7:$K$21)</f>
        <v>2</v>
      </c>
      <c r="N7" s="475"/>
      <c r="O7" s="475"/>
      <c r="P7" s="368">
        <v>8</v>
      </c>
      <c r="Q7" s="187">
        <v>1218.7499999999998</v>
      </c>
      <c r="R7" s="371">
        <v>152.34374999999997</v>
      </c>
      <c r="S7" s="368">
        <f t="shared" ref="S7:S21" si="0">RANK(R7, R$7:R$21)</f>
        <v>2</v>
      </c>
      <c r="T7" s="484">
        <f>AVERAGE(R7:R21)</f>
        <v>103.63656966326941</v>
      </c>
      <c r="U7" s="368">
        <v>8</v>
      </c>
      <c r="V7" s="187">
        <v>1185</v>
      </c>
      <c r="W7" s="371">
        <v>148.125</v>
      </c>
      <c r="X7" s="368">
        <f t="shared" ref="X7:X21" si="1">RANK(W7, W$7:W$21)</f>
        <v>2</v>
      </c>
      <c r="Y7" s="484">
        <f>AVERAGE(W7:W21)</f>
        <v>103.72009533620262</v>
      </c>
      <c r="Z7" s="368">
        <v>8</v>
      </c>
      <c r="AA7" s="187">
        <v>1203.7499999999998</v>
      </c>
      <c r="AB7" s="371">
        <v>150.46874999999997</v>
      </c>
      <c r="AC7" s="368">
        <f t="shared" ref="AC7:AC21" si="2">RANK(AB7, AB$7:AB$21)</f>
        <v>2</v>
      </c>
      <c r="AD7" s="484">
        <f>AVERAGE(AB7:AB21)</f>
        <v>105.14043248427963</v>
      </c>
      <c r="AE7" s="368">
        <v>8</v>
      </c>
      <c r="AF7" s="187">
        <v>1223.2941176470592</v>
      </c>
      <c r="AG7" s="371">
        <v>152.9117647058824</v>
      </c>
      <c r="AH7" s="368">
        <f t="shared" ref="AH7:AH21" si="3">RANK(AG7, AG$7:AG$21)</f>
        <v>2</v>
      </c>
      <c r="AI7" s="484">
        <f>AVERAGE(AG7:AG21)</f>
        <v>104.54166560186617</v>
      </c>
      <c r="AJ7" s="368">
        <v>8</v>
      </c>
      <c r="AK7" s="187">
        <v>1215.8241758241757</v>
      </c>
      <c r="AL7" s="371">
        <v>151.97802197802196</v>
      </c>
      <c r="AM7" s="368">
        <f t="shared" ref="AM7:AM21" si="4">RANK(AL7, AL$7:AL$21)</f>
        <v>2</v>
      </c>
      <c r="AN7" s="484">
        <f>AVERAGE(AL7:AL21)</f>
        <v>103.32722340495259</v>
      </c>
      <c r="AO7" s="368">
        <v>8</v>
      </c>
      <c r="AP7" s="187">
        <v>1214.7058823529412</v>
      </c>
      <c r="AQ7" s="371">
        <v>151.83823529411765</v>
      </c>
      <c r="AR7" s="368">
        <f t="shared" ref="AR7:AR21" si="5">RANK(AQ7, AQ$7:AQ$21)</f>
        <v>2</v>
      </c>
      <c r="AS7" s="484">
        <f>AVERAGE(AQ7:AQ21)</f>
        <v>104.91756863952122</v>
      </c>
      <c r="AT7" s="374">
        <v>7</v>
      </c>
      <c r="AU7" s="187">
        <v>1178.4466019417475</v>
      </c>
      <c r="AV7" s="375">
        <v>168.34951456310679</v>
      </c>
      <c r="AW7" s="368">
        <f t="shared" ref="AW7:AW21" si="6">RANK(AV7, AV$7:AV$21)</f>
        <v>2</v>
      </c>
      <c r="AX7" s="484">
        <f>AVERAGE(AV7:AV21)</f>
        <v>111.57107763902093</v>
      </c>
    </row>
    <row r="8" spans="1:50" ht="15" customHeight="1">
      <c r="A8" s="81"/>
      <c r="B8" s="483"/>
      <c r="C8" s="368">
        <v>2</v>
      </c>
      <c r="D8" s="257" t="s">
        <v>502</v>
      </c>
      <c r="E8" s="187">
        <v>15</v>
      </c>
      <c r="F8" s="368">
        <v>1500</v>
      </c>
      <c r="G8" s="371">
        <v>100</v>
      </c>
      <c r="H8" s="508"/>
      <c r="I8" s="219">
        <f t="shared" ref="I8:K12" si="7">AVERAGE(P8,U8,Z8,AE8,AJ8,AO8,AT8)</f>
        <v>14.857142857142858</v>
      </c>
      <c r="J8" s="219">
        <f t="shared" si="7"/>
        <v>1208.0831337537477</v>
      </c>
      <c r="K8" s="220">
        <f t="shared" si="7"/>
        <v>81.350933740179144</v>
      </c>
      <c r="L8" s="457"/>
      <c r="M8" s="221">
        <f>RANK(K8, K$7:$K$21)</f>
        <v>3</v>
      </c>
      <c r="N8" s="475"/>
      <c r="O8" s="475"/>
      <c r="P8" s="368">
        <v>15</v>
      </c>
      <c r="Q8" s="187">
        <v>1203.1372549019607</v>
      </c>
      <c r="R8" s="371">
        <v>80.209150326797371</v>
      </c>
      <c r="S8" s="368">
        <f t="shared" si="0"/>
        <v>3</v>
      </c>
      <c r="T8" s="485"/>
      <c r="U8" s="368">
        <v>14</v>
      </c>
      <c r="V8" s="187">
        <v>1193.7254901960782</v>
      </c>
      <c r="W8" s="371">
        <v>85.266106442577012</v>
      </c>
      <c r="X8" s="368">
        <f t="shared" si="1"/>
        <v>3</v>
      </c>
      <c r="Y8" s="485"/>
      <c r="Z8" s="368">
        <v>15</v>
      </c>
      <c r="AA8" s="187">
        <v>1243.1999999999998</v>
      </c>
      <c r="AB8" s="371">
        <v>82.879999999999981</v>
      </c>
      <c r="AC8" s="368">
        <f t="shared" si="2"/>
        <v>3</v>
      </c>
      <c r="AD8" s="485"/>
      <c r="AE8" s="368">
        <v>15</v>
      </c>
      <c r="AF8" s="187">
        <v>1237.8260869565213</v>
      </c>
      <c r="AG8" s="371">
        <v>82.521739130434753</v>
      </c>
      <c r="AH8" s="368">
        <f t="shared" si="3"/>
        <v>3</v>
      </c>
      <c r="AI8" s="485"/>
      <c r="AJ8" s="368">
        <v>15</v>
      </c>
      <c r="AK8" s="187">
        <v>1215.7664233576643</v>
      </c>
      <c r="AL8" s="371">
        <v>81.051094890510953</v>
      </c>
      <c r="AM8" s="368">
        <f t="shared" si="4"/>
        <v>3</v>
      </c>
      <c r="AN8" s="485"/>
      <c r="AO8" s="368">
        <v>15</v>
      </c>
      <c r="AP8" s="187">
        <v>1203.1578947368421</v>
      </c>
      <c r="AQ8" s="371">
        <v>80.210526315789465</v>
      </c>
      <c r="AR8" s="368">
        <f t="shared" si="5"/>
        <v>3</v>
      </c>
      <c r="AS8" s="485"/>
      <c r="AT8" s="374">
        <v>15</v>
      </c>
      <c r="AU8" s="187">
        <v>1159.7687861271675</v>
      </c>
      <c r="AV8" s="375">
        <v>77.317919075144502</v>
      </c>
      <c r="AW8" s="368">
        <f t="shared" si="6"/>
        <v>4</v>
      </c>
      <c r="AX8" s="485"/>
    </row>
    <row r="9" spans="1:50">
      <c r="A9" s="81"/>
      <c r="B9" s="483"/>
      <c r="C9" s="368">
        <v>3</v>
      </c>
      <c r="D9" s="257" t="s">
        <v>417</v>
      </c>
      <c r="E9" s="187">
        <v>18</v>
      </c>
      <c r="F9" s="368">
        <v>1500</v>
      </c>
      <c r="G9" s="371">
        <v>83.333333333333329</v>
      </c>
      <c r="H9" s="508"/>
      <c r="I9" s="219">
        <f t="shared" si="7"/>
        <v>18</v>
      </c>
      <c r="J9" s="219">
        <f t="shared" si="7"/>
        <v>1274.5755460616851</v>
      </c>
      <c r="K9" s="220">
        <f t="shared" si="7"/>
        <v>70.80975255898251</v>
      </c>
      <c r="L9" s="457"/>
      <c r="M9" s="221">
        <f>RANK(K9, K$7:$K$21)</f>
        <v>5</v>
      </c>
      <c r="N9" s="475"/>
      <c r="O9" s="475"/>
      <c r="P9" s="368">
        <v>18</v>
      </c>
      <c r="Q9" s="187">
        <v>1220.3846153846155</v>
      </c>
      <c r="R9" s="371">
        <v>67.799145299145309</v>
      </c>
      <c r="S9" s="368">
        <f t="shared" si="0"/>
        <v>5</v>
      </c>
      <c r="T9" s="485"/>
      <c r="U9" s="368">
        <v>18</v>
      </c>
      <c r="V9" s="187">
        <v>1273.7288135593224</v>
      </c>
      <c r="W9" s="371">
        <v>70.762711864406796</v>
      </c>
      <c r="X9" s="368">
        <f t="shared" si="1"/>
        <v>5</v>
      </c>
      <c r="Y9" s="485"/>
      <c r="Z9" s="368">
        <v>18</v>
      </c>
      <c r="AA9" s="187">
        <v>1347.9389312977098</v>
      </c>
      <c r="AB9" s="371">
        <v>74.885496183206101</v>
      </c>
      <c r="AC9" s="368">
        <f t="shared" si="2"/>
        <v>5</v>
      </c>
      <c r="AD9" s="485"/>
      <c r="AE9" s="368">
        <v>18</v>
      </c>
      <c r="AF9" s="187">
        <v>1283.7931034482751</v>
      </c>
      <c r="AG9" s="371">
        <v>71.321839080459725</v>
      </c>
      <c r="AH9" s="368">
        <f t="shared" si="3"/>
        <v>5</v>
      </c>
      <c r="AI9" s="485"/>
      <c r="AJ9" s="368">
        <v>18</v>
      </c>
      <c r="AK9" s="187">
        <v>1231.239669421487</v>
      </c>
      <c r="AL9" s="371">
        <v>68.402203856749281</v>
      </c>
      <c r="AM9" s="368">
        <f t="shared" si="4"/>
        <v>5</v>
      </c>
      <c r="AN9" s="485"/>
      <c r="AO9" s="368">
        <v>18</v>
      </c>
      <c r="AP9" s="187">
        <v>1288.543689320388</v>
      </c>
      <c r="AQ9" s="371">
        <v>71.585760517799329</v>
      </c>
      <c r="AR9" s="368">
        <f t="shared" si="5"/>
        <v>5</v>
      </c>
      <c r="AS9" s="485"/>
      <c r="AT9" s="374">
        <v>18</v>
      </c>
      <c r="AU9" s="187">
        <v>1276.3999999999978</v>
      </c>
      <c r="AV9" s="375">
        <v>70.911111111110984</v>
      </c>
      <c r="AW9" s="368">
        <f t="shared" si="6"/>
        <v>5</v>
      </c>
      <c r="AX9" s="485"/>
    </row>
    <row r="10" spans="1:50">
      <c r="A10" s="81"/>
      <c r="B10" s="483"/>
      <c r="C10" s="368">
        <v>4</v>
      </c>
      <c r="D10" s="257" t="s">
        <v>503</v>
      </c>
      <c r="E10" s="187">
        <v>20</v>
      </c>
      <c r="F10" s="368">
        <v>1300</v>
      </c>
      <c r="G10" s="371">
        <v>65</v>
      </c>
      <c r="H10" s="508"/>
      <c r="I10" s="219">
        <f t="shared" si="7"/>
        <v>20</v>
      </c>
      <c r="J10" s="219">
        <f t="shared" si="7"/>
        <v>1096.5319747594176</v>
      </c>
      <c r="K10" s="220">
        <f t="shared" si="7"/>
        <v>54.826598737970883</v>
      </c>
      <c r="L10" s="457"/>
      <c r="M10" s="221">
        <f>RANK(K10, K$7:$K$21)</f>
        <v>6</v>
      </c>
      <c r="N10" s="475"/>
      <c r="O10" s="475"/>
      <c r="P10" s="368">
        <v>20</v>
      </c>
      <c r="Q10" s="187">
        <v>1096.4383561643838</v>
      </c>
      <c r="R10" s="371">
        <v>54.82191780821919</v>
      </c>
      <c r="S10" s="368">
        <f t="shared" si="0"/>
        <v>6</v>
      </c>
      <c r="T10" s="485"/>
      <c r="U10" s="368">
        <v>20</v>
      </c>
      <c r="V10" s="187">
        <v>1114.8648648648652</v>
      </c>
      <c r="W10" s="371">
        <v>55.743243243243263</v>
      </c>
      <c r="X10" s="368">
        <f t="shared" si="1"/>
        <v>6</v>
      </c>
      <c r="Y10" s="485"/>
      <c r="Z10" s="368">
        <v>20</v>
      </c>
      <c r="AA10" s="187">
        <v>1081.6438356164385</v>
      </c>
      <c r="AB10" s="371">
        <v>54.08219178082193</v>
      </c>
      <c r="AC10" s="368">
        <f t="shared" si="2"/>
        <v>6</v>
      </c>
      <c r="AD10" s="485"/>
      <c r="AE10" s="368">
        <v>20</v>
      </c>
      <c r="AF10" s="187">
        <v>1095.4545454545455</v>
      </c>
      <c r="AG10" s="371">
        <v>54.772727272727273</v>
      </c>
      <c r="AH10" s="368">
        <f t="shared" si="3"/>
        <v>6</v>
      </c>
      <c r="AI10" s="485"/>
      <c r="AJ10" s="368">
        <v>20</v>
      </c>
      <c r="AK10" s="187">
        <v>1088.5714285714287</v>
      </c>
      <c r="AL10" s="371">
        <v>54.428571428571431</v>
      </c>
      <c r="AM10" s="368">
        <f t="shared" si="4"/>
        <v>6</v>
      </c>
      <c r="AN10" s="485"/>
      <c r="AO10" s="368">
        <v>20</v>
      </c>
      <c r="AP10" s="187">
        <v>1079.2771084337346</v>
      </c>
      <c r="AQ10" s="371">
        <v>53.963855421686731</v>
      </c>
      <c r="AR10" s="368">
        <f t="shared" si="5"/>
        <v>6</v>
      </c>
      <c r="AS10" s="485"/>
      <c r="AT10" s="374">
        <v>20</v>
      </c>
      <c r="AU10" s="187">
        <v>1119.4736842105267</v>
      </c>
      <c r="AV10" s="375">
        <v>55.973684210526336</v>
      </c>
      <c r="AW10" s="368">
        <f t="shared" si="6"/>
        <v>6</v>
      </c>
      <c r="AX10" s="485"/>
    </row>
    <row r="11" spans="1:50">
      <c r="A11" s="81"/>
      <c r="B11" s="483"/>
      <c r="C11" s="368">
        <v>5</v>
      </c>
      <c r="D11" s="257" t="s">
        <v>504</v>
      </c>
      <c r="E11" s="187">
        <v>18</v>
      </c>
      <c r="F11" s="368">
        <v>1440</v>
      </c>
      <c r="G11" s="371">
        <v>80</v>
      </c>
      <c r="H11" s="508"/>
      <c r="I11" s="219">
        <f t="shared" si="7"/>
        <v>18</v>
      </c>
      <c r="J11" s="219">
        <f t="shared" si="7"/>
        <v>1393.9028288173708</v>
      </c>
      <c r="K11" s="220">
        <f t="shared" si="7"/>
        <v>77.439046045409469</v>
      </c>
      <c r="L11" s="457"/>
      <c r="M11" s="221">
        <f>RANK(K11, K$7:$K$21)</f>
        <v>4</v>
      </c>
      <c r="N11" s="475"/>
      <c r="O11" s="475"/>
      <c r="P11" s="368">
        <v>18</v>
      </c>
      <c r="Q11" s="187">
        <v>1386.8181818181818</v>
      </c>
      <c r="R11" s="371">
        <v>77.045454545454547</v>
      </c>
      <c r="S11" s="368">
        <f t="shared" si="0"/>
        <v>4</v>
      </c>
      <c r="T11" s="485"/>
      <c r="U11" s="368">
        <v>18</v>
      </c>
      <c r="V11" s="187">
        <v>1346.6666666666665</v>
      </c>
      <c r="W11" s="371">
        <v>74.81481481481481</v>
      </c>
      <c r="X11" s="368">
        <f t="shared" si="1"/>
        <v>4</v>
      </c>
      <c r="Y11" s="485"/>
      <c r="Z11" s="368">
        <v>18</v>
      </c>
      <c r="AA11" s="187">
        <v>1401.4285714285711</v>
      </c>
      <c r="AB11" s="371">
        <v>77.857142857142833</v>
      </c>
      <c r="AC11" s="368">
        <f t="shared" si="2"/>
        <v>4</v>
      </c>
      <c r="AD11" s="485"/>
      <c r="AE11" s="368">
        <v>18</v>
      </c>
      <c r="AF11" s="187">
        <v>1386.315789473683</v>
      </c>
      <c r="AG11" s="371">
        <v>77.017543859649052</v>
      </c>
      <c r="AH11" s="368">
        <f t="shared" si="3"/>
        <v>4</v>
      </c>
      <c r="AI11" s="485"/>
      <c r="AJ11" s="368">
        <v>18</v>
      </c>
      <c r="AK11" s="187">
        <v>1403.9999999999995</v>
      </c>
      <c r="AL11" s="371">
        <v>77.999999999999972</v>
      </c>
      <c r="AM11" s="368">
        <f t="shared" si="4"/>
        <v>4</v>
      </c>
      <c r="AN11" s="485"/>
      <c r="AO11" s="368">
        <v>18</v>
      </c>
      <c r="AP11" s="187">
        <v>1407.80487804878</v>
      </c>
      <c r="AQ11" s="371">
        <v>78.211382113821116</v>
      </c>
      <c r="AR11" s="368">
        <f t="shared" si="5"/>
        <v>4</v>
      </c>
      <c r="AS11" s="485"/>
      <c r="AT11" s="374">
        <v>18</v>
      </c>
      <c r="AU11" s="187">
        <v>1424.2857142857138</v>
      </c>
      <c r="AV11" s="375">
        <v>79.126984126984098</v>
      </c>
      <c r="AW11" s="368">
        <f t="shared" si="6"/>
        <v>3</v>
      </c>
      <c r="AX11" s="485"/>
    </row>
    <row r="12" spans="1:50">
      <c r="A12" s="81"/>
      <c r="B12" s="483"/>
      <c r="C12" s="368">
        <v>6</v>
      </c>
      <c r="D12" s="257" t="s">
        <v>694</v>
      </c>
      <c r="E12" s="187">
        <v>8</v>
      </c>
      <c r="F12" s="368">
        <v>1500</v>
      </c>
      <c r="G12" s="371">
        <v>187.5</v>
      </c>
      <c r="H12" s="508"/>
      <c r="I12" s="219">
        <f t="shared" si="7"/>
        <v>7.8571428571428568</v>
      </c>
      <c r="J12" s="219">
        <f t="shared" si="7"/>
        <v>1516.468612459824</v>
      </c>
      <c r="K12" s="220">
        <f t="shared" si="7"/>
        <v>193.44692035653608</v>
      </c>
      <c r="L12" s="457"/>
      <c r="M12" s="221">
        <f>RANK(K12, K$7:$K$21)</f>
        <v>1</v>
      </c>
      <c r="N12" s="475"/>
      <c r="O12" s="475"/>
      <c r="P12" s="368">
        <v>8</v>
      </c>
      <c r="Q12" s="368">
        <v>1516.8000000000002</v>
      </c>
      <c r="R12" s="368">
        <v>189.60000000000002</v>
      </c>
      <c r="S12" s="368">
        <f t="shared" si="0"/>
        <v>1</v>
      </c>
      <c r="T12" s="485"/>
      <c r="U12" s="368">
        <v>8</v>
      </c>
      <c r="V12" s="187">
        <v>1500.8695652173906</v>
      </c>
      <c r="W12" s="371">
        <v>187.60869565217382</v>
      </c>
      <c r="X12" s="368">
        <f t="shared" si="1"/>
        <v>1</v>
      </c>
      <c r="Y12" s="485"/>
      <c r="Z12" s="368">
        <v>8</v>
      </c>
      <c r="AA12" s="187">
        <v>1525.3521126760561</v>
      </c>
      <c r="AB12" s="371">
        <v>190.66901408450701</v>
      </c>
      <c r="AC12" s="368">
        <f t="shared" si="2"/>
        <v>1</v>
      </c>
      <c r="AD12" s="485"/>
      <c r="AE12" s="368">
        <v>8</v>
      </c>
      <c r="AF12" s="187">
        <v>1509.6350364963509</v>
      </c>
      <c r="AG12" s="371">
        <v>188.70437956204387</v>
      </c>
      <c r="AH12" s="368">
        <f t="shared" si="3"/>
        <v>1</v>
      </c>
      <c r="AI12" s="485"/>
      <c r="AJ12" s="368">
        <v>8</v>
      </c>
      <c r="AK12" s="187">
        <v>1488.8275862068958</v>
      </c>
      <c r="AL12" s="371">
        <v>186.10344827586198</v>
      </c>
      <c r="AM12" s="368">
        <f t="shared" si="4"/>
        <v>1</v>
      </c>
      <c r="AN12" s="485"/>
      <c r="AO12" s="368">
        <v>8</v>
      </c>
      <c r="AP12" s="187">
        <v>1549.5652173913043</v>
      </c>
      <c r="AQ12" s="371">
        <v>193.69565217391303</v>
      </c>
      <c r="AR12" s="368">
        <f t="shared" si="5"/>
        <v>1</v>
      </c>
      <c r="AS12" s="485"/>
      <c r="AT12" s="374">
        <v>7</v>
      </c>
      <c r="AU12" s="187">
        <v>1524.2307692307695</v>
      </c>
      <c r="AV12" s="375">
        <v>217.74725274725279</v>
      </c>
      <c r="AW12" s="368">
        <f t="shared" si="6"/>
        <v>1</v>
      </c>
      <c r="AX12" s="485"/>
    </row>
    <row r="13" spans="1:50">
      <c r="A13" s="81"/>
      <c r="B13" s="483"/>
      <c r="C13" s="368">
        <v>7</v>
      </c>
      <c r="D13" s="257"/>
      <c r="E13" s="187"/>
      <c r="F13" s="368"/>
      <c r="G13" s="371"/>
      <c r="H13" s="508"/>
      <c r="I13" s="219"/>
      <c r="J13" s="219"/>
      <c r="K13" s="220"/>
      <c r="L13" s="457"/>
      <c r="M13" s="221" t="e">
        <f>RANK(K13, K$7:$K$21)</f>
        <v>#N/A</v>
      </c>
      <c r="N13" s="475"/>
      <c r="O13" s="475"/>
      <c r="P13" s="368"/>
      <c r="Q13" s="368"/>
      <c r="R13" s="368"/>
      <c r="S13" s="368" t="e">
        <f t="shared" si="0"/>
        <v>#N/A</v>
      </c>
      <c r="T13" s="485"/>
      <c r="U13" s="368"/>
      <c r="V13" s="368"/>
      <c r="W13" s="368"/>
      <c r="X13" s="368" t="e">
        <f t="shared" si="1"/>
        <v>#N/A</v>
      </c>
      <c r="Y13" s="485"/>
      <c r="Z13" s="368"/>
      <c r="AA13" s="368"/>
      <c r="AB13" s="368"/>
      <c r="AC13" s="368" t="e">
        <f t="shared" si="2"/>
        <v>#N/A</v>
      </c>
      <c r="AD13" s="485"/>
      <c r="AE13" s="368"/>
      <c r="AF13" s="368"/>
      <c r="AG13" s="368"/>
      <c r="AH13" s="368" t="e">
        <f t="shared" si="3"/>
        <v>#N/A</v>
      </c>
      <c r="AI13" s="485"/>
      <c r="AJ13" s="368"/>
      <c r="AK13" s="368"/>
      <c r="AL13" s="368"/>
      <c r="AM13" s="368" t="e">
        <f t="shared" si="4"/>
        <v>#N/A</v>
      </c>
      <c r="AN13" s="485"/>
      <c r="AO13" s="368"/>
      <c r="AP13" s="368"/>
      <c r="AQ13" s="368"/>
      <c r="AR13" s="368" t="e">
        <f t="shared" si="5"/>
        <v>#N/A</v>
      </c>
      <c r="AS13" s="485"/>
      <c r="AT13" s="374"/>
      <c r="AU13" s="374"/>
      <c r="AV13" s="374"/>
      <c r="AW13" s="368" t="e">
        <f t="shared" si="6"/>
        <v>#N/A</v>
      </c>
      <c r="AX13" s="485"/>
    </row>
    <row r="14" spans="1:50">
      <c r="A14" s="81"/>
      <c r="B14" s="483"/>
      <c r="C14" s="368">
        <v>8</v>
      </c>
      <c r="D14" s="257"/>
      <c r="E14" s="187"/>
      <c r="F14" s="368"/>
      <c r="G14" s="371"/>
      <c r="H14" s="508"/>
      <c r="I14" s="219"/>
      <c r="J14" s="219"/>
      <c r="K14" s="220"/>
      <c r="L14" s="457"/>
      <c r="M14" s="221" t="e">
        <f>RANK(K14, K$7:$K$21)</f>
        <v>#N/A</v>
      </c>
      <c r="N14" s="475"/>
      <c r="O14" s="475"/>
      <c r="P14" s="368"/>
      <c r="Q14" s="368"/>
      <c r="R14" s="368"/>
      <c r="S14" s="368" t="e">
        <f t="shared" si="0"/>
        <v>#N/A</v>
      </c>
      <c r="T14" s="485"/>
      <c r="U14" s="368"/>
      <c r="V14" s="368"/>
      <c r="W14" s="368"/>
      <c r="X14" s="368" t="e">
        <f t="shared" si="1"/>
        <v>#N/A</v>
      </c>
      <c r="Y14" s="485"/>
      <c r="Z14" s="368"/>
      <c r="AA14" s="368"/>
      <c r="AB14" s="368"/>
      <c r="AC14" s="368" t="e">
        <f t="shared" si="2"/>
        <v>#N/A</v>
      </c>
      <c r="AD14" s="485"/>
      <c r="AE14" s="368"/>
      <c r="AF14" s="368"/>
      <c r="AG14" s="368"/>
      <c r="AH14" s="368" t="e">
        <f t="shared" si="3"/>
        <v>#N/A</v>
      </c>
      <c r="AI14" s="485"/>
      <c r="AJ14" s="368"/>
      <c r="AK14" s="368"/>
      <c r="AL14" s="368"/>
      <c r="AM14" s="368" t="e">
        <f t="shared" si="4"/>
        <v>#N/A</v>
      </c>
      <c r="AN14" s="485"/>
      <c r="AO14" s="368"/>
      <c r="AP14" s="368"/>
      <c r="AQ14" s="368"/>
      <c r="AR14" s="368" t="e">
        <f t="shared" si="5"/>
        <v>#N/A</v>
      </c>
      <c r="AS14" s="485"/>
      <c r="AT14" s="368"/>
      <c r="AU14" s="368"/>
      <c r="AV14" s="368"/>
      <c r="AW14" s="368" t="e">
        <f t="shared" si="6"/>
        <v>#N/A</v>
      </c>
      <c r="AX14" s="485"/>
    </row>
    <row r="15" spans="1:50">
      <c r="A15" s="81"/>
      <c r="B15" s="483"/>
      <c r="C15" s="368">
        <v>9</v>
      </c>
      <c r="D15" s="257"/>
      <c r="E15" s="187"/>
      <c r="F15" s="368"/>
      <c r="G15" s="371"/>
      <c r="H15" s="508"/>
      <c r="I15" s="219"/>
      <c r="J15" s="219"/>
      <c r="K15" s="220"/>
      <c r="L15" s="457"/>
      <c r="M15" s="221" t="e">
        <f>RANK(K15, K$7:$K$21)</f>
        <v>#N/A</v>
      </c>
      <c r="N15" s="475"/>
      <c r="O15" s="475"/>
      <c r="P15" s="368"/>
      <c r="Q15" s="368"/>
      <c r="R15" s="368"/>
      <c r="S15" s="368" t="e">
        <f t="shared" si="0"/>
        <v>#N/A</v>
      </c>
      <c r="T15" s="485"/>
      <c r="U15" s="368"/>
      <c r="V15" s="368"/>
      <c r="W15" s="368"/>
      <c r="X15" s="368" t="e">
        <f t="shared" si="1"/>
        <v>#N/A</v>
      </c>
      <c r="Y15" s="485"/>
      <c r="Z15" s="368"/>
      <c r="AA15" s="368"/>
      <c r="AB15" s="368"/>
      <c r="AC15" s="368" t="e">
        <f t="shared" si="2"/>
        <v>#N/A</v>
      </c>
      <c r="AD15" s="485"/>
      <c r="AE15" s="368"/>
      <c r="AF15" s="368"/>
      <c r="AG15" s="368"/>
      <c r="AH15" s="368" t="e">
        <f t="shared" si="3"/>
        <v>#N/A</v>
      </c>
      <c r="AI15" s="485"/>
      <c r="AJ15" s="368"/>
      <c r="AK15" s="368"/>
      <c r="AL15" s="368"/>
      <c r="AM15" s="368" t="e">
        <f t="shared" si="4"/>
        <v>#N/A</v>
      </c>
      <c r="AN15" s="485"/>
      <c r="AO15" s="368"/>
      <c r="AP15" s="368"/>
      <c r="AQ15" s="368"/>
      <c r="AR15" s="368" t="e">
        <f t="shared" si="5"/>
        <v>#N/A</v>
      </c>
      <c r="AS15" s="485"/>
      <c r="AT15" s="368"/>
      <c r="AU15" s="368"/>
      <c r="AV15" s="368"/>
      <c r="AW15" s="368" t="e">
        <f t="shared" si="6"/>
        <v>#N/A</v>
      </c>
      <c r="AX15" s="485"/>
    </row>
    <row r="16" spans="1:50">
      <c r="A16" s="81"/>
      <c r="B16" s="483"/>
      <c r="C16" s="368">
        <v>10</v>
      </c>
      <c r="D16" s="257"/>
      <c r="E16" s="187"/>
      <c r="F16" s="368"/>
      <c r="G16" s="371"/>
      <c r="H16" s="508"/>
      <c r="I16" s="219"/>
      <c r="J16" s="219"/>
      <c r="K16" s="220"/>
      <c r="L16" s="457"/>
      <c r="M16" s="221" t="e">
        <f>RANK(K16, K$7:$K$21)</f>
        <v>#N/A</v>
      </c>
      <c r="N16" s="475"/>
      <c r="O16" s="475"/>
      <c r="P16" s="368"/>
      <c r="Q16" s="368"/>
      <c r="R16" s="368"/>
      <c r="S16" s="368" t="e">
        <f t="shared" si="0"/>
        <v>#N/A</v>
      </c>
      <c r="T16" s="485"/>
      <c r="U16" s="368"/>
      <c r="V16" s="368"/>
      <c r="W16" s="368"/>
      <c r="X16" s="368" t="e">
        <f t="shared" si="1"/>
        <v>#N/A</v>
      </c>
      <c r="Y16" s="485"/>
      <c r="Z16" s="368"/>
      <c r="AA16" s="368"/>
      <c r="AB16" s="368"/>
      <c r="AC16" s="368" t="e">
        <f t="shared" si="2"/>
        <v>#N/A</v>
      </c>
      <c r="AD16" s="485"/>
      <c r="AE16" s="368"/>
      <c r="AF16" s="368"/>
      <c r="AG16" s="368"/>
      <c r="AH16" s="368" t="e">
        <f t="shared" si="3"/>
        <v>#N/A</v>
      </c>
      <c r="AI16" s="485"/>
      <c r="AJ16" s="368"/>
      <c r="AK16" s="368"/>
      <c r="AL16" s="368"/>
      <c r="AM16" s="368" t="e">
        <f t="shared" si="4"/>
        <v>#N/A</v>
      </c>
      <c r="AN16" s="485"/>
      <c r="AO16" s="368"/>
      <c r="AP16" s="368"/>
      <c r="AQ16" s="368"/>
      <c r="AR16" s="368" t="e">
        <f t="shared" si="5"/>
        <v>#N/A</v>
      </c>
      <c r="AS16" s="485"/>
      <c r="AT16" s="368"/>
      <c r="AU16" s="368"/>
      <c r="AV16" s="368"/>
      <c r="AW16" s="368" t="e">
        <f t="shared" si="6"/>
        <v>#N/A</v>
      </c>
      <c r="AX16" s="485"/>
    </row>
    <row r="17" spans="2:50">
      <c r="B17" s="483"/>
      <c r="C17" s="368">
        <v>11</v>
      </c>
      <c r="D17" s="257"/>
      <c r="E17" s="187"/>
      <c r="F17" s="368"/>
      <c r="G17" s="371"/>
      <c r="H17" s="508"/>
      <c r="I17" s="219"/>
      <c r="J17" s="219"/>
      <c r="K17" s="220"/>
      <c r="L17" s="457"/>
      <c r="M17" s="221" t="e">
        <f>RANK(K17, K$7:$K$21)</f>
        <v>#N/A</v>
      </c>
      <c r="N17" s="475"/>
      <c r="O17" s="475"/>
      <c r="P17" s="368"/>
      <c r="Q17" s="368"/>
      <c r="R17" s="368"/>
      <c r="S17" s="368" t="e">
        <f t="shared" si="0"/>
        <v>#N/A</v>
      </c>
      <c r="T17" s="485"/>
      <c r="U17" s="368"/>
      <c r="V17" s="368"/>
      <c r="W17" s="368"/>
      <c r="X17" s="368" t="e">
        <f t="shared" si="1"/>
        <v>#N/A</v>
      </c>
      <c r="Y17" s="485"/>
      <c r="Z17" s="368"/>
      <c r="AA17" s="368"/>
      <c r="AB17" s="368"/>
      <c r="AC17" s="368" t="e">
        <f t="shared" si="2"/>
        <v>#N/A</v>
      </c>
      <c r="AD17" s="485"/>
      <c r="AE17" s="368"/>
      <c r="AF17" s="368"/>
      <c r="AG17" s="368"/>
      <c r="AH17" s="368" t="e">
        <f t="shared" si="3"/>
        <v>#N/A</v>
      </c>
      <c r="AI17" s="485"/>
      <c r="AJ17" s="368"/>
      <c r="AK17" s="368"/>
      <c r="AL17" s="368"/>
      <c r="AM17" s="368" t="e">
        <f t="shared" si="4"/>
        <v>#N/A</v>
      </c>
      <c r="AN17" s="485"/>
      <c r="AO17" s="368"/>
      <c r="AP17" s="368"/>
      <c r="AQ17" s="368"/>
      <c r="AR17" s="368" t="e">
        <f t="shared" si="5"/>
        <v>#N/A</v>
      </c>
      <c r="AS17" s="485"/>
      <c r="AT17" s="368"/>
      <c r="AU17" s="368"/>
      <c r="AV17" s="368"/>
      <c r="AW17" s="368" t="e">
        <f t="shared" si="6"/>
        <v>#N/A</v>
      </c>
      <c r="AX17" s="485"/>
    </row>
    <row r="18" spans="2:50">
      <c r="B18" s="483"/>
      <c r="C18" s="368">
        <v>12</v>
      </c>
      <c r="D18" s="257"/>
      <c r="E18" s="187"/>
      <c r="F18" s="368"/>
      <c r="G18" s="371"/>
      <c r="H18" s="508"/>
      <c r="I18" s="219"/>
      <c r="J18" s="219"/>
      <c r="K18" s="220"/>
      <c r="L18" s="457"/>
      <c r="M18" s="221" t="e">
        <f>RANK(K18, K$7:$K$21)</f>
        <v>#N/A</v>
      </c>
      <c r="N18" s="475"/>
      <c r="O18" s="475"/>
      <c r="P18" s="368"/>
      <c r="Q18" s="368"/>
      <c r="R18" s="368"/>
      <c r="S18" s="368" t="e">
        <f t="shared" si="0"/>
        <v>#N/A</v>
      </c>
      <c r="T18" s="485"/>
      <c r="U18" s="368"/>
      <c r="V18" s="368"/>
      <c r="W18" s="368"/>
      <c r="X18" s="368" t="e">
        <f t="shared" si="1"/>
        <v>#N/A</v>
      </c>
      <c r="Y18" s="485"/>
      <c r="Z18" s="368"/>
      <c r="AA18" s="368"/>
      <c r="AB18" s="368"/>
      <c r="AC18" s="368" t="e">
        <f t="shared" si="2"/>
        <v>#N/A</v>
      </c>
      <c r="AD18" s="485"/>
      <c r="AE18" s="368"/>
      <c r="AF18" s="368"/>
      <c r="AG18" s="368"/>
      <c r="AH18" s="368" t="e">
        <f t="shared" si="3"/>
        <v>#N/A</v>
      </c>
      <c r="AI18" s="485"/>
      <c r="AJ18" s="368"/>
      <c r="AK18" s="368"/>
      <c r="AL18" s="368"/>
      <c r="AM18" s="368" t="e">
        <f t="shared" si="4"/>
        <v>#N/A</v>
      </c>
      <c r="AN18" s="485"/>
      <c r="AO18" s="368"/>
      <c r="AP18" s="368"/>
      <c r="AQ18" s="368"/>
      <c r="AR18" s="368" t="e">
        <f t="shared" si="5"/>
        <v>#N/A</v>
      </c>
      <c r="AS18" s="485"/>
      <c r="AT18" s="368"/>
      <c r="AU18" s="368"/>
      <c r="AV18" s="368"/>
      <c r="AW18" s="368" t="e">
        <f t="shared" si="6"/>
        <v>#N/A</v>
      </c>
      <c r="AX18" s="485"/>
    </row>
    <row r="19" spans="2:50">
      <c r="B19" s="483"/>
      <c r="C19" s="368">
        <v>13</v>
      </c>
      <c r="D19" s="257"/>
      <c r="E19" s="187"/>
      <c r="F19" s="368"/>
      <c r="G19" s="371"/>
      <c r="H19" s="508"/>
      <c r="I19" s="219"/>
      <c r="J19" s="219"/>
      <c r="K19" s="220"/>
      <c r="L19" s="457"/>
      <c r="M19" s="221" t="e">
        <f>RANK(K19, K$7:$K$21)</f>
        <v>#N/A</v>
      </c>
      <c r="N19" s="475"/>
      <c r="O19" s="475"/>
      <c r="P19" s="368"/>
      <c r="Q19" s="368"/>
      <c r="R19" s="368"/>
      <c r="S19" s="368" t="e">
        <f t="shared" si="0"/>
        <v>#N/A</v>
      </c>
      <c r="T19" s="485"/>
      <c r="U19" s="368"/>
      <c r="V19" s="368"/>
      <c r="W19" s="368"/>
      <c r="X19" s="368" t="e">
        <f t="shared" si="1"/>
        <v>#N/A</v>
      </c>
      <c r="Y19" s="485"/>
      <c r="Z19" s="368"/>
      <c r="AA19" s="368"/>
      <c r="AB19" s="368"/>
      <c r="AC19" s="368" t="e">
        <f t="shared" si="2"/>
        <v>#N/A</v>
      </c>
      <c r="AD19" s="485"/>
      <c r="AE19" s="368"/>
      <c r="AF19" s="368"/>
      <c r="AG19" s="368"/>
      <c r="AH19" s="368" t="e">
        <f t="shared" si="3"/>
        <v>#N/A</v>
      </c>
      <c r="AI19" s="485"/>
      <c r="AJ19" s="368"/>
      <c r="AK19" s="368"/>
      <c r="AL19" s="368"/>
      <c r="AM19" s="368" t="e">
        <f t="shared" si="4"/>
        <v>#N/A</v>
      </c>
      <c r="AN19" s="485"/>
      <c r="AO19" s="368"/>
      <c r="AP19" s="368"/>
      <c r="AQ19" s="368"/>
      <c r="AR19" s="368" t="e">
        <f t="shared" si="5"/>
        <v>#N/A</v>
      </c>
      <c r="AS19" s="485"/>
      <c r="AT19" s="368"/>
      <c r="AU19" s="368"/>
      <c r="AV19" s="368"/>
      <c r="AW19" s="368" t="e">
        <f t="shared" si="6"/>
        <v>#N/A</v>
      </c>
      <c r="AX19" s="485"/>
    </row>
    <row r="20" spans="2:50">
      <c r="B20" s="483"/>
      <c r="C20" s="368">
        <v>14</v>
      </c>
      <c r="D20" s="257"/>
      <c r="E20" s="187"/>
      <c r="F20" s="368"/>
      <c r="G20" s="371"/>
      <c r="H20" s="508"/>
      <c r="I20" s="219"/>
      <c r="J20" s="219"/>
      <c r="K20" s="220"/>
      <c r="L20" s="457"/>
      <c r="M20" s="221" t="e">
        <f>RANK(K20, K$7:$K$21)</f>
        <v>#N/A</v>
      </c>
      <c r="N20" s="475"/>
      <c r="O20" s="475"/>
      <c r="P20" s="368"/>
      <c r="Q20" s="368"/>
      <c r="R20" s="368"/>
      <c r="S20" s="368" t="e">
        <f t="shared" si="0"/>
        <v>#N/A</v>
      </c>
      <c r="T20" s="485"/>
      <c r="U20" s="368"/>
      <c r="V20" s="368"/>
      <c r="W20" s="368"/>
      <c r="X20" s="368" t="e">
        <f t="shared" si="1"/>
        <v>#N/A</v>
      </c>
      <c r="Y20" s="485"/>
      <c r="Z20" s="368"/>
      <c r="AA20" s="368"/>
      <c r="AB20" s="368"/>
      <c r="AC20" s="368" t="e">
        <f t="shared" si="2"/>
        <v>#N/A</v>
      </c>
      <c r="AD20" s="485"/>
      <c r="AE20" s="368"/>
      <c r="AF20" s="368"/>
      <c r="AG20" s="368"/>
      <c r="AH20" s="368" t="e">
        <f t="shared" si="3"/>
        <v>#N/A</v>
      </c>
      <c r="AI20" s="485"/>
      <c r="AJ20" s="368"/>
      <c r="AK20" s="368"/>
      <c r="AL20" s="368"/>
      <c r="AM20" s="368" t="e">
        <f t="shared" si="4"/>
        <v>#N/A</v>
      </c>
      <c r="AN20" s="485"/>
      <c r="AO20" s="368"/>
      <c r="AP20" s="368"/>
      <c r="AQ20" s="368"/>
      <c r="AR20" s="368" t="e">
        <f t="shared" si="5"/>
        <v>#N/A</v>
      </c>
      <c r="AS20" s="485"/>
      <c r="AT20" s="368"/>
      <c r="AU20" s="368"/>
      <c r="AV20" s="368"/>
      <c r="AW20" s="368" t="e">
        <f t="shared" si="6"/>
        <v>#N/A</v>
      </c>
      <c r="AX20" s="485"/>
    </row>
    <row r="21" spans="2:50">
      <c r="B21" s="483"/>
      <c r="C21" s="368">
        <v>15</v>
      </c>
      <c r="D21" s="257"/>
      <c r="E21" s="187"/>
      <c r="F21" s="368"/>
      <c r="G21" s="371"/>
      <c r="H21" s="509"/>
      <c r="I21" s="219"/>
      <c r="J21" s="219"/>
      <c r="K21" s="220"/>
      <c r="L21" s="458"/>
      <c r="M21" s="219" t="e">
        <f>RANK(K21, K$7:$K$21)</f>
        <v>#N/A</v>
      </c>
      <c r="N21" s="475"/>
      <c r="O21" s="475"/>
      <c r="P21" s="368"/>
      <c r="Q21" s="368"/>
      <c r="R21" s="368"/>
      <c r="S21" s="368" t="e">
        <f t="shared" si="0"/>
        <v>#N/A</v>
      </c>
      <c r="T21" s="486"/>
      <c r="U21" s="368"/>
      <c r="V21" s="368"/>
      <c r="W21" s="368"/>
      <c r="X21" s="368" t="e">
        <f t="shared" si="1"/>
        <v>#N/A</v>
      </c>
      <c r="Y21" s="486"/>
      <c r="Z21" s="368"/>
      <c r="AA21" s="368"/>
      <c r="AB21" s="368"/>
      <c r="AC21" s="368" t="e">
        <f t="shared" si="2"/>
        <v>#N/A</v>
      </c>
      <c r="AD21" s="486"/>
      <c r="AE21" s="368"/>
      <c r="AF21" s="368"/>
      <c r="AG21" s="368"/>
      <c r="AH21" s="368" t="e">
        <f t="shared" si="3"/>
        <v>#N/A</v>
      </c>
      <c r="AI21" s="486"/>
      <c r="AJ21" s="368"/>
      <c r="AK21" s="368"/>
      <c r="AL21" s="368"/>
      <c r="AM21" s="368" t="e">
        <f t="shared" si="4"/>
        <v>#N/A</v>
      </c>
      <c r="AN21" s="486"/>
      <c r="AO21" s="368"/>
      <c r="AP21" s="368"/>
      <c r="AQ21" s="368"/>
      <c r="AR21" s="368" t="e">
        <f t="shared" si="5"/>
        <v>#N/A</v>
      </c>
      <c r="AS21" s="486"/>
      <c r="AT21" s="368"/>
      <c r="AU21" s="368"/>
      <c r="AV21" s="368"/>
      <c r="AW21" s="368" t="e">
        <f t="shared" si="6"/>
        <v>#N/A</v>
      </c>
      <c r="AX21" s="486"/>
    </row>
    <row r="22" spans="2:50" ht="15.75">
      <c r="B22" s="500" t="s">
        <v>172</v>
      </c>
      <c r="C22" s="501"/>
      <c r="D22" s="501"/>
      <c r="E22" s="501"/>
      <c r="F22" s="501"/>
      <c r="G22" s="501"/>
      <c r="H22" s="501"/>
      <c r="I22" s="223"/>
      <c r="J22" s="223"/>
      <c r="K22" s="223"/>
      <c r="L22" s="223"/>
      <c r="M22" s="224"/>
      <c r="N22" s="476" t="s">
        <v>164</v>
      </c>
      <c r="O22" s="476" t="s">
        <v>105</v>
      </c>
      <c r="P22" s="502">
        <f>AT2+1</f>
        <v>45902</v>
      </c>
      <c r="Q22" s="503"/>
      <c r="R22" s="503"/>
      <c r="S22" s="503"/>
      <c r="T22" s="503"/>
      <c r="U22" s="482">
        <f>P22+1</f>
        <v>45903</v>
      </c>
      <c r="V22" s="483"/>
      <c r="W22" s="483"/>
      <c r="X22" s="483"/>
      <c r="Y22" s="483"/>
      <c r="Z22" s="482">
        <f>U22+1</f>
        <v>45904</v>
      </c>
      <c r="AA22" s="483"/>
      <c r="AB22" s="483"/>
      <c r="AC22" s="483"/>
      <c r="AD22" s="483"/>
      <c r="AE22" s="482">
        <f>Z22+1</f>
        <v>45905</v>
      </c>
      <c r="AF22" s="483"/>
      <c r="AG22" s="483"/>
      <c r="AH22" s="483"/>
      <c r="AI22" s="483"/>
      <c r="AJ22" s="482">
        <f>AE22+1</f>
        <v>45906</v>
      </c>
      <c r="AK22" s="483"/>
      <c r="AL22" s="483"/>
      <c r="AM22" s="483"/>
      <c r="AN22" s="483"/>
      <c r="AO22" s="482">
        <f>AJ22+1</f>
        <v>45907</v>
      </c>
      <c r="AP22" s="483"/>
      <c r="AQ22" s="483"/>
      <c r="AR22" s="483"/>
      <c r="AS22" s="483"/>
      <c r="AT22" s="482">
        <f>AO22+1</f>
        <v>45908</v>
      </c>
      <c r="AU22" s="483"/>
      <c r="AV22" s="483"/>
      <c r="AW22" s="483"/>
      <c r="AX22" s="483"/>
    </row>
    <row r="23" spans="2:50" ht="15.75">
      <c r="B23" s="490"/>
      <c r="C23" s="490"/>
      <c r="D23" s="490"/>
      <c r="E23" s="490"/>
      <c r="F23" s="490"/>
      <c r="G23" s="490"/>
      <c r="H23" s="490"/>
      <c r="I23" s="225"/>
      <c r="J23" s="225"/>
      <c r="K23" s="225"/>
      <c r="L23" s="225"/>
      <c r="M23" s="226"/>
      <c r="N23" s="478"/>
      <c r="O23" s="478"/>
      <c r="P23" s="482" t="s">
        <v>393</v>
      </c>
      <c r="Q23" s="483"/>
      <c r="R23" s="483"/>
      <c r="S23" s="483"/>
      <c r="T23" s="483"/>
      <c r="U23" s="482" t="s">
        <v>394</v>
      </c>
      <c r="V23" s="483"/>
      <c r="W23" s="483"/>
      <c r="X23" s="483"/>
      <c r="Y23" s="483"/>
      <c r="Z23" s="482" t="s">
        <v>395</v>
      </c>
      <c r="AA23" s="483"/>
      <c r="AB23" s="483"/>
      <c r="AC23" s="483"/>
      <c r="AD23" s="483"/>
      <c r="AE23" s="482" t="s">
        <v>396</v>
      </c>
      <c r="AF23" s="483"/>
      <c r="AG23" s="483"/>
      <c r="AH23" s="483"/>
      <c r="AI23" s="483"/>
      <c r="AJ23" s="482" t="s">
        <v>397</v>
      </c>
      <c r="AK23" s="483"/>
      <c r="AL23" s="483"/>
      <c r="AM23" s="483"/>
      <c r="AN23" s="483"/>
      <c r="AO23" s="482" t="s">
        <v>398</v>
      </c>
      <c r="AP23" s="483"/>
      <c r="AQ23" s="483"/>
      <c r="AR23" s="483"/>
      <c r="AS23" s="483"/>
      <c r="AT23" s="482" t="s">
        <v>399</v>
      </c>
      <c r="AU23" s="483"/>
      <c r="AV23" s="483"/>
      <c r="AW23" s="483"/>
      <c r="AX23" s="483"/>
    </row>
    <row r="24" spans="2:50">
      <c r="B24" s="475" t="s">
        <v>847</v>
      </c>
      <c r="C24" s="475" t="s">
        <v>848</v>
      </c>
      <c r="D24" s="475"/>
      <c r="E24" s="475" t="s">
        <v>849</v>
      </c>
      <c r="F24" s="475"/>
      <c r="G24" s="475"/>
      <c r="H24" s="491" t="s">
        <v>819</v>
      </c>
      <c r="I24" s="459" t="s">
        <v>815</v>
      </c>
      <c r="J24" s="459"/>
      <c r="K24" s="459"/>
      <c r="L24" s="460" t="s">
        <v>819</v>
      </c>
      <c r="M24" s="466" t="s">
        <v>850</v>
      </c>
      <c r="N24" s="475"/>
      <c r="O24" s="475" t="s">
        <v>851</v>
      </c>
      <c r="P24" s="472" t="s">
        <v>817</v>
      </c>
      <c r="Q24" s="473"/>
      <c r="R24" s="473"/>
      <c r="S24" s="474"/>
      <c r="T24" s="475" t="s">
        <v>819</v>
      </c>
      <c r="U24" s="472" t="s">
        <v>817</v>
      </c>
      <c r="V24" s="473"/>
      <c r="W24" s="473"/>
      <c r="X24" s="474"/>
      <c r="Y24" s="475" t="s">
        <v>819</v>
      </c>
      <c r="Z24" s="472" t="s">
        <v>817</v>
      </c>
      <c r="AA24" s="473"/>
      <c r="AB24" s="473"/>
      <c r="AC24" s="474"/>
      <c r="AD24" s="475" t="s">
        <v>819</v>
      </c>
      <c r="AE24" s="472" t="s">
        <v>817</v>
      </c>
      <c r="AF24" s="473"/>
      <c r="AG24" s="473"/>
      <c r="AH24" s="474"/>
      <c r="AI24" s="475" t="s">
        <v>819</v>
      </c>
      <c r="AJ24" s="472" t="s">
        <v>817</v>
      </c>
      <c r="AK24" s="473"/>
      <c r="AL24" s="473"/>
      <c r="AM24" s="474"/>
      <c r="AN24" s="475" t="s">
        <v>819</v>
      </c>
      <c r="AO24" s="472" t="s">
        <v>817</v>
      </c>
      <c r="AP24" s="473"/>
      <c r="AQ24" s="473"/>
      <c r="AR24" s="474"/>
      <c r="AS24" s="475" t="s">
        <v>819</v>
      </c>
      <c r="AT24" s="472" t="s">
        <v>817</v>
      </c>
      <c r="AU24" s="473"/>
      <c r="AV24" s="473"/>
      <c r="AW24" s="474"/>
      <c r="AX24" s="475" t="s">
        <v>819</v>
      </c>
    </row>
    <row r="25" spans="2:50">
      <c r="B25" s="475"/>
      <c r="C25" s="475"/>
      <c r="D25" s="475"/>
      <c r="E25" s="475" t="s">
        <v>822</v>
      </c>
      <c r="F25" s="475"/>
      <c r="G25" s="475"/>
      <c r="H25" s="492"/>
      <c r="I25" s="459" t="s">
        <v>822</v>
      </c>
      <c r="J25" s="459"/>
      <c r="K25" s="459"/>
      <c r="L25" s="461"/>
      <c r="M25" s="467"/>
      <c r="N25" s="475"/>
      <c r="O25" s="475"/>
      <c r="P25" s="472" t="s">
        <v>823</v>
      </c>
      <c r="Q25" s="473"/>
      <c r="R25" s="473"/>
      <c r="S25" s="474"/>
      <c r="T25" s="475"/>
      <c r="U25" s="472" t="s">
        <v>823</v>
      </c>
      <c r="V25" s="473"/>
      <c r="W25" s="473"/>
      <c r="X25" s="474"/>
      <c r="Y25" s="475"/>
      <c r="Z25" s="472" t="s">
        <v>823</v>
      </c>
      <c r="AA25" s="473"/>
      <c r="AB25" s="473"/>
      <c r="AC25" s="474"/>
      <c r="AD25" s="475"/>
      <c r="AE25" s="472" t="s">
        <v>823</v>
      </c>
      <c r="AF25" s="473"/>
      <c r="AG25" s="473"/>
      <c r="AH25" s="474"/>
      <c r="AI25" s="475"/>
      <c r="AJ25" s="472" t="s">
        <v>823</v>
      </c>
      <c r="AK25" s="473"/>
      <c r="AL25" s="473"/>
      <c r="AM25" s="474"/>
      <c r="AN25" s="475"/>
      <c r="AO25" s="472" t="s">
        <v>823</v>
      </c>
      <c r="AP25" s="473"/>
      <c r="AQ25" s="473"/>
      <c r="AR25" s="474"/>
      <c r="AS25" s="475"/>
      <c r="AT25" s="472" t="s">
        <v>823</v>
      </c>
      <c r="AU25" s="473"/>
      <c r="AV25" s="473"/>
      <c r="AW25" s="474"/>
      <c r="AX25" s="475"/>
    </row>
    <row r="26" spans="2:50">
      <c r="B26" s="475"/>
      <c r="C26" s="475"/>
      <c r="D26" s="475"/>
      <c r="E26" s="373" t="s">
        <v>827</v>
      </c>
      <c r="F26" s="373" t="s">
        <v>852</v>
      </c>
      <c r="G26" s="373" t="s">
        <v>826</v>
      </c>
      <c r="H26" s="493"/>
      <c r="I26" s="372" t="s">
        <v>827</v>
      </c>
      <c r="J26" s="372" t="s">
        <v>852</v>
      </c>
      <c r="K26" s="372" t="s">
        <v>826</v>
      </c>
      <c r="L26" s="462"/>
      <c r="M26" s="468"/>
      <c r="N26" s="475"/>
      <c r="O26" s="475"/>
      <c r="P26" s="373" t="s">
        <v>827</v>
      </c>
      <c r="Q26" s="373" t="s">
        <v>852</v>
      </c>
      <c r="R26" s="373" t="s">
        <v>826</v>
      </c>
      <c r="S26" s="373" t="s">
        <v>850</v>
      </c>
      <c r="T26" s="475"/>
      <c r="U26" s="373" t="s">
        <v>827</v>
      </c>
      <c r="V26" s="373" t="s">
        <v>641</v>
      </c>
      <c r="W26" s="373" t="s">
        <v>826</v>
      </c>
      <c r="X26" s="373" t="s">
        <v>850</v>
      </c>
      <c r="Y26" s="475"/>
      <c r="Z26" s="373" t="s">
        <v>827</v>
      </c>
      <c r="AA26" s="373" t="s">
        <v>641</v>
      </c>
      <c r="AB26" s="373" t="s">
        <v>826</v>
      </c>
      <c r="AC26" s="373" t="s">
        <v>850</v>
      </c>
      <c r="AD26" s="475"/>
      <c r="AE26" s="373" t="s">
        <v>827</v>
      </c>
      <c r="AF26" s="373" t="s">
        <v>852</v>
      </c>
      <c r="AG26" s="373" t="s">
        <v>826</v>
      </c>
      <c r="AH26" s="373" t="s">
        <v>850</v>
      </c>
      <c r="AI26" s="475"/>
      <c r="AJ26" s="373" t="s">
        <v>827</v>
      </c>
      <c r="AK26" s="373" t="s">
        <v>852</v>
      </c>
      <c r="AL26" s="373" t="s">
        <v>826</v>
      </c>
      <c r="AM26" s="373" t="s">
        <v>850</v>
      </c>
      <c r="AN26" s="475"/>
      <c r="AO26" s="373" t="s">
        <v>827</v>
      </c>
      <c r="AP26" s="373" t="s">
        <v>852</v>
      </c>
      <c r="AQ26" s="373" t="s">
        <v>826</v>
      </c>
      <c r="AR26" s="373" t="s">
        <v>850</v>
      </c>
      <c r="AS26" s="475"/>
      <c r="AT26" s="373" t="s">
        <v>827</v>
      </c>
      <c r="AU26" s="373" t="s">
        <v>852</v>
      </c>
      <c r="AV26" s="373" t="s">
        <v>826</v>
      </c>
      <c r="AW26" s="373" t="s">
        <v>850</v>
      </c>
      <c r="AX26" s="475"/>
    </row>
    <row r="27" spans="2:50">
      <c r="B27" s="475" t="s">
        <v>853</v>
      </c>
      <c r="C27" s="374">
        <v>1</v>
      </c>
      <c r="D27" s="257" t="s">
        <v>501</v>
      </c>
      <c r="E27" s="187">
        <v>7</v>
      </c>
      <c r="F27" s="374">
        <v>1500</v>
      </c>
      <c r="G27" s="375">
        <v>214.28571428571428</v>
      </c>
      <c r="H27" s="507">
        <f>AVERAGE(G27:G41)</f>
        <v>126.56015037593984</v>
      </c>
      <c r="I27" s="219">
        <f>AVERAGE(P27,U27,Z27,AE27,AJ27,AO27,AT27)</f>
        <v>6.7142857142857144</v>
      </c>
      <c r="J27" s="219">
        <f>AVERAGE(Q27,V27,AA27,AF27,AK27,AP27,AU27)</f>
        <v>1291.9497073343416</v>
      </c>
      <c r="K27" s="220">
        <f>AVERAGE(R27,W27,AB27,AG27,AL27,AQ27,AV27)</f>
        <v>193.36398081320735</v>
      </c>
      <c r="L27" s="456">
        <f>IFERROR(AVERAGE(K27:K41),"-")</f>
        <v>111.59971562096058</v>
      </c>
      <c r="M27" s="221">
        <f>RANK(K27, K$27:$K$41)</f>
        <v>2</v>
      </c>
      <c r="N27" s="475"/>
      <c r="O27" s="475"/>
      <c r="P27" s="374">
        <v>7</v>
      </c>
      <c r="Q27" s="187">
        <v>1288.7234042553187</v>
      </c>
      <c r="R27" s="375">
        <v>184.10334346504553</v>
      </c>
      <c r="S27" s="374">
        <f t="shared" ref="S27:S41" si="8">RANK(R27, R$27:R$41)</f>
        <v>2</v>
      </c>
      <c r="T27" s="484">
        <f>AVERAGE(R27:R41)</f>
        <v>108.9760738330953</v>
      </c>
      <c r="U27" s="374">
        <v>7</v>
      </c>
      <c r="V27" s="187">
        <v>1287.7894736842102</v>
      </c>
      <c r="W27" s="375">
        <v>183.96992481203003</v>
      </c>
      <c r="X27" s="374">
        <f t="shared" ref="X27:X41" si="9">RANK(W27, W$27:W$41)</f>
        <v>2</v>
      </c>
      <c r="Y27" s="484">
        <f>AVERAGE(W27:W41)</f>
        <v>108.66983136765418</v>
      </c>
      <c r="Z27" s="374">
        <v>7</v>
      </c>
      <c r="AA27" s="187">
        <v>1295.8695652173915</v>
      </c>
      <c r="AB27" s="375">
        <v>185.12422360248451</v>
      </c>
      <c r="AC27" s="374">
        <f t="shared" ref="AC27:AC41" si="10">RANK(AB27, AB$27:AB$41)</f>
        <v>1</v>
      </c>
      <c r="AD27" s="484">
        <f>AVERAGE(AB27:AB41)</f>
        <v>108.63256457289846</v>
      </c>
      <c r="AE27" s="374">
        <v>7</v>
      </c>
      <c r="AF27" s="187">
        <v>1287</v>
      </c>
      <c r="AG27" s="375">
        <v>183.85714285714286</v>
      </c>
      <c r="AH27" s="374">
        <f t="shared" ref="AH27:AH41" si="11">RANK(AG27, AG$27:AG$41)</f>
        <v>2</v>
      </c>
      <c r="AI27" s="484">
        <f>AVERAGE(AG27:AG41)</f>
        <v>119.18314458181274</v>
      </c>
      <c r="AJ27" s="374">
        <v>7</v>
      </c>
      <c r="AK27" s="187">
        <v>1297.1428571428573</v>
      </c>
      <c r="AL27" s="375">
        <v>185.30612244897961</v>
      </c>
      <c r="AM27" s="374">
        <f t="shared" ref="AM27:AM41" si="12">RANK(AL27, AL$27:AL$41)</f>
        <v>1</v>
      </c>
      <c r="AN27" s="484">
        <f>AVERAGE(AL27:AL41)</f>
        <v>119.66177919196352</v>
      </c>
      <c r="AO27" s="374">
        <v>6</v>
      </c>
      <c r="AP27" s="187">
        <v>1287.3267326732673</v>
      </c>
      <c r="AQ27" s="375">
        <v>214.55445544554456</v>
      </c>
      <c r="AR27" s="374">
        <f t="shared" ref="AR27:AR41" si="13">RANK(AQ27, AQ$27:AQ$41)</f>
        <v>2</v>
      </c>
      <c r="AS27" s="484">
        <f>AVERAGE(AQ27:AQ41)</f>
        <v>131.77267440646273</v>
      </c>
      <c r="AT27" s="374">
        <v>6</v>
      </c>
      <c r="AU27" s="187">
        <v>1299.7959183673468</v>
      </c>
      <c r="AV27" s="375">
        <v>216.63265306122446</v>
      </c>
      <c r="AW27" s="374">
        <f t="shared" ref="AW27:AW41" si="14">RANK(AV27, AV$27:AV$41)</f>
        <v>1</v>
      </c>
      <c r="AX27" s="484">
        <f>AVERAGE(AV27:AV41)</f>
        <v>131.79907894871977</v>
      </c>
    </row>
    <row r="28" spans="2:50">
      <c r="B28" s="483"/>
      <c r="C28" s="374">
        <v>2</v>
      </c>
      <c r="D28" s="257" t="s">
        <v>502</v>
      </c>
      <c r="E28" s="187">
        <v>15</v>
      </c>
      <c r="F28" s="374">
        <v>1500</v>
      </c>
      <c r="G28" s="375">
        <v>100</v>
      </c>
      <c r="H28" s="508"/>
      <c r="I28" s="219">
        <f t="shared" ref="I28:I32" si="15">AVERAGE(P28,U28,Z28,AE28,AJ28,AO28,AT28)</f>
        <v>15</v>
      </c>
      <c r="J28" s="219">
        <f t="shared" ref="J28:J32" si="16">AVERAGE(Q28,V28,AA28,AF28,AK28,AP28,AU28)</f>
        <v>1287.9243469262692</v>
      </c>
      <c r="K28" s="220">
        <f t="shared" ref="K28:K32" si="17">AVERAGE(R28,W28,AB28,AG28,AL28,AQ28,AV28)</f>
        <v>85.861623128417961</v>
      </c>
      <c r="L28" s="457"/>
      <c r="M28" s="221">
        <f>RANK(K28, K$27:$K$41)</f>
        <v>3</v>
      </c>
      <c r="N28" s="475"/>
      <c r="O28" s="475"/>
      <c r="P28" s="374">
        <v>15</v>
      </c>
      <c r="Q28" s="187">
        <v>1277.9591836734692</v>
      </c>
      <c r="R28" s="375">
        <v>85.197278911564609</v>
      </c>
      <c r="S28" s="374">
        <f t="shared" si="8"/>
        <v>3</v>
      </c>
      <c r="T28" s="485"/>
      <c r="U28" s="374">
        <v>15</v>
      </c>
      <c r="V28" s="187">
        <v>1291.7894736842115</v>
      </c>
      <c r="W28" s="375">
        <v>86.119298245614104</v>
      </c>
      <c r="X28" s="374">
        <f t="shared" si="9"/>
        <v>3</v>
      </c>
      <c r="Y28" s="485"/>
      <c r="Z28" s="374">
        <v>15</v>
      </c>
      <c r="AA28" s="187">
        <v>1264.6153846153848</v>
      </c>
      <c r="AB28" s="375">
        <v>84.307692307692321</v>
      </c>
      <c r="AC28" s="374">
        <f t="shared" si="10"/>
        <v>3</v>
      </c>
      <c r="AD28" s="485"/>
      <c r="AE28" s="374">
        <v>15</v>
      </c>
      <c r="AF28" s="187">
        <v>1312.4369747899161</v>
      </c>
      <c r="AG28" s="375">
        <v>87.495798319327747</v>
      </c>
      <c r="AH28" s="374">
        <f t="shared" si="11"/>
        <v>3</v>
      </c>
      <c r="AI28" s="485"/>
      <c r="AJ28" s="374">
        <v>15</v>
      </c>
      <c r="AK28" s="187">
        <v>1293.8709677419349</v>
      </c>
      <c r="AL28" s="375">
        <v>86.258064516128997</v>
      </c>
      <c r="AM28" s="374">
        <f t="shared" si="12"/>
        <v>3</v>
      </c>
      <c r="AN28" s="485"/>
      <c r="AO28" s="374">
        <v>15</v>
      </c>
      <c r="AP28" s="187">
        <v>1307.919463087248</v>
      </c>
      <c r="AQ28" s="375">
        <v>87.194630872483202</v>
      </c>
      <c r="AR28" s="374">
        <f t="shared" si="13"/>
        <v>3</v>
      </c>
      <c r="AS28" s="485"/>
      <c r="AT28" s="374">
        <v>15</v>
      </c>
      <c r="AU28" s="187">
        <v>1266.8789808917197</v>
      </c>
      <c r="AV28" s="375">
        <v>84.458598726114644</v>
      </c>
      <c r="AW28" s="374">
        <f t="shared" si="14"/>
        <v>3</v>
      </c>
      <c r="AX28" s="485"/>
    </row>
    <row r="29" spans="2:50">
      <c r="B29" s="483"/>
      <c r="C29" s="374">
        <v>3</v>
      </c>
      <c r="D29" s="257" t="s">
        <v>417</v>
      </c>
      <c r="E29" s="187">
        <v>20</v>
      </c>
      <c r="F29" s="374">
        <v>1500</v>
      </c>
      <c r="G29" s="375">
        <v>75</v>
      </c>
      <c r="H29" s="508"/>
      <c r="I29" s="219">
        <f t="shared" si="15"/>
        <v>18</v>
      </c>
      <c r="J29" s="219">
        <f t="shared" si="16"/>
        <v>1286.1599679502906</v>
      </c>
      <c r="K29" s="220">
        <f t="shared" si="17"/>
        <v>71.453331552793912</v>
      </c>
      <c r="L29" s="457"/>
      <c r="M29" s="221">
        <f>RANK(K29, K$27:$K$41)</f>
        <v>4</v>
      </c>
      <c r="N29" s="475"/>
      <c r="O29" s="475"/>
      <c r="P29" s="374">
        <v>18</v>
      </c>
      <c r="Q29" s="187">
        <v>1283.1081081081079</v>
      </c>
      <c r="R29" s="375">
        <v>71.283783783783775</v>
      </c>
      <c r="S29" s="374">
        <f t="shared" si="8"/>
        <v>5</v>
      </c>
      <c r="T29" s="485"/>
      <c r="U29" s="374">
        <v>18</v>
      </c>
      <c r="V29" s="187">
        <v>1311.1888111888106</v>
      </c>
      <c r="W29" s="375">
        <v>72.843822843822807</v>
      </c>
      <c r="X29" s="374">
        <f t="shared" si="9"/>
        <v>4</v>
      </c>
      <c r="Y29" s="485"/>
      <c r="Z29" s="374">
        <v>18</v>
      </c>
      <c r="AA29" s="187">
        <v>1301.7777777777778</v>
      </c>
      <c r="AB29" s="375">
        <v>72.320987654320987</v>
      </c>
      <c r="AC29" s="374">
        <f t="shared" si="10"/>
        <v>4</v>
      </c>
      <c r="AD29" s="485"/>
      <c r="AE29" s="374">
        <v>18</v>
      </c>
      <c r="AF29" s="187">
        <v>1260.5128205128208</v>
      </c>
      <c r="AG29" s="375">
        <v>70.02849002849004</v>
      </c>
      <c r="AH29" s="374">
        <f t="shared" si="11"/>
        <v>4</v>
      </c>
      <c r="AI29" s="485"/>
      <c r="AJ29" s="374">
        <v>18</v>
      </c>
      <c r="AK29" s="187">
        <v>1279.5000000000005</v>
      </c>
      <c r="AL29" s="375">
        <v>71.083333333333357</v>
      </c>
      <c r="AM29" s="374">
        <f t="shared" si="12"/>
        <v>4</v>
      </c>
      <c r="AN29" s="485"/>
      <c r="AO29" s="374">
        <v>18</v>
      </c>
      <c r="AP29" s="187">
        <v>1289.9999999999998</v>
      </c>
      <c r="AQ29" s="375">
        <v>71.666666666666657</v>
      </c>
      <c r="AR29" s="374">
        <f t="shared" si="13"/>
        <v>4</v>
      </c>
      <c r="AS29" s="485"/>
      <c r="AT29" s="374">
        <v>18</v>
      </c>
      <c r="AU29" s="187">
        <v>1277.0322580645161</v>
      </c>
      <c r="AV29" s="375">
        <v>70.946236559139777</v>
      </c>
      <c r="AW29" s="374">
        <f t="shared" si="14"/>
        <v>4</v>
      </c>
      <c r="AX29" s="485"/>
    </row>
    <row r="30" spans="2:50">
      <c r="B30" s="483"/>
      <c r="C30" s="374">
        <v>4</v>
      </c>
      <c r="D30" s="257" t="s">
        <v>503</v>
      </c>
      <c r="E30" s="187">
        <v>19</v>
      </c>
      <c r="F30" s="374">
        <v>1440</v>
      </c>
      <c r="G30" s="375">
        <v>75.78947368421052</v>
      </c>
      <c r="H30" s="508"/>
      <c r="I30" s="219">
        <f t="shared" si="15"/>
        <v>20</v>
      </c>
      <c r="J30" s="219">
        <f t="shared" si="16"/>
        <v>1087.1692589683164</v>
      </c>
      <c r="K30" s="220">
        <f t="shared" si="17"/>
        <v>54.358462948415827</v>
      </c>
      <c r="L30" s="457"/>
      <c r="M30" s="221">
        <f>RANK(K30, K$27:$K$41)</f>
        <v>6</v>
      </c>
      <c r="N30" s="475"/>
      <c r="O30" s="475"/>
      <c r="P30" s="374">
        <v>20</v>
      </c>
      <c r="Q30" s="187">
        <v>1092.8000000000004</v>
      </c>
      <c r="R30" s="375">
        <v>54.640000000000022</v>
      </c>
      <c r="S30" s="374">
        <f t="shared" si="8"/>
        <v>6</v>
      </c>
      <c r="T30" s="485"/>
      <c r="U30" s="374">
        <v>20</v>
      </c>
      <c r="V30" s="187">
        <v>1061.8421052631581</v>
      </c>
      <c r="W30" s="375">
        <v>53.092105263157904</v>
      </c>
      <c r="X30" s="374">
        <f t="shared" si="9"/>
        <v>6</v>
      </c>
      <c r="Y30" s="485"/>
      <c r="Z30" s="374">
        <v>20</v>
      </c>
      <c r="AA30" s="187">
        <v>1106.8656716417911</v>
      </c>
      <c r="AB30" s="375">
        <v>55.343283582089555</v>
      </c>
      <c r="AC30" s="374">
        <f t="shared" si="10"/>
        <v>6</v>
      </c>
      <c r="AD30" s="485"/>
      <c r="AE30" s="374"/>
      <c r="AF30" s="187"/>
      <c r="AG30" s="375"/>
      <c r="AH30" s="374" t="e">
        <f t="shared" si="11"/>
        <v>#N/A</v>
      </c>
      <c r="AI30" s="485"/>
      <c r="AJ30" s="374"/>
      <c r="AK30" s="187"/>
      <c r="AL30" s="375"/>
      <c r="AM30" s="374" t="e">
        <f t="shared" si="12"/>
        <v>#N/A</v>
      </c>
      <c r="AN30" s="485"/>
      <c r="AO30" s="374" t="s">
        <v>807</v>
      </c>
      <c r="AP30" s="187" t="s">
        <v>807</v>
      </c>
      <c r="AQ30" s="375" t="s">
        <v>807</v>
      </c>
      <c r="AR30" s="374" t="e">
        <f t="shared" si="13"/>
        <v>#VALUE!</v>
      </c>
      <c r="AS30" s="485"/>
      <c r="AT30" s="374"/>
      <c r="AU30" s="187"/>
      <c r="AV30" s="375"/>
      <c r="AW30" s="374" t="e">
        <f t="shared" si="14"/>
        <v>#N/A</v>
      </c>
      <c r="AX30" s="485"/>
    </row>
    <row r="31" spans="2:50">
      <c r="B31" s="483"/>
      <c r="C31" s="374">
        <v>5</v>
      </c>
      <c r="D31" s="257" t="s">
        <v>504</v>
      </c>
      <c r="E31" s="187">
        <v>18</v>
      </c>
      <c r="F31" s="374">
        <v>1440</v>
      </c>
      <c r="G31" s="375">
        <v>80</v>
      </c>
      <c r="H31" s="508"/>
      <c r="I31" s="219">
        <f t="shared" si="15"/>
        <v>18</v>
      </c>
      <c r="J31" s="219">
        <f t="shared" si="16"/>
        <v>1272.3919411983111</v>
      </c>
      <c r="K31" s="220">
        <f t="shared" si="17"/>
        <v>70.688441177683941</v>
      </c>
      <c r="L31" s="457"/>
      <c r="M31" s="221">
        <f>RANK(K31, K$27:$K$41)</f>
        <v>5</v>
      </c>
      <c r="N31" s="475"/>
      <c r="O31" s="475"/>
      <c r="P31" s="374">
        <v>18</v>
      </c>
      <c r="Q31" s="187">
        <v>1317.4468085106384</v>
      </c>
      <c r="R31" s="375">
        <v>73.191489361702139</v>
      </c>
      <c r="S31" s="374">
        <f t="shared" si="8"/>
        <v>4</v>
      </c>
      <c r="T31" s="485"/>
      <c r="U31" s="374">
        <v>18</v>
      </c>
      <c r="V31" s="187">
        <v>1276.5957446808513</v>
      </c>
      <c r="W31" s="375">
        <v>70.921985815602852</v>
      </c>
      <c r="X31" s="374">
        <f t="shared" si="9"/>
        <v>5</v>
      </c>
      <c r="Y31" s="485"/>
      <c r="Z31" s="374">
        <v>18</v>
      </c>
      <c r="AA31" s="187">
        <v>1262.1428571428582</v>
      </c>
      <c r="AB31" s="375">
        <v>70.119047619047677</v>
      </c>
      <c r="AC31" s="374">
        <f t="shared" si="10"/>
        <v>5</v>
      </c>
      <c r="AD31" s="485"/>
      <c r="AE31" s="374">
        <v>18</v>
      </c>
      <c r="AF31" s="187">
        <v>1254.2857142857138</v>
      </c>
      <c r="AG31" s="375">
        <v>69.682539682539655</v>
      </c>
      <c r="AH31" s="374">
        <f t="shared" si="11"/>
        <v>5</v>
      </c>
      <c r="AI31" s="485"/>
      <c r="AJ31" s="374">
        <v>18</v>
      </c>
      <c r="AK31" s="187">
        <v>1269.3333333333333</v>
      </c>
      <c r="AL31" s="375">
        <v>70.518518518518519</v>
      </c>
      <c r="AM31" s="374">
        <f t="shared" si="12"/>
        <v>5</v>
      </c>
      <c r="AN31" s="485"/>
      <c r="AO31" s="374">
        <v>18</v>
      </c>
      <c r="AP31" s="187">
        <v>1255.2000000000003</v>
      </c>
      <c r="AQ31" s="375">
        <v>69.733333333333348</v>
      </c>
      <c r="AR31" s="374">
        <f t="shared" si="13"/>
        <v>5</v>
      </c>
      <c r="AS31" s="485"/>
      <c r="AT31" s="374">
        <v>18</v>
      </c>
      <c r="AU31" s="187">
        <v>1271.7391304347825</v>
      </c>
      <c r="AV31" s="375">
        <v>70.65217391304347</v>
      </c>
      <c r="AW31" s="374">
        <f t="shared" si="14"/>
        <v>5</v>
      </c>
      <c r="AX31" s="485"/>
    </row>
    <row r="32" spans="2:50">
      <c r="B32" s="483"/>
      <c r="C32" s="374">
        <v>6</v>
      </c>
      <c r="D32" s="257" t="s">
        <v>694</v>
      </c>
      <c r="E32" s="187">
        <v>7</v>
      </c>
      <c r="F32" s="374">
        <v>1500</v>
      </c>
      <c r="G32" s="375">
        <v>214.28571428571428</v>
      </c>
      <c r="H32" s="508"/>
      <c r="I32" s="219">
        <f t="shared" si="15"/>
        <v>6.7142857142857144</v>
      </c>
      <c r="J32" s="219">
        <f t="shared" si="16"/>
        <v>1295.3900332798025</v>
      </c>
      <c r="K32" s="220">
        <f t="shared" si="17"/>
        <v>193.87245410524449</v>
      </c>
      <c r="L32" s="457"/>
      <c r="M32" s="221">
        <f>RANK(K32, K$27:$K$41)</f>
        <v>1</v>
      </c>
      <c r="N32" s="475"/>
      <c r="O32" s="475"/>
      <c r="P32" s="374">
        <v>7</v>
      </c>
      <c r="Q32" s="374">
        <v>1298.0838323353294</v>
      </c>
      <c r="R32" s="374">
        <v>185.44054747647561</v>
      </c>
      <c r="S32" s="374">
        <f t="shared" si="8"/>
        <v>1</v>
      </c>
      <c r="T32" s="485"/>
      <c r="U32" s="374">
        <v>7</v>
      </c>
      <c r="V32" s="187">
        <v>1295.5029585798816</v>
      </c>
      <c r="W32" s="375">
        <v>185.07185122569737</v>
      </c>
      <c r="X32" s="374">
        <f t="shared" si="9"/>
        <v>1</v>
      </c>
      <c r="Y32" s="485"/>
      <c r="Z32" s="374">
        <v>7</v>
      </c>
      <c r="AA32" s="187">
        <v>1292.0610687022902</v>
      </c>
      <c r="AB32" s="375">
        <v>184.58015267175574</v>
      </c>
      <c r="AC32" s="374">
        <f t="shared" si="10"/>
        <v>2</v>
      </c>
      <c r="AD32" s="485"/>
      <c r="AE32" s="374">
        <v>7</v>
      </c>
      <c r="AF32" s="187">
        <v>1293.9622641509434</v>
      </c>
      <c r="AG32" s="375">
        <v>184.85175202156333</v>
      </c>
      <c r="AH32" s="374">
        <f t="shared" si="11"/>
        <v>1</v>
      </c>
      <c r="AI32" s="485"/>
      <c r="AJ32" s="374">
        <v>7</v>
      </c>
      <c r="AK32" s="187">
        <v>1296</v>
      </c>
      <c r="AL32" s="375">
        <v>185.14285714285714</v>
      </c>
      <c r="AM32" s="374">
        <f t="shared" si="12"/>
        <v>2</v>
      </c>
      <c r="AN32" s="485"/>
      <c r="AO32" s="374">
        <v>6</v>
      </c>
      <c r="AP32" s="187">
        <v>1294.2857142857144</v>
      </c>
      <c r="AQ32" s="375">
        <v>215.71428571428575</v>
      </c>
      <c r="AR32" s="374">
        <f t="shared" si="13"/>
        <v>1</v>
      </c>
      <c r="AS32" s="485"/>
      <c r="AT32" s="374">
        <v>6</v>
      </c>
      <c r="AU32" s="187">
        <v>1297.8343949044588</v>
      </c>
      <c r="AV32" s="375">
        <v>216.30573248407646</v>
      </c>
      <c r="AW32" s="374">
        <f t="shared" si="14"/>
        <v>2</v>
      </c>
      <c r="AX32" s="485"/>
    </row>
    <row r="33" spans="2:50">
      <c r="B33" s="483"/>
      <c r="C33" s="374">
        <v>7</v>
      </c>
      <c r="D33" s="257"/>
      <c r="E33" s="187"/>
      <c r="F33" s="374"/>
      <c r="G33" s="375"/>
      <c r="H33" s="508"/>
      <c r="I33" s="219"/>
      <c r="J33" s="219"/>
      <c r="K33" s="220"/>
      <c r="L33" s="457"/>
      <c r="M33" s="221" t="e">
        <f>RANK(K33, K$27:$K$41)</f>
        <v>#N/A</v>
      </c>
      <c r="N33" s="475"/>
      <c r="O33" s="475"/>
      <c r="P33" s="374"/>
      <c r="Q33" s="374"/>
      <c r="R33" s="374"/>
      <c r="S33" s="374" t="e">
        <f t="shared" si="8"/>
        <v>#N/A</v>
      </c>
      <c r="T33" s="485"/>
      <c r="U33" s="374"/>
      <c r="V33" s="374"/>
      <c r="W33" s="374"/>
      <c r="X33" s="374" t="e">
        <f t="shared" si="9"/>
        <v>#N/A</v>
      </c>
      <c r="Y33" s="485"/>
      <c r="Z33" s="374"/>
      <c r="AA33" s="374"/>
      <c r="AB33" s="374"/>
      <c r="AC33" s="374" t="e">
        <f t="shared" si="10"/>
        <v>#N/A</v>
      </c>
      <c r="AD33" s="485"/>
      <c r="AE33" s="374"/>
      <c r="AF33" s="374"/>
      <c r="AG33" s="374"/>
      <c r="AH33" s="374" t="e">
        <f t="shared" si="11"/>
        <v>#N/A</v>
      </c>
      <c r="AI33" s="485"/>
      <c r="AJ33" s="374"/>
      <c r="AK33" s="374"/>
      <c r="AL33" s="374"/>
      <c r="AM33" s="374" t="e">
        <f t="shared" si="12"/>
        <v>#N/A</v>
      </c>
      <c r="AN33" s="485"/>
      <c r="AO33" s="374"/>
      <c r="AP33" s="374"/>
      <c r="AQ33" s="374"/>
      <c r="AR33" s="374" t="e">
        <f t="shared" si="13"/>
        <v>#N/A</v>
      </c>
      <c r="AS33" s="485"/>
      <c r="AT33" s="374"/>
      <c r="AU33" s="374"/>
      <c r="AV33" s="374"/>
      <c r="AW33" s="374" t="e">
        <f t="shared" si="14"/>
        <v>#N/A</v>
      </c>
      <c r="AX33" s="485"/>
    </row>
    <row r="34" spans="2:50">
      <c r="B34" s="483"/>
      <c r="C34" s="374">
        <v>8</v>
      </c>
      <c r="D34" s="257"/>
      <c r="E34" s="187"/>
      <c r="F34" s="374"/>
      <c r="G34" s="375"/>
      <c r="H34" s="508"/>
      <c r="I34" s="219"/>
      <c r="J34" s="219"/>
      <c r="K34" s="220"/>
      <c r="L34" s="457"/>
      <c r="M34" s="221" t="e">
        <f>RANK(K34, K$27:$K$41)</f>
        <v>#N/A</v>
      </c>
      <c r="N34" s="475"/>
      <c r="O34" s="475"/>
      <c r="P34" s="374"/>
      <c r="Q34" s="374"/>
      <c r="R34" s="374"/>
      <c r="S34" s="374" t="e">
        <f t="shared" si="8"/>
        <v>#N/A</v>
      </c>
      <c r="T34" s="485"/>
      <c r="U34" s="374"/>
      <c r="V34" s="374"/>
      <c r="W34" s="374"/>
      <c r="X34" s="374" t="e">
        <f t="shared" si="9"/>
        <v>#N/A</v>
      </c>
      <c r="Y34" s="485"/>
      <c r="Z34" s="374"/>
      <c r="AA34" s="374"/>
      <c r="AB34" s="374"/>
      <c r="AC34" s="374" t="e">
        <f t="shared" si="10"/>
        <v>#N/A</v>
      </c>
      <c r="AD34" s="485"/>
      <c r="AE34" s="374"/>
      <c r="AF34" s="374"/>
      <c r="AG34" s="374"/>
      <c r="AH34" s="374" t="e">
        <f t="shared" si="11"/>
        <v>#N/A</v>
      </c>
      <c r="AI34" s="485"/>
      <c r="AJ34" s="374"/>
      <c r="AK34" s="374"/>
      <c r="AL34" s="374"/>
      <c r="AM34" s="374" t="e">
        <f t="shared" si="12"/>
        <v>#N/A</v>
      </c>
      <c r="AN34" s="485"/>
      <c r="AO34" s="374"/>
      <c r="AP34" s="374"/>
      <c r="AQ34" s="374"/>
      <c r="AR34" s="374" t="e">
        <f t="shared" si="13"/>
        <v>#N/A</v>
      </c>
      <c r="AS34" s="485"/>
      <c r="AT34" s="374"/>
      <c r="AU34" s="374"/>
      <c r="AV34" s="374"/>
      <c r="AW34" s="374" t="e">
        <f t="shared" si="14"/>
        <v>#N/A</v>
      </c>
      <c r="AX34" s="485"/>
    </row>
    <row r="35" spans="2:50">
      <c r="B35" s="483"/>
      <c r="C35" s="374">
        <v>9</v>
      </c>
      <c r="D35" s="257"/>
      <c r="E35" s="187"/>
      <c r="F35" s="374"/>
      <c r="G35" s="375"/>
      <c r="H35" s="508"/>
      <c r="I35" s="219"/>
      <c r="J35" s="219"/>
      <c r="K35" s="220"/>
      <c r="L35" s="457"/>
      <c r="M35" s="221" t="e">
        <f>RANK(K35, K$27:$K$41)</f>
        <v>#N/A</v>
      </c>
      <c r="N35" s="475"/>
      <c r="O35" s="475"/>
      <c r="P35" s="374"/>
      <c r="Q35" s="374"/>
      <c r="R35" s="374"/>
      <c r="S35" s="374" t="e">
        <f t="shared" si="8"/>
        <v>#N/A</v>
      </c>
      <c r="T35" s="485"/>
      <c r="U35" s="374"/>
      <c r="V35" s="374"/>
      <c r="W35" s="374"/>
      <c r="X35" s="374" t="e">
        <f t="shared" si="9"/>
        <v>#N/A</v>
      </c>
      <c r="Y35" s="485"/>
      <c r="Z35" s="374"/>
      <c r="AA35" s="374"/>
      <c r="AB35" s="374"/>
      <c r="AC35" s="374" t="e">
        <f t="shared" si="10"/>
        <v>#N/A</v>
      </c>
      <c r="AD35" s="485"/>
      <c r="AE35" s="374"/>
      <c r="AF35" s="374"/>
      <c r="AG35" s="374"/>
      <c r="AH35" s="374" t="e">
        <f t="shared" si="11"/>
        <v>#N/A</v>
      </c>
      <c r="AI35" s="485"/>
      <c r="AJ35" s="374"/>
      <c r="AK35" s="374"/>
      <c r="AL35" s="374"/>
      <c r="AM35" s="374" t="e">
        <f t="shared" si="12"/>
        <v>#N/A</v>
      </c>
      <c r="AN35" s="485"/>
      <c r="AO35" s="374"/>
      <c r="AP35" s="374"/>
      <c r="AQ35" s="374"/>
      <c r="AR35" s="374" t="e">
        <f t="shared" si="13"/>
        <v>#N/A</v>
      </c>
      <c r="AS35" s="485"/>
      <c r="AT35" s="374"/>
      <c r="AU35" s="374"/>
      <c r="AV35" s="374"/>
      <c r="AW35" s="374" t="e">
        <f t="shared" si="14"/>
        <v>#N/A</v>
      </c>
      <c r="AX35" s="485"/>
    </row>
    <row r="36" spans="2:50">
      <c r="B36" s="483"/>
      <c r="C36" s="374">
        <v>10</v>
      </c>
      <c r="D36" s="257"/>
      <c r="E36" s="187"/>
      <c r="F36" s="374"/>
      <c r="G36" s="375"/>
      <c r="H36" s="508"/>
      <c r="I36" s="219"/>
      <c r="J36" s="219"/>
      <c r="K36" s="220"/>
      <c r="L36" s="457"/>
      <c r="M36" s="221" t="e">
        <f>RANK(K36, K$27:$K$41)</f>
        <v>#N/A</v>
      </c>
      <c r="N36" s="475"/>
      <c r="O36" s="475"/>
      <c r="P36" s="374"/>
      <c r="Q36" s="374"/>
      <c r="R36" s="374"/>
      <c r="S36" s="374" t="e">
        <f t="shared" si="8"/>
        <v>#N/A</v>
      </c>
      <c r="T36" s="485"/>
      <c r="U36" s="374"/>
      <c r="V36" s="374"/>
      <c r="W36" s="374"/>
      <c r="X36" s="374" t="e">
        <f t="shared" si="9"/>
        <v>#N/A</v>
      </c>
      <c r="Y36" s="485"/>
      <c r="Z36" s="374"/>
      <c r="AA36" s="374"/>
      <c r="AB36" s="374"/>
      <c r="AC36" s="374" t="e">
        <f t="shared" si="10"/>
        <v>#N/A</v>
      </c>
      <c r="AD36" s="485"/>
      <c r="AE36" s="374"/>
      <c r="AF36" s="374"/>
      <c r="AG36" s="374"/>
      <c r="AH36" s="374" t="e">
        <f t="shared" si="11"/>
        <v>#N/A</v>
      </c>
      <c r="AI36" s="485"/>
      <c r="AJ36" s="374"/>
      <c r="AK36" s="374"/>
      <c r="AL36" s="374"/>
      <c r="AM36" s="374" t="e">
        <f t="shared" si="12"/>
        <v>#N/A</v>
      </c>
      <c r="AN36" s="485"/>
      <c r="AO36" s="374"/>
      <c r="AP36" s="374"/>
      <c r="AQ36" s="374"/>
      <c r="AR36" s="374" t="e">
        <f t="shared" si="13"/>
        <v>#N/A</v>
      </c>
      <c r="AS36" s="485"/>
      <c r="AT36" s="374"/>
      <c r="AU36" s="374"/>
      <c r="AV36" s="374"/>
      <c r="AW36" s="374" t="e">
        <f t="shared" si="14"/>
        <v>#N/A</v>
      </c>
      <c r="AX36" s="485"/>
    </row>
    <row r="37" spans="2:50">
      <c r="B37" s="483"/>
      <c r="C37" s="374">
        <v>11</v>
      </c>
      <c r="D37" s="257"/>
      <c r="E37" s="187"/>
      <c r="F37" s="374"/>
      <c r="G37" s="375"/>
      <c r="H37" s="508"/>
      <c r="I37" s="219"/>
      <c r="J37" s="219"/>
      <c r="K37" s="220"/>
      <c r="L37" s="457"/>
      <c r="M37" s="221" t="e">
        <f>RANK(K37, K$27:$K$41)</f>
        <v>#N/A</v>
      </c>
      <c r="N37" s="475"/>
      <c r="O37" s="475"/>
      <c r="P37" s="374"/>
      <c r="Q37" s="374"/>
      <c r="R37" s="374"/>
      <c r="S37" s="374" t="e">
        <f t="shared" si="8"/>
        <v>#N/A</v>
      </c>
      <c r="T37" s="485"/>
      <c r="U37" s="374"/>
      <c r="V37" s="374"/>
      <c r="W37" s="374"/>
      <c r="X37" s="374" t="e">
        <f t="shared" si="9"/>
        <v>#N/A</v>
      </c>
      <c r="Y37" s="485"/>
      <c r="Z37" s="374"/>
      <c r="AA37" s="374"/>
      <c r="AB37" s="374"/>
      <c r="AC37" s="374" t="e">
        <f t="shared" si="10"/>
        <v>#N/A</v>
      </c>
      <c r="AD37" s="485"/>
      <c r="AE37" s="374"/>
      <c r="AF37" s="374"/>
      <c r="AG37" s="374"/>
      <c r="AH37" s="374" t="e">
        <f t="shared" si="11"/>
        <v>#N/A</v>
      </c>
      <c r="AI37" s="485"/>
      <c r="AJ37" s="374"/>
      <c r="AK37" s="374"/>
      <c r="AL37" s="374"/>
      <c r="AM37" s="374" t="e">
        <f t="shared" si="12"/>
        <v>#N/A</v>
      </c>
      <c r="AN37" s="485"/>
      <c r="AO37" s="374"/>
      <c r="AP37" s="374"/>
      <c r="AQ37" s="374"/>
      <c r="AR37" s="374" t="e">
        <f t="shared" si="13"/>
        <v>#N/A</v>
      </c>
      <c r="AS37" s="485"/>
      <c r="AT37" s="374"/>
      <c r="AU37" s="374"/>
      <c r="AV37" s="374"/>
      <c r="AW37" s="374" t="e">
        <f t="shared" si="14"/>
        <v>#N/A</v>
      </c>
      <c r="AX37" s="485"/>
    </row>
    <row r="38" spans="2:50">
      <c r="B38" s="483"/>
      <c r="C38" s="374">
        <v>12</v>
      </c>
      <c r="D38" s="257"/>
      <c r="E38" s="187"/>
      <c r="F38" s="374"/>
      <c r="G38" s="375"/>
      <c r="H38" s="508"/>
      <c r="I38" s="219"/>
      <c r="J38" s="219"/>
      <c r="K38" s="220"/>
      <c r="L38" s="457"/>
      <c r="M38" s="221" t="e">
        <f>RANK(K38, K$27:$K$41)</f>
        <v>#N/A</v>
      </c>
      <c r="N38" s="475"/>
      <c r="O38" s="475"/>
      <c r="P38" s="374"/>
      <c r="Q38" s="374"/>
      <c r="R38" s="374"/>
      <c r="S38" s="374" t="e">
        <f t="shared" si="8"/>
        <v>#N/A</v>
      </c>
      <c r="T38" s="485"/>
      <c r="U38" s="374"/>
      <c r="V38" s="374"/>
      <c r="W38" s="374"/>
      <c r="X38" s="374" t="e">
        <f t="shared" si="9"/>
        <v>#N/A</v>
      </c>
      <c r="Y38" s="485"/>
      <c r="Z38" s="374"/>
      <c r="AA38" s="374"/>
      <c r="AB38" s="374"/>
      <c r="AC38" s="374" t="e">
        <f t="shared" si="10"/>
        <v>#N/A</v>
      </c>
      <c r="AD38" s="485"/>
      <c r="AE38" s="374"/>
      <c r="AF38" s="374"/>
      <c r="AG38" s="374"/>
      <c r="AH38" s="374" t="e">
        <f t="shared" si="11"/>
        <v>#N/A</v>
      </c>
      <c r="AI38" s="485"/>
      <c r="AJ38" s="374"/>
      <c r="AK38" s="374"/>
      <c r="AL38" s="374"/>
      <c r="AM38" s="374" t="e">
        <f t="shared" si="12"/>
        <v>#N/A</v>
      </c>
      <c r="AN38" s="485"/>
      <c r="AO38" s="374"/>
      <c r="AP38" s="374"/>
      <c r="AQ38" s="374"/>
      <c r="AR38" s="374" t="e">
        <f t="shared" si="13"/>
        <v>#N/A</v>
      </c>
      <c r="AS38" s="485"/>
      <c r="AT38" s="374"/>
      <c r="AU38" s="374"/>
      <c r="AV38" s="374"/>
      <c r="AW38" s="374" t="e">
        <f t="shared" si="14"/>
        <v>#N/A</v>
      </c>
      <c r="AX38" s="485"/>
    </row>
    <row r="39" spans="2:50">
      <c r="B39" s="483"/>
      <c r="C39" s="374">
        <v>13</v>
      </c>
      <c r="D39" s="257"/>
      <c r="E39" s="187"/>
      <c r="F39" s="374"/>
      <c r="G39" s="375"/>
      <c r="H39" s="508"/>
      <c r="I39" s="219"/>
      <c r="J39" s="219"/>
      <c r="K39" s="220"/>
      <c r="L39" s="457"/>
      <c r="M39" s="221" t="e">
        <f>RANK(K39, K$27:$K$41)</f>
        <v>#N/A</v>
      </c>
      <c r="N39" s="475"/>
      <c r="O39" s="475"/>
      <c r="P39" s="374"/>
      <c r="Q39" s="374"/>
      <c r="R39" s="374"/>
      <c r="S39" s="374" t="e">
        <f t="shared" si="8"/>
        <v>#N/A</v>
      </c>
      <c r="T39" s="485"/>
      <c r="U39" s="374"/>
      <c r="V39" s="374"/>
      <c r="W39" s="374"/>
      <c r="X39" s="374" t="e">
        <f t="shared" si="9"/>
        <v>#N/A</v>
      </c>
      <c r="Y39" s="485"/>
      <c r="Z39" s="374"/>
      <c r="AA39" s="374"/>
      <c r="AB39" s="374"/>
      <c r="AC39" s="374" t="e">
        <f t="shared" si="10"/>
        <v>#N/A</v>
      </c>
      <c r="AD39" s="485"/>
      <c r="AE39" s="374"/>
      <c r="AF39" s="374"/>
      <c r="AG39" s="374"/>
      <c r="AH39" s="374" t="e">
        <f t="shared" si="11"/>
        <v>#N/A</v>
      </c>
      <c r="AI39" s="485"/>
      <c r="AJ39" s="374"/>
      <c r="AK39" s="374"/>
      <c r="AL39" s="374"/>
      <c r="AM39" s="374" t="e">
        <f t="shared" si="12"/>
        <v>#N/A</v>
      </c>
      <c r="AN39" s="485"/>
      <c r="AO39" s="374"/>
      <c r="AP39" s="374"/>
      <c r="AQ39" s="374"/>
      <c r="AR39" s="374" t="e">
        <f t="shared" si="13"/>
        <v>#N/A</v>
      </c>
      <c r="AS39" s="485"/>
      <c r="AT39" s="374"/>
      <c r="AU39" s="374"/>
      <c r="AV39" s="374"/>
      <c r="AW39" s="374" t="e">
        <f t="shared" si="14"/>
        <v>#N/A</v>
      </c>
      <c r="AX39" s="485"/>
    </row>
    <row r="40" spans="2:50">
      <c r="B40" s="483"/>
      <c r="C40" s="374">
        <v>14</v>
      </c>
      <c r="D40" s="257"/>
      <c r="E40" s="187"/>
      <c r="F40" s="374"/>
      <c r="G40" s="375"/>
      <c r="H40" s="508"/>
      <c r="I40" s="219"/>
      <c r="J40" s="219"/>
      <c r="K40" s="220"/>
      <c r="L40" s="457"/>
      <c r="M40" s="221" t="e">
        <f>RANK(K40, K$27:$K$41)</f>
        <v>#N/A</v>
      </c>
      <c r="N40" s="475"/>
      <c r="O40" s="475"/>
      <c r="P40" s="374"/>
      <c r="Q40" s="374"/>
      <c r="R40" s="374"/>
      <c r="S40" s="374" t="e">
        <f t="shared" si="8"/>
        <v>#N/A</v>
      </c>
      <c r="T40" s="485"/>
      <c r="U40" s="374"/>
      <c r="V40" s="374"/>
      <c r="W40" s="374"/>
      <c r="X40" s="374" t="e">
        <f t="shared" si="9"/>
        <v>#N/A</v>
      </c>
      <c r="Y40" s="485"/>
      <c r="Z40" s="374"/>
      <c r="AA40" s="374"/>
      <c r="AB40" s="374"/>
      <c r="AC40" s="374" t="e">
        <f t="shared" si="10"/>
        <v>#N/A</v>
      </c>
      <c r="AD40" s="485"/>
      <c r="AE40" s="374"/>
      <c r="AF40" s="374"/>
      <c r="AG40" s="374"/>
      <c r="AH40" s="374" t="e">
        <f t="shared" si="11"/>
        <v>#N/A</v>
      </c>
      <c r="AI40" s="485"/>
      <c r="AJ40" s="374"/>
      <c r="AK40" s="374"/>
      <c r="AL40" s="374"/>
      <c r="AM40" s="374" t="e">
        <f t="shared" si="12"/>
        <v>#N/A</v>
      </c>
      <c r="AN40" s="485"/>
      <c r="AO40" s="374"/>
      <c r="AP40" s="374"/>
      <c r="AQ40" s="374"/>
      <c r="AR40" s="374" t="e">
        <f t="shared" si="13"/>
        <v>#N/A</v>
      </c>
      <c r="AS40" s="485"/>
      <c r="AT40" s="374"/>
      <c r="AU40" s="374"/>
      <c r="AV40" s="374"/>
      <c r="AW40" s="374" t="e">
        <f t="shared" si="14"/>
        <v>#N/A</v>
      </c>
      <c r="AX40" s="485"/>
    </row>
    <row r="41" spans="2:50">
      <c r="B41" s="483"/>
      <c r="C41" s="374">
        <v>15</v>
      </c>
      <c r="D41" s="257"/>
      <c r="E41" s="187"/>
      <c r="F41" s="374"/>
      <c r="G41" s="375"/>
      <c r="H41" s="509"/>
      <c r="I41" s="219"/>
      <c r="J41" s="219"/>
      <c r="K41" s="220"/>
      <c r="L41" s="458"/>
      <c r="M41" s="219" t="e">
        <f>RANK(K41, K$27:$K$41)</f>
        <v>#N/A</v>
      </c>
      <c r="N41" s="475"/>
      <c r="O41" s="475"/>
      <c r="P41" s="374"/>
      <c r="Q41" s="374"/>
      <c r="R41" s="374"/>
      <c r="S41" s="374" t="e">
        <f t="shared" si="8"/>
        <v>#N/A</v>
      </c>
      <c r="T41" s="486"/>
      <c r="U41" s="374"/>
      <c r="V41" s="374"/>
      <c r="W41" s="374"/>
      <c r="X41" s="374" t="e">
        <f t="shared" si="9"/>
        <v>#N/A</v>
      </c>
      <c r="Y41" s="486"/>
      <c r="Z41" s="374"/>
      <c r="AA41" s="374"/>
      <c r="AB41" s="374"/>
      <c r="AC41" s="374" t="e">
        <f t="shared" si="10"/>
        <v>#N/A</v>
      </c>
      <c r="AD41" s="486"/>
      <c r="AE41" s="374"/>
      <c r="AF41" s="374"/>
      <c r="AG41" s="374"/>
      <c r="AH41" s="374" t="e">
        <f t="shared" si="11"/>
        <v>#N/A</v>
      </c>
      <c r="AI41" s="486"/>
      <c r="AJ41" s="374"/>
      <c r="AK41" s="374"/>
      <c r="AL41" s="374"/>
      <c r="AM41" s="374" t="e">
        <f t="shared" si="12"/>
        <v>#N/A</v>
      </c>
      <c r="AN41" s="486"/>
      <c r="AO41" s="374"/>
      <c r="AP41" s="374"/>
      <c r="AQ41" s="374"/>
      <c r="AR41" s="374" t="e">
        <f t="shared" si="13"/>
        <v>#N/A</v>
      </c>
      <c r="AS41" s="486"/>
      <c r="AT41" s="374"/>
      <c r="AU41" s="374"/>
      <c r="AV41" s="374"/>
      <c r="AW41" s="374" t="e">
        <f t="shared" si="14"/>
        <v>#N/A</v>
      </c>
      <c r="AX41" s="486"/>
    </row>
    <row r="42" spans="2:50" ht="15.75">
      <c r="B42" s="500" t="s">
        <v>172</v>
      </c>
      <c r="C42" s="501"/>
      <c r="D42" s="501"/>
      <c r="E42" s="501"/>
      <c r="F42" s="501"/>
      <c r="G42" s="501"/>
      <c r="H42" s="501"/>
      <c r="I42" s="228"/>
      <c r="J42" s="223"/>
      <c r="K42" s="228"/>
      <c r="L42" s="228"/>
      <c r="M42" s="224"/>
      <c r="N42" s="476" t="s">
        <v>164</v>
      </c>
      <c r="O42" s="476" t="s">
        <v>105</v>
      </c>
      <c r="P42" s="482">
        <f>P22+7</f>
        <v>45909</v>
      </c>
      <c r="Q42" s="483"/>
      <c r="R42" s="483"/>
      <c r="S42" s="483"/>
      <c r="T42" s="483"/>
      <c r="U42" s="479">
        <f>P42+1</f>
        <v>45910</v>
      </c>
      <c r="V42" s="480"/>
      <c r="W42" s="480"/>
      <c r="X42" s="480"/>
      <c r="Y42" s="481"/>
      <c r="Z42" s="479">
        <f>U42+1</f>
        <v>45911</v>
      </c>
      <c r="AA42" s="480"/>
      <c r="AB42" s="480"/>
      <c r="AC42" s="480"/>
      <c r="AD42" s="481"/>
      <c r="AE42" s="479">
        <f t="shared" ref="AE42" si="18">Z42+1</f>
        <v>45912</v>
      </c>
      <c r="AF42" s="480"/>
      <c r="AG42" s="480"/>
      <c r="AH42" s="480"/>
      <c r="AI42" s="481"/>
      <c r="AJ42" s="479">
        <f t="shared" ref="AJ42" si="19">AE42+1</f>
        <v>45913</v>
      </c>
      <c r="AK42" s="480"/>
      <c r="AL42" s="480"/>
      <c r="AM42" s="480"/>
      <c r="AN42" s="481"/>
      <c r="AO42" s="479">
        <f t="shared" ref="AO42" si="20">AJ42+1</f>
        <v>45914</v>
      </c>
      <c r="AP42" s="480"/>
      <c r="AQ42" s="480"/>
      <c r="AR42" s="480"/>
      <c r="AS42" s="481"/>
      <c r="AT42" s="479">
        <f t="shared" ref="AT42" si="21">AO42+1</f>
        <v>45915</v>
      </c>
      <c r="AU42" s="480"/>
      <c r="AV42" s="480"/>
      <c r="AW42" s="480"/>
      <c r="AX42" s="481"/>
    </row>
    <row r="43" spans="2:50" ht="15.75">
      <c r="B43" s="490"/>
      <c r="C43" s="490"/>
      <c r="D43" s="490"/>
      <c r="E43" s="490"/>
      <c r="F43" s="490"/>
      <c r="G43" s="490"/>
      <c r="H43" s="490"/>
      <c r="I43" s="225"/>
      <c r="J43" s="225"/>
      <c r="K43" s="225"/>
      <c r="L43" s="225"/>
      <c r="M43" s="226"/>
      <c r="N43" s="478"/>
      <c r="O43" s="478"/>
      <c r="P43" s="482" t="s">
        <v>393</v>
      </c>
      <c r="Q43" s="483"/>
      <c r="R43" s="483"/>
      <c r="S43" s="483"/>
      <c r="T43" s="483"/>
      <c r="U43" s="482" t="s">
        <v>394</v>
      </c>
      <c r="V43" s="483"/>
      <c r="W43" s="483"/>
      <c r="X43" s="483"/>
      <c r="Y43" s="483"/>
      <c r="Z43" s="482" t="s">
        <v>395</v>
      </c>
      <c r="AA43" s="483"/>
      <c r="AB43" s="483"/>
      <c r="AC43" s="483"/>
      <c r="AD43" s="483"/>
      <c r="AE43" s="482" t="s">
        <v>396</v>
      </c>
      <c r="AF43" s="483"/>
      <c r="AG43" s="483"/>
      <c r="AH43" s="483"/>
      <c r="AI43" s="483"/>
      <c r="AJ43" s="482" t="s">
        <v>397</v>
      </c>
      <c r="AK43" s="483"/>
      <c r="AL43" s="483"/>
      <c r="AM43" s="483"/>
      <c r="AN43" s="483"/>
      <c r="AO43" s="482" t="s">
        <v>398</v>
      </c>
      <c r="AP43" s="483"/>
      <c r="AQ43" s="483"/>
      <c r="AR43" s="483"/>
      <c r="AS43" s="483"/>
      <c r="AT43" s="482" t="s">
        <v>399</v>
      </c>
      <c r="AU43" s="483"/>
      <c r="AV43" s="483"/>
      <c r="AW43" s="483"/>
      <c r="AX43" s="483"/>
    </row>
    <row r="44" spans="2:50">
      <c r="B44" s="475" t="s">
        <v>726</v>
      </c>
      <c r="C44" s="475" t="s">
        <v>727</v>
      </c>
      <c r="D44" s="475"/>
      <c r="E44" s="475" t="s">
        <v>728</v>
      </c>
      <c r="F44" s="475"/>
      <c r="G44" s="475"/>
      <c r="H44" s="491" t="s">
        <v>729</v>
      </c>
      <c r="I44" s="459" t="s">
        <v>730</v>
      </c>
      <c r="J44" s="459"/>
      <c r="K44" s="459"/>
      <c r="L44" s="460" t="s">
        <v>729</v>
      </c>
      <c r="M44" s="466" t="s">
        <v>731</v>
      </c>
      <c r="N44" s="475"/>
      <c r="O44" s="475" t="s">
        <v>732</v>
      </c>
      <c r="P44" s="472" t="s">
        <v>733</v>
      </c>
      <c r="Q44" s="473"/>
      <c r="R44" s="473"/>
      <c r="S44" s="474"/>
      <c r="T44" s="475" t="s">
        <v>729</v>
      </c>
      <c r="U44" s="472" t="s">
        <v>733</v>
      </c>
      <c r="V44" s="473"/>
      <c r="W44" s="473"/>
      <c r="X44" s="474"/>
      <c r="Y44" s="475" t="s">
        <v>729</v>
      </c>
      <c r="Z44" s="472" t="s">
        <v>733</v>
      </c>
      <c r="AA44" s="473"/>
      <c r="AB44" s="473"/>
      <c r="AC44" s="474"/>
      <c r="AD44" s="475" t="s">
        <v>729</v>
      </c>
      <c r="AE44" s="472" t="s">
        <v>733</v>
      </c>
      <c r="AF44" s="473"/>
      <c r="AG44" s="473"/>
      <c r="AH44" s="474"/>
      <c r="AI44" s="475" t="s">
        <v>729</v>
      </c>
      <c r="AJ44" s="472" t="s">
        <v>733</v>
      </c>
      <c r="AK44" s="473"/>
      <c r="AL44" s="473"/>
      <c r="AM44" s="474"/>
      <c r="AN44" s="475" t="s">
        <v>729</v>
      </c>
      <c r="AO44" s="472" t="s">
        <v>733</v>
      </c>
      <c r="AP44" s="473"/>
      <c r="AQ44" s="473"/>
      <c r="AR44" s="474"/>
      <c r="AS44" s="475" t="s">
        <v>729</v>
      </c>
      <c r="AT44" s="472" t="s">
        <v>733</v>
      </c>
      <c r="AU44" s="473"/>
      <c r="AV44" s="473"/>
      <c r="AW44" s="474"/>
      <c r="AX44" s="475" t="s">
        <v>729</v>
      </c>
    </row>
    <row r="45" spans="2:50">
      <c r="B45" s="475"/>
      <c r="C45" s="475"/>
      <c r="D45" s="475"/>
      <c r="E45" s="475" t="s">
        <v>734</v>
      </c>
      <c r="F45" s="475"/>
      <c r="G45" s="475"/>
      <c r="H45" s="492"/>
      <c r="I45" s="459" t="s">
        <v>734</v>
      </c>
      <c r="J45" s="459"/>
      <c r="K45" s="459"/>
      <c r="L45" s="461"/>
      <c r="M45" s="467"/>
      <c r="N45" s="475"/>
      <c r="O45" s="475"/>
      <c r="P45" s="472" t="s">
        <v>735</v>
      </c>
      <c r="Q45" s="473"/>
      <c r="R45" s="473"/>
      <c r="S45" s="474"/>
      <c r="T45" s="475"/>
      <c r="U45" s="472" t="s">
        <v>735</v>
      </c>
      <c r="V45" s="473"/>
      <c r="W45" s="473"/>
      <c r="X45" s="474"/>
      <c r="Y45" s="475"/>
      <c r="Z45" s="472" t="s">
        <v>735</v>
      </c>
      <c r="AA45" s="473"/>
      <c r="AB45" s="473"/>
      <c r="AC45" s="474"/>
      <c r="AD45" s="475"/>
      <c r="AE45" s="472" t="s">
        <v>735</v>
      </c>
      <c r="AF45" s="473"/>
      <c r="AG45" s="473"/>
      <c r="AH45" s="474"/>
      <c r="AI45" s="475"/>
      <c r="AJ45" s="472" t="s">
        <v>735</v>
      </c>
      <c r="AK45" s="473"/>
      <c r="AL45" s="473"/>
      <c r="AM45" s="474"/>
      <c r="AN45" s="475"/>
      <c r="AO45" s="472" t="s">
        <v>735</v>
      </c>
      <c r="AP45" s="473"/>
      <c r="AQ45" s="473"/>
      <c r="AR45" s="474"/>
      <c r="AS45" s="475"/>
      <c r="AT45" s="472" t="s">
        <v>735</v>
      </c>
      <c r="AU45" s="473"/>
      <c r="AV45" s="473"/>
      <c r="AW45" s="474"/>
      <c r="AX45" s="475"/>
    </row>
    <row r="46" spans="2:50">
      <c r="B46" s="475"/>
      <c r="C46" s="475"/>
      <c r="D46" s="475"/>
      <c r="E46" s="350" t="s">
        <v>736</v>
      </c>
      <c r="F46" s="350" t="s">
        <v>737</v>
      </c>
      <c r="G46" s="350" t="s">
        <v>738</v>
      </c>
      <c r="H46" s="493"/>
      <c r="I46" s="349" t="s">
        <v>736</v>
      </c>
      <c r="J46" s="349" t="s">
        <v>737</v>
      </c>
      <c r="K46" s="349" t="s">
        <v>738</v>
      </c>
      <c r="L46" s="462"/>
      <c r="M46" s="468"/>
      <c r="N46" s="475"/>
      <c r="O46" s="475"/>
      <c r="P46" s="350" t="s">
        <v>736</v>
      </c>
      <c r="Q46" s="350" t="s">
        <v>737</v>
      </c>
      <c r="R46" s="350" t="s">
        <v>738</v>
      </c>
      <c r="S46" s="350" t="s">
        <v>731</v>
      </c>
      <c r="T46" s="475"/>
      <c r="U46" s="350" t="s">
        <v>736</v>
      </c>
      <c r="V46" s="350" t="s">
        <v>737</v>
      </c>
      <c r="W46" s="350" t="s">
        <v>738</v>
      </c>
      <c r="X46" s="350" t="s">
        <v>731</v>
      </c>
      <c r="Y46" s="475"/>
      <c r="Z46" s="350" t="s">
        <v>736</v>
      </c>
      <c r="AA46" s="350" t="s">
        <v>737</v>
      </c>
      <c r="AB46" s="350" t="s">
        <v>738</v>
      </c>
      <c r="AC46" s="350" t="s">
        <v>731</v>
      </c>
      <c r="AD46" s="475"/>
      <c r="AE46" s="350" t="s">
        <v>736</v>
      </c>
      <c r="AF46" s="350" t="s">
        <v>737</v>
      </c>
      <c r="AG46" s="350" t="s">
        <v>738</v>
      </c>
      <c r="AH46" s="350" t="s">
        <v>731</v>
      </c>
      <c r="AI46" s="475"/>
      <c r="AJ46" s="350" t="s">
        <v>736</v>
      </c>
      <c r="AK46" s="350" t="s">
        <v>737</v>
      </c>
      <c r="AL46" s="350" t="s">
        <v>738</v>
      </c>
      <c r="AM46" s="350" t="s">
        <v>731</v>
      </c>
      <c r="AN46" s="475"/>
      <c r="AO46" s="350" t="s">
        <v>736</v>
      </c>
      <c r="AP46" s="350" t="s">
        <v>737</v>
      </c>
      <c r="AQ46" s="350" t="s">
        <v>738</v>
      </c>
      <c r="AR46" s="350" t="s">
        <v>731</v>
      </c>
      <c r="AS46" s="475"/>
      <c r="AT46" s="350" t="s">
        <v>736</v>
      </c>
      <c r="AU46" s="350" t="s">
        <v>737</v>
      </c>
      <c r="AV46" s="350" t="s">
        <v>738</v>
      </c>
      <c r="AW46" s="350" t="s">
        <v>731</v>
      </c>
      <c r="AX46" s="475"/>
    </row>
    <row r="47" spans="2:50">
      <c r="B47" s="475" t="s">
        <v>740</v>
      </c>
      <c r="C47" s="351">
        <v>1</v>
      </c>
      <c r="D47" s="257"/>
      <c r="E47" s="187"/>
      <c r="F47" s="351"/>
      <c r="G47" s="354"/>
      <c r="H47" s="507" t="e">
        <f>AVERAGE(G47:G61)</f>
        <v>#DIV/0!</v>
      </c>
      <c r="I47" s="219" t="e">
        <f>AVERAGE(P47,U47,Z47,AE47,AJ47,AO47,AT47)</f>
        <v>#DIV/0!</v>
      </c>
      <c r="J47" s="219" t="e">
        <f>AVERAGE(Q47,V47,AA47,AF47,AK47,AP47,AU47)</f>
        <v>#DIV/0!</v>
      </c>
      <c r="K47" s="220" t="e">
        <f>AVERAGE(R47,W47,AB47,AG47,AL47,AQ47,AV47)</f>
        <v>#DIV/0!</v>
      </c>
      <c r="L47" s="456" t="str">
        <f>IFERROR(AVERAGE(K47:K61),"-")</f>
        <v>-</v>
      </c>
      <c r="M47" s="221" t="e">
        <f>RANK(K47, K$87:$K$101)</f>
        <v>#DIV/0!</v>
      </c>
      <c r="N47" s="475"/>
      <c r="O47" s="475"/>
      <c r="P47" s="351"/>
      <c r="Q47" s="187"/>
      <c r="R47" s="354"/>
      <c r="S47" s="351" t="e">
        <f>RANK(R47, R$87:R$101)</f>
        <v>#N/A</v>
      </c>
      <c r="T47" s="484" t="e">
        <f>AVERAGE(R47:R61)</f>
        <v>#DIV/0!</v>
      </c>
      <c r="U47" s="351"/>
      <c r="V47" s="187"/>
      <c r="W47" s="354"/>
      <c r="X47" s="351" t="e">
        <f>RANK(W47, W$87:W$101)</f>
        <v>#N/A</v>
      </c>
      <c r="Y47" s="484" t="e">
        <f>AVERAGE(W47:W61)</f>
        <v>#DIV/0!</v>
      </c>
      <c r="Z47" s="351"/>
      <c r="AA47" s="187"/>
      <c r="AB47" s="354"/>
      <c r="AC47" s="351" t="e">
        <f>RANK(AB47, AB$87:AB$101)</f>
        <v>#N/A</v>
      </c>
      <c r="AD47" s="484" t="e">
        <f>AVERAGE(AB47:AB61)</f>
        <v>#DIV/0!</v>
      </c>
      <c r="AE47" s="351"/>
      <c r="AF47" s="187"/>
      <c r="AG47" s="354"/>
      <c r="AH47" s="351" t="e">
        <f>RANK(AG47, AG$87:AG$101)</f>
        <v>#N/A</v>
      </c>
      <c r="AI47" s="484" t="e">
        <f>AVERAGE(AG47:AG61)</f>
        <v>#DIV/0!</v>
      </c>
      <c r="AJ47" s="351"/>
      <c r="AK47" s="187"/>
      <c r="AL47" s="354"/>
      <c r="AM47" s="351" t="e">
        <f>RANK(AL47, AL$87:AL$101)</f>
        <v>#N/A</v>
      </c>
      <c r="AN47" s="484" t="e">
        <f>AVERAGE(AL47:AL61)</f>
        <v>#DIV/0!</v>
      </c>
      <c r="AO47" s="351"/>
      <c r="AP47" s="187"/>
      <c r="AQ47" s="354"/>
      <c r="AR47" s="351" t="e">
        <f>RANK(AQ47, AQ$87:AQ$101)</f>
        <v>#N/A</v>
      </c>
      <c r="AS47" s="484" t="e">
        <f>AVERAGE(AQ47:AQ61)</f>
        <v>#DIV/0!</v>
      </c>
      <c r="AT47" s="351"/>
      <c r="AU47" s="187"/>
      <c r="AV47" s="354"/>
      <c r="AW47" s="351" t="e">
        <f>RANK(AV47, AV$87:AV$101)</f>
        <v>#N/A</v>
      </c>
      <c r="AX47" s="484" t="e">
        <f>AVERAGE(AV47:AV61)</f>
        <v>#DIV/0!</v>
      </c>
    </row>
    <row r="48" spans="2:50">
      <c r="B48" s="483"/>
      <c r="C48" s="351">
        <v>2</v>
      </c>
      <c r="D48" s="257"/>
      <c r="E48" s="187"/>
      <c r="F48" s="351"/>
      <c r="G48" s="354"/>
      <c r="H48" s="508"/>
      <c r="I48" s="219" t="e">
        <f t="shared" ref="I48:I52" si="22">AVERAGE(P48,U48,Z48,AE48,AJ48,AO48,AT48)</f>
        <v>#DIV/0!</v>
      </c>
      <c r="J48" s="219" t="e">
        <f t="shared" ref="J48:J52" si="23">AVERAGE(Q48,V48,AA48,AF48,AK48,AP48,AU48)</f>
        <v>#DIV/0!</v>
      </c>
      <c r="K48" s="220" t="e">
        <f t="shared" ref="K48:K52" si="24">AVERAGE(R48,W48,AB48,AG48,AL48,AQ48,AV48)</f>
        <v>#DIV/0!</v>
      </c>
      <c r="L48" s="457"/>
      <c r="M48" s="221" t="e">
        <f>RANK(K48, K$87:$K$101)</f>
        <v>#DIV/0!</v>
      </c>
      <c r="N48" s="475"/>
      <c r="O48" s="475"/>
      <c r="P48" s="351"/>
      <c r="Q48" s="187"/>
      <c r="R48" s="354"/>
      <c r="S48" s="351" t="e">
        <f t="shared" ref="S48:S61" si="25">RANK(R48, R$87:R$101)</f>
        <v>#N/A</v>
      </c>
      <c r="T48" s="485"/>
      <c r="U48" s="351"/>
      <c r="V48" s="187"/>
      <c r="W48" s="354"/>
      <c r="X48" s="351" t="e">
        <f t="shared" ref="X48:X61" si="26">RANK(W48, W$87:W$101)</f>
        <v>#N/A</v>
      </c>
      <c r="Y48" s="485"/>
      <c r="Z48" s="351"/>
      <c r="AA48" s="187"/>
      <c r="AB48" s="354"/>
      <c r="AC48" s="351" t="e">
        <f t="shared" ref="AC48:AC61" si="27">RANK(AB48, AB$87:AB$101)</f>
        <v>#N/A</v>
      </c>
      <c r="AD48" s="485"/>
      <c r="AE48" s="351"/>
      <c r="AF48" s="187"/>
      <c r="AG48" s="354"/>
      <c r="AH48" s="351" t="e">
        <f t="shared" ref="AH48:AH61" si="28">RANK(AG48, AG$87:AG$101)</f>
        <v>#N/A</v>
      </c>
      <c r="AI48" s="485"/>
      <c r="AJ48" s="351"/>
      <c r="AK48" s="187"/>
      <c r="AL48" s="354"/>
      <c r="AM48" s="351" t="e">
        <f t="shared" ref="AM48:AM61" si="29">RANK(AL48, AL$87:AL$101)</f>
        <v>#N/A</v>
      </c>
      <c r="AN48" s="485"/>
      <c r="AO48" s="351"/>
      <c r="AP48" s="187"/>
      <c r="AQ48" s="354"/>
      <c r="AR48" s="351" t="e">
        <f t="shared" ref="AR48:AR61" si="30">RANK(AQ48, AQ$87:AQ$101)</f>
        <v>#N/A</v>
      </c>
      <c r="AS48" s="485"/>
      <c r="AT48" s="351"/>
      <c r="AU48" s="187"/>
      <c r="AV48" s="354"/>
      <c r="AW48" s="351" t="e">
        <f t="shared" ref="AW48:AW61" si="31">RANK(AV48, AV$87:AV$101)</f>
        <v>#N/A</v>
      </c>
      <c r="AX48" s="485"/>
    </row>
    <row r="49" spans="2:50">
      <c r="B49" s="483"/>
      <c r="C49" s="351">
        <v>3</v>
      </c>
      <c r="D49" s="257"/>
      <c r="E49" s="187"/>
      <c r="F49" s="351"/>
      <c r="G49" s="354"/>
      <c r="H49" s="508"/>
      <c r="I49" s="219" t="e">
        <f t="shared" si="22"/>
        <v>#DIV/0!</v>
      </c>
      <c r="J49" s="219" t="e">
        <f t="shared" si="23"/>
        <v>#DIV/0!</v>
      </c>
      <c r="K49" s="220" t="e">
        <f t="shared" si="24"/>
        <v>#DIV/0!</v>
      </c>
      <c r="L49" s="457"/>
      <c r="M49" s="221" t="e">
        <f>RANK(K49, K$87:$K$101)</f>
        <v>#DIV/0!</v>
      </c>
      <c r="N49" s="475"/>
      <c r="O49" s="475"/>
      <c r="P49" s="351"/>
      <c r="Q49" s="187"/>
      <c r="R49" s="354"/>
      <c r="S49" s="351" t="e">
        <f t="shared" si="25"/>
        <v>#N/A</v>
      </c>
      <c r="T49" s="485"/>
      <c r="U49" s="351"/>
      <c r="V49" s="187"/>
      <c r="W49" s="354"/>
      <c r="X49" s="351" t="e">
        <f t="shared" si="26"/>
        <v>#N/A</v>
      </c>
      <c r="Y49" s="485"/>
      <c r="Z49" s="351"/>
      <c r="AA49" s="187"/>
      <c r="AB49" s="354"/>
      <c r="AC49" s="351" t="e">
        <f t="shared" si="27"/>
        <v>#N/A</v>
      </c>
      <c r="AD49" s="485"/>
      <c r="AE49" s="351"/>
      <c r="AF49" s="187"/>
      <c r="AG49" s="354"/>
      <c r="AH49" s="351" t="e">
        <f t="shared" si="28"/>
        <v>#N/A</v>
      </c>
      <c r="AI49" s="485"/>
      <c r="AJ49" s="351"/>
      <c r="AK49" s="187"/>
      <c r="AL49" s="354"/>
      <c r="AM49" s="351" t="e">
        <f t="shared" si="29"/>
        <v>#N/A</v>
      </c>
      <c r="AN49" s="485"/>
      <c r="AO49" s="351"/>
      <c r="AP49" s="187"/>
      <c r="AQ49" s="354"/>
      <c r="AR49" s="351" t="e">
        <f t="shared" si="30"/>
        <v>#N/A</v>
      </c>
      <c r="AS49" s="485"/>
      <c r="AT49" s="351"/>
      <c r="AU49" s="187"/>
      <c r="AV49" s="354"/>
      <c r="AW49" s="351" t="e">
        <f t="shared" si="31"/>
        <v>#N/A</v>
      </c>
      <c r="AX49" s="485"/>
    </row>
    <row r="50" spans="2:50">
      <c r="B50" s="483"/>
      <c r="C50" s="351">
        <v>4</v>
      </c>
      <c r="D50" s="257"/>
      <c r="E50" s="187"/>
      <c r="F50" s="351"/>
      <c r="G50" s="354"/>
      <c r="H50" s="508"/>
      <c r="I50" s="219" t="e">
        <f t="shared" si="22"/>
        <v>#DIV/0!</v>
      </c>
      <c r="J50" s="219" t="e">
        <f t="shared" si="23"/>
        <v>#DIV/0!</v>
      </c>
      <c r="K50" s="220" t="e">
        <f t="shared" si="24"/>
        <v>#DIV/0!</v>
      </c>
      <c r="L50" s="457"/>
      <c r="M50" s="221" t="e">
        <f>RANK(K50, K$87:$K$101)</f>
        <v>#DIV/0!</v>
      </c>
      <c r="N50" s="475"/>
      <c r="O50" s="475"/>
      <c r="P50" s="351"/>
      <c r="Q50" s="187"/>
      <c r="R50" s="354"/>
      <c r="S50" s="351" t="e">
        <f t="shared" si="25"/>
        <v>#N/A</v>
      </c>
      <c r="T50" s="485"/>
      <c r="U50" s="351"/>
      <c r="V50" s="187"/>
      <c r="W50" s="354"/>
      <c r="X50" s="351" t="e">
        <f t="shared" si="26"/>
        <v>#N/A</v>
      </c>
      <c r="Y50" s="485"/>
      <c r="Z50" s="351"/>
      <c r="AA50" s="187"/>
      <c r="AB50" s="354"/>
      <c r="AC50" s="351" t="e">
        <f t="shared" si="27"/>
        <v>#N/A</v>
      </c>
      <c r="AD50" s="485"/>
      <c r="AE50" s="351"/>
      <c r="AF50" s="187"/>
      <c r="AG50" s="354"/>
      <c r="AH50" s="351" t="e">
        <f t="shared" si="28"/>
        <v>#N/A</v>
      </c>
      <c r="AI50" s="485"/>
      <c r="AJ50" s="351"/>
      <c r="AK50" s="187"/>
      <c r="AL50" s="354"/>
      <c r="AM50" s="351" t="e">
        <f t="shared" si="29"/>
        <v>#N/A</v>
      </c>
      <c r="AN50" s="485"/>
      <c r="AO50" s="351"/>
      <c r="AP50" s="187"/>
      <c r="AQ50" s="354"/>
      <c r="AR50" s="351" t="e">
        <f t="shared" si="30"/>
        <v>#N/A</v>
      </c>
      <c r="AS50" s="485"/>
      <c r="AT50" s="351"/>
      <c r="AU50" s="187"/>
      <c r="AV50" s="354"/>
      <c r="AW50" s="351" t="e">
        <f t="shared" si="31"/>
        <v>#N/A</v>
      </c>
      <c r="AX50" s="485"/>
    </row>
    <row r="51" spans="2:50">
      <c r="B51" s="483"/>
      <c r="C51" s="351">
        <v>5</v>
      </c>
      <c r="D51" s="257"/>
      <c r="E51" s="187"/>
      <c r="F51" s="351"/>
      <c r="G51" s="354"/>
      <c r="H51" s="508"/>
      <c r="I51" s="219" t="e">
        <f t="shared" si="22"/>
        <v>#DIV/0!</v>
      </c>
      <c r="J51" s="219" t="e">
        <f t="shared" si="23"/>
        <v>#DIV/0!</v>
      </c>
      <c r="K51" s="220" t="e">
        <f t="shared" si="24"/>
        <v>#DIV/0!</v>
      </c>
      <c r="L51" s="457"/>
      <c r="M51" s="221" t="e">
        <f>RANK(K51, K$87:$K$101)</f>
        <v>#DIV/0!</v>
      </c>
      <c r="N51" s="475"/>
      <c r="O51" s="475"/>
      <c r="P51" s="351"/>
      <c r="Q51" s="187"/>
      <c r="R51" s="354"/>
      <c r="S51" s="351" t="e">
        <f t="shared" si="25"/>
        <v>#N/A</v>
      </c>
      <c r="T51" s="485"/>
      <c r="U51" s="351"/>
      <c r="V51" s="187"/>
      <c r="W51" s="354"/>
      <c r="X51" s="351" t="e">
        <f t="shared" si="26"/>
        <v>#N/A</v>
      </c>
      <c r="Y51" s="485"/>
      <c r="Z51" s="351"/>
      <c r="AA51" s="187"/>
      <c r="AB51" s="354"/>
      <c r="AC51" s="351" t="e">
        <f t="shared" si="27"/>
        <v>#N/A</v>
      </c>
      <c r="AD51" s="485"/>
      <c r="AE51" s="351"/>
      <c r="AF51" s="187"/>
      <c r="AG51" s="354"/>
      <c r="AH51" s="351" t="e">
        <f t="shared" si="28"/>
        <v>#N/A</v>
      </c>
      <c r="AI51" s="485"/>
      <c r="AJ51" s="351"/>
      <c r="AK51" s="187"/>
      <c r="AL51" s="354"/>
      <c r="AM51" s="351" t="e">
        <f t="shared" si="29"/>
        <v>#N/A</v>
      </c>
      <c r="AN51" s="485"/>
      <c r="AO51" s="351"/>
      <c r="AP51" s="187"/>
      <c r="AQ51" s="354"/>
      <c r="AR51" s="351" t="e">
        <f t="shared" si="30"/>
        <v>#N/A</v>
      </c>
      <c r="AS51" s="485"/>
      <c r="AT51" s="351"/>
      <c r="AU51" s="187"/>
      <c r="AV51" s="354"/>
      <c r="AW51" s="351" t="e">
        <f t="shared" si="31"/>
        <v>#N/A</v>
      </c>
      <c r="AX51" s="485"/>
    </row>
    <row r="52" spans="2:50">
      <c r="B52" s="483"/>
      <c r="C52" s="351">
        <v>6</v>
      </c>
      <c r="D52" s="257"/>
      <c r="E52" s="187"/>
      <c r="F52" s="351"/>
      <c r="G52" s="354"/>
      <c r="H52" s="508"/>
      <c r="I52" s="219" t="e">
        <f t="shared" si="22"/>
        <v>#DIV/0!</v>
      </c>
      <c r="J52" s="219" t="e">
        <f t="shared" si="23"/>
        <v>#DIV/0!</v>
      </c>
      <c r="K52" s="220" t="e">
        <f t="shared" si="24"/>
        <v>#DIV/0!</v>
      </c>
      <c r="L52" s="457"/>
      <c r="M52" s="221" t="e">
        <f>RANK(K52, K$87:$K$101)</f>
        <v>#DIV/0!</v>
      </c>
      <c r="N52" s="475"/>
      <c r="O52" s="475"/>
      <c r="P52" s="351"/>
      <c r="Q52" s="351"/>
      <c r="R52" s="351"/>
      <c r="S52" s="351" t="e">
        <f t="shared" si="25"/>
        <v>#N/A</v>
      </c>
      <c r="T52" s="485"/>
      <c r="U52" s="351"/>
      <c r="V52" s="351"/>
      <c r="W52" s="351"/>
      <c r="X52" s="351" t="e">
        <f t="shared" si="26"/>
        <v>#N/A</v>
      </c>
      <c r="Y52" s="485"/>
      <c r="Z52" s="351"/>
      <c r="AA52" s="351"/>
      <c r="AB52" s="351"/>
      <c r="AC52" s="351" t="e">
        <f t="shared" si="27"/>
        <v>#N/A</v>
      </c>
      <c r="AD52" s="485"/>
      <c r="AE52" s="351"/>
      <c r="AF52" s="351"/>
      <c r="AG52" s="351"/>
      <c r="AH52" s="351" t="e">
        <f t="shared" si="28"/>
        <v>#N/A</v>
      </c>
      <c r="AI52" s="485"/>
      <c r="AJ52" s="351"/>
      <c r="AK52" s="351"/>
      <c r="AL52" s="351"/>
      <c r="AM52" s="351" t="e">
        <f t="shared" si="29"/>
        <v>#N/A</v>
      </c>
      <c r="AN52" s="485"/>
      <c r="AO52" s="351"/>
      <c r="AP52" s="351"/>
      <c r="AQ52" s="351"/>
      <c r="AR52" s="351" t="e">
        <f t="shared" si="30"/>
        <v>#N/A</v>
      </c>
      <c r="AS52" s="485"/>
      <c r="AT52" s="351"/>
      <c r="AU52" s="187"/>
      <c r="AV52" s="354"/>
      <c r="AW52" s="351" t="e">
        <f t="shared" si="31"/>
        <v>#N/A</v>
      </c>
      <c r="AX52" s="485"/>
    </row>
    <row r="53" spans="2:50">
      <c r="B53" s="483"/>
      <c r="C53" s="351">
        <v>7</v>
      </c>
      <c r="D53" s="257"/>
      <c r="E53" s="187"/>
      <c r="F53" s="351"/>
      <c r="G53" s="354"/>
      <c r="H53" s="508"/>
      <c r="I53" s="219"/>
      <c r="J53" s="219"/>
      <c r="K53" s="220"/>
      <c r="L53" s="457"/>
      <c r="M53" s="221" t="e">
        <f>RANK(K53, K$87:$K$101)</f>
        <v>#DIV/0!</v>
      </c>
      <c r="N53" s="475"/>
      <c r="O53" s="475"/>
      <c r="P53" s="351"/>
      <c r="Q53" s="351"/>
      <c r="R53" s="351"/>
      <c r="S53" s="351" t="e">
        <f t="shared" si="25"/>
        <v>#N/A</v>
      </c>
      <c r="T53" s="485"/>
      <c r="U53" s="351"/>
      <c r="V53" s="351"/>
      <c r="W53" s="351"/>
      <c r="X53" s="351" t="e">
        <f t="shared" si="26"/>
        <v>#N/A</v>
      </c>
      <c r="Y53" s="485"/>
      <c r="Z53" s="351"/>
      <c r="AA53" s="351"/>
      <c r="AB53" s="351"/>
      <c r="AC53" s="351" t="e">
        <f t="shared" si="27"/>
        <v>#N/A</v>
      </c>
      <c r="AD53" s="485"/>
      <c r="AE53" s="351"/>
      <c r="AF53" s="351"/>
      <c r="AG53" s="351"/>
      <c r="AH53" s="351" t="e">
        <f t="shared" si="28"/>
        <v>#N/A</v>
      </c>
      <c r="AI53" s="485"/>
      <c r="AJ53" s="351"/>
      <c r="AK53" s="351"/>
      <c r="AL53" s="351"/>
      <c r="AM53" s="351" t="e">
        <f t="shared" si="29"/>
        <v>#N/A</v>
      </c>
      <c r="AN53" s="485"/>
      <c r="AO53" s="351"/>
      <c r="AP53" s="351"/>
      <c r="AQ53" s="351"/>
      <c r="AR53" s="351" t="e">
        <f t="shared" si="30"/>
        <v>#N/A</v>
      </c>
      <c r="AS53" s="485"/>
      <c r="AT53" s="351"/>
      <c r="AU53" s="351"/>
      <c r="AV53" s="351"/>
      <c r="AW53" s="351" t="e">
        <f t="shared" si="31"/>
        <v>#N/A</v>
      </c>
      <c r="AX53" s="485"/>
    </row>
    <row r="54" spans="2:50">
      <c r="B54" s="483"/>
      <c r="C54" s="351">
        <v>8</v>
      </c>
      <c r="D54" s="257"/>
      <c r="E54" s="187"/>
      <c r="F54" s="351"/>
      <c r="G54" s="354"/>
      <c r="H54" s="508"/>
      <c r="I54" s="219"/>
      <c r="J54" s="219"/>
      <c r="K54" s="220"/>
      <c r="L54" s="457"/>
      <c r="M54" s="221" t="e">
        <f>RANK(K54, K$87:$K$101)</f>
        <v>#DIV/0!</v>
      </c>
      <c r="N54" s="475"/>
      <c r="O54" s="475"/>
      <c r="P54" s="351"/>
      <c r="Q54" s="351"/>
      <c r="R54" s="351"/>
      <c r="S54" s="351" t="e">
        <f t="shared" si="25"/>
        <v>#N/A</v>
      </c>
      <c r="T54" s="485"/>
      <c r="U54" s="351"/>
      <c r="V54" s="351"/>
      <c r="W54" s="351"/>
      <c r="X54" s="351" t="e">
        <f t="shared" si="26"/>
        <v>#N/A</v>
      </c>
      <c r="Y54" s="485"/>
      <c r="Z54" s="351"/>
      <c r="AA54" s="351"/>
      <c r="AB54" s="351"/>
      <c r="AC54" s="351" t="e">
        <f t="shared" si="27"/>
        <v>#N/A</v>
      </c>
      <c r="AD54" s="485"/>
      <c r="AE54" s="351"/>
      <c r="AF54" s="351"/>
      <c r="AG54" s="351"/>
      <c r="AH54" s="351" t="e">
        <f t="shared" si="28"/>
        <v>#N/A</v>
      </c>
      <c r="AI54" s="485"/>
      <c r="AJ54" s="351"/>
      <c r="AK54" s="351"/>
      <c r="AL54" s="351"/>
      <c r="AM54" s="351" t="e">
        <f t="shared" si="29"/>
        <v>#N/A</v>
      </c>
      <c r="AN54" s="485"/>
      <c r="AO54" s="351"/>
      <c r="AP54" s="351"/>
      <c r="AQ54" s="351"/>
      <c r="AR54" s="351" t="e">
        <f t="shared" si="30"/>
        <v>#N/A</v>
      </c>
      <c r="AS54" s="485"/>
      <c r="AT54" s="351"/>
      <c r="AU54" s="351"/>
      <c r="AV54" s="351"/>
      <c r="AW54" s="351" t="e">
        <f t="shared" si="31"/>
        <v>#N/A</v>
      </c>
      <c r="AX54" s="485"/>
    </row>
    <row r="55" spans="2:50">
      <c r="B55" s="483"/>
      <c r="C55" s="351">
        <v>9</v>
      </c>
      <c r="D55" s="257"/>
      <c r="E55" s="187"/>
      <c r="F55" s="351"/>
      <c r="G55" s="354"/>
      <c r="H55" s="508"/>
      <c r="I55" s="219"/>
      <c r="J55" s="219"/>
      <c r="K55" s="220"/>
      <c r="L55" s="457"/>
      <c r="M55" s="221" t="e">
        <f>RANK(K55, K$87:$K$101)</f>
        <v>#DIV/0!</v>
      </c>
      <c r="N55" s="475"/>
      <c r="O55" s="475"/>
      <c r="P55" s="351"/>
      <c r="Q55" s="351"/>
      <c r="R55" s="351"/>
      <c r="S55" s="351" t="e">
        <f t="shared" si="25"/>
        <v>#N/A</v>
      </c>
      <c r="T55" s="485"/>
      <c r="U55" s="351"/>
      <c r="V55" s="351"/>
      <c r="W55" s="351"/>
      <c r="X55" s="351" t="e">
        <f t="shared" si="26"/>
        <v>#N/A</v>
      </c>
      <c r="Y55" s="485"/>
      <c r="Z55" s="351"/>
      <c r="AA55" s="351"/>
      <c r="AB55" s="351"/>
      <c r="AC55" s="351" t="e">
        <f t="shared" si="27"/>
        <v>#N/A</v>
      </c>
      <c r="AD55" s="485"/>
      <c r="AE55" s="351"/>
      <c r="AF55" s="351"/>
      <c r="AG55" s="351"/>
      <c r="AH55" s="351" t="e">
        <f t="shared" si="28"/>
        <v>#N/A</v>
      </c>
      <c r="AI55" s="485"/>
      <c r="AJ55" s="351"/>
      <c r="AK55" s="351"/>
      <c r="AL55" s="351"/>
      <c r="AM55" s="351" t="e">
        <f t="shared" si="29"/>
        <v>#N/A</v>
      </c>
      <c r="AN55" s="485"/>
      <c r="AO55" s="351"/>
      <c r="AP55" s="351"/>
      <c r="AQ55" s="351"/>
      <c r="AR55" s="351" t="e">
        <f t="shared" si="30"/>
        <v>#N/A</v>
      </c>
      <c r="AS55" s="485"/>
      <c r="AT55" s="351"/>
      <c r="AU55" s="351"/>
      <c r="AV55" s="351"/>
      <c r="AW55" s="351" t="e">
        <f t="shared" si="31"/>
        <v>#N/A</v>
      </c>
      <c r="AX55" s="485"/>
    </row>
    <row r="56" spans="2:50">
      <c r="B56" s="483"/>
      <c r="C56" s="351">
        <v>10</v>
      </c>
      <c r="D56" s="257"/>
      <c r="E56" s="187"/>
      <c r="F56" s="351"/>
      <c r="G56" s="354"/>
      <c r="H56" s="508"/>
      <c r="I56" s="219"/>
      <c r="J56" s="219"/>
      <c r="K56" s="220"/>
      <c r="L56" s="457"/>
      <c r="M56" s="221" t="e">
        <f>RANK(K56, K$87:$K$101)</f>
        <v>#DIV/0!</v>
      </c>
      <c r="N56" s="475"/>
      <c r="O56" s="475"/>
      <c r="P56" s="351"/>
      <c r="Q56" s="351"/>
      <c r="R56" s="351"/>
      <c r="S56" s="351" t="e">
        <f t="shared" si="25"/>
        <v>#N/A</v>
      </c>
      <c r="T56" s="485"/>
      <c r="U56" s="351"/>
      <c r="V56" s="351"/>
      <c r="W56" s="351"/>
      <c r="X56" s="351" t="e">
        <f t="shared" si="26"/>
        <v>#N/A</v>
      </c>
      <c r="Y56" s="485"/>
      <c r="Z56" s="351"/>
      <c r="AA56" s="351"/>
      <c r="AB56" s="351"/>
      <c r="AC56" s="351" t="e">
        <f t="shared" si="27"/>
        <v>#N/A</v>
      </c>
      <c r="AD56" s="485"/>
      <c r="AE56" s="351"/>
      <c r="AF56" s="351"/>
      <c r="AG56" s="351"/>
      <c r="AH56" s="351" t="e">
        <f t="shared" si="28"/>
        <v>#N/A</v>
      </c>
      <c r="AI56" s="485"/>
      <c r="AJ56" s="351"/>
      <c r="AK56" s="351"/>
      <c r="AL56" s="351"/>
      <c r="AM56" s="351" t="e">
        <f t="shared" si="29"/>
        <v>#N/A</v>
      </c>
      <c r="AN56" s="485"/>
      <c r="AO56" s="351"/>
      <c r="AP56" s="351"/>
      <c r="AQ56" s="351"/>
      <c r="AR56" s="351" t="e">
        <f t="shared" si="30"/>
        <v>#N/A</v>
      </c>
      <c r="AS56" s="485"/>
      <c r="AT56" s="351"/>
      <c r="AU56" s="351"/>
      <c r="AV56" s="351"/>
      <c r="AW56" s="351" t="e">
        <f t="shared" si="31"/>
        <v>#N/A</v>
      </c>
      <c r="AX56" s="485"/>
    </row>
    <row r="57" spans="2:50">
      <c r="B57" s="483"/>
      <c r="C57" s="351">
        <v>11</v>
      </c>
      <c r="D57" s="257"/>
      <c r="E57" s="187"/>
      <c r="F57" s="351"/>
      <c r="G57" s="354"/>
      <c r="H57" s="508"/>
      <c r="I57" s="219"/>
      <c r="J57" s="219"/>
      <c r="K57" s="220"/>
      <c r="L57" s="457"/>
      <c r="M57" s="221" t="e">
        <f>RANK(K57, K$87:$K$101)</f>
        <v>#DIV/0!</v>
      </c>
      <c r="N57" s="475"/>
      <c r="O57" s="475"/>
      <c r="P57" s="351"/>
      <c r="Q57" s="351"/>
      <c r="R57" s="351"/>
      <c r="S57" s="351" t="e">
        <f t="shared" si="25"/>
        <v>#N/A</v>
      </c>
      <c r="T57" s="485"/>
      <c r="U57" s="351"/>
      <c r="V57" s="351"/>
      <c r="W57" s="351"/>
      <c r="X57" s="351" t="e">
        <f t="shared" si="26"/>
        <v>#N/A</v>
      </c>
      <c r="Y57" s="485"/>
      <c r="Z57" s="351"/>
      <c r="AA57" s="351"/>
      <c r="AB57" s="351"/>
      <c r="AC57" s="351" t="e">
        <f t="shared" si="27"/>
        <v>#N/A</v>
      </c>
      <c r="AD57" s="485"/>
      <c r="AE57" s="351"/>
      <c r="AF57" s="351"/>
      <c r="AG57" s="351"/>
      <c r="AH57" s="351" t="e">
        <f t="shared" si="28"/>
        <v>#N/A</v>
      </c>
      <c r="AI57" s="485"/>
      <c r="AJ57" s="351"/>
      <c r="AK57" s="351"/>
      <c r="AL57" s="351"/>
      <c r="AM57" s="351" t="e">
        <f t="shared" si="29"/>
        <v>#N/A</v>
      </c>
      <c r="AN57" s="485"/>
      <c r="AO57" s="351"/>
      <c r="AP57" s="351"/>
      <c r="AQ57" s="351"/>
      <c r="AR57" s="351" t="e">
        <f t="shared" si="30"/>
        <v>#N/A</v>
      </c>
      <c r="AS57" s="485"/>
      <c r="AT57" s="351"/>
      <c r="AU57" s="351"/>
      <c r="AV57" s="351"/>
      <c r="AW57" s="351" t="e">
        <f t="shared" si="31"/>
        <v>#N/A</v>
      </c>
      <c r="AX57" s="485"/>
    </row>
    <row r="58" spans="2:50">
      <c r="B58" s="483"/>
      <c r="C58" s="351">
        <v>12</v>
      </c>
      <c r="D58" s="257"/>
      <c r="E58" s="187"/>
      <c r="F58" s="351"/>
      <c r="G58" s="354"/>
      <c r="H58" s="508"/>
      <c r="I58" s="219"/>
      <c r="J58" s="219"/>
      <c r="K58" s="220"/>
      <c r="L58" s="457"/>
      <c r="M58" s="221" t="e">
        <f>RANK(K58, K$87:$K$101)</f>
        <v>#DIV/0!</v>
      </c>
      <c r="N58" s="475"/>
      <c r="O58" s="475"/>
      <c r="P58" s="351"/>
      <c r="Q58" s="351"/>
      <c r="R58" s="351"/>
      <c r="S58" s="351" t="e">
        <f t="shared" si="25"/>
        <v>#N/A</v>
      </c>
      <c r="T58" s="485"/>
      <c r="U58" s="351"/>
      <c r="V58" s="351"/>
      <c r="W58" s="351"/>
      <c r="X58" s="351" t="e">
        <f t="shared" si="26"/>
        <v>#N/A</v>
      </c>
      <c r="Y58" s="485"/>
      <c r="Z58" s="351"/>
      <c r="AA58" s="351"/>
      <c r="AB58" s="351"/>
      <c r="AC58" s="351" t="e">
        <f t="shared" si="27"/>
        <v>#N/A</v>
      </c>
      <c r="AD58" s="485"/>
      <c r="AE58" s="351"/>
      <c r="AF58" s="351"/>
      <c r="AG58" s="351"/>
      <c r="AH58" s="351" t="e">
        <f t="shared" si="28"/>
        <v>#N/A</v>
      </c>
      <c r="AI58" s="485"/>
      <c r="AJ58" s="351"/>
      <c r="AK58" s="351"/>
      <c r="AL58" s="351"/>
      <c r="AM58" s="351" t="e">
        <f t="shared" si="29"/>
        <v>#N/A</v>
      </c>
      <c r="AN58" s="485"/>
      <c r="AO58" s="351"/>
      <c r="AP58" s="351"/>
      <c r="AQ58" s="351"/>
      <c r="AR58" s="351" t="e">
        <f t="shared" si="30"/>
        <v>#N/A</v>
      </c>
      <c r="AS58" s="485"/>
      <c r="AT58" s="351"/>
      <c r="AU58" s="351"/>
      <c r="AV58" s="351"/>
      <c r="AW58" s="351" t="e">
        <f t="shared" si="31"/>
        <v>#N/A</v>
      </c>
      <c r="AX58" s="485"/>
    </row>
    <row r="59" spans="2:50">
      <c r="B59" s="483"/>
      <c r="C59" s="351">
        <v>13</v>
      </c>
      <c r="D59" s="257"/>
      <c r="E59" s="187"/>
      <c r="F59" s="351"/>
      <c r="G59" s="354"/>
      <c r="H59" s="508"/>
      <c r="I59" s="219"/>
      <c r="J59" s="219"/>
      <c r="K59" s="220"/>
      <c r="L59" s="457"/>
      <c r="M59" s="221" t="e">
        <f>RANK(K59, K$87:$K$101)</f>
        <v>#DIV/0!</v>
      </c>
      <c r="N59" s="475"/>
      <c r="O59" s="475"/>
      <c r="P59" s="351"/>
      <c r="Q59" s="351"/>
      <c r="R59" s="351"/>
      <c r="S59" s="351" t="e">
        <f t="shared" si="25"/>
        <v>#N/A</v>
      </c>
      <c r="T59" s="485"/>
      <c r="U59" s="351"/>
      <c r="V59" s="351"/>
      <c r="W59" s="351"/>
      <c r="X59" s="351" t="e">
        <f t="shared" si="26"/>
        <v>#N/A</v>
      </c>
      <c r="Y59" s="485"/>
      <c r="Z59" s="351"/>
      <c r="AA59" s="351"/>
      <c r="AB59" s="351"/>
      <c r="AC59" s="351" t="e">
        <f t="shared" si="27"/>
        <v>#N/A</v>
      </c>
      <c r="AD59" s="485"/>
      <c r="AE59" s="351"/>
      <c r="AF59" s="351"/>
      <c r="AG59" s="351"/>
      <c r="AH59" s="351" t="e">
        <f t="shared" si="28"/>
        <v>#N/A</v>
      </c>
      <c r="AI59" s="485"/>
      <c r="AJ59" s="351"/>
      <c r="AK59" s="351"/>
      <c r="AL59" s="351"/>
      <c r="AM59" s="351" t="e">
        <f t="shared" si="29"/>
        <v>#N/A</v>
      </c>
      <c r="AN59" s="485"/>
      <c r="AO59" s="351"/>
      <c r="AP59" s="351"/>
      <c r="AQ59" s="351"/>
      <c r="AR59" s="351" t="e">
        <f t="shared" si="30"/>
        <v>#N/A</v>
      </c>
      <c r="AS59" s="485"/>
      <c r="AT59" s="351"/>
      <c r="AU59" s="351"/>
      <c r="AV59" s="351"/>
      <c r="AW59" s="351" t="e">
        <f t="shared" si="31"/>
        <v>#N/A</v>
      </c>
      <c r="AX59" s="485"/>
    </row>
    <row r="60" spans="2:50">
      <c r="B60" s="483"/>
      <c r="C60" s="351">
        <v>14</v>
      </c>
      <c r="D60" s="257"/>
      <c r="E60" s="187"/>
      <c r="F60" s="351"/>
      <c r="G60" s="354"/>
      <c r="H60" s="508"/>
      <c r="I60" s="219"/>
      <c r="J60" s="219"/>
      <c r="K60" s="220"/>
      <c r="L60" s="457"/>
      <c r="M60" s="221" t="e">
        <f>RANK(K60, K$87:$K$101)</f>
        <v>#DIV/0!</v>
      </c>
      <c r="N60" s="475"/>
      <c r="O60" s="475"/>
      <c r="P60" s="351"/>
      <c r="Q60" s="351"/>
      <c r="R60" s="351"/>
      <c r="S60" s="351" t="e">
        <f t="shared" si="25"/>
        <v>#N/A</v>
      </c>
      <c r="T60" s="485"/>
      <c r="U60" s="351"/>
      <c r="V60" s="351"/>
      <c r="W60" s="351"/>
      <c r="X60" s="351" t="e">
        <f t="shared" si="26"/>
        <v>#N/A</v>
      </c>
      <c r="Y60" s="485"/>
      <c r="Z60" s="351"/>
      <c r="AA60" s="351"/>
      <c r="AB60" s="351"/>
      <c r="AC60" s="351" t="e">
        <f t="shared" si="27"/>
        <v>#N/A</v>
      </c>
      <c r="AD60" s="485"/>
      <c r="AE60" s="351"/>
      <c r="AF60" s="351"/>
      <c r="AG60" s="351"/>
      <c r="AH60" s="351" t="e">
        <f t="shared" si="28"/>
        <v>#N/A</v>
      </c>
      <c r="AI60" s="485"/>
      <c r="AJ60" s="351"/>
      <c r="AK60" s="351"/>
      <c r="AL60" s="351"/>
      <c r="AM60" s="351" t="e">
        <f t="shared" si="29"/>
        <v>#N/A</v>
      </c>
      <c r="AN60" s="485"/>
      <c r="AO60" s="351"/>
      <c r="AP60" s="351"/>
      <c r="AQ60" s="351"/>
      <c r="AR60" s="351" t="e">
        <f t="shared" si="30"/>
        <v>#N/A</v>
      </c>
      <c r="AS60" s="485"/>
      <c r="AT60" s="351"/>
      <c r="AU60" s="351"/>
      <c r="AV60" s="351"/>
      <c r="AW60" s="351" t="e">
        <f t="shared" si="31"/>
        <v>#N/A</v>
      </c>
      <c r="AX60" s="485"/>
    </row>
    <row r="61" spans="2:50">
      <c r="B61" s="483"/>
      <c r="C61" s="351">
        <v>15</v>
      </c>
      <c r="D61" s="257"/>
      <c r="E61" s="187"/>
      <c r="F61" s="351"/>
      <c r="G61" s="354"/>
      <c r="H61" s="509"/>
      <c r="I61" s="219"/>
      <c r="J61" s="219"/>
      <c r="K61" s="220"/>
      <c r="L61" s="458"/>
      <c r="M61" s="219" t="e">
        <f>RANK(K61, K$87:$K$101)</f>
        <v>#DIV/0!</v>
      </c>
      <c r="N61" s="475"/>
      <c r="O61" s="475"/>
      <c r="P61" s="351"/>
      <c r="Q61" s="351"/>
      <c r="R61" s="351"/>
      <c r="S61" s="351" t="e">
        <f t="shared" si="25"/>
        <v>#N/A</v>
      </c>
      <c r="T61" s="486"/>
      <c r="U61" s="351"/>
      <c r="V61" s="351"/>
      <c r="W61" s="351"/>
      <c r="X61" s="351" t="e">
        <f t="shared" si="26"/>
        <v>#N/A</v>
      </c>
      <c r="Y61" s="486"/>
      <c r="Z61" s="351"/>
      <c r="AA61" s="351"/>
      <c r="AB61" s="351"/>
      <c r="AC61" s="351" t="e">
        <f t="shared" si="27"/>
        <v>#N/A</v>
      </c>
      <c r="AD61" s="486"/>
      <c r="AE61" s="351"/>
      <c r="AF61" s="351"/>
      <c r="AG61" s="351"/>
      <c r="AH61" s="351" t="e">
        <f t="shared" si="28"/>
        <v>#N/A</v>
      </c>
      <c r="AI61" s="486"/>
      <c r="AJ61" s="351"/>
      <c r="AK61" s="351"/>
      <c r="AL61" s="351"/>
      <c r="AM61" s="351" t="e">
        <f t="shared" si="29"/>
        <v>#N/A</v>
      </c>
      <c r="AN61" s="486"/>
      <c r="AO61" s="351"/>
      <c r="AP61" s="351"/>
      <c r="AQ61" s="351"/>
      <c r="AR61" s="351" t="e">
        <f t="shared" si="30"/>
        <v>#N/A</v>
      </c>
      <c r="AS61" s="486"/>
      <c r="AT61" s="351"/>
      <c r="AU61" s="351"/>
      <c r="AV61" s="351"/>
      <c r="AW61" s="351" t="e">
        <f t="shared" si="31"/>
        <v>#N/A</v>
      </c>
      <c r="AX61" s="486"/>
    </row>
    <row r="62" spans="2:50" ht="15.75">
      <c r="B62" s="487" t="s">
        <v>172</v>
      </c>
      <c r="C62" s="488"/>
      <c r="D62" s="488"/>
      <c r="E62" s="488"/>
      <c r="F62" s="488"/>
      <c r="G62" s="488"/>
      <c r="H62" s="489"/>
      <c r="I62" s="228"/>
      <c r="J62" s="228"/>
      <c r="K62" s="228"/>
      <c r="L62" s="228"/>
      <c r="M62" s="227"/>
      <c r="N62" s="476" t="s">
        <v>164</v>
      </c>
      <c r="O62" s="476" t="s">
        <v>105</v>
      </c>
      <c r="P62" s="482">
        <f>P42+7</f>
        <v>45916</v>
      </c>
      <c r="Q62" s="483"/>
      <c r="R62" s="483"/>
      <c r="S62" s="483"/>
      <c r="T62" s="483"/>
      <c r="U62" s="479">
        <f>P62+1</f>
        <v>45917</v>
      </c>
      <c r="V62" s="480"/>
      <c r="W62" s="480"/>
      <c r="X62" s="480"/>
      <c r="Y62" s="481"/>
      <c r="Z62" s="479">
        <f>U62+1</f>
        <v>45918</v>
      </c>
      <c r="AA62" s="480"/>
      <c r="AB62" s="480"/>
      <c r="AC62" s="480"/>
      <c r="AD62" s="481"/>
      <c r="AE62" s="479">
        <f t="shared" ref="AE62" si="32">Z62+1</f>
        <v>45919</v>
      </c>
      <c r="AF62" s="480"/>
      <c r="AG62" s="480"/>
      <c r="AH62" s="480"/>
      <c r="AI62" s="481"/>
      <c r="AJ62" s="479">
        <f t="shared" ref="AJ62" si="33">AE62+1</f>
        <v>45920</v>
      </c>
      <c r="AK62" s="480"/>
      <c r="AL62" s="480"/>
      <c r="AM62" s="480"/>
      <c r="AN62" s="481"/>
      <c r="AO62" s="479">
        <f t="shared" ref="AO62" si="34">AJ62+1</f>
        <v>45921</v>
      </c>
      <c r="AP62" s="480"/>
      <c r="AQ62" s="480"/>
      <c r="AR62" s="480"/>
      <c r="AS62" s="481"/>
      <c r="AT62" s="479">
        <f t="shared" ref="AT62" si="35">AO62+1</f>
        <v>45922</v>
      </c>
      <c r="AU62" s="480"/>
      <c r="AV62" s="480"/>
      <c r="AW62" s="480"/>
      <c r="AX62" s="481"/>
    </row>
    <row r="63" spans="2:50" ht="15.75">
      <c r="B63" s="490"/>
      <c r="C63" s="490"/>
      <c r="D63" s="490"/>
      <c r="E63" s="490"/>
      <c r="F63" s="490"/>
      <c r="G63" s="490"/>
      <c r="H63" s="490"/>
      <c r="I63" s="225"/>
      <c r="J63" s="225"/>
      <c r="K63" s="225"/>
      <c r="L63" s="225"/>
      <c r="M63" s="226"/>
      <c r="N63" s="478"/>
      <c r="O63" s="478"/>
      <c r="P63" s="482" t="s">
        <v>393</v>
      </c>
      <c r="Q63" s="483"/>
      <c r="R63" s="483"/>
      <c r="S63" s="483"/>
      <c r="T63" s="483"/>
      <c r="U63" s="482" t="s">
        <v>394</v>
      </c>
      <c r="V63" s="483"/>
      <c r="W63" s="483"/>
      <c r="X63" s="483"/>
      <c r="Y63" s="483"/>
      <c r="Z63" s="482" t="s">
        <v>395</v>
      </c>
      <c r="AA63" s="483"/>
      <c r="AB63" s="483"/>
      <c r="AC63" s="483"/>
      <c r="AD63" s="483"/>
      <c r="AE63" s="482" t="s">
        <v>396</v>
      </c>
      <c r="AF63" s="483"/>
      <c r="AG63" s="483"/>
      <c r="AH63" s="483"/>
      <c r="AI63" s="483"/>
      <c r="AJ63" s="482" t="s">
        <v>397</v>
      </c>
      <c r="AK63" s="483"/>
      <c r="AL63" s="483"/>
      <c r="AM63" s="483"/>
      <c r="AN63" s="483"/>
      <c r="AO63" s="482" t="s">
        <v>398</v>
      </c>
      <c r="AP63" s="483"/>
      <c r="AQ63" s="483"/>
      <c r="AR63" s="483"/>
      <c r="AS63" s="483"/>
      <c r="AT63" s="482" t="s">
        <v>399</v>
      </c>
      <c r="AU63" s="483"/>
      <c r="AV63" s="483"/>
      <c r="AW63" s="483"/>
      <c r="AX63" s="483"/>
    </row>
    <row r="64" spans="2:50">
      <c r="B64" s="475" t="s">
        <v>726</v>
      </c>
      <c r="C64" s="475" t="s">
        <v>727</v>
      </c>
      <c r="D64" s="475"/>
      <c r="E64" s="475" t="s">
        <v>728</v>
      </c>
      <c r="F64" s="475"/>
      <c r="G64" s="475"/>
      <c r="H64" s="491" t="s">
        <v>729</v>
      </c>
      <c r="I64" s="459" t="s">
        <v>730</v>
      </c>
      <c r="J64" s="459"/>
      <c r="K64" s="459"/>
      <c r="L64" s="460" t="s">
        <v>729</v>
      </c>
      <c r="M64" s="466" t="s">
        <v>731</v>
      </c>
      <c r="N64" s="475"/>
      <c r="O64" s="475" t="s">
        <v>732</v>
      </c>
      <c r="P64" s="472" t="s">
        <v>733</v>
      </c>
      <c r="Q64" s="473"/>
      <c r="R64" s="473"/>
      <c r="S64" s="474"/>
      <c r="T64" s="475" t="s">
        <v>729</v>
      </c>
      <c r="U64" s="472" t="s">
        <v>733</v>
      </c>
      <c r="V64" s="473"/>
      <c r="W64" s="473"/>
      <c r="X64" s="474"/>
      <c r="Y64" s="475" t="s">
        <v>729</v>
      </c>
      <c r="Z64" s="472" t="s">
        <v>733</v>
      </c>
      <c r="AA64" s="473"/>
      <c r="AB64" s="473"/>
      <c r="AC64" s="474"/>
      <c r="AD64" s="475" t="s">
        <v>729</v>
      </c>
      <c r="AE64" s="472" t="s">
        <v>733</v>
      </c>
      <c r="AF64" s="473"/>
      <c r="AG64" s="473"/>
      <c r="AH64" s="474"/>
      <c r="AI64" s="475" t="s">
        <v>729</v>
      </c>
      <c r="AJ64" s="472" t="s">
        <v>733</v>
      </c>
      <c r="AK64" s="473"/>
      <c r="AL64" s="473"/>
      <c r="AM64" s="474"/>
      <c r="AN64" s="475" t="s">
        <v>729</v>
      </c>
      <c r="AO64" s="472" t="s">
        <v>733</v>
      </c>
      <c r="AP64" s="473"/>
      <c r="AQ64" s="473"/>
      <c r="AR64" s="474"/>
      <c r="AS64" s="475" t="s">
        <v>729</v>
      </c>
      <c r="AT64" s="472" t="s">
        <v>733</v>
      </c>
      <c r="AU64" s="473"/>
      <c r="AV64" s="473"/>
      <c r="AW64" s="474"/>
      <c r="AX64" s="475" t="s">
        <v>729</v>
      </c>
    </row>
    <row r="65" spans="2:50">
      <c r="B65" s="475"/>
      <c r="C65" s="475"/>
      <c r="D65" s="475"/>
      <c r="E65" s="475" t="s">
        <v>734</v>
      </c>
      <c r="F65" s="475"/>
      <c r="G65" s="475"/>
      <c r="H65" s="492"/>
      <c r="I65" s="459" t="s">
        <v>734</v>
      </c>
      <c r="J65" s="459"/>
      <c r="K65" s="459"/>
      <c r="L65" s="461"/>
      <c r="M65" s="467"/>
      <c r="N65" s="475"/>
      <c r="O65" s="475"/>
      <c r="P65" s="472" t="s">
        <v>735</v>
      </c>
      <c r="Q65" s="473"/>
      <c r="R65" s="473"/>
      <c r="S65" s="474"/>
      <c r="T65" s="475"/>
      <c r="U65" s="472" t="s">
        <v>735</v>
      </c>
      <c r="V65" s="473"/>
      <c r="W65" s="473"/>
      <c r="X65" s="474"/>
      <c r="Y65" s="475"/>
      <c r="Z65" s="472" t="s">
        <v>735</v>
      </c>
      <c r="AA65" s="473"/>
      <c r="AB65" s="473"/>
      <c r="AC65" s="474"/>
      <c r="AD65" s="475"/>
      <c r="AE65" s="472" t="s">
        <v>735</v>
      </c>
      <c r="AF65" s="473"/>
      <c r="AG65" s="473"/>
      <c r="AH65" s="474"/>
      <c r="AI65" s="475"/>
      <c r="AJ65" s="472" t="s">
        <v>735</v>
      </c>
      <c r="AK65" s="473"/>
      <c r="AL65" s="473"/>
      <c r="AM65" s="474"/>
      <c r="AN65" s="475"/>
      <c r="AO65" s="472" t="s">
        <v>735</v>
      </c>
      <c r="AP65" s="473"/>
      <c r="AQ65" s="473"/>
      <c r="AR65" s="474"/>
      <c r="AS65" s="475"/>
      <c r="AT65" s="472" t="s">
        <v>735</v>
      </c>
      <c r="AU65" s="473"/>
      <c r="AV65" s="473"/>
      <c r="AW65" s="474"/>
      <c r="AX65" s="475"/>
    </row>
    <row r="66" spans="2:50">
      <c r="B66" s="475"/>
      <c r="C66" s="475"/>
      <c r="D66" s="475"/>
      <c r="E66" s="350" t="s">
        <v>736</v>
      </c>
      <c r="F66" s="350" t="s">
        <v>737</v>
      </c>
      <c r="G66" s="350" t="s">
        <v>738</v>
      </c>
      <c r="H66" s="493"/>
      <c r="I66" s="349" t="s">
        <v>736</v>
      </c>
      <c r="J66" s="349" t="s">
        <v>737</v>
      </c>
      <c r="K66" s="349" t="s">
        <v>738</v>
      </c>
      <c r="L66" s="462"/>
      <c r="M66" s="468"/>
      <c r="N66" s="475"/>
      <c r="O66" s="475"/>
      <c r="P66" s="350" t="s">
        <v>736</v>
      </c>
      <c r="Q66" s="350" t="s">
        <v>737</v>
      </c>
      <c r="R66" s="350" t="s">
        <v>738</v>
      </c>
      <c r="S66" s="350" t="s">
        <v>731</v>
      </c>
      <c r="T66" s="475"/>
      <c r="U66" s="350" t="s">
        <v>736</v>
      </c>
      <c r="V66" s="350" t="s">
        <v>737</v>
      </c>
      <c r="W66" s="350" t="s">
        <v>738</v>
      </c>
      <c r="X66" s="350" t="s">
        <v>731</v>
      </c>
      <c r="Y66" s="475"/>
      <c r="Z66" s="350" t="s">
        <v>736</v>
      </c>
      <c r="AA66" s="350" t="s">
        <v>737</v>
      </c>
      <c r="AB66" s="350" t="s">
        <v>738</v>
      </c>
      <c r="AC66" s="350" t="s">
        <v>731</v>
      </c>
      <c r="AD66" s="475"/>
      <c r="AE66" s="350" t="s">
        <v>736</v>
      </c>
      <c r="AF66" s="350" t="s">
        <v>737</v>
      </c>
      <c r="AG66" s="350" t="s">
        <v>738</v>
      </c>
      <c r="AH66" s="350" t="s">
        <v>731</v>
      </c>
      <c r="AI66" s="475"/>
      <c r="AJ66" s="350" t="s">
        <v>736</v>
      </c>
      <c r="AK66" s="350" t="s">
        <v>737</v>
      </c>
      <c r="AL66" s="350" t="s">
        <v>738</v>
      </c>
      <c r="AM66" s="350" t="s">
        <v>731</v>
      </c>
      <c r="AN66" s="475"/>
      <c r="AO66" s="350" t="s">
        <v>736</v>
      </c>
      <c r="AP66" s="350" t="s">
        <v>737</v>
      </c>
      <c r="AQ66" s="350" t="s">
        <v>738</v>
      </c>
      <c r="AR66" s="350" t="s">
        <v>731</v>
      </c>
      <c r="AS66" s="475"/>
      <c r="AT66" s="350" t="s">
        <v>736</v>
      </c>
      <c r="AU66" s="350" t="s">
        <v>737</v>
      </c>
      <c r="AV66" s="350" t="s">
        <v>738</v>
      </c>
      <c r="AW66" s="350" t="s">
        <v>731</v>
      </c>
      <c r="AX66" s="475"/>
    </row>
    <row r="67" spans="2:50">
      <c r="B67" s="475" t="s">
        <v>740</v>
      </c>
      <c r="C67" s="351">
        <v>1</v>
      </c>
      <c r="D67" s="257"/>
      <c r="E67" s="187"/>
      <c r="F67" s="351"/>
      <c r="G67" s="354"/>
      <c r="H67" s="507" t="e">
        <f>AVERAGE(G67:G81)</f>
        <v>#DIV/0!</v>
      </c>
      <c r="I67" s="219" t="e">
        <f>AVERAGE(P67,U67,Z67,AE67,AJ67,AO67,AT67)</f>
        <v>#DIV/0!</v>
      </c>
      <c r="J67" s="219" t="e">
        <f>AVERAGE(Q67,V67,AA67,AF67,AK67,AP67,AU67)</f>
        <v>#DIV/0!</v>
      </c>
      <c r="K67" s="220" t="e">
        <f>AVERAGE(R67,W67,AB67,AG67,AL67,AQ67,AV67)</f>
        <v>#DIV/0!</v>
      </c>
      <c r="L67" s="456" t="str">
        <f>IFERROR(AVERAGE(K67:K81),"-")</f>
        <v>-</v>
      </c>
      <c r="M67" s="221" t="e">
        <f>RANK(K67, K$87:$K$101)</f>
        <v>#DIV/0!</v>
      </c>
      <c r="N67" s="475"/>
      <c r="O67" s="475"/>
      <c r="P67" s="351"/>
      <c r="Q67" s="187"/>
      <c r="R67" s="354"/>
      <c r="S67" s="351" t="e">
        <f>RANK(R67, R$87:R$101)</f>
        <v>#N/A</v>
      </c>
      <c r="T67" s="484" t="e">
        <f>AVERAGE(R67:R81)</f>
        <v>#DIV/0!</v>
      </c>
      <c r="U67" s="351"/>
      <c r="V67" s="187"/>
      <c r="W67" s="354"/>
      <c r="X67" s="351" t="e">
        <f>RANK(W67, W$87:W$101)</f>
        <v>#N/A</v>
      </c>
      <c r="Y67" s="484" t="e">
        <f>AVERAGE(W67:W81)</f>
        <v>#DIV/0!</v>
      </c>
      <c r="Z67" s="351"/>
      <c r="AA67" s="187"/>
      <c r="AB67" s="354"/>
      <c r="AC67" s="351" t="e">
        <f>RANK(AB67, AB$87:AB$101)</f>
        <v>#N/A</v>
      </c>
      <c r="AD67" s="484" t="e">
        <f>AVERAGE(AB67:AB81)</f>
        <v>#DIV/0!</v>
      </c>
      <c r="AE67" s="351"/>
      <c r="AF67" s="187"/>
      <c r="AG67" s="354"/>
      <c r="AH67" s="351" t="e">
        <f>RANK(AG67, AG$87:AG$101)</f>
        <v>#N/A</v>
      </c>
      <c r="AI67" s="484" t="e">
        <f>AVERAGE(AG67:AG81)</f>
        <v>#DIV/0!</v>
      </c>
      <c r="AJ67" s="351"/>
      <c r="AK67" s="187"/>
      <c r="AL67" s="354"/>
      <c r="AM67" s="351" t="e">
        <f>RANK(AL67, AL$87:AL$101)</f>
        <v>#N/A</v>
      </c>
      <c r="AN67" s="484" t="e">
        <f>AVERAGE(AL67:AL81)</f>
        <v>#DIV/0!</v>
      </c>
      <c r="AO67" s="351"/>
      <c r="AP67" s="187"/>
      <c r="AQ67" s="354"/>
      <c r="AR67" s="351" t="e">
        <f>RANK(AQ67, AQ$87:AQ$101)</f>
        <v>#N/A</v>
      </c>
      <c r="AS67" s="484" t="e">
        <f>AVERAGE(AQ67:AQ81)</f>
        <v>#DIV/0!</v>
      </c>
      <c r="AT67" s="351"/>
      <c r="AU67" s="187"/>
      <c r="AV67" s="354"/>
      <c r="AW67" s="351" t="e">
        <f>RANK(AV67, AV$87:AV$101)</f>
        <v>#N/A</v>
      </c>
      <c r="AX67" s="484" t="e">
        <f>AVERAGE(AV67:AV81)</f>
        <v>#DIV/0!</v>
      </c>
    </row>
    <row r="68" spans="2:50">
      <c r="B68" s="483"/>
      <c r="C68" s="351">
        <v>2</v>
      </c>
      <c r="D68" s="257"/>
      <c r="E68" s="187"/>
      <c r="F68" s="351"/>
      <c r="G68" s="354"/>
      <c r="H68" s="508"/>
      <c r="I68" s="219" t="e">
        <f t="shared" ref="I68:I72" si="36">AVERAGE(P68,U68,Z68,AE68,AJ68,AO68,AT68)</f>
        <v>#DIV/0!</v>
      </c>
      <c r="J68" s="219" t="e">
        <f t="shared" ref="J68:J72" si="37">AVERAGE(Q68,V68,AA68,AF68,AK68,AP68,AU68)</f>
        <v>#DIV/0!</v>
      </c>
      <c r="K68" s="220" t="e">
        <f t="shared" ref="K68:K72" si="38">AVERAGE(R68,W68,AB68,AG68,AL68,AQ68,AV68)</f>
        <v>#DIV/0!</v>
      </c>
      <c r="L68" s="457"/>
      <c r="M68" s="221" t="e">
        <f>RANK(K68, K$87:$K$101)</f>
        <v>#DIV/0!</v>
      </c>
      <c r="N68" s="475"/>
      <c r="O68" s="475"/>
      <c r="P68" s="351"/>
      <c r="Q68" s="187"/>
      <c r="R68" s="354"/>
      <c r="S68" s="351" t="e">
        <f t="shared" ref="S68:S81" si="39">RANK(R68, R$87:R$101)</f>
        <v>#N/A</v>
      </c>
      <c r="T68" s="485"/>
      <c r="U68" s="351"/>
      <c r="V68" s="187"/>
      <c r="W68" s="354"/>
      <c r="X68" s="351" t="e">
        <f t="shared" ref="X68:X81" si="40">RANK(W68, W$87:W$101)</f>
        <v>#N/A</v>
      </c>
      <c r="Y68" s="485"/>
      <c r="Z68" s="351"/>
      <c r="AA68" s="187"/>
      <c r="AB68" s="354"/>
      <c r="AC68" s="351" t="e">
        <f t="shared" ref="AC68:AC81" si="41">RANK(AB68, AB$87:AB$101)</f>
        <v>#N/A</v>
      </c>
      <c r="AD68" s="485"/>
      <c r="AE68" s="351"/>
      <c r="AF68" s="187"/>
      <c r="AG68" s="354"/>
      <c r="AH68" s="351" t="e">
        <f t="shared" ref="AH68:AH81" si="42">RANK(AG68, AG$87:AG$101)</f>
        <v>#N/A</v>
      </c>
      <c r="AI68" s="485"/>
      <c r="AJ68" s="351"/>
      <c r="AK68" s="187"/>
      <c r="AL68" s="354"/>
      <c r="AM68" s="351" t="e">
        <f t="shared" ref="AM68:AM81" si="43">RANK(AL68, AL$87:AL$101)</f>
        <v>#N/A</v>
      </c>
      <c r="AN68" s="485"/>
      <c r="AO68" s="351"/>
      <c r="AP68" s="187"/>
      <c r="AQ68" s="354"/>
      <c r="AR68" s="351" t="e">
        <f t="shared" ref="AR68:AR81" si="44">RANK(AQ68, AQ$87:AQ$101)</f>
        <v>#N/A</v>
      </c>
      <c r="AS68" s="485"/>
      <c r="AT68" s="351"/>
      <c r="AU68" s="187"/>
      <c r="AV68" s="354"/>
      <c r="AW68" s="351" t="e">
        <f t="shared" ref="AW68:AW81" si="45">RANK(AV68, AV$87:AV$101)</f>
        <v>#N/A</v>
      </c>
      <c r="AX68" s="485"/>
    </row>
    <row r="69" spans="2:50">
      <c r="B69" s="483"/>
      <c r="C69" s="351">
        <v>3</v>
      </c>
      <c r="D69" s="257"/>
      <c r="E69" s="187"/>
      <c r="F69" s="351"/>
      <c r="G69" s="354"/>
      <c r="H69" s="508"/>
      <c r="I69" s="219" t="e">
        <f t="shared" si="36"/>
        <v>#DIV/0!</v>
      </c>
      <c r="J69" s="219" t="e">
        <f t="shared" si="37"/>
        <v>#DIV/0!</v>
      </c>
      <c r="K69" s="220" t="e">
        <f t="shared" si="38"/>
        <v>#DIV/0!</v>
      </c>
      <c r="L69" s="457"/>
      <c r="M69" s="221" t="e">
        <f>RANK(K69, K$87:$K$101)</f>
        <v>#DIV/0!</v>
      </c>
      <c r="N69" s="475"/>
      <c r="O69" s="475"/>
      <c r="P69" s="351"/>
      <c r="Q69" s="187"/>
      <c r="R69" s="354"/>
      <c r="S69" s="351" t="e">
        <f t="shared" si="39"/>
        <v>#N/A</v>
      </c>
      <c r="T69" s="485"/>
      <c r="U69" s="351"/>
      <c r="V69" s="187"/>
      <c r="W69" s="354"/>
      <c r="X69" s="351" t="e">
        <f t="shared" si="40"/>
        <v>#N/A</v>
      </c>
      <c r="Y69" s="485"/>
      <c r="Z69" s="351"/>
      <c r="AA69" s="187"/>
      <c r="AB69" s="354"/>
      <c r="AC69" s="351" t="e">
        <f t="shared" si="41"/>
        <v>#N/A</v>
      </c>
      <c r="AD69" s="485"/>
      <c r="AE69" s="351"/>
      <c r="AF69" s="187"/>
      <c r="AG69" s="354"/>
      <c r="AH69" s="351" t="e">
        <f t="shared" si="42"/>
        <v>#N/A</v>
      </c>
      <c r="AI69" s="485"/>
      <c r="AJ69" s="351"/>
      <c r="AK69" s="187"/>
      <c r="AL69" s="354"/>
      <c r="AM69" s="351" t="e">
        <f t="shared" si="43"/>
        <v>#N/A</v>
      </c>
      <c r="AN69" s="485"/>
      <c r="AO69" s="351"/>
      <c r="AP69" s="187"/>
      <c r="AQ69" s="354"/>
      <c r="AR69" s="351" t="e">
        <f t="shared" si="44"/>
        <v>#N/A</v>
      </c>
      <c r="AS69" s="485"/>
      <c r="AT69" s="351"/>
      <c r="AU69" s="187"/>
      <c r="AV69" s="354"/>
      <c r="AW69" s="351" t="e">
        <f t="shared" si="45"/>
        <v>#N/A</v>
      </c>
      <c r="AX69" s="485"/>
    </row>
    <row r="70" spans="2:50">
      <c r="B70" s="483"/>
      <c r="C70" s="351">
        <v>4</v>
      </c>
      <c r="D70" s="257"/>
      <c r="E70" s="187"/>
      <c r="F70" s="351"/>
      <c r="G70" s="354"/>
      <c r="H70" s="508"/>
      <c r="I70" s="219" t="e">
        <f t="shared" si="36"/>
        <v>#DIV/0!</v>
      </c>
      <c r="J70" s="219" t="e">
        <f t="shared" si="37"/>
        <v>#DIV/0!</v>
      </c>
      <c r="K70" s="220" t="e">
        <f t="shared" si="38"/>
        <v>#DIV/0!</v>
      </c>
      <c r="L70" s="457"/>
      <c r="M70" s="221" t="e">
        <f>RANK(K70, K$87:$K$101)</f>
        <v>#DIV/0!</v>
      </c>
      <c r="N70" s="475"/>
      <c r="O70" s="475"/>
      <c r="P70" s="351"/>
      <c r="Q70" s="187"/>
      <c r="R70" s="354"/>
      <c r="S70" s="351" t="e">
        <f t="shared" si="39"/>
        <v>#N/A</v>
      </c>
      <c r="T70" s="485"/>
      <c r="U70" s="351"/>
      <c r="V70" s="187"/>
      <c r="W70" s="354"/>
      <c r="X70" s="351" t="e">
        <f t="shared" si="40"/>
        <v>#N/A</v>
      </c>
      <c r="Y70" s="485"/>
      <c r="Z70" s="351"/>
      <c r="AA70" s="187"/>
      <c r="AB70" s="354"/>
      <c r="AC70" s="351" t="e">
        <f t="shared" si="41"/>
        <v>#N/A</v>
      </c>
      <c r="AD70" s="485"/>
      <c r="AE70" s="351"/>
      <c r="AF70" s="187"/>
      <c r="AG70" s="354"/>
      <c r="AH70" s="351" t="e">
        <f t="shared" si="42"/>
        <v>#N/A</v>
      </c>
      <c r="AI70" s="485"/>
      <c r="AJ70" s="351"/>
      <c r="AK70" s="187"/>
      <c r="AL70" s="354"/>
      <c r="AM70" s="351" t="e">
        <f t="shared" si="43"/>
        <v>#N/A</v>
      </c>
      <c r="AN70" s="485"/>
      <c r="AO70" s="351"/>
      <c r="AP70" s="187"/>
      <c r="AQ70" s="354"/>
      <c r="AR70" s="351" t="e">
        <f t="shared" si="44"/>
        <v>#N/A</v>
      </c>
      <c r="AS70" s="485"/>
      <c r="AT70" s="351"/>
      <c r="AU70" s="187"/>
      <c r="AV70" s="354"/>
      <c r="AW70" s="351" t="e">
        <f t="shared" si="45"/>
        <v>#N/A</v>
      </c>
      <c r="AX70" s="485"/>
    </row>
    <row r="71" spans="2:50">
      <c r="B71" s="483"/>
      <c r="C71" s="351">
        <v>5</v>
      </c>
      <c r="D71" s="257"/>
      <c r="E71" s="187"/>
      <c r="F71" s="351"/>
      <c r="G71" s="354"/>
      <c r="H71" s="508"/>
      <c r="I71" s="219" t="e">
        <f t="shared" si="36"/>
        <v>#DIV/0!</v>
      </c>
      <c r="J71" s="219" t="e">
        <f t="shared" si="37"/>
        <v>#DIV/0!</v>
      </c>
      <c r="K71" s="220" t="e">
        <f t="shared" si="38"/>
        <v>#DIV/0!</v>
      </c>
      <c r="L71" s="457"/>
      <c r="M71" s="221" t="e">
        <f>RANK(K71, K$87:$K$101)</f>
        <v>#DIV/0!</v>
      </c>
      <c r="N71" s="475"/>
      <c r="O71" s="475"/>
      <c r="P71" s="351"/>
      <c r="Q71" s="187"/>
      <c r="R71" s="354"/>
      <c r="S71" s="351" t="e">
        <f t="shared" si="39"/>
        <v>#N/A</v>
      </c>
      <c r="T71" s="485"/>
      <c r="U71" s="351"/>
      <c r="V71" s="187"/>
      <c r="W71" s="354"/>
      <c r="X71" s="351" t="e">
        <f t="shared" si="40"/>
        <v>#N/A</v>
      </c>
      <c r="Y71" s="485"/>
      <c r="Z71" s="351"/>
      <c r="AA71" s="187"/>
      <c r="AB71" s="354"/>
      <c r="AC71" s="351" t="e">
        <f t="shared" si="41"/>
        <v>#N/A</v>
      </c>
      <c r="AD71" s="485"/>
      <c r="AE71" s="351"/>
      <c r="AF71" s="187"/>
      <c r="AG71" s="354"/>
      <c r="AH71" s="351" t="e">
        <f t="shared" si="42"/>
        <v>#N/A</v>
      </c>
      <c r="AI71" s="485"/>
      <c r="AJ71" s="351"/>
      <c r="AK71" s="187"/>
      <c r="AL71" s="354"/>
      <c r="AM71" s="351" t="e">
        <f t="shared" si="43"/>
        <v>#N/A</v>
      </c>
      <c r="AN71" s="485"/>
      <c r="AO71" s="351"/>
      <c r="AP71" s="187"/>
      <c r="AQ71" s="354"/>
      <c r="AR71" s="351" t="e">
        <f t="shared" si="44"/>
        <v>#N/A</v>
      </c>
      <c r="AS71" s="485"/>
      <c r="AT71" s="351"/>
      <c r="AU71" s="187"/>
      <c r="AV71" s="354"/>
      <c r="AW71" s="351" t="e">
        <f t="shared" si="45"/>
        <v>#N/A</v>
      </c>
      <c r="AX71" s="485"/>
    </row>
    <row r="72" spans="2:50">
      <c r="B72" s="483"/>
      <c r="C72" s="351">
        <v>6</v>
      </c>
      <c r="D72" s="257"/>
      <c r="E72" s="187"/>
      <c r="F72" s="351"/>
      <c r="G72" s="354"/>
      <c r="H72" s="508"/>
      <c r="I72" s="219" t="e">
        <f t="shared" si="36"/>
        <v>#DIV/0!</v>
      </c>
      <c r="J72" s="219" t="e">
        <f t="shared" si="37"/>
        <v>#DIV/0!</v>
      </c>
      <c r="K72" s="220" t="e">
        <f t="shared" si="38"/>
        <v>#DIV/0!</v>
      </c>
      <c r="L72" s="457"/>
      <c r="M72" s="221" t="e">
        <f>RANK(K72, K$87:$K$101)</f>
        <v>#DIV/0!</v>
      </c>
      <c r="N72" s="475"/>
      <c r="O72" s="475"/>
      <c r="P72" s="351"/>
      <c r="Q72" s="351"/>
      <c r="R72" s="351"/>
      <c r="S72" s="351" t="e">
        <f t="shared" si="39"/>
        <v>#N/A</v>
      </c>
      <c r="T72" s="485"/>
      <c r="U72" s="351"/>
      <c r="V72" s="351"/>
      <c r="W72" s="351"/>
      <c r="X72" s="351" t="e">
        <f t="shared" si="40"/>
        <v>#N/A</v>
      </c>
      <c r="Y72" s="485"/>
      <c r="Z72" s="351"/>
      <c r="AA72" s="351"/>
      <c r="AB72" s="351"/>
      <c r="AC72" s="351" t="e">
        <f t="shared" si="41"/>
        <v>#N/A</v>
      </c>
      <c r="AD72" s="485"/>
      <c r="AE72" s="351"/>
      <c r="AF72" s="351"/>
      <c r="AG72" s="351"/>
      <c r="AH72" s="351" t="e">
        <f t="shared" si="42"/>
        <v>#N/A</v>
      </c>
      <c r="AI72" s="485"/>
      <c r="AJ72" s="351"/>
      <c r="AK72" s="351"/>
      <c r="AL72" s="351"/>
      <c r="AM72" s="351" t="e">
        <f t="shared" si="43"/>
        <v>#N/A</v>
      </c>
      <c r="AN72" s="485"/>
      <c r="AO72" s="351"/>
      <c r="AP72" s="351"/>
      <c r="AQ72" s="351"/>
      <c r="AR72" s="351" t="e">
        <f t="shared" si="44"/>
        <v>#N/A</v>
      </c>
      <c r="AS72" s="485"/>
      <c r="AT72" s="351"/>
      <c r="AU72" s="187"/>
      <c r="AV72" s="354"/>
      <c r="AW72" s="351" t="e">
        <f t="shared" si="45"/>
        <v>#N/A</v>
      </c>
      <c r="AX72" s="485"/>
    </row>
    <row r="73" spans="2:50">
      <c r="B73" s="483"/>
      <c r="C73" s="351">
        <v>7</v>
      </c>
      <c r="D73" s="257"/>
      <c r="E73" s="187"/>
      <c r="F73" s="351"/>
      <c r="G73" s="354"/>
      <c r="H73" s="508"/>
      <c r="I73" s="219"/>
      <c r="J73" s="219"/>
      <c r="K73" s="220"/>
      <c r="L73" s="457"/>
      <c r="M73" s="221" t="e">
        <f>RANK(K73, K$87:$K$101)</f>
        <v>#DIV/0!</v>
      </c>
      <c r="N73" s="475"/>
      <c r="O73" s="475"/>
      <c r="P73" s="351"/>
      <c r="Q73" s="351"/>
      <c r="R73" s="351"/>
      <c r="S73" s="351" t="e">
        <f t="shared" si="39"/>
        <v>#N/A</v>
      </c>
      <c r="T73" s="485"/>
      <c r="U73" s="351"/>
      <c r="V73" s="351"/>
      <c r="W73" s="351"/>
      <c r="X73" s="351" t="e">
        <f t="shared" si="40"/>
        <v>#N/A</v>
      </c>
      <c r="Y73" s="485"/>
      <c r="Z73" s="351"/>
      <c r="AA73" s="351"/>
      <c r="AB73" s="351"/>
      <c r="AC73" s="351" t="e">
        <f t="shared" si="41"/>
        <v>#N/A</v>
      </c>
      <c r="AD73" s="485"/>
      <c r="AE73" s="351"/>
      <c r="AF73" s="351"/>
      <c r="AG73" s="351"/>
      <c r="AH73" s="351" t="e">
        <f t="shared" si="42"/>
        <v>#N/A</v>
      </c>
      <c r="AI73" s="485"/>
      <c r="AJ73" s="351"/>
      <c r="AK73" s="351"/>
      <c r="AL73" s="351"/>
      <c r="AM73" s="351" t="e">
        <f t="shared" si="43"/>
        <v>#N/A</v>
      </c>
      <c r="AN73" s="485"/>
      <c r="AO73" s="351"/>
      <c r="AP73" s="351"/>
      <c r="AQ73" s="351"/>
      <c r="AR73" s="351" t="e">
        <f t="shared" si="44"/>
        <v>#N/A</v>
      </c>
      <c r="AS73" s="485"/>
      <c r="AT73" s="351"/>
      <c r="AU73" s="351"/>
      <c r="AV73" s="351"/>
      <c r="AW73" s="351" t="e">
        <f t="shared" si="45"/>
        <v>#N/A</v>
      </c>
      <c r="AX73" s="485"/>
    </row>
    <row r="74" spans="2:50">
      <c r="B74" s="483"/>
      <c r="C74" s="351">
        <v>8</v>
      </c>
      <c r="D74" s="257"/>
      <c r="E74" s="187"/>
      <c r="F74" s="351"/>
      <c r="G74" s="354"/>
      <c r="H74" s="508"/>
      <c r="I74" s="219"/>
      <c r="J74" s="219"/>
      <c r="K74" s="220"/>
      <c r="L74" s="457"/>
      <c r="M74" s="221" t="e">
        <f>RANK(K74, K$87:$K$101)</f>
        <v>#DIV/0!</v>
      </c>
      <c r="N74" s="475"/>
      <c r="O74" s="475"/>
      <c r="P74" s="351"/>
      <c r="Q74" s="351"/>
      <c r="R74" s="351"/>
      <c r="S74" s="351" t="e">
        <f t="shared" si="39"/>
        <v>#N/A</v>
      </c>
      <c r="T74" s="485"/>
      <c r="U74" s="351"/>
      <c r="V74" s="351"/>
      <c r="W74" s="351"/>
      <c r="X74" s="351" t="e">
        <f t="shared" si="40"/>
        <v>#N/A</v>
      </c>
      <c r="Y74" s="485"/>
      <c r="Z74" s="351"/>
      <c r="AA74" s="351"/>
      <c r="AB74" s="351"/>
      <c r="AC74" s="351" t="e">
        <f t="shared" si="41"/>
        <v>#N/A</v>
      </c>
      <c r="AD74" s="485"/>
      <c r="AE74" s="351"/>
      <c r="AF74" s="351"/>
      <c r="AG74" s="351"/>
      <c r="AH74" s="351" t="e">
        <f t="shared" si="42"/>
        <v>#N/A</v>
      </c>
      <c r="AI74" s="485"/>
      <c r="AJ74" s="351"/>
      <c r="AK74" s="351"/>
      <c r="AL74" s="351"/>
      <c r="AM74" s="351" t="e">
        <f t="shared" si="43"/>
        <v>#N/A</v>
      </c>
      <c r="AN74" s="485"/>
      <c r="AO74" s="351"/>
      <c r="AP74" s="351"/>
      <c r="AQ74" s="351"/>
      <c r="AR74" s="351" t="e">
        <f t="shared" si="44"/>
        <v>#N/A</v>
      </c>
      <c r="AS74" s="485"/>
      <c r="AT74" s="351"/>
      <c r="AU74" s="351"/>
      <c r="AV74" s="351"/>
      <c r="AW74" s="351" t="e">
        <f t="shared" si="45"/>
        <v>#N/A</v>
      </c>
      <c r="AX74" s="485"/>
    </row>
    <row r="75" spans="2:50">
      <c r="B75" s="483"/>
      <c r="C75" s="351">
        <v>9</v>
      </c>
      <c r="D75" s="257"/>
      <c r="E75" s="187"/>
      <c r="F75" s="351"/>
      <c r="G75" s="354"/>
      <c r="H75" s="508"/>
      <c r="I75" s="219"/>
      <c r="J75" s="219"/>
      <c r="K75" s="220"/>
      <c r="L75" s="457"/>
      <c r="M75" s="221" t="e">
        <f>RANK(K75, K$87:$K$101)</f>
        <v>#DIV/0!</v>
      </c>
      <c r="N75" s="475"/>
      <c r="O75" s="475"/>
      <c r="P75" s="351"/>
      <c r="Q75" s="351"/>
      <c r="R75" s="351"/>
      <c r="S75" s="351" t="e">
        <f t="shared" si="39"/>
        <v>#N/A</v>
      </c>
      <c r="T75" s="485"/>
      <c r="U75" s="351"/>
      <c r="V75" s="351"/>
      <c r="W75" s="351"/>
      <c r="X75" s="351" t="e">
        <f t="shared" si="40"/>
        <v>#N/A</v>
      </c>
      <c r="Y75" s="485"/>
      <c r="Z75" s="351"/>
      <c r="AA75" s="351"/>
      <c r="AB75" s="351"/>
      <c r="AC75" s="351" t="e">
        <f t="shared" si="41"/>
        <v>#N/A</v>
      </c>
      <c r="AD75" s="485"/>
      <c r="AE75" s="351"/>
      <c r="AF75" s="351"/>
      <c r="AG75" s="351"/>
      <c r="AH75" s="351" t="e">
        <f t="shared" si="42"/>
        <v>#N/A</v>
      </c>
      <c r="AI75" s="485"/>
      <c r="AJ75" s="351"/>
      <c r="AK75" s="351"/>
      <c r="AL75" s="351"/>
      <c r="AM75" s="351" t="e">
        <f t="shared" si="43"/>
        <v>#N/A</v>
      </c>
      <c r="AN75" s="485"/>
      <c r="AO75" s="351"/>
      <c r="AP75" s="351"/>
      <c r="AQ75" s="351"/>
      <c r="AR75" s="351" t="e">
        <f t="shared" si="44"/>
        <v>#N/A</v>
      </c>
      <c r="AS75" s="485"/>
      <c r="AT75" s="351"/>
      <c r="AU75" s="351"/>
      <c r="AV75" s="351"/>
      <c r="AW75" s="351" t="e">
        <f t="shared" si="45"/>
        <v>#N/A</v>
      </c>
      <c r="AX75" s="485"/>
    </row>
    <row r="76" spans="2:50">
      <c r="B76" s="483"/>
      <c r="C76" s="351">
        <v>10</v>
      </c>
      <c r="D76" s="257"/>
      <c r="E76" s="187"/>
      <c r="F76" s="351"/>
      <c r="G76" s="354"/>
      <c r="H76" s="508"/>
      <c r="I76" s="219"/>
      <c r="J76" s="219"/>
      <c r="K76" s="220"/>
      <c r="L76" s="457"/>
      <c r="M76" s="221" t="e">
        <f>RANK(K76, K$87:$K$101)</f>
        <v>#DIV/0!</v>
      </c>
      <c r="N76" s="475"/>
      <c r="O76" s="475"/>
      <c r="P76" s="351"/>
      <c r="Q76" s="351"/>
      <c r="R76" s="351"/>
      <c r="S76" s="351" t="e">
        <f t="shared" si="39"/>
        <v>#N/A</v>
      </c>
      <c r="T76" s="485"/>
      <c r="U76" s="351"/>
      <c r="V76" s="351"/>
      <c r="W76" s="351"/>
      <c r="X76" s="351" t="e">
        <f t="shared" si="40"/>
        <v>#N/A</v>
      </c>
      <c r="Y76" s="485"/>
      <c r="Z76" s="351"/>
      <c r="AA76" s="351"/>
      <c r="AB76" s="351"/>
      <c r="AC76" s="351" t="e">
        <f t="shared" si="41"/>
        <v>#N/A</v>
      </c>
      <c r="AD76" s="485"/>
      <c r="AE76" s="351"/>
      <c r="AF76" s="351"/>
      <c r="AG76" s="351"/>
      <c r="AH76" s="351" t="e">
        <f t="shared" si="42"/>
        <v>#N/A</v>
      </c>
      <c r="AI76" s="485"/>
      <c r="AJ76" s="351"/>
      <c r="AK76" s="351"/>
      <c r="AL76" s="351"/>
      <c r="AM76" s="351" t="e">
        <f t="shared" si="43"/>
        <v>#N/A</v>
      </c>
      <c r="AN76" s="485"/>
      <c r="AO76" s="351"/>
      <c r="AP76" s="351"/>
      <c r="AQ76" s="351"/>
      <c r="AR76" s="351" t="e">
        <f t="shared" si="44"/>
        <v>#N/A</v>
      </c>
      <c r="AS76" s="485"/>
      <c r="AT76" s="351"/>
      <c r="AU76" s="351"/>
      <c r="AV76" s="351"/>
      <c r="AW76" s="351" t="e">
        <f t="shared" si="45"/>
        <v>#N/A</v>
      </c>
      <c r="AX76" s="485"/>
    </row>
    <row r="77" spans="2:50">
      <c r="B77" s="483"/>
      <c r="C77" s="351">
        <v>11</v>
      </c>
      <c r="D77" s="257"/>
      <c r="E77" s="187"/>
      <c r="F77" s="351"/>
      <c r="G77" s="354"/>
      <c r="H77" s="508"/>
      <c r="I77" s="219"/>
      <c r="J77" s="219"/>
      <c r="K77" s="220"/>
      <c r="L77" s="457"/>
      <c r="M77" s="221" t="e">
        <f>RANK(K77, K$87:$K$101)</f>
        <v>#DIV/0!</v>
      </c>
      <c r="N77" s="475"/>
      <c r="O77" s="475"/>
      <c r="P77" s="351"/>
      <c r="Q77" s="351"/>
      <c r="R77" s="351"/>
      <c r="S77" s="351" t="e">
        <f t="shared" si="39"/>
        <v>#N/A</v>
      </c>
      <c r="T77" s="485"/>
      <c r="U77" s="351"/>
      <c r="V77" s="351"/>
      <c r="W77" s="351"/>
      <c r="X77" s="351" t="e">
        <f t="shared" si="40"/>
        <v>#N/A</v>
      </c>
      <c r="Y77" s="485"/>
      <c r="Z77" s="351"/>
      <c r="AA77" s="351"/>
      <c r="AB77" s="351"/>
      <c r="AC77" s="351" t="e">
        <f t="shared" si="41"/>
        <v>#N/A</v>
      </c>
      <c r="AD77" s="485"/>
      <c r="AE77" s="351"/>
      <c r="AF77" s="351"/>
      <c r="AG77" s="351"/>
      <c r="AH77" s="351" t="e">
        <f t="shared" si="42"/>
        <v>#N/A</v>
      </c>
      <c r="AI77" s="485"/>
      <c r="AJ77" s="351"/>
      <c r="AK77" s="351"/>
      <c r="AL77" s="351"/>
      <c r="AM77" s="351" t="e">
        <f t="shared" si="43"/>
        <v>#N/A</v>
      </c>
      <c r="AN77" s="485"/>
      <c r="AO77" s="351"/>
      <c r="AP77" s="351"/>
      <c r="AQ77" s="351"/>
      <c r="AR77" s="351" t="e">
        <f t="shared" si="44"/>
        <v>#N/A</v>
      </c>
      <c r="AS77" s="485"/>
      <c r="AT77" s="351"/>
      <c r="AU77" s="351"/>
      <c r="AV77" s="351"/>
      <c r="AW77" s="351" t="e">
        <f t="shared" si="45"/>
        <v>#N/A</v>
      </c>
      <c r="AX77" s="485"/>
    </row>
    <row r="78" spans="2:50">
      <c r="B78" s="483"/>
      <c r="C78" s="351">
        <v>12</v>
      </c>
      <c r="D78" s="257"/>
      <c r="E78" s="187"/>
      <c r="F78" s="351"/>
      <c r="G78" s="354"/>
      <c r="H78" s="508"/>
      <c r="I78" s="219"/>
      <c r="J78" s="219"/>
      <c r="K78" s="220"/>
      <c r="L78" s="457"/>
      <c r="M78" s="221" t="e">
        <f>RANK(K78, K$87:$K$101)</f>
        <v>#DIV/0!</v>
      </c>
      <c r="N78" s="475"/>
      <c r="O78" s="475"/>
      <c r="P78" s="351"/>
      <c r="Q78" s="351"/>
      <c r="R78" s="351"/>
      <c r="S78" s="351" t="e">
        <f t="shared" si="39"/>
        <v>#N/A</v>
      </c>
      <c r="T78" s="485"/>
      <c r="U78" s="351"/>
      <c r="V78" s="351"/>
      <c r="W78" s="351"/>
      <c r="X78" s="351" t="e">
        <f t="shared" si="40"/>
        <v>#N/A</v>
      </c>
      <c r="Y78" s="485"/>
      <c r="Z78" s="351"/>
      <c r="AA78" s="351"/>
      <c r="AB78" s="351"/>
      <c r="AC78" s="351" t="e">
        <f t="shared" si="41"/>
        <v>#N/A</v>
      </c>
      <c r="AD78" s="485"/>
      <c r="AE78" s="351"/>
      <c r="AF78" s="351"/>
      <c r="AG78" s="351"/>
      <c r="AH78" s="351" t="e">
        <f t="shared" si="42"/>
        <v>#N/A</v>
      </c>
      <c r="AI78" s="485"/>
      <c r="AJ78" s="351"/>
      <c r="AK78" s="351"/>
      <c r="AL78" s="351"/>
      <c r="AM78" s="351" t="e">
        <f t="shared" si="43"/>
        <v>#N/A</v>
      </c>
      <c r="AN78" s="485"/>
      <c r="AO78" s="351"/>
      <c r="AP78" s="351"/>
      <c r="AQ78" s="351"/>
      <c r="AR78" s="351" t="e">
        <f t="shared" si="44"/>
        <v>#N/A</v>
      </c>
      <c r="AS78" s="485"/>
      <c r="AT78" s="351"/>
      <c r="AU78" s="351"/>
      <c r="AV78" s="351"/>
      <c r="AW78" s="351" t="e">
        <f t="shared" si="45"/>
        <v>#N/A</v>
      </c>
      <c r="AX78" s="485"/>
    </row>
    <row r="79" spans="2:50">
      <c r="B79" s="483"/>
      <c r="C79" s="351">
        <v>13</v>
      </c>
      <c r="D79" s="257"/>
      <c r="E79" s="187"/>
      <c r="F79" s="351"/>
      <c r="G79" s="354"/>
      <c r="H79" s="508"/>
      <c r="I79" s="219"/>
      <c r="J79" s="219"/>
      <c r="K79" s="220"/>
      <c r="L79" s="457"/>
      <c r="M79" s="221" t="e">
        <f>RANK(K79, K$87:$K$101)</f>
        <v>#DIV/0!</v>
      </c>
      <c r="N79" s="475"/>
      <c r="O79" s="475"/>
      <c r="P79" s="351"/>
      <c r="Q79" s="351"/>
      <c r="R79" s="351"/>
      <c r="S79" s="351" t="e">
        <f t="shared" si="39"/>
        <v>#N/A</v>
      </c>
      <c r="T79" s="485"/>
      <c r="U79" s="351"/>
      <c r="V79" s="351"/>
      <c r="W79" s="351"/>
      <c r="X79" s="351" t="e">
        <f t="shared" si="40"/>
        <v>#N/A</v>
      </c>
      <c r="Y79" s="485"/>
      <c r="Z79" s="351"/>
      <c r="AA79" s="351"/>
      <c r="AB79" s="351"/>
      <c r="AC79" s="351" t="e">
        <f t="shared" si="41"/>
        <v>#N/A</v>
      </c>
      <c r="AD79" s="485"/>
      <c r="AE79" s="351"/>
      <c r="AF79" s="351"/>
      <c r="AG79" s="351"/>
      <c r="AH79" s="351" t="e">
        <f t="shared" si="42"/>
        <v>#N/A</v>
      </c>
      <c r="AI79" s="485"/>
      <c r="AJ79" s="351"/>
      <c r="AK79" s="351"/>
      <c r="AL79" s="351"/>
      <c r="AM79" s="351" t="e">
        <f t="shared" si="43"/>
        <v>#N/A</v>
      </c>
      <c r="AN79" s="485"/>
      <c r="AO79" s="351"/>
      <c r="AP79" s="351"/>
      <c r="AQ79" s="351"/>
      <c r="AR79" s="351" t="e">
        <f t="shared" si="44"/>
        <v>#N/A</v>
      </c>
      <c r="AS79" s="485"/>
      <c r="AT79" s="351"/>
      <c r="AU79" s="351"/>
      <c r="AV79" s="351"/>
      <c r="AW79" s="351" t="e">
        <f t="shared" si="45"/>
        <v>#N/A</v>
      </c>
      <c r="AX79" s="485"/>
    </row>
    <row r="80" spans="2:50">
      <c r="B80" s="483"/>
      <c r="C80" s="351">
        <v>14</v>
      </c>
      <c r="D80" s="257"/>
      <c r="E80" s="187"/>
      <c r="F80" s="351"/>
      <c r="G80" s="354"/>
      <c r="H80" s="508"/>
      <c r="I80" s="219"/>
      <c r="J80" s="219"/>
      <c r="K80" s="220"/>
      <c r="L80" s="457"/>
      <c r="M80" s="221" t="e">
        <f>RANK(K80, K$87:$K$101)</f>
        <v>#DIV/0!</v>
      </c>
      <c r="N80" s="475"/>
      <c r="O80" s="475"/>
      <c r="P80" s="351"/>
      <c r="Q80" s="351"/>
      <c r="R80" s="351"/>
      <c r="S80" s="351" t="e">
        <f t="shared" si="39"/>
        <v>#N/A</v>
      </c>
      <c r="T80" s="485"/>
      <c r="U80" s="351"/>
      <c r="V80" s="351"/>
      <c r="W80" s="351"/>
      <c r="X80" s="351" t="e">
        <f t="shared" si="40"/>
        <v>#N/A</v>
      </c>
      <c r="Y80" s="485"/>
      <c r="Z80" s="351"/>
      <c r="AA80" s="351"/>
      <c r="AB80" s="351"/>
      <c r="AC80" s="351" t="e">
        <f t="shared" si="41"/>
        <v>#N/A</v>
      </c>
      <c r="AD80" s="485"/>
      <c r="AE80" s="351"/>
      <c r="AF80" s="351"/>
      <c r="AG80" s="351"/>
      <c r="AH80" s="351" t="e">
        <f t="shared" si="42"/>
        <v>#N/A</v>
      </c>
      <c r="AI80" s="485"/>
      <c r="AJ80" s="351"/>
      <c r="AK80" s="351"/>
      <c r="AL80" s="351"/>
      <c r="AM80" s="351" t="e">
        <f t="shared" si="43"/>
        <v>#N/A</v>
      </c>
      <c r="AN80" s="485"/>
      <c r="AO80" s="351"/>
      <c r="AP80" s="351"/>
      <c r="AQ80" s="351"/>
      <c r="AR80" s="351" t="e">
        <f t="shared" si="44"/>
        <v>#N/A</v>
      </c>
      <c r="AS80" s="485"/>
      <c r="AT80" s="351"/>
      <c r="AU80" s="351"/>
      <c r="AV80" s="351"/>
      <c r="AW80" s="351" t="e">
        <f t="shared" si="45"/>
        <v>#N/A</v>
      </c>
      <c r="AX80" s="485"/>
    </row>
    <row r="81" spans="2:50">
      <c r="B81" s="483"/>
      <c r="C81" s="351">
        <v>15</v>
      </c>
      <c r="D81" s="257"/>
      <c r="E81" s="187"/>
      <c r="F81" s="351"/>
      <c r="G81" s="354"/>
      <c r="H81" s="509"/>
      <c r="I81" s="219"/>
      <c r="J81" s="219"/>
      <c r="K81" s="220"/>
      <c r="L81" s="458"/>
      <c r="M81" s="219" t="e">
        <f>RANK(K81, K$87:$K$101)</f>
        <v>#DIV/0!</v>
      </c>
      <c r="N81" s="475"/>
      <c r="O81" s="475"/>
      <c r="P81" s="351"/>
      <c r="Q81" s="351"/>
      <c r="R81" s="351"/>
      <c r="S81" s="351" t="e">
        <f t="shared" si="39"/>
        <v>#N/A</v>
      </c>
      <c r="T81" s="486"/>
      <c r="U81" s="351"/>
      <c r="V81" s="351"/>
      <c r="W81" s="351"/>
      <c r="X81" s="351" t="e">
        <f t="shared" si="40"/>
        <v>#N/A</v>
      </c>
      <c r="Y81" s="486"/>
      <c r="Z81" s="351"/>
      <c r="AA81" s="351"/>
      <c r="AB81" s="351"/>
      <c r="AC81" s="351" t="e">
        <f t="shared" si="41"/>
        <v>#N/A</v>
      </c>
      <c r="AD81" s="486"/>
      <c r="AE81" s="351"/>
      <c r="AF81" s="351"/>
      <c r="AG81" s="351"/>
      <c r="AH81" s="351" t="e">
        <f t="shared" si="42"/>
        <v>#N/A</v>
      </c>
      <c r="AI81" s="486"/>
      <c r="AJ81" s="351"/>
      <c r="AK81" s="351"/>
      <c r="AL81" s="351"/>
      <c r="AM81" s="351" t="e">
        <f t="shared" si="43"/>
        <v>#N/A</v>
      </c>
      <c r="AN81" s="486"/>
      <c r="AO81" s="351"/>
      <c r="AP81" s="351"/>
      <c r="AQ81" s="351"/>
      <c r="AR81" s="351" t="e">
        <f t="shared" si="44"/>
        <v>#N/A</v>
      </c>
      <c r="AS81" s="486"/>
      <c r="AT81" s="351"/>
      <c r="AU81" s="351"/>
      <c r="AV81" s="351"/>
      <c r="AW81" s="351" t="e">
        <f t="shared" si="45"/>
        <v>#N/A</v>
      </c>
      <c r="AX81" s="486"/>
    </row>
    <row r="82" spans="2:50" ht="15.75">
      <c r="B82" s="487" t="s">
        <v>172</v>
      </c>
      <c r="C82" s="488"/>
      <c r="D82" s="488"/>
      <c r="E82" s="488"/>
      <c r="F82" s="488"/>
      <c r="G82" s="488"/>
      <c r="H82" s="489"/>
      <c r="I82" s="228"/>
      <c r="J82" s="228"/>
      <c r="K82" s="228"/>
      <c r="L82" s="228"/>
      <c r="M82" s="227"/>
      <c r="N82" s="476" t="s">
        <v>164</v>
      </c>
      <c r="O82" s="476" t="s">
        <v>105</v>
      </c>
      <c r="P82" s="482">
        <f>P62+7</f>
        <v>45923</v>
      </c>
      <c r="Q82" s="483"/>
      <c r="R82" s="483"/>
      <c r="S82" s="483"/>
      <c r="T82" s="483"/>
      <c r="U82" s="479">
        <f>P82+1</f>
        <v>45924</v>
      </c>
      <c r="V82" s="480"/>
      <c r="W82" s="480"/>
      <c r="X82" s="480"/>
      <c r="Y82" s="481"/>
      <c r="Z82" s="479">
        <f>U82+1</f>
        <v>45925</v>
      </c>
      <c r="AA82" s="480"/>
      <c r="AB82" s="480"/>
      <c r="AC82" s="480"/>
      <c r="AD82" s="481"/>
      <c r="AE82" s="479">
        <f t="shared" ref="AE82" si="46">Z82+1</f>
        <v>45926</v>
      </c>
      <c r="AF82" s="480"/>
      <c r="AG82" s="480"/>
      <c r="AH82" s="480"/>
      <c r="AI82" s="481"/>
      <c r="AJ82" s="479">
        <f t="shared" ref="AJ82" si="47">AE82+1</f>
        <v>45927</v>
      </c>
      <c r="AK82" s="480"/>
      <c r="AL82" s="480"/>
      <c r="AM82" s="480"/>
      <c r="AN82" s="481"/>
      <c r="AO82" s="479">
        <f t="shared" ref="AO82" si="48">AJ82+1</f>
        <v>45928</v>
      </c>
      <c r="AP82" s="480"/>
      <c r="AQ82" s="480"/>
      <c r="AR82" s="480"/>
      <c r="AS82" s="481"/>
      <c r="AT82" s="479">
        <f t="shared" ref="AT82" si="49">AO82+1</f>
        <v>45929</v>
      </c>
      <c r="AU82" s="480"/>
      <c r="AV82" s="480"/>
      <c r="AW82" s="480"/>
      <c r="AX82" s="481"/>
    </row>
    <row r="83" spans="2:50" ht="15.75">
      <c r="B83" s="490"/>
      <c r="C83" s="490"/>
      <c r="D83" s="490"/>
      <c r="E83" s="490"/>
      <c r="F83" s="490"/>
      <c r="G83" s="490"/>
      <c r="H83" s="490"/>
      <c r="I83" s="225"/>
      <c r="J83" s="225"/>
      <c r="K83" s="225"/>
      <c r="L83" s="225"/>
      <c r="M83" s="226"/>
      <c r="N83" s="478"/>
      <c r="O83" s="478"/>
      <c r="P83" s="482" t="s">
        <v>393</v>
      </c>
      <c r="Q83" s="483"/>
      <c r="R83" s="483"/>
      <c r="S83" s="483"/>
      <c r="T83" s="483"/>
      <c r="U83" s="482" t="s">
        <v>394</v>
      </c>
      <c r="V83" s="483"/>
      <c r="W83" s="483"/>
      <c r="X83" s="483"/>
      <c r="Y83" s="483"/>
      <c r="Z83" s="482" t="s">
        <v>395</v>
      </c>
      <c r="AA83" s="483"/>
      <c r="AB83" s="483"/>
      <c r="AC83" s="483"/>
      <c r="AD83" s="483"/>
      <c r="AE83" s="482" t="s">
        <v>396</v>
      </c>
      <c r="AF83" s="483"/>
      <c r="AG83" s="483"/>
      <c r="AH83" s="483"/>
      <c r="AI83" s="483"/>
      <c r="AJ83" s="482" t="s">
        <v>397</v>
      </c>
      <c r="AK83" s="483"/>
      <c r="AL83" s="483"/>
      <c r="AM83" s="483"/>
      <c r="AN83" s="483"/>
      <c r="AO83" s="482" t="s">
        <v>398</v>
      </c>
      <c r="AP83" s="483"/>
      <c r="AQ83" s="483"/>
      <c r="AR83" s="483"/>
      <c r="AS83" s="483"/>
      <c r="AT83" s="482" t="s">
        <v>399</v>
      </c>
      <c r="AU83" s="483"/>
      <c r="AV83" s="483"/>
      <c r="AW83" s="483"/>
      <c r="AX83" s="483"/>
    </row>
    <row r="84" spans="2:50">
      <c r="B84" s="475" t="s">
        <v>726</v>
      </c>
      <c r="C84" s="475" t="s">
        <v>727</v>
      </c>
      <c r="D84" s="475"/>
      <c r="E84" s="475" t="s">
        <v>728</v>
      </c>
      <c r="F84" s="475"/>
      <c r="G84" s="475"/>
      <c r="H84" s="491" t="s">
        <v>729</v>
      </c>
      <c r="I84" s="459" t="s">
        <v>730</v>
      </c>
      <c r="J84" s="459"/>
      <c r="K84" s="459"/>
      <c r="L84" s="460" t="s">
        <v>729</v>
      </c>
      <c r="M84" s="466" t="s">
        <v>731</v>
      </c>
      <c r="N84" s="475"/>
      <c r="O84" s="475" t="s">
        <v>732</v>
      </c>
      <c r="P84" s="472" t="s">
        <v>733</v>
      </c>
      <c r="Q84" s="473"/>
      <c r="R84" s="473"/>
      <c r="S84" s="474"/>
      <c r="T84" s="475" t="s">
        <v>729</v>
      </c>
      <c r="U84" s="472" t="s">
        <v>733</v>
      </c>
      <c r="V84" s="473"/>
      <c r="W84" s="473"/>
      <c r="X84" s="474"/>
      <c r="Y84" s="475" t="s">
        <v>729</v>
      </c>
      <c r="Z84" s="472" t="s">
        <v>733</v>
      </c>
      <c r="AA84" s="473"/>
      <c r="AB84" s="473"/>
      <c r="AC84" s="474"/>
      <c r="AD84" s="475" t="s">
        <v>729</v>
      </c>
      <c r="AE84" s="472" t="s">
        <v>733</v>
      </c>
      <c r="AF84" s="473"/>
      <c r="AG84" s="473"/>
      <c r="AH84" s="474"/>
      <c r="AI84" s="475" t="s">
        <v>729</v>
      </c>
      <c r="AJ84" s="472" t="s">
        <v>733</v>
      </c>
      <c r="AK84" s="473"/>
      <c r="AL84" s="473"/>
      <c r="AM84" s="474"/>
      <c r="AN84" s="475" t="s">
        <v>729</v>
      </c>
      <c r="AO84" s="472" t="s">
        <v>733</v>
      </c>
      <c r="AP84" s="473"/>
      <c r="AQ84" s="473"/>
      <c r="AR84" s="474"/>
      <c r="AS84" s="475" t="s">
        <v>729</v>
      </c>
      <c r="AT84" s="472" t="s">
        <v>733</v>
      </c>
      <c r="AU84" s="473"/>
      <c r="AV84" s="473"/>
      <c r="AW84" s="474"/>
      <c r="AX84" s="475" t="s">
        <v>729</v>
      </c>
    </row>
    <row r="85" spans="2:50">
      <c r="B85" s="475"/>
      <c r="C85" s="475"/>
      <c r="D85" s="475"/>
      <c r="E85" s="475" t="s">
        <v>734</v>
      </c>
      <c r="F85" s="475"/>
      <c r="G85" s="475"/>
      <c r="H85" s="492"/>
      <c r="I85" s="459" t="s">
        <v>734</v>
      </c>
      <c r="J85" s="459"/>
      <c r="K85" s="459"/>
      <c r="L85" s="461"/>
      <c r="M85" s="467"/>
      <c r="N85" s="475"/>
      <c r="O85" s="475"/>
      <c r="P85" s="472" t="s">
        <v>735</v>
      </c>
      <c r="Q85" s="473"/>
      <c r="R85" s="473"/>
      <c r="S85" s="474"/>
      <c r="T85" s="475"/>
      <c r="U85" s="472" t="s">
        <v>735</v>
      </c>
      <c r="V85" s="473"/>
      <c r="W85" s="473"/>
      <c r="X85" s="474"/>
      <c r="Y85" s="475"/>
      <c r="Z85" s="472" t="s">
        <v>735</v>
      </c>
      <c r="AA85" s="473"/>
      <c r="AB85" s="473"/>
      <c r="AC85" s="474"/>
      <c r="AD85" s="475"/>
      <c r="AE85" s="472" t="s">
        <v>735</v>
      </c>
      <c r="AF85" s="473"/>
      <c r="AG85" s="473"/>
      <c r="AH85" s="474"/>
      <c r="AI85" s="475"/>
      <c r="AJ85" s="472" t="s">
        <v>735</v>
      </c>
      <c r="AK85" s="473"/>
      <c r="AL85" s="473"/>
      <c r="AM85" s="474"/>
      <c r="AN85" s="475"/>
      <c r="AO85" s="472" t="s">
        <v>735</v>
      </c>
      <c r="AP85" s="473"/>
      <c r="AQ85" s="473"/>
      <c r="AR85" s="474"/>
      <c r="AS85" s="475"/>
      <c r="AT85" s="472" t="s">
        <v>735</v>
      </c>
      <c r="AU85" s="473"/>
      <c r="AV85" s="473"/>
      <c r="AW85" s="474"/>
      <c r="AX85" s="475"/>
    </row>
    <row r="86" spans="2:50">
      <c r="B86" s="475"/>
      <c r="C86" s="475"/>
      <c r="D86" s="475"/>
      <c r="E86" s="340" t="s">
        <v>736</v>
      </c>
      <c r="F86" s="340" t="s">
        <v>737</v>
      </c>
      <c r="G86" s="340" t="s">
        <v>738</v>
      </c>
      <c r="H86" s="493"/>
      <c r="I86" s="342" t="s">
        <v>736</v>
      </c>
      <c r="J86" s="342" t="s">
        <v>737</v>
      </c>
      <c r="K86" s="342" t="s">
        <v>738</v>
      </c>
      <c r="L86" s="462"/>
      <c r="M86" s="468"/>
      <c r="N86" s="475"/>
      <c r="O86" s="475"/>
      <c r="P86" s="340" t="s">
        <v>736</v>
      </c>
      <c r="Q86" s="340" t="s">
        <v>737</v>
      </c>
      <c r="R86" s="340" t="s">
        <v>738</v>
      </c>
      <c r="S86" s="340" t="s">
        <v>731</v>
      </c>
      <c r="T86" s="475"/>
      <c r="U86" s="340" t="s">
        <v>736</v>
      </c>
      <c r="V86" s="340" t="s">
        <v>737</v>
      </c>
      <c r="W86" s="340" t="s">
        <v>738</v>
      </c>
      <c r="X86" s="340" t="s">
        <v>731</v>
      </c>
      <c r="Y86" s="475"/>
      <c r="Z86" s="340" t="s">
        <v>736</v>
      </c>
      <c r="AA86" s="340" t="s">
        <v>737</v>
      </c>
      <c r="AB86" s="340" t="s">
        <v>738</v>
      </c>
      <c r="AC86" s="340" t="s">
        <v>731</v>
      </c>
      <c r="AD86" s="475"/>
      <c r="AE86" s="340" t="s">
        <v>736</v>
      </c>
      <c r="AF86" s="340" t="s">
        <v>737</v>
      </c>
      <c r="AG86" s="340" t="s">
        <v>738</v>
      </c>
      <c r="AH86" s="340" t="s">
        <v>731</v>
      </c>
      <c r="AI86" s="475"/>
      <c r="AJ86" s="340" t="s">
        <v>736</v>
      </c>
      <c r="AK86" s="340" t="s">
        <v>737</v>
      </c>
      <c r="AL86" s="340" t="s">
        <v>738</v>
      </c>
      <c r="AM86" s="340" t="s">
        <v>731</v>
      </c>
      <c r="AN86" s="475"/>
      <c r="AO86" s="340" t="s">
        <v>736</v>
      </c>
      <c r="AP86" s="340" t="s">
        <v>737</v>
      </c>
      <c r="AQ86" s="340" t="s">
        <v>738</v>
      </c>
      <c r="AR86" s="340" t="s">
        <v>731</v>
      </c>
      <c r="AS86" s="475"/>
      <c r="AT86" s="340" t="s">
        <v>736</v>
      </c>
      <c r="AU86" s="340" t="s">
        <v>737</v>
      </c>
      <c r="AV86" s="340" t="s">
        <v>738</v>
      </c>
      <c r="AW86" s="340" t="s">
        <v>731</v>
      </c>
      <c r="AX86" s="475"/>
    </row>
    <row r="87" spans="2:50">
      <c r="B87" s="475" t="s">
        <v>740</v>
      </c>
      <c r="C87" s="339">
        <v>1</v>
      </c>
      <c r="D87" s="257"/>
      <c r="E87" s="187"/>
      <c r="F87" s="339"/>
      <c r="G87" s="341"/>
      <c r="H87" s="507" t="e">
        <f>AVERAGE(G87:G101)</f>
        <v>#DIV/0!</v>
      </c>
      <c r="I87" s="219" t="e">
        <f>AVERAGE(P87,U87,Z87,AE87,AJ87,AO87,AT87)</f>
        <v>#DIV/0!</v>
      </c>
      <c r="J87" s="219" t="e">
        <f>AVERAGE(Q87,V87,AA87,AF87,AK87,AP87,AU87)</f>
        <v>#DIV/0!</v>
      </c>
      <c r="K87" s="220" t="e">
        <f>AVERAGE(R87,W87,AB87,AG87,AL87,AQ87,AV87)</f>
        <v>#DIV/0!</v>
      </c>
      <c r="L87" s="456" t="str">
        <f>IFERROR(AVERAGE(K87:K101),"-")</f>
        <v>-</v>
      </c>
      <c r="M87" s="221" t="e">
        <f>RANK(K87, K$87:$K$101)</f>
        <v>#DIV/0!</v>
      </c>
      <c r="N87" s="475"/>
      <c r="O87" s="475"/>
      <c r="P87" s="339"/>
      <c r="Q87" s="187"/>
      <c r="R87" s="341"/>
      <c r="S87" s="339" t="e">
        <f>RANK(R87, R$87:R$101)</f>
        <v>#N/A</v>
      </c>
      <c r="T87" s="484" t="e">
        <f>AVERAGE(R87:R101)</f>
        <v>#DIV/0!</v>
      </c>
      <c r="U87" s="351"/>
      <c r="V87" s="187"/>
      <c r="W87" s="354"/>
      <c r="X87" s="339" t="e">
        <f>RANK(W87, W$87:W$101)</f>
        <v>#N/A</v>
      </c>
      <c r="Y87" s="484" t="e">
        <f>AVERAGE(W87:W101)</f>
        <v>#DIV/0!</v>
      </c>
      <c r="Z87" s="351"/>
      <c r="AA87" s="187"/>
      <c r="AB87" s="354"/>
      <c r="AC87" s="339" t="e">
        <f>RANK(AB87, AB$87:AB$101)</f>
        <v>#N/A</v>
      </c>
      <c r="AD87" s="484" t="e">
        <f>AVERAGE(AB87:AB101)</f>
        <v>#DIV/0!</v>
      </c>
      <c r="AE87" s="351"/>
      <c r="AF87" s="187"/>
      <c r="AG87" s="354"/>
      <c r="AH87" s="339" t="e">
        <f>RANK(AG87, AG$87:AG$101)</f>
        <v>#N/A</v>
      </c>
      <c r="AI87" s="484" t="e">
        <f>AVERAGE(AG87:AG101)</f>
        <v>#DIV/0!</v>
      </c>
      <c r="AJ87" s="351"/>
      <c r="AK87" s="187"/>
      <c r="AL87" s="354"/>
      <c r="AM87" s="339" t="e">
        <f>RANK(AL87, AL$87:AL$101)</f>
        <v>#N/A</v>
      </c>
      <c r="AN87" s="484" t="e">
        <f>AVERAGE(AL87:AL101)</f>
        <v>#DIV/0!</v>
      </c>
      <c r="AO87" s="351"/>
      <c r="AP87" s="187"/>
      <c r="AQ87" s="354"/>
      <c r="AR87" s="339" t="e">
        <f>RANK(AQ87, AQ$87:AQ$101)</f>
        <v>#N/A</v>
      </c>
      <c r="AS87" s="484" t="e">
        <f>AVERAGE(AQ87:AQ101)</f>
        <v>#DIV/0!</v>
      </c>
      <c r="AT87" s="339"/>
      <c r="AU87" s="187"/>
      <c r="AV87" s="341"/>
      <c r="AW87" s="339" t="e">
        <f>RANK(AV87, AV$87:AV$101)</f>
        <v>#N/A</v>
      </c>
      <c r="AX87" s="484" t="e">
        <f>AVERAGE(AV87:AV101)</f>
        <v>#DIV/0!</v>
      </c>
    </row>
    <row r="88" spans="2:50">
      <c r="B88" s="483"/>
      <c r="C88" s="339">
        <v>2</v>
      </c>
      <c r="D88" s="257"/>
      <c r="E88" s="187"/>
      <c r="F88" s="339"/>
      <c r="G88" s="341"/>
      <c r="H88" s="508"/>
      <c r="I88" s="219" t="e">
        <f t="shared" ref="I88:K92" si="50">AVERAGE(P88,U88,Z88,AE88,AJ88,AO88,AT88)</f>
        <v>#DIV/0!</v>
      </c>
      <c r="J88" s="219" t="e">
        <f t="shared" si="50"/>
        <v>#DIV/0!</v>
      </c>
      <c r="K88" s="220" t="e">
        <f t="shared" si="50"/>
        <v>#DIV/0!</v>
      </c>
      <c r="L88" s="457"/>
      <c r="M88" s="221" t="e">
        <f>RANK(K88, K$87:$K$101)</f>
        <v>#DIV/0!</v>
      </c>
      <c r="N88" s="475"/>
      <c r="O88" s="475"/>
      <c r="P88" s="339"/>
      <c r="Q88" s="187"/>
      <c r="R88" s="341"/>
      <c r="S88" s="339" t="e">
        <f t="shared" ref="S88:S101" si="51">RANK(R88, R$87:R$101)</f>
        <v>#N/A</v>
      </c>
      <c r="T88" s="485"/>
      <c r="U88" s="351"/>
      <c r="V88" s="187"/>
      <c r="W88" s="354"/>
      <c r="X88" s="339" t="e">
        <f t="shared" ref="X88:X101" si="52">RANK(W88, W$87:W$101)</f>
        <v>#N/A</v>
      </c>
      <c r="Y88" s="485"/>
      <c r="Z88" s="351"/>
      <c r="AA88" s="187"/>
      <c r="AB88" s="354"/>
      <c r="AC88" s="339" t="e">
        <f t="shared" ref="AC88:AC101" si="53">RANK(AB88, AB$87:AB$101)</f>
        <v>#N/A</v>
      </c>
      <c r="AD88" s="485"/>
      <c r="AE88" s="351"/>
      <c r="AF88" s="187"/>
      <c r="AG88" s="354"/>
      <c r="AH88" s="339" t="e">
        <f t="shared" ref="AH88:AH101" si="54">RANK(AG88, AG$87:AG$101)</f>
        <v>#N/A</v>
      </c>
      <c r="AI88" s="485"/>
      <c r="AJ88" s="351"/>
      <c r="AK88" s="187"/>
      <c r="AL88" s="354"/>
      <c r="AM88" s="339" t="e">
        <f t="shared" ref="AM88:AM101" si="55">RANK(AL88, AL$87:AL$101)</f>
        <v>#N/A</v>
      </c>
      <c r="AN88" s="485"/>
      <c r="AO88" s="351"/>
      <c r="AP88" s="187"/>
      <c r="AQ88" s="354"/>
      <c r="AR88" s="339" t="e">
        <f t="shared" ref="AR88:AR101" si="56">RANK(AQ88, AQ$87:AQ$101)</f>
        <v>#N/A</v>
      </c>
      <c r="AS88" s="485"/>
      <c r="AT88" s="339"/>
      <c r="AU88" s="187"/>
      <c r="AV88" s="341"/>
      <c r="AW88" s="339" t="e">
        <f t="shared" ref="AW88:AW101" si="57">RANK(AV88, AV$87:AV$101)</f>
        <v>#N/A</v>
      </c>
      <c r="AX88" s="485"/>
    </row>
    <row r="89" spans="2:50">
      <c r="B89" s="483"/>
      <c r="C89" s="339">
        <v>3</v>
      </c>
      <c r="D89" s="257"/>
      <c r="E89" s="187"/>
      <c r="F89" s="339"/>
      <c r="G89" s="341"/>
      <c r="H89" s="508"/>
      <c r="I89" s="219" t="e">
        <f t="shared" si="50"/>
        <v>#DIV/0!</v>
      </c>
      <c r="J89" s="219" t="e">
        <f t="shared" si="50"/>
        <v>#DIV/0!</v>
      </c>
      <c r="K89" s="220" t="e">
        <f t="shared" si="50"/>
        <v>#DIV/0!</v>
      </c>
      <c r="L89" s="457"/>
      <c r="M89" s="221" t="e">
        <f>RANK(K89, K$87:$K$101)</f>
        <v>#DIV/0!</v>
      </c>
      <c r="N89" s="475"/>
      <c r="O89" s="475"/>
      <c r="P89" s="339"/>
      <c r="Q89" s="187"/>
      <c r="R89" s="341"/>
      <c r="S89" s="339" t="e">
        <f t="shared" si="51"/>
        <v>#N/A</v>
      </c>
      <c r="T89" s="485"/>
      <c r="U89" s="351"/>
      <c r="V89" s="187"/>
      <c r="W89" s="354"/>
      <c r="X89" s="339" t="e">
        <f t="shared" si="52"/>
        <v>#N/A</v>
      </c>
      <c r="Y89" s="485"/>
      <c r="Z89" s="351"/>
      <c r="AA89" s="187"/>
      <c r="AB89" s="354"/>
      <c r="AC89" s="339" t="e">
        <f t="shared" si="53"/>
        <v>#N/A</v>
      </c>
      <c r="AD89" s="485"/>
      <c r="AE89" s="351"/>
      <c r="AF89" s="187"/>
      <c r="AG89" s="354"/>
      <c r="AH89" s="339" t="e">
        <f t="shared" si="54"/>
        <v>#N/A</v>
      </c>
      <c r="AI89" s="485"/>
      <c r="AJ89" s="351"/>
      <c r="AK89" s="187"/>
      <c r="AL89" s="354"/>
      <c r="AM89" s="339" t="e">
        <f t="shared" si="55"/>
        <v>#N/A</v>
      </c>
      <c r="AN89" s="485"/>
      <c r="AO89" s="351"/>
      <c r="AP89" s="187"/>
      <c r="AQ89" s="354"/>
      <c r="AR89" s="339" t="e">
        <f t="shared" si="56"/>
        <v>#N/A</v>
      </c>
      <c r="AS89" s="485"/>
      <c r="AT89" s="339"/>
      <c r="AU89" s="187"/>
      <c r="AV89" s="341"/>
      <c r="AW89" s="339" t="e">
        <f t="shared" si="57"/>
        <v>#N/A</v>
      </c>
      <c r="AX89" s="485"/>
    </row>
    <row r="90" spans="2:50">
      <c r="B90" s="483"/>
      <c r="C90" s="339">
        <v>4</v>
      </c>
      <c r="D90" s="257"/>
      <c r="E90" s="187"/>
      <c r="F90" s="339"/>
      <c r="G90" s="341"/>
      <c r="H90" s="508"/>
      <c r="I90" s="219" t="e">
        <f t="shared" si="50"/>
        <v>#DIV/0!</v>
      </c>
      <c r="J90" s="219" t="e">
        <f t="shared" si="50"/>
        <v>#DIV/0!</v>
      </c>
      <c r="K90" s="220" t="e">
        <f t="shared" si="50"/>
        <v>#DIV/0!</v>
      </c>
      <c r="L90" s="457"/>
      <c r="M90" s="221" t="e">
        <f>RANK(K90, K$87:$K$101)</f>
        <v>#DIV/0!</v>
      </c>
      <c r="N90" s="475"/>
      <c r="O90" s="475"/>
      <c r="P90" s="339"/>
      <c r="Q90" s="187"/>
      <c r="R90" s="341"/>
      <c r="S90" s="339" t="e">
        <f t="shared" si="51"/>
        <v>#N/A</v>
      </c>
      <c r="T90" s="485"/>
      <c r="U90" s="351"/>
      <c r="V90" s="187"/>
      <c r="W90" s="354"/>
      <c r="X90" s="339" t="e">
        <f t="shared" si="52"/>
        <v>#N/A</v>
      </c>
      <c r="Y90" s="485"/>
      <c r="Z90" s="351"/>
      <c r="AA90" s="187"/>
      <c r="AB90" s="354"/>
      <c r="AC90" s="339" t="e">
        <f t="shared" si="53"/>
        <v>#N/A</v>
      </c>
      <c r="AD90" s="485"/>
      <c r="AE90" s="351"/>
      <c r="AF90" s="187"/>
      <c r="AG90" s="354"/>
      <c r="AH90" s="339" t="e">
        <f t="shared" si="54"/>
        <v>#N/A</v>
      </c>
      <c r="AI90" s="485"/>
      <c r="AJ90" s="351"/>
      <c r="AK90" s="187"/>
      <c r="AL90" s="354"/>
      <c r="AM90" s="339" t="e">
        <f t="shared" si="55"/>
        <v>#N/A</v>
      </c>
      <c r="AN90" s="485"/>
      <c r="AO90" s="351"/>
      <c r="AP90" s="187"/>
      <c r="AQ90" s="354"/>
      <c r="AR90" s="339" t="e">
        <f t="shared" si="56"/>
        <v>#N/A</v>
      </c>
      <c r="AS90" s="485"/>
      <c r="AT90" s="339"/>
      <c r="AU90" s="187"/>
      <c r="AV90" s="341"/>
      <c r="AW90" s="339" t="e">
        <f t="shared" si="57"/>
        <v>#N/A</v>
      </c>
      <c r="AX90" s="485"/>
    </row>
    <row r="91" spans="2:50">
      <c r="B91" s="483"/>
      <c r="C91" s="339">
        <v>5</v>
      </c>
      <c r="D91" s="257"/>
      <c r="E91" s="187"/>
      <c r="F91" s="339"/>
      <c r="G91" s="341"/>
      <c r="H91" s="508"/>
      <c r="I91" s="219" t="e">
        <f t="shared" si="50"/>
        <v>#DIV/0!</v>
      </c>
      <c r="J91" s="219" t="e">
        <f t="shared" si="50"/>
        <v>#DIV/0!</v>
      </c>
      <c r="K91" s="220" t="e">
        <f t="shared" si="50"/>
        <v>#DIV/0!</v>
      </c>
      <c r="L91" s="457"/>
      <c r="M91" s="221" t="e">
        <f>RANK(K91, K$87:$K$101)</f>
        <v>#DIV/0!</v>
      </c>
      <c r="N91" s="475"/>
      <c r="O91" s="475"/>
      <c r="P91" s="339"/>
      <c r="Q91" s="187"/>
      <c r="R91" s="341"/>
      <c r="S91" s="339" t="e">
        <f t="shared" si="51"/>
        <v>#N/A</v>
      </c>
      <c r="T91" s="485"/>
      <c r="U91" s="351"/>
      <c r="V91" s="187"/>
      <c r="W91" s="354"/>
      <c r="X91" s="339" t="e">
        <f t="shared" si="52"/>
        <v>#N/A</v>
      </c>
      <c r="Y91" s="485"/>
      <c r="Z91" s="351"/>
      <c r="AA91" s="187"/>
      <c r="AB91" s="354"/>
      <c r="AC91" s="339" t="e">
        <f t="shared" si="53"/>
        <v>#N/A</v>
      </c>
      <c r="AD91" s="485"/>
      <c r="AE91" s="351"/>
      <c r="AF91" s="187"/>
      <c r="AG91" s="354"/>
      <c r="AH91" s="339" t="e">
        <f t="shared" si="54"/>
        <v>#N/A</v>
      </c>
      <c r="AI91" s="485"/>
      <c r="AJ91" s="351"/>
      <c r="AK91" s="187"/>
      <c r="AL91" s="354"/>
      <c r="AM91" s="339" t="e">
        <f t="shared" si="55"/>
        <v>#N/A</v>
      </c>
      <c r="AN91" s="485"/>
      <c r="AO91" s="351"/>
      <c r="AP91" s="187"/>
      <c r="AQ91" s="354"/>
      <c r="AR91" s="339" t="e">
        <f t="shared" si="56"/>
        <v>#N/A</v>
      </c>
      <c r="AS91" s="485"/>
      <c r="AT91" s="339"/>
      <c r="AU91" s="187"/>
      <c r="AV91" s="341"/>
      <c r="AW91" s="339" t="e">
        <f t="shared" si="57"/>
        <v>#N/A</v>
      </c>
      <c r="AX91" s="485"/>
    </row>
    <row r="92" spans="2:50">
      <c r="B92" s="483"/>
      <c r="C92" s="339">
        <v>6</v>
      </c>
      <c r="D92" s="257"/>
      <c r="E92" s="187"/>
      <c r="F92" s="339"/>
      <c r="G92" s="341"/>
      <c r="H92" s="508"/>
      <c r="I92" s="219" t="e">
        <f t="shared" si="50"/>
        <v>#DIV/0!</v>
      </c>
      <c r="J92" s="219" t="e">
        <f t="shared" si="50"/>
        <v>#DIV/0!</v>
      </c>
      <c r="K92" s="220" t="e">
        <f t="shared" si="50"/>
        <v>#DIV/0!</v>
      </c>
      <c r="L92" s="457"/>
      <c r="M92" s="221" t="e">
        <f>RANK(K92, K$87:$K$101)</f>
        <v>#DIV/0!</v>
      </c>
      <c r="N92" s="475"/>
      <c r="O92" s="475"/>
      <c r="P92" s="339"/>
      <c r="Q92" s="339"/>
      <c r="R92" s="339"/>
      <c r="S92" s="339" t="e">
        <f t="shared" si="51"/>
        <v>#N/A</v>
      </c>
      <c r="T92" s="485"/>
      <c r="U92" s="351"/>
      <c r="V92" s="351"/>
      <c r="W92" s="351"/>
      <c r="X92" s="339" t="e">
        <f t="shared" si="52"/>
        <v>#N/A</v>
      </c>
      <c r="Y92" s="485"/>
      <c r="Z92" s="351"/>
      <c r="AA92" s="351"/>
      <c r="AB92" s="351"/>
      <c r="AC92" s="339" t="e">
        <f t="shared" si="53"/>
        <v>#N/A</v>
      </c>
      <c r="AD92" s="485"/>
      <c r="AE92" s="351"/>
      <c r="AF92" s="351"/>
      <c r="AG92" s="351"/>
      <c r="AH92" s="339" t="e">
        <f t="shared" si="54"/>
        <v>#N/A</v>
      </c>
      <c r="AI92" s="485"/>
      <c r="AJ92" s="351"/>
      <c r="AK92" s="351"/>
      <c r="AL92" s="351"/>
      <c r="AM92" s="339" t="e">
        <f t="shared" si="55"/>
        <v>#N/A</v>
      </c>
      <c r="AN92" s="485"/>
      <c r="AO92" s="351"/>
      <c r="AP92" s="351"/>
      <c r="AQ92" s="351"/>
      <c r="AR92" s="339" t="e">
        <f t="shared" si="56"/>
        <v>#N/A</v>
      </c>
      <c r="AS92" s="485"/>
      <c r="AT92" s="339"/>
      <c r="AU92" s="187"/>
      <c r="AV92" s="341"/>
      <c r="AW92" s="339" t="e">
        <f t="shared" si="57"/>
        <v>#N/A</v>
      </c>
      <c r="AX92" s="485"/>
    </row>
    <row r="93" spans="2:50">
      <c r="B93" s="483"/>
      <c r="C93" s="339">
        <v>7</v>
      </c>
      <c r="D93" s="257"/>
      <c r="E93" s="187"/>
      <c r="F93" s="339"/>
      <c r="G93" s="341"/>
      <c r="H93" s="508"/>
      <c r="I93" s="219"/>
      <c r="J93" s="219"/>
      <c r="K93" s="220"/>
      <c r="L93" s="457"/>
      <c r="M93" s="221" t="e">
        <f>RANK(K93, K$87:$K$101)</f>
        <v>#DIV/0!</v>
      </c>
      <c r="N93" s="475"/>
      <c r="O93" s="475"/>
      <c r="P93" s="339"/>
      <c r="Q93" s="339"/>
      <c r="R93" s="339"/>
      <c r="S93" s="339" t="e">
        <f t="shared" si="51"/>
        <v>#N/A</v>
      </c>
      <c r="T93" s="485"/>
      <c r="U93" s="351"/>
      <c r="V93" s="351"/>
      <c r="W93" s="351"/>
      <c r="X93" s="339" t="e">
        <f t="shared" si="52"/>
        <v>#N/A</v>
      </c>
      <c r="Y93" s="485"/>
      <c r="Z93" s="351"/>
      <c r="AA93" s="351"/>
      <c r="AB93" s="351"/>
      <c r="AC93" s="339" t="e">
        <f t="shared" si="53"/>
        <v>#N/A</v>
      </c>
      <c r="AD93" s="485"/>
      <c r="AE93" s="351"/>
      <c r="AF93" s="351"/>
      <c r="AG93" s="351"/>
      <c r="AH93" s="339" t="e">
        <f t="shared" si="54"/>
        <v>#N/A</v>
      </c>
      <c r="AI93" s="485"/>
      <c r="AJ93" s="351"/>
      <c r="AK93" s="351"/>
      <c r="AL93" s="351"/>
      <c r="AM93" s="339" t="e">
        <f t="shared" si="55"/>
        <v>#N/A</v>
      </c>
      <c r="AN93" s="485"/>
      <c r="AO93" s="351"/>
      <c r="AP93" s="351"/>
      <c r="AQ93" s="351"/>
      <c r="AR93" s="339" t="e">
        <f t="shared" si="56"/>
        <v>#N/A</v>
      </c>
      <c r="AS93" s="485"/>
      <c r="AT93" s="339"/>
      <c r="AU93" s="339"/>
      <c r="AV93" s="339"/>
      <c r="AW93" s="339" t="e">
        <f t="shared" si="57"/>
        <v>#N/A</v>
      </c>
      <c r="AX93" s="485"/>
    </row>
    <row r="94" spans="2:50">
      <c r="B94" s="483"/>
      <c r="C94" s="339">
        <v>8</v>
      </c>
      <c r="D94" s="257"/>
      <c r="E94" s="187"/>
      <c r="F94" s="339"/>
      <c r="G94" s="341"/>
      <c r="H94" s="508"/>
      <c r="I94" s="219"/>
      <c r="J94" s="219"/>
      <c r="K94" s="220"/>
      <c r="L94" s="457"/>
      <c r="M94" s="221" t="e">
        <f>RANK(K94, K$87:$K$101)</f>
        <v>#DIV/0!</v>
      </c>
      <c r="N94" s="475"/>
      <c r="O94" s="475"/>
      <c r="P94" s="339"/>
      <c r="Q94" s="339"/>
      <c r="R94" s="339"/>
      <c r="S94" s="339" t="e">
        <f t="shared" si="51"/>
        <v>#N/A</v>
      </c>
      <c r="T94" s="485"/>
      <c r="U94" s="351"/>
      <c r="V94" s="351"/>
      <c r="W94" s="351"/>
      <c r="X94" s="339" t="e">
        <f t="shared" si="52"/>
        <v>#N/A</v>
      </c>
      <c r="Y94" s="485"/>
      <c r="Z94" s="351"/>
      <c r="AA94" s="351"/>
      <c r="AB94" s="351"/>
      <c r="AC94" s="339" t="e">
        <f t="shared" si="53"/>
        <v>#N/A</v>
      </c>
      <c r="AD94" s="485"/>
      <c r="AE94" s="351"/>
      <c r="AF94" s="351"/>
      <c r="AG94" s="351"/>
      <c r="AH94" s="339" t="e">
        <f t="shared" si="54"/>
        <v>#N/A</v>
      </c>
      <c r="AI94" s="485"/>
      <c r="AJ94" s="351"/>
      <c r="AK94" s="351"/>
      <c r="AL94" s="351"/>
      <c r="AM94" s="339" t="e">
        <f t="shared" si="55"/>
        <v>#N/A</v>
      </c>
      <c r="AN94" s="485"/>
      <c r="AO94" s="351"/>
      <c r="AP94" s="351"/>
      <c r="AQ94" s="351"/>
      <c r="AR94" s="339" t="e">
        <f t="shared" si="56"/>
        <v>#N/A</v>
      </c>
      <c r="AS94" s="485"/>
      <c r="AT94" s="339"/>
      <c r="AU94" s="339"/>
      <c r="AV94" s="339"/>
      <c r="AW94" s="339" t="e">
        <f t="shared" si="57"/>
        <v>#N/A</v>
      </c>
      <c r="AX94" s="485"/>
    </row>
    <row r="95" spans="2:50">
      <c r="B95" s="483"/>
      <c r="C95" s="339">
        <v>9</v>
      </c>
      <c r="D95" s="257"/>
      <c r="E95" s="187"/>
      <c r="F95" s="339"/>
      <c r="G95" s="341"/>
      <c r="H95" s="508"/>
      <c r="I95" s="219"/>
      <c r="J95" s="219"/>
      <c r="K95" s="220"/>
      <c r="L95" s="457"/>
      <c r="M95" s="221" t="e">
        <f>RANK(K95, K$87:$K$101)</f>
        <v>#DIV/0!</v>
      </c>
      <c r="N95" s="475"/>
      <c r="O95" s="475"/>
      <c r="P95" s="339"/>
      <c r="Q95" s="339"/>
      <c r="R95" s="339"/>
      <c r="S95" s="339" t="e">
        <f t="shared" si="51"/>
        <v>#N/A</v>
      </c>
      <c r="T95" s="485"/>
      <c r="U95" s="351"/>
      <c r="V95" s="351"/>
      <c r="W95" s="351"/>
      <c r="X95" s="339" t="e">
        <f t="shared" si="52"/>
        <v>#N/A</v>
      </c>
      <c r="Y95" s="485"/>
      <c r="Z95" s="351"/>
      <c r="AA95" s="351"/>
      <c r="AB95" s="351"/>
      <c r="AC95" s="339" t="e">
        <f t="shared" si="53"/>
        <v>#N/A</v>
      </c>
      <c r="AD95" s="485"/>
      <c r="AE95" s="351"/>
      <c r="AF95" s="351"/>
      <c r="AG95" s="351"/>
      <c r="AH95" s="339" t="e">
        <f t="shared" si="54"/>
        <v>#N/A</v>
      </c>
      <c r="AI95" s="485"/>
      <c r="AJ95" s="351"/>
      <c r="AK95" s="351"/>
      <c r="AL95" s="351"/>
      <c r="AM95" s="339" t="e">
        <f t="shared" si="55"/>
        <v>#N/A</v>
      </c>
      <c r="AN95" s="485"/>
      <c r="AO95" s="351"/>
      <c r="AP95" s="351"/>
      <c r="AQ95" s="351"/>
      <c r="AR95" s="339" t="e">
        <f t="shared" si="56"/>
        <v>#N/A</v>
      </c>
      <c r="AS95" s="485"/>
      <c r="AT95" s="339"/>
      <c r="AU95" s="339"/>
      <c r="AV95" s="339"/>
      <c r="AW95" s="339" t="e">
        <f t="shared" si="57"/>
        <v>#N/A</v>
      </c>
      <c r="AX95" s="485"/>
    </row>
    <row r="96" spans="2:50">
      <c r="B96" s="483"/>
      <c r="C96" s="339">
        <v>10</v>
      </c>
      <c r="D96" s="257"/>
      <c r="E96" s="187"/>
      <c r="F96" s="339"/>
      <c r="G96" s="341"/>
      <c r="H96" s="508"/>
      <c r="I96" s="219"/>
      <c r="J96" s="219"/>
      <c r="K96" s="220"/>
      <c r="L96" s="457"/>
      <c r="M96" s="221" t="e">
        <f>RANK(K96, K$87:$K$101)</f>
        <v>#DIV/0!</v>
      </c>
      <c r="N96" s="475"/>
      <c r="O96" s="475"/>
      <c r="P96" s="339"/>
      <c r="Q96" s="339"/>
      <c r="R96" s="339"/>
      <c r="S96" s="339" t="e">
        <f t="shared" si="51"/>
        <v>#N/A</v>
      </c>
      <c r="T96" s="485"/>
      <c r="U96" s="351"/>
      <c r="V96" s="351"/>
      <c r="W96" s="351"/>
      <c r="X96" s="339" t="e">
        <f t="shared" si="52"/>
        <v>#N/A</v>
      </c>
      <c r="Y96" s="485"/>
      <c r="Z96" s="351"/>
      <c r="AA96" s="351"/>
      <c r="AB96" s="351"/>
      <c r="AC96" s="339" t="e">
        <f t="shared" si="53"/>
        <v>#N/A</v>
      </c>
      <c r="AD96" s="485"/>
      <c r="AE96" s="351"/>
      <c r="AF96" s="351"/>
      <c r="AG96" s="351"/>
      <c r="AH96" s="339" t="e">
        <f t="shared" si="54"/>
        <v>#N/A</v>
      </c>
      <c r="AI96" s="485"/>
      <c r="AJ96" s="351"/>
      <c r="AK96" s="351"/>
      <c r="AL96" s="351"/>
      <c r="AM96" s="339" t="e">
        <f t="shared" si="55"/>
        <v>#N/A</v>
      </c>
      <c r="AN96" s="485"/>
      <c r="AO96" s="351"/>
      <c r="AP96" s="351"/>
      <c r="AQ96" s="351"/>
      <c r="AR96" s="339" t="e">
        <f t="shared" si="56"/>
        <v>#N/A</v>
      </c>
      <c r="AS96" s="485"/>
      <c r="AT96" s="339"/>
      <c r="AU96" s="339"/>
      <c r="AV96" s="339"/>
      <c r="AW96" s="339" t="e">
        <f t="shared" si="57"/>
        <v>#N/A</v>
      </c>
      <c r="AX96" s="485"/>
    </row>
    <row r="97" spans="2:50">
      <c r="B97" s="483"/>
      <c r="C97" s="339">
        <v>11</v>
      </c>
      <c r="D97" s="257"/>
      <c r="E97" s="187"/>
      <c r="F97" s="339"/>
      <c r="G97" s="341"/>
      <c r="H97" s="508"/>
      <c r="I97" s="219"/>
      <c r="J97" s="219"/>
      <c r="K97" s="220"/>
      <c r="L97" s="457"/>
      <c r="M97" s="221" t="e">
        <f>RANK(K97, K$87:$K$101)</f>
        <v>#DIV/0!</v>
      </c>
      <c r="N97" s="475"/>
      <c r="O97" s="475"/>
      <c r="P97" s="339"/>
      <c r="Q97" s="339"/>
      <c r="R97" s="339"/>
      <c r="S97" s="339" t="e">
        <f t="shared" si="51"/>
        <v>#N/A</v>
      </c>
      <c r="T97" s="485"/>
      <c r="U97" s="351"/>
      <c r="V97" s="351"/>
      <c r="W97" s="351"/>
      <c r="X97" s="339" t="e">
        <f t="shared" si="52"/>
        <v>#N/A</v>
      </c>
      <c r="Y97" s="485"/>
      <c r="Z97" s="351"/>
      <c r="AA97" s="351"/>
      <c r="AB97" s="351"/>
      <c r="AC97" s="339" t="e">
        <f t="shared" si="53"/>
        <v>#N/A</v>
      </c>
      <c r="AD97" s="485"/>
      <c r="AE97" s="351"/>
      <c r="AF97" s="351"/>
      <c r="AG97" s="351"/>
      <c r="AH97" s="339" t="e">
        <f t="shared" si="54"/>
        <v>#N/A</v>
      </c>
      <c r="AI97" s="485"/>
      <c r="AJ97" s="351"/>
      <c r="AK97" s="351"/>
      <c r="AL97" s="351"/>
      <c r="AM97" s="339" t="e">
        <f t="shared" si="55"/>
        <v>#N/A</v>
      </c>
      <c r="AN97" s="485"/>
      <c r="AO97" s="351"/>
      <c r="AP97" s="351"/>
      <c r="AQ97" s="351"/>
      <c r="AR97" s="339" t="e">
        <f t="shared" si="56"/>
        <v>#N/A</v>
      </c>
      <c r="AS97" s="485"/>
      <c r="AT97" s="339"/>
      <c r="AU97" s="339"/>
      <c r="AV97" s="339"/>
      <c r="AW97" s="339" t="e">
        <f t="shared" si="57"/>
        <v>#N/A</v>
      </c>
      <c r="AX97" s="485"/>
    </row>
    <row r="98" spans="2:50">
      <c r="B98" s="483"/>
      <c r="C98" s="339">
        <v>12</v>
      </c>
      <c r="D98" s="257"/>
      <c r="E98" s="187"/>
      <c r="F98" s="339"/>
      <c r="G98" s="341"/>
      <c r="H98" s="508"/>
      <c r="I98" s="219"/>
      <c r="J98" s="219"/>
      <c r="K98" s="220"/>
      <c r="L98" s="457"/>
      <c r="M98" s="221" t="e">
        <f>RANK(K98, K$87:$K$101)</f>
        <v>#DIV/0!</v>
      </c>
      <c r="N98" s="475"/>
      <c r="O98" s="475"/>
      <c r="P98" s="339"/>
      <c r="Q98" s="339"/>
      <c r="R98" s="339"/>
      <c r="S98" s="339" t="e">
        <f t="shared" si="51"/>
        <v>#N/A</v>
      </c>
      <c r="T98" s="485"/>
      <c r="U98" s="351"/>
      <c r="V98" s="351"/>
      <c r="W98" s="351"/>
      <c r="X98" s="339" t="e">
        <f t="shared" si="52"/>
        <v>#N/A</v>
      </c>
      <c r="Y98" s="485"/>
      <c r="Z98" s="351"/>
      <c r="AA98" s="351"/>
      <c r="AB98" s="351"/>
      <c r="AC98" s="339" t="e">
        <f t="shared" si="53"/>
        <v>#N/A</v>
      </c>
      <c r="AD98" s="485"/>
      <c r="AE98" s="351"/>
      <c r="AF98" s="351"/>
      <c r="AG98" s="351"/>
      <c r="AH98" s="339" t="e">
        <f t="shared" si="54"/>
        <v>#N/A</v>
      </c>
      <c r="AI98" s="485"/>
      <c r="AJ98" s="351"/>
      <c r="AK98" s="351"/>
      <c r="AL98" s="351"/>
      <c r="AM98" s="339" t="e">
        <f t="shared" si="55"/>
        <v>#N/A</v>
      </c>
      <c r="AN98" s="485"/>
      <c r="AO98" s="351"/>
      <c r="AP98" s="351"/>
      <c r="AQ98" s="351"/>
      <c r="AR98" s="339" t="e">
        <f t="shared" si="56"/>
        <v>#N/A</v>
      </c>
      <c r="AS98" s="485"/>
      <c r="AT98" s="339"/>
      <c r="AU98" s="339"/>
      <c r="AV98" s="339"/>
      <c r="AW98" s="339" t="e">
        <f t="shared" si="57"/>
        <v>#N/A</v>
      </c>
      <c r="AX98" s="485"/>
    </row>
    <row r="99" spans="2:50">
      <c r="B99" s="483"/>
      <c r="C99" s="339">
        <v>13</v>
      </c>
      <c r="D99" s="257"/>
      <c r="E99" s="187"/>
      <c r="F99" s="339"/>
      <c r="G99" s="341"/>
      <c r="H99" s="508"/>
      <c r="I99" s="219"/>
      <c r="J99" s="219"/>
      <c r="K99" s="220"/>
      <c r="L99" s="457"/>
      <c r="M99" s="221" t="e">
        <f>RANK(K99, K$87:$K$101)</f>
        <v>#DIV/0!</v>
      </c>
      <c r="N99" s="475"/>
      <c r="O99" s="475"/>
      <c r="P99" s="339"/>
      <c r="Q99" s="339"/>
      <c r="R99" s="339"/>
      <c r="S99" s="339" t="e">
        <f t="shared" si="51"/>
        <v>#N/A</v>
      </c>
      <c r="T99" s="485"/>
      <c r="U99" s="351"/>
      <c r="V99" s="351"/>
      <c r="W99" s="351"/>
      <c r="X99" s="339" t="e">
        <f t="shared" si="52"/>
        <v>#N/A</v>
      </c>
      <c r="Y99" s="485"/>
      <c r="Z99" s="351"/>
      <c r="AA99" s="351"/>
      <c r="AB99" s="351"/>
      <c r="AC99" s="339" t="e">
        <f t="shared" si="53"/>
        <v>#N/A</v>
      </c>
      <c r="AD99" s="485"/>
      <c r="AE99" s="351"/>
      <c r="AF99" s="351"/>
      <c r="AG99" s="351"/>
      <c r="AH99" s="339" t="e">
        <f t="shared" si="54"/>
        <v>#N/A</v>
      </c>
      <c r="AI99" s="485"/>
      <c r="AJ99" s="351"/>
      <c r="AK99" s="351"/>
      <c r="AL99" s="351"/>
      <c r="AM99" s="339" t="e">
        <f t="shared" si="55"/>
        <v>#N/A</v>
      </c>
      <c r="AN99" s="485"/>
      <c r="AO99" s="351"/>
      <c r="AP99" s="351"/>
      <c r="AQ99" s="351"/>
      <c r="AR99" s="339" t="e">
        <f t="shared" si="56"/>
        <v>#N/A</v>
      </c>
      <c r="AS99" s="485"/>
      <c r="AT99" s="339"/>
      <c r="AU99" s="339"/>
      <c r="AV99" s="339"/>
      <c r="AW99" s="339" t="e">
        <f t="shared" si="57"/>
        <v>#N/A</v>
      </c>
      <c r="AX99" s="485"/>
    </row>
    <row r="100" spans="2:50">
      <c r="B100" s="483"/>
      <c r="C100" s="339">
        <v>14</v>
      </c>
      <c r="D100" s="257"/>
      <c r="E100" s="187"/>
      <c r="F100" s="339"/>
      <c r="G100" s="341"/>
      <c r="H100" s="508"/>
      <c r="I100" s="219"/>
      <c r="J100" s="219"/>
      <c r="K100" s="220"/>
      <c r="L100" s="457"/>
      <c r="M100" s="221" t="e">
        <f>RANK(K100, K$87:$K$101)</f>
        <v>#DIV/0!</v>
      </c>
      <c r="N100" s="475"/>
      <c r="O100" s="475"/>
      <c r="P100" s="339"/>
      <c r="Q100" s="339"/>
      <c r="R100" s="339"/>
      <c r="S100" s="339" t="e">
        <f t="shared" si="51"/>
        <v>#N/A</v>
      </c>
      <c r="T100" s="485"/>
      <c r="U100" s="351"/>
      <c r="V100" s="351"/>
      <c r="W100" s="351"/>
      <c r="X100" s="339" t="e">
        <f t="shared" si="52"/>
        <v>#N/A</v>
      </c>
      <c r="Y100" s="485"/>
      <c r="Z100" s="351"/>
      <c r="AA100" s="351"/>
      <c r="AB100" s="351"/>
      <c r="AC100" s="339" t="e">
        <f t="shared" si="53"/>
        <v>#N/A</v>
      </c>
      <c r="AD100" s="485"/>
      <c r="AE100" s="351"/>
      <c r="AF100" s="351"/>
      <c r="AG100" s="351"/>
      <c r="AH100" s="339" t="e">
        <f t="shared" si="54"/>
        <v>#N/A</v>
      </c>
      <c r="AI100" s="485"/>
      <c r="AJ100" s="351"/>
      <c r="AK100" s="351"/>
      <c r="AL100" s="351"/>
      <c r="AM100" s="339" t="e">
        <f t="shared" si="55"/>
        <v>#N/A</v>
      </c>
      <c r="AN100" s="485"/>
      <c r="AO100" s="351"/>
      <c r="AP100" s="351"/>
      <c r="AQ100" s="351"/>
      <c r="AR100" s="339" t="e">
        <f t="shared" si="56"/>
        <v>#N/A</v>
      </c>
      <c r="AS100" s="485"/>
      <c r="AT100" s="339"/>
      <c r="AU100" s="339"/>
      <c r="AV100" s="339"/>
      <c r="AW100" s="339" t="e">
        <f t="shared" si="57"/>
        <v>#N/A</v>
      </c>
      <c r="AX100" s="485"/>
    </row>
    <row r="101" spans="2:50">
      <c r="B101" s="483"/>
      <c r="C101" s="339">
        <v>15</v>
      </c>
      <c r="D101" s="257"/>
      <c r="E101" s="187"/>
      <c r="F101" s="339"/>
      <c r="G101" s="341"/>
      <c r="H101" s="509"/>
      <c r="I101" s="219"/>
      <c r="J101" s="219"/>
      <c r="K101" s="220"/>
      <c r="L101" s="458"/>
      <c r="M101" s="219" t="e">
        <f>RANK(K101, K$87:$K$101)</f>
        <v>#DIV/0!</v>
      </c>
      <c r="N101" s="475"/>
      <c r="O101" s="475"/>
      <c r="P101" s="339"/>
      <c r="Q101" s="339"/>
      <c r="R101" s="339"/>
      <c r="S101" s="339" t="e">
        <f t="shared" si="51"/>
        <v>#N/A</v>
      </c>
      <c r="T101" s="486"/>
      <c r="U101" s="351"/>
      <c r="V101" s="351"/>
      <c r="W101" s="351"/>
      <c r="X101" s="339" t="e">
        <f t="shared" si="52"/>
        <v>#N/A</v>
      </c>
      <c r="Y101" s="486"/>
      <c r="Z101" s="351"/>
      <c r="AA101" s="351"/>
      <c r="AB101" s="351"/>
      <c r="AC101" s="339" t="e">
        <f t="shared" si="53"/>
        <v>#N/A</v>
      </c>
      <c r="AD101" s="486"/>
      <c r="AE101" s="351"/>
      <c r="AF101" s="351"/>
      <c r="AG101" s="351"/>
      <c r="AH101" s="339" t="e">
        <f t="shared" si="54"/>
        <v>#N/A</v>
      </c>
      <c r="AI101" s="486"/>
      <c r="AJ101" s="351"/>
      <c r="AK101" s="351"/>
      <c r="AL101" s="351"/>
      <c r="AM101" s="339" t="e">
        <f t="shared" si="55"/>
        <v>#N/A</v>
      </c>
      <c r="AN101" s="486"/>
      <c r="AO101" s="351"/>
      <c r="AP101" s="351"/>
      <c r="AQ101" s="351"/>
      <c r="AR101" s="339" t="e">
        <f t="shared" si="56"/>
        <v>#N/A</v>
      </c>
      <c r="AS101" s="486"/>
      <c r="AT101" s="339"/>
      <c r="AU101" s="339"/>
      <c r="AV101" s="339"/>
      <c r="AW101" s="339" t="e">
        <f t="shared" si="57"/>
        <v>#N/A</v>
      </c>
      <c r="AX101" s="486"/>
    </row>
  </sheetData>
  <mergeCells count="295"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9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8" sqref="D8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413" t="s">
        <v>214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120"/>
    </row>
    <row r="2" spans="1:13" s="121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</row>
    <row r="3" spans="1:13" ht="15.75" customHeight="1">
      <c r="A3" s="536" t="s">
        <v>215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156"/>
    </row>
    <row r="4" spans="1:13" s="121" customFormat="1" ht="15.75" customHeight="1">
      <c r="A4" s="537"/>
      <c r="B4" s="537"/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131"/>
    </row>
    <row r="5" spans="1:13" s="158" customFormat="1" ht="16.350000000000001" customHeight="1">
      <c r="A5" s="513" t="s">
        <v>162</v>
      </c>
      <c r="B5" s="171">
        <v>1</v>
      </c>
      <c r="C5" s="171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513"/>
      <c r="B6" s="172" t="s">
        <v>216</v>
      </c>
      <c r="C6" s="172" t="s">
        <v>159</v>
      </c>
      <c r="D6" s="161" t="s">
        <v>217</v>
      </c>
      <c r="E6" s="161" t="s">
        <v>161</v>
      </c>
      <c r="F6" s="162" t="s">
        <v>140</v>
      </c>
      <c r="G6" s="163" t="s">
        <v>138</v>
      </c>
      <c r="H6" s="164" t="s">
        <v>218</v>
      </c>
      <c r="I6" s="163" t="s">
        <v>219</v>
      </c>
      <c r="J6" s="163" t="s">
        <v>144</v>
      </c>
      <c r="K6" s="159"/>
      <c r="L6" s="159"/>
      <c r="M6" s="131"/>
    </row>
    <row r="7" spans="1:13" s="158" customFormat="1" ht="15.75" customHeight="1">
      <c r="A7" s="514" t="s">
        <v>196</v>
      </c>
      <c r="B7" s="514"/>
      <c r="C7" s="167" t="s">
        <v>47</v>
      </c>
      <c r="D7" s="514" t="s">
        <v>12</v>
      </c>
      <c r="E7" s="544"/>
      <c r="F7" s="544"/>
      <c r="G7" s="167" t="s">
        <v>46</v>
      </c>
      <c r="H7" s="167" t="s">
        <v>220</v>
      </c>
      <c r="I7" s="167" t="s">
        <v>221</v>
      </c>
      <c r="J7" s="249" t="s">
        <v>383</v>
      </c>
      <c r="K7" s="514" t="s">
        <v>51</v>
      </c>
      <c r="L7" s="544"/>
      <c r="M7" s="157"/>
    </row>
    <row r="8" spans="1:13" ht="15.75" customHeight="1">
      <c r="A8" s="513">
        <v>1</v>
      </c>
      <c r="B8" s="514" t="s">
        <v>158</v>
      </c>
      <c r="C8" s="344">
        <v>1</v>
      </c>
      <c r="D8" s="518" t="s">
        <v>444</v>
      </c>
      <c r="E8" s="519"/>
      <c r="F8" s="520"/>
      <c r="G8" s="160">
        <v>3</v>
      </c>
      <c r="H8" s="271">
        <v>2985.0304611892675</v>
      </c>
      <c r="I8" s="271">
        <v>995.01015372975587</v>
      </c>
      <c r="J8" s="272" t="s">
        <v>741</v>
      </c>
      <c r="K8" s="545"/>
      <c r="L8" s="522"/>
      <c r="M8" s="131"/>
    </row>
    <row r="9" spans="1:13" ht="15.75" customHeight="1">
      <c r="A9" s="513"/>
      <c r="B9" s="514"/>
      <c r="C9" s="344">
        <v>2</v>
      </c>
      <c r="D9" s="518" t="s">
        <v>442</v>
      </c>
      <c r="E9" s="519"/>
      <c r="F9" s="520"/>
      <c r="G9" s="160">
        <v>3</v>
      </c>
      <c r="H9" s="271">
        <v>2701.1139334823538</v>
      </c>
      <c r="I9" s="271">
        <v>900.37131116078456</v>
      </c>
      <c r="J9" s="272" t="s">
        <v>854</v>
      </c>
      <c r="K9" s="521"/>
      <c r="L9" s="522"/>
      <c r="M9" s="131"/>
    </row>
    <row r="10" spans="1:13" ht="15.75" customHeight="1">
      <c r="A10" s="513"/>
      <c r="B10" s="514"/>
      <c r="C10" s="344">
        <v>3</v>
      </c>
      <c r="D10" s="518" t="s">
        <v>676</v>
      </c>
      <c r="E10" s="519"/>
      <c r="F10" s="520"/>
      <c r="G10" s="160">
        <v>3</v>
      </c>
      <c r="H10" s="271">
        <v>2678.6823171760693</v>
      </c>
      <c r="I10" s="271">
        <v>892.89410572535655</v>
      </c>
      <c r="J10" s="272" t="s">
        <v>855</v>
      </c>
      <c r="K10" s="521"/>
      <c r="L10" s="522"/>
      <c r="M10" s="131"/>
    </row>
    <row r="11" spans="1:13" ht="15.75" customHeight="1">
      <c r="A11" s="513"/>
      <c r="B11" s="514"/>
      <c r="C11" s="344">
        <v>4</v>
      </c>
      <c r="D11" s="518" t="s">
        <v>450</v>
      </c>
      <c r="E11" s="519"/>
      <c r="F11" s="520"/>
      <c r="G11" s="160">
        <v>3</v>
      </c>
      <c r="H11" s="271">
        <v>2359.9968602825757</v>
      </c>
      <c r="I11" s="271">
        <v>786.66562009419192</v>
      </c>
      <c r="J11" s="272" t="s">
        <v>855</v>
      </c>
      <c r="K11" s="521"/>
      <c r="L11" s="522"/>
      <c r="M11" s="131"/>
    </row>
    <row r="12" spans="1:13" ht="15.75" customHeight="1">
      <c r="A12" s="513"/>
      <c r="B12" s="514"/>
      <c r="C12" s="344">
        <v>5</v>
      </c>
      <c r="D12" s="518" t="s">
        <v>447</v>
      </c>
      <c r="E12" s="519"/>
      <c r="F12" s="520"/>
      <c r="G12" s="160">
        <v>3</v>
      </c>
      <c r="H12" s="271">
        <v>2472.1002162139807</v>
      </c>
      <c r="I12" s="271">
        <v>824.03340540466013</v>
      </c>
      <c r="J12" s="272" t="s">
        <v>741</v>
      </c>
      <c r="K12" s="523"/>
      <c r="L12" s="522"/>
      <c r="M12" s="131"/>
    </row>
    <row r="13" spans="1:13" ht="15.75" customHeight="1">
      <c r="A13" s="513"/>
      <c r="B13" s="514"/>
      <c r="C13" s="170" t="s">
        <v>742</v>
      </c>
      <c r="D13" s="518" t="s">
        <v>441</v>
      </c>
      <c r="E13" s="519"/>
      <c r="F13" s="520"/>
      <c r="G13" s="160">
        <v>4</v>
      </c>
      <c r="H13" s="271">
        <v>2001.3916830117901</v>
      </c>
      <c r="I13" s="271">
        <v>500.34792075294752</v>
      </c>
      <c r="J13" s="272" t="s">
        <v>855</v>
      </c>
      <c r="K13" s="545"/>
      <c r="L13" s="522"/>
      <c r="M13" s="131"/>
    </row>
    <row r="14" spans="1:13" ht="15.75" customHeight="1">
      <c r="A14" s="513"/>
      <c r="B14" s="514"/>
      <c r="C14" s="170" t="s">
        <v>743</v>
      </c>
      <c r="D14" s="518" t="s">
        <v>455</v>
      </c>
      <c r="E14" s="519"/>
      <c r="F14" s="520"/>
      <c r="G14" s="160">
        <v>4</v>
      </c>
      <c r="H14" s="271">
        <v>2173.6762269476458</v>
      </c>
      <c r="I14" s="271">
        <v>543.41905673691144</v>
      </c>
      <c r="J14" s="272" t="s">
        <v>855</v>
      </c>
      <c r="K14" s="524"/>
      <c r="L14" s="525"/>
      <c r="M14" s="131"/>
    </row>
    <row r="15" spans="1:13" ht="15.75" customHeight="1">
      <c r="A15" s="513"/>
      <c r="B15" s="514"/>
      <c r="C15" s="170" t="s">
        <v>744</v>
      </c>
      <c r="D15" s="518" t="s">
        <v>456</v>
      </c>
      <c r="E15" s="519"/>
      <c r="F15" s="520"/>
      <c r="G15" s="160">
        <v>4</v>
      </c>
      <c r="H15" s="271">
        <v>2435.7299856215936</v>
      </c>
      <c r="I15" s="271">
        <v>608.93249640539841</v>
      </c>
      <c r="J15" s="274" t="s">
        <v>749</v>
      </c>
      <c r="K15" s="526" t="s">
        <v>745</v>
      </c>
      <c r="L15" s="527"/>
      <c r="M15" s="131"/>
    </row>
    <row r="16" spans="1:13" ht="15.75" customHeight="1">
      <c r="A16" s="513"/>
      <c r="B16" s="514"/>
      <c r="C16" s="170" t="s">
        <v>746</v>
      </c>
      <c r="D16" s="518" t="s">
        <v>446</v>
      </c>
      <c r="E16" s="519"/>
      <c r="F16" s="520"/>
      <c r="G16" s="160">
        <v>4</v>
      </c>
      <c r="H16" s="271">
        <v>2438.3967060508389</v>
      </c>
      <c r="I16" s="271">
        <v>609.59917651270973</v>
      </c>
      <c r="J16" s="277" t="s">
        <v>519</v>
      </c>
      <c r="K16" s="528"/>
      <c r="L16" s="529"/>
      <c r="M16" s="156"/>
    </row>
    <row r="17" spans="1:13" ht="15.75" customHeight="1">
      <c r="A17" s="513"/>
      <c r="B17" s="514"/>
      <c r="C17" s="170" t="s">
        <v>747</v>
      </c>
      <c r="D17" s="518" t="s">
        <v>449</v>
      </c>
      <c r="E17" s="519"/>
      <c r="F17" s="520"/>
      <c r="G17" s="160">
        <v>4</v>
      </c>
      <c r="H17" s="271">
        <v>2462.655331320515</v>
      </c>
      <c r="I17" s="271">
        <v>615.66383283012874</v>
      </c>
      <c r="J17" s="272" t="s">
        <v>854</v>
      </c>
      <c r="K17" s="530"/>
      <c r="L17" s="531"/>
      <c r="M17" s="156"/>
    </row>
    <row r="18" spans="1:13" s="166" customFormat="1" ht="15.75" customHeight="1">
      <c r="A18" s="510" t="s">
        <v>196</v>
      </c>
      <c r="B18" s="510"/>
      <c r="C18" s="345" t="s">
        <v>748</v>
      </c>
      <c r="D18" s="510" t="s">
        <v>12</v>
      </c>
      <c r="E18" s="511"/>
      <c r="F18" s="511"/>
      <c r="G18" s="376" t="s">
        <v>856</v>
      </c>
      <c r="H18" s="376" t="s">
        <v>857</v>
      </c>
      <c r="I18" s="376" t="s">
        <v>858</v>
      </c>
      <c r="J18" s="249" t="s">
        <v>859</v>
      </c>
      <c r="K18" s="510" t="s">
        <v>860</v>
      </c>
      <c r="L18" s="511"/>
      <c r="M18" s="159"/>
    </row>
    <row r="19" spans="1:13" ht="15.75" customHeight="1">
      <c r="A19" s="513">
        <v>2</v>
      </c>
      <c r="B19" s="514" t="s">
        <v>159</v>
      </c>
      <c r="C19" s="344">
        <v>1</v>
      </c>
      <c r="D19" s="515" t="s">
        <v>462</v>
      </c>
      <c r="E19" s="516"/>
      <c r="F19" s="517"/>
      <c r="G19" s="160">
        <v>5</v>
      </c>
      <c r="H19" s="271">
        <v>1481.1622129865116</v>
      </c>
      <c r="I19" s="271">
        <v>296.23244259730234</v>
      </c>
      <c r="J19" s="277" t="s">
        <v>519</v>
      </c>
      <c r="K19" s="538" t="s">
        <v>861</v>
      </c>
      <c r="L19" s="539"/>
      <c r="M19" s="156"/>
    </row>
    <row r="20" spans="1:13" ht="15.75" customHeight="1">
      <c r="A20" s="513"/>
      <c r="B20" s="514"/>
      <c r="C20" s="344">
        <v>2</v>
      </c>
      <c r="D20" s="512" t="s">
        <v>461</v>
      </c>
      <c r="E20" s="512"/>
      <c r="F20" s="512"/>
      <c r="G20" s="160">
        <v>5</v>
      </c>
      <c r="H20" s="271">
        <v>1457.4030612244896</v>
      </c>
      <c r="I20" s="271">
        <v>291.48061224489794</v>
      </c>
      <c r="J20" s="277" t="s">
        <v>519</v>
      </c>
      <c r="K20" s="540"/>
      <c r="L20" s="541"/>
      <c r="M20" s="156"/>
    </row>
    <row r="21" spans="1:13" ht="15.75" customHeight="1">
      <c r="A21" s="513"/>
      <c r="B21" s="514"/>
      <c r="C21" s="344">
        <v>3</v>
      </c>
      <c r="D21" s="512" t="s">
        <v>463</v>
      </c>
      <c r="E21" s="512"/>
      <c r="F21" s="512"/>
      <c r="G21" s="160">
        <v>5</v>
      </c>
      <c r="H21" s="271">
        <v>1449.3733493397369</v>
      </c>
      <c r="I21" s="271">
        <v>289.87466986794732</v>
      </c>
      <c r="J21" s="274" t="s">
        <v>862</v>
      </c>
      <c r="K21" s="542"/>
      <c r="L21" s="543"/>
      <c r="M21" s="156"/>
    </row>
    <row r="22" spans="1:13" ht="15.75" customHeight="1">
      <c r="A22" s="513"/>
      <c r="B22" s="514"/>
      <c r="C22" s="344">
        <v>4</v>
      </c>
      <c r="D22" s="512" t="s">
        <v>459</v>
      </c>
      <c r="E22" s="512"/>
      <c r="F22" s="512"/>
      <c r="G22" s="271">
        <v>10.285714285714286</v>
      </c>
      <c r="H22" s="271">
        <v>1753.2047619047628</v>
      </c>
      <c r="I22" s="271">
        <v>170.89825396825401</v>
      </c>
      <c r="J22" s="277" t="s">
        <v>519</v>
      </c>
      <c r="K22" s="521"/>
      <c r="L22" s="522"/>
      <c r="M22" s="156"/>
    </row>
    <row r="23" spans="1:13" ht="15.75" customHeight="1">
      <c r="A23" s="513"/>
      <c r="B23" s="514"/>
      <c r="C23" s="344">
        <v>5</v>
      </c>
      <c r="D23" s="512" t="s">
        <v>460</v>
      </c>
      <c r="E23" s="512"/>
      <c r="F23" s="512"/>
      <c r="G23" s="271">
        <v>12</v>
      </c>
      <c r="H23" s="271">
        <v>1807.3333333333328</v>
      </c>
      <c r="I23" s="271">
        <v>150.61111111111106</v>
      </c>
      <c r="J23" s="274" t="s">
        <v>862</v>
      </c>
      <c r="K23" s="523" t="s">
        <v>863</v>
      </c>
      <c r="L23" s="522"/>
      <c r="M23" s="156"/>
    </row>
    <row r="24" spans="1:13" ht="15.75" customHeight="1">
      <c r="A24" s="513"/>
      <c r="B24" s="514"/>
      <c r="C24" s="170" t="s">
        <v>742</v>
      </c>
      <c r="D24" s="518" t="s">
        <v>457</v>
      </c>
      <c r="E24" s="519"/>
      <c r="F24" s="520"/>
      <c r="G24" s="271">
        <v>13</v>
      </c>
      <c r="H24" s="271">
        <v>1286.4000000000003</v>
      </c>
      <c r="I24" s="271">
        <v>98.953846153846172</v>
      </c>
      <c r="J24" s="272" t="s">
        <v>854</v>
      </c>
      <c r="K24" s="523" t="s">
        <v>864</v>
      </c>
      <c r="L24" s="522"/>
      <c r="M24" s="156"/>
    </row>
    <row r="25" spans="1:13" ht="15.75" customHeight="1">
      <c r="A25" s="513"/>
      <c r="B25" s="514"/>
      <c r="C25" s="170" t="s">
        <v>743</v>
      </c>
      <c r="D25" s="518" t="s">
        <v>458</v>
      </c>
      <c r="E25" s="519"/>
      <c r="F25" s="520"/>
      <c r="G25" s="271">
        <v>12.571428571428571</v>
      </c>
      <c r="H25" s="271">
        <v>1456.5714285714294</v>
      </c>
      <c r="I25" s="271">
        <v>116.81593406593413</v>
      </c>
      <c r="J25" s="274" t="s">
        <v>862</v>
      </c>
      <c r="K25" s="532" t="s">
        <v>865</v>
      </c>
      <c r="L25" s="533"/>
      <c r="M25" s="156"/>
    </row>
    <row r="26" spans="1:13" ht="15.75" customHeight="1">
      <c r="A26" s="513"/>
      <c r="B26" s="514"/>
      <c r="C26" s="170" t="s">
        <v>744</v>
      </c>
      <c r="D26" s="518" t="s">
        <v>691</v>
      </c>
      <c r="E26" s="519"/>
      <c r="F26" s="520"/>
      <c r="G26" s="271">
        <v>10</v>
      </c>
      <c r="H26" s="271">
        <v>1476.1714285714299</v>
      </c>
      <c r="I26" s="271">
        <v>147.61714285714297</v>
      </c>
      <c r="J26" s="274" t="s">
        <v>862</v>
      </c>
      <c r="K26" s="534"/>
      <c r="L26" s="535"/>
      <c r="M26" s="156"/>
    </row>
    <row r="27" spans="1:13" ht="15.75" customHeight="1">
      <c r="A27" s="513"/>
      <c r="B27" s="514"/>
      <c r="C27" s="170" t="s">
        <v>746</v>
      </c>
      <c r="D27" s="518"/>
      <c r="E27" s="519"/>
      <c r="F27" s="520"/>
      <c r="G27" s="160"/>
      <c r="H27" s="271"/>
      <c r="I27" s="271"/>
      <c r="J27" s="377"/>
      <c r="K27" s="521"/>
      <c r="L27" s="522"/>
      <c r="M27" s="156"/>
    </row>
    <row r="28" spans="1:13" ht="15.75" customHeight="1">
      <c r="A28" s="513"/>
      <c r="B28" s="514"/>
      <c r="C28" s="170" t="s">
        <v>747</v>
      </c>
      <c r="D28" s="518"/>
      <c r="E28" s="519"/>
      <c r="F28" s="520"/>
      <c r="G28" s="160"/>
      <c r="H28" s="271"/>
      <c r="I28" s="271"/>
      <c r="J28" s="377"/>
      <c r="K28" s="521"/>
      <c r="L28" s="522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49">
    <mergeCell ref="A3:L4"/>
    <mergeCell ref="K19:L21"/>
    <mergeCell ref="A1:L2"/>
    <mergeCell ref="D12:F12"/>
    <mergeCell ref="K12:L12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D13:F13"/>
    <mergeCell ref="K13:L13"/>
    <mergeCell ref="K9:L9"/>
    <mergeCell ref="D10:F10"/>
    <mergeCell ref="K10:L10"/>
    <mergeCell ref="D11:F11"/>
    <mergeCell ref="K11:L11"/>
    <mergeCell ref="K14:L14"/>
    <mergeCell ref="K15:L16"/>
    <mergeCell ref="K17:L17"/>
    <mergeCell ref="K25:L26"/>
    <mergeCell ref="D14:F14"/>
    <mergeCell ref="D26:F26"/>
    <mergeCell ref="D25:F25"/>
    <mergeCell ref="D15:F15"/>
    <mergeCell ref="D24:F24"/>
    <mergeCell ref="K24:L24"/>
    <mergeCell ref="D16:F16"/>
    <mergeCell ref="D17:F17"/>
    <mergeCell ref="K22:L22"/>
    <mergeCell ref="D23:F23"/>
    <mergeCell ref="A18:B18"/>
    <mergeCell ref="D18:F18"/>
    <mergeCell ref="K18:L18"/>
    <mergeCell ref="D21:F21"/>
    <mergeCell ref="A19:A28"/>
    <mergeCell ref="B19:B28"/>
    <mergeCell ref="D19:F19"/>
    <mergeCell ref="D20:F20"/>
    <mergeCell ref="D22:F22"/>
    <mergeCell ref="D28:F28"/>
    <mergeCell ref="K28:L28"/>
    <mergeCell ref="D27:F27"/>
    <mergeCell ref="K23:L23"/>
    <mergeCell ref="K27:L27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8" sqref="D8:L19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413" t="s">
        <v>214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120"/>
    </row>
    <row r="2" spans="1:13" s="121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</row>
    <row r="3" spans="1:13" ht="15.75" customHeight="1">
      <c r="A3" s="536" t="s">
        <v>215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156"/>
    </row>
    <row r="4" spans="1:13" s="121" customFormat="1" ht="15.75" customHeight="1">
      <c r="A4" s="537"/>
      <c r="B4" s="537"/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131"/>
    </row>
    <row r="5" spans="1:13" s="158" customFormat="1" ht="16.350000000000001" customHeight="1">
      <c r="A5" s="513" t="s">
        <v>162</v>
      </c>
      <c r="B5" s="160">
        <v>1</v>
      </c>
      <c r="C5" s="160">
        <v>2</v>
      </c>
      <c r="D5" s="171">
        <v>3</v>
      </c>
      <c r="E5" s="171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513"/>
      <c r="B6" s="161" t="s">
        <v>216</v>
      </c>
      <c r="C6" s="161" t="s">
        <v>159</v>
      </c>
      <c r="D6" s="172" t="s">
        <v>217</v>
      </c>
      <c r="E6" s="172" t="s">
        <v>161</v>
      </c>
      <c r="F6" s="162" t="s">
        <v>140</v>
      </c>
      <c r="G6" s="163" t="s">
        <v>138</v>
      </c>
      <c r="H6" s="164" t="s">
        <v>218</v>
      </c>
      <c r="I6" s="163" t="s">
        <v>219</v>
      </c>
      <c r="J6" s="163" t="s">
        <v>144</v>
      </c>
      <c r="K6" s="159"/>
      <c r="L6" s="159"/>
      <c r="M6" s="131"/>
    </row>
    <row r="7" spans="1:13" s="158" customFormat="1" ht="15.75" customHeight="1">
      <c r="A7" s="514" t="s">
        <v>196</v>
      </c>
      <c r="B7" s="514"/>
      <c r="C7" s="167" t="s">
        <v>47</v>
      </c>
      <c r="D7" s="514" t="s">
        <v>12</v>
      </c>
      <c r="E7" s="544"/>
      <c r="F7" s="544"/>
      <c r="G7" s="167" t="s">
        <v>46</v>
      </c>
      <c r="H7" s="167" t="s">
        <v>220</v>
      </c>
      <c r="I7" s="167" t="s">
        <v>221</v>
      </c>
      <c r="J7" s="249" t="s">
        <v>383</v>
      </c>
      <c r="K7" s="514" t="s">
        <v>51</v>
      </c>
      <c r="L7" s="544"/>
      <c r="M7" s="157"/>
    </row>
    <row r="8" spans="1:13" ht="15.75" customHeight="1">
      <c r="A8" s="513">
        <v>3</v>
      </c>
      <c r="B8" s="514" t="s">
        <v>160</v>
      </c>
      <c r="C8" s="344">
        <v>1</v>
      </c>
      <c r="D8" s="518" t="s">
        <v>781</v>
      </c>
      <c r="E8" s="519"/>
      <c r="F8" s="520"/>
      <c r="G8" s="271">
        <v>4.7142857142857144</v>
      </c>
      <c r="H8" s="271">
        <v>2159.7142038086145</v>
      </c>
      <c r="I8" s="271">
        <v>462.93773872090662</v>
      </c>
      <c r="J8" s="273" t="s">
        <v>866</v>
      </c>
      <c r="K8" s="551" t="s">
        <v>751</v>
      </c>
      <c r="L8" s="552"/>
      <c r="M8" s="131"/>
    </row>
    <row r="9" spans="1:13" ht="15.75" customHeight="1">
      <c r="A9" s="513"/>
      <c r="B9" s="514"/>
      <c r="C9" s="344">
        <v>2</v>
      </c>
      <c r="D9" s="518" t="s">
        <v>506</v>
      </c>
      <c r="E9" s="519"/>
      <c r="F9" s="520"/>
      <c r="G9" s="271">
        <v>4.7142857142857144</v>
      </c>
      <c r="H9" s="271">
        <v>2135.3589435774275</v>
      </c>
      <c r="I9" s="271">
        <v>457.87851140456121</v>
      </c>
      <c r="J9" s="275" t="s">
        <v>518</v>
      </c>
      <c r="K9" s="553"/>
      <c r="L9" s="554"/>
      <c r="M9" s="131"/>
    </row>
    <row r="10" spans="1:13" ht="15.75" customHeight="1">
      <c r="A10" s="513"/>
      <c r="B10" s="514"/>
      <c r="C10" s="344">
        <v>3</v>
      </c>
      <c r="D10" s="518" t="s">
        <v>438</v>
      </c>
      <c r="E10" s="519"/>
      <c r="F10" s="520"/>
      <c r="G10" s="271">
        <v>4.7142857142857144</v>
      </c>
      <c r="H10" s="271">
        <v>2123.0447178871514</v>
      </c>
      <c r="I10" s="271">
        <v>455.66934273709415</v>
      </c>
      <c r="J10" s="274" t="s">
        <v>867</v>
      </c>
      <c r="K10" s="555"/>
      <c r="L10" s="556"/>
      <c r="M10" s="131"/>
    </row>
    <row r="11" spans="1:13" ht="15.75" customHeight="1">
      <c r="A11" s="513"/>
      <c r="B11" s="514"/>
      <c r="C11" s="344">
        <v>4</v>
      </c>
      <c r="D11" s="518" t="s">
        <v>868</v>
      </c>
      <c r="E11" s="519"/>
      <c r="F11" s="520"/>
      <c r="G11" s="271">
        <v>9</v>
      </c>
      <c r="H11" s="271">
        <v>1983.7510526814171</v>
      </c>
      <c r="I11" s="271">
        <v>220.4167836312686</v>
      </c>
      <c r="J11" s="275" t="s">
        <v>518</v>
      </c>
      <c r="K11" s="546"/>
      <c r="L11" s="547"/>
      <c r="M11" s="131"/>
    </row>
    <row r="12" spans="1:13" ht="15.75" customHeight="1">
      <c r="A12" s="513"/>
      <c r="B12" s="514"/>
      <c r="C12" s="344">
        <v>5</v>
      </c>
      <c r="D12" s="518" t="s">
        <v>752</v>
      </c>
      <c r="E12" s="519"/>
      <c r="F12" s="520"/>
      <c r="G12" s="271">
        <v>9</v>
      </c>
      <c r="H12" s="271">
        <v>1963.4973398450295</v>
      </c>
      <c r="I12" s="271">
        <v>218.16637109389217</v>
      </c>
      <c r="J12" s="275" t="s">
        <v>518</v>
      </c>
      <c r="K12" s="546"/>
      <c r="L12" s="547"/>
      <c r="M12" s="131"/>
    </row>
    <row r="13" spans="1:13" ht="15.75" customHeight="1">
      <c r="A13" s="513"/>
      <c r="B13" s="514"/>
      <c r="C13" s="170" t="s">
        <v>742</v>
      </c>
      <c r="D13" s="518" t="s">
        <v>869</v>
      </c>
      <c r="E13" s="519"/>
      <c r="F13" s="520"/>
      <c r="G13" s="271">
        <v>13</v>
      </c>
      <c r="H13" s="271">
        <v>1240.667627050821</v>
      </c>
      <c r="I13" s="271">
        <v>95.435971311601605</v>
      </c>
      <c r="J13" s="275" t="s">
        <v>518</v>
      </c>
      <c r="K13" s="548"/>
      <c r="L13" s="549"/>
      <c r="M13" s="131"/>
    </row>
    <row r="14" spans="1:13" ht="15.75" customHeight="1">
      <c r="A14" s="513"/>
      <c r="B14" s="514"/>
      <c r="C14" s="170" t="s">
        <v>743</v>
      </c>
      <c r="D14" s="518" t="s">
        <v>870</v>
      </c>
      <c r="E14" s="519"/>
      <c r="F14" s="520"/>
      <c r="G14" s="160">
        <v>12</v>
      </c>
      <c r="H14" s="271">
        <v>1966.7990029466491</v>
      </c>
      <c r="I14" s="271">
        <v>163.89991691222073</v>
      </c>
      <c r="J14" s="274" t="s">
        <v>749</v>
      </c>
      <c r="K14" s="546" t="s">
        <v>871</v>
      </c>
      <c r="L14" s="547"/>
      <c r="M14" s="131"/>
    </row>
    <row r="15" spans="1:13" ht="15.75" customHeight="1">
      <c r="A15" s="513"/>
      <c r="B15" s="514"/>
      <c r="C15" s="170" t="s">
        <v>744</v>
      </c>
      <c r="D15" s="518" t="s">
        <v>510</v>
      </c>
      <c r="E15" s="519"/>
      <c r="F15" s="520"/>
      <c r="G15" s="271">
        <v>12</v>
      </c>
      <c r="H15" s="271">
        <v>1972.2216612187626</v>
      </c>
      <c r="I15" s="271">
        <v>164.35180510156357</v>
      </c>
      <c r="J15" s="273" t="s">
        <v>872</v>
      </c>
      <c r="K15" s="557" t="s">
        <v>873</v>
      </c>
      <c r="L15" s="558"/>
      <c r="M15" s="131"/>
    </row>
    <row r="16" spans="1:13" ht="15.75" customHeight="1">
      <c r="A16" s="513"/>
      <c r="B16" s="514"/>
      <c r="C16" s="170" t="s">
        <v>746</v>
      </c>
      <c r="D16" s="518" t="s">
        <v>874</v>
      </c>
      <c r="E16" s="519"/>
      <c r="F16" s="520"/>
      <c r="G16" s="271">
        <v>11.857142857142858</v>
      </c>
      <c r="H16" s="271">
        <v>2049.5839076069674</v>
      </c>
      <c r="I16" s="271">
        <v>172.88523905382741</v>
      </c>
      <c r="J16" s="275" t="s">
        <v>518</v>
      </c>
      <c r="K16" s="546"/>
      <c r="L16" s="547"/>
      <c r="M16" s="156"/>
    </row>
    <row r="17" spans="1:13" ht="15.75" customHeight="1">
      <c r="A17" s="513"/>
      <c r="B17" s="514"/>
      <c r="C17" s="170" t="s">
        <v>747</v>
      </c>
      <c r="D17" s="518" t="s">
        <v>875</v>
      </c>
      <c r="E17" s="519"/>
      <c r="F17" s="520"/>
      <c r="G17" s="271">
        <v>11</v>
      </c>
      <c r="H17" s="271">
        <v>1973.5138616639931</v>
      </c>
      <c r="I17" s="271">
        <v>179.41035106036298</v>
      </c>
      <c r="J17" s="275" t="s">
        <v>518</v>
      </c>
      <c r="K17" s="546"/>
      <c r="L17" s="547"/>
      <c r="M17" s="156"/>
    </row>
    <row r="18" spans="1:13" s="166" customFormat="1" ht="15.75" customHeight="1">
      <c r="A18" s="510" t="s">
        <v>196</v>
      </c>
      <c r="B18" s="510"/>
      <c r="C18" s="345" t="s">
        <v>748</v>
      </c>
      <c r="D18" s="559" t="s">
        <v>12</v>
      </c>
      <c r="E18" s="560"/>
      <c r="F18" s="561"/>
      <c r="G18" s="376" t="s">
        <v>876</v>
      </c>
      <c r="H18" s="376" t="s">
        <v>877</v>
      </c>
      <c r="I18" s="376" t="s">
        <v>858</v>
      </c>
      <c r="J18" s="249" t="s">
        <v>859</v>
      </c>
      <c r="K18" s="559" t="s">
        <v>860</v>
      </c>
      <c r="L18" s="561"/>
      <c r="M18" s="159"/>
    </row>
    <row r="19" spans="1:13" ht="15.75" customHeight="1">
      <c r="A19" s="513">
        <v>4</v>
      </c>
      <c r="B19" s="514" t="s">
        <v>161</v>
      </c>
      <c r="C19" s="344">
        <v>1</v>
      </c>
      <c r="D19" s="548" t="s">
        <v>878</v>
      </c>
      <c r="E19" s="562"/>
      <c r="F19" s="549"/>
      <c r="G19" s="276">
        <v>13</v>
      </c>
      <c r="H19" s="276">
        <v>1348.6666666666642</v>
      </c>
      <c r="I19" s="276">
        <v>103.74358974358954</v>
      </c>
      <c r="J19" s="275" t="s">
        <v>518</v>
      </c>
      <c r="K19" s="557"/>
      <c r="L19" s="558"/>
      <c r="M19" s="156"/>
    </row>
    <row r="20" spans="1:13" ht="15.75" customHeight="1">
      <c r="A20" s="513"/>
      <c r="B20" s="514"/>
      <c r="C20" s="344">
        <v>2</v>
      </c>
      <c r="D20" s="521"/>
      <c r="E20" s="522"/>
      <c r="F20" s="522"/>
      <c r="G20" s="343"/>
      <c r="H20" s="343"/>
      <c r="I20" s="343"/>
      <c r="J20" s="343"/>
      <c r="K20" s="521"/>
      <c r="L20" s="522"/>
      <c r="M20" s="156"/>
    </row>
    <row r="21" spans="1:13" ht="15.75" customHeight="1">
      <c r="A21" s="513"/>
      <c r="B21" s="514"/>
      <c r="C21" s="344">
        <v>3</v>
      </c>
      <c r="D21" s="521"/>
      <c r="E21" s="522"/>
      <c r="F21" s="522"/>
      <c r="G21" s="343"/>
      <c r="H21" s="343"/>
      <c r="I21" s="343"/>
      <c r="J21" s="343"/>
      <c r="K21" s="521"/>
      <c r="L21" s="522"/>
      <c r="M21" s="156"/>
    </row>
    <row r="22" spans="1:13" ht="15.75" customHeight="1">
      <c r="A22" s="513"/>
      <c r="B22" s="514"/>
      <c r="C22" s="344">
        <v>4</v>
      </c>
      <c r="D22" s="521"/>
      <c r="E22" s="522"/>
      <c r="F22" s="522"/>
      <c r="G22" s="343"/>
      <c r="H22" s="343"/>
      <c r="I22" s="343"/>
      <c r="J22" s="343"/>
      <c r="K22" s="521"/>
      <c r="L22" s="522"/>
      <c r="M22" s="156"/>
    </row>
    <row r="23" spans="1:13" ht="15.75" customHeight="1">
      <c r="A23" s="513"/>
      <c r="B23" s="514"/>
      <c r="C23" s="344">
        <v>5</v>
      </c>
      <c r="D23" s="521"/>
      <c r="E23" s="522"/>
      <c r="F23" s="522"/>
      <c r="G23" s="343"/>
      <c r="H23" s="343"/>
      <c r="I23" s="343"/>
      <c r="J23" s="343"/>
      <c r="K23" s="521"/>
      <c r="L23" s="522"/>
      <c r="M23" s="156"/>
    </row>
    <row r="24" spans="1:13" ht="15.75" customHeight="1">
      <c r="A24" s="513"/>
      <c r="B24" s="514"/>
      <c r="C24" s="170" t="s">
        <v>742</v>
      </c>
      <c r="D24" s="545"/>
      <c r="E24" s="522"/>
      <c r="F24" s="522"/>
      <c r="G24" s="276"/>
      <c r="H24" s="276"/>
      <c r="I24" s="276"/>
      <c r="J24" s="275"/>
      <c r="K24" s="550"/>
      <c r="L24" s="522"/>
      <c r="M24" s="156"/>
    </row>
    <row r="25" spans="1:13" ht="15.75" customHeight="1">
      <c r="A25" s="513"/>
      <c r="B25" s="514"/>
      <c r="C25" s="170" t="s">
        <v>743</v>
      </c>
      <c r="D25" s="521"/>
      <c r="E25" s="522"/>
      <c r="F25" s="522"/>
      <c r="G25" s="343"/>
      <c r="H25" s="343"/>
      <c r="I25" s="343"/>
      <c r="J25" s="343"/>
      <c r="K25" s="521"/>
      <c r="L25" s="522"/>
      <c r="M25" s="156"/>
    </row>
    <row r="26" spans="1:13" ht="15.75" customHeight="1">
      <c r="A26" s="513"/>
      <c r="B26" s="514"/>
      <c r="C26" s="170" t="s">
        <v>744</v>
      </c>
      <c r="D26" s="521"/>
      <c r="E26" s="522"/>
      <c r="F26" s="522"/>
      <c r="G26" s="343"/>
      <c r="H26" s="343"/>
      <c r="I26" s="343"/>
      <c r="J26" s="343"/>
      <c r="K26" s="521"/>
      <c r="L26" s="522"/>
      <c r="M26" s="156"/>
    </row>
    <row r="27" spans="1:13" ht="15.75" customHeight="1">
      <c r="A27" s="513"/>
      <c r="B27" s="514"/>
      <c r="C27" s="170" t="s">
        <v>746</v>
      </c>
      <c r="D27" s="521"/>
      <c r="E27" s="522"/>
      <c r="F27" s="522"/>
      <c r="G27" s="343"/>
      <c r="H27" s="343"/>
      <c r="I27" s="343"/>
      <c r="J27" s="343"/>
      <c r="K27" s="521"/>
      <c r="L27" s="522"/>
      <c r="M27" s="156"/>
    </row>
    <row r="28" spans="1:13" ht="15.75" customHeight="1">
      <c r="A28" s="513"/>
      <c r="B28" s="514"/>
      <c r="C28" s="170" t="s">
        <v>747</v>
      </c>
      <c r="D28" s="521"/>
      <c r="E28" s="522"/>
      <c r="F28" s="522"/>
      <c r="G28" s="343"/>
      <c r="H28" s="343"/>
      <c r="I28" s="343"/>
      <c r="J28" s="343"/>
      <c r="K28" s="521"/>
      <c r="L28" s="522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1">
    <mergeCell ref="D24:F24"/>
    <mergeCell ref="D25:F25"/>
    <mergeCell ref="K25:L25"/>
    <mergeCell ref="D26:F26"/>
    <mergeCell ref="K26:L26"/>
    <mergeCell ref="A19:A28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A1:L2"/>
    <mergeCell ref="K24:L24"/>
    <mergeCell ref="K8:L10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8:B18"/>
    <mergeCell ref="D18:F18"/>
    <mergeCell ref="K18:L18"/>
    <mergeCell ref="A5:A6"/>
    <mergeCell ref="A7:B7"/>
    <mergeCell ref="D7:F7"/>
    <mergeCell ref="K7:L7"/>
    <mergeCell ref="A8:A17"/>
    <mergeCell ref="B8:B17"/>
    <mergeCell ref="D8:F8"/>
    <mergeCell ref="D9:F9"/>
    <mergeCell ref="D10:F10"/>
    <mergeCell ref="D11:F11"/>
    <mergeCell ref="K11:L11"/>
    <mergeCell ref="D13:F13"/>
    <mergeCell ref="K13:L13"/>
    <mergeCell ref="D14:F14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view="pageBreakPreview" zoomScaleNormal="60" zoomScaleSheetLayoutView="100" workbookViewId="0">
      <selection activeCell="E32" sqref="E32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413" t="s">
        <v>214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120"/>
    </row>
    <row r="2" spans="1:18" s="121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</row>
    <row r="3" spans="1:18" ht="15.75" customHeight="1">
      <c r="A3" s="536" t="s">
        <v>215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156"/>
    </row>
    <row r="4" spans="1:18" s="121" customFormat="1" ht="15.75" customHeight="1">
      <c r="A4" s="537"/>
      <c r="B4" s="537"/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131"/>
    </row>
    <row r="5" spans="1:18" s="158" customFormat="1" ht="16.350000000000001" customHeight="1">
      <c r="A5" s="513" t="s">
        <v>162</v>
      </c>
      <c r="B5" s="160">
        <v>1</v>
      </c>
      <c r="C5" s="160">
        <v>2</v>
      </c>
      <c r="D5" s="160">
        <v>3</v>
      </c>
      <c r="E5" s="160">
        <v>4</v>
      </c>
      <c r="F5" s="171">
        <v>5</v>
      </c>
      <c r="G5" s="171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8" ht="16.350000000000001" customHeight="1">
      <c r="A6" s="513"/>
      <c r="B6" s="161" t="s">
        <v>216</v>
      </c>
      <c r="C6" s="161" t="s">
        <v>159</v>
      </c>
      <c r="D6" s="161" t="s">
        <v>217</v>
      </c>
      <c r="E6" s="161" t="s">
        <v>161</v>
      </c>
      <c r="F6" s="173" t="s">
        <v>140</v>
      </c>
      <c r="G6" s="174" t="s">
        <v>138</v>
      </c>
      <c r="H6" s="164" t="s">
        <v>218</v>
      </c>
      <c r="I6" s="163" t="s">
        <v>219</v>
      </c>
      <c r="J6" s="163" t="s">
        <v>144</v>
      </c>
      <c r="K6" s="159"/>
      <c r="L6" s="159"/>
      <c r="M6" s="131"/>
    </row>
    <row r="7" spans="1:18" s="158" customFormat="1" ht="15.75" customHeight="1">
      <c r="A7" s="514" t="s">
        <v>196</v>
      </c>
      <c r="B7" s="514"/>
      <c r="C7" s="167" t="s">
        <v>47</v>
      </c>
      <c r="D7" s="514" t="s">
        <v>12</v>
      </c>
      <c r="E7" s="544"/>
      <c r="F7" s="544"/>
      <c r="G7" s="167" t="s">
        <v>46</v>
      </c>
      <c r="H7" s="167" t="s">
        <v>220</v>
      </c>
      <c r="I7" s="167" t="s">
        <v>221</v>
      </c>
      <c r="J7" s="249" t="s">
        <v>383</v>
      </c>
      <c r="K7" s="514" t="s">
        <v>51</v>
      </c>
      <c r="L7" s="544"/>
      <c r="M7" s="157"/>
    </row>
    <row r="8" spans="1:18" ht="15.75" customHeight="1">
      <c r="A8" s="513">
        <v>5</v>
      </c>
      <c r="B8" s="514" t="s">
        <v>140</v>
      </c>
      <c r="C8" s="344">
        <v>1</v>
      </c>
      <c r="D8" s="563" t="s">
        <v>466</v>
      </c>
      <c r="E8" s="564"/>
      <c r="F8" s="565"/>
      <c r="G8" s="276">
        <v>5.7142857142857144</v>
      </c>
      <c r="H8" s="276">
        <v>1478.1565832843191</v>
      </c>
      <c r="I8" s="276">
        <v>260.47424316334201</v>
      </c>
      <c r="J8" s="275" t="s">
        <v>518</v>
      </c>
      <c r="K8" s="545"/>
      <c r="L8" s="522"/>
      <c r="M8" s="131"/>
      <c r="P8" s="291"/>
      <c r="Q8" s="291"/>
      <c r="R8" s="291"/>
    </row>
    <row r="9" spans="1:18" ht="15.75" customHeight="1">
      <c r="A9" s="513"/>
      <c r="B9" s="514"/>
      <c r="C9" s="344">
        <v>2</v>
      </c>
      <c r="D9" s="563" t="s">
        <v>500</v>
      </c>
      <c r="E9" s="564"/>
      <c r="F9" s="565"/>
      <c r="G9" s="276">
        <v>7</v>
      </c>
      <c r="H9" s="276">
        <v>1483.7800199025849</v>
      </c>
      <c r="I9" s="276">
        <v>211.96857427179788</v>
      </c>
      <c r="J9" s="275" t="s">
        <v>518</v>
      </c>
      <c r="K9" s="521"/>
      <c r="L9" s="522"/>
      <c r="M9" s="131"/>
      <c r="P9" s="291"/>
      <c r="Q9" s="291"/>
      <c r="R9" s="291"/>
    </row>
    <row r="10" spans="1:18" ht="15.75" customHeight="1">
      <c r="A10" s="513"/>
      <c r="B10" s="514"/>
      <c r="C10" s="344">
        <v>3</v>
      </c>
      <c r="D10" s="563" t="s">
        <v>479</v>
      </c>
      <c r="E10" s="564"/>
      <c r="F10" s="565"/>
      <c r="G10" s="276">
        <v>15</v>
      </c>
      <c r="H10" s="276">
        <v>1274.0815580715564</v>
      </c>
      <c r="I10" s="276">
        <v>84.938770538103753</v>
      </c>
      <c r="J10" s="275" t="s">
        <v>518</v>
      </c>
      <c r="K10" s="521"/>
      <c r="L10" s="522"/>
      <c r="M10" s="131"/>
      <c r="P10" s="291"/>
      <c r="Q10" s="291"/>
      <c r="R10" s="291"/>
    </row>
    <row r="11" spans="1:18" ht="15.75" customHeight="1">
      <c r="A11" s="513"/>
      <c r="B11" s="514"/>
      <c r="C11" s="344">
        <v>4</v>
      </c>
      <c r="D11" s="563" t="s">
        <v>879</v>
      </c>
      <c r="E11" s="564"/>
      <c r="F11" s="565"/>
      <c r="G11" s="276">
        <v>15.571428571428571</v>
      </c>
      <c r="H11" s="276">
        <v>1304.6678373598611</v>
      </c>
      <c r="I11" s="276">
        <v>83.860545643028814</v>
      </c>
      <c r="J11" s="273" t="s">
        <v>750</v>
      </c>
      <c r="K11" s="523" t="s">
        <v>880</v>
      </c>
      <c r="L11" s="522"/>
      <c r="M11" s="131"/>
      <c r="P11" s="291"/>
      <c r="Q11" s="291"/>
      <c r="R11" s="291"/>
    </row>
    <row r="12" spans="1:18" ht="15.75" customHeight="1">
      <c r="A12" s="513"/>
      <c r="B12" s="514"/>
      <c r="C12" s="344">
        <v>5</v>
      </c>
      <c r="D12" s="563" t="s">
        <v>475</v>
      </c>
      <c r="E12" s="564"/>
      <c r="F12" s="565"/>
      <c r="G12" s="276">
        <v>17</v>
      </c>
      <c r="H12" s="276">
        <v>1390.0506327795863</v>
      </c>
      <c r="I12" s="276">
        <v>81.767684281152142</v>
      </c>
      <c r="J12" s="274" t="s">
        <v>749</v>
      </c>
      <c r="K12" s="521" t="s">
        <v>881</v>
      </c>
      <c r="L12" s="522"/>
      <c r="M12" s="131"/>
      <c r="P12" s="291"/>
      <c r="Q12" s="291"/>
      <c r="R12" s="291"/>
    </row>
    <row r="13" spans="1:18" ht="15.75" customHeight="1">
      <c r="A13" s="513"/>
      <c r="B13" s="514"/>
      <c r="C13" s="170" t="s">
        <v>753</v>
      </c>
      <c r="D13" s="563" t="s">
        <v>427</v>
      </c>
      <c r="E13" s="564"/>
      <c r="F13" s="565"/>
      <c r="G13" s="276">
        <v>20.285714285714285</v>
      </c>
      <c r="H13" s="276">
        <v>1291.2859673591797</v>
      </c>
      <c r="I13" s="276">
        <v>63.689232773698841</v>
      </c>
      <c r="J13" s="275" t="s">
        <v>518</v>
      </c>
      <c r="K13" s="568"/>
      <c r="L13" s="569"/>
      <c r="M13" s="131"/>
      <c r="P13" s="291"/>
      <c r="Q13" s="291"/>
      <c r="R13" s="291"/>
    </row>
    <row r="14" spans="1:18" ht="15.75" customHeight="1">
      <c r="A14" s="513"/>
      <c r="B14" s="514"/>
      <c r="C14" s="170" t="s">
        <v>754</v>
      </c>
      <c r="D14" s="563" t="s">
        <v>882</v>
      </c>
      <c r="E14" s="564"/>
      <c r="F14" s="565"/>
      <c r="G14" s="276">
        <v>20</v>
      </c>
      <c r="H14" s="276">
        <v>1285.5586529086233</v>
      </c>
      <c r="I14" s="276">
        <v>64.277932645431179</v>
      </c>
      <c r="J14" s="274" t="s">
        <v>883</v>
      </c>
      <c r="K14" s="523" t="s">
        <v>884</v>
      </c>
      <c r="L14" s="522"/>
      <c r="M14" s="131"/>
      <c r="P14" s="291"/>
      <c r="Q14" s="291"/>
      <c r="R14" s="291"/>
    </row>
    <row r="15" spans="1:18" ht="15.75" customHeight="1">
      <c r="A15" s="513"/>
      <c r="B15" s="514"/>
      <c r="C15" s="170" t="s">
        <v>755</v>
      </c>
      <c r="D15" s="563" t="s">
        <v>470</v>
      </c>
      <c r="E15" s="564"/>
      <c r="F15" s="565"/>
      <c r="G15" s="276">
        <v>16.285714285714285</v>
      </c>
      <c r="H15" s="276">
        <v>1065.3143642072253</v>
      </c>
      <c r="I15" s="276">
        <v>65.459491007941864</v>
      </c>
      <c r="J15" s="275" t="s">
        <v>518</v>
      </c>
      <c r="K15" s="521"/>
      <c r="L15" s="522"/>
      <c r="M15" s="131"/>
      <c r="P15" s="291"/>
      <c r="Q15" s="291"/>
      <c r="R15" s="291"/>
    </row>
    <row r="16" spans="1:18" ht="15.75" customHeight="1">
      <c r="A16" s="513"/>
      <c r="B16" s="514"/>
      <c r="C16" s="170" t="s">
        <v>756</v>
      </c>
      <c r="D16" s="563" t="s">
        <v>517</v>
      </c>
      <c r="E16" s="564"/>
      <c r="F16" s="565"/>
      <c r="G16" s="276">
        <v>19</v>
      </c>
      <c r="H16" s="276">
        <v>1287.0038226728709</v>
      </c>
      <c r="I16" s="276">
        <v>67.737043298572161</v>
      </c>
      <c r="J16" s="273" t="s">
        <v>885</v>
      </c>
      <c r="K16" s="523"/>
      <c r="L16" s="522"/>
      <c r="M16" s="156"/>
      <c r="P16" s="291"/>
      <c r="Q16" s="291"/>
      <c r="R16" s="291"/>
    </row>
    <row r="17" spans="1:18" ht="15.75" customHeight="1">
      <c r="A17" s="513"/>
      <c r="B17" s="514"/>
      <c r="C17" s="170" t="s">
        <v>757</v>
      </c>
      <c r="D17" s="563" t="s">
        <v>473</v>
      </c>
      <c r="E17" s="564"/>
      <c r="F17" s="565"/>
      <c r="G17" s="276">
        <v>19</v>
      </c>
      <c r="H17" s="276">
        <v>1290.9580972227163</v>
      </c>
      <c r="I17" s="276">
        <v>67.945163011721931</v>
      </c>
      <c r="J17" s="275" t="s">
        <v>518</v>
      </c>
      <c r="K17" s="523"/>
      <c r="L17" s="522"/>
      <c r="M17" s="156"/>
      <c r="P17" s="291"/>
      <c r="Q17" s="291"/>
      <c r="R17" s="291"/>
    </row>
    <row r="18" spans="1:18" s="166" customFormat="1" ht="15.75" customHeight="1">
      <c r="A18" s="510" t="s">
        <v>196</v>
      </c>
      <c r="B18" s="510"/>
      <c r="C18" s="345" t="s">
        <v>758</v>
      </c>
      <c r="D18" s="510" t="s">
        <v>12</v>
      </c>
      <c r="E18" s="511"/>
      <c r="F18" s="511"/>
      <c r="G18" s="376" t="s">
        <v>46</v>
      </c>
      <c r="H18" s="376" t="s">
        <v>886</v>
      </c>
      <c r="I18" s="376" t="s">
        <v>221</v>
      </c>
      <c r="J18" s="249" t="s">
        <v>887</v>
      </c>
      <c r="K18" s="510" t="s">
        <v>888</v>
      </c>
      <c r="L18" s="511"/>
      <c r="M18" s="159"/>
    </row>
    <row r="19" spans="1:18" ht="15.75" customHeight="1">
      <c r="A19" s="513">
        <v>6</v>
      </c>
      <c r="B19" s="514" t="s">
        <v>138</v>
      </c>
      <c r="C19" s="344">
        <v>1</v>
      </c>
      <c r="D19" s="563" t="s">
        <v>485</v>
      </c>
      <c r="E19" s="564"/>
      <c r="F19" s="565"/>
      <c r="G19" s="276">
        <v>17</v>
      </c>
      <c r="H19" s="276">
        <v>1382.1649717290693</v>
      </c>
      <c r="I19" s="276">
        <v>81.303821866415859</v>
      </c>
      <c r="J19" s="273" t="s">
        <v>885</v>
      </c>
      <c r="K19" s="550"/>
      <c r="L19" s="522"/>
      <c r="M19" s="156"/>
      <c r="P19" s="291"/>
      <c r="Q19" s="291"/>
      <c r="R19" s="291"/>
    </row>
    <row r="20" spans="1:18" ht="15.75" customHeight="1">
      <c r="A20" s="513"/>
      <c r="B20" s="514"/>
      <c r="C20" s="344">
        <v>2</v>
      </c>
      <c r="D20" s="563" t="s">
        <v>484</v>
      </c>
      <c r="E20" s="564"/>
      <c r="F20" s="565"/>
      <c r="G20" s="276">
        <v>17</v>
      </c>
      <c r="H20" s="276">
        <v>1289.4014079364081</v>
      </c>
      <c r="I20" s="276">
        <v>75.84714164331811</v>
      </c>
      <c r="J20" s="274" t="s">
        <v>862</v>
      </c>
      <c r="K20" s="523" t="s">
        <v>889</v>
      </c>
      <c r="L20" s="522"/>
      <c r="M20" s="156"/>
      <c r="P20" s="291"/>
      <c r="Q20" s="291"/>
      <c r="R20" s="291"/>
    </row>
    <row r="21" spans="1:18" ht="15.75" customHeight="1">
      <c r="A21" s="513"/>
      <c r="B21" s="514"/>
      <c r="C21" s="344">
        <v>3</v>
      </c>
      <c r="D21" s="563" t="s">
        <v>482</v>
      </c>
      <c r="E21" s="564"/>
      <c r="F21" s="565"/>
      <c r="G21" s="276">
        <v>18.714285714285715</v>
      </c>
      <c r="H21" s="276">
        <v>1235.3982253478487</v>
      </c>
      <c r="I21" s="276">
        <v>66.057645169242804</v>
      </c>
      <c r="J21" s="275" t="s">
        <v>518</v>
      </c>
      <c r="K21" s="523"/>
      <c r="L21" s="522"/>
      <c r="M21" s="156"/>
      <c r="P21" s="291"/>
      <c r="Q21" s="291"/>
      <c r="R21" s="291"/>
    </row>
    <row r="22" spans="1:18" ht="15.75" customHeight="1">
      <c r="A22" s="513"/>
      <c r="B22" s="514"/>
      <c r="C22" s="344">
        <v>4</v>
      </c>
      <c r="D22" s="563" t="s">
        <v>891</v>
      </c>
      <c r="E22" s="564"/>
      <c r="F22" s="565"/>
      <c r="G22" s="276">
        <v>19</v>
      </c>
      <c r="H22" s="276">
        <v>1235.541892832339</v>
      </c>
      <c r="I22" s="276">
        <v>65.028520675386261</v>
      </c>
      <c r="J22" s="273" t="s">
        <v>885</v>
      </c>
      <c r="K22" s="523"/>
      <c r="L22" s="522"/>
      <c r="M22" s="156"/>
      <c r="P22" s="291"/>
      <c r="Q22" s="291"/>
      <c r="R22" s="291"/>
    </row>
    <row r="23" spans="1:18" ht="15.75" customHeight="1">
      <c r="A23" s="513"/>
      <c r="B23" s="514"/>
      <c r="C23" s="344">
        <v>5</v>
      </c>
      <c r="D23" s="563"/>
      <c r="E23" s="564"/>
      <c r="F23" s="565"/>
      <c r="G23" s="276"/>
      <c r="H23" s="276"/>
      <c r="I23" s="276"/>
      <c r="J23" s="275"/>
      <c r="K23" s="523"/>
      <c r="L23" s="522"/>
      <c r="M23" s="156"/>
      <c r="P23" s="291"/>
      <c r="Q23" s="291"/>
      <c r="R23" s="291"/>
    </row>
    <row r="24" spans="1:18" ht="15.75" customHeight="1">
      <c r="A24" s="513"/>
      <c r="B24" s="514"/>
      <c r="C24" s="170" t="s">
        <v>753</v>
      </c>
      <c r="D24" s="563" t="s">
        <v>487</v>
      </c>
      <c r="E24" s="564"/>
      <c r="F24" s="565"/>
      <c r="G24" s="276">
        <v>20</v>
      </c>
      <c r="H24" s="276">
        <v>1237.6887704964395</v>
      </c>
      <c r="I24" s="276">
        <v>61.884438524821967</v>
      </c>
      <c r="J24" s="274" t="s">
        <v>883</v>
      </c>
      <c r="K24" s="532" t="s">
        <v>890</v>
      </c>
      <c r="L24" s="533"/>
      <c r="M24" s="156"/>
      <c r="P24" s="291"/>
      <c r="Q24" s="291"/>
      <c r="R24" s="291"/>
    </row>
    <row r="25" spans="1:18" ht="15.75" customHeight="1">
      <c r="A25" s="513"/>
      <c r="B25" s="514"/>
      <c r="C25" s="170" t="s">
        <v>754</v>
      </c>
      <c r="D25" s="563" t="s">
        <v>892</v>
      </c>
      <c r="E25" s="564"/>
      <c r="F25" s="565"/>
      <c r="G25" s="276">
        <v>20</v>
      </c>
      <c r="H25" s="276">
        <v>1241.9101055323408</v>
      </c>
      <c r="I25" s="276">
        <v>62.095505276617033</v>
      </c>
      <c r="J25" s="274" t="s">
        <v>862</v>
      </c>
      <c r="K25" s="566"/>
      <c r="L25" s="567"/>
      <c r="M25" s="156"/>
      <c r="P25" s="291"/>
      <c r="Q25" s="291"/>
      <c r="R25" s="291"/>
    </row>
    <row r="26" spans="1:18" ht="15.75" customHeight="1">
      <c r="A26" s="513"/>
      <c r="B26" s="514"/>
      <c r="C26" s="170" t="s">
        <v>755</v>
      </c>
      <c r="D26" s="563" t="s">
        <v>486</v>
      </c>
      <c r="E26" s="564"/>
      <c r="F26" s="565"/>
      <c r="G26" s="276">
        <v>19</v>
      </c>
      <c r="H26" s="276">
        <v>1234.2624963831688</v>
      </c>
      <c r="I26" s="276">
        <v>64.961184020166783</v>
      </c>
      <c r="J26" s="274" t="s">
        <v>883</v>
      </c>
      <c r="K26" s="534"/>
      <c r="L26" s="535"/>
      <c r="M26" s="156"/>
      <c r="P26" s="291"/>
      <c r="Q26" s="291"/>
      <c r="R26" s="291"/>
    </row>
    <row r="27" spans="1:18" ht="15.75" customHeight="1">
      <c r="A27" s="513"/>
      <c r="B27" s="514"/>
      <c r="C27" s="170" t="s">
        <v>756</v>
      </c>
      <c r="D27" s="563"/>
      <c r="E27" s="564"/>
      <c r="F27" s="565"/>
      <c r="G27" s="276"/>
      <c r="H27" s="276"/>
      <c r="I27" s="276"/>
      <c r="J27" s="275"/>
      <c r="K27" s="355"/>
      <c r="L27" s="356"/>
      <c r="M27" s="156"/>
      <c r="P27" s="291"/>
      <c r="Q27" s="291"/>
      <c r="R27" s="291"/>
    </row>
    <row r="28" spans="1:18" ht="15.75" customHeight="1">
      <c r="A28" s="513"/>
      <c r="B28" s="514"/>
      <c r="C28" s="170" t="s">
        <v>757</v>
      </c>
      <c r="D28" s="563"/>
      <c r="E28" s="564"/>
      <c r="F28" s="565"/>
      <c r="G28" s="276"/>
      <c r="H28" s="276"/>
      <c r="I28" s="276"/>
      <c r="J28" s="275"/>
      <c r="K28" s="521"/>
      <c r="L28" s="522"/>
      <c r="M28" s="156"/>
      <c r="P28" s="291"/>
      <c r="Q28" s="291"/>
      <c r="R28" s="291"/>
    </row>
    <row r="29" spans="1:18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8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8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8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0">
    <mergeCell ref="K15:L15"/>
    <mergeCell ref="K16:L16"/>
    <mergeCell ref="K28:L28"/>
    <mergeCell ref="A1:L2"/>
    <mergeCell ref="A18:B18"/>
    <mergeCell ref="D18:F18"/>
    <mergeCell ref="K18:L18"/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4:F14"/>
    <mergeCell ref="D13:F13"/>
    <mergeCell ref="D12:F12"/>
    <mergeCell ref="K12:L12"/>
    <mergeCell ref="K13:L13"/>
    <mergeCell ref="K14:L14"/>
    <mergeCell ref="A3:L4"/>
    <mergeCell ref="A5:A6"/>
    <mergeCell ref="A7:B7"/>
    <mergeCell ref="D7:F7"/>
    <mergeCell ref="K7:L7"/>
    <mergeCell ref="D27:F27"/>
    <mergeCell ref="D28:F28"/>
    <mergeCell ref="K24:L26"/>
    <mergeCell ref="D19:F19"/>
    <mergeCell ref="D20:F20"/>
    <mergeCell ref="D21:F21"/>
    <mergeCell ref="D22:F22"/>
    <mergeCell ref="D23:F23"/>
    <mergeCell ref="D24:F24"/>
    <mergeCell ref="D25:F25"/>
    <mergeCell ref="D26:F26"/>
    <mergeCell ref="K21:L21"/>
    <mergeCell ref="K20:L20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N27" sqref="N27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413" t="s">
        <v>214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120"/>
    </row>
    <row r="2" spans="1:13" s="121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</row>
    <row r="3" spans="1:13" ht="15.75" customHeight="1">
      <c r="A3" s="536" t="s">
        <v>215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156"/>
    </row>
    <row r="4" spans="1:13" s="121" customFormat="1" ht="15.75" customHeight="1">
      <c r="A4" s="536"/>
      <c r="B4" s="536"/>
      <c r="C4" s="536"/>
      <c r="D4" s="536"/>
      <c r="E4" s="536"/>
      <c r="F4" s="536"/>
      <c r="G4" s="536"/>
      <c r="H4" s="536"/>
      <c r="I4" s="536"/>
      <c r="J4" s="536"/>
      <c r="K4" s="536"/>
      <c r="L4" s="536"/>
      <c r="M4" s="131"/>
    </row>
    <row r="5" spans="1:13" s="158" customFormat="1" ht="16.350000000000001" customHeight="1">
      <c r="A5" s="574" t="s">
        <v>162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71">
        <v>7</v>
      </c>
      <c r="I5" s="171">
        <v>8</v>
      </c>
      <c r="J5" s="160">
        <v>9</v>
      </c>
      <c r="K5" s="157"/>
      <c r="L5" s="157"/>
      <c r="M5" s="157"/>
    </row>
    <row r="6" spans="1:13" ht="16.350000000000001" customHeight="1">
      <c r="A6" s="576"/>
      <c r="B6" s="161" t="s">
        <v>216</v>
      </c>
      <c r="C6" s="161" t="s">
        <v>159</v>
      </c>
      <c r="D6" s="161" t="s">
        <v>217</v>
      </c>
      <c r="E6" s="161" t="s">
        <v>161</v>
      </c>
      <c r="F6" s="162" t="s">
        <v>140</v>
      </c>
      <c r="G6" s="163" t="s">
        <v>138</v>
      </c>
      <c r="H6" s="172" t="s">
        <v>218</v>
      </c>
      <c r="I6" s="174" t="s">
        <v>219</v>
      </c>
      <c r="J6" s="163" t="s">
        <v>144</v>
      </c>
      <c r="K6" s="159"/>
      <c r="L6" s="159"/>
      <c r="M6" s="131"/>
    </row>
    <row r="7" spans="1:13" s="158" customFormat="1" ht="15.75" customHeight="1">
      <c r="A7" s="581" t="s">
        <v>196</v>
      </c>
      <c r="B7" s="582"/>
      <c r="C7" s="167" t="s">
        <v>47</v>
      </c>
      <c r="D7" s="581" t="s">
        <v>12</v>
      </c>
      <c r="E7" s="583"/>
      <c r="F7" s="582"/>
      <c r="G7" s="167" t="s">
        <v>46</v>
      </c>
      <c r="H7" s="167" t="s">
        <v>220</v>
      </c>
      <c r="I7" s="167" t="s">
        <v>221</v>
      </c>
      <c r="J7" s="249" t="s">
        <v>383</v>
      </c>
      <c r="K7" s="581" t="s">
        <v>51</v>
      </c>
      <c r="L7" s="582"/>
      <c r="M7" s="157"/>
    </row>
    <row r="8" spans="1:13" ht="15.75" customHeight="1">
      <c r="A8" s="574">
        <v>7</v>
      </c>
      <c r="B8" s="577" t="s">
        <v>142</v>
      </c>
      <c r="C8" s="344">
        <v>1</v>
      </c>
      <c r="D8" s="518" t="s">
        <v>697</v>
      </c>
      <c r="E8" s="519"/>
      <c r="F8" s="520"/>
      <c r="G8" s="271">
        <v>8</v>
      </c>
      <c r="H8" s="271">
        <v>1377.3482697747411</v>
      </c>
      <c r="I8" s="271">
        <v>172.16853372184264</v>
      </c>
      <c r="J8" s="275" t="s">
        <v>518</v>
      </c>
      <c r="K8" s="580"/>
      <c r="L8" s="549"/>
      <c r="M8" s="131"/>
    </row>
    <row r="9" spans="1:13" ht="15.75" customHeight="1">
      <c r="A9" s="575"/>
      <c r="B9" s="578"/>
      <c r="C9" s="344">
        <v>2</v>
      </c>
      <c r="D9" s="518" t="s">
        <v>413</v>
      </c>
      <c r="E9" s="519"/>
      <c r="F9" s="520"/>
      <c r="G9" s="271">
        <v>17.142857142857142</v>
      </c>
      <c r="H9" s="271">
        <v>1377.6140741264662</v>
      </c>
      <c r="I9" s="271">
        <v>80.387342966410998</v>
      </c>
      <c r="J9" s="273" t="s">
        <v>750</v>
      </c>
      <c r="K9" s="557"/>
      <c r="L9" s="547"/>
      <c r="M9" s="131"/>
    </row>
    <row r="10" spans="1:13" ht="15.75" customHeight="1">
      <c r="A10" s="575"/>
      <c r="B10" s="578"/>
      <c r="C10" s="344">
        <v>3</v>
      </c>
      <c r="D10" s="518" t="s">
        <v>492</v>
      </c>
      <c r="E10" s="519"/>
      <c r="F10" s="520"/>
      <c r="G10" s="271">
        <v>18</v>
      </c>
      <c r="H10" s="271">
        <v>1387.680598194604</v>
      </c>
      <c r="I10" s="271">
        <v>77.093366566366896</v>
      </c>
      <c r="J10" s="275" t="s">
        <v>518</v>
      </c>
      <c r="K10" s="557"/>
      <c r="L10" s="547"/>
      <c r="M10" s="131"/>
    </row>
    <row r="11" spans="1:13" ht="15.75" customHeight="1">
      <c r="A11" s="575"/>
      <c r="B11" s="578"/>
      <c r="C11" s="344">
        <v>4</v>
      </c>
      <c r="D11" s="518" t="s">
        <v>489</v>
      </c>
      <c r="E11" s="519"/>
      <c r="F11" s="520"/>
      <c r="G11" s="271">
        <v>19</v>
      </c>
      <c r="H11" s="271">
        <v>1390.8508240280692</v>
      </c>
      <c r="I11" s="271">
        <v>73.202674948845726</v>
      </c>
      <c r="J11" s="273" t="s">
        <v>893</v>
      </c>
      <c r="K11" s="557"/>
      <c r="L11" s="547"/>
      <c r="M11" s="131"/>
    </row>
    <row r="12" spans="1:13" ht="15.75" customHeight="1">
      <c r="A12" s="575"/>
      <c r="B12" s="578"/>
      <c r="C12" s="344">
        <v>5</v>
      </c>
      <c r="D12" s="518"/>
      <c r="E12" s="519"/>
      <c r="F12" s="520"/>
      <c r="G12" s="377"/>
      <c r="H12" s="377"/>
      <c r="I12" s="377"/>
      <c r="J12" s="274"/>
      <c r="K12" s="546"/>
      <c r="L12" s="547"/>
      <c r="M12" s="131"/>
    </row>
    <row r="13" spans="1:13" ht="15.75" customHeight="1">
      <c r="A13" s="575"/>
      <c r="B13" s="578"/>
      <c r="C13" s="170" t="s">
        <v>753</v>
      </c>
      <c r="D13" s="518" t="s">
        <v>600</v>
      </c>
      <c r="E13" s="519"/>
      <c r="F13" s="520"/>
      <c r="G13" s="271">
        <v>20.428571428571427</v>
      </c>
      <c r="H13" s="271">
        <v>1391.0919158268637</v>
      </c>
      <c r="I13" s="271">
        <v>68.248684058299318</v>
      </c>
      <c r="J13" s="274" t="s">
        <v>894</v>
      </c>
      <c r="K13" s="570" t="s">
        <v>895</v>
      </c>
      <c r="L13" s="571"/>
      <c r="M13" s="131"/>
    </row>
    <row r="14" spans="1:13" ht="15.75" customHeight="1">
      <c r="A14" s="575"/>
      <c r="B14" s="578"/>
      <c r="C14" s="170" t="s">
        <v>754</v>
      </c>
      <c r="D14" s="518" t="s">
        <v>660</v>
      </c>
      <c r="E14" s="519"/>
      <c r="F14" s="520"/>
      <c r="G14" s="271">
        <v>18</v>
      </c>
      <c r="H14" s="271">
        <v>1289.9771599368396</v>
      </c>
      <c r="I14" s="271">
        <v>71.665397774268868</v>
      </c>
      <c r="J14" s="274" t="s">
        <v>894</v>
      </c>
      <c r="K14" s="572"/>
      <c r="L14" s="573"/>
      <c r="M14" s="131"/>
    </row>
    <row r="15" spans="1:13" ht="15.75" customHeight="1">
      <c r="A15" s="575"/>
      <c r="B15" s="578"/>
      <c r="C15" s="170" t="s">
        <v>755</v>
      </c>
      <c r="D15" s="518" t="s">
        <v>896</v>
      </c>
      <c r="E15" s="519"/>
      <c r="F15" s="520"/>
      <c r="G15" s="271">
        <v>18.714285714285715</v>
      </c>
      <c r="H15" s="271">
        <v>1347.7357329924323</v>
      </c>
      <c r="I15" s="271">
        <v>72.069544220464948</v>
      </c>
      <c r="J15" s="274" t="s">
        <v>894</v>
      </c>
      <c r="K15" s="584" t="s">
        <v>897</v>
      </c>
      <c r="L15" s="585"/>
      <c r="M15" s="131"/>
    </row>
    <row r="16" spans="1:13" ht="15.75" customHeight="1">
      <c r="A16" s="575"/>
      <c r="B16" s="578"/>
      <c r="C16" s="170" t="s">
        <v>756</v>
      </c>
      <c r="D16" s="518"/>
      <c r="E16" s="519"/>
      <c r="F16" s="520"/>
      <c r="G16" s="160"/>
      <c r="H16" s="271"/>
      <c r="I16" s="271"/>
      <c r="J16" s="275"/>
      <c r="K16" s="546"/>
      <c r="L16" s="547"/>
      <c r="M16" s="156"/>
    </row>
    <row r="17" spans="1:13" ht="15.75" customHeight="1">
      <c r="A17" s="576"/>
      <c r="B17" s="579"/>
      <c r="C17" s="170" t="s">
        <v>757</v>
      </c>
      <c r="D17" s="518"/>
      <c r="E17" s="519"/>
      <c r="F17" s="520"/>
      <c r="G17" s="377"/>
      <c r="H17" s="377"/>
      <c r="I17" s="377"/>
      <c r="J17" s="377"/>
      <c r="K17" s="546"/>
      <c r="L17" s="547"/>
      <c r="M17" s="156"/>
    </row>
    <row r="18" spans="1:13" s="166" customFormat="1" ht="15.75" customHeight="1">
      <c r="A18" s="559" t="s">
        <v>196</v>
      </c>
      <c r="B18" s="561"/>
      <c r="C18" s="345" t="s">
        <v>758</v>
      </c>
      <c r="D18" s="559" t="s">
        <v>12</v>
      </c>
      <c r="E18" s="560"/>
      <c r="F18" s="561"/>
      <c r="G18" s="376" t="s">
        <v>876</v>
      </c>
      <c r="H18" s="376" t="s">
        <v>898</v>
      </c>
      <c r="I18" s="376" t="s">
        <v>858</v>
      </c>
      <c r="J18" s="249" t="s">
        <v>859</v>
      </c>
      <c r="K18" s="559" t="s">
        <v>860</v>
      </c>
      <c r="L18" s="561"/>
      <c r="M18" s="159"/>
    </row>
    <row r="19" spans="1:13" ht="15.75" customHeight="1">
      <c r="A19" s="574">
        <v>8</v>
      </c>
      <c r="B19" s="577" t="s">
        <v>143</v>
      </c>
      <c r="C19" s="344">
        <v>1</v>
      </c>
      <c r="D19" s="518" t="s">
        <v>497</v>
      </c>
      <c r="E19" s="519"/>
      <c r="F19" s="520"/>
      <c r="G19" s="271">
        <v>20</v>
      </c>
      <c r="H19" s="271">
        <v>2461.4239043792136</v>
      </c>
      <c r="I19" s="271">
        <v>123.07119521896065</v>
      </c>
      <c r="J19" s="275" t="s">
        <v>518</v>
      </c>
      <c r="K19" s="548"/>
      <c r="L19" s="549"/>
      <c r="M19" s="156"/>
    </row>
    <row r="20" spans="1:13" ht="15.75" customHeight="1">
      <c r="A20" s="575"/>
      <c r="B20" s="578"/>
      <c r="C20" s="344">
        <v>2</v>
      </c>
      <c r="D20" s="518" t="s">
        <v>498</v>
      </c>
      <c r="E20" s="519"/>
      <c r="F20" s="520"/>
      <c r="G20" s="271">
        <v>20</v>
      </c>
      <c r="H20" s="271">
        <v>2458.9428016496927</v>
      </c>
      <c r="I20" s="271">
        <v>122.94714008248464</v>
      </c>
      <c r="J20" s="275" t="s">
        <v>518</v>
      </c>
      <c r="K20" s="546"/>
      <c r="L20" s="547"/>
      <c r="M20" s="156"/>
    </row>
    <row r="21" spans="1:13" ht="15.75" customHeight="1">
      <c r="A21" s="575"/>
      <c r="B21" s="578"/>
      <c r="C21" s="344">
        <v>3</v>
      </c>
      <c r="D21" s="518" t="s">
        <v>495</v>
      </c>
      <c r="E21" s="519"/>
      <c r="F21" s="520"/>
      <c r="G21" s="271">
        <v>20</v>
      </c>
      <c r="H21" s="271">
        <v>2376.9199745061464</v>
      </c>
      <c r="I21" s="271">
        <v>118.84599872530734</v>
      </c>
      <c r="J21" s="275" t="s">
        <v>518</v>
      </c>
      <c r="K21" s="546"/>
      <c r="L21" s="547"/>
      <c r="M21" s="156"/>
    </row>
    <row r="22" spans="1:13" ht="15.75" customHeight="1">
      <c r="A22" s="575"/>
      <c r="B22" s="578"/>
      <c r="C22" s="344">
        <v>4</v>
      </c>
      <c r="D22" s="518"/>
      <c r="E22" s="519"/>
      <c r="F22" s="520"/>
      <c r="G22" s="271"/>
      <c r="H22" s="271"/>
      <c r="I22" s="271"/>
      <c r="J22" s="273"/>
      <c r="K22" s="546"/>
      <c r="L22" s="547"/>
      <c r="M22" s="156"/>
    </row>
    <row r="23" spans="1:13" ht="15.75" customHeight="1">
      <c r="A23" s="575"/>
      <c r="B23" s="578"/>
      <c r="C23" s="344">
        <v>5</v>
      </c>
      <c r="D23" s="518"/>
      <c r="E23" s="519"/>
      <c r="F23" s="520"/>
      <c r="G23" s="271"/>
      <c r="H23" s="271"/>
      <c r="I23" s="271"/>
      <c r="J23" s="377"/>
      <c r="K23" s="546"/>
      <c r="L23" s="547"/>
      <c r="M23" s="156"/>
    </row>
    <row r="24" spans="1:13" ht="15.75" customHeight="1">
      <c r="A24" s="575"/>
      <c r="B24" s="578"/>
      <c r="C24" s="170" t="s">
        <v>753</v>
      </c>
      <c r="D24" s="518" t="s">
        <v>494</v>
      </c>
      <c r="E24" s="519"/>
      <c r="F24" s="520" t="s">
        <v>494</v>
      </c>
      <c r="G24" s="271">
        <v>20</v>
      </c>
      <c r="H24" s="271">
        <v>2163.4197682499307</v>
      </c>
      <c r="I24" s="271">
        <v>108.17098841249654</v>
      </c>
      <c r="J24" s="275" t="s">
        <v>518</v>
      </c>
      <c r="K24" s="548"/>
      <c r="L24" s="549"/>
      <c r="M24" s="156"/>
    </row>
    <row r="25" spans="1:13" ht="15.75" customHeight="1">
      <c r="A25" s="575"/>
      <c r="B25" s="578"/>
      <c r="C25" s="170" t="s">
        <v>754</v>
      </c>
      <c r="D25" s="518" t="s">
        <v>496</v>
      </c>
      <c r="E25" s="519"/>
      <c r="F25" s="520" t="s">
        <v>415</v>
      </c>
      <c r="G25" s="271">
        <v>20</v>
      </c>
      <c r="H25" s="271">
        <v>2278.6796205576211</v>
      </c>
      <c r="I25" s="271">
        <v>113.93398102788103</v>
      </c>
      <c r="J25" s="275" t="s">
        <v>518</v>
      </c>
      <c r="K25" s="546"/>
      <c r="L25" s="547"/>
      <c r="M25" s="156"/>
    </row>
    <row r="26" spans="1:13" ht="15.75" customHeight="1">
      <c r="A26" s="575"/>
      <c r="B26" s="578"/>
      <c r="C26" s="170" t="s">
        <v>755</v>
      </c>
      <c r="D26" s="518"/>
      <c r="E26" s="519"/>
      <c r="F26" s="520"/>
      <c r="G26" s="271"/>
      <c r="H26" s="271"/>
      <c r="I26" s="271"/>
      <c r="J26" s="275"/>
      <c r="K26" s="546"/>
      <c r="L26" s="547"/>
      <c r="M26" s="156"/>
    </row>
    <row r="27" spans="1:13" ht="15.75" customHeight="1">
      <c r="A27" s="575"/>
      <c r="B27" s="578"/>
      <c r="C27" s="170" t="s">
        <v>756</v>
      </c>
      <c r="D27" s="518"/>
      <c r="E27" s="519"/>
      <c r="F27" s="520"/>
      <c r="G27" s="343"/>
      <c r="H27" s="343"/>
      <c r="I27" s="343"/>
      <c r="J27" s="343"/>
      <c r="K27" s="546"/>
      <c r="L27" s="547"/>
      <c r="M27" s="156"/>
    </row>
    <row r="28" spans="1:13" ht="15.75" customHeight="1">
      <c r="A28" s="576"/>
      <c r="B28" s="579"/>
      <c r="C28" s="170" t="s">
        <v>757</v>
      </c>
      <c r="D28" s="518"/>
      <c r="E28" s="519"/>
      <c r="F28" s="520"/>
      <c r="G28" s="343"/>
      <c r="H28" s="343"/>
      <c r="I28" s="343"/>
      <c r="J28" s="343"/>
      <c r="K28" s="546"/>
      <c r="L28" s="547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2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K21:L21"/>
    <mergeCell ref="D22:F22"/>
    <mergeCell ref="K22:L22"/>
    <mergeCell ref="D23:F23"/>
    <mergeCell ref="K23:L23"/>
    <mergeCell ref="D24:F24"/>
    <mergeCell ref="K15:L15"/>
    <mergeCell ref="D16:F16"/>
    <mergeCell ref="K16:L16"/>
    <mergeCell ref="D17:F17"/>
    <mergeCell ref="K17:L17"/>
    <mergeCell ref="A3:L4"/>
    <mergeCell ref="A5:A6"/>
    <mergeCell ref="A7:B7"/>
    <mergeCell ref="D7:F7"/>
    <mergeCell ref="K7:L7"/>
    <mergeCell ref="K13:L14"/>
    <mergeCell ref="A8:A17"/>
    <mergeCell ref="B8:B17"/>
    <mergeCell ref="D10:F10"/>
    <mergeCell ref="K8:L8"/>
    <mergeCell ref="D8:F8"/>
    <mergeCell ref="K9:L9"/>
    <mergeCell ref="D9:F9"/>
    <mergeCell ref="K10:L10"/>
    <mergeCell ref="D11:F11"/>
    <mergeCell ref="K11:L11"/>
    <mergeCell ref="D13:F13"/>
    <mergeCell ref="D14:F14"/>
    <mergeCell ref="D12:F12"/>
    <mergeCell ref="K12:L12"/>
    <mergeCell ref="D15:F15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N16" sqref="N16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413" t="s">
        <v>214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120"/>
    </row>
    <row r="2" spans="1:13" s="121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</row>
    <row r="3" spans="1:13" ht="15.75" customHeight="1">
      <c r="A3" s="536" t="s">
        <v>215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156"/>
    </row>
    <row r="4" spans="1:13" s="121" customFormat="1" ht="15.75" customHeight="1">
      <c r="A4" s="536"/>
      <c r="B4" s="536"/>
      <c r="C4" s="536"/>
      <c r="D4" s="536"/>
      <c r="E4" s="536"/>
      <c r="F4" s="536"/>
      <c r="G4" s="536"/>
      <c r="H4" s="536"/>
      <c r="I4" s="536"/>
      <c r="J4" s="536"/>
      <c r="K4" s="536"/>
      <c r="L4" s="536"/>
      <c r="M4" s="131"/>
    </row>
    <row r="5" spans="1:13" s="158" customFormat="1" ht="16.350000000000001" customHeight="1">
      <c r="A5" s="574" t="s">
        <v>162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71">
        <v>9</v>
      </c>
      <c r="K5" s="157"/>
      <c r="L5" s="157"/>
      <c r="M5" s="157"/>
    </row>
    <row r="6" spans="1:13" ht="16.350000000000001" customHeight="1">
      <c r="A6" s="576"/>
      <c r="B6" s="161" t="s">
        <v>216</v>
      </c>
      <c r="C6" s="161" t="s">
        <v>159</v>
      </c>
      <c r="D6" s="161" t="s">
        <v>217</v>
      </c>
      <c r="E6" s="161" t="s">
        <v>161</v>
      </c>
      <c r="F6" s="162" t="s">
        <v>140</v>
      </c>
      <c r="G6" s="163" t="s">
        <v>138</v>
      </c>
      <c r="H6" s="164" t="s">
        <v>218</v>
      </c>
      <c r="I6" s="163" t="s">
        <v>219</v>
      </c>
      <c r="J6" s="174" t="s">
        <v>144</v>
      </c>
      <c r="K6" s="159"/>
      <c r="L6" s="159"/>
      <c r="M6" s="131"/>
    </row>
    <row r="7" spans="1:13" s="158" customFormat="1" ht="15.75" customHeight="1">
      <c r="A7" s="581" t="s">
        <v>196</v>
      </c>
      <c r="B7" s="582"/>
      <c r="C7" s="325" t="s">
        <v>652</v>
      </c>
      <c r="D7" s="581" t="s">
        <v>12</v>
      </c>
      <c r="E7" s="583"/>
      <c r="F7" s="582"/>
      <c r="G7" s="325" t="s">
        <v>647</v>
      </c>
      <c r="H7" s="325" t="s">
        <v>648</v>
      </c>
      <c r="I7" s="325" t="s">
        <v>649</v>
      </c>
      <c r="J7" s="249" t="s">
        <v>650</v>
      </c>
      <c r="K7" s="581" t="s">
        <v>651</v>
      </c>
      <c r="L7" s="582"/>
      <c r="M7" s="157"/>
    </row>
    <row r="8" spans="1:13" ht="15.75" customHeight="1">
      <c r="A8" s="574">
        <f>J5</f>
        <v>9</v>
      </c>
      <c r="B8" s="577" t="str">
        <f>J6</f>
        <v>微波小吃</v>
      </c>
      <c r="C8" s="344">
        <v>1</v>
      </c>
      <c r="D8" s="563" t="s">
        <v>694</v>
      </c>
      <c r="E8" s="564"/>
      <c r="F8" s="565"/>
      <c r="G8" s="271">
        <v>6.7142857142857144</v>
      </c>
      <c r="H8" s="271">
        <v>1295.3900332798025</v>
      </c>
      <c r="I8" s="271">
        <v>193.87245410524449</v>
      </c>
      <c r="J8" s="272" t="s">
        <v>899</v>
      </c>
      <c r="K8" s="580"/>
      <c r="L8" s="549"/>
      <c r="M8" s="131"/>
    </row>
    <row r="9" spans="1:13" ht="15.75" customHeight="1">
      <c r="A9" s="575"/>
      <c r="B9" s="578"/>
      <c r="C9" s="344">
        <v>2</v>
      </c>
      <c r="D9" s="563" t="s">
        <v>501</v>
      </c>
      <c r="E9" s="564"/>
      <c r="F9" s="565"/>
      <c r="G9" s="271">
        <v>6.7142857142857144</v>
      </c>
      <c r="H9" s="271">
        <v>1291.9497073343416</v>
      </c>
      <c r="I9" s="271">
        <v>193.36398081320735</v>
      </c>
      <c r="J9" s="272" t="s">
        <v>741</v>
      </c>
      <c r="K9" s="546"/>
      <c r="L9" s="547"/>
      <c r="M9" s="131"/>
    </row>
    <row r="10" spans="1:13" ht="15.75" customHeight="1">
      <c r="A10" s="575"/>
      <c r="B10" s="578"/>
      <c r="C10" s="344">
        <v>3</v>
      </c>
      <c r="D10" s="563" t="s">
        <v>502</v>
      </c>
      <c r="E10" s="564"/>
      <c r="F10" s="565"/>
      <c r="G10" s="271">
        <v>15</v>
      </c>
      <c r="H10" s="271">
        <v>1287.9243469262692</v>
      </c>
      <c r="I10" s="271">
        <v>85.861623128417961</v>
      </c>
      <c r="J10" s="272" t="s">
        <v>854</v>
      </c>
      <c r="K10" s="546"/>
      <c r="L10" s="547"/>
      <c r="M10" s="131"/>
    </row>
    <row r="11" spans="1:13" ht="15.75" customHeight="1">
      <c r="A11" s="575"/>
      <c r="B11" s="578"/>
      <c r="C11" s="344">
        <v>4</v>
      </c>
      <c r="D11" s="563"/>
      <c r="E11" s="564"/>
      <c r="F11" s="565"/>
      <c r="G11" s="377"/>
      <c r="H11" s="377"/>
      <c r="I11" s="377"/>
      <c r="J11" s="377"/>
      <c r="K11" s="546"/>
      <c r="L11" s="547"/>
      <c r="M11" s="131"/>
    </row>
    <row r="12" spans="1:13" ht="15.75" customHeight="1">
      <c r="A12" s="575"/>
      <c r="B12" s="578"/>
      <c r="C12" s="344">
        <v>5</v>
      </c>
      <c r="D12" s="563"/>
      <c r="E12" s="564"/>
      <c r="F12" s="565"/>
      <c r="G12" s="377"/>
      <c r="H12" s="377"/>
      <c r="I12" s="377"/>
      <c r="J12" s="377"/>
      <c r="K12" s="546"/>
      <c r="L12" s="547"/>
      <c r="M12" s="131"/>
    </row>
    <row r="13" spans="1:13" ht="15.75" customHeight="1">
      <c r="A13" s="575"/>
      <c r="B13" s="578"/>
      <c r="C13" s="170" t="s">
        <v>753</v>
      </c>
      <c r="D13" s="563" t="s">
        <v>503</v>
      </c>
      <c r="E13" s="564"/>
      <c r="F13" s="565" t="s">
        <v>503</v>
      </c>
      <c r="G13" s="271">
        <v>20</v>
      </c>
      <c r="H13" s="271">
        <v>1087.1692589683164</v>
      </c>
      <c r="I13" s="271">
        <v>54.358462948415827</v>
      </c>
      <c r="J13" s="272" t="s">
        <v>854</v>
      </c>
      <c r="K13" s="548"/>
      <c r="L13" s="549"/>
      <c r="M13" s="131"/>
    </row>
    <row r="14" spans="1:13" ht="15.75" customHeight="1">
      <c r="A14" s="575"/>
      <c r="B14" s="578"/>
      <c r="C14" s="170" t="s">
        <v>754</v>
      </c>
      <c r="D14" s="563" t="s">
        <v>900</v>
      </c>
      <c r="E14" s="564"/>
      <c r="F14" s="565" t="s">
        <v>417</v>
      </c>
      <c r="G14" s="271">
        <v>18</v>
      </c>
      <c r="H14" s="271">
        <v>1272.3919411983111</v>
      </c>
      <c r="I14" s="271">
        <v>70.688441177683941</v>
      </c>
      <c r="J14" s="272" t="s">
        <v>854</v>
      </c>
      <c r="K14" s="557"/>
      <c r="L14" s="547"/>
      <c r="M14" s="131"/>
    </row>
    <row r="15" spans="1:13" ht="15.75" customHeight="1">
      <c r="A15" s="575"/>
      <c r="B15" s="578"/>
      <c r="C15" s="170" t="s">
        <v>755</v>
      </c>
      <c r="D15" s="563" t="s">
        <v>417</v>
      </c>
      <c r="E15" s="564"/>
      <c r="F15" s="565" t="s">
        <v>417</v>
      </c>
      <c r="G15" s="271">
        <v>18</v>
      </c>
      <c r="H15" s="271">
        <v>1286.1599679502906</v>
      </c>
      <c r="I15" s="271">
        <v>71.453331552793912</v>
      </c>
      <c r="J15" s="272" t="s">
        <v>854</v>
      </c>
      <c r="K15" s="546"/>
      <c r="L15" s="547"/>
      <c r="M15" s="131"/>
    </row>
    <row r="16" spans="1:13" ht="15.75" customHeight="1">
      <c r="A16" s="575"/>
      <c r="B16" s="578"/>
      <c r="C16" s="170" t="s">
        <v>756</v>
      </c>
      <c r="D16" s="346"/>
      <c r="E16" s="347"/>
      <c r="F16" s="348"/>
      <c r="G16" s="343"/>
      <c r="H16" s="343"/>
      <c r="I16" s="343"/>
      <c r="J16" s="343"/>
      <c r="K16" s="546"/>
      <c r="L16" s="547"/>
      <c r="M16" s="156"/>
    </row>
    <row r="17" spans="1:13" ht="15.75" customHeight="1">
      <c r="A17" s="576"/>
      <c r="B17" s="579"/>
      <c r="C17" s="170" t="s">
        <v>757</v>
      </c>
      <c r="D17" s="563"/>
      <c r="E17" s="564"/>
      <c r="F17" s="565"/>
      <c r="G17" s="343"/>
      <c r="H17" s="343"/>
      <c r="I17" s="343"/>
      <c r="J17" s="343"/>
      <c r="K17" s="546"/>
      <c r="L17" s="547"/>
      <c r="M17" s="156"/>
    </row>
    <row r="18" spans="1:13" s="166" customFormat="1" ht="15.75" customHeight="1">
      <c r="A18" s="559" t="s">
        <v>196</v>
      </c>
      <c r="B18" s="561"/>
      <c r="C18" s="328" t="s">
        <v>652</v>
      </c>
      <c r="D18" s="559" t="s">
        <v>12</v>
      </c>
      <c r="E18" s="560"/>
      <c r="F18" s="561"/>
      <c r="G18" s="328" t="s">
        <v>647</v>
      </c>
      <c r="H18" s="328" t="s">
        <v>648</v>
      </c>
      <c r="I18" s="328" t="s">
        <v>649</v>
      </c>
      <c r="J18" s="249" t="s">
        <v>650</v>
      </c>
      <c r="K18" s="559" t="s">
        <v>651</v>
      </c>
      <c r="L18" s="561"/>
      <c r="M18" s="159"/>
    </row>
    <row r="19" spans="1:13" ht="15.75" customHeight="1">
      <c r="A19" s="574"/>
      <c r="B19" s="577"/>
      <c r="C19" s="327">
        <v>1</v>
      </c>
      <c r="D19" s="548"/>
      <c r="E19" s="562"/>
      <c r="F19" s="549"/>
      <c r="G19" s="326"/>
      <c r="H19" s="326"/>
      <c r="I19" s="326"/>
      <c r="J19" s="326"/>
      <c r="K19" s="548"/>
      <c r="L19" s="549"/>
      <c r="M19" s="156"/>
    </row>
    <row r="20" spans="1:13" ht="15.75" customHeight="1">
      <c r="A20" s="575"/>
      <c r="B20" s="578"/>
      <c r="C20" s="327">
        <v>2</v>
      </c>
      <c r="D20" s="546"/>
      <c r="E20" s="586"/>
      <c r="F20" s="547"/>
      <c r="G20" s="326"/>
      <c r="H20" s="326"/>
      <c r="I20" s="326"/>
      <c r="J20" s="326"/>
      <c r="K20" s="546"/>
      <c r="L20" s="547"/>
      <c r="M20" s="156"/>
    </row>
    <row r="21" spans="1:13" ht="15.75" customHeight="1">
      <c r="A21" s="575"/>
      <c r="B21" s="578"/>
      <c r="C21" s="327">
        <v>3</v>
      </c>
      <c r="D21" s="546"/>
      <c r="E21" s="586"/>
      <c r="F21" s="547"/>
      <c r="G21" s="326"/>
      <c r="H21" s="326"/>
      <c r="I21" s="326"/>
      <c r="J21" s="326"/>
      <c r="K21" s="546"/>
      <c r="L21" s="547"/>
      <c r="M21" s="156"/>
    </row>
    <row r="22" spans="1:13" ht="15.75" customHeight="1">
      <c r="A22" s="575"/>
      <c r="B22" s="578"/>
      <c r="C22" s="327">
        <v>4</v>
      </c>
      <c r="D22" s="546"/>
      <c r="E22" s="586"/>
      <c r="F22" s="547"/>
      <c r="G22" s="326"/>
      <c r="H22" s="326"/>
      <c r="I22" s="326"/>
      <c r="J22" s="326"/>
      <c r="K22" s="546"/>
      <c r="L22" s="547"/>
      <c r="M22" s="156"/>
    </row>
    <row r="23" spans="1:13" ht="15.75" customHeight="1">
      <c r="A23" s="575"/>
      <c r="B23" s="578"/>
      <c r="C23" s="327">
        <v>5</v>
      </c>
      <c r="D23" s="546"/>
      <c r="E23" s="586"/>
      <c r="F23" s="547"/>
      <c r="G23" s="326"/>
      <c r="H23" s="326"/>
      <c r="I23" s="326"/>
      <c r="J23" s="326"/>
      <c r="K23" s="546"/>
      <c r="L23" s="547"/>
      <c r="M23" s="156"/>
    </row>
    <row r="24" spans="1:13" ht="15.75" customHeight="1">
      <c r="A24" s="575"/>
      <c r="B24" s="578"/>
      <c r="C24" s="170" t="s">
        <v>653</v>
      </c>
      <c r="D24" s="548"/>
      <c r="E24" s="562"/>
      <c r="F24" s="549"/>
      <c r="G24" s="326"/>
      <c r="H24" s="326"/>
      <c r="I24" s="326"/>
      <c r="J24" s="326"/>
      <c r="K24" s="548"/>
      <c r="L24" s="549"/>
      <c r="M24" s="156"/>
    </row>
    <row r="25" spans="1:13" ht="15.75" customHeight="1">
      <c r="A25" s="575"/>
      <c r="B25" s="578"/>
      <c r="C25" s="170" t="s">
        <v>654</v>
      </c>
      <c r="D25" s="546"/>
      <c r="E25" s="586"/>
      <c r="F25" s="547"/>
      <c r="G25" s="326"/>
      <c r="H25" s="326"/>
      <c r="I25" s="326"/>
      <c r="J25" s="326"/>
      <c r="K25" s="546"/>
      <c r="L25" s="547"/>
      <c r="M25" s="156"/>
    </row>
    <row r="26" spans="1:13" ht="15.75" customHeight="1">
      <c r="A26" s="575"/>
      <c r="B26" s="578"/>
      <c r="C26" s="170" t="s">
        <v>655</v>
      </c>
      <c r="D26" s="546"/>
      <c r="E26" s="586"/>
      <c r="F26" s="547"/>
      <c r="G26" s="326"/>
      <c r="H26" s="326"/>
      <c r="I26" s="326"/>
      <c r="J26" s="326"/>
      <c r="K26" s="546"/>
      <c r="L26" s="547"/>
      <c r="M26" s="156"/>
    </row>
    <row r="27" spans="1:13" ht="15.75" customHeight="1">
      <c r="A27" s="575"/>
      <c r="B27" s="578"/>
      <c r="C27" s="170" t="s">
        <v>656</v>
      </c>
      <c r="D27" s="546"/>
      <c r="E27" s="586"/>
      <c r="F27" s="547"/>
      <c r="G27" s="326"/>
      <c r="H27" s="326"/>
      <c r="I27" s="326"/>
      <c r="J27" s="326"/>
      <c r="K27" s="546"/>
      <c r="L27" s="547"/>
      <c r="M27" s="156"/>
    </row>
    <row r="28" spans="1:13" ht="15.75" customHeight="1">
      <c r="A28" s="576"/>
      <c r="B28" s="579"/>
      <c r="C28" s="170" t="s">
        <v>657</v>
      </c>
      <c r="D28" s="546"/>
      <c r="E28" s="586"/>
      <c r="F28" s="547"/>
      <c r="G28" s="326"/>
      <c r="H28" s="326"/>
      <c r="I28" s="326"/>
      <c r="J28" s="326"/>
      <c r="K28" s="546"/>
      <c r="L28" s="547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2">
    <mergeCell ref="D27:F27"/>
    <mergeCell ref="K27:L27"/>
    <mergeCell ref="D28:F28"/>
    <mergeCell ref="K28:L28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K21:L21"/>
    <mergeCell ref="D22:F22"/>
    <mergeCell ref="K22:L22"/>
    <mergeCell ref="D23:F23"/>
    <mergeCell ref="K23:L23"/>
    <mergeCell ref="D24:F24"/>
    <mergeCell ref="D15:F15"/>
    <mergeCell ref="K15:L15"/>
    <mergeCell ref="K16:L16"/>
    <mergeCell ref="D17:F17"/>
    <mergeCell ref="K17:L17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K13:L13"/>
    <mergeCell ref="D14:F14"/>
    <mergeCell ref="K14:L14"/>
    <mergeCell ref="D12:F12"/>
    <mergeCell ref="K12:L12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4" ht="15.75" customHeight="1">
      <c r="A1" s="589" t="s">
        <v>249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</row>
    <row r="2" spans="1:14" s="189" customFormat="1" ht="15.75" customHeight="1">
      <c r="A2" s="589"/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</row>
    <row r="3" spans="1:14" ht="15.75" customHeight="1">
      <c r="A3" s="590" t="s">
        <v>250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190"/>
    </row>
    <row r="4" spans="1:14" s="189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  <c r="N4" s="191"/>
    </row>
    <row r="5" spans="1:14" ht="15.75" customHeight="1">
      <c r="A5" s="192" t="s">
        <v>251</v>
      </c>
      <c r="B5" s="193">
        <v>212376150</v>
      </c>
    </row>
    <row r="6" spans="1:14" ht="15.75" customHeight="1">
      <c r="A6" s="591" t="s">
        <v>252</v>
      </c>
      <c r="B6" s="592" t="s">
        <v>10</v>
      </c>
      <c r="C6" s="592"/>
      <c r="D6" s="593"/>
      <c r="E6" s="591" t="s">
        <v>252</v>
      </c>
      <c r="F6" s="595">
        <v>1</v>
      </c>
      <c r="G6" s="595"/>
      <c r="H6" s="595">
        <v>2</v>
      </c>
      <c r="I6" s="595"/>
      <c r="J6" s="595">
        <v>3</v>
      </c>
      <c r="K6" s="595"/>
      <c r="L6" s="595">
        <v>4</v>
      </c>
      <c r="M6" s="595"/>
    </row>
    <row r="7" spans="1:14" ht="31.35" customHeight="1">
      <c r="A7" s="591"/>
      <c r="B7" s="592"/>
      <c r="C7" s="592"/>
      <c r="D7" s="594"/>
      <c r="E7" s="591"/>
      <c r="F7" s="587" t="s">
        <v>291</v>
      </c>
      <c r="G7" s="587"/>
      <c r="H7" s="587" t="s">
        <v>253</v>
      </c>
      <c r="I7" s="587"/>
      <c r="J7" s="587" t="s">
        <v>254</v>
      </c>
      <c r="K7" s="587"/>
      <c r="L7" s="587" t="s">
        <v>255</v>
      </c>
      <c r="M7" s="587"/>
    </row>
    <row r="8" spans="1:14" ht="15.75" customHeight="1">
      <c r="A8" s="591"/>
      <c r="B8" s="236" t="s">
        <v>11</v>
      </c>
      <c r="C8" s="236" t="s">
        <v>256</v>
      </c>
      <c r="D8" s="594"/>
      <c r="E8" s="591"/>
      <c r="F8" s="236" t="s">
        <v>11</v>
      </c>
      <c r="G8" s="236" t="s">
        <v>256</v>
      </c>
      <c r="H8" s="236" t="s">
        <v>11</v>
      </c>
      <c r="I8" s="236" t="s">
        <v>256</v>
      </c>
      <c r="J8" s="236" t="s">
        <v>11</v>
      </c>
      <c r="K8" s="236" t="s">
        <v>256</v>
      </c>
      <c r="L8" s="236" t="s">
        <v>11</v>
      </c>
      <c r="M8" s="236" t="s">
        <v>256</v>
      </c>
    </row>
    <row r="9" spans="1:14" s="199" customFormat="1" ht="19.350000000000001" customHeight="1">
      <c r="A9" s="194" t="s">
        <v>257</v>
      </c>
      <c r="B9" s="195">
        <v>47927.00699999994</v>
      </c>
      <c r="C9" s="196">
        <f>B9/$B$5</f>
        <v>2.256703824793883E-4</v>
      </c>
      <c r="D9" s="594"/>
      <c r="E9" s="194" t="s">
        <v>257</v>
      </c>
      <c r="F9" s="197">
        <v>1423.9050000000002</v>
      </c>
      <c r="G9" s="198">
        <f>IFERROR(F9/$B$9,"")</f>
        <v>2.9709866923256903E-2</v>
      </c>
      <c r="H9" s="197">
        <v>5535.9419999999991</v>
      </c>
      <c r="I9" s="198">
        <f>IFERROR(H9/$B$9,"")</f>
        <v>0.11550777623146812</v>
      </c>
      <c r="J9" s="197">
        <v>6691.5360000000019</v>
      </c>
      <c r="K9" s="198">
        <f t="shared" ref="K9" si="0">IFERROR(J9/$B$9,"")</f>
        <v>0.13961931735065389</v>
      </c>
      <c r="L9" s="197">
        <v>17258.763000000006</v>
      </c>
      <c r="M9" s="198">
        <f>IFERROR(L9/$B$9,"")</f>
        <v>0.36010516993059943</v>
      </c>
    </row>
    <row r="10" spans="1:14" s="199" customFormat="1" ht="19.350000000000001" customHeight="1">
      <c r="A10" s="200" t="s">
        <v>258</v>
      </c>
      <c r="B10" s="201">
        <v>69974.579191980054</v>
      </c>
      <c r="C10" s="196">
        <f>B10/$B$5</f>
        <v>3.2948416849999424E-4</v>
      </c>
      <c r="D10" s="594"/>
      <c r="E10" s="200" t="s">
        <v>258</v>
      </c>
      <c r="F10" s="197">
        <v>1179.8078200000007</v>
      </c>
      <c r="G10" s="198">
        <f>IFERROR(F10/$B$10,"")</f>
        <v>1.6860520400746062E-2</v>
      </c>
      <c r="H10" s="197">
        <v>3563.9139100000007</v>
      </c>
      <c r="I10" s="198">
        <f>IFERROR(H10/$B$10,"")</f>
        <v>5.0931551874319365E-2</v>
      </c>
      <c r="J10" s="197">
        <v>3130.998689999999</v>
      </c>
      <c r="K10" s="198">
        <f>IFERROR(J10/$B$10,"")</f>
        <v>4.4744801986016804E-2</v>
      </c>
      <c r="L10" s="197">
        <v>14381.948886699534</v>
      </c>
      <c r="M10" s="198">
        <f>IFERROR(L10/$B$10,"")</f>
        <v>0.20553105217312806</v>
      </c>
    </row>
    <row r="11" spans="1:14" ht="15.75" customHeight="1">
      <c r="D11" s="594"/>
      <c r="E11" s="591" t="s">
        <v>252</v>
      </c>
      <c r="F11" s="595">
        <v>5</v>
      </c>
      <c r="G11" s="595"/>
      <c r="H11" s="595">
        <v>6</v>
      </c>
      <c r="I11" s="595"/>
      <c r="J11" s="595">
        <v>7</v>
      </c>
      <c r="K11" s="595"/>
      <c r="L11" s="596">
        <v>8</v>
      </c>
      <c r="M11" s="596"/>
    </row>
    <row r="12" spans="1:14" ht="31.35" customHeight="1">
      <c r="D12" s="594"/>
      <c r="E12" s="591"/>
      <c r="F12" s="587" t="s">
        <v>259</v>
      </c>
      <c r="G12" s="587"/>
      <c r="H12" s="587" t="s">
        <v>260</v>
      </c>
      <c r="I12" s="587"/>
      <c r="J12" s="587" t="s">
        <v>261</v>
      </c>
      <c r="K12" s="587"/>
      <c r="L12" s="588" t="s">
        <v>262</v>
      </c>
      <c r="M12" s="588"/>
    </row>
    <row r="13" spans="1:14" ht="15.75" customHeight="1">
      <c r="D13" s="594"/>
      <c r="E13" s="591"/>
      <c r="F13" s="236" t="s">
        <v>11</v>
      </c>
      <c r="G13" s="236" t="s">
        <v>256</v>
      </c>
      <c r="H13" s="236" t="s">
        <v>11</v>
      </c>
      <c r="I13" s="236" t="s">
        <v>256</v>
      </c>
      <c r="J13" s="236" t="s">
        <v>11</v>
      </c>
      <c r="K13" s="236" t="s">
        <v>256</v>
      </c>
      <c r="L13" s="236" t="s">
        <v>11</v>
      </c>
      <c r="M13" s="236" t="s">
        <v>256</v>
      </c>
    </row>
    <row r="14" spans="1:14" s="199" customFormat="1" ht="19.350000000000001" customHeight="1">
      <c r="D14" s="594"/>
      <c r="E14" s="194" t="s">
        <v>257</v>
      </c>
      <c r="F14" s="197">
        <v>12460.915000000001</v>
      </c>
      <c r="G14" s="198">
        <f>IFERROR(F14/$B$9,"")</f>
        <v>0.25999777119401629</v>
      </c>
      <c r="H14" s="197">
        <v>1494.27</v>
      </c>
      <c r="I14" s="198">
        <f t="shared" ref="I14" si="1">IFERROR(H14/$B$9,"")</f>
        <v>3.1178037051218365E-2</v>
      </c>
      <c r="J14" s="197">
        <v>3061.675999999999</v>
      </c>
      <c r="K14" s="198">
        <f t="shared" ref="K14" si="2">IFERROR(J14/$B$9,"")</f>
        <v>6.3882061318788444E-2</v>
      </c>
      <c r="L14" s="197">
        <v>0</v>
      </c>
      <c r="M14" s="198">
        <f t="shared" ref="M14" si="3">IFERROR(L14/$B$9,"")</f>
        <v>0</v>
      </c>
    </row>
    <row r="15" spans="1:14" s="199" customFormat="1" ht="19.350000000000001" customHeight="1">
      <c r="D15" s="594"/>
      <c r="E15" s="200" t="s">
        <v>258</v>
      </c>
      <c r="F15" s="197">
        <v>30846.731825280494</v>
      </c>
      <c r="G15" s="198">
        <f>IFERROR(F15/$B$10,"")</f>
        <v>0.44082768601795191</v>
      </c>
      <c r="H15" s="197">
        <v>12704.309300000044</v>
      </c>
      <c r="I15" s="198">
        <f>IFERROR(H15/$B$10,"")</f>
        <v>0.18155606574131589</v>
      </c>
      <c r="J15" s="197">
        <v>3994.7131600000112</v>
      </c>
      <c r="K15" s="198">
        <f>IFERROR(J15/$B$10,"")</f>
        <v>5.7088062638293857E-2</v>
      </c>
      <c r="L15" s="197">
        <v>0</v>
      </c>
      <c r="M15" s="198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67"/>
  <sheetViews>
    <sheetView topLeftCell="A40" zoomScaleNormal="100" zoomScaleSheetLayoutView="115" workbookViewId="0">
      <selection activeCell="B71" sqref="B71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4" ht="15.75" customHeight="1">
      <c r="A1" s="589" t="s">
        <v>249</v>
      </c>
      <c r="B1" s="589"/>
      <c r="C1" s="589"/>
      <c r="D1" s="589"/>
      <c r="E1" s="589"/>
      <c r="F1" s="589"/>
      <c r="G1" s="589"/>
      <c r="H1" s="589"/>
      <c r="I1" s="589"/>
      <c r="J1" s="589"/>
      <c r="K1" s="589"/>
      <c r="L1" s="589"/>
      <c r="M1" s="589"/>
    </row>
    <row r="2" spans="1:14" s="189" customFormat="1" ht="15.75" customHeight="1">
      <c r="A2" s="589"/>
      <c r="B2" s="589"/>
      <c r="C2" s="589"/>
      <c r="D2" s="589"/>
      <c r="E2" s="589"/>
      <c r="F2" s="589"/>
      <c r="G2" s="589"/>
      <c r="H2" s="589"/>
      <c r="I2" s="589"/>
      <c r="J2" s="589"/>
      <c r="K2" s="589"/>
      <c r="L2" s="589"/>
      <c r="M2" s="589"/>
    </row>
    <row r="3" spans="1:14" ht="15.75" customHeight="1">
      <c r="A3" s="590" t="s">
        <v>595</v>
      </c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190"/>
    </row>
    <row r="4" spans="1:14" s="189" customFormat="1" ht="15.7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0"/>
      <c r="N4" s="191"/>
    </row>
    <row r="5" spans="1:14" ht="15.75" customHeight="1">
      <c r="A5" s="192" t="s">
        <v>251</v>
      </c>
      <c r="B5" s="193">
        <v>75872986</v>
      </c>
    </row>
    <row r="6" spans="1:14" ht="15.75" customHeight="1">
      <c r="A6" s="591" t="s">
        <v>252</v>
      </c>
      <c r="B6" s="592" t="s">
        <v>10</v>
      </c>
      <c r="C6" s="592"/>
      <c r="D6" s="593"/>
      <c r="E6" s="591" t="s">
        <v>252</v>
      </c>
      <c r="F6" s="595">
        <v>1</v>
      </c>
      <c r="G6" s="595"/>
      <c r="H6" s="595">
        <v>2</v>
      </c>
      <c r="I6" s="595"/>
      <c r="J6" s="595">
        <v>3</v>
      </c>
      <c r="K6" s="595"/>
      <c r="L6" s="595">
        <v>4</v>
      </c>
      <c r="M6" s="595"/>
    </row>
    <row r="7" spans="1:14" ht="31.35" customHeight="1">
      <c r="A7" s="591"/>
      <c r="B7" s="592"/>
      <c r="C7" s="592"/>
      <c r="D7" s="594"/>
      <c r="E7" s="591"/>
      <c r="F7" s="587" t="s">
        <v>291</v>
      </c>
      <c r="G7" s="587"/>
      <c r="H7" s="587" t="s">
        <v>253</v>
      </c>
      <c r="I7" s="587"/>
      <c r="J7" s="587" t="s">
        <v>254</v>
      </c>
      <c r="K7" s="587"/>
      <c r="L7" s="587" t="s">
        <v>255</v>
      </c>
      <c r="M7" s="587"/>
    </row>
    <row r="8" spans="1:14" ht="15.75" customHeight="1">
      <c r="A8" s="591"/>
      <c r="B8" s="238" t="s">
        <v>11</v>
      </c>
      <c r="C8" s="238" t="s">
        <v>256</v>
      </c>
      <c r="D8" s="594"/>
      <c r="E8" s="591"/>
      <c r="F8" s="238" t="s">
        <v>11</v>
      </c>
      <c r="G8" s="238" t="s">
        <v>256</v>
      </c>
      <c r="H8" s="238" t="s">
        <v>11</v>
      </c>
      <c r="I8" s="238" t="s">
        <v>256</v>
      </c>
      <c r="J8" s="238" t="s">
        <v>11</v>
      </c>
      <c r="K8" s="238" t="s">
        <v>256</v>
      </c>
      <c r="L8" s="238" t="s">
        <v>11</v>
      </c>
      <c r="M8" s="238" t="s">
        <v>256</v>
      </c>
    </row>
    <row r="9" spans="1:14" s="199" customFormat="1" ht="19.350000000000001" customHeight="1">
      <c r="A9" s="194" t="s">
        <v>257</v>
      </c>
      <c r="B9" s="195">
        <v>18257.814999999991</v>
      </c>
      <c r="C9" s="196">
        <f>B9/$B$5</f>
        <v>2.4063656859372835E-4</v>
      </c>
      <c r="D9" s="594"/>
      <c r="E9" s="194" t="s">
        <v>257</v>
      </c>
      <c r="F9" s="197">
        <v>552.57299999999998</v>
      </c>
      <c r="G9" s="198">
        <f>IFERROR(F9/$B$9,"")</f>
        <v>3.0265012543943523E-2</v>
      </c>
      <c r="H9" s="197">
        <v>1893.9470000000001</v>
      </c>
      <c r="I9" s="198">
        <f t="shared" ref="I9" si="0">IFERROR(H9/$B$9,"")</f>
        <v>0.10373349713533635</v>
      </c>
      <c r="J9" s="197">
        <v>2015.6379999999999</v>
      </c>
      <c r="K9" s="198">
        <f t="shared" ref="K9" si="1">IFERROR(J9/$B$9,"")</f>
        <v>0.11039864299205578</v>
      </c>
      <c r="L9" s="197">
        <v>6004.951</v>
      </c>
      <c r="M9" s="198">
        <f>IFERROR(L9/$B$9,"")</f>
        <v>0.32889757071150094</v>
      </c>
    </row>
    <row r="10" spans="1:14" s="199" customFormat="1" ht="19.350000000000001" customHeight="1">
      <c r="A10" s="200" t="s">
        <v>258</v>
      </c>
      <c r="B10" s="201">
        <v>22782.319846732516</v>
      </c>
      <c r="C10" s="196">
        <f>B10/$B$5</f>
        <v>3.0026918733279477E-4</v>
      </c>
      <c r="D10" s="594"/>
      <c r="E10" s="200" t="s">
        <v>258</v>
      </c>
      <c r="F10" s="197">
        <v>733.22632000000021</v>
      </c>
      <c r="G10" s="198">
        <f>IFERROR(F10/$B$10,"")</f>
        <v>3.2184006059644575E-2</v>
      </c>
      <c r="H10" s="197">
        <v>2126.0029800000007</v>
      </c>
      <c r="I10" s="198">
        <f>IFERROR(H10/$B$10,"")</f>
        <v>9.3318107826710892E-2</v>
      </c>
      <c r="J10" s="197">
        <v>833.94599999999934</v>
      </c>
      <c r="K10" s="198">
        <f>IFERROR(J10/$B$10,"")</f>
        <v>3.6604964095419169E-2</v>
      </c>
      <c r="L10" s="197">
        <v>7270.6642214520316</v>
      </c>
      <c r="M10" s="198">
        <f>IFERROR(L10/$B$10,"")</f>
        <v>0.31913625435711734</v>
      </c>
    </row>
    <row r="11" spans="1:14" ht="15.75" customHeight="1">
      <c r="D11" s="594"/>
      <c r="E11" s="591" t="s">
        <v>252</v>
      </c>
      <c r="F11" s="595">
        <v>5</v>
      </c>
      <c r="G11" s="595"/>
      <c r="H11" s="595">
        <v>6</v>
      </c>
      <c r="I11" s="595"/>
      <c r="J11" s="595">
        <v>7</v>
      </c>
      <c r="K11" s="595"/>
      <c r="L11" s="596">
        <v>8</v>
      </c>
      <c r="M11" s="596"/>
    </row>
    <row r="12" spans="1:14" ht="31.35" customHeight="1">
      <c r="D12" s="594"/>
      <c r="E12" s="591"/>
      <c r="F12" s="587" t="s">
        <v>259</v>
      </c>
      <c r="G12" s="587"/>
      <c r="H12" s="587" t="s">
        <v>260</v>
      </c>
      <c r="I12" s="587"/>
      <c r="J12" s="587" t="s">
        <v>199</v>
      </c>
      <c r="K12" s="587"/>
      <c r="L12" s="588" t="s">
        <v>262</v>
      </c>
      <c r="M12" s="588"/>
    </row>
    <row r="13" spans="1:14" ht="15.75" customHeight="1">
      <c r="D13" s="594"/>
      <c r="E13" s="591"/>
      <c r="F13" s="238" t="s">
        <v>11</v>
      </c>
      <c r="G13" s="238" t="s">
        <v>256</v>
      </c>
      <c r="H13" s="238" t="s">
        <v>11</v>
      </c>
      <c r="I13" s="238" t="s">
        <v>256</v>
      </c>
      <c r="J13" s="238" t="s">
        <v>11</v>
      </c>
      <c r="K13" s="238" t="s">
        <v>256</v>
      </c>
      <c r="L13" s="238" t="s">
        <v>11</v>
      </c>
      <c r="M13" s="238" t="s">
        <v>256</v>
      </c>
    </row>
    <row r="14" spans="1:14" s="199" customFormat="1" ht="19.350000000000001" customHeight="1">
      <c r="D14" s="594"/>
      <c r="E14" s="194" t="s">
        <v>257</v>
      </c>
      <c r="F14" s="197">
        <v>6580.9920000000002</v>
      </c>
      <c r="G14" s="198">
        <f>IFERROR(F14/$B$9,"")</f>
        <v>0.3604479506446967</v>
      </c>
      <c r="H14" s="197">
        <v>0</v>
      </c>
      <c r="I14" s="198">
        <f t="shared" ref="I14" si="2">IFERROR(H14/$B$9,"")</f>
        <v>0</v>
      </c>
      <c r="J14" s="197">
        <v>1209.7139999999999</v>
      </c>
      <c r="K14" s="198">
        <f t="shared" ref="K14" si="3">IFERROR(J14/$B$9,"")</f>
        <v>6.6257325972467154E-2</v>
      </c>
      <c r="L14" s="197">
        <v>0</v>
      </c>
      <c r="M14" s="198">
        <f t="shared" ref="M14" si="4">IFERROR(L14/$B$9,"")</f>
        <v>0</v>
      </c>
    </row>
    <row r="15" spans="1:14" s="199" customFormat="1" ht="19.350000000000001" customHeight="1" thickBot="1">
      <c r="D15" s="594"/>
      <c r="E15" s="200" t="s">
        <v>258</v>
      </c>
      <c r="F15" s="197">
        <v>9515.0165852805003</v>
      </c>
      <c r="G15" s="198">
        <f>IFERROR(F15/$B$10,"")</f>
        <v>0.41764915290859467</v>
      </c>
      <c r="H15" s="197">
        <v>415.10627999999923</v>
      </c>
      <c r="I15" s="198">
        <f>IFERROR(H15/$B$10,"")</f>
        <v>1.8220544825663772E-2</v>
      </c>
      <c r="J15" s="197">
        <v>1888.3574600000009</v>
      </c>
      <c r="K15" s="198">
        <f>IFERROR(J15/$B$10,"")</f>
        <v>8.2886969926850212E-2</v>
      </c>
      <c r="L15" s="197">
        <v>0</v>
      </c>
      <c r="M15" s="198">
        <f>IFERROR(L15/$B$10,"")</f>
        <v>0</v>
      </c>
    </row>
    <row r="16" spans="1:14" ht="15.75" customHeight="1">
      <c r="A16" s="597" t="s">
        <v>614</v>
      </c>
      <c r="B16" s="598"/>
      <c r="C16" s="598"/>
      <c r="D16" s="598"/>
      <c r="E16" s="598"/>
      <c r="F16" s="598"/>
      <c r="G16" s="598"/>
      <c r="H16" s="598"/>
      <c r="I16" s="598"/>
      <c r="J16" s="598"/>
      <c r="K16" s="598"/>
      <c r="L16" s="598"/>
      <c r="M16" s="599"/>
    </row>
    <row r="17" spans="1:13" ht="15.75" customHeight="1">
      <c r="A17" s="600"/>
      <c r="B17" s="590"/>
      <c r="C17" s="590"/>
      <c r="D17" s="590"/>
      <c r="E17" s="590"/>
      <c r="F17" s="590"/>
      <c r="G17" s="590"/>
      <c r="H17" s="590"/>
      <c r="I17" s="590"/>
      <c r="J17" s="590"/>
      <c r="K17" s="590"/>
      <c r="L17" s="590"/>
      <c r="M17" s="601"/>
    </row>
    <row r="18" spans="1:13" ht="15.75" customHeight="1">
      <c r="A18" s="306" t="s">
        <v>615</v>
      </c>
      <c r="B18" s="324">
        <v>48523585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307"/>
    </row>
    <row r="19" spans="1:13" ht="15.75" customHeight="1">
      <c r="A19" s="602" t="s">
        <v>616</v>
      </c>
      <c r="B19" s="592" t="s">
        <v>10</v>
      </c>
      <c r="C19" s="592"/>
      <c r="D19" s="593"/>
      <c r="E19" s="591" t="s">
        <v>616</v>
      </c>
      <c r="F19" s="595">
        <v>1</v>
      </c>
      <c r="G19" s="595"/>
      <c r="H19" s="595">
        <v>2</v>
      </c>
      <c r="I19" s="595"/>
      <c r="J19" s="595">
        <v>3</v>
      </c>
      <c r="K19" s="595"/>
      <c r="L19" s="595">
        <v>4</v>
      </c>
      <c r="M19" s="604"/>
    </row>
    <row r="20" spans="1:13" ht="15.75" customHeight="1">
      <c r="A20" s="602"/>
      <c r="B20" s="592"/>
      <c r="C20" s="592"/>
      <c r="D20" s="594"/>
      <c r="E20" s="591"/>
      <c r="F20" s="587" t="s">
        <v>617</v>
      </c>
      <c r="G20" s="587"/>
      <c r="H20" s="587" t="s">
        <v>618</v>
      </c>
      <c r="I20" s="587"/>
      <c r="J20" s="587" t="s">
        <v>619</v>
      </c>
      <c r="K20" s="587"/>
      <c r="L20" s="587" t="s">
        <v>620</v>
      </c>
      <c r="M20" s="605"/>
    </row>
    <row r="21" spans="1:13" ht="15.75" customHeight="1">
      <c r="A21" s="602"/>
      <c r="B21" s="304" t="s">
        <v>11</v>
      </c>
      <c r="C21" s="304" t="s">
        <v>621</v>
      </c>
      <c r="D21" s="594"/>
      <c r="E21" s="591"/>
      <c r="F21" s="304" t="s">
        <v>11</v>
      </c>
      <c r="G21" s="304" t="s">
        <v>621</v>
      </c>
      <c r="H21" s="304" t="s">
        <v>11</v>
      </c>
      <c r="I21" s="304" t="s">
        <v>621</v>
      </c>
      <c r="J21" s="304" t="s">
        <v>11</v>
      </c>
      <c r="K21" s="304" t="s">
        <v>621</v>
      </c>
      <c r="L21" s="304" t="s">
        <v>11</v>
      </c>
      <c r="M21" s="308" t="s">
        <v>621</v>
      </c>
    </row>
    <row r="22" spans="1:13" ht="15.75" customHeight="1">
      <c r="A22" s="309" t="s">
        <v>622</v>
      </c>
      <c r="B22" s="310">
        <v>11676.691000000003</v>
      </c>
      <c r="C22" s="196">
        <f>B22/$B$18</f>
        <v>2.4063949520630024E-4</v>
      </c>
      <c r="D22" s="594"/>
      <c r="E22" s="194" t="s">
        <v>623</v>
      </c>
      <c r="F22" s="311">
        <v>165.98000000000002</v>
      </c>
      <c r="G22" s="198">
        <f>IFERROR(F22/$B$9,"")</f>
        <v>9.0909016221272978E-3</v>
      </c>
      <c r="H22" s="311">
        <v>1611.5420000000004</v>
      </c>
      <c r="I22" s="198">
        <f t="shared" ref="I22" si="5">IFERROR(H22/$B$9,"")</f>
        <v>8.8265874092820037E-2</v>
      </c>
      <c r="J22" s="311">
        <v>1228.9280000000001</v>
      </c>
      <c r="K22" s="198">
        <f t="shared" ref="K22" si="6">IFERROR(J22/$B$9,"")</f>
        <v>6.7309697244714153E-2</v>
      </c>
      <c r="L22" s="311">
        <v>3775.8909999999996</v>
      </c>
      <c r="M22" s="312">
        <f>IFERROR(L22/$B$9,"")</f>
        <v>0.20680957715915083</v>
      </c>
    </row>
    <row r="23" spans="1:13" ht="15.75" customHeight="1">
      <c r="A23" s="313" t="s">
        <v>624</v>
      </c>
      <c r="B23" s="314">
        <v>18680.446015247508</v>
      </c>
      <c r="C23" s="196">
        <f>B23/$B$18</f>
        <v>3.8497662559861369E-4</v>
      </c>
      <c r="D23" s="594"/>
      <c r="E23" s="200" t="s">
        <v>624</v>
      </c>
      <c r="F23" s="311">
        <v>0</v>
      </c>
      <c r="G23" s="198">
        <f>IFERROR(F23/$B$10,"")</f>
        <v>0</v>
      </c>
      <c r="H23" s="311">
        <v>644.21809999999959</v>
      </c>
      <c r="I23" s="198">
        <f>IFERROR(H23/$B$10,"")</f>
        <v>2.8277107174947972E-2</v>
      </c>
      <c r="J23" s="311">
        <v>874.41625999999883</v>
      </c>
      <c r="K23" s="198">
        <f>IFERROR(J23/$B$10,"")</f>
        <v>3.8381352991381575E-2</v>
      </c>
      <c r="L23" s="311">
        <v>3059.7451552474977</v>
      </c>
      <c r="M23" s="312">
        <f>IFERROR(L23/$B$10,"")</f>
        <v>0.13430349393002364</v>
      </c>
    </row>
    <row r="24" spans="1:13" ht="15.75" customHeight="1">
      <c r="A24" s="315"/>
      <c r="B24" s="190"/>
      <c r="C24" s="190"/>
      <c r="D24" s="594"/>
      <c r="E24" s="591" t="s">
        <v>625</v>
      </c>
      <c r="F24" s="595">
        <v>5</v>
      </c>
      <c r="G24" s="595"/>
      <c r="H24" s="595">
        <v>6</v>
      </c>
      <c r="I24" s="595"/>
      <c r="J24" s="595">
        <v>7</v>
      </c>
      <c r="K24" s="595"/>
      <c r="L24" s="596">
        <v>8</v>
      </c>
      <c r="M24" s="606"/>
    </row>
    <row r="25" spans="1:13" ht="15.75" customHeight="1">
      <c r="A25" s="315"/>
      <c r="B25" s="190"/>
      <c r="C25" s="190"/>
      <c r="D25" s="594"/>
      <c r="E25" s="591"/>
      <c r="F25" s="587" t="s">
        <v>626</v>
      </c>
      <c r="G25" s="587"/>
      <c r="H25" s="587" t="s">
        <v>627</v>
      </c>
      <c r="I25" s="587"/>
      <c r="J25" s="587" t="s">
        <v>628</v>
      </c>
      <c r="K25" s="587"/>
      <c r="L25" s="588" t="s">
        <v>629</v>
      </c>
      <c r="M25" s="607"/>
    </row>
    <row r="26" spans="1:13" ht="15.75" customHeight="1">
      <c r="A26" s="315"/>
      <c r="B26" s="190"/>
      <c r="C26" s="190"/>
      <c r="D26" s="594"/>
      <c r="E26" s="591"/>
      <c r="F26" s="304" t="s">
        <v>11</v>
      </c>
      <c r="G26" s="304" t="s">
        <v>630</v>
      </c>
      <c r="H26" s="304" t="s">
        <v>11</v>
      </c>
      <c r="I26" s="304" t="s">
        <v>630</v>
      </c>
      <c r="J26" s="304" t="s">
        <v>11</v>
      </c>
      <c r="K26" s="304" t="s">
        <v>630</v>
      </c>
      <c r="L26" s="304" t="s">
        <v>11</v>
      </c>
      <c r="M26" s="308" t="s">
        <v>630</v>
      </c>
    </row>
    <row r="27" spans="1:13" ht="15.75" customHeight="1">
      <c r="A27" s="316"/>
      <c r="B27" s="317"/>
      <c r="C27" s="317"/>
      <c r="D27" s="594"/>
      <c r="E27" s="194" t="s">
        <v>623</v>
      </c>
      <c r="F27" s="311">
        <v>3919.5130000000004</v>
      </c>
      <c r="G27" s="198">
        <f>IFERROR(F27/$B$9,"")</f>
        <v>0.21467590727587074</v>
      </c>
      <c r="H27" s="311">
        <v>0</v>
      </c>
      <c r="I27" s="198">
        <f t="shared" ref="I27" si="7">IFERROR(H27/$B$9,"")</f>
        <v>0</v>
      </c>
      <c r="J27" s="311">
        <v>974.8370000000001</v>
      </c>
      <c r="K27" s="198">
        <f t="shared" ref="K27" si="8">IFERROR(J27/$B$9,"")</f>
        <v>5.3392862179839184E-2</v>
      </c>
      <c r="L27" s="311">
        <v>0</v>
      </c>
      <c r="M27" s="312">
        <f t="shared" ref="M27" si="9">IFERROR(L27/$B$9,"")</f>
        <v>0</v>
      </c>
    </row>
    <row r="28" spans="1:13" ht="15.75" customHeight="1" thickBot="1">
      <c r="A28" s="318"/>
      <c r="B28" s="319"/>
      <c r="C28" s="319"/>
      <c r="D28" s="603"/>
      <c r="E28" s="320" t="s">
        <v>624</v>
      </c>
      <c r="F28" s="321">
        <v>10050.147089999993</v>
      </c>
      <c r="G28" s="322">
        <f>IFERROR(F28/$B$10,"")</f>
        <v>0.44113800339965836</v>
      </c>
      <c r="H28" s="321">
        <v>2190.4281100000026</v>
      </c>
      <c r="I28" s="322">
        <f>IFERROR(H28/$B$10,"")</f>
        <v>9.6145964271244222E-2</v>
      </c>
      <c r="J28" s="321">
        <v>1689.3357000000103</v>
      </c>
      <c r="K28" s="322">
        <f>IFERROR(J28/$B$10,"")</f>
        <v>7.4151171231243082E-2</v>
      </c>
      <c r="L28" s="321">
        <v>0</v>
      </c>
      <c r="M28" s="323">
        <f>IFERROR(L28/$B$10,"")</f>
        <v>0</v>
      </c>
    </row>
    <row r="29" spans="1:13" ht="15.75" customHeight="1">
      <c r="A29" s="597" t="s">
        <v>677</v>
      </c>
      <c r="B29" s="598"/>
      <c r="C29" s="598"/>
      <c r="D29" s="598"/>
      <c r="E29" s="598"/>
      <c r="F29" s="598"/>
      <c r="G29" s="598"/>
      <c r="H29" s="598"/>
      <c r="I29" s="598"/>
      <c r="J29" s="598"/>
      <c r="K29" s="598"/>
      <c r="L29" s="598"/>
      <c r="M29" s="599"/>
    </row>
    <row r="30" spans="1:13" ht="15.75" customHeight="1">
      <c r="A30" s="600"/>
      <c r="B30" s="590"/>
      <c r="C30" s="590"/>
      <c r="D30" s="590"/>
      <c r="E30" s="590"/>
      <c r="F30" s="590"/>
      <c r="G30" s="590"/>
      <c r="H30" s="590"/>
      <c r="I30" s="590"/>
      <c r="J30" s="590"/>
      <c r="K30" s="590"/>
      <c r="L30" s="590"/>
      <c r="M30" s="601"/>
    </row>
    <row r="31" spans="1:13" ht="15.75" customHeight="1">
      <c r="A31" s="306" t="s">
        <v>678</v>
      </c>
      <c r="B31" s="324">
        <v>48655452</v>
      </c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307"/>
    </row>
    <row r="32" spans="1:13" ht="15.75" customHeight="1">
      <c r="A32" s="602" t="s">
        <v>679</v>
      </c>
      <c r="B32" s="592" t="s">
        <v>10</v>
      </c>
      <c r="C32" s="592"/>
      <c r="D32" s="593"/>
      <c r="E32" s="591" t="s">
        <v>679</v>
      </c>
      <c r="F32" s="595">
        <v>1</v>
      </c>
      <c r="G32" s="595"/>
      <c r="H32" s="595">
        <v>2</v>
      </c>
      <c r="I32" s="595"/>
      <c r="J32" s="595">
        <v>3</v>
      </c>
      <c r="K32" s="595"/>
      <c r="L32" s="595">
        <v>4</v>
      </c>
      <c r="M32" s="604"/>
    </row>
    <row r="33" spans="1:13" ht="15.75" customHeight="1">
      <c r="A33" s="602"/>
      <c r="B33" s="592"/>
      <c r="C33" s="592"/>
      <c r="D33" s="594"/>
      <c r="E33" s="591"/>
      <c r="F33" s="587" t="s">
        <v>680</v>
      </c>
      <c r="G33" s="587"/>
      <c r="H33" s="587" t="s">
        <v>681</v>
      </c>
      <c r="I33" s="587"/>
      <c r="J33" s="587" t="s">
        <v>682</v>
      </c>
      <c r="K33" s="587"/>
      <c r="L33" s="587" t="s">
        <v>683</v>
      </c>
      <c r="M33" s="605"/>
    </row>
    <row r="34" spans="1:13" ht="15.75" customHeight="1">
      <c r="A34" s="602"/>
      <c r="B34" s="333" t="s">
        <v>11</v>
      </c>
      <c r="C34" s="333" t="s">
        <v>684</v>
      </c>
      <c r="D34" s="594"/>
      <c r="E34" s="591"/>
      <c r="F34" s="333" t="s">
        <v>11</v>
      </c>
      <c r="G34" s="333" t="s">
        <v>684</v>
      </c>
      <c r="H34" s="333" t="s">
        <v>11</v>
      </c>
      <c r="I34" s="333" t="s">
        <v>684</v>
      </c>
      <c r="J34" s="333" t="s">
        <v>11</v>
      </c>
      <c r="K34" s="333" t="s">
        <v>684</v>
      </c>
      <c r="L34" s="333" t="s">
        <v>11</v>
      </c>
      <c r="M34" s="308" t="s">
        <v>684</v>
      </c>
    </row>
    <row r="35" spans="1:13" ht="15.75" customHeight="1">
      <c r="A35" s="309" t="s">
        <v>685</v>
      </c>
      <c r="B35" s="310">
        <v>9800.9250000000029</v>
      </c>
      <c r="C35" s="196">
        <f>B35/$B$5</f>
        <v>1.2917542219835663E-4</v>
      </c>
      <c r="D35" s="594"/>
      <c r="E35" s="194" t="s">
        <v>685</v>
      </c>
      <c r="F35" s="311">
        <v>705.35199999999998</v>
      </c>
      <c r="G35" s="198">
        <f>IFERROR(F35/$B$9,"")</f>
        <v>3.8632881316849818E-2</v>
      </c>
      <c r="H35" s="311">
        <v>1195.5910000000001</v>
      </c>
      <c r="I35" s="198">
        <f t="shared" ref="I35" si="10">IFERROR(H35/$B$9,"")</f>
        <v>6.5483794199908407E-2</v>
      </c>
      <c r="J35" s="311">
        <v>1614.134</v>
      </c>
      <c r="K35" s="198">
        <f t="shared" ref="K35" si="11">IFERROR(J35/$B$9,"")</f>
        <v>8.8407840697257628E-2</v>
      </c>
      <c r="L35" s="311">
        <v>4035.8779999999997</v>
      </c>
      <c r="M35" s="312">
        <f>IFERROR(L35/$B$9,"")</f>
        <v>0.22104934243226812</v>
      </c>
    </row>
    <row r="36" spans="1:13" ht="15.75" customHeight="1" thickBot="1">
      <c r="A36" s="313" t="s">
        <v>686</v>
      </c>
      <c r="B36" s="314">
        <v>15896.425820000022</v>
      </c>
      <c r="C36" s="196">
        <f>B36/$B$5</f>
        <v>2.0951364455328042E-4</v>
      </c>
      <c r="D36" s="594"/>
      <c r="E36" s="200" t="s">
        <v>686</v>
      </c>
      <c r="F36" s="321">
        <v>446.58150000000035</v>
      </c>
      <c r="G36" s="198">
        <f>IFERROR(F36/$B$10,"")</f>
        <v>1.9602108257823003E-2</v>
      </c>
      <c r="H36" s="311">
        <v>793.69283000000019</v>
      </c>
      <c r="I36" s="198">
        <f>IFERROR(H36/$B$10,"")</f>
        <v>3.4838104079810514E-2</v>
      </c>
      <c r="J36" s="311">
        <v>666.6480400000014</v>
      </c>
      <c r="K36" s="198">
        <f>IFERROR(J36/$B$10,"")</f>
        <v>2.9261639924505464E-2</v>
      </c>
      <c r="L36" s="311">
        <v>1637.1258600000046</v>
      </c>
      <c r="M36" s="312">
        <f>IFERROR(L36/$B$10,"")</f>
        <v>7.1859488893744258E-2</v>
      </c>
    </row>
    <row r="37" spans="1:13" ht="15.75" customHeight="1">
      <c r="A37" s="315"/>
      <c r="B37" s="190"/>
      <c r="C37" s="190"/>
      <c r="D37" s="594"/>
      <c r="E37" s="591" t="s">
        <v>679</v>
      </c>
      <c r="F37" s="595">
        <v>5</v>
      </c>
      <c r="G37" s="595"/>
      <c r="H37" s="595">
        <v>6</v>
      </c>
      <c r="I37" s="595"/>
      <c r="J37" s="595">
        <v>7</v>
      </c>
      <c r="K37" s="595"/>
      <c r="L37" s="596">
        <v>8</v>
      </c>
      <c r="M37" s="606"/>
    </row>
    <row r="38" spans="1:13" ht="15.75" customHeight="1">
      <c r="A38" s="315"/>
      <c r="B38" s="190"/>
      <c r="C38" s="190"/>
      <c r="D38" s="594"/>
      <c r="E38" s="591"/>
      <c r="F38" s="587" t="s">
        <v>687</v>
      </c>
      <c r="G38" s="587"/>
      <c r="H38" s="587" t="s">
        <v>688</v>
      </c>
      <c r="I38" s="587"/>
      <c r="J38" s="587" t="s">
        <v>689</v>
      </c>
      <c r="K38" s="587"/>
      <c r="L38" s="588" t="s">
        <v>690</v>
      </c>
      <c r="M38" s="607"/>
    </row>
    <row r="39" spans="1:13" ht="15.75" customHeight="1">
      <c r="A39" s="315"/>
      <c r="B39" s="190"/>
      <c r="C39" s="190"/>
      <c r="D39" s="594"/>
      <c r="E39" s="591"/>
      <c r="F39" s="333" t="s">
        <v>11</v>
      </c>
      <c r="G39" s="333" t="s">
        <v>684</v>
      </c>
      <c r="H39" s="333" t="s">
        <v>11</v>
      </c>
      <c r="I39" s="333" t="s">
        <v>684</v>
      </c>
      <c r="J39" s="333" t="s">
        <v>11</v>
      </c>
      <c r="K39" s="333" t="s">
        <v>684</v>
      </c>
      <c r="L39" s="333" t="s">
        <v>11</v>
      </c>
      <c r="M39" s="308" t="s">
        <v>684</v>
      </c>
    </row>
    <row r="40" spans="1:13" ht="15.75" customHeight="1">
      <c r="A40" s="316"/>
      <c r="B40" s="317"/>
      <c r="C40" s="317"/>
      <c r="D40" s="594"/>
      <c r="E40" s="194" t="s">
        <v>685</v>
      </c>
      <c r="F40" s="311">
        <v>1269.0300000000002</v>
      </c>
      <c r="G40" s="198">
        <f>IFERROR(F40/$B$9,"")</f>
        <v>6.9506126554574069E-2</v>
      </c>
      <c r="H40" s="311">
        <v>361.74299999999999</v>
      </c>
      <c r="I40" s="198">
        <f t="shared" ref="I40" si="12">IFERROR(H40/$B$9,"")</f>
        <v>1.9813049918623898E-2</v>
      </c>
      <c r="J40" s="311">
        <v>619.197</v>
      </c>
      <c r="K40" s="198">
        <f t="shared" ref="K40" si="13">IFERROR(J40/$B$9,"")</f>
        <v>3.3914080080228677E-2</v>
      </c>
      <c r="L40" s="311">
        <v>0</v>
      </c>
      <c r="M40" s="312">
        <f t="shared" ref="M40" si="14">IFERROR(L40/$B$9,"")</f>
        <v>0</v>
      </c>
    </row>
    <row r="41" spans="1:13" ht="15.75" customHeight="1" thickBot="1">
      <c r="A41" s="318"/>
      <c r="B41" s="319"/>
      <c r="C41" s="319"/>
      <c r="D41" s="603"/>
      <c r="E41" s="320" t="s">
        <v>686</v>
      </c>
      <c r="F41" s="321">
        <v>6394.8248599999997</v>
      </c>
      <c r="G41" s="322">
        <f>IFERROR(F41/$B$10,"")</f>
        <v>0.28069243619706086</v>
      </c>
      <c r="H41" s="321">
        <v>5540.5327300000126</v>
      </c>
      <c r="I41" s="322">
        <f>IFERROR(H41/$B$10,"")</f>
        <v>0.24319440545448431</v>
      </c>
      <c r="J41" s="321">
        <v>417.01999999999981</v>
      </c>
      <c r="K41" s="322">
        <f>IFERROR(J41/$B$10,"")</f>
        <v>1.8304545050964578E-2</v>
      </c>
      <c r="L41" s="321">
        <v>0</v>
      </c>
      <c r="M41" s="323">
        <f>IFERROR(L41/$B$10,"")</f>
        <v>0</v>
      </c>
    </row>
    <row r="42" spans="1:13" ht="15.75" customHeight="1">
      <c r="A42" s="597" t="s">
        <v>901</v>
      </c>
      <c r="B42" s="598"/>
      <c r="C42" s="598"/>
      <c r="D42" s="598"/>
      <c r="E42" s="598"/>
      <c r="F42" s="598"/>
      <c r="G42" s="598"/>
      <c r="H42" s="598"/>
      <c r="I42" s="598"/>
      <c r="J42" s="598"/>
      <c r="K42" s="598"/>
      <c r="L42" s="598"/>
      <c r="M42" s="599"/>
    </row>
    <row r="43" spans="1:13" ht="15.75" customHeight="1">
      <c r="A43" s="600"/>
      <c r="B43" s="590"/>
      <c r="C43" s="590"/>
      <c r="D43" s="590"/>
      <c r="E43" s="590"/>
      <c r="F43" s="590"/>
      <c r="G43" s="590"/>
      <c r="H43" s="590"/>
      <c r="I43" s="590"/>
      <c r="J43" s="590"/>
      <c r="K43" s="590"/>
      <c r="L43" s="590"/>
      <c r="M43" s="601"/>
    </row>
    <row r="44" spans="1:13" ht="15.75" customHeight="1">
      <c r="A44" s="306" t="s">
        <v>902</v>
      </c>
      <c r="B44" s="324">
        <v>46287577</v>
      </c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307"/>
    </row>
    <row r="45" spans="1:13" ht="15.75" customHeight="1">
      <c r="A45" s="602" t="s">
        <v>903</v>
      </c>
      <c r="B45" s="592" t="s">
        <v>10</v>
      </c>
      <c r="C45" s="592"/>
      <c r="D45" s="593"/>
      <c r="E45" s="591" t="s">
        <v>903</v>
      </c>
      <c r="F45" s="595">
        <v>1</v>
      </c>
      <c r="G45" s="595"/>
      <c r="H45" s="595">
        <v>2</v>
      </c>
      <c r="I45" s="595"/>
      <c r="J45" s="595">
        <v>3</v>
      </c>
      <c r="K45" s="595"/>
      <c r="L45" s="595">
        <v>4</v>
      </c>
      <c r="M45" s="604"/>
    </row>
    <row r="46" spans="1:13" ht="15.75" customHeight="1">
      <c r="A46" s="602"/>
      <c r="B46" s="592"/>
      <c r="C46" s="592"/>
      <c r="D46" s="594"/>
      <c r="E46" s="591"/>
      <c r="F46" s="587" t="s">
        <v>904</v>
      </c>
      <c r="G46" s="587"/>
      <c r="H46" s="587" t="s">
        <v>905</v>
      </c>
      <c r="I46" s="587"/>
      <c r="J46" s="587" t="s">
        <v>906</v>
      </c>
      <c r="K46" s="587"/>
      <c r="L46" s="587" t="s">
        <v>907</v>
      </c>
      <c r="M46" s="605"/>
    </row>
    <row r="47" spans="1:13" ht="15.75" customHeight="1">
      <c r="A47" s="602"/>
      <c r="B47" s="379" t="s">
        <v>11</v>
      </c>
      <c r="C47" s="379" t="s">
        <v>908</v>
      </c>
      <c r="D47" s="594"/>
      <c r="E47" s="591"/>
      <c r="F47" s="379" t="s">
        <v>11</v>
      </c>
      <c r="G47" s="379" t="s">
        <v>908</v>
      </c>
      <c r="H47" s="379" t="s">
        <v>11</v>
      </c>
      <c r="I47" s="379" t="s">
        <v>908</v>
      </c>
      <c r="J47" s="379" t="s">
        <v>11</v>
      </c>
      <c r="K47" s="379" t="s">
        <v>908</v>
      </c>
      <c r="L47" s="379" t="s">
        <v>11</v>
      </c>
      <c r="M47" s="308" t="s">
        <v>908</v>
      </c>
    </row>
    <row r="48" spans="1:13" ht="15.75" customHeight="1">
      <c r="A48" s="309" t="s">
        <v>909</v>
      </c>
      <c r="B48" s="310">
        <v>9587.904999999997</v>
      </c>
      <c r="C48" s="196">
        <v>1.2636783531888408E-4</v>
      </c>
      <c r="D48" s="594"/>
      <c r="E48" s="194" t="s">
        <v>909</v>
      </c>
      <c r="F48" s="311">
        <v>0</v>
      </c>
      <c r="G48" s="198">
        <v>0</v>
      </c>
      <c r="H48" s="311">
        <v>834.86200000000008</v>
      </c>
      <c r="I48" s="198">
        <v>4.5726282142742734E-2</v>
      </c>
      <c r="J48" s="311">
        <v>2231.3200000000002</v>
      </c>
      <c r="K48" s="198">
        <v>0.12221177616270081</v>
      </c>
      <c r="L48" s="311">
        <v>4146.4030000000002</v>
      </c>
      <c r="M48" s="312">
        <v>0.22710291456014875</v>
      </c>
    </row>
    <row r="49" spans="1:13" ht="15.75" customHeight="1">
      <c r="A49" s="313" t="s">
        <v>910</v>
      </c>
      <c r="B49" s="314">
        <v>14733.35162000003</v>
      </c>
      <c r="C49" s="196">
        <v>1.9418441789018334E-4</v>
      </c>
      <c r="D49" s="594"/>
      <c r="E49" s="200" t="s">
        <v>910</v>
      </c>
      <c r="F49" s="311">
        <v>0</v>
      </c>
      <c r="G49" s="198">
        <v>0</v>
      </c>
      <c r="H49" s="311">
        <v>0</v>
      </c>
      <c r="I49" s="198">
        <v>0</v>
      </c>
      <c r="J49" s="311">
        <v>1459.6556299999991</v>
      </c>
      <c r="K49" s="198">
        <v>6.4069666294731861E-2</v>
      </c>
      <c r="L49" s="311">
        <v>2414.4136500000041</v>
      </c>
      <c r="M49" s="312">
        <v>0.10597751529444373</v>
      </c>
    </row>
    <row r="50" spans="1:13" ht="15.75" customHeight="1">
      <c r="A50" s="315"/>
      <c r="B50" s="190"/>
      <c r="C50" s="190"/>
      <c r="D50" s="594"/>
      <c r="E50" s="591" t="s">
        <v>903</v>
      </c>
      <c r="F50" s="595">
        <v>5</v>
      </c>
      <c r="G50" s="595"/>
      <c r="H50" s="595">
        <v>6</v>
      </c>
      <c r="I50" s="595"/>
      <c r="J50" s="595">
        <v>7</v>
      </c>
      <c r="K50" s="595"/>
      <c r="L50" s="596">
        <v>8</v>
      </c>
      <c r="M50" s="606"/>
    </row>
    <row r="51" spans="1:13" ht="15.75" customHeight="1">
      <c r="A51" s="315"/>
      <c r="B51" s="190"/>
      <c r="C51" s="190"/>
      <c r="D51" s="594"/>
      <c r="E51" s="591"/>
      <c r="F51" s="587" t="s">
        <v>911</v>
      </c>
      <c r="G51" s="587"/>
      <c r="H51" s="587" t="s">
        <v>912</v>
      </c>
      <c r="I51" s="587"/>
      <c r="J51" s="587" t="s">
        <v>913</v>
      </c>
      <c r="K51" s="587"/>
      <c r="L51" s="588" t="s">
        <v>914</v>
      </c>
      <c r="M51" s="607"/>
    </row>
    <row r="52" spans="1:13" ht="15.75" customHeight="1">
      <c r="A52" s="315"/>
      <c r="B52" s="190"/>
      <c r="C52" s="190"/>
      <c r="D52" s="594"/>
      <c r="E52" s="591"/>
      <c r="F52" s="379" t="s">
        <v>11</v>
      </c>
      <c r="G52" s="379" t="s">
        <v>908</v>
      </c>
      <c r="H52" s="379" t="s">
        <v>11</v>
      </c>
      <c r="I52" s="379" t="s">
        <v>908</v>
      </c>
      <c r="J52" s="379" t="s">
        <v>11</v>
      </c>
      <c r="K52" s="379" t="s">
        <v>908</v>
      </c>
      <c r="L52" s="379" t="s">
        <v>11</v>
      </c>
      <c r="M52" s="308" t="s">
        <v>908</v>
      </c>
    </row>
    <row r="53" spans="1:13" ht="15.75" customHeight="1">
      <c r="A53" s="316"/>
      <c r="B53" s="317"/>
      <c r="C53" s="317"/>
      <c r="D53" s="594"/>
      <c r="E53" s="194" t="s">
        <v>909</v>
      </c>
      <c r="F53" s="311">
        <v>825.84</v>
      </c>
      <c r="G53" s="198">
        <v>4.523213758053745E-2</v>
      </c>
      <c r="H53" s="311">
        <v>1291.5520000000001</v>
      </c>
      <c r="I53" s="198">
        <v>7.0739680514891878E-2</v>
      </c>
      <c r="J53" s="311">
        <v>257.928</v>
      </c>
      <c r="K53" s="198">
        <v>1.4126991647138506E-2</v>
      </c>
      <c r="L53" s="311">
        <v>0</v>
      </c>
      <c r="M53" s="312">
        <v>0</v>
      </c>
    </row>
    <row r="54" spans="1:13" ht="15.75" customHeight="1" thickBot="1">
      <c r="A54" s="318"/>
      <c r="B54" s="319"/>
      <c r="C54" s="319"/>
      <c r="D54" s="603"/>
      <c r="E54" s="320" t="s">
        <v>910</v>
      </c>
      <c r="F54" s="321">
        <v>5870.1435299999976</v>
      </c>
      <c r="G54" s="322">
        <v>0.25766223850298126</v>
      </c>
      <c r="H54" s="321">
        <v>4989.1388100000286</v>
      </c>
      <c r="I54" s="322">
        <v>0.21899169371531671</v>
      </c>
      <c r="J54" s="321">
        <v>0</v>
      </c>
      <c r="K54" s="322">
        <v>0</v>
      </c>
      <c r="L54" s="321">
        <v>0</v>
      </c>
      <c r="M54" s="323">
        <v>0</v>
      </c>
    </row>
    <row r="55" spans="1:13" ht="15.75" customHeight="1">
      <c r="A55" s="597" t="s">
        <v>915</v>
      </c>
      <c r="B55" s="598"/>
      <c r="C55" s="598"/>
      <c r="D55" s="598"/>
      <c r="E55" s="598"/>
      <c r="F55" s="598"/>
      <c r="G55" s="598"/>
      <c r="H55" s="598"/>
      <c r="I55" s="598"/>
      <c r="J55" s="598"/>
      <c r="K55" s="598"/>
      <c r="L55" s="598"/>
      <c r="M55" s="599"/>
    </row>
    <row r="56" spans="1:13" ht="15.75" customHeight="1">
      <c r="A56" s="600"/>
      <c r="B56" s="590"/>
      <c r="C56" s="590"/>
      <c r="D56" s="590"/>
      <c r="E56" s="590"/>
      <c r="F56" s="590"/>
      <c r="G56" s="590"/>
      <c r="H56" s="590"/>
      <c r="I56" s="590"/>
      <c r="J56" s="590"/>
      <c r="K56" s="590"/>
      <c r="L56" s="590"/>
      <c r="M56" s="601"/>
    </row>
    <row r="57" spans="1:13" ht="15.75" customHeight="1">
      <c r="A57" s="306" t="s">
        <v>902</v>
      </c>
      <c r="B57" s="324">
        <v>48362935</v>
      </c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307"/>
    </row>
    <row r="58" spans="1:13" ht="15.75" customHeight="1">
      <c r="A58" s="602" t="s">
        <v>903</v>
      </c>
      <c r="B58" s="592" t="s">
        <v>10</v>
      </c>
      <c r="C58" s="592"/>
      <c r="D58" s="593"/>
      <c r="E58" s="591" t="s">
        <v>966</v>
      </c>
      <c r="F58" s="595">
        <v>1</v>
      </c>
      <c r="G58" s="595"/>
      <c r="H58" s="595">
        <v>2</v>
      </c>
      <c r="I58" s="595"/>
      <c r="J58" s="595">
        <v>3</v>
      </c>
      <c r="K58" s="595"/>
      <c r="L58" s="595">
        <v>4</v>
      </c>
      <c r="M58" s="604"/>
    </row>
    <row r="59" spans="1:13" ht="15.75" customHeight="1">
      <c r="A59" s="602"/>
      <c r="B59" s="592"/>
      <c r="C59" s="592"/>
      <c r="D59" s="594"/>
      <c r="E59" s="591"/>
      <c r="F59" s="587" t="s">
        <v>967</v>
      </c>
      <c r="G59" s="587"/>
      <c r="H59" s="587" t="s">
        <v>968</v>
      </c>
      <c r="I59" s="587"/>
      <c r="J59" s="587" t="s">
        <v>969</v>
      </c>
      <c r="K59" s="587"/>
      <c r="L59" s="587" t="s">
        <v>970</v>
      </c>
      <c r="M59" s="605"/>
    </row>
    <row r="60" spans="1:13" ht="15.75" customHeight="1">
      <c r="A60" s="602"/>
      <c r="B60" s="379" t="s">
        <v>11</v>
      </c>
      <c r="C60" s="379" t="s">
        <v>908</v>
      </c>
      <c r="D60" s="594"/>
      <c r="E60" s="591"/>
      <c r="F60" s="384" t="s">
        <v>11</v>
      </c>
      <c r="G60" s="384" t="s">
        <v>971</v>
      </c>
      <c r="H60" s="384" t="s">
        <v>11</v>
      </c>
      <c r="I60" s="384" t="s">
        <v>971</v>
      </c>
      <c r="J60" s="384" t="s">
        <v>11</v>
      </c>
      <c r="K60" s="384" t="s">
        <v>971</v>
      </c>
      <c r="L60" s="384" t="s">
        <v>11</v>
      </c>
      <c r="M60" s="308" t="s">
        <v>971</v>
      </c>
    </row>
    <row r="61" spans="1:13" ht="15.75" customHeight="1">
      <c r="A61" s="309" t="s">
        <v>909</v>
      </c>
      <c r="B61" s="310">
        <v>10199.575000000004</v>
      </c>
      <c r="C61" s="196">
        <f>B61/$B$5</f>
        <v>1.3442959790721832E-4</v>
      </c>
      <c r="D61" s="594"/>
      <c r="E61" s="194" t="s">
        <v>972</v>
      </c>
      <c r="F61" s="311">
        <v>0</v>
      </c>
      <c r="G61" s="198">
        <f>IFERROR(F61/$B$9,"")</f>
        <v>0</v>
      </c>
      <c r="H61" s="311">
        <v>277.08100000000002</v>
      </c>
      <c r="I61" s="198">
        <f t="shared" ref="I61" si="15">IFERROR(H61/$B$9,"")</f>
        <v>1.5176021884327349E-2</v>
      </c>
      <c r="J61" s="311">
        <v>1993.0930000000003</v>
      </c>
      <c r="K61" s="198">
        <f t="shared" ref="K61" si="16">IFERROR(J61/$B$9,"")</f>
        <v>0.10916382929720786</v>
      </c>
      <c r="L61" s="311">
        <v>5007.6209999999992</v>
      </c>
      <c r="M61" s="312">
        <f>IFERROR(L61/$B$9,"")</f>
        <v>0.27427274293227322</v>
      </c>
    </row>
    <row r="62" spans="1:13" ht="15.75" customHeight="1">
      <c r="A62" s="313" t="s">
        <v>910</v>
      </c>
      <c r="B62" s="314">
        <v>38331.075293114794</v>
      </c>
      <c r="C62" s="196">
        <f>B62/$B$5</f>
        <v>5.0520056365140021E-4</v>
      </c>
      <c r="D62" s="594"/>
      <c r="E62" s="200" t="s">
        <v>973</v>
      </c>
      <c r="F62" s="311">
        <v>0</v>
      </c>
      <c r="G62" s="198">
        <f>IFERROR(F62/$B$62,"")</f>
        <v>0</v>
      </c>
      <c r="H62" s="311">
        <v>1230.5148299999994</v>
      </c>
      <c r="I62" s="198">
        <f>IFERROR(H62/$B$62,"")</f>
        <v>3.210227786698773E-2</v>
      </c>
      <c r="J62" s="311">
        <v>1139.0088600000024</v>
      </c>
      <c r="K62" s="198">
        <f>IFERROR(J62/$B$62,"")</f>
        <v>2.9715024984039426E-2</v>
      </c>
      <c r="L62" s="311">
        <v>2998.8652431147748</v>
      </c>
      <c r="M62" s="312">
        <f>IFERROR(L62/$B$62,"")</f>
        <v>7.8235875727009532E-2</v>
      </c>
    </row>
    <row r="63" spans="1:13" ht="15.75" customHeight="1">
      <c r="A63" s="315"/>
      <c r="B63" s="190"/>
      <c r="C63" s="190"/>
      <c r="D63" s="594"/>
      <c r="E63" s="591" t="s">
        <v>966</v>
      </c>
      <c r="F63" s="608">
        <v>5</v>
      </c>
      <c r="G63" s="609"/>
      <c r="H63" s="608">
        <v>6</v>
      </c>
      <c r="I63" s="609"/>
      <c r="J63" s="608">
        <v>7</v>
      </c>
      <c r="K63" s="609"/>
      <c r="L63" s="610">
        <v>8</v>
      </c>
      <c r="M63" s="611"/>
    </row>
    <row r="64" spans="1:13" ht="15.75" customHeight="1">
      <c r="A64" s="315"/>
      <c r="B64" s="190"/>
      <c r="C64" s="190"/>
      <c r="D64" s="594"/>
      <c r="E64" s="591"/>
      <c r="F64" s="612" t="s">
        <v>974</v>
      </c>
      <c r="G64" s="613"/>
      <c r="H64" s="612" t="s">
        <v>975</v>
      </c>
      <c r="I64" s="613"/>
      <c r="J64" s="612" t="s">
        <v>976</v>
      </c>
      <c r="K64" s="613"/>
      <c r="L64" s="614" t="s">
        <v>977</v>
      </c>
      <c r="M64" s="615"/>
    </row>
    <row r="65" spans="1:13" ht="15.75" customHeight="1">
      <c r="A65" s="315"/>
      <c r="B65" s="190"/>
      <c r="C65" s="190"/>
      <c r="D65" s="594"/>
      <c r="E65" s="591"/>
      <c r="F65" s="384" t="s">
        <v>11</v>
      </c>
      <c r="G65" s="384" t="s">
        <v>971</v>
      </c>
      <c r="H65" s="384" t="s">
        <v>11</v>
      </c>
      <c r="I65" s="384" t="s">
        <v>971</v>
      </c>
      <c r="J65" s="384" t="s">
        <v>11</v>
      </c>
      <c r="K65" s="384" t="s">
        <v>971</v>
      </c>
      <c r="L65" s="384" t="s">
        <v>11</v>
      </c>
      <c r="M65" s="308" t="s">
        <v>971</v>
      </c>
    </row>
    <row r="66" spans="1:13" ht="15.75" customHeight="1">
      <c r="A66" s="316"/>
      <c r="B66" s="317"/>
      <c r="C66" s="317"/>
      <c r="D66" s="594"/>
      <c r="E66" s="194" t="s">
        <v>972</v>
      </c>
      <c r="F66" s="311">
        <v>1790.1419999999998</v>
      </c>
      <c r="G66" s="198">
        <f>IFERROR(F66/$B$9,"")</f>
        <v>9.8047986574516216E-2</v>
      </c>
      <c r="H66" s="311">
        <v>1131.6379999999999</v>
      </c>
      <c r="I66" s="198">
        <f t="shared" ref="I66" si="17">IFERROR(H66/$B$9,"")</f>
        <v>6.1981020182316472E-2</v>
      </c>
      <c r="J66" s="311">
        <v>0</v>
      </c>
      <c r="K66" s="198">
        <f t="shared" ref="K66" si="18">IFERROR(J66/$B$9,"")</f>
        <v>0</v>
      </c>
      <c r="L66" s="311">
        <v>0</v>
      </c>
      <c r="M66" s="312">
        <f t="shared" ref="M66" si="19">IFERROR(L66/$B$9,"")</f>
        <v>0</v>
      </c>
    </row>
    <row r="67" spans="1:13" ht="15.75" customHeight="1" thickBot="1">
      <c r="A67" s="318"/>
      <c r="B67" s="319"/>
      <c r="C67" s="319"/>
      <c r="D67" s="603"/>
      <c r="E67" s="320" t="s">
        <v>973</v>
      </c>
      <c r="F67" s="321">
        <v>27345.851710000003</v>
      </c>
      <c r="G67" s="322">
        <f>IFERROR(F67/$B$62,"")</f>
        <v>0.71341206842981497</v>
      </c>
      <c r="H67" s="321">
        <v>5616.8346500000025</v>
      </c>
      <c r="I67" s="322">
        <f>IFERROR(H67/$B$62,"")</f>
        <v>0.14653475299214797</v>
      </c>
      <c r="J67" s="321">
        <v>0</v>
      </c>
      <c r="K67" s="322">
        <f>IFERROR(J67/$B$62,"")</f>
        <v>0</v>
      </c>
      <c r="L67" s="321">
        <v>0</v>
      </c>
      <c r="M67" s="323">
        <f>IFERROR(L67/$B$62,"")</f>
        <v>0</v>
      </c>
    </row>
  </sheetData>
  <mergeCells count="111"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0"/>
  <sheetViews>
    <sheetView view="pageBreakPreview" zoomScale="115" zoomScaleNormal="60" zoomScaleSheetLayoutView="115" workbookViewId="0">
      <selection activeCell="M18" sqref="M18"/>
    </sheetView>
  </sheetViews>
  <sheetFormatPr defaultColWidth="12.5703125" defaultRowHeight="15.75" customHeight="1"/>
  <cols>
    <col min="1" max="1" width="5.42578125" style="120" customWidth="1"/>
    <col min="2" max="2" width="11.42578125" style="180" customWidth="1"/>
    <col min="3" max="3" width="4" style="165" customWidth="1"/>
    <col min="4" max="17" width="9.5703125" style="120" customWidth="1"/>
    <col min="18" max="16384" width="12.5703125" style="120"/>
  </cols>
  <sheetData>
    <row r="1" spans="1:17" ht="15.75" customHeight="1">
      <c r="A1" s="413" t="s">
        <v>214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</row>
    <row r="2" spans="1:17" s="121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</row>
    <row r="3" spans="1:17" ht="15.75" customHeight="1">
      <c r="A3" s="536" t="s">
        <v>222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156"/>
    </row>
    <row r="4" spans="1:17" s="121" customFormat="1" ht="15.75" customHeight="1">
      <c r="A4" s="537"/>
      <c r="B4" s="537"/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  <c r="N4" s="131"/>
    </row>
    <row r="5" spans="1:17" ht="15.75" customHeight="1">
      <c r="A5" s="447" t="s">
        <v>200</v>
      </c>
      <c r="B5" s="633">
        <v>1</v>
      </c>
      <c r="C5" s="633"/>
      <c r="D5" s="633">
        <v>2</v>
      </c>
      <c r="E5" s="633"/>
      <c r="F5" s="633">
        <v>3</v>
      </c>
      <c r="G5" s="633"/>
      <c r="H5" s="630">
        <v>4</v>
      </c>
      <c r="I5" s="630"/>
      <c r="J5" s="630">
        <v>5</v>
      </c>
      <c r="K5" s="630"/>
      <c r="L5" s="630">
        <v>6</v>
      </c>
      <c r="M5" s="630"/>
      <c r="N5" s="630">
        <v>7</v>
      </c>
      <c r="O5" s="630"/>
      <c r="P5" s="630">
        <v>8</v>
      </c>
      <c r="Q5" s="630"/>
    </row>
    <row r="6" spans="1:17" ht="15.75" customHeight="1">
      <c r="A6" s="447"/>
      <c r="B6" s="634" t="s">
        <v>370</v>
      </c>
      <c r="C6" s="634"/>
      <c r="D6" s="634" t="s">
        <v>223</v>
      </c>
      <c r="E6" s="634"/>
      <c r="F6" s="634" t="s">
        <v>173</v>
      </c>
      <c r="G6" s="634"/>
      <c r="H6" s="447" t="s">
        <v>197</v>
      </c>
      <c r="I6" s="447"/>
      <c r="J6" s="447" t="s">
        <v>198</v>
      </c>
      <c r="K6" s="447"/>
      <c r="L6" s="447" t="s">
        <v>174</v>
      </c>
      <c r="M6" s="447"/>
      <c r="N6" s="447" t="s">
        <v>199</v>
      </c>
      <c r="O6" s="447"/>
      <c r="P6" s="632" t="s">
        <v>227</v>
      </c>
      <c r="Q6" s="447"/>
    </row>
    <row r="8" spans="1:17" s="158" customFormat="1" ht="15.75" customHeight="1">
      <c r="A8" s="513" t="s">
        <v>916</v>
      </c>
      <c r="B8" s="513"/>
      <c r="C8" s="383" t="s">
        <v>917</v>
      </c>
      <c r="D8" s="625" t="s">
        <v>12</v>
      </c>
      <c r="E8" s="626"/>
      <c r="F8" s="627"/>
      <c r="G8" s="381" t="s">
        <v>918</v>
      </c>
      <c r="H8" s="382"/>
      <c r="I8" s="383"/>
      <c r="J8" s="175" t="s">
        <v>919</v>
      </c>
      <c r="K8" s="175" t="s">
        <v>920</v>
      </c>
      <c r="L8" s="175" t="s">
        <v>921</v>
      </c>
      <c r="M8" s="175" t="s">
        <v>11</v>
      </c>
      <c r="N8" s="175" t="s">
        <v>384</v>
      </c>
      <c r="O8" s="628" t="s">
        <v>922</v>
      </c>
      <c r="P8" s="629"/>
    </row>
    <row r="9" spans="1:17" ht="15.75" customHeight="1">
      <c r="A9" s="513">
        <v>1</v>
      </c>
      <c r="B9" s="618" t="s">
        <v>923</v>
      </c>
      <c r="C9" s="176">
        <v>1</v>
      </c>
      <c r="D9" s="386">
        <v>0</v>
      </c>
      <c r="E9" s="619"/>
      <c r="F9" s="620"/>
      <c r="G9" s="386">
        <v>0</v>
      </c>
      <c r="H9" s="619"/>
      <c r="I9" s="620"/>
      <c r="J9" s="4">
        <v>0</v>
      </c>
      <c r="K9" s="14">
        <v>0</v>
      </c>
      <c r="L9" s="4">
        <v>0</v>
      </c>
      <c r="M9" s="16">
        <v>0</v>
      </c>
      <c r="N9" s="177"/>
      <c r="O9" s="621"/>
      <c r="P9" s="622"/>
    </row>
    <row r="10" spans="1:17" ht="15.75" customHeight="1">
      <c r="A10" s="513"/>
      <c r="B10" s="618"/>
      <c r="C10" s="176">
        <v>2</v>
      </c>
      <c r="D10" s="386">
        <v>0</v>
      </c>
      <c r="E10" s="619"/>
      <c r="F10" s="620"/>
      <c r="G10" s="386">
        <v>0</v>
      </c>
      <c r="H10" s="619"/>
      <c r="I10" s="620"/>
      <c r="J10" s="4">
        <v>0</v>
      </c>
      <c r="K10" s="14">
        <v>0</v>
      </c>
      <c r="L10" s="4">
        <v>0</v>
      </c>
      <c r="M10" s="16">
        <v>0</v>
      </c>
      <c r="N10" s="177"/>
      <c r="O10" s="621"/>
      <c r="P10" s="631"/>
    </row>
    <row r="11" spans="1:17" ht="15.75" customHeight="1">
      <c r="A11" s="513"/>
      <c r="B11" s="618"/>
      <c r="C11" s="176">
        <v>3</v>
      </c>
      <c r="D11" s="386">
        <v>0</v>
      </c>
      <c r="E11" s="619"/>
      <c r="F11" s="620"/>
      <c r="G11" s="386">
        <v>0</v>
      </c>
      <c r="H11" s="619"/>
      <c r="I11" s="620"/>
      <c r="J11" s="4">
        <v>0</v>
      </c>
      <c r="K11" s="14">
        <v>0</v>
      </c>
      <c r="L11" s="4">
        <v>0</v>
      </c>
      <c r="M11" s="16">
        <v>0</v>
      </c>
      <c r="N11" s="177"/>
      <c r="O11" s="621"/>
      <c r="P11" s="622"/>
    </row>
    <row r="12" spans="1:17" ht="15.75" customHeight="1">
      <c r="A12" s="513"/>
      <c r="B12" s="618"/>
      <c r="C12" s="176">
        <v>4</v>
      </c>
      <c r="D12" s="386">
        <v>0</v>
      </c>
      <c r="E12" s="619"/>
      <c r="F12" s="620"/>
      <c r="G12" s="386">
        <v>0</v>
      </c>
      <c r="H12" s="619"/>
      <c r="I12" s="620"/>
      <c r="J12" s="4">
        <v>0</v>
      </c>
      <c r="K12" s="14">
        <v>0</v>
      </c>
      <c r="L12" s="4">
        <v>0</v>
      </c>
      <c r="M12" s="16">
        <v>0</v>
      </c>
      <c r="N12" s="177"/>
      <c r="O12" s="621"/>
      <c r="P12" s="622"/>
    </row>
    <row r="13" spans="1:17" ht="15.75" customHeight="1">
      <c r="A13" s="513"/>
      <c r="B13" s="618"/>
      <c r="C13" s="178">
        <v>5</v>
      </c>
      <c r="D13" s="386">
        <v>0</v>
      </c>
      <c r="E13" s="619"/>
      <c r="F13" s="620"/>
      <c r="G13" s="386">
        <v>0</v>
      </c>
      <c r="H13" s="619"/>
      <c r="I13" s="620"/>
      <c r="J13" s="4">
        <v>0</v>
      </c>
      <c r="K13" s="14">
        <v>0</v>
      </c>
      <c r="L13" s="4">
        <v>0</v>
      </c>
      <c r="M13" s="16">
        <v>0</v>
      </c>
      <c r="N13" s="179"/>
      <c r="O13" s="621"/>
      <c r="P13" s="622"/>
    </row>
    <row r="14" spans="1:17" ht="15.75" customHeight="1">
      <c r="A14" s="513"/>
      <c r="B14" s="618"/>
      <c r="C14" s="616"/>
      <c r="D14" s="616"/>
      <c r="E14" s="616"/>
      <c r="F14" s="616"/>
      <c r="G14" s="616"/>
      <c r="H14" s="616"/>
      <c r="I14" s="616"/>
      <c r="J14" s="380" t="s">
        <v>924</v>
      </c>
      <c r="K14" s="282">
        <v>0</v>
      </c>
      <c r="L14" s="380" t="s">
        <v>925</v>
      </c>
      <c r="M14" s="305">
        <v>0</v>
      </c>
      <c r="N14" s="617"/>
      <c r="O14" s="617"/>
      <c r="P14" s="617"/>
    </row>
    <row r="16" spans="1:17" ht="15.75" customHeight="1">
      <c r="A16" s="513" t="s">
        <v>916</v>
      </c>
      <c r="B16" s="513"/>
      <c r="C16" s="383" t="s">
        <v>917</v>
      </c>
      <c r="D16" s="625" t="s">
        <v>12</v>
      </c>
      <c r="E16" s="626"/>
      <c r="F16" s="627"/>
      <c r="G16" s="381" t="s">
        <v>918</v>
      </c>
      <c r="H16" s="382"/>
      <c r="I16" s="383"/>
      <c r="J16" s="175" t="s">
        <v>919</v>
      </c>
      <c r="K16" s="175" t="s">
        <v>920</v>
      </c>
      <c r="L16" s="175" t="s">
        <v>921</v>
      </c>
      <c r="M16" s="175" t="s">
        <v>11</v>
      </c>
      <c r="N16" s="175" t="s">
        <v>384</v>
      </c>
      <c r="O16" s="628" t="s">
        <v>922</v>
      </c>
      <c r="P16" s="629"/>
    </row>
    <row r="17" spans="1:16" ht="15.75" customHeight="1">
      <c r="A17" s="513">
        <v>2</v>
      </c>
      <c r="B17" s="618" t="s">
        <v>926</v>
      </c>
      <c r="C17" s="176">
        <v>1</v>
      </c>
      <c r="D17" s="386" t="s">
        <v>587</v>
      </c>
      <c r="E17" s="619"/>
      <c r="F17" s="620"/>
      <c r="G17" s="386" t="s">
        <v>930</v>
      </c>
      <c r="H17" s="619"/>
      <c r="I17" s="620"/>
      <c r="J17" s="4">
        <v>133.71</v>
      </c>
      <c r="K17" s="14">
        <v>0.19667441444662973</v>
      </c>
      <c r="L17" s="4">
        <v>1.1000000000000001</v>
      </c>
      <c r="M17" s="16">
        <v>147.08100000000002</v>
      </c>
      <c r="N17" s="177"/>
      <c r="O17" s="621" t="s">
        <v>927</v>
      </c>
      <c r="P17" s="622"/>
    </row>
    <row r="18" spans="1:16" ht="15.75" customHeight="1">
      <c r="A18" s="513"/>
      <c r="B18" s="618"/>
      <c r="C18" s="176">
        <v>2</v>
      </c>
      <c r="D18" s="386" t="s">
        <v>517</v>
      </c>
      <c r="E18" s="619"/>
      <c r="F18" s="620"/>
      <c r="G18" s="386" t="s">
        <v>698</v>
      </c>
      <c r="H18" s="619"/>
      <c r="I18" s="620"/>
      <c r="J18" s="4">
        <v>130</v>
      </c>
      <c r="K18" s="14">
        <v>0.24154589371980678</v>
      </c>
      <c r="L18" s="4">
        <v>1</v>
      </c>
      <c r="M18" s="16">
        <v>130</v>
      </c>
      <c r="N18" s="177"/>
      <c r="O18" s="621" t="s">
        <v>927</v>
      </c>
      <c r="P18" s="622"/>
    </row>
    <row r="19" spans="1:16" ht="15.75" customHeight="1">
      <c r="A19" s="513"/>
      <c r="B19" s="618"/>
      <c r="C19" s="176">
        <v>3</v>
      </c>
      <c r="D19" s="386">
        <v>0</v>
      </c>
      <c r="E19" s="619"/>
      <c r="F19" s="620"/>
      <c r="G19" s="386">
        <v>0</v>
      </c>
      <c r="H19" s="619"/>
      <c r="I19" s="620"/>
      <c r="J19" s="4">
        <v>0</v>
      </c>
      <c r="K19" s="14">
        <v>0</v>
      </c>
      <c r="L19" s="4">
        <v>0</v>
      </c>
      <c r="M19" s="16">
        <v>0</v>
      </c>
      <c r="N19" s="177"/>
      <c r="O19" s="621"/>
      <c r="P19" s="622"/>
    </row>
    <row r="20" spans="1:16" ht="15.75" customHeight="1">
      <c r="A20" s="513"/>
      <c r="B20" s="618"/>
      <c r="C20" s="176">
        <v>4</v>
      </c>
      <c r="D20" s="386">
        <v>0</v>
      </c>
      <c r="E20" s="619"/>
      <c r="F20" s="620"/>
      <c r="G20" s="386">
        <v>0</v>
      </c>
      <c r="H20" s="619"/>
      <c r="I20" s="620"/>
      <c r="J20" s="4">
        <v>0</v>
      </c>
      <c r="K20" s="14">
        <v>0</v>
      </c>
      <c r="L20" s="4">
        <v>0</v>
      </c>
      <c r="M20" s="16">
        <v>0</v>
      </c>
      <c r="N20" s="177"/>
      <c r="O20" s="621"/>
      <c r="P20" s="622"/>
    </row>
    <row r="21" spans="1:16" ht="15.75" customHeight="1">
      <c r="A21" s="513"/>
      <c r="B21" s="618"/>
      <c r="C21" s="178">
        <v>5</v>
      </c>
      <c r="D21" s="386">
        <v>0</v>
      </c>
      <c r="E21" s="619"/>
      <c r="F21" s="620"/>
      <c r="G21" s="386">
        <v>0</v>
      </c>
      <c r="H21" s="619"/>
      <c r="I21" s="620"/>
      <c r="J21" s="4">
        <v>0</v>
      </c>
      <c r="K21" s="14">
        <v>0</v>
      </c>
      <c r="L21" s="4">
        <v>0</v>
      </c>
      <c r="M21" s="16">
        <v>0</v>
      </c>
      <c r="N21" s="179"/>
      <c r="O21" s="621"/>
      <c r="P21" s="622"/>
    </row>
    <row r="22" spans="1:16" ht="15.75" customHeight="1">
      <c r="A22" s="513"/>
      <c r="B22" s="618"/>
      <c r="C22" s="616"/>
      <c r="D22" s="616"/>
      <c r="E22" s="616"/>
      <c r="F22" s="616"/>
      <c r="G22" s="616"/>
      <c r="H22" s="616"/>
      <c r="I22" s="616"/>
      <c r="J22" s="380" t="s">
        <v>924</v>
      </c>
      <c r="K22" s="282">
        <v>1.5176021884327349E-2</v>
      </c>
      <c r="L22" s="380" t="s">
        <v>925</v>
      </c>
      <c r="M22" s="305">
        <v>277.08100000000002</v>
      </c>
      <c r="N22" s="617"/>
      <c r="O22" s="617"/>
      <c r="P22" s="617"/>
    </row>
    <row r="24" spans="1:16" ht="15.75" customHeight="1">
      <c r="A24" s="513" t="s">
        <v>916</v>
      </c>
      <c r="B24" s="513"/>
      <c r="C24" s="383" t="s">
        <v>917</v>
      </c>
      <c r="D24" s="625" t="s">
        <v>12</v>
      </c>
      <c r="E24" s="626"/>
      <c r="F24" s="627"/>
      <c r="G24" s="381" t="s">
        <v>918</v>
      </c>
      <c r="H24" s="382"/>
      <c r="I24" s="383"/>
      <c r="J24" s="175" t="s">
        <v>919</v>
      </c>
      <c r="K24" s="175" t="s">
        <v>920</v>
      </c>
      <c r="L24" s="175" t="s">
        <v>921</v>
      </c>
      <c r="M24" s="175" t="s">
        <v>11</v>
      </c>
      <c r="N24" s="175" t="s">
        <v>13</v>
      </c>
      <c r="O24" s="628" t="s">
        <v>922</v>
      </c>
      <c r="P24" s="629"/>
    </row>
    <row r="25" spans="1:16" ht="15.75" customHeight="1">
      <c r="A25" s="513">
        <v>3</v>
      </c>
      <c r="B25" s="618" t="s">
        <v>928</v>
      </c>
      <c r="C25" s="176">
        <v>1</v>
      </c>
      <c r="D25" s="386" t="s">
        <v>834</v>
      </c>
      <c r="E25" s="619"/>
      <c r="F25" s="620"/>
      <c r="G25" s="386" t="s">
        <v>931</v>
      </c>
      <c r="H25" s="619"/>
      <c r="I25" s="620"/>
      <c r="J25" s="4">
        <v>196.94</v>
      </c>
      <c r="K25" s="14">
        <v>3.926380368098159E-2</v>
      </c>
      <c r="L25" s="4">
        <v>0.79999999999999993</v>
      </c>
      <c r="M25" s="16">
        <v>157.55199999999999</v>
      </c>
      <c r="N25" s="177"/>
      <c r="O25" s="621" t="s">
        <v>725</v>
      </c>
      <c r="P25" s="622"/>
    </row>
    <row r="26" spans="1:16" ht="15.75" customHeight="1">
      <c r="A26" s="513"/>
      <c r="B26" s="618"/>
      <c r="C26" s="176">
        <v>2</v>
      </c>
      <c r="D26" s="386" t="s">
        <v>510</v>
      </c>
      <c r="E26" s="619"/>
      <c r="F26" s="620"/>
      <c r="G26" s="386" t="s">
        <v>932</v>
      </c>
      <c r="H26" s="619"/>
      <c r="I26" s="620"/>
      <c r="J26" s="4">
        <v>219.16</v>
      </c>
      <c r="K26" s="14">
        <v>2.594899169632266E-2</v>
      </c>
      <c r="L26" s="4">
        <v>0.70000000000000007</v>
      </c>
      <c r="M26" s="16">
        <v>153.41200000000001</v>
      </c>
      <c r="N26" s="177"/>
      <c r="O26" s="621" t="s">
        <v>725</v>
      </c>
      <c r="P26" s="622"/>
    </row>
    <row r="27" spans="1:16" ht="15.75" customHeight="1">
      <c r="A27" s="513"/>
      <c r="B27" s="618"/>
      <c r="C27" s="176">
        <v>3</v>
      </c>
      <c r="D27" s="386" t="s">
        <v>488</v>
      </c>
      <c r="E27" s="619"/>
      <c r="F27" s="620"/>
      <c r="G27" s="386" t="s">
        <v>933</v>
      </c>
      <c r="H27" s="619"/>
      <c r="I27" s="620"/>
      <c r="J27" s="4">
        <v>151.29</v>
      </c>
      <c r="K27" s="14">
        <v>3.2175032175032175E-2</v>
      </c>
      <c r="L27" s="4">
        <v>1</v>
      </c>
      <c r="M27" s="16">
        <v>151.29</v>
      </c>
      <c r="N27" s="177"/>
      <c r="O27" s="621" t="s">
        <v>725</v>
      </c>
      <c r="P27" s="622"/>
    </row>
    <row r="28" spans="1:16" ht="15.75" customHeight="1">
      <c r="A28" s="513"/>
      <c r="B28" s="618"/>
      <c r="C28" s="176">
        <v>4</v>
      </c>
      <c r="D28" s="386" t="s">
        <v>492</v>
      </c>
      <c r="E28" s="619"/>
      <c r="F28" s="620"/>
      <c r="G28" s="386" t="s">
        <v>535</v>
      </c>
      <c r="H28" s="619"/>
      <c r="I28" s="620"/>
      <c r="J28" s="4">
        <v>115.99</v>
      </c>
      <c r="K28" s="14">
        <v>4.612382472946603E-2</v>
      </c>
      <c r="L28" s="4">
        <v>1.3</v>
      </c>
      <c r="M28" s="16">
        <v>150.78700000000001</v>
      </c>
      <c r="N28" s="177"/>
      <c r="O28" s="621" t="s">
        <v>725</v>
      </c>
      <c r="P28" s="622"/>
    </row>
    <row r="29" spans="1:16" ht="15.75" customHeight="1">
      <c r="A29" s="513"/>
      <c r="B29" s="618"/>
      <c r="C29" s="178">
        <v>5</v>
      </c>
      <c r="D29" s="386" t="s">
        <v>482</v>
      </c>
      <c r="E29" s="619"/>
      <c r="F29" s="620"/>
      <c r="G29" s="386" t="s">
        <v>548</v>
      </c>
      <c r="H29" s="619"/>
      <c r="I29" s="620"/>
      <c r="J29" s="4">
        <v>70.95</v>
      </c>
      <c r="K29" s="14">
        <v>2.414875633904854E-2</v>
      </c>
      <c r="L29" s="4">
        <v>2.1</v>
      </c>
      <c r="M29" s="16">
        <v>148.995</v>
      </c>
      <c r="N29" s="179"/>
      <c r="O29" s="623" t="s">
        <v>929</v>
      </c>
      <c r="P29" s="624"/>
    </row>
    <row r="30" spans="1:16" ht="15.75" customHeight="1">
      <c r="A30" s="513"/>
      <c r="B30" s="618"/>
      <c r="C30" s="616"/>
      <c r="D30" s="616"/>
      <c r="E30" s="616"/>
      <c r="F30" s="616"/>
      <c r="G30" s="616"/>
      <c r="H30" s="616"/>
      <c r="I30" s="616"/>
      <c r="J30" s="380" t="s">
        <v>924</v>
      </c>
      <c r="K30" s="282">
        <v>4.1737524451858035E-2</v>
      </c>
      <c r="L30" s="380" t="s">
        <v>925</v>
      </c>
      <c r="M30" s="305">
        <v>762.03600000000006</v>
      </c>
      <c r="N30" s="617"/>
      <c r="O30" s="617"/>
      <c r="P30" s="617"/>
    </row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S30" sqref="S30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413" t="s">
        <v>214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</row>
    <row r="2" spans="1:17" s="121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</row>
    <row r="3" spans="1:17" s="120" customFormat="1" ht="15.75" customHeight="1">
      <c r="A3" s="536" t="s">
        <v>222</v>
      </c>
      <c r="B3" s="537"/>
      <c r="C3" s="537"/>
      <c r="D3" s="537"/>
      <c r="E3" s="537"/>
      <c r="F3" s="537"/>
      <c r="G3" s="537"/>
      <c r="H3" s="537"/>
      <c r="I3" s="537"/>
      <c r="J3" s="537"/>
      <c r="K3" s="537"/>
      <c r="L3" s="537"/>
      <c r="M3" s="537"/>
      <c r="N3" s="156"/>
    </row>
    <row r="4" spans="1:17" s="121" customFormat="1" ht="15.75" customHeight="1">
      <c r="A4" s="537"/>
      <c r="B4" s="537"/>
      <c r="C4" s="537"/>
      <c r="D4" s="537"/>
      <c r="E4" s="537"/>
      <c r="F4" s="537"/>
      <c r="G4" s="537"/>
      <c r="H4" s="537"/>
      <c r="I4" s="537"/>
      <c r="J4" s="537"/>
      <c r="K4" s="537"/>
      <c r="L4" s="537"/>
      <c r="M4" s="537"/>
      <c r="N4" s="131"/>
    </row>
    <row r="5" spans="1:17" s="120" customFormat="1" ht="15.75" customHeight="1">
      <c r="A5" s="447" t="s">
        <v>200</v>
      </c>
      <c r="B5" s="630">
        <v>1</v>
      </c>
      <c r="C5" s="630"/>
      <c r="D5" s="630">
        <v>2</v>
      </c>
      <c r="E5" s="630"/>
      <c r="F5" s="630">
        <v>3</v>
      </c>
      <c r="G5" s="630"/>
      <c r="H5" s="633">
        <v>4</v>
      </c>
      <c r="I5" s="633"/>
      <c r="J5" s="633">
        <v>5</v>
      </c>
      <c r="K5" s="633"/>
      <c r="L5" s="633">
        <v>6</v>
      </c>
      <c r="M5" s="633"/>
      <c r="N5" s="633">
        <v>7</v>
      </c>
      <c r="O5" s="633"/>
      <c r="P5" s="630">
        <v>8</v>
      </c>
      <c r="Q5" s="630"/>
    </row>
    <row r="6" spans="1:17" s="120" customFormat="1" ht="15.75" customHeight="1">
      <c r="A6" s="447"/>
      <c r="B6" s="447" t="s">
        <v>371</v>
      </c>
      <c r="C6" s="447"/>
      <c r="D6" s="447" t="s">
        <v>223</v>
      </c>
      <c r="E6" s="447"/>
      <c r="F6" s="447" t="s">
        <v>173</v>
      </c>
      <c r="G6" s="447"/>
      <c r="H6" s="634" t="s">
        <v>197</v>
      </c>
      <c r="I6" s="634"/>
      <c r="J6" s="634" t="s">
        <v>198</v>
      </c>
      <c r="K6" s="634"/>
      <c r="L6" s="634" t="s">
        <v>174</v>
      </c>
      <c r="M6" s="634"/>
      <c r="N6" s="634" t="s">
        <v>199</v>
      </c>
      <c r="O6" s="634"/>
      <c r="P6" s="632" t="s">
        <v>227</v>
      </c>
      <c r="Q6" s="447"/>
    </row>
    <row r="7" spans="1:17" s="120" customFormat="1" ht="15.75" customHeight="1">
      <c r="B7" s="180"/>
      <c r="C7" s="165"/>
    </row>
    <row r="8" spans="1:17" s="110" customFormat="1" ht="15.75" customHeight="1">
      <c r="A8" s="635" t="s">
        <v>916</v>
      </c>
      <c r="B8" s="636"/>
      <c r="C8" s="117" t="s">
        <v>917</v>
      </c>
      <c r="D8" s="637" t="s">
        <v>12</v>
      </c>
      <c r="E8" s="638"/>
      <c r="F8" s="639"/>
      <c r="G8" s="115" t="s">
        <v>918</v>
      </c>
      <c r="H8" s="116"/>
      <c r="I8" s="117"/>
      <c r="J8" s="114" t="s">
        <v>919</v>
      </c>
      <c r="K8" s="114" t="s">
        <v>920</v>
      </c>
      <c r="L8" s="114" t="s">
        <v>921</v>
      </c>
      <c r="M8" s="118" t="s">
        <v>11</v>
      </c>
      <c r="N8" s="118" t="s">
        <v>384</v>
      </c>
      <c r="O8" s="640" t="s">
        <v>922</v>
      </c>
      <c r="P8" s="641"/>
    </row>
    <row r="9" spans="1:17" ht="15.75" customHeight="1">
      <c r="A9" s="636">
        <v>4</v>
      </c>
      <c r="B9" s="643" t="s">
        <v>224</v>
      </c>
      <c r="C9" s="112">
        <v>1</v>
      </c>
      <c r="D9" s="386" t="s">
        <v>598</v>
      </c>
      <c r="E9" s="619"/>
      <c r="F9" s="620"/>
      <c r="G9" s="386" t="s">
        <v>599</v>
      </c>
      <c r="H9" s="619"/>
      <c r="I9" s="620"/>
      <c r="J9" s="4">
        <v>444.88</v>
      </c>
      <c r="K9" s="14">
        <v>1.7706949977866315E-2</v>
      </c>
      <c r="L9" s="4">
        <v>0.4</v>
      </c>
      <c r="M9" s="16">
        <v>177.952</v>
      </c>
      <c r="N9" s="4"/>
      <c r="O9" s="621" t="s">
        <v>934</v>
      </c>
      <c r="P9" s="631"/>
      <c r="Q9" s="303"/>
    </row>
    <row r="10" spans="1:17" ht="15.75" customHeight="1">
      <c r="A10" s="636"/>
      <c r="B10" s="643"/>
      <c r="C10" s="112">
        <v>2</v>
      </c>
      <c r="D10" s="386" t="s">
        <v>434</v>
      </c>
      <c r="E10" s="619"/>
      <c r="F10" s="620"/>
      <c r="G10" s="386" t="s">
        <v>433</v>
      </c>
      <c r="H10" s="619"/>
      <c r="I10" s="620"/>
      <c r="J10" s="4">
        <v>581.91999999999996</v>
      </c>
      <c r="K10" s="14">
        <v>1.3190871916633691E-2</v>
      </c>
      <c r="L10" s="4">
        <v>0.3</v>
      </c>
      <c r="M10" s="16">
        <v>174.57599999999999</v>
      </c>
      <c r="N10" s="4"/>
      <c r="O10" s="621" t="s">
        <v>935</v>
      </c>
      <c r="P10" s="631"/>
      <c r="Q10" s="303"/>
    </row>
    <row r="11" spans="1:17" ht="15.75" customHeight="1">
      <c r="A11" s="636"/>
      <c r="B11" s="643"/>
      <c r="C11" s="112">
        <v>3</v>
      </c>
      <c r="D11" s="386" t="s">
        <v>478</v>
      </c>
      <c r="E11" s="619"/>
      <c r="F11" s="620"/>
      <c r="G11" s="386" t="s">
        <v>594</v>
      </c>
      <c r="H11" s="619"/>
      <c r="I11" s="620"/>
      <c r="J11" s="4">
        <v>334.49</v>
      </c>
      <c r="K11" s="14">
        <v>9.9641291351135908E-3</v>
      </c>
      <c r="L11" s="4">
        <v>0.5</v>
      </c>
      <c r="M11" s="16">
        <v>167.245</v>
      </c>
      <c r="N11" s="4"/>
      <c r="O11" s="621" t="s">
        <v>934</v>
      </c>
      <c r="P11" s="631"/>
      <c r="Q11" s="303"/>
    </row>
    <row r="12" spans="1:17" ht="15.75" customHeight="1">
      <c r="A12" s="636"/>
      <c r="B12" s="643"/>
      <c r="C12" s="112">
        <v>4</v>
      </c>
      <c r="D12" s="386" t="s">
        <v>492</v>
      </c>
      <c r="E12" s="619"/>
      <c r="F12" s="620"/>
      <c r="G12" s="386" t="s">
        <v>561</v>
      </c>
      <c r="H12" s="619"/>
      <c r="I12" s="620"/>
      <c r="J12" s="4">
        <v>208.47</v>
      </c>
      <c r="K12" s="14">
        <v>1.4718057216447431E-2</v>
      </c>
      <c r="L12" s="4">
        <v>0.8</v>
      </c>
      <c r="M12" s="16">
        <v>166.77600000000001</v>
      </c>
      <c r="N12" s="4"/>
      <c r="O12" s="621" t="s">
        <v>934</v>
      </c>
      <c r="P12" s="631"/>
      <c r="Q12" s="303"/>
    </row>
    <row r="13" spans="1:17" ht="15.75" customHeight="1">
      <c r="A13" s="636"/>
      <c r="B13" s="643"/>
      <c r="C13" s="113">
        <v>5</v>
      </c>
      <c r="D13" s="386" t="s">
        <v>517</v>
      </c>
      <c r="E13" s="619"/>
      <c r="F13" s="620"/>
      <c r="G13" s="386" t="s">
        <v>545</v>
      </c>
      <c r="H13" s="619"/>
      <c r="I13" s="620"/>
      <c r="J13" s="4">
        <v>525.73</v>
      </c>
      <c r="K13" s="14">
        <v>1.172607879924953E-2</v>
      </c>
      <c r="L13" s="4">
        <v>0.3</v>
      </c>
      <c r="M13" s="16">
        <v>157.71899999999999</v>
      </c>
      <c r="N13" s="27"/>
      <c r="O13" s="621" t="s">
        <v>934</v>
      </c>
      <c r="P13" s="631"/>
      <c r="Q13" s="303"/>
    </row>
    <row r="14" spans="1:17" ht="15.75" customHeight="1">
      <c r="A14" s="636"/>
      <c r="B14" s="643"/>
      <c r="C14" s="650"/>
      <c r="D14" s="650"/>
      <c r="E14" s="650"/>
      <c r="F14" s="650"/>
      <c r="G14" s="650"/>
      <c r="H14" s="650"/>
      <c r="I14" s="650"/>
      <c r="J14" s="283" t="s">
        <v>924</v>
      </c>
      <c r="K14" s="282">
        <v>4.6241458794494324E-2</v>
      </c>
      <c r="L14" s="283" t="s">
        <v>925</v>
      </c>
      <c r="M14" s="305">
        <v>844.26800000000003</v>
      </c>
      <c r="N14" s="649"/>
      <c r="O14" s="649"/>
      <c r="P14" s="649"/>
      <c r="Q14" s="303"/>
    </row>
    <row r="15" spans="1:17" ht="15.75" customHeight="1">
      <c r="A15" s="378"/>
      <c r="D15" s="378"/>
      <c r="E15" s="378"/>
      <c r="F15" s="378"/>
      <c r="G15" s="378"/>
      <c r="H15" s="378"/>
      <c r="I15" s="378"/>
      <c r="J15" s="378"/>
      <c r="K15" s="378"/>
      <c r="L15" s="378"/>
      <c r="M15" s="378"/>
      <c r="N15" s="378"/>
      <c r="O15" s="378"/>
      <c r="P15" s="378"/>
      <c r="Q15" s="303"/>
    </row>
    <row r="16" spans="1:17" ht="15.75" customHeight="1">
      <c r="A16" s="635" t="s">
        <v>916</v>
      </c>
      <c r="B16" s="636"/>
      <c r="C16" s="117" t="s">
        <v>917</v>
      </c>
      <c r="D16" s="637" t="s">
        <v>12</v>
      </c>
      <c r="E16" s="638"/>
      <c r="F16" s="639"/>
      <c r="G16" s="115" t="s">
        <v>918</v>
      </c>
      <c r="H16" s="116"/>
      <c r="I16" s="117"/>
      <c r="J16" s="114" t="s">
        <v>919</v>
      </c>
      <c r="K16" s="114" t="s">
        <v>920</v>
      </c>
      <c r="L16" s="114" t="s">
        <v>921</v>
      </c>
      <c r="M16" s="118" t="s">
        <v>11</v>
      </c>
      <c r="N16" s="118" t="s">
        <v>384</v>
      </c>
      <c r="O16" s="640" t="s">
        <v>922</v>
      </c>
      <c r="P16" s="641"/>
      <c r="Q16" s="303"/>
    </row>
    <row r="17" spans="1:17" ht="15.75" customHeight="1">
      <c r="A17" s="636">
        <v>5</v>
      </c>
      <c r="B17" s="642" t="s">
        <v>225</v>
      </c>
      <c r="C17" s="112">
        <v>1</v>
      </c>
      <c r="D17" s="386" t="s">
        <v>474</v>
      </c>
      <c r="E17" s="619"/>
      <c r="F17" s="620"/>
      <c r="G17" s="386" t="s">
        <v>525</v>
      </c>
      <c r="H17" s="619"/>
      <c r="I17" s="620"/>
      <c r="J17" s="4">
        <v>930.36</v>
      </c>
      <c r="K17" s="14">
        <v>1.8127435874195599E-2</v>
      </c>
      <c r="L17" s="4">
        <v>0.2</v>
      </c>
      <c r="M17" s="16">
        <v>186.072</v>
      </c>
      <c r="N17" s="4"/>
      <c r="O17" s="621" t="s">
        <v>936</v>
      </c>
      <c r="P17" s="631"/>
      <c r="Q17" s="303"/>
    </row>
    <row r="18" spans="1:17" ht="15.75" customHeight="1">
      <c r="A18" s="636"/>
      <c r="B18" s="643"/>
      <c r="C18" s="112">
        <v>2</v>
      </c>
      <c r="D18" s="386" t="s">
        <v>834</v>
      </c>
      <c r="E18" s="619"/>
      <c r="F18" s="620"/>
      <c r="G18" s="386" t="s">
        <v>937</v>
      </c>
      <c r="H18" s="619"/>
      <c r="I18" s="620"/>
      <c r="J18" s="4">
        <v>290.60000000000002</v>
      </c>
      <c r="K18" s="14">
        <v>4.3780920274944183E-3</v>
      </c>
      <c r="L18" s="4">
        <v>0.6</v>
      </c>
      <c r="M18" s="16">
        <v>174.36</v>
      </c>
      <c r="N18" s="4"/>
      <c r="O18" s="621" t="s">
        <v>938</v>
      </c>
      <c r="P18" s="622"/>
      <c r="Q18" s="303"/>
    </row>
    <row r="19" spans="1:17" ht="15.75" customHeight="1">
      <c r="A19" s="636"/>
      <c r="B19" s="643"/>
      <c r="C19" s="112">
        <v>3</v>
      </c>
      <c r="D19" s="386" t="s">
        <v>408</v>
      </c>
      <c r="E19" s="619"/>
      <c r="F19" s="620"/>
      <c r="G19" s="386" t="s">
        <v>407</v>
      </c>
      <c r="H19" s="619"/>
      <c r="I19" s="620"/>
      <c r="J19" s="4">
        <v>330.54</v>
      </c>
      <c r="K19" s="14">
        <v>6.1397153627957808E-3</v>
      </c>
      <c r="L19" s="4">
        <v>0.5</v>
      </c>
      <c r="M19" s="16">
        <v>165.27</v>
      </c>
      <c r="N19" s="4"/>
      <c r="O19" s="621" t="s">
        <v>939</v>
      </c>
      <c r="P19" s="622"/>
      <c r="Q19" s="303"/>
    </row>
    <row r="20" spans="1:17" ht="15.75" customHeight="1">
      <c r="A20" s="636"/>
      <c r="B20" s="643"/>
      <c r="C20" s="112">
        <v>4</v>
      </c>
      <c r="D20" s="386" t="s">
        <v>423</v>
      </c>
      <c r="E20" s="619"/>
      <c r="F20" s="620"/>
      <c r="G20" s="386" t="s">
        <v>422</v>
      </c>
      <c r="H20" s="619"/>
      <c r="I20" s="620"/>
      <c r="J20" s="4">
        <v>136.88999999999999</v>
      </c>
      <c r="K20" s="14">
        <v>4.9635592028523922E-3</v>
      </c>
      <c r="L20" s="4">
        <v>1.2</v>
      </c>
      <c r="M20" s="16">
        <v>164.26799999999997</v>
      </c>
      <c r="N20" s="4"/>
      <c r="O20" s="621" t="s">
        <v>940</v>
      </c>
      <c r="P20" s="622"/>
      <c r="Q20" s="303"/>
    </row>
    <row r="21" spans="1:17" ht="15.75" customHeight="1" thickBot="1">
      <c r="A21" s="636"/>
      <c r="B21" s="643"/>
      <c r="C21" s="113">
        <v>5</v>
      </c>
      <c r="D21" s="386" t="s">
        <v>417</v>
      </c>
      <c r="E21" s="619"/>
      <c r="F21" s="620"/>
      <c r="G21" s="386" t="s">
        <v>416</v>
      </c>
      <c r="H21" s="619"/>
      <c r="I21" s="620"/>
      <c r="J21" s="4">
        <v>758.19</v>
      </c>
      <c r="K21" s="14">
        <v>1.0199918400652794E-2</v>
      </c>
      <c r="L21" s="4">
        <v>0.2</v>
      </c>
      <c r="M21" s="16">
        <v>151.63800000000001</v>
      </c>
      <c r="N21" s="4"/>
      <c r="O21" s="621" t="s">
        <v>936</v>
      </c>
      <c r="P21" s="631"/>
      <c r="Q21" s="303"/>
    </row>
    <row r="22" spans="1:17" ht="15.75" customHeight="1" thickTop="1" thickBot="1">
      <c r="A22" s="636"/>
      <c r="B22" s="643"/>
      <c r="C22" s="644"/>
      <c r="D22" s="644"/>
      <c r="E22" s="644"/>
      <c r="F22" s="644"/>
      <c r="G22" s="644"/>
      <c r="H22" s="644"/>
      <c r="I22" s="645"/>
      <c r="J22" s="119" t="s">
        <v>924</v>
      </c>
      <c r="K22" s="282">
        <v>4.6095767757532893E-2</v>
      </c>
      <c r="L22" s="119" t="s">
        <v>925</v>
      </c>
      <c r="M22" s="284">
        <v>841.60800000000006</v>
      </c>
      <c r="N22" s="646"/>
      <c r="O22" s="647"/>
      <c r="P22" s="648"/>
      <c r="Q22" s="303"/>
    </row>
    <row r="23" spans="1:17" ht="15.75" customHeight="1" thickTop="1">
      <c r="A23" s="378"/>
      <c r="D23" s="378"/>
      <c r="E23" s="378"/>
      <c r="F23" s="378"/>
      <c r="G23" s="378"/>
      <c r="H23" s="378"/>
      <c r="I23" s="378"/>
      <c r="J23" s="378"/>
      <c r="K23" s="378"/>
      <c r="L23" s="378"/>
      <c r="M23" s="378"/>
      <c r="N23" s="378"/>
      <c r="O23" s="378"/>
      <c r="P23" s="378"/>
      <c r="Q23" s="303"/>
    </row>
    <row r="24" spans="1:17" ht="15.75" customHeight="1">
      <c r="A24" s="635" t="s">
        <v>916</v>
      </c>
      <c r="B24" s="636"/>
      <c r="C24" s="117" t="s">
        <v>917</v>
      </c>
      <c r="D24" s="637" t="s">
        <v>12</v>
      </c>
      <c r="E24" s="638"/>
      <c r="F24" s="639"/>
      <c r="G24" s="115" t="s">
        <v>918</v>
      </c>
      <c r="H24" s="116"/>
      <c r="I24" s="117"/>
      <c r="J24" s="114" t="s">
        <v>919</v>
      </c>
      <c r="K24" s="114" t="s">
        <v>920</v>
      </c>
      <c r="L24" s="114" t="s">
        <v>921</v>
      </c>
      <c r="M24" s="118" t="s">
        <v>11</v>
      </c>
      <c r="N24" s="118" t="s">
        <v>13</v>
      </c>
      <c r="O24" s="640" t="s">
        <v>922</v>
      </c>
      <c r="P24" s="641"/>
      <c r="Q24" s="303"/>
    </row>
    <row r="25" spans="1:17" ht="15.75" customHeight="1">
      <c r="A25" s="636">
        <v>6</v>
      </c>
      <c r="B25" s="642" t="s">
        <v>226</v>
      </c>
      <c r="C25" s="112">
        <v>1</v>
      </c>
      <c r="D25" s="386" t="s">
        <v>697</v>
      </c>
      <c r="E25" s="619"/>
      <c r="F25" s="620"/>
      <c r="G25" s="386" t="s">
        <v>696</v>
      </c>
      <c r="H25" s="619"/>
      <c r="I25" s="620"/>
      <c r="J25" s="4">
        <v>13.45</v>
      </c>
      <c r="K25" s="14">
        <v>9.6501809408926411E-3</v>
      </c>
      <c r="L25" s="4">
        <v>16</v>
      </c>
      <c r="M25" s="16">
        <v>215.2</v>
      </c>
      <c r="N25" s="4"/>
      <c r="O25" s="621" t="s">
        <v>941</v>
      </c>
      <c r="P25" s="631"/>
      <c r="Q25" s="303"/>
    </row>
    <row r="26" spans="1:17" ht="15.75" customHeight="1">
      <c r="A26" s="636"/>
      <c r="B26" s="643"/>
      <c r="C26" s="112">
        <v>2</v>
      </c>
      <c r="D26" s="386" t="s">
        <v>834</v>
      </c>
      <c r="E26" s="619"/>
      <c r="F26" s="620"/>
      <c r="G26" s="386" t="s">
        <v>937</v>
      </c>
      <c r="H26" s="619"/>
      <c r="I26" s="620"/>
      <c r="J26" s="4">
        <v>290.60000000000002</v>
      </c>
      <c r="K26" s="14">
        <v>4.8853342266515914E-3</v>
      </c>
      <c r="L26" s="4">
        <v>0.7</v>
      </c>
      <c r="M26" s="16">
        <v>203.42000000000002</v>
      </c>
      <c r="N26" s="4"/>
      <c r="O26" s="621" t="s">
        <v>938</v>
      </c>
      <c r="P26" s="622"/>
      <c r="Q26" s="303"/>
    </row>
    <row r="27" spans="1:17" ht="15.75" customHeight="1">
      <c r="A27" s="636"/>
      <c r="B27" s="643"/>
      <c r="C27" s="112">
        <v>3</v>
      </c>
      <c r="D27" s="386" t="s">
        <v>417</v>
      </c>
      <c r="E27" s="619"/>
      <c r="F27" s="620"/>
      <c r="G27" s="386" t="s">
        <v>416</v>
      </c>
      <c r="H27" s="619"/>
      <c r="I27" s="620"/>
      <c r="J27" s="4">
        <v>758.19</v>
      </c>
      <c r="K27" s="14">
        <v>1.1380448389666552E-2</v>
      </c>
      <c r="L27" s="4">
        <v>0.2</v>
      </c>
      <c r="M27" s="16">
        <v>151.63800000000001</v>
      </c>
      <c r="N27" s="4"/>
      <c r="O27" s="621" t="s">
        <v>942</v>
      </c>
      <c r="P27" s="631"/>
      <c r="Q27" s="303"/>
    </row>
    <row r="28" spans="1:17" ht="15.75" customHeight="1">
      <c r="A28" s="636"/>
      <c r="B28" s="643"/>
      <c r="C28" s="112">
        <v>4</v>
      </c>
      <c r="D28" s="386" t="s">
        <v>423</v>
      </c>
      <c r="E28" s="619"/>
      <c r="F28" s="620"/>
      <c r="G28" s="386" t="s">
        <v>943</v>
      </c>
      <c r="H28" s="619"/>
      <c r="I28" s="620"/>
      <c r="J28" s="4">
        <v>2.2200000000000002</v>
      </c>
      <c r="K28" s="14">
        <v>4.8918000165823726E-3</v>
      </c>
      <c r="L28" s="4">
        <v>59</v>
      </c>
      <c r="M28" s="16">
        <v>130.98000000000002</v>
      </c>
      <c r="N28" s="4"/>
      <c r="O28" s="621" t="s">
        <v>941</v>
      </c>
      <c r="P28" s="631"/>
      <c r="Q28" s="303"/>
    </row>
    <row r="29" spans="1:17" ht="15.75" customHeight="1" thickBot="1">
      <c r="A29" s="636"/>
      <c r="B29" s="643"/>
      <c r="C29" s="113">
        <v>5</v>
      </c>
      <c r="D29" s="386">
        <v>0</v>
      </c>
      <c r="E29" s="619"/>
      <c r="F29" s="620"/>
      <c r="G29" s="386">
        <v>0</v>
      </c>
      <c r="H29" s="619"/>
      <c r="I29" s="620"/>
      <c r="J29" s="4">
        <v>0</v>
      </c>
      <c r="K29" s="14">
        <v>0</v>
      </c>
      <c r="L29" s="4">
        <v>0</v>
      </c>
      <c r="M29" s="16">
        <v>0</v>
      </c>
      <c r="N29" s="4"/>
      <c r="O29" s="651"/>
      <c r="P29" s="631"/>
      <c r="Q29" s="303"/>
    </row>
    <row r="30" spans="1:17" ht="15.75" customHeight="1" thickTop="1" thickBot="1">
      <c r="A30" s="636"/>
      <c r="B30" s="643"/>
      <c r="C30" s="644"/>
      <c r="D30" s="644"/>
      <c r="E30" s="644"/>
      <c r="F30" s="644"/>
      <c r="G30" s="644"/>
      <c r="H30" s="644"/>
      <c r="I30" s="645"/>
      <c r="J30" s="119" t="s">
        <v>924</v>
      </c>
      <c r="K30" s="282">
        <v>3.8407553149158342E-2</v>
      </c>
      <c r="L30" s="119" t="s">
        <v>925</v>
      </c>
      <c r="M30" s="284">
        <v>701.23800000000006</v>
      </c>
      <c r="N30" s="646"/>
      <c r="O30" s="647"/>
      <c r="P30" s="648"/>
      <c r="Q30" s="303"/>
    </row>
    <row r="31" spans="1:17" ht="15.75" customHeight="1" thickTop="1">
      <c r="A31" s="378"/>
      <c r="D31" s="378"/>
      <c r="E31" s="378"/>
      <c r="F31" s="378"/>
      <c r="G31" s="378"/>
      <c r="H31" s="378"/>
      <c r="I31" s="378"/>
      <c r="J31" s="378"/>
      <c r="K31" s="378"/>
      <c r="L31" s="378"/>
      <c r="M31" s="378"/>
      <c r="N31" s="378"/>
      <c r="O31" s="378"/>
      <c r="P31" s="378"/>
      <c r="Q31" s="303"/>
    </row>
    <row r="32" spans="1:17" ht="15.75" customHeight="1">
      <c r="A32" s="635" t="s">
        <v>916</v>
      </c>
      <c r="B32" s="636"/>
      <c r="C32" s="117" t="s">
        <v>917</v>
      </c>
      <c r="D32" s="637" t="s">
        <v>12</v>
      </c>
      <c r="E32" s="638"/>
      <c r="F32" s="639"/>
      <c r="G32" s="115" t="s">
        <v>918</v>
      </c>
      <c r="H32" s="116"/>
      <c r="I32" s="117"/>
      <c r="J32" s="114" t="s">
        <v>919</v>
      </c>
      <c r="K32" s="114" t="s">
        <v>920</v>
      </c>
      <c r="L32" s="114" t="s">
        <v>921</v>
      </c>
      <c r="M32" s="118" t="s">
        <v>11</v>
      </c>
      <c r="N32" s="118" t="s">
        <v>13</v>
      </c>
      <c r="O32" s="640" t="s">
        <v>922</v>
      </c>
      <c r="P32" s="641"/>
      <c r="Q32" s="303"/>
    </row>
    <row r="33" spans="1:17" ht="15.75" customHeight="1">
      <c r="A33" s="636">
        <v>7</v>
      </c>
      <c r="B33" s="642" t="s">
        <v>944</v>
      </c>
      <c r="C33" s="112">
        <v>1</v>
      </c>
      <c r="D33" s="386">
        <v>0</v>
      </c>
      <c r="E33" s="619"/>
      <c r="F33" s="620"/>
      <c r="G33" s="386">
        <v>0</v>
      </c>
      <c r="H33" s="619"/>
      <c r="I33" s="620"/>
      <c r="J33" s="4">
        <v>0</v>
      </c>
      <c r="K33" s="14">
        <v>0</v>
      </c>
      <c r="L33" s="4">
        <v>0</v>
      </c>
      <c r="M33" s="16">
        <v>0</v>
      </c>
      <c r="N33" s="4"/>
      <c r="O33" s="621"/>
      <c r="P33" s="631"/>
      <c r="Q33" s="303"/>
    </row>
    <row r="34" spans="1:17" ht="15.75" customHeight="1">
      <c r="A34" s="636"/>
      <c r="B34" s="643"/>
      <c r="C34" s="112">
        <v>2</v>
      </c>
      <c r="D34" s="386">
        <v>0</v>
      </c>
      <c r="E34" s="619"/>
      <c r="F34" s="620"/>
      <c r="G34" s="386">
        <v>0</v>
      </c>
      <c r="H34" s="619"/>
      <c r="I34" s="620"/>
      <c r="J34" s="4">
        <v>0</v>
      </c>
      <c r="K34" s="14">
        <v>0</v>
      </c>
      <c r="L34" s="4">
        <v>0</v>
      </c>
      <c r="M34" s="16">
        <v>0</v>
      </c>
      <c r="N34" s="4"/>
      <c r="O34" s="621"/>
      <c r="P34" s="631"/>
      <c r="Q34" s="303"/>
    </row>
    <row r="35" spans="1:17" ht="15.75" customHeight="1">
      <c r="A35" s="636"/>
      <c r="B35" s="643"/>
      <c r="C35" s="112">
        <v>3</v>
      </c>
      <c r="D35" s="386">
        <v>0</v>
      </c>
      <c r="E35" s="619"/>
      <c r="F35" s="620"/>
      <c r="G35" s="386">
        <v>0</v>
      </c>
      <c r="H35" s="619"/>
      <c r="I35" s="620"/>
      <c r="J35" s="4">
        <v>0</v>
      </c>
      <c r="K35" s="14">
        <v>0</v>
      </c>
      <c r="L35" s="4">
        <v>0</v>
      </c>
      <c r="M35" s="16">
        <v>0</v>
      </c>
      <c r="N35" s="4"/>
      <c r="O35" s="621"/>
      <c r="P35" s="631"/>
      <c r="Q35" s="303"/>
    </row>
    <row r="36" spans="1:17" ht="15.75" customHeight="1">
      <c r="A36" s="636"/>
      <c r="B36" s="643"/>
      <c r="C36" s="112">
        <v>4</v>
      </c>
      <c r="D36" s="386">
        <v>0</v>
      </c>
      <c r="E36" s="619"/>
      <c r="F36" s="620"/>
      <c r="G36" s="386">
        <v>0</v>
      </c>
      <c r="H36" s="619"/>
      <c r="I36" s="620"/>
      <c r="J36" s="4">
        <v>0</v>
      </c>
      <c r="K36" s="14">
        <v>0</v>
      </c>
      <c r="L36" s="4">
        <v>0</v>
      </c>
      <c r="M36" s="16">
        <v>0</v>
      </c>
      <c r="N36" s="4"/>
      <c r="O36" s="621"/>
      <c r="P36" s="631"/>
      <c r="Q36" s="303"/>
    </row>
    <row r="37" spans="1:17" ht="15.75" customHeight="1" thickBot="1">
      <c r="A37" s="636"/>
      <c r="B37" s="643"/>
      <c r="C37" s="113">
        <v>5</v>
      </c>
      <c r="D37" s="386">
        <v>0</v>
      </c>
      <c r="E37" s="619"/>
      <c r="F37" s="620"/>
      <c r="G37" s="386">
        <v>0</v>
      </c>
      <c r="H37" s="619"/>
      <c r="I37" s="620"/>
      <c r="J37" s="4">
        <v>0</v>
      </c>
      <c r="K37" s="14">
        <v>0</v>
      </c>
      <c r="L37" s="4">
        <v>0</v>
      </c>
      <c r="M37" s="16">
        <v>0</v>
      </c>
      <c r="N37" s="4"/>
      <c r="O37" s="621"/>
      <c r="P37" s="631"/>
      <c r="Q37" s="303"/>
    </row>
    <row r="38" spans="1:17" ht="15.75" customHeight="1" thickTop="1" thickBot="1">
      <c r="A38" s="636"/>
      <c r="B38" s="643"/>
      <c r="C38" s="644"/>
      <c r="D38" s="644"/>
      <c r="E38" s="644"/>
      <c r="F38" s="644"/>
      <c r="G38" s="644"/>
      <c r="H38" s="644"/>
      <c r="I38" s="645"/>
      <c r="J38" s="119" t="s">
        <v>924</v>
      </c>
      <c r="K38" s="282">
        <v>0</v>
      </c>
      <c r="L38" s="119" t="s">
        <v>925</v>
      </c>
      <c r="M38" s="284">
        <v>0</v>
      </c>
      <c r="N38" s="646"/>
      <c r="O38" s="647"/>
      <c r="P38" s="648"/>
      <c r="Q38" s="303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L11" sqref="L11"/>
    </sheetView>
  </sheetViews>
  <sheetFormatPr defaultColWidth="12.5703125" defaultRowHeight="15.75" customHeight="1"/>
  <cols>
    <col min="1" max="1" width="5.42578125" style="120" customWidth="1"/>
    <col min="2" max="2" width="7.85546875" style="181" customWidth="1"/>
    <col min="3" max="3" width="4" style="165" customWidth="1"/>
    <col min="4" max="17" width="8.5703125" style="120" customWidth="1"/>
    <col min="18" max="16384" width="12.5703125" style="120"/>
  </cols>
  <sheetData>
    <row r="1" spans="1:17" ht="15.75" customHeight="1">
      <c r="A1" s="413" t="s">
        <v>214</v>
      </c>
      <c r="B1" s="413"/>
      <c r="C1" s="413"/>
      <c r="D1" s="413"/>
      <c r="E1" s="413"/>
      <c r="F1" s="413"/>
      <c r="G1" s="413"/>
      <c r="H1" s="413"/>
      <c r="I1" s="413"/>
      <c r="J1" s="413"/>
      <c r="K1" s="413"/>
      <c r="L1" s="413"/>
      <c r="M1" s="413"/>
      <c r="N1" s="413"/>
      <c r="O1" s="413"/>
      <c r="P1" s="413"/>
      <c r="Q1" s="413"/>
    </row>
    <row r="2" spans="1:17" s="121" customFormat="1" ht="15.75" customHeight="1">
      <c r="A2" s="413"/>
      <c r="B2" s="413"/>
      <c r="C2" s="413"/>
      <c r="D2" s="413"/>
      <c r="E2" s="413"/>
      <c r="F2" s="413"/>
      <c r="G2" s="413"/>
      <c r="H2" s="413"/>
      <c r="I2" s="413"/>
      <c r="J2" s="413"/>
      <c r="K2" s="413"/>
      <c r="L2" s="413"/>
      <c r="M2" s="413"/>
      <c r="N2" s="413"/>
      <c r="O2" s="413"/>
      <c r="P2" s="413"/>
      <c r="Q2" s="413"/>
    </row>
    <row r="3" spans="1:17" ht="15.75" customHeight="1">
      <c r="A3" s="536" t="s">
        <v>228</v>
      </c>
      <c r="B3" s="536"/>
      <c r="C3" s="536"/>
      <c r="D3" s="536"/>
      <c r="E3" s="536"/>
      <c r="F3" s="536"/>
      <c r="G3" s="536"/>
      <c r="H3" s="536"/>
      <c r="I3" s="536"/>
      <c r="J3" s="536"/>
      <c r="K3" s="536"/>
      <c r="L3" s="536"/>
      <c r="M3" s="536"/>
      <c r="N3" s="536"/>
      <c r="O3" s="536"/>
      <c r="P3" s="536"/>
      <c r="Q3" s="536"/>
    </row>
    <row r="4" spans="1:17" s="121" customFormat="1" ht="15.75" customHeight="1">
      <c r="A4" s="656"/>
      <c r="B4" s="656"/>
      <c r="C4" s="656"/>
      <c r="D4" s="656"/>
      <c r="E4" s="656"/>
      <c r="F4" s="656"/>
      <c r="G4" s="656"/>
      <c r="H4" s="656"/>
      <c r="I4" s="656"/>
      <c r="J4" s="656"/>
      <c r="K4" s="656"/>
      <c r="L4" s="656"/>
      <c r="M4" s="656"/>
      <c r="N4" s="656"/>
      <c r="O4" s="656"/>
      <c r="P4" s="656"/>
      <c r="Q4" s="656"/>
    </row>
    <row r="5" spans="1:17" ht="15.75" customHeight="1">
      <c r="A5" s="447" t="s">
        <v>200</v>
      </c>
      <c r="B5" s="630">
        <v>1</v>
      </c>
      <c r="C5" s="630"/>
      <c r="D5" s="630">
        <v>2</v>
      </c>
      <c r="E5" s="630"/>
      <c r="F5" s="630">
        <v>3</v>
      </c>
      <c r="G5" s="630"/>
      <c r="H5" s="630">
        <v>4</v>
      </c>
      <c r="I5" s="630"/>
      <c r="J5" s="630">
        <v>5</v>
      </c>
      <c r="K5" s="630"/>
      <c r="L5" s="630">
        <v>6</v>
      </c>
      <c r="M5" s="630"/>
      <c r="N5" s="630">
        <v>7</v>
      </c>
      <c r="O5" s="630"/>
      <c r="P5" s="633">
        <v>8</v>
      </c>
      <c r="Q5" s="633"/>
    </row>
    <row r="6" spans="1:17" ht="15.75" customHeight="1">
      <c r="A6" s="447"/>
      <c r="B6" s="447" t="s">
        <v>372</v>
      </c>
      <c r="C6" s="447"/>
      <c r="D6" s="447" t="s">
        <v>229</v>
      </c>
      <c r="E6" s="447"/>
      <c r="F6" s="447" t="s">
        <v>173</v>
      </c>
      <c r="G6" s="447"/>
      <c r="H6" s="447" t="s">
        <v>197</v>
      </c>
      <c r="I6" s="447"/>
      <c r="J6" s="447" t="s">
        <v>198</v>
      </c>
      <c r="K6" s="447"/>
      <c r="L6" s="447" t="s">
        <v>174</v>
      </c>
      <c r="M6" s="447"/>
      <c r="N6" s="447" t="s">
        <v>199</v>
      </c>
      <c r="O6" s="447"/>
      <c r="P6" s="634" t="s">
        <v>230</v>
      </c>
      <c r="Q6" s="634"/>
    </row>
    <row r="8" spans="1:17" s="158" customFormat="1" ht="15.75" customHeight="1">
      <c r="A8" s="168" t="s">
        <v>202</v>
      </c>
      <c r="B8" s="185" t="s">
        <v>18</v>
      </c>
      <c r="C8" s="654" t="s">
        <v>12</v>
      </c>
      <c r="D8" s="654"/>
      <c r="E8" s="654"/>
      <c r="F8" s="654" t="s">
        <v>53</v>
      </c>
      <c r="G8" s="654"/>
      <c r="H8" s="654"/>
      <c r="I8" s="185" t="s">
        <v>54</v>
      </c>
      <c r="J8" s="186" t="s">
        <v>19</v>
      </c>
      <c r="K8" s="185" t="s">
        <v>57</v>
      </c>
      <c r="L8" s="185" t="s">
        <v>2</v>
      </c>
      <c r="M8" s="657" t="s">
        <v>50</v>
      </c>
      <c r="N8" s="658"/>
      <c r="O8" s="658"/>
      <c r="P8" s="658"/>
      <c r="Q8" s="658"/>
    </row>
    <row r="9" spans="1:17" ht="15.75" customHeight="1">
      <c r="A9" s="654" t="s">
        <v>201</v>
      </c>
      <c r="B9" s="160">
        <v>1</v>
      </c>
      <c r="C9" s="545"/>
      <c r="D9" s="522"/>
      <c r="E9" s="522"/>
      <c r="F9" s="545"/>
      <c r="G9" s="522"/>
      <c r="H9" s="522"/>
      <c r="I9" s="169"/>
      <c r="J9" s="183"/>
      <c r="K9" s="183"/>
      <c r="L9" s="184">
        <f t="shared" ref="L9:L13" si="0">K9-J9</f>
        <v>0</v>
      </c>
      <c r="M9" s="545"/>
      <c r="N9" s="545"/>
      <c r="O9" s="545"/>
      <c r="P9" s="545"/>
      <c r="Q9" s="545"/>
    </row>
    <row r="10" spans="1:17" ht="15.75" customHeight="1">
      <c r="A10" s="655"/>
      <c r="B10" s="160">
        <v>2</v>
      </c>
      <c r="C10" s="545"/>
      <c r="D10" s="522"/>
      <c r="E10" s="522"/>
      <c r="F10" s="545"/>
      <c r="G10" s="522"/>
      <c r="H10" s="522"/>
      <c r="I10" s="169"/>
      <c r="J10" s="183"/>
      <c r="K10" s="183"/>
      <c r="L10" s="184">
        <f t="shared" si="0"/>
        <v>0</v>
      </c>
      <c r="M10" s="545"/>
      <c r="N10" s="545"/>
      <c r="O10" s="545"/>
      <c r="P10" s="545"/>
      <c r="Q10" s="545"/>
    </row>
    <row r="11" spans="1:17" ht="15.75" customHeight="1">
      <c r="A11" s="655"/>
      <c r="B11" s="160">
        <v>3</v>
      </c>
      <c r="C11" s="545"/>
      <c r="D11" s="522"/>
      <c r="E11" s="522"/>
      <c r="F11" s="545"/>
      <c r="G11" s="522"/>
      <c r="H11" s="522"/>
      <c r="I11" s="169"/>
      <c r="J11" s="183"/>
      <c r="K11" s="183"/>
      <c r="L11" s="184">
        <f t="shared" si="0"/>
        <v>0</v>
      </c>
      <c r="M11" s="545"/>
      <c r="N11" s="545"/>
      <c r="O11" s="545"/>
      <c r="P11" s="545"/>
      <c r="Q11" s="545"/>
    </row>
    <row r="12" spans="1:17" ht="15.75" customHeight="1">
      <c r="A12" s="655"/>
      <c r="B12" s="160">
        <v>4</v>
      </c>
      <c r="C12" s="545"/>
      <c r="D12" s="522"/>
      <c r="E12" s="522"/>
      <c r="F12" s="545"/>
      <c r="G12" s="522"/>
      <c r="H12" s="522"/>
      <c r="I12" s="169"/>
      <c r="J12" s="183"/>
      <c r="K12" s="183"/>
      <c r="L12" s="184">
        <f t="shared" si="0"/>
        <v>0</v>
      </c>
      <c r="M12" s="545"/>
      <c r="N12" s="545"/>
      <c r="O12" s="545"/>
      <c r="P12" s="545"/>
      <c r="Q12" s="545"/>
    </row>
    <row r="13" spans="1:17" ht="15.75" customHeight="1">
      <c r="A13" s="655"/>
      <c r="B13" s="160">
        <v>5</v>
      </c>
      <c r="C13" s="545"/>
      <c r="D13" s="522"/>
      <c r="E13" s="522"/>
      <c r="F13" s="545"/>
      <c r="G13" s="522"/>
      <c r="H13" s="522"/>
      <c r="I13" s="169"/>
      <c r="J13" s="183"/>
      <c r="K13" s="183"/>
      <c r="L13" s="184">
        <f t="shared" si="0"/>
        <v>0</v>
      </c>
      <c r="M13" s="545"/>
      <c r="N13" s="545"/>
      <c r="O13" s="545"/>
      <c r="P13" s="545"/>
      <c r="Q13" s="545"/>
    </row>
    <row r="14" spans="1:17" ht="15.75" customHeight="1">
      <c r="A14" s="652"/>
      <c r="B14" s="652"/>
      <c r="C14" s="652"/>
      <c r="D14" s="652"/>
      <c r="E14" s="652"/>
      <c r="F14" s="652"/>
      <c r="G14" s="652"/>
      <c r="H14" s="652"/>
      <c r="I14" s="652"/>
      <c r="J14" s="652"/>
      <c r="K14" s="652"/>
      <c r="L14" s="652"/>
      <c r="M14" s="652"/>
      <c r="N14" s="652"/>
      <c r="O14" s="653"/>
    </row>
    <row r="15" spans="1:17" s="158" customFormat="1" ht="15.75" customHeight="1">
      <c r="A15" s="168" t="s">
        <v>202</v>
      </c>
      <c r="B15" s="168" t="s">
        <v>18</v>
      </c>
      <c r="C15" s="616" t="s">
        <v>12</v>
      </c>
      <c r="D15" s="616"/>
      <c r="E15" s="616"/>
      <c r="F15" s="616" t="s">
        <v>53</v>
      </c>
      <c r="G15" s="616"/>
      <c r="H15" s="616"/>
      <c r="I15" s="168" t="s">
        <v>54</v>
      </c>
      <c r="J15" s="182" t="s">
        <v>19</v>
      </c>
      <c r="K15" s="168" t="s">
        <v>57</v>
      </c>
      <c r="L15" s="168" t="s">
        <v>2</v>
      </c>
      <c r="M15" s="616" t="s">
        <v>50</v>
      </c>
      <c r="N15" s="616"/>
      <c r="O15" s="616"/>
      <c r="P15" s="616"/>
      <c r="Q15" s="616"/>
    </row>
    <row r="16" spans="1:17" ht="15.75" customHeight="1">
      <c r="A16" s="616" t="s">
        <v>203</v>
      </c>
      <c r="B16" s="160">
        <v>1</v>
      </c>
      <c r="C16" s="545"/>
      <c r="D16" s="522"/>
      <c r="E16" s="522"/>
      <c r="F16" s="545"/>
      <c r="G16" s="522"/>
      <c r="H16" s="522"/>
      <c r="I16" s="169"/>
      <c r="J16" s="183"/>
      <c r="K16" s="183"/>
      <c r="L16" s="184">
        <f t="shared" ref="L16:L19" si="1">K16-J16</f>
        <v>0</v>
      </c>
      <c r="M16" s="545"/>
      <c r="N16" s="545"/>
      <c r="O16" s="545"/>
      <c r="P16" s="545"/>
      <c r="Q16" s="545"/>
    </row>
    <row r="17" spans="1:17" ht="15.75" customHeight="1">
      <c r="A17" s="616"/>
      <c r="B17" s="160">
        <v>2</v>
      </c>
      <c r="C17" s="545"/>
      <c r="D17" s="522"/>
      <c r="E17" s="522"/>
      <c r="F17" s="545"/>
      <c r="G17" s="522"/>
      <c r="H17" s="522"/>
      <c r="I17" s="169"/>
      <c r="J17" s="183"/>
      <c r="K17" s="183"/>
      <c r="L17" s="184">
        <f t="shared" si="1"/>
        <v>0</v>
      </c>
      <c r="M17" s="545"/>
      <c r="N17" s="545"/>
      <c r="O17" s="545"/>
      <c r="P17" s="545"/>
      <c r="Q17" s="545"/>
    </row>
    <row r="18" spans="1:17" ht="15.75" customHeight="1">
      <c r="A18" s="616"/>
      <c r="B18" s="160">
        <v>3</v>
      </c>
      <c r="C18" s="545"/>
      <c r="D18" s="522"/>
      <c r="E18" s="522"/>
      <c r="F18" s="545"/>
      <c r="G18" s="522"/>
      <c r="H18" s="522"/>
      <c r="I18" s="169"/>
      <c r="J18" s="183"/>
      <c r="K18" s="183"/>
      <c r="L18" s="184">
        <f t="shared" si="1"/>
        <v>0</v>
      </c>
      <c r="M18" s="545"/>
      <c r="N18" s="545"/>
      <c r="O18" s="545"/>
      <c r="P18" s="545"/>
      <c r="Q18" s="545"/>
    </row>
    <row r="19" spans="1:17" ht="15.75" customHeight="1">
      <c r="A19" s="616"/>
      <c r="B19" s="160">
        <v>4</v>
      </c>
      <c r="C19" s="545"/>
      <c r="D19" s="522"/>
      <c r="E19" s="522"/>
      <c r="F19" s="545"/>
      <c r="G19" s="522"/>
      <c r="H19" s="522"/>
      <c r="I19" s="169"/>
      <c r="J19" s="183"/>
      <c r="K19" s="183"/>
      <c r="L19" s="184">
        <f t="shared" si="1"/>
        <v>0</v>
      </c>
      <c r="M19" s="545"/>
      <c r="N19" s="545"/>
      <c r="O19" s="545"/>
      <c r="P19" s="545"/>
      <c r="Q19" s="545"/>
    </row>
    <row r="20" spans="1:17" ht="15.75" customHeight="1">
      <c r="A20" s="616"/>
      <c r="B20" s="160">
        <v>5</v>
      </c>
      <c r="C20" s="545"/>
      <c r="D20" s="522"/>
      <c r="E20" s="522"/>
      <c r="F20" s="545"/>
      <c r="G20" s="522"/>
      <c r="H20" s="522"/>
      <c r="I20" s="169"/>
      <c r="J20" s="183"/>
      <c r="K20" s="183"/>
      <c r="L20" s="184">
        <f>K20-J20</f>
        <v>0</v>
      </c>
      <c r="M20" s="545"/>
      <c r="N20" s="545"/>
      <c r="O20" s="545"/>
      <c r="P20" s="545"/>
      <c r="Q20" s="545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9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H396"/>
  <sheetViews>
    <sheetView zoomScale="70" zoomScaleNormal="70" workbookViewId="0">
      <pane xSplit="4" ySplit="6" topLeftCell="E356" activePane="bottomRight" state="frozen"/>
      <selection activeCell="Z121" sqref="Z121"/>
      <selection pane="topRight" activeCell="Z121" sqref="Z121"/>
      <selection pane="bottomLeft" activeCell="Z121" sqref="Z121"/>
      <selection pane="bottomRight" activeCell="B317" sqref="B317:M326"/>
    </sheetView>
  </sheetViews>
  <sheetFormatPr defaultColWidth="8.85546875" defaultRowHeight="14.25"/>
  <cols>
    <col min="1" max="1" width="8.85546875" style="202"/>
    <col min="2" max="2" width="12.42578125" style="202" customWidth="1"/>
    <col min="3" max="3" width="8.85546875" style="202"/>
    <col min="4" max="4" width="6.85546875" style="202" customWidth="1"/>
    <col min="5" max="5" width="27" style="202" customWidth="1"/>
    <col min="6" max="6" width="22.5703125" style="202" customWidth="1"/>
    <col min="7" max="7" width="14.140625" style="202" customWidth="1"/>
    <col min="8" max="8" width="14" style="202" customWidth="1"/>
    <col min="9" max="9" width="16.85546875" style="202" customWidth="1"/>
    <col min="10" max="12" width="14" style="202" customWidth="1"/>
    <col min="13" max="13" width="19.42578125" style="202" customWidth="1"/>
    <col min="14" max="17" width="14" style="202" customWidth="1"/>
    <col min="18" max="18" width="8.85546875" style="202"/>
    <col min="19" max="19" width="10.42578125" style="202" bestFit="1" customWidth="1"/>
    <col min="20" max="20" width="10.140625" style="202" customWidth="1"/>
    <col min="21" max="21" width="15.5703125" style="202" customWidth="1"/>
    <col min="22" max="22" width="15.5703125" style="202" bestFit="1" customWidth="1"/>
    <col min="23" max="23" width="7.42578125" style="202" bestFit="1" customWidth="1"/>
    <col min="24" max="24" width="32.5703125" style="202" bestFit="1" customWidth="1"/>
    <col min="25" max="25" width="8.85546875" style="202"/>
    <col min="26" max="27" width="21.5703125" style="202" customWidth="1"/>
    <col min="28" max="33" width="14.42578125" style="202" customWidth="1"/>
    <col min="34" max="34" width="11.42578125" style="202" bestFit="1" customWidth="1"/>
    <col min="35" max="16384" width="8.85546875" style="202"/>
  </cols>
  <sheetData>
    <row r="2" spans="2:34" ht="41.1" customHeight="1">
      <c r="B2" s="665" t="s">
        <v>294</v>
      </c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6"/>
      <c r="Z2" s="203"/>
      <c r="AA2" s="203"/>
    </row>
    <row r="3" spans="2:34" ht="17.100000000000001" customHeight="1">
      <c r="B3" s="667" t="s">
        <v>273</v>
      </c>
      <c r="C3" s="668"/>
      <c r="D3" s="664" t="s">
        <v>177</v>
      </c>
      <c r="E3" s="664"/>
      <c r="F3" s="664"/>
      <c r="G3" s="664" t="s">
        <v>191</v>
      </c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 t="s">
        <v>178</v>
      </c>
      <c r="U3" s="673" t="s">
        <v>274</v>
      </c>
      <c r="V3" s="676" t="s">
        <v>295</v>
      </c>
      <c r="W3" s="676" t="s">
        <v>275</v>
      </c>
      <c r="X3" s="679" t="s">
        <v>179</v>
      </c>
      <c r="Z3" s="664" t="s">
        <v>276</v>
      </c>
      <c r="AA3" s="664"/>
      <c r="AB3" s="664"/>
      <c r="AC3" s="664"/>
      <c r="AD3" s="664"/>
      <c r="AE3" s="664"/>
      <c r="AF3" s="664"/>
      <c r="AG3" s="664"/>
      <c r="AH3" s="664"/>
    </row>
    <row r="4" spans="2:34" ht="17.100000000000001" customHeight="1">
      <c r="B4" s="669"/>
      <c r="C4" s="670"/>
      <c r="D4" s="680" t="s">
        <v>176</v>
      </c>
      <c r="E4" s="664" t="s">
        <v>180</v>
      </c>
      <c r="F4" s="664"/>
      <c r="G4" s="664" t="s">
        <v>192</v>
      </c>
      <c r="H4" s="664"/>
      <c r="I4" s="664"/>
      <c r="J4" s="664"/>
      <c r="K4" s="664"/>
      <c r="L4" s="664"/>
      <c r="M4" s="664"/>
      <c r="N4" s="664"/>
      <c r="O4" s="664" t="s">
        <v>181</v>
      </c>
      <c r="P4" s="664"/>
      <c r="Q4" s="664"/>
      <c r="R4" s="664"/>
      <c r="S4" s="664"/>
      <c r="T4" s="664"/>
      <c r="U4" s="674"/>
      <c r="V4" s="677"/>
      <c r="W4" s="677"/>
      <c r="X4" s="679"/>
      <c r="Z4" s="664"/>
      <c r="AA4" s="664"/>
      <c r="AB4" s="664"/>
      <c r="AC4" s="664"/>
      <c r="AD4" s="664"/>
      <c r="AE4" s="664"/>
      <c r="AF4" s="664"/>
      <c r="AG4" s="664"/>
      <c r="AH4" s="664"/>
    </row>
    <row r="5" spans="2:34" ht="17.100000000000001" customHeight="1">
      <c r="B5" s="669"/>
      <c r="C5" s="670"/>
      <c r="D5" s="680"/>
      <c r="E5" s="680" t="s">
        <v>182</v>
      </c>
      <c r="F5" s="679" t="s">
        <v>277</v>
      </c>
      <c r="G5" s="681" t="s">
        <v>193</v>
      </c>
      <c r="H5" s="681"/>
      <c r="I5" s="681"/>
      <c r="J5" s="681"/>
      <c r="K5" s="681"/>
      <c r="L5" s="681"/>
      <c r="M5" s="681"/>
      <c r="N5" s="681"/>
      <c r="O5" s="681" t="s">
        <v>175</v>
      </c>
      <c r="P5" s="681"/>
      <c r="Q5" s="681" t="s">
        <v>183</v>
      </c>
      <c r="R5" s="681"/>
      <c r="S5" s="681"/>
      <c r="T5" s="664"/>
      <c r="U5" s="674"/>
      <c r="V5" s="677"/>
      <c r="W5" s="677"/>
      <c r="X5" s="679"/>
      <c r="Z5" s="664"/>
      <c r="AA5" s="664"/>
      <c r="AB5" s="664"/>
      <c r="AC5" s="664"/>
      <c r="AD5" s="664"/>
      <c r="AE5" s="664"/>
      <c r="AF5" s="664"/>
      <c r="AG5" s="664"/>
      <c r="AH5" s="664"/>
    </row>
    <row r="6" spans="2:34" ht="38.450000000000003" customHeight="1">
      <c r="B6" s="671"/>
      <c r="C6" s="672"/>
      <c r="D6" s="680"/>
      <c r="E6" s="680"/>
      <c r="F6" s="679"/>
      <c r="G6" s="213" t="s">
        <v>184</v>
      </c>
      <c r="H6" s="213" t="s">
        <v>296</v>
      </c>
      <c r="I6" s="213" t="s">
        <v>297</v>
      </c>
      <c r="J6" s="213" t="s">
        <v>185</v>
      </c>
      <c r="K6" s="213" t="s">
        <v>290</v>
      </c>
      <c r="L6" s="213" t="s">
        <v>186</v>
      </c>
      <c r="M6" s="213" t="s">
        <v>194</v>
      </c>
      <c r="N6" s="213" t="s">
        <v>187</v>
      </c>
      <c r="O6" s="214" t="s">
        <v>188</v>
      </c>
      <c r="P6" s="214" t="s">
        <v>189</v>
      </c>
      <c r="Q6" s="214" t="s">
        <v>188</v>
      </c>
      <c r="R6" s="214" t="s">
        <v>189</v>
      </c>
      <c r="S6" s="213" t="s">
        <v>190</v>
      </c>
      <c r="T6" s="664"/>
      <c r="U6" s="675"/>
      <c r="V6" s="678"/>
      <c r="W6" s="678"/>
      <c r="X6" s="679"/>
      <c r="Z6" s="254" t="s">
        <v>278</v>
      </c>
      <c r="AA6" s="254" t="s">
        <v>292</v>
      </c>
      <c r="AB6" s="242" t="s">
        <v>298</v>
      </c>
      <c r="AC6" s="242" t="s">
        <v>299</v>
      </c>
      <c r="AD6" s="242" t="s">
        <v>279</v>
      </c>
      <c r="AE6" s="242" t="s">
        <v>280</v>
      </c>
      <c r="AF6" s="242" t="s">
        <v>281</v>
      </c>
      <c r="AG6" s="242" t="s">
        <v>282</v>
      </c>
      <c r="AH6" s="242" t="s">
        <v>293</v>
      </c>
    </row>
    <row r="7" spans="2:34">
      <c r="B7" s="661">
        <v>45870</v>
      </c>
      <c r="C7" s="659" t="s">
        <v>283</v>
      </c>
      <c r="D7" s="215">
        <v>1</v>
      </c>
      <c r="E7" s="204" t="s">
        <v>401</v>
      </c>
      <c r="F7" s="210">
        <v>169.28800000000001</v>
      </c>
      <c r="G7" s="289">
        <v>6.0389999999999997</v>
      </c>
      <c r="H7" s="289">
        <v>6.5</v>
      </c>
      <c r="I7" s="216">
        <f>H7/G7</f>
        <v>1.0763371419109125</v>
      </c>
      <c r="J7" s="211">
        <v>0</v>
      </c>
      <c r="K7" s="216">
        <f>J7/G7</f>
        <v>0</v>
      </c>
      <c r="L7" s="210">
        <v>846.44</v>
      </c>
      <c r="M7" s="216">
        <f>(H7+J7)/G7</f>
        <v>1.0763371419109125</v>
      </c>
      <c r="N7" s="210">
        <v>390.20884000000029</v>
      </c>
      <c r="O7" s="211">
        <v>0.2</v>
      </c>
      <c r="P7" s="212">
        <v>3.3118065904951158E-2</v>
      </c>
      <c r="Q7" s="289">
        <v>0.26100000000000029</v>
      </c>
      <c r="R7" s="212">
        <v>4.3219076005961303E-2</v>
      </c>
      <c r="S7" s="210">
        <v>220.92084000000025</v>
      </c>
      <c r="T7" s="211" t="s">
        <v>402</v>
      </c>
      <c r="U7" s="211" t="s">
        <v>224</v>
      </c>
      <c r="V7" s="211"/>
      <c r="W7" s="211">
        <v>1</v>
      </c>
      <c r="X7" s="211" t="s">
        <v>403</v>
      </c>
      <c r="Y7" s="207" t="s">
        <v>385</v>
      </c>
      <c r="Z7" s="251">
        <f>SUM(W7:W46)</f>
        <v>40</v>
      </c>
      <c r="AA7" s="250">
        <f ca="1">SUMIF($U$7:$U$10000,TRIM(AA6),$W$7:$W$46)</f>
        <v>0</v>
      </c>
      <c r="AB7" s="250">
        <f ca="1">SUMIF($U$7:$U$10000,TRIM(AB6),$W$7:$W$46)</f>
        <v>40</v>
      </c>
      <c r="AC7" s="250">
        <f t="shared" ref="AC7:AH7" ca="1" si="0">SUMIF($U$7:$U$10000,TRIM(AC6),$W$7:$W$46)</f>
        <v>61</v>
      </c>
      <c r="AD7" s="250">
        <f t="shared" ca="1" si="0"/>
        <v>156</v>
      </c>
      <c r="AE7" s="250">
        <f t="shared" ca="1" si="0"/>
        <v>88</v>
      </c>
      <c r="AF7" s="250">
        <f t="shared" ca="1" si="0"/>
        <v>18</v>
      </c>
      <c r="AG7" s="250">
        <f t="shared" ca="1" si="0"/>
        <v>18</v>
      </c>
      <c r="AH7" s="250">
        <f t="shared" ca="1" si="0"/>
        <v>0</v>
      </c>
    </row>
    <row r="8" spans="2:34">
      <c r="B8" s="659"/>
      <c r="C8" s="659"/>
      <c r="D8" s="215">
        <v>2</v>
      </c>
      <c r="E8" s="204" t="s">
        <v>404</v>
      </c>
      <c r="F8" s="210">
        <v>165.98000000000002</v>
      </c>
      <c r="G8" s="289">
        <v>21.042000000000002</v>
      </c>
      <c r="H8" s="289">
        <v>21.8</v>
      </c>
      <c r="I8" s="216">
        <f t="shared" ref="I8:I71" si="1">H8/G8</f>
        <v>1.0360231917118143</v>
      </c>
      <c r="J8" s="211">
        <v>0</v>
      </c>
      <c r="K8" s="216">
        <f t="shared" ref="K8:K71" si="2">J8/G8</f>
        <v>0</v>
      </c>
      <c r="L8" s="210">
        <v>414.95</v>
      </c>
      <c r="M8" s="216">
        <f t="shared" ref="M8:M71" si="3">(H8+J8)/G8</f>
        <v>1.0360231917118143</v>
      </c>
      <c r="N8" s="210">
        <v>314.53209999999962</v>
      </c>
      <c r="O8" s="211">
        <v>0.4</v>
      </c>
      <c r="P8" s="212">
        <v>1.9009599847923202E-2</v>
      </c>
      <c r="Q8" s="289">
        <v>0.3579999999999991</v>
      </c>
      <c r="R8" s="212">
        <v>1.701359186389122E-2</v>
      </c>
      <c r="S8" s="210">
        <v>148.55209999999963</v>
      </c>
      <c r="T8" s="211" t="s">
        <v>405</v>
      </c>
      <c r="U8" s="211" t="s">
        <v>225</v>
      </c>
      <c r="V8" s="211"/>
      <c r="W8" s="211">
        <v>1</v>
      </c>
      <c r="X8" s="211" t="s">
        <v>406</v>
      </c>
      <c r="Y8" s="207"/>
      <c r="Z8" s="251"/>
      <c r="AA8" s="253">
        <f t="shared" ref="AA8:AH8" si="4">SUMIF($U$7:$U$46,TRIM(AA6),$F$7:$F$46)</f>
        <v>0</v>
      </c>
      <c r="AB8" s="253">
        <f t="shared" si="4"/>
        <v>856.79600000000005</v>
      </c>
      <c r="AC8" s="253">
        <f t="shared" si="4"/>
        <v>490.08800000000008</v>
      </c>
      <c r="AD8" s="253">
        <f t="shared" si="4"/>
        <v>2394.6160000000004</v>
      </c>
      <c r="AE8" s="253">
        <f t="shared" si="4"/>
        <v>2607.634</v>
      </c>
      <c r="AF8" s="253">
        <f t="shared" si="4"/>
        <v>0</v>
      </c>
      <c r="AG8" s="253">
        <f t="shared" si="4"/>
        <v>348.58600000000001</v>
      </c>
      <c r="AH8" s="253">
        <f t="shared" si="4"/>
        <v>0</v>
      </c>
    </row>
    <row r="9" spans="2:34">
      <c r="B9" s="659"/>
      <c r="C9" s="659"/>
      <c r="D9" s="215">
        <v>3</v>
      </c>
      <c r="E9" s="204" t="s">
        <v>407</v>
      </c>
      <c r="F9" s="210">
        <v>165.27</v>
      </c>
      <c r="G9" s="289">
        <v>69.688000000000002</v>
      </c>
      <c r="H9" s="289">
        <v>70.599999999999994</v>
      </c>
      <c r="I9" s="216">
        <f t="shared" si="1"/>
        <v>1.013086901618643</v>
      </c>
      <c r="J9" s="211">
        <v>0</v>
      </c>
      <c r="K9" s="216">
        <f t="shared" si="2"/>
        <v>0</v>
      </c>
      <c r="L9" s="210">
        <v>330.54</v>
      </c>
      <c r="M9" s="216">
        <f t="shared" si="3"/>
        <v>1.013086901618643</v>
      </c>
      <c r="N9" s="210">
        <v>301.45247999999737</v>
      </c>
      <c r="O9" s="211">
        <v>0.5</v>
      </c>
      <c r="P9" s="212">
        <v>7.174836413729767E-3</v>
      </c>
      <c r="Q9" s="289">
        <v>0.41199999999999193</v>
      </c>
      <c r="R9" s="212">
        <v>5.9120652049132116E-3</v>
      </c>
      <c r="S9" s="210">
        <v>136.18247999999733</v>
      </c>
      <c r="T9" s="211" t="s">
        <v>405</v>
      </c>
      <c r="U9" s="211" t="s">
        <v>225</v>
      </c>
      <c r="V9" s="211"/>
      <c r="W9" s="211">
        <v>1</v>
      </c>
      <c r="X9" s="211" t="s">
        <v>408</v>
      </c>
      <c r="Y9" s="207"/>
      <c r="Z9" s="251">
        <f>SUM(W47:W116)</f>
        <v>70</v>
      </c>
      <c r="AA9" s="250">
        <f t="shared" ref="AA9:AH9" si="5">SUMIF($U$47:$U$116,TRIM(AA6),$W$47:$W$116)</f>
        <v>0</v>
      </c>
      <c r="AB9" s="250">
        <f t="shared" si="5"/>
        <v>7</v>
      </c>
      <c r="AC9" s="250">
        <f t="shared" si="5"/>
        <v>10</v>
      </c>
      <c r="AD9" s="250">
        <f t="shared" si="5"/>
        <v>23</v>
      </c>
      <c r="AE9" s="250">
        <f t="shared" si="5"/>
        <v>23</v>
      </c>
      <c r="AF9" s="250">
        <f t="shared" si="5"/>
        <v>0</v>
      </c>
      <c r="AG9" s="250">
        <f t="shared" si="5"/>
        <v>5</v>
      </c>
      <c r="AH9" s="250">
        <f t="shared" si="5"/>
        <v>0</v>
      </c>
    </row>
    <row r="10" spans="2:34">
      <c r="B10" s="659"/>
      <c r="C10" s="659"/>
      <c r="D10" s="215">
        <v>4</v>
      </c>
      <c r="E10" s="204" t="s">
        <v>409</v>
      </c>
      <c r="F10" s="210">
        <v>160.70000000000002</v>
      </c>
      <c r="G10" s="289">
        <v>14.14</v>
      </c>
      <c r="H10" s="289">
        <v>14.74</v>
      </c>
      <c r="I10" s="216">
        <f t="shared" si="1"/>
        <v>1.0424328147100423</v>
      </c>
      <c r="J10" s="211">
        <v>0</v>
      </c>
      <c r="K10" s="216">
        <f t="shared" si="2"/>
        <v>0</v>
      </c>
      <c r="L10" s="210">
        <v>401.75</v>
      </c>
      <c r="M10" s="216">
        <f t="shared" si="3"/>
        <v>1.0424328147100423</v>
      </c>
      <c r="N10" s="210">
        <v>241.04999999999987</v>
      </c>
      <c r="O10" s="211">
        <v>0.4</v>
      </c>
      <c r="P10" s="212">
        <v>2.828854314002829E-2</v>
      </c>
      <c r="Q10" s="289">
        <v>0.19999999999999962</v>
      </c>
      <c r="R10" s="212">
        <v>1.4144271570014117E-2</v>
      </c>
      <c r="S10" s="210">
        <v>80.349999999999852</v>
      </c>
      <c r="T10" s="211" t="s">
        <v>402</v>
      </c>
      <c r="U10" s="211" t="s">
        <v>224</v>
      </c>
      <c r="V10" s="211"/>
      <c r="W10" s="211">
        <v>1</v>
      </c>
      <c r="X10" s="211" t="s">
        <v>410</v>
      </c>
      <c r="Y10" s="207" t="s">
        <v>386</v>
      </c>
      <c r="Z10" s="250"/>
      <c r="AA10" s="253">
        <f t="shared" ref="AA10:AH10" si="6">SUMIF($U$47:$U$116,TRIM(AA6),$F$47:$F$116)</f>
        <v>0</v>
      </c>
      <c r="AB10" s="253">
        <f t="shared" si="6"/>
        <v>1037.1510000000001</v>
      </c>
      <c r="AC10" s="253">
        <f t="shared" si="6"/>
        <v>1525.5500000000002</v>
      </c>
      <c r="AD10" s="253">
        <f t="shared" si="6"/>
        <v>3610.335</v>
      </c>
      <c r="AE10" s="253">
        <f t="shared" si="6"/>
        <v>3973.3580000000002</v>
      </c>
      <c r="AF10" s="253">
        <f t="shared" si="6"/>
        <v>0</v>
      </c>
      <c r="AG10" s="253">
        <f t="shared" si="6"/>
        <v>861.12799999999993</v>
      </c>
      <c r="AH10" s="253">
        <f t="shared" si="6"/>
        <v>0</v>
      </c>
    </row>
    <row r="11" spans="2:34">
      <c r="B11" s="659"/>
      <c r="C11" s="659"/>
      <c r="D11" s="215">
        <v>5</v>
      </c>
      <c r="E11" s="204" t="s">
        <v>411</v>
      </c>
      <c r="F11" s="210">
        <v>159.02500000000001</v>
      </c>
      <c r="G11" s="289">
        <v>26.184000000000001</v>
      </c>
      <c r="H11" s="289">
        <v>26.6</v>
      </c>
      <c r="I11" s="216">
        <f t="shared" si="1"/>
        <v>1.0158875649251451</v>
      </c>
      <c r="J11" s="211">
        <v>0.6</v>
      </c>
      <c r="K11" s="216">
        <f t="shared" si="2"/>
        <v>2.2914757103574702E-2</v>
      </c>
      <c r="L11" s="210">
        <v>318.05</v>
      </c>
      <c r="M11" s="216">
        <f t="shared" si="3"/>
        <v>1.0388023220287199</v>
      </c>
      <c r="N11" s="210">
        <v>323.13880000000057</v>
      </c>
      <c r="O11" s="211">
        <v>0.5</v>
      </c>
      <c r="P11" s="212">
        <v>1.9095630919645584E-2</v>
      </c>
      <c r="Q11" s="289">
        <v>0.51600000000000179</v>
      </c>
      <c r="R11" s="212">
        <v>1.970669110907431E-2</v>
      </c>
      <c r="S11" s="210">
        <v>164.11380000000057</v>
      </c>
      <c r="T11" s="211" t="s">
        <v>405</v>
      </c>
      <c r="U11" s="211" t="s">
        <v>412</v>
      </c>
      <c r="V11" s="211"/>
      <c r="W11" s="211">
        <v>1</v>
      </c>
      <c r="X11" s="211" t="s">
        <v>413</v>
      </c>
      <c r="Y11" s="207"/>
      <c r="Z11" s="250"/>
      <c r="AA11" s="251"/>
      <c r="AB11" s="251"/>
      <c r="AC11" s="250"/>
      <c r="AD11" s="250"/>
      <c r="AE11" s="250"/>
      <c r="AF11" s="250"/>
      <c r="AG11" s="250"/>
      <c r="AH11" s="250"/>
    </row>
    <row r="12" spans="2:34">
      <c r="B12" s="659"/>
      <c r="C12" s="659"/>
      <c r="D12" s="215">
        <v>6</v>
      </c>
      <c r="E12" s="204" t="s">
        <v>414</v>
      </c>
      <c r="F12" s="210">
        <v>154.05500000000001</v>
      </c>
      <c r="G12" s="289">
        <v>81.399669966996697</v>
      </c>
      <c r="H12" s="289">
        <v>82.2</v>
      </c>
      <c r="I12" s="216">
        <f t="shared" si="1"/>
        <v>1.009832104151378</v>
      </c>
      <c r="J12" s="211">
        <v>0</v>
      </c>
      <c r="K12" s="216">
        <f t="shared" si="2"/>
        <v>0</v>
      </c>
      <c r="L12" s="210">
        <v>308.11</v>
      </c>
      <c r="M12" s="216">
        <f t="shared" si="3"/>
        <v>1.009832104151378</v>
      </c>
      <c r="N12" s="210">
        <v>246.58968646864849</v>
      </c>
      <c r="O12" s="211">
        <v>0.5</v>
      </c>
      <c r="P12" s="212">
        <v>6.142531047149501E-3</v>
      </c>
      <c r="Q12" s="289">
        <v>0.30033003300330563</v>
      </c>
      <c r="R12" s="212">
        <v>3.6895731042284781E-3</v>
      </c>
      <c r="S12" s="210">
        <v>92.534686468648502</v>
      </c>
      <c r="T12" s="211" t="s">
        <v>402</v>
      </c>
      <c r="U12" s="211" t="s">
        <v>224</v>
      </c>
      <c r="V12" s="211"/>
      <c r="W12" s="211">
        <v>1</v>
      </c>
      <c r="X12" s="211" t="s">
        <v>415</v>
      </c>
      <c r="Y12" s="207"/>
      <c r="Z12" s="251">
        <f>SUM(W117:W186)</f>
        <v>70</v>
      </c>
      <c r="AA12" s="250">
        <f t="shared" ref="AA12:AH12" si="7">SUMIF($U$117:$U$186,TRIM(AA6),$W$117:$W$186)</f>
        <v>0</v>
      </c>
      <c r="AB12" s="250">
        <f t="shared" si="7"/>
        <v>11</v>
      </c>
      <c r="AC12" s="250">
        <f t="shared" si="7"/>
        <v>6</v>
      </c>
      <c r="AD12" s="250">
        <f t="shared" si="7"/>
        <v>24</v>
      </c>
      <c r="AE12" s="250">
        <f t="shared" si="7"/>
        <v>23</v>
      </c>
      <c r="AF12" s="250">
        <f t="shared" si="7"/>
        <v>0</v>
      </c>
      <c r="AG12" s="250">
        <f t="shared" si="7"/>
        <v>5</v>
      </c>
      <c r="AH12" s="250">
        <f t="shared" si="7"/>
        <v>0</v>
      </c>
    </row>
    <row r="13" spans="2:34">
      <c r="B13" s="659"/>
      <c r="C13" s="659"/>
      <c r="D13" s="215">
        <v>7</v>
      </c>
      <c r="E13" s="204" t="s">
        <v>416</v>
      </c>
      <c r="F13" s="210">
        <v>151.63800000000001</v>
      </c>
      <c r="G13" s="289">
        <v>14.166</v>
      </c>
      <c r="H13" s="289">
        <v>14.5</v>
      </c>
      <c r="I13" s="216">
        <f t="shared" si="1"/>
        <v>1.0235775801214175</v>
      </c>
      <c r="J13" s="211">
        <v>0</v>
      </c>
      <c r="K13" s="216">
        <f t="shared" si="2"/>
        <v>0</v>
      </c>
      <c r="L13" s="210">
        <v>758.19</v>
      </c>
      <c r="M13" s="216">
        <f t="shared" si="3"/>
        <v>1.0235775801214175</v>
      </c>
      <c r="N13" s="210">
        <v>253.23545999999973</v>
      </c>
      <c r="O13" s="211">
        <v>0.2</v>
      </c>
      <c r="P13" s="212">
        <v>1.4118311449950587E-2</v>
      </c>
      <c r="Q13" s="289">
        <v>0.13399999999999962</v>
      </c>
      <c r="R13" s="212">
        <v>9.4592686714668646E-3</v>
      </c>
      <c r="S13" s="210">
        <v>101.59745999999971</v>
      </c>
      <c r="T13" s="211" t="s">
        <v>402</v>
      </c>
      <c r="U13" s="211" t="s">
        <v>224</v>
      </c>
      <c r="V13" s="211"/>
      <c r="W13" s="211">
        <v>1</v>
      </c>
      <c r="X13" s="211" t="s">
        <v>417</v>
      </c>
      <c r="Y13" s="207" t="s">
        <v>387</v>
      </c>
      <c r="Z13" s="250"/>
      <c r="AA13" s="253">
        <f>SUMIF($U$117:$U$186,TRIM(AA6),$F$117:$F$186)</f>
        <v>0</v>
      </c>
      <c r="AB13" s="253">
        <f>SUMIF($U$117:$U$186,TRIM(AB6),$F$117:$F$186)</f>
        <v>1611.5420000000004</v>
      </c>
      <c r="AC13" s="253">
        <f t="shared" ref="AC13:AH13" si="8">SUMIF($U$117:$U$186,TRIM(AC6),$F$117:$F$186)</f>
        <v>1228.9280000000001</v>
      </c>
      <c r="AD13" s="253">
        <f t="shared" si="8"/>
        <v>3775.8909999999996</v>
      </c>
      <c r="AE13" s="253">
        <f t="shared" si="8"/>
        <v>3919.5130000000004</v>
      </c>
      <c r="AF13" s="253">
        <f t="shared" si="8"/>
        <v>0</v>
      </c>
      <c r="AG13" s="253">
        <f t="shared" si="8"/>
        <v>974.8370000000001</v>
      </c>
      <c r="AH13" s="253">
        <f t="shared" si="8"/>
        <v>0</v>
      </c>
    </row>
    <row r="14" spans="2:34">
      <c r="B14" s="659"/>
      <c r="C14" s="659"/>
      <c r="D14" s="215">
        <v>8</v>
      </c>
      <c r="E14" s="204" t="s">
        <v>418</v>
      </c>
      <c r="F14" s="210">
        <v>150.51400000000001</v>
      </c>
      <c r="G14" s="289">
        <v>31.675000000000001</v>
      </c>
      <c r="H14" s="289">
        <v>34.475000000000001</v>
      </c>
      <c r="I14" s="216">
        <f t="shared" si="1"/>
        <v>1.0883977900552486</v>
      </c>
      <c r="J14" s="211">
        <v>0</v>
      </c>
      <c r="K14" s="216">
        <f t="shared" si="2"/>
        <v>0</v>
      </c>
      <c r="L14" s="210">
        <v>107.51</v>
      </c>
      <c r="M14" s="216">
        <f t="shared" si="3"/>
        <v>1.0883977900552486</v>
      </c>
      <c r="N14" s="210">
        <v>301.02800000000008</v>
      </c>
      <c r="O14" s="211">
        <v>1.4</v>
      </c>
      <c r="P14" s="212">
        <v>4.4198895027624308E-2</v>
      </c>
      <c r="Q14" s="289">
        <v>1.4000000000000008</v>
      </c>
      <c r="R14" s="212">
        <v>4.4198895027624335E-2</v>
      </c>
      <c r="S14" s="210">
        <v>150.5140000000001</v>
      </c>
      <c r="T14" s="211" t="s">
        <v>419</v>
      </c>
      <c r="U14" s="211" t="s">
        <v>420</v>
      </c>
      <c r="V14" s="211"/>
      <c r="W14" s="211">
        <v>1</v>
      </c>
      <c r="X14" s="211" t="s">
        <v>421</v>
      </c>
      <c r="Y14" s="207"/>
      <c r="Z14" s="250"/>
      <c r="AA14" s="251"/>
      <c r="AB14" s="251"/>
      <c r="AC14" s="250"/>
      <c r="AD14" s="250"/>
      <c r="AE14" s="250"/>
      <c r="AF14" s="250"/>
      <c r="AG14" s="250"/>
      <c r="AH14" s="250"/>
    </row>
    <row r="15" spans="2:34">
      <c r="B15" s="659"/>
      <c r="C15" s="659"/>
      <c r="D15" s="215">
        <v>9</v>
      </c>
      <c r="E15" s="204" t="s">
        <v>422</v>
      </c>
      <c r="F15" s="210">
        <v>136.88999999999999</v>
      </c>
      <c r="G15" s="289">
        <v>214.05799999999999</v>
      </c>
      <c r="H15" s="289">
        <v>216.1</v>
      </c>
      <c r="I15" s="216">
        <f t="shared" si="1"/>
        <v>1.009539470610769</v>
      </c>
      <c r="J15" s="211">
        <v>0</v>
      </c>
      <c r="K15" s="216">
        <f t="shared" si="2"/>
        <v>0</v>
      </c>
      <c r="L15" s="210">
        <v>136.88999999999999</v>
      </c>
      <c r="M15" s="216">
        <f t="shared" si="3"/>
        <v>1.009539470610769</v>
      </c>
      <c r="N15" s="210">
        <v>279.52938000000017</v>
      </c>
      <c r="O15" s="211">
        <v>1</v>
      </c>
      <c r="P15" s="212">
        <v>4.6716310532659375E-3</v>
      </c>
      <c r="Q15" s="289">
        <v>1.0420000000000016</v>
      </c>
      <c r="R15" s="212">
        <v>4.8678395575031145E-3</v>
      </c>
      <c r="S15" s="210">
        <v>142.63938000000022</v>
      </c>
      <c r="T15" s="211" t="s">
        <v>405</v>
      </c>
      <c r="U15" s="211" t="s">
        <v>225</v>
      </c>
      <c r="V15" s="211"/>
      <c r="W15" s="211">
        <v>1</v>
      </c>
      <c r="X15" s="211" t="s">
        <v>423</v>
      </c>
      <c r="Y15" s="207"/>
      <c r="Z15" s="251">
        <f>SUM(W187:W256)</f>
        <v>70</v>
      </c>
      <c r="AA15" s="250">
        <f t="shared" ref="AA15:AH15" si="9">SUMIF($U$187:$U$256,TRIM(AA6),$W$187:$W$256)</f>
        <v>0</v>
      </c>
      <c r="AB15" s="250">
        <f t="shared" si="9"/>
        <v>9</v>
      </c>
      <c r="AC15" s="250">
        <f t="shared" si="9"/>
        <v>12</v>
      </c>
      <c r="AD15" s="250">
        <f t="shared" si="9"/>
        <v>29</v>
      </c>
      <c r="AE15" s="250">
        <f t="shared" si="9"/>
        <v>9</v>
      </c>
      <c r="AF15" s="250">
        <f t="shared" si="9"/>
        <v>2</v>
      </c>
      <c r="AG15" s="250">
        <f t="shared" si="9"/>
        <v>4</v>
      </c>
      <c r="AH15" s="250">
        <f t="shared" si="9"/>
        <v>0</v>
      </c>
    </row>
    <row r="16" spans="2:34">
      <c r="B16" s="659"/>
      <c r="C16" s="659"/>
      <c r="D16" s="215">
        <v>10</v>
      </c>
      <c r="E16" s="204" t="s">
        <v>424</v>
      </c>
      <c r="F16" s="210">
        <v>136.84</v>
      </c>
      <c r="G16" s="289">
        <v>38.78</v>
      </c>
      <c r="H16" s="289">
        <v>39.700000000000003</v>
      </c>
      <c r="I16" s="216">
        <f t="shared" si="1"/>
        <v>1.0237235688499227</v>
      </c>
      <c r="J16" s="211">
        <v>0</v>
      </c>
      <c r="K16" s="216">
        <f t="shared" si="2"/>
        <v>0</v>
      </c>
      <c r="L16" s="210">
        <v>273.68</v>
      </c>
      <c r="M16" s="216">
        <f t="shared" si="3"/>
        <v>1.0237235688499227</v>
      </c>
      <c r="N16" s="210">
        <v>251.78560000000047</v>
      </c>
      <c r="O16" s="211">
        <v>0.5</v>
      </c>
      <c r="P16" s="212">
        <v>1.2893243940175348E-2</v>
      </c>
      <c r="Q16" s="289">
        <v>0.42000000000000171</v>
      </c>
      <c r="R16" s="212">
        <v>1.0830324909747335E-2</v>
      </c>
      <c r="S16" s="210">
        <v>114.94560000000047</v>
      </c>
      <c r="T16" s="211" t="s">
        <v>405</v>
      </c>
      <c r="U16" s="211" t="s">
        <v>225</v>
      </c>
      <c r="V16" s="211"/>
      <c r="W16" s="211">
        <v>1</v>
      </c>
      <c r="X16" s="211" t="s">
        <v>425</v>
      </c>
      <c r="Y16" s="207" t="s">
        <v>388</v>
      </c>
      <c r="Z16" s="250"/>
      <c r="AA16" s="253">
        <f>SUMIF($U$187:$U$256,TRIM(AA6),$F$187:$F$256)</f>
        <v>0</v>
      </c>
      <c r="AB16" s="253">
        <f t="shared" ref="AB16:AH16" si="10">SUMIF($U$187:$U$256,TRIM(AB6),$F$187:$F$256)</f>
        <v>1195.5910000000001</v>
      </c>
      <c r="AC16" s="253">
        <f t="shared" si="10"/>
        <v>1614.134</v>
      </c>
      <c r="AD16" s="253">
        <f t="shared" si="10"/>
        <v>4035.8779999999997</v>
      </c>
      <c r="AE16" s="253">
        <f t="shared" si="10"/>
        <v>1269.0300000000002</v>
      </c>
      <c r="AF16" s="253">
        <f t="shared" si="10"/>
        <v>361.74299999999999</v>
      </c>
      <c r="AG16" s="253">
        <f t="shared" si="10"/>
        <v>619.197</v>
      </c>
      <c r="AH16" s="253">
        <f t="shared" si="10"/>
        <v>0</v>
      </c>
    </row>
    <row r="17" spans="2:34">
      <c r="B17" s="661">
        <v>45871</v>
      </c>
      <c r="C17" s="659" t="s">
        <v>271</v>
      </c>
      <c r="D17" s="215">
        <v>1</v>
      </c>
      <c r="E17" s="204" t="s">
        <v>414</v>
      </c>
      <c r="F17" s="210">
        <v>215.67700000000002</v>
      </c>
      <c r="G17" s="289">
        <v>83.532924092409303</v>
      </c>
      <c r="H17" s="289">
        <v>84.6</v>
      </c>
      <c r="I17" s="216">
        <f t="shared" si="1"/>
        <v>1.0127743152677169</v>
      </c>
      <c r="J17" s="211">
        <v>0</v>
      </c>
      <c r="K17" s="216">
        <f t="shared" si="2"/>
        <v>0</v>
      </c>
      <c r="L17" s="210">
        <v>308.11</v>
      </c>
      <c r="M17" s="216">
        <f t="shared" si="3"/>
        <v>1.0127743152677169</v>
      </c>
      <c r="N17" s="210">
        <v>328.77675788776799</v>
      </c>
      <c r="O17" s="211">
        <v>0.70000000000000007</v>
      </c>
      <c r="P17" s="212">
        <v>8.3799293225461213E-3</v>
      </c>
      <c r="Q17" s="289">
        <v>0.36707590759069142</v>
      </c>
      <c r="R17" s="212">
        <v>4.3943859451706646E-3</v>
      </c>
      <c r="S17" s="210">
        <v>113.09975788776794</v>
      </c>
      <c r="T17" s="211" t="s">
        <v>402</v>
      </c>
      <c r="U17" s="211" t="s">
        <v>224</v>
      </c>
      <c r="V17" s="211"/>
      <c r="W17" s="211">
        <v>1</v>
      </c>
      <c r="X17" s="211" t="s">
        <v>415</v>
      </c>
      <c r="Y17" s="207"/>
      <c r="Z17" s="250"/>
      <c r="AA17" s="251"/>
      <c r="AB17" s="251"/>
      <c r="AC17" s="250"/>
      <c r="AD17" s="250"/>
      <c r="AE17" s="250"/>
      <c r="AF17" s="250"/>
      <c r="AG17" s="250"/>
      <c r="AH17" s="250"/>
    </row>
    <row r="18" spans="2:34">
      <c r="B18" s="659"/>
      <c r="C18" s="659"/>
      <c r="D18" s="215">
        <v>2</v>
      </c>
      <c r="E18" s="204" t="s">
        <v>431</v>
      </c>
      <c r="F18" s="210">
        <v>213.816</v>
      </c>
      <c r="G18" s="289">
        <v>13.481999999999999</v>
      </c>
      <c r="H18" s="289">
        <v>14.1</v>
      </c>
      <c r="I18" s="216">
        <f t="shared" si="1"/>
        <v>1.045838896306186</v>
      </c>
      <c r="J18" s="211">
        <v>0</v>
      </c>
      <c r="K18" s="216">
        <f t="shared" si="2"/>
        <v>0</v>
      </c>
      <c r="L18" s="210">
        <v>534.54</v>
      </c>
      <c r="M18" s="216">
        <f t="shared" si="3"/>
        <v>1.045838896306186</v>
      </c>
      <c r="N18" s="210">
        <v>330.34572000000014</v>
      </c>
      <c r="O18" s="211">
        <v>0.4</v>
      </c>
      <c r="P18" s="212">
        <v>2.9669188547693223E-2</v>
      </c>
      <c r="Q18" s="289">
        <v>0.2180000000000003</v>
      </c>
      <c r="R18" s="212">
        <v>1.6169707758492829E-2</v>
      </c>
      <c r="S18" s="210">
        <v>116.52972000000015</v>
      </c>
      <c r="T18" s="211" t="s">
        <v>405</v>
      </c>
      <c r="U18" s="211" t="s">
        <v>225</v>
      </c>
      <c r="V18" s="211"/>
      <c r="W18" s="211">
        <v>1</v>
      </c>
      <c r="X18" s="211" t="s">
        <v>421</v>
      </c>
      <c r="Y18" s="207"/>
      <c r="Z18" s="251">
        <f>SUM(W257:W326)</f>
        <v>70</v>
      </c>
      <c r="AA18" s="250">
        <f t="shared" ref="AA18:AH18" si="11">SUMIF($U$257:$U$326,TRIM(AA6),$W$257:$W$326)</f>
        <v>0</v>
      </c>
      <c r="AB18" s="250">
        <f t="shared" si="11"/>
        <v>6</v>
      </c>
      <c r="AC18" s="250">
        <f t="shared" si="11"/>
        <v>16</v>
      </c>
      <c r="AD18" s="250">
        <f t="shared" si="11"/>
        <v>31</v>
      </c>
      <c r="AE18" s="250">
        <f t="shared" si="11"/>
        <v>6</v>
      </c>
      <c r="AF18" s="250">
        <f t="shared" si="11"/>
        <v>9</v>
      </c>
      <c r="AG18" s="250">
        <f t="shared" si="11"/>
        <v>2</v>
      </c>
      <c r="AH18" s="250">
        <f t="shared" si="11"/>
        <v>0</v>
      </c>
    </row>
    <row r="19" spans="2:34">
      <c r="B19" s="659"/>
      <c r="C19" s="659"/>
      <c r="D19" s="215">
        <v>3</v>
      </c>
      <c r="E19" s="204" t="s">
        <v>422</v>
      </c>
      <c r="F19" s="210">
        <v>191.64599999999996</v>
      </c>
      <c r="G19" s="289">
        <v>215.54</v>
      </c>
      <c r="H19" s="289">
        <v>218.23999999999998</v>
      </c>
      <c r="I19" s="216">
        <f t="shared" si="1"/>
        <v>1.0125266771828894</v>
      </c>
      <c r="J19" s="211">
        <v>0</v>
      </c>
      <c r="K19" s="216">
        <f t="shared" si="2"/>
        <v>0</v>
      </c>
      <c r="L19" s="210">
        <v>136.88999999999999</v>
      </c>
      <c r="M19" s="216">
        <f t="shared" si="3"/>
        <v>1.0125266771828894</v>
      </c>
      <c r="N19" s="210">
        <v>369.60299999999842</v>
      </c>
      <c r="O19" s="211">
        <v>1.4</v>
      </c>
      <c r="P19" s="212">
        <v>6.4953140948315856E-3</v>
      </c>
      <c r="Q19" s="289">
        <v>1.2999999999999887</v>
      </c>
      <c r="R19" s="212">
        <v>6.0313630880578489E-3</v>
      </c>
      <c r="S19" s="210">
        <v>177.95699999999843</v>
      </c>
      <c r="T19" s="211" t="s">
        <v>405</v>
      </c>
      <c r="U19" s="211" t="s">
        <v>225</v>
      </c>
      <c r="V19" s="211"/>
      <c r="W19" s="211">
        <v>1</v>
      </c>
      <c r="X19" s="211" t="s">
        <v>423</v>
      </c>
      <c r="Y19" s="207" t="s">
        <v>389</v>
      </c>
      <c r="Z19" s="250"/>
      <c r="AA19" s="253">
        <f>SUMIF($U$257:$U$326,TRIM(AA6),$F$257:$F$326)</f>
        <v>0</v>
      </c>
      <c r="AB19" s="253">
        <f t="shared" ref="AB19:AH19" si="12">SUMIF($U$257:$U$326,TRIM(AB6),$F$257:$F$326)</f>
        <v>834.86200000000008</v>
      </c>
      <c r="AC19" s="253">
        <f t="shared" si="12"/>
        <v>2231.3200000000002</v>
      </c>
      <c r="AD19" s="253">
        <f t="shared" si="12"/>
        <v>4146.4030000000002</v>
      </c>
      <c r="AE19" s="253">
        <f t="shared" si="12"/>
        <v>825.84</v>
      </c>
      <c r="AF19" s="253">
        <f t="shared" si="12"/>
        <v>1291.5520000000001</v>
      </c>
      <c r="AG19" s="253">
        <f t="shared" si="12"/>
        <v>257.928</v>
      </c>
      <c r="AH19" s="253">
        <f t="shared" si="12"/>
        <v>0</v>
      </c>
    </row>
    <row r="20" spans="2:34">
      <c r="B20" s="659"/>
      <c r="C20" s="659"/>
      <c r="D20" s="215">
        <v>4</v>
      </c>
      <c r="E20" s="204" t="s">
        <v>411</v>
      </c>
      <c r="F20" s="210">
        <v>190.83</v>
      </c>
      <c r="G20" s="289">
        <v>28.36</v>
      </c>
      <c r="H20" s="289">
        <v>29.46</v>
      </c>
      <c r="I20" s="216">
        <f t="shared" si="1"/>
        <v>1.0387870239774331</v>
      </c>
      <c r="J20" s="211">
        <v>0</v>
      </c>
      <c r="K20" s="216">
        <f t="shared" si="2"/>
        <v>0</v>
      </c>
      <c r="L20" s="210">
        <v>318.05</v>
      </c>
      <c r="M20" s="216">
        <f t="shared" si="3"/>
        <v>1.0387870239774331</v>
      </c>
      <c r="N20" s="210">
        <v>349.85500000000047</v>
      </c>
      <c r="O20" s="211">
        <v>0.6</v>
      </c>
      <c r="P20" s="212">
        <v>2.1156558533145273E-2</v>
      </c>
      <c r="Q20" s="289">
        <v>0.50000000000000144</v>
      </c>
      <c r="R20" s="212">
        <v>1.7630465444287782E-2</v>
      </c>
      <c r="S20" s="210">
        <v>159.02500000000046</v>
      </c>
      <c r="T20" s="211" t="s">
        <v>405</v>
      </c>
      <c r="U20" s="211" t="s">
        <v>225</v>
      </c>
      <c r="V20" s="211"/>
      <c r="W20" s="211">
        <v>1</v>
      </c>
      <c r="X20" s="211" t="s">
        <v>413</v>
      </c>
      <c r="Y20" s="207"/>
      <c r="Z20" s="250"/>
      <c r="AA20" s="251"/>
      <c r="AB20" s="251"/>
      <c r="AC20" s="250"/>
      <c r="AD20" s="250"/>
      <c r="AE20" s="250"/>
      <c r="AF20" s="250"/>
      <c r="AG20" s="250"/>
      <c r="AH20" s="250"/>
    </row>
    <row r="21" spans="2:34">
      <c r="B21" s="659"/>
      <c r="C21" s="659"/>
      <c r="D21" s="215">
        <v>5</v>
      </c>
      <c r="E21" s="204" t="s">
        <v>521</v>
      </c>
      <c r="F21" s="210">
        <v>174.3</v>
      </c>
      <c r="G21" s="289">
        <v>23.943999999999999</v>
      </c>
      <c r="H21" s="289">
        <v>24.7</v>
      </c>
      <c r="I21" s="216">
        <f t="shared" si="1"/>
        <v>1.0315736719011026</v>
      </c>
      <c r="J21" s="211">
        <v>0</v>
      </c>
      <c r="K21" s="216">
        <f t="shared" si="2"/>
        <v>0</v>
      </c>
      <c r="L21" s="210">
        <v>348.6</v>
      </c>
      <c r="M21" s="216">
        <f t="shared" si="3"/>
        <v>1.0315736719011026</v>
      </c>
      <c r="N21" s="210">
        <v>263.54160000000007</v>
      </c>
      <c r="O21" s="211">
        <v>0.5</v>
      </c>
      <c r="P21" s="212">
        <v>2.0882058135649851E-2</v>
      </c>
      <c r="Q21" s="289">
        <v>0.25600000000000023</v>
      </c>
      <c r="R21" s="212">
        <v>1.0691613765452733E-2</v>
      </c>
      <c r="S21" s="210">
        <v>89.241600000000091</v>
      </c>
      <c r="T21" s="211" t="s">
        <v>419</v>
      </c>
      <c r="U21" s="211" t="s">
        <v>522</v>
      </c>
      <c r="V21" s="211"/>
      <c r="W21" s="211">
        <v>1</v>
      </c>
      <c r="X21" s="211" t="s">
        <v>470</v>
      </c>
      <c r="Y21" s="207"/>
      <c r="Z21" s="208"/>
      <c r="AA21" s="208"/>
      <c r="AB21" s="208"/>
      <c r="AC21" s="208"/>
      <c r="AD21" s="208"/>
      <c r="AE21" s="208"/>
      <c r="AF21" s="208"/>
      <c r="AG21" s="208"/>
      <c r="AH21" s="208"/>
    </row>
    <row r="22" spans="2:34" ht="16.5">
      <c r="B22" s="659"/>
      <c r="C22" s="659"/>
      <c r="D22" s="215">
        <v>6</v>
      </c>
      <c r="E22" s="204" t="s">
        <v>401</v>
      </c>
      <c r="F22" s="210">
        <v>169.28800000000001</v>
      </c>
      <c r="G22" s="289">
        <v>6.516</v>
      </c>
      <c r="H22" s="289">
        <v>7</v>
      </c>
      <c r="I22" s="216">
        <f t="shared" si="1"/>
        <v>1.0742786985880908</v>
      </c>
      <c r="J22" s="211">
        <v>0</v>
      </c>
      <c r="K22" s="216">
        <f t="shared" si="2"/>
        <v>0</v>
      </c>
      <c r="L22" s="210">
        <v>846.44</v>
      </c>
      <c r="M22" s="216">
        <f t="shared" si="3"/>
        <v>1.0742786985880908</v>
      </c>
      <c r="N22" s="210">
        <v>409.67696000000001</v>
      </c>
      <c r="O22" s="211">
        <v>0.2</v>
      </c>
      <c r="P22" s="212">
        <v>3.0693677102516883E-2</v>
      </c>
      <c r="Q22" s="289">
        <v>0.28399999999999997</v>
      </c>
      <c r="R22" s="212">
        <v>4.3585021485573965E-2</v>
      </c>
      <c r="S22" s="210">
        <v>240.38896</v>
      </c>
      <c r="T22" s="211" t="s">
        <v>405</v>
      </c>
      <c r="U22" s="211" t="s">
        <v>225</v>
      </c>
      <c r="V22" s="211"/>
      <c r="W22" s="211">
        <v>1</v>
      </c>
      <c r="X22" s="211" t="s">
        <v>403</v>
      </c>
      <c r="Y22" s="252" t="s">
        <v>390</v>
      </c>
      <c r="Z22" s="250">
        <f>SUM(W7:W10000)</f>
        <v>390</v>
      </c>
      <c r="AA22" s="251">
        <f t="shared" ref="AA22:AH22" si="13">SUMIF($U$7:$U$10000,TRIM(AA6),$W$7:$W$10000)</f>
        <v>0</v>
      </c>
      <c r="AB22" s="251">
        <f t="shared" si="13"/>
        <v>40</v>
      </c>
      <c r="AC22" s="250">
        <f t="shared" si="13"/>
        <v>61</v>
      </c>
      <c r="AD22" s="250">
        <f t="shared" si="13"/>
        <v>156</v>
      </c>
      <c r="AE22" s="250">
        <f t="shared" si="13"/>
        <v>88</v>
      </c>
      <c r="AF22" s="250">
        <f t="shared" si="13"/>
        <v>18</v>
      </c>
      <c r="AG22" s="250">
        <f t="shared" si="13"/>
        <v>18</v>
      </c>
      <c r="AH22" s="250">
        <f t="shared" si="13"/>
        <v>0</v>
      </c>
    </row>
    <row r="23" spans="2:34">
      <c r="B23" s="659"/>
      <c r="C23" s="659"/>
      <c r="D23" s="215">
        <v>7</v>
      </c>
      <c r="E23" s="204" t="s">
        <v>404</v>
      </c>
      <c r="F23" s="210">
        <v>165.98000000000002</v>
      </c>
      <c r="G23" s="289">
        <v>21.91</v>
      </c>
      <c r="H23" s="289">
        <v>22.7</v>
      </c>
      <c r="I23" s="216">
        <f t="shared" si="1"/>
        <v>1.0360565951620264</v>
      </c>
      <c r="J23" s="211">
        <v>0</v>
      </c>
      <c r="K23" s="216">
        <f t="shared" si="2"/>
        <v>0</v>
      </c>
      <c r="L23" s="210">
        <v>414.95</v>
      </c>
      <c r="M23" s="216">
        <f t="shared" si="3"/>
        <v>1.0360565951620264</v>
      </c>
      <c r="N23" s="210">
        <v>327.81049999999965</v>
      </c>
      <c r="O23" s="211">
        <v>0.4</v>
      </c>
      <c r="P23" s="212">
        <v>1.8256503879507075E-2</v>
      </c>
      <c r="Q23" s="289">
        <v>0.38999999999999913</v>
      </c>
      <c r="R23" s="212">
        <v>1.7800091282519359E-2</v>
      </c>
      <c r="S23" s="210">
        <v>161.83049999999963</v>
      </c>
      <c r="T23" s="211" t="s">
        <v>402</v>
      </c>
      <c r="U23" s="211" t="s">
        <v>224</v>
      </c>
      <c r="V23" s="211"/>
      <c r="W23" s="211">
        <v>1</v>
      </c>
      <c r="X23" s="211" t="s">
        <v>406</v>
      </c>
      <c r="Z23" s="250"/>
      <c r="AA23" s="253">
        <f t="shared" ref="AA23:AH23" si="14">SUMIF($U$7:$U$10000,TRIM(AA6),$F$7:$F$10000)</f>
        <v>0</v>
      </c>
      <c r="AB23" s="253">
        <f t="shared" si="14"/>
        <v>5813.0229999999992</v>
      </c>
      <c r="AC23" s="253">
        <f t="shared" si="14"/>
        <v>9083.1130000000048</v>
      </c>
      <c r="AD23" s="253">
        <f t="shared" si="14"/>
        <v>22970.743999999999</v>
      </c>
      <c r="AE23" s="253">
        <f t="shared" si="14"/>
        <v>14385.517000000002</v>
      </c>
      <c r="AF23" s="253">
        <f t="shared" si="14"/>
        <v>2784.933</v>
      </c>
      <c r="AG23" s="253">
        <f t="shared" si="14"/>
        <v>3061.675999999999</v>
      </c>
      <c r="AH23" s="253">
        <f t="shared" si="14"/>
        <v>0</v>
      </c>
    </row>
    <row r="24" spans="2:34">
      <c r="B24" s="659"/>
      <c r="C24" s="659"/>
      <c r="D24" s="215">
        <v>8</v>
      </c>
      <c r="E24" s="204" t="s">
        <v>523</v>
      </c>
      <c r="F24" s="210">
        <v>164.18800000000002</v>
      </c>
      <c r="G24" s="289">
        <v>11.843999999999999</v>
      </c>
      <c r="H24" s="289">
        <v>12.5</v>
      </c>
      <c r="I24" s="216">
        <f t="shared" si="1"/>
        <v>1.0553866936845662</v>
      </c>
      <c r="J24" s="211">
        <v>0</v>
      </c>
      <c r="K24" s="216">
        <f t="shared" si="2"/>
        <v>0</v>
      </c>
      <c r="L24" s="210">
        <v>410.47</v>
      </c>
      <c r="M24" s="216">
        <f t="shared" si="3"/>
        <v>1.0553866936845662</v>
      </c>
      <c r="N24" s="210">
        <v>269.26832000000024</v>
      </c>
      <c r="O24" s="211">
        <v>0.4</v>
      </c>
      <c r="P24" s="212">
        <v>3.3772374197906116E-2</v>
      </c>
      <c r="Q24" s="289">
        <v>0.25600000000000056</v>
      </c>
      <c r="R24" s="212">
        <v>2.1614319486659962E-2</v>
      </c>
      <c r="S24" s="210">
        <v>105.08032000000024</v>
      </c>
      <c r="T24" s="211" t="s">
        <v>419</v>
      </c>
      <c r="U24" s="211" t="s">
        <v>522</v>
      </c>
      <c r="V24" s="211"/>
      <c r="W24" s="211">
        <v>1</v>
      </c>
      <c r="X24" s="211" t="s">
        <v>456</v>
      </c>
    </row>
    <row r="25" spans="2:34">
      <c r="B25" s="659"/>
      <c r="C25" s="659"/>
      <c r="D25" s="215">
        <v>9</v>
      </c>
      <c r="E25" s="204" t="s">
        <v>426</v>
      </c>
      <c r="F25" s="210">
        <v>153.018</v>
      </c>
      <c r="G25" s="289">
        <v>45.904000000000003</v>
      </c>
      <c r="H25" s="289">
        <v>46.5</v>
      </c>
      <c r="I25" s="216">
        <f t="shared" si="1"/>
        <v>1.0129836179853606</v>
      </c>
      <c r="J25" s="211">
        <v>0</v>
      </c>
      <c r="K25" s="216">
        <f t="shared" si="2"/>
        <v>0</v>
      </c>
      <c r="L25" s="210">
        <v>510.06</v>
      </c>
      <c r="M25" s="216">
        <f t="shared" si="3"/>
        <v>1.0129836179853606</v>
      </c>
      <c r="N25" s="210">
        <v>303.99575999999826</v>
      </c>
      <c r="O25" s="211">
        <v>0.3</v>
      </c>
      <c r="P25" s="212">
        <v>6.5353781805507138E-3</v>
      </c>
      <c r="Q25" s="289">
        <v>0.29599999999999654</v>
      </c>
      <c r="R25" s="212">
        <v>6.4482398048099623E-3</v>
      </c>
      <c r="S25" s="210">
        <v>150.97775999999823</v>
      </c>
      <c r="T25" s="211" t="s">
        <v>405</v>
      </c>
      <c r="U25" s="211" t="s">
        <v>225</v>
      </c>
      <c r="V25" s="211"/>
      <c r="W25" s="211">
        <v>1</v>
      </c>
      <c r="X25" s="211" t="s">
        <v>427</v>
      </c>
    </row>
    <row r="26" spans="2:34">
      <c r="B26" s="659"/>
      <c r="C26" s="659"/>
      <c r="D26" s="215">
        <v>10</v>
      </c>
      <c r="E26" s="204" t="s">
        <v>524</v>
      </c>
      <c r="F26" s="210">
        <v>151.6</v>
      </c>
      <c r="G26" s="289">
        <v>49.776000000000003</v>
      </c>
      <c r="H26" s="289">
        <v>51.4</v>
      </c>
      <c r="I26" s="216">
        <f t="shared" si="1"/>
        <v>1.0326261652201862</v>
      </c>
      <c r="J26" s="211">
        <v>0</v>
      </c>
      <c r="K26" s="216">
        <f t="shared" si="2"/>
        <v>0</v>
      </c>
      <c r="L26" s="210">
        <v>151.6</v>
      </c>
      <c r="M26" s="216">
        <f t="shared" si="3"/>
        <v>1.0326261652201862</v>
      </c>
      <c r="N26" s="210">
        <v>246.19839999999925</v>
      </c>
      <c r="O26" s="211">
        <v>1</v>
      </c>
      <c r="P26" s="212">
        <v>2.0090003214400513E-2</v>
      </c>
      <c r="Q26" s="289">
        <v>0.62399999999999523</v>
      </c>
      <c r="R26" s="212">
        <v>1.2536162005785825E-2</v>
      </c>
      <c r="S26" s="210">
        <v>94.598399999999273</v>
      </c>
      <c r="T26" s="211" t="s">
        <v>419</v>
      </c>
      <c r="U26" s="211" t="s">
        <v>522</v>
      </c>
      <c r="V26" s="211"/>
      <c r="W26" s="211">
        <v>1</v>
      </c>
      <c r="X26" s="211" t="s">
        <v>493</v>
      </c>
    </row>
    <row r="27" spans="2:34">
      <c r="B27" s="661">
        <v>45872</v>
      </c>
      <c r="C27" s="659" t="s">
        <v>284</v>
      </c>
      <c r="D27" s="215">
        <v>1</v>
      </c>
      <c r="E27" s="204" t="s">
        <v>422</v>
      </c>
      <c r="F27" s="205">
        <v>191.64599999999996</v>
      </c>
      <c r="G27" s="290">
        <v>261.98</v>
      </c>
      <c r="H27" s="290">
        <v>264.28000000000003</v>
      </c>
      <c r="I27" s="216">
        <f t="shared" si="1"/>
        <v>1.0087792961294755</v>
      </c>
      <c r="J27" s="204">
        <v>0</v>
      </c>
      <c r="K27" s="216">
        <f t="shared" si="2"/>
        <v>0</v>
      </c>
      <c r="L27" s="205">
        <v>136.88999999999999</v>
      </c>
      <c r="M27" s="216">
        <f t="shared" si="3"/>
        <v>1.0087792961294755</v>
      </c>
      <c r="N27" s="205">
        <v>314.84700000000151</v>
      </c>
      <c r="O27" s="204">
        <v>1.4</v>
      </c>
      <c r="P27" s="206">
        <v>5.3439193831590192E-3</v>
      </c>
      <c r="Q27" s="290">
        <v>0.90000000000001146</v>
      </c>
      <c r="R27" s="206">
        <v>3.4353767463165563E-3</v>
      </c>
      <c r="S27" s="205">
        <v>123.20100000000156</v>
      </c>
      <c r="T27" s="204" t="s">
        <v>405</v>
      </c>
      <c r="U27" s="204" t="s">
        <v>225</v>
      </c>
      <c r="V27" s="204"/>
      <c r="W27" s="211">
        <v>1</v>
      </c>
      <c r="X27" s="204" t="s">
        <v>423</v>
      </c>
    </row>
    <row r="28" spans="2:34">
      <c r="B28" s="659"/>
      <c r="C28" s="659"/>
      <c r="D28" s="215">
        <v>2</v>
      </c>
      <c r="E28" s="204" t="s">
        <v>525</v>
      </c>
      <c r="F28" s="205">
        <v>186.072</v>
      </c>
      <c r="G28" s="290">
        <v>12.023</v>
      </c>
      <c r="H28" s="290">
        <v>12.4</v>
      </c>
      <c r="I28" s="216">
        <f t="shared" si="1"/>
        <v>1.0313565665807203</v>
      </c>
      <c r="J28" s="204">
        <v>0</v>
      </c>
      <c r="K28" s="216">
        <f t="shared" si="2"/>
        <v>0</v>
      </c>
      <c r="L28" s="205">
        <v>930.36</v>
      </c>
      <c r="M28" s="216">
        <f t="shared" si="3"/>
        <v>1.0313565665807203</v>
      </c>
      <c r="N28" s="205">
        <v>350.74572000000063</v>
      </c>
      <c r="O28" s="204">
        <v>0.2</v>
      </c>
      <c r="P28" s="206">
        <v>1.6634783331947102E-2</v>
      </c>
      <c r="Q28" s="290">
        <v>0.17700000000000066</v>
      </c>
      <c r="R28" s="206">
        <v>1.472178324877324E-2</v>
      </c>
      <c r="S28" s="205">
        <v>164.6737200000006</v>
      </c>
      <c r="T28" s="204" t="s">
        <v>419</v>
      </c>
      <c r="U28" s="211" t="s">
        <v>420</v>
      </c>
      <c r="V28" s="204"/>
      <c r="W28" s="211">
        <v>1</v>
      </c>
      <c r="X28" s="204" t="s">
        <v>474</v>
      </c>
    </row>
    <row r="29" spans="2:34">
      <c r="B29" s="659"/>
      <c r="C29" s="659"/>
      <c r="D29" s="215">
        <v>3</v>
      </c>
      <c r="E29" s="204" t="s">
        <v>526</v>
      </c>
      <c r="F29" s="205">
        <v>174.60000000000002</v>
      </c>
      <c r="G29" s="290">
        <v>1.4590000000000001</v>
      </c>
      <c r="H29" s="290">
        <v>2.1589999999999998</v>
      </c>
      <c r="I29" s="216">
        <f t="shared" si="1"/>
        <v>1.4797806716929403</v>
      </c>
      <c r="J29" s="204">
        <v>0</v>
      </c>
      <c r="K29" s="216">
        <f t="shared" si="2"/>
        <v>0</v>
      </c>
      <c r="L29" s="205">
        <v>436.5</v>
      </c>
      <c r="M29" s="216">
        <f t="shared" si="3"/>
        <v>1.4797806716929403</v>
      </c>
      <c r="N29" s="205">
        <v>305.5499999999999</v>
      </c>
      <c r="O29" s="204">
        <v>0.4</v>
      </c>
      <c r="P29" s="206">
        <v>0.27416038382453733</v>
      </c>
      <c r="Q29" s="290">
        <v>0.29999999999999971</v>
      </c>
      <c r="R29" s="206">
        <v>0.20562028786840281</v>
      </c>
      <c r="S29" s="205">
        <v>130.94999999999987</v>
      </c>
      <c r="T29" s="204" t="s">
        <v>419</v>
      </c>
      <c r="U29" s="204" t="s">
        <v>420</v>
      </c>
      <c r="V29" s="204"/>
      <c r="W29" s="211">
        <v>1</v>
      </c>
      <c r="X29" s="204" t="s">
        <v>434</v>
      </c>
    </row>
    <row r="30" spans="2:34">
      <c r="B30" s="659"/>
      <c r="C30" s="659"/>
      <c r="D30" s="215">
        <v>4</v>
      </c>
      <c r="E30" s="204" t="s">
        <v>527</v>
      </c>
      <c r="F30" s="205">
        <v>172.80500000000001</v>
      </c>
      <c r="G30" s="290">
        <v>15.36</v>
      </c>
      <c r="H30" s="290">
        <v>18.059999999999999</v>
      </c>
      <c r="I30" s="216">
        <f t="shared" si="1"/>
        <v>1.17578125</v>
      </c>
      <c r="J30" s="204">
        <v>0</v>
      </c>
      <c r="K30" s="216">
        <f t="shared" si="2"/>
        <v>0</v>
      </c>
      <c r="L30" s="205">
        <v>101.65</v>
      </c>
      <c r="M30" s="216">
        <f t="shared" si="3"/>
        <v>1.17578125</v>
      </c>
      <c r="N30" s="205">
        <v>274.45499999999993</v>
      </c>
      <c r="O30" s="204">
        <v>1.7</v>
      </c>
      <c r="P30" s="206">
        <v>0.11067708333333333</v>
      </c>
      <c r="Q30" s="290">
        <v>0.99999999999999933</v>
      </c>
      <c r="R30" s="206">
        <v>6.510416666666663E-2</v>
      </c>
      <c r="S30" s="205">
        <v>101.64999999999993</v>
      </c>
      <c r="T30" s="204" t="s">
        <v>419</v>
      </c>
      <c r="U30" s="204" t="s">
        <v>420</v>
      </c>
      <c r="V30" s="204"/>
      <c r="W30" s="211">
        <v>1</v>
      </c>
      <c r="X30" s="204" t="s">
        <v>477</v>
      </c>
    </row>
    <row r="31" spans="2:34">
      <c r="B31" s="659"/>
      <c r="C31" s="659"/>
      <c r="D31" s="215">
        <v>5</v>
      </c>
      <c r="E31" s="204" t="s">
        <v>528</v>
      </c>
      <c r="F31" s="205">
        <v>168.13200000000001</v>
      </c>
      <c r="G31" s="290">
        <v>90.86</v>
      </c>
      <c r="H31" s="290">
        <v>91.6</v>
      </c>
      <c r="I31" s="216">
        <f t="shared" si="1"/>
        <v>1.0081443979749063</v>
      </c>
      <c r="J31" s="204">
        <v>0</v>
      </c>
      <c r="K31" s="216">
        <f t="shared" si="2"/>
        <v>0</v>
      </c>
      <c r="L31" s="205">
        <v>420.33</v>
      </c>
      <c r="M31" s="216">
        <f t="shared" si="3"/>
        <v>1.0081443979749063</v>
      </c>
      <c r="N31" s="205">
        <v>311.04419999999783</v>
      </c>
      <c r="O31" s="204">
        <v>0.4</v>
      </c>
      <c r="P31" s="206">
        <v>4.4023772837332165E-3</v>
      </c>
      <c r="Q31" s="290">
        <v>0.33999999999999486</v>
      </c>
      <c r="R31" s="206">
        <v>3.7420206911731768E-3</v>
      </c>
      <c r="S31" s="205">
        <v>142.91219999999782</v>
      </c>
      <c r="T31" s="204" t="s">
        <v>405</v>
      </c>
      <c r="U31" s="211" t="s">
        <v>225</v>
      </c>
      <c r="V31" s="204"/>
      <c r="W31" s="211">
        <v>1</v>
      </c>
      <c r="X31" s="204" t="s">
        <v>487</v>
      </c>
    </row>
    <row r="32" spans="2:34">
      <c r="B32" s="659"/>
      <c r="C32" s="659"/>
      <c r="D32" s="215">
        <v>6</v>
      </c>
      <c r="E32" s="204" t="s">
        <v>529</v>
      </c>
      <c r="F32" s="205">
        <v>165.72400000000002</v>
      </c>
      <c r="G32" s="290">
        <v>136.535</v>
      </c>
      <c r="H32" s="290">
        <v>138.63499999999999</v>
      </c>
      <c r="I32" s="216">
        <f t="shared" si="1"/>
        <v>1.0153806716226608</v>
      </c>
      <c r="J32" s="204">
        <v>0</v>
      </c>
      <c r="K32" s="216">
        <f t="shared" si="2"/>
        <v>0</v>
      </c>
      <c r="L32" s="205">
        <v>127.48</v>
      </c>
      <c r="M32" s="216">
        <f t="shared" si="3"/>
        <v>1.0153806716226608</v>
      </c>
      <c r="N32" s="205">
        <v>267.70799999999929</v>
      </c>
      <c r="O32" s="204">
        <v>1.3</v>
      </c>
      <c r="P32" s="206">
        <v>9.5213681473614829E-3</v>
      </c>
      <c r="Q32" s="290">
        <v>0.79999999999999427</v>
      </c>
      <c r="R32" s="206">
        <v>5.8593034752993317E-3</v>
      </c>
      <c r="S32" s="205">
        <v>101.98399999999927</v>
      </c>
      <c r="T32" s="204" t="s">
        <v>402</v>
      </c>
      <c r="U32" s="204" t="s">
        <v>224</v>
      </c>
      <c r="V32" s="204"/>
      <c r="W32" s="211">
        <v>1</v>
      </c>
      <c r="X32" s="204" t="s">
        <v>417</v>
      </c>
    </row>
    <row r="33" spans="2:24">
      <c r="B33" s="659"/>
      <c r="C33" s="659"/>
      <c r="D33" s="215">
        <v>7</v>
      </c>
      <c r="E33" s="204" t="s">
        <v>530</v>
      </c>
      <c r="F33" s="205">
        <v>165.33300000000003</v>
      </c>
      <c r="G33" s="290">
        <v>375.3</v>
      </c>
      <c r="H33" s="290">
        <v>378.6</v>
      </c>
      <c r="I33" s="216">
        <f t="shared" si="1"/>
        <v>1.0087929656274981</v>
      </c>
      <c r="J33" s="204">
        <v>0</v>
      </c>
      <c r="K33" s="216">
        <f t="shared" si="2"/>
        <v>0</v>
      </c>
      <c r="L33" s="205">
        <v>78.73</v>
      </c>
      <c r="M33" s="216">
        <f t="shared" si="3"/>
        <v>1.0087929656274981</v>
      </c>
      <c r="N33" s="205">
        <v>259.80900000000094</v>
      </c>
      <c r="O33" s="204">
        <v>2.1</v>
      </c>
      <c r="P33" s="206">
        <v>5.5955235811350921E-3</v>
      </c>
      <c r="Q33" s="290">
        <v>1.2000000000000113</v>
      </c>
      <c r="R33" s="206">
        <v>3.1974420463629395E-3</v>
      </c>
      <c r="S33" s="205">
        <v>94.476000000000894</v>
      </c>
      <c r="T33" s="204" t="s">
        <v>402</v>
      </c>
      <c r="U33" s="204" t="s">
        <v>224</v>
      </c>
      <c r="V33" s="204"/>
      <c r="W33" s="211">
        <v>1</v>
      </c>
      <c r="X33" s="204" t="s">
        <v>478</v>
      </c>
    </row>
    <row r="34" spans="2:24">
      <c r="B34" s="659"/>
      <c r="C34" s="659"/>
      <c r="D34" s="215">
        <v>8</v>
      </c>
      <c r="E34" s="204" t="s">
        <v>424</v>
      </c>
      <c r="F34" s="205">
        <v>164.208</v>
      </c>
      <c r="G34" s="290">
        <v>46.865000000000002</v>
      </c>
      <c r="H34" s="290">
        <v>47.965000000000003</v>
      </c>
      <c r="I34" s="216">
        <f t="shared" si="1"/>
        <v>1.0234716739571108</v>
      </c>
      <c r="J34" s="204">
        <v>0</v>
      </c>
      <c r="K34" s="216">
        <f t="shared" si="2"/>
        <v>0</v>
      </c>
      <c r="L34" s="205">
        <v>273.68</v>
      </c>
      <c r="M34" s="216">
        <f t="shared" si="3"/>
        <v>1.0234716739571108</v>
      </c>
      <c r="N34" s="205">
        <v>301.0480000000004</v>
      </c>
      <c r="O34" s="204">
        <v>0.6</v>
      </c>
      <c r="P34" s="206">
        <v>1.2802731249333191E-2</v>
      </c>
      <c r="Q34" s="290">
        <v>0.50000000000000144</v>
      </c>
      <c r="R34" s="206">
        <v>1.066894270777769E-2</v>
      </c>
      <c r="S34" s="205">
        <v>136.8400000000004</v>
      </c>
      <c r="T34" s="204" t="s">
        <v>405</v>
      </c>
      <c r="U34" s="211" t="s">
        <v>225</v>
      </c>
      <c r="V34" s="204"/>
      <c r="W34" s="211">
        <v>1</v>
      </c>
      <c r="X34" s="204" t="s">
        <v>425</v>
      </c>
    </row>
    <row r="35" spans="2:24">
      <c r="B35" s="659"/>
      <c r="C35" s="659"/>
      <c r="D35" s="215">
        <v>9</v>
      </c>
      <c r="E35" s="204" t="s">
        <v>531</v>
      </c>
      <c r="F35" s="205">
        <v>162.864</v>
      </c>
      <c r="G35" s="290">
        <v>20.835000000000001</v>
      </c>
      <c r="H35" s="290">
        <v>22.335000000000001</v>
      </c>
      <c r="I35" s="216">
        <f t="shared" si="1"/>
        <v>1.0719942404607632</v>
      </c>
      <c r="J35" s="204">
        <v>0</v>
      </c>
      <c r="K35" s="216">
        <f t="shared" si="2"/>
        <v>0</v>
      </c>
      <c r="L35" s="205">
        <v>180.96</v>
      </c>
      <c r="M35" s="216">
        <f t="shared" si="3"/>
        <v>1.0719942404607632</v>
      </c>
      <c r="N35" s="205">
        <v>271.44</v>
      </c>
      <c r="O35" s="204">
        <v>0.9</v>
      </c>
      <c r="P35" s="206">
        <v>4.3196544276457881E-2</v>
      </c>
      <c r="Q35" s="290">
        <v>0.6</v>
      </c>
      <c r="R35" s="206">
        <v>2.8797696184305253E-2</v>
      </c>
      <c r="S35" s="205">
        <v>108.57600000000001</v>
      </c>
      <c r="T35" s="204" t="s">
        <v>402</v>
      </c>
      <c r="U35" s="204" t="s">
        <v>224</v>
      </c>
      <c r="V35" s="204"/>
      <c r="W35" s="211">
        <v>1</v>
      </c>
      <c r="X35" s="204" t="s">
        <v>468</v>
      </c>
    </row>
    <row r="36" spans="2:24">
      <c r="B36" s="659"/>
      <c r="C36" s="659"/>
      <c r="D36" s="215">
        <v>10</v>
      </c>
      <c r="E36" s="204" t="s">
        <v>411</v>
      </c>
      <c r="F36" s="205">
        <v>159.02500000000001</v>
      </c>
      <c r="G36" s="290">
        <v>41.167999999999999</v>
      </c>
      <c r="H36" s="290">
        <v>42.1</v>
      </c>
      <c r="I36" s="216">
        <f t="shared" si="1"/>
        <v>1.0226389428682472</v>
      </c>
      <c r="J36" s="204">
        <v>0</v>
      </c>
      <c r="K36" s="216">
        <f t="shared" si="2"/>
        <v>0</v>
      </c>
      <c r="L36" s="205">
        <v>318.05</v>
      </c>
      <c r="M36" s="216">
        <f t="shared" si="3"/>
        <v>1.0226389428682472</v>
      </c>
      <c r="N36" s="205">
        <v>296.42260000000067</v>
      </c>
      <c r="O36" s="204">
        <v>0.5</v>
      </c>
      <c r="P36" s="206">
        <v>1.2145355616012437E-2</v>
      </c>
      <c r="Q36" s="290">
        <v>0.43200000000000216</v>
      </c>
      <c r="R36" s="206">
        <v>1.0493587252234798E-2</v>
      </c>
      <c r="S36" s="205">
        <v>137.39760000000069</v>
      </c>
      <c r="T36" s="204" t="s">
        <v>405</v>
      </c>
      <c r="U36" s="204" t="s">
        <v>225</v>
      </c>
      <c r="V36" s="204"/>
      <c r="W36" s="211">
        <v>1</v>
      </c>
      <c r="X36" s="204" t="s">
        <v>413</v>
      </c>
    </row>
    <row r="37" spans="2:24">
      <c r="B37" s="661">
        <v>45873</v>
      </c>
      <c r="C37" s="659" t="s">
        <v>285</v>
      </c>
      <c r="D37" s="215">
        <v>1</v>
      </c>
      <c r="E37" s="204" t="s">
        <v>411</v>
      </c>
      <c r="F37" s="205">
        <v>222.63499999999999</v>
      </c>
      <c r="G37" s="290">
        <v>42.207999999999998</v>
      </c>
      <c r="H37" s="290">
        <v>43.507999999999996</v>
      </c>
      <c r="I37" s="216">
        <f t="shared" si="1"/>
        <v>1.0307998483699772</v>
      </c>
      <c r="J37" s="204">
        <v>0</v>
      </c>
      <c r="K37" s="216">
        <f t="shared" si="2"/>
        <v>0</v>
      </c>
      <c r="L37" s="205">
        <v>318.05</v>
      </c>
      <c r="M37" s="216">
        <f t="shared" si="3"/>
        <v>1.0307998483699772</v>
      </c>
      <c r="N37" s="205">
        <v>413.46499999999912</v>
      </c>
      <c r="O37" s="204">
        <v>0.7</v>
      </c>
      <c r="P37" s="206">
        <v>1.6584533737680061E-2</v>
      </c>
      <c r="Q37" s="290">
        <v>0.5999999999999972</v>
      </c>
      <c r="R37" s="206">
        <v>1.4215314632297129E-2</v>
      </c>
      <c r="S37" s="205">
        <v>190.8299999999991</v>
      </c>
      <c r="T37" s="204" t="s">
        <v>405</v>
      </c>
      <c r="U37" s="204" t="s">
        <v>225</v>
      </c>
      <c r="V37" s="204"/>
      <c r="W37" s="211">
        <v>1</v>
      </c>
      <c r="X37" s="204" t="s">
        <v>413</v>
      </c>
    </row>
    <row r="38" spans="2:24">
      <c r="B38" s="659"/>
      <c r="C38" s="659"/>
      <c r="D38" s="215">
        <v>2</v>
      </c>
      <c r="E38" s="204" t="s">
        <v>532</v>
      </c>
      <c r="F38" s="205">
        <v>189.56100000000001</v>
      </c>
      <c r="G38" s="290">
        <v>8.8740000000000006</v>
      </c>
      <c r="H38" s="290">
        <v>9.1999999999999993</v>
      </c>
      <c r="I38" s="216">
        <f t="shared" si="1"/>
        <v>1.0367365336939371</v>
      </c>
      <c r="J38" s="204">
        <v>0</v>
      </c>
      <c r="K38" s="216">
        <f t="shared" si="2"/>
        <v>0</v>
      </c>
      <c r="L38" s="205">
        <v>631.87</v>
      </c>
      <c r="M38" s="216">
        <f t="shared" si="3"/>
        <v>1.0367365336939371</v>
      </c>
      <c r="N38" s="205">
        <v>205.98961999999921</v>
      </c>
      <c r="O38" s="204">
        <v>0.3</v>
      </c>
      <c r="P38" s="206">
        <v>3.3806626098715348E-2</v>
      </c>
      <c r="Q38" s="290">
        <v>2.5999999999998746E-2</v>
      </c>
      <c r="R38" s="206">
        <v>2.9299075952218556E-3</v>
      </c>
      <c r="S38" s="205">
        <v>16.428619999999206</v>
      </c>
      <c r="T38" s="204" t="s">
        <v>405</v>
      </c>
      <c r="U38" s="204" t="s">
        <v>412</v>
      </c>
      <c r="V38" s="204"/>
      <c r="W38" s="211">
        <v>1</v>
      </c>
      <c r="X38" s="204" t="s">
        <v>481</v>
      </c>
    </row>
    <row r="39" spans="2:24">
      <c r="B39" s="659"/>
      <c r="C39" s="659"/>
      <c r="D39" s="215">
        <v>3</v>
      </c>
      <c r="E39" s="204" t="s">
        <v>414</v>
      </c>
      <c r="F39" s="205">
        <v>184.86600000000001</v>
      </c>
      <c r="G39" s="290">
        <v>103.905689768977</v>
      </c>
      <c r="H39" s="290">
        <v>105.1</v>
      </c>
      <c r="I39" s="216">
        <f t="shared" si="1"/>
        <v>1.0114941754746869</v>
      </c>
      <c r="J39" s="204">
        <v>0</v>
      </c>
      <c r="K39" s="216">
        <f t="shared" si="2"/>
        <v>0</v>
      </c>
      <c r="L39" s="205">
        <v>308.11</v>
      </c>
      <c r="M39" s="216">
        <f t="shared" si="3"/>
        <v>1.0114941754746869</v>
      </c>
      <c r="N39" s="205">
        <v>367.97892528049533</v>
      </c>
      <c r="O39" s="204">
        <v>0.6</v>
      </c>
      <c r="P39" s="206">
        <v>5.774467224403541E-3</v>
      </c>
      <c r="Q39" s="290">
        <v>0.59431023102299607</v>
      </c>
      <c r="R39" s="206">
        <v>5.7197082502833119E-3</v>
      </c>
      <c r="S39" s="205">
        <v>183.11292528049532</v>
      </c>
      <c r="T39" s="204" t="s">
        <v>402</v>
      </c>
      <c r="U39" s="204" t="s">
        <v>224</v>
      </c>
      <c r="V39" s="204"/>
      <c r="W39" s="211">
        <v>1</v>
      </c>
      <c r="X39" s="204" t="s">
        <v>415</v>
      </c>
    </row>
    <row r="40" spans="2:24">
      <c r="B40" s="659"/>
      <c r="C40" s="659"/>
      <c r="D40" s="215">
        <v>4</v>
      </c>
      <c r="E40" s="204" t="s">
        <v>533</v>
      </c>
      <c r="F40" s="205">
        <v>178.41</v>
      </c>
      <c r="G40" s="290">
        <v>41.514000000000003</v>
      </c>
      <c r="H40" s="290">
        <v>42.614000000000004</v>
      </c>
      <c r="I40" s="216">
        <f t="shared" si="1"/>
        <v>1.0264970853206148</v>
      </c>
      <c r="J40" s="204">
        <v>0</v>
      </c>
      <c r="K40" s="216">
        <f t="shared" si="2"/>
        <v>0</v>
      </c>
      <c r="L40" s="205">
        <v>297.35000000000002</v>
      </c>
      <c r="M40" s="216">
        <f t="shared" si="3"/>
        <v>1.0264970853206148</v>
      </c>
      <c r="N40" s="205">
        <v>327.08500000000043</v>
      </c>
      <c r="O40" s="204">
        <v>0.6</v>
      </c>
      <c r="P40" s="206">
        <v>1.4452955629426216E-2</v>
      </c>
      <c r="Q40" s="290">
        <v>0.50000000000000144</v>
      </c>
      <c r="R40" s="206">
        <v>1.2044129691188548E-2</v>
      </c>
      <c r="S40" s="205">
        <v>148.67500000000044</v>
      </c>
      <c r="T40" s="204" t="s">
        <v>405</v>
      </c>
      <c r="U40" s="204" t="s">
        <v>225</v>
      </c>
      <c r="V40" s="204"/>
      <c r="W40" s="211">
        <v>1</v>
      </c>
      <c r="X40" s="204" t="s">
        <v>474</v>
      </c>
    </row>
    <row r="41" spans="2:24">
      <c r="B41" s="659"/>
      <c r="C41" s="659"/>
      <c r="D41" s="215">
        <v>5</v>
      </c>
      <c r="E41" s="204" t="s">
        <v>534</v>
      </c>
      <c r="F41" s="205">
        <v>177</v>
      </c>
      <c r="G41" s="290">
        <v>60.753</v>
      </c>
      <c r="H41" s="290">
        <v>62.253</v>
      </c>
      <c r="I41" s="216">
        <f t="shared" si="1"/>
        <v>1.0246901387585798</v>
      </c>
      <c r="J41" s="204">
        <v>0</v>
      </c>
      <c r="K41" s="216">
        <f t="shared" si="2"/>
        <v>0</v>
      </c>
      <c r="L41" s="205">
        <v>177</v>
      </c>
      <c r="M41" s="216">
        <f t="shared" si="3"/>
        <v>1.0246901387585798</v>
      </c>
      <c r="N41" s="205">
        <v>265.5</v>
      </c>
      <c r="O41" s="204">
        <v>1</v>
      </c>
      <c r="P41" s="206">
        <v>1.6460092505719882E-2</v>
      </c>
      <c r="Q41" s="290">
        <v>0.5</v>
      </c>
      <c r="R41" s="206">
        <v>8.2300462528599409E-3</v>
      </c>
      <c r="S41" s="205">
        <v>88.5</v>
      </c>
      <c r="T41" s="204" t="s">
        <v>402</v>
      </c>
      <c r="U41" s="204" t="s">
        <v>224</v>
      </c>
      <c r="V41" s="204"/>
      <c r="W41" s="211">
        <v>1</v>
      </c>
      <c r="X41" s="204" t="s">
        <v>406</v>
      </c>
    </row>
    <row r="42" spans="2:24">
      <c r="B42" s="659"/>
      <c r="C42" s="659"/>
      <c r="D42" s="215">
        <v>6</v>
      </c>
      <c r="E42" s="204" t="s">
        <v>521</v>
      </c>
      <c r="F42" s="205">
        <v>174.3</v>
      </c>
      <c r="G42" s="290">
        <v>21.361000000000001</v>
      </c>
      <c r="H42" s="290">
        <v>22.260999999999999</v>
      </c>
      <c r="I42" s="216">
        <f t="shared" si="1"/>
        <v>1.042132858948551</v>
      </c>
      <c r="J42" s="204">
        <v>0</v>
      </c>
      <c r="K42" s="216">
        <f t="shared" si="2"/>
        <v>0</v>
      </c>
      <c r="L42" s="205">
        <v>348.6</v>
      </c>
      <c r="M42" s="216">
        <f t="shared" si="3"/>
        <v>1.042132858948551</v>
      </c>
      <c r="N42" s="205">
        <v>313.7399999999995</v>
      </c>
      <c r="O42" s="204">
        <v>0.5</v>
      </c>
      <c r="P42" s="206">
        <v>2.3407143860306165E-2</v>
      </c>
      <c r="Q42" s="290">
        <v>0.39999999999999858</v>
      </c>
      <c r="R42" s="206">
        <v>1.8725715088244867E-2</v>
      </c>
      <c r="S42" s="205">
        <v>139.43999999999951</v>
      </c>
      <c r="T42" s="204" t="s">
        <v>402</v>
      </c>
      <c r="U42" s="204" t="s">
        <v>224</v>
      </c>
      <c r="V42" s="204"/>
      <c r="W42" s="211">
        <v>1</v>
      </c>
      <c r="X42" s="204" t="s">
        <v>470</v>
      </c>
    </row>
    <row r="43" spans="2:24">
      <c r="B43" s="659"/>
      <c r="C43" s="659"/>
      <c r="D43" s="215">
        <v>7</v>
      </c>
      <c r="E43" s="204" t="s">
        <v>535</v>
      </c>
      <c r="F43" s="205">
        <v>173.98499999999999</v>
      </c>
      <c r="G43" s="290">
        <v>46.484999999999999</v>
      </c>
      <c r="H43" s="290">
        <v>48.284999999999997</v>
      </c>
      <c r="I43" s="216">
        <f t="shared" si="1"/>
        <v>1.0387221684414327</v>
      </c>
      <c r="J43" s="204">
        <v>0</v>
      </c>
      <c r="K43" s="216">
        <f t="shared" si="2"/>
        <v>0</v>
      </c>
      <c r="L43" s="205">
        <v>115.99</v>
      </c>
      <c r="M43" s="216">
        <f t="shared" si="3"/>
        <v>1.0387221684414327</v>
      </c>
      <c r="N43" s="205">
        <v>208.78199999999967</v>
      </c>
      <c r="O43" s="204">
        <v>1.5</v>
      </c>
      <c r="P43" s="206">
        <v>3.2268473701193935E-2</v>
      </c>
      <c r="Q43" s="290">
        <v>0.29999999999999716</v>
      </c>
      <c r="R43" s="206">
        <v>6.4536947402387256E-3</v>
      </c>
      <c r="S43" s="205">
        <v>34.79699999999967</v>
      </c>
      <c r="T43" s="204" t="s">
        <v>402</v>
      </c>
      <c r="U43" s="204" t="s">
        <v>224</v>
      </c>
      <c r="V43" s="204"/>
      <c r="W43" s="211">
        <v>1</v>
      </c>
      <c r="X43" s="204" t="s">
        <v>492</v>
      </c>
    </row>
    <row r="44" spans="2:24">
      <c r="B44" s="659"/>
      <c r="C44" s="659"/>
      <c r="D44" s="215">
        <v>8</v>
      </c>
      <c r="E44" s="204" t="s">
        <v>536</v>
      </c>
      <c r="F44" s="205">
        <v>173.892</v>
      </c>
      <c r="G44" s="290">
        <v>18.431999999999999</v>
      </c>
      <c r="H44" s="290">
        <v>19.8</v>
      </c>
      <c r="I44" s="216">
        <f t="shared" si="1"/>
        <v>1.0742187500000002</v>
      </c>
      <c r="J44" s="204">
        <v>0</v>
      </c>
      <c r="K44" s="216">
        <f t="shared" si="2"/>
        <v>0</v>
      </c>
      <c r="L44" s="205">
        <v>144.91</v>
      </c>
      <c r="M44" s="216">
        <f t="shared" si="3"/>
        <v>1.0742187500000002</v>
      </c>
      <c r="N44" s="205">
        <v>198.2368800000003</v>
      </c>
      <c r="O44" s="204">
        <v>1.2</v>
      </c>
      <c r="P44" s="206">
        <v>6.5104166666666671E-2</v>
      </c>
      <c r="Q44" s="290">
        <v>0.16800000000000215</v>
      </c>
      <c r="R44" s="206">
        <v>9.1145833333334501E-3</v>
      </c>
      <c r="S44" s="205">
        <v>24.344880000000309</v>
      </c>
      <c r="T44" s="204" t="s">
        <v>537</v>
      </c>
      <c r="U44" s="204" t="s">
        <v>538</v>
      </c>
      <c r="V44" s="204"/>
      <c r="W44" s="211">
        <v>1</v>
      </c>
      <c r="X44" s="204" t="s">
        <v>539</v>
      </c>
    </row>
    <row r="45" spans="2:24">
      <c r="B45" s="659"/>
      <c r="C45" s="659"/>
      <c r="D45" s="215">
        <v>9</v>
      </c>
      <c r="E45" s="204" t="s">
        <v>530</v>
      </c>
      <c r="F45" s="205">
        <v>173.20600000000002</v>
      </c>
      <c r="G45" s="290">
        <v>385.02</v>
      </c>
      <c r="H45" s="290">
        <v>388.41999999999996</v>
      </c>
      <c r="I45" s="216">
        <f t="shared" si="1"/>
        <v>1.0088307100929821</v>
      </c>
      <c r="J45" s="204">
        <v>0</v>
      </c>
      <c r="K45" s="216">
        <f t="shared" si="2"/>
        <v>0</v>
      </c>
      <c r="L45" s="205">
        <v>78.73</v>
      </c>
      <c r="M45" s="216">
        <f t="shared" si="3"/>
        <v>1.0088307100929821</v>
      </c>
      <c r="N45" s="205">
        <v>267.6819999999982</v>
      </c>
      <c r="O45" s="204">
        <v>2.2000000000000002</v>
      </c>
      <c r="P45" s="206">
        <v>5.7139888836943544E-3</v>
      </c>
      <c r="Q45" s="290">
        <v>1.1999999999999771</v>
      </c>
      <c r="R45" s="206">
        <v>3.1167212092877697E-3</v>
      </c>
      <c r="S45" s="205">
        <v>94.475999999998194</v>
      </c>
      <c r="T45" s="204" t="s">
        <v>402</v>
      </c>
      <c r="U45" s="204" t="s">
        <v>224</v>
      </c>
      <c r="V45" s="204"/>
      <c r="W45" s="211">
        <v>1</v>
      </c>
      <c r="X45" s="204" t="s">
        <v>478</v>
      </c>
    </row>
    <row r="46" spans="2:24">
      <c r="B46" s="659"/>
      <c r="C46" s="659"/>
      <c r="D46" s="215">
        <v>10</v>
      </c>
      <c r="E46" s="204" t="s">
        <v>527</v>
      </c>
      <c r="F46" s="205">
        <v>172.80500000000001</v>
      </c>
      <c r="G46" s="290">
        <v>13.98</v>
      </c>
      <c r="H46" s="290">
        <v>16.98</v>
      </c>
      <c r="I46" s="216">
        <f t="shared" si="1"/>
        <v>1.2145922746781115</v>
      </c>
      <c r="J46" s="204">
        <v>0</v>
      </c>
      <c r="K46" s="216">
        <f t="shared" si="2"/>
        <v>0</v>
      </c>
      <c r="L46" s="205">
        <v>101.65</v>
      </c>
      <c r="M46" s="216">
        <f t="shared" si="3"/>
        <v>1.2145922746781115</v>
      </c>
      <c r="N46" s="205">
        <v>304.95000000000005</v>
      </c>
      <c r="O46" s="204">
        <v>1.7</v>
      </c>
      <c r="P46" s="206">
        <v>0.12160228898426323</v>
      </c>
      <c r="Q46" s="290">
        <v>1.3</v>
      </c>
      <c r="R46" s="206">
        <v>9.2989985693848351E-2</v>
      </c>
      <c r="S46" s="205">
        <v>132.14500000000001</v>
      </c>
      <c r="T46" s="204" t="s">
        <v>419</v>
      </c>
      <c r="U46" s="204" t="s">
        <v>420</v>
      </c>
      <c r="V46" s="204"/>
      <c r="W46" s="211">
        <v>1</v>
      </c>
      <c r="X46" s="204" t="s">
        <v>477</v>
      </c>
    </row>
    <row r="47" spans="2:24">
      <c r="B47" s="661">
        <v>45874</v>
      </c>
      <c r="C47" s="659" t="s">
        <v>268</v>
      </c>
      <c r="D47" s="215">
        <v>1</v>
      </c>
      <c r="E47" s="204" t="s">
        <v>525</v>
      </c>
      <c r="F47" s="205">
        <v>186.072</v>
      </c>
      <c r="G47" s="290">
        <v>12.089</v>
      </c>
      <c r="H47" s="290">
        <v>12.5</v>
      </c>
      <c r="I47" s="216">
        <f t="shared" si="1"/>
        <v>1.0339978492844735</v>
      </c>
      <c r="J47" s="204">
        <v>0</v>
      </c>
      <c r="K47" s="216">
        <f t="shared" si="2"/>
        <v>0</v>
      </c>
      <c r="L47" s="205">
        <v>930.36</v>
      </c>
      <c r="M47" s="216">
        <f t="shared" si="3"/>
        <v>1.0339978492844735</v>
      </c>
      <c r="N47" s="205">
        <v>382.37795999999963</v>
      </c>
      <c r="O47" s="204">
        <v>0.2</v>
      </c>
      <c r="P47" s="206">
        <v>1.6543965588551576E-2</v>
      </c>
      <c r="Q47" s="290">
        <v>0.21099999999999958</v>
      </c>
      <c r="R47" s="206">
        <v>1.7453883695921876E-2</v>
      </c>
      <c r="S47" s="205">
        <v>196.3059599999996</v>
      </c>
      <c r="T47" s="204" t="s">
        <v>405</v>
      </c>
      <c r="U47" s="204" t="s">
        <v>412</v>
      </c>
      <c r="V47" s="204"/>
      <c r="W47" s="211">
        <v>1</v>
      </c>
      <c r="X47" s="204" t="s">
        <v>474</v>
      </c>
    </row>
    <row r="48" spans="2:24">
      <c r="B48" s="659"/>
      <c r="C48" s="659"/>
      <c r="D48" s="215">
        <v>2</v>
      </c>
      <c r="E48" s="204" t="s">
        <v>401</v>
      </c>
      <c r="F48" s="205">
        <v>169.28800000000001</v>
      </c>
      <c r="G48" s="290">
        <v>7.101</v>
      </c>
      <c r="H48" s="290">
        <v>7.5</v>
      </c>
      <c r="I48" s="216">
        <f t="shared" si="1"/>
        <v>1.0561892691170258</v>
      </c>
      <c r="J48" s="204">
        <v>0</v>
      </c>
      <c r="K48" s="216">
        <f t="shared" si="2"/>
        <v>0</v>
      </c>
      <c r="L48" s="205">
        <v>846.44</v>
      </c>
      <c r="M48" s="216">
        <f t="shared" si="3"/>
        <v>1.0561892691170258</v>
      </c>
      <c r="N48" s="205">
        <v>337.72956000000005</v>
      </c>
      <c r="O48" s="204">
        <v>0.2</v>
      </c>
      <c r="P48" s="206">
        <v>2.8165047176454024E-2</v>
      </c>
      <c r="Q48" s="290">
        <v>0.19900000000000001</v>
      </c>
      <c r="R48" s="206">
        <v>2.8024221940571751E-2</v>
      </c>
      <c r="S48" s="205">
        <v>168.44156000000001</v>
      </c>
      <c r="T48" s="204" t="s">
        <v>405</v>
      </c>
      <c r="U48" s="204" t="s">
        <v>412</v>
      </c>
      <c r="V48" s="204"/>
      <c r="W48" s="211">
        <v>1</v>
      </c>
      <c r="X48" s="204" t="s">
        <v>403</v>
      </c>
    </row>
    <row r="49" spans="2:24">
      <c r="B49" s="659"/>
      <c r="C49" s="659"/>
      <c r="D49" s="215">
        <v>3</v>
      </c>
      <c r="E49" s="204" t="s">
        <v>407</v>
      </c>
      <c r="F49" s="205">
        <v>165.27</v>
      </c>
      <c r="G49" s="290">
        <v>86.025000000000006</v>
      </c>
      <c r="H49" s="290">
        <v>87.2</v>
      </c>
      <c r="I49" s="216">
        <f t="shared" si="1"/>
        <v>1.0136588201104331</v>
      </c>
      <c r="J49" s="204">
        <v>0</v>
      </c>
      <c r="K49" s="216">
        <f t="shared" si="2"/>
        <v>0</v>
      </c>
      <c r="L49" s="205">
        <v>330.54</v>
      </c>
      <c r="M49" s="216">
        <f t="shared" si="3"/>
        <v>1.0136588201104331</v>
      </c>
      <c r="N49" s="205">
        <v>388.38449999999909</v>
      </c>
      <c r="O49" s="204">
        <v>0.5</v>
      </c>
      <c r="P49" s="206">
        <v>5.8122638767800052E-3</v>
      </c>
      <c r="Q49" s="290">
        <v>0.67499999999999716</v>
      </c>
      <c r="R49" s="206">
        <v>7.8465562336529748E-3</v>
      </c>
      <c r="S49" s="205">
        <v>223.11449999999908</v>
      </c>
      <c r="T49" s="204" t="s">
        <v>405</v>
      </c>
      <c r="U49" s="204" t="s">
        <v>225</v>
      </c>
      <c r="V49" s="204"/>
      <c r="W49" s="211">
        <v>1</v>
      </c>
      <c r="X49" s="204" t="s">
        <v>408</v>
      </c>
    </row>
    <row r="50" spans="2:24">
      <c r="B50" s="659"/>
      <c r="C50" s="659"/>
      <c r="D50" s="215">
        <v>4</v>
      </c>
      <c r="E50" s="204" t="s">
        <v>540</v>
      </c>
      <c r="F50" s="205">
        <v>161.739</v>
      </c>
      <c r="G50" s="290">
        <v>52.76</v>
      </c>
      <c r="H50" s="290">
        <v>53.86</v>
      </c>
      <c r="I50" s="216">
        <f t="shared" si="1"/>
        <v>1.0208491281273693</v>
      </c>
      <c r="J50" s="204">
        <v>0</v>
      </c>
      <c r="K50" s="216">
        <f t="shared" si="2"/>
        <v>0</v>
      </c>
      <c r="L50" s="205">
        <v>179.71</v>
      </c>
      <c r="M50" s="216">
        <f t="shared" si="3"/>
        <v>1.0208491281273693</v>
      </c>
      <c r="N50" s="205">
        <v>197.68100000000027</v>
      </c>
      <c r="O50" s="204">
        <v>0.9</v>
      </c>
      <c r="P50" s="206">
        <v>1.7058377558756634E-2</v>
      </c>
      <c r="Q50" s="290">
        <v>0.2000000000000014</v>
      </c>
      <c r="R50" s="206">
        <v>3.7907505686126121E-3</v>
      </c>
      <c r="S50" s="205">
        <v>35.942000000000256</v>
      </c>
      <c r="T50" s="204" t="s">
        <v>402</v>
      </c>
      <c r="U50" s="204" t="s">
        <v>224</v>
      </c>
      <c r="V50" s="204"/>
      <c r="W50" s="211">
        <v>1</v>
      </c>
      <c r="X50" s="204" t="s">
        <v>442</v>
      </c>
    </row>
    <row r="51" spans="2:24">
      <c r="B51" s="659"/>
      <c r="C51" s="659"/>
      <c r="D51" s="215">
        <v>5</v>
      </c>
      <c r="E51" s="204" t="s">
        <v>541</v>
      </c>
      <c r="F51" s="205">
        <v>161.316</v>
      </c>
      <c r="G51" s="290">
        <v>10.304</v>
      </c>
      <c r="H51" s="290">
        <v>11.804</v>
      </c>
      <c r="I51" s="216">
        <f t="shared" si="1"/>
        <v>1.1455745341614907</v>
      </c>
      <c r="J51" s="204">
        <v>0</v>
      </c>
      <c r="K51" s="216">
        <f t="shared" si="2"/>
        <v>0</v>
      </c>
      <c r="L51" s="205">
        <v>134.43</v>
      </c>
      <c r="M51" s="216">
        <f t="shared" si="3"/>
        <v>1.1455745341614907</v>
      </c>
      <c r="N51" s="205">
        <v>201.64500000000001</v>
      </c>
      <c r="O51" s="204">
        <v>1.2</v>
      </c>
      <c r="P51" s="206">
        <v>0.11645962732919254</v>
      </c>
      <c r="Q51" s="290">
        <v>0.30000000000000004</v>
      </c>
      <c r="R51" s="206">
        <v>2.911490683229814E-2</v>
      </c>
      <c r="S51" s="205">
        <v>40.329000000000008</v>
      </c>
      <c r="T51" s="204" t="s">
        <v>537</v>
      </c>
      <c r="U51" s="204" t="s">
        <v>538</v>
      </c>
      <c r="V51" s="204"/>
      <c r="W51" s="211">
        <v>1</v>
      </c>
      <c r="X51" s="204" t="s">
        <v>462</v>
      </c>
    </row>
    <row r="52" spans="2:24">
      <c r="B52" s="659"/>
      <c r="C52" s="659"/>
      <c r="D52" s="215">
        <v>6</v>
      </c>
      <c r="E52" s="204" t="s">
        <v>542</v>
      </c>
      <c r="F52" s="205">
        <v>160.185</v>
      </c>
      <c r="G52" s="290">
        <v>4.0650000000000004</v>
      </c>
      <c r="H52" s="290">
        <v>4.5650000000000004</v>
      </c>
      <c r="I52" s="216">
        <f t="shared" si="1"/>
        <v>1.1230012300123</v>
      </c>
      <c r="J52" s="204">
        <v>0</v>
      </c>
      <c r="K52" s="216">
        <f t="shared" si="2"/>
        <v>0</v>
      </c>
      <c r="L52" s="205">
        <v>320.37</v>
      </c>
      <c r="M52" s="216">
        <f t="shared" si="3"/>
        <v>1.1230012300123</v>
      </c>
      <c r="N52" s="205">
        <v>160.185</v>
      </c>
      <c r="O52" s="204">
        <v>0.5</v>
      </c>
      <c r="P52" s="206">
        <v>0.12300123001230011</v>
      </c>
      <c r="Q52" s="290">
        <v>0</v>
      </c>
      <c r="R52" s="206">
        <v>0</v>
      </c>
      <c r="S52" s="205">
        <v>0</v>
      </c>
      <c r="T52" s="204" t="s">
        <v>419</v>
      </c>
      <c r="U52" s="204" t="s">
        <v>420</v>
      </c>
      <c r="V52" s="204"/>
      <c r="W52" s="211">
        <v>1</v>
      </c>
      <c r="X52" s="204" t="s">
        <v>423</v>
      </c>
    </row>
    <row r="53" spans="2:24">
      <c r="B53" s="659"/>
      <c r="C53" s="659"/>
      <c r="D53" s="215">
        <v>7</v>
      </c>
      <c r="E53" s="204" t="s">
        <v>543</v>
      </c>
      <c r="F53" s="205">
        <v>159.19200000000001</v>
      </c>
      <c r="G53" s="290">
        <v>22.512</v>
      </c>
      <c r="H53" s="290">
        <v>23.612000000000002</v>
      </c>
      <c r="I53" s="216">
        <f t="shared" si="1"/>
        <v>1.0488628287135751</v>
      </c>
      <c r="J53" s="204">
        <v>0</v>
      </c>
      <c r="K53" s="216">
        <f t="shared" si="2"/>
        <v>0</v>
      </c>
      <c r="L53" s="205">
        <v>176.88</v>
      </c>
      <c r="M53" s="216">
        <f t="shared" si="3"/>
        <v>1.0488628287135751</v>
      </c>
      <c r="N53" s="205">
        <v>194.56800000000024</v>
      </c>
      <c r="O53" s="204">
        <v>0.9</v>
      </c>
      <c r="P53" s="206">
        <v>3.9978678038379532E-2</v>
      </c>
      <c r="Q53" s="290">
        <v>0.2000000000000014</v>
      </c>
      <c r="R53" s="206">
        <v>8.8841506751955127E-3</v>
      </c>
      <c r="S53" s="205">
        <v>35.376000000000246</v>
      </c>
      <c r="T53" s="204" t="s">
        <v>402</v>
      </c>
      <c r="U53" s="204" t="s">
        <v>224</v>
      </c>
      <c r="V53" s="204"/>
      <c r="W53" s="211">
        <v>1</v>
      </c>
      <c r="X53" s="204" t="s">
        <v>485</v>
      </c>
    </row>
    <row r="54" spans="2:24">
      <c r="B54" s="659"/>
      <c r="C54" s="659"/>
      <c r="D54" s="215">
        <v>8</v>
      </c>
      <c r="E54" s="204" t="s">
        <v>411</v>
      </c>
      <c r="F54" s="205">
        <v>159.02500000000001</v>
      </c>
      <c r="G54" s="290">
        <v>42.984000000000002</v>
      </c>
      <c r="H54" s="290">
        <v>43.884</v>
      </c>
      <c r="I54" s="216">
        <f t="shared" si="1"/>
        <v>1.0209380234505863</v>
      </c>
      <c r="J54" s="204">
        <v>0</v>
      </c>
      <c r="K54" s="216">
        <f t="shared" si="2"/>
        <v>0</v>
      </c>
      <c r="L54" s="205">
        <v>318.05</v>
      </c>
      <c r="M54" s="216">
        <f t="shared" si="3"/>
        <v>1.0209380234505863</v>
      </c>
      <c r="N54" s="205">
        <v>286.24499999999955</v>
      </c>
      <c r="O54" s="204">
        <v>0.5</v>
      </c>
      <c r="P54" s="206">
        <v>1.1632235250325702E-2</v>
      </c>
      <c r="Q54" s="290">
        <v>0.39999999999999858</v>
      </c>
      <c r="R54" s="206">
        <v>9.3057882002605292E-3</v>
      </c>
      <c r="S54" s="205">
        <v>127.21999999999956</v>
      </c>
      <c r="T54" s="204" t="s">
        <v>405</v>
      </c>
      <c r="U54" s="204" t="s">
        <v>225</v>
      </c>
      <c r="V54" s="204"/>
      <c r="W54" s="211">
        <v>1</v>
      </c>
      <c r="X54" s="204" t="s">
        <v>413</v>
      </c>
    </row>
    <row r="55" spans="2:24">
      <c r="B55" s="659"/>
      <c r="C55" s="659"/>
      <c r="D55" s="215">
        <v>9</v>
      </c>
      <c r="E55" s="204" t="s">
        <v>544</v>
      </c>
      <c r="F55" s="205">
        <v>158.44999999999999</v>
      </c>
      <c r="G55" s="290">
        <v>4.1879999999999997</v>
      </c>
      <c r="H55" s="290">
        <v>4.0880000000000001</v>
      </c>
      <c r="I55" s="216">
        <f t="shared" si="1"/>
        <v>0.97612225405921693</v>
      </c>
      <c r="J55" s="290">
        <v>0.81200000000000028</v>
      </c>
      <c r="K55" s="216">
        <f t="shared" si="2"/>
        <v>0.19388729703915958</v>
      </c>
      <c r="L55" s="205">
        <v>316.89999999999998</v>
      </c>
      <c r="M55" s="216">
        <f t="shared" si="3"/>
        <v>1.1700095510983766</v>
      </c>
      <c r="N55" s="205">
        <v>225.63280000000017</v>
      </c>
      <c r="O55" s="204">
        <v>0.5</v>
      </c>
      <c r="P55" s="206">
        <v>0.11938872970391595</v>
      </c>
      <c r="Q55" s="290">
        <v>0.21200000000000063</v>
      </c>
      <c r="R55" s="206">
        <v>5.0620821394460516E-2</v>
      </c>
      <c r="S55" s="205">
        <v>67.182800000000199</v>
      </c>
      <c r="T55" s="204" t="s">
        <v>419</v>
      </c>
      <c r="U55" s="204" t="s">
        <v>420</v>
      </c>
      <c r="V55" s="204"/>
      <c r="W55" s="211">
        <v>1</v>
      </c>
      <c r="X55" s="204" t="s">
        <v>423</v>
      </c>
    </row>
    <row r="56" spans="2:24">
      <c r="B56" s="659"/>
      <c r="C56" s="659"/>
      <c r="D56" s="215">
        <v>10</v>
      </c>
      <c r="E56" s="204" t="s">
        <v>545</v>
      </c>
      <c r="F56" s="205">
        <v>157.71899999999999</v>
      </c>
      <c r="G56" s="290">
        <v>92.256</v>
      </c>
      <c r="H56" s="290">
        <v>93</v>
      </c>
      <c r="I56" s="216">
        <f t="shared" si="1"/>
        <v>1.0080645161290323</v>
      </c>
      <c r="J56" s="204">
        <v>0</v>
      </c>
      <c r="K56" s="216">
        <f t="shared" si="2"/>
        <v>0</v>
      </c>
      <c r="L56" s="205">
        <v>525.73</v>
      </c>
      <c r="M56" s="216">
        <f t="shared" si="3"/>
        <v>1.0080645161290323</v>
      </c>
      <c r="N56" s="205">
        <v>391.1431199999999</v>
      </c>
      <c r="O56" s="204">
        <v>0.3</v>
      </c>
      <c r="P56" s="206">
        <v>3.2518210197710717E-3</v>
      </c>
      <c r="Q56" s="290">
        <v>0.44399999999999978</v>
      </c>
      <c r="R56" s="206">
        <v>4.8126951092611839E-3</v>
      </c>
      <c r="S56" s="205">
        <v>233.4241199999999</v>
      </c>
      <c r="T56" s="204" t="s">
        <v>405</v>
      </c>
      <c r="U56" s="204" t="s">
        <v>225</v>
      </c>
      <c r="V56" s="204"/>
      <c r="W56" s="211">
        <v>1</v>
      </c>
      <c r="X56" s="204" t="s">
        <v>517</v>
      </c>
    </row>
    <row r="57" spans="2:24">
      <c r="B57" s="661">
        <v>45875</v>
      </c>
      <c r="C57" s="659" t="s">
        <v>286</v>
      </c>
      <c r="D57" s="215">
        <v>1</v>
      </c>
      <c r="E57" s="204" t="s">
        <v>536</v>
      </c>
      <c r="F57" s="205">
        <v>217.36500000000001</v>
      </c>
      <c r="G57" s="290">
        <v>18.372</v>
      </c>
      <c r="H57" s="290">
        <v>19.899999999999999</v>
      </c>
      <c r="I57" s="216">
        <f t="shared" si="1"/>
        <v>1.083170041367298</v>
      </c>
      <c r="J57" s="204">
        <v>0</v>
      </c>
      <c r="K57" s="216">
        <f t="shared" si="2"/>
        <v>0</v>
      </c>
      <c r="L57" s="205">
        <v>144.91</v>
      </c>
      <c r="M57" s="216">
        <f t="shared" si="3"/>
        <v>1.083170041367298</v>
      </c>
      <c r="N57" s="205">
        <v>221.42247999999981</v>
      </c>
      <c r="O57" s="204">
        <v>1.5</v>
      </c>
      <c r="P57" s="206">
        <v>8.1645983017635537E-2</v>
      </c>
      <c r="Q57" s="290">
        <v>2.7999999999998693E-2</v>
      </c>
      <c r="R57" s="206">
        <v>1.5240583496624587E-3</v>
      </c>
      <c r="S57" s="205">
        <v>4.0574799999998108</v>
      </c>
      <c r="T57" s="204" t="s">
        <v>537</v>
      </c>
      <c r="U57" s="204" t="s">
        <v>538</v>
      </c>
      <c r="V57" s="204"/>
      <c r="W57" s="211">
        <v>1</v>
      </c>
      <c r="X57" s="204" t="s">
        <v>539</v>
      </c>
    </row>
    <row r="58" spans="2:24">
      <c r="B58" s="659"/>
      <c r="C58" s="659"/>
      <c r="D58" s="215">
        <v>2</v>
      </c>
      <c r="E58" s="204" t="s">
        <v>546</v>
      </c>
      <c r="F58" s="205">
        <v>217.36</v>
      </c>
      <c r="G58" s="290">
        <v>81.78</v>
      </c>
      <c r="H58" s="290">
        <v>83.68</v>
      </c>
      <c r="I58" s="216">
        <f t="shared" si="1"/>
        <v>1.0232330643189045</v>
      </c>
      <c r="J58" s="204">
        <v>0</v>
      </c>
      <c r="K58" s="216">
        <f t="shared" si="2"/>
        <v>0</v>
      </c>
      <c r="L58" s="205">
        <v>114.4</v>
      </c>
      <c r="M58" s="216">
        <f t="shared" si="3"/>
        <v>1.0232330643189045</v>
      </c>
      <c r="N58" s="205">
        <v>217.36000000000067</v>
      </c>
      <c r="O58" s="204">
        <v>1.9</v>
      </c>
      <c r="P58" s="206">
        <v>2.3233064318904376E-2</v>
      </c>
      <c r="Q58" s="290">
        <v>0</v>
      </c>
      <c r="R58" s="206">
        <v>7.0593784886901617E-17</v>
      </c>
      <c r="S58" s="205">
        <v>6.6044947288901314E-13</v>
      </c>
      <c r="T58" s="204" t="s">
        <v>402</v>
      </c>
      <c r="U58" s="204" t="s">
        <v>224</v>
      </c>
      <c r="V58" s="204"/>
      <c r="W58" s="211">
        <v>1</v>
      </c>
      <c r="X58" s="204" t="s">
        <v>482</v>
      </c>
    </row>
    <row r="59" spans="2:24">
      <c r="B59" s="659"/>
      <c r="C59" s="659"/>
      <c r="D59" s="215">
        <v>3</v>
      </c>
      <c r="E59" s="204" t="s">
        <v>547</v>
      </c>
      <c r="F59" s="205">
        <v>210.392</v>
      </c>
      <c r="G59" s="290">
        <v>150.75</v>
      </c>
      <c r="H59" s="290">
        <v>153.55000000000001</v>
      </c>
      <c r="I59" s="216">
        <f t="shared" si="1"/>
        <v>1.0185737976782754</v>
      </c>
      <c r="J59" s="204">
        <v>0</v>
      </c>
      <c r="K59" s="216">
        <f t="shared" si="2"/>
        <v>0</v>
      </c>
      <c r="L59" s="205">
        <v>75.14</v>
      </c>
      <c r="M59" s="216">
        <f t="shared" si="3"/>
        <v>1.0185737976782754</v>
      </c>
      <c r="N59" s="205">
        <v>210.39200000000085</v>
      </c>
      <c r="O59" s="204">
        <v>2.8</v>
      </c>
      <c r="P59" s="206">
        <v>1.857379767827529E-2</v>
      </c>
      <c r="Q59" s="290">
        <v>0</v>
      </c>
      <c r="R59" s="206">
        <v>7.6592500537987579E-17</v>
      </c>
      <c r="S59" s="205">
        <v>8.6759044393147637E-13</v>
      </c>
      <c r="T59" s="204" t="s">
        <v>402</v>
      </c>
      <c r="U59" s="204" t="s">
        <v>224</v>
      </c>
      <c r="V59" s="204"/>
      <c r="W59" s="211">
        <v>1</v>
      </c>
      <c r="X59" s="204" t="s">
        <v>423</v>
      </c>
    </row>
    <row r="60" spans="2:24">
      <c r="B60" s="659"/>
      <c r="C60" s="659"/>
      <c r="D60" s="215">
        <v>4</v>
      </c>
      <c r="E60" s="204" t="s">
        <v>548</v>
      </c>
      <c r="F60" s="205">
        <v>205.755</v>
      </c>
      <c r="G60" s="290">
        <v>111.76600000000001</v>
      </c>
      <c r="H60" s="290">
        <v>114.66600000000001</v>
      </c>
      <c r="I60" s="216">
        <f t="shared" si="1"/>
        <v>1.0259470679813181</v>
      </c>
      <c r="J60" s="204">
        <v>0</v>
      </c>
      <c r="K60" s="216">
        <f t="shared" si="2"/>
        <v>0</v>
      </c>
      <c r="L60" s="205">
        <v>70.95</v>
      </c>
      <c r="M60" s="216">
        <f t="shared" si="3"/>
        <v>1.0259470679813181</v>
      </c>
      <c r="N60" s="205">
        <v>205.75500000000042</v>
      </c>
      <c r="O60" s="204">
        <v>2.9</v>
      </c>
      <c r="P60" s="206">
        <v>2.5947067981318107E-2</v>
      </c>
      <c r="Q60" s="290">
        <v>0</v>
      </c>
      <c r="R60" s="206">
        <v>5.1653988941635325E-17</v>
      </c>
      <c r="S60" s="205">
        <v>4.0960568270520526E-13</v>
      </c>
      <c r="T60" s="204" t="s">
        <v>402</v>
      </c>
      <c r="U60" s="204" t="s">
        <v>224</v>
      </c>
      <c r="V60" s="204"/>
      <c r="W60" s="211">
        <v>1</v>
      </c>
      <c r="X60" s="204" t="s">
        <v>482</v>
      </c>
    </row>
    <row r="61" spans="2:24">
      <c r="B61" s="659"/>
      <c r="C61" s="659"/>
      <c r="D61" s="215">
        <v>5</v>
      </c>
      <c r="E61" s="204" t="s">
        <v>549</v>
      </c>
      <c r="F61" s="205">
        <v>174.96</v>
      </c>
      <c r="G61" s="290">
        <v>212.64</v>
      </c>
      <c r="H61" s="290">
        <v>215.04</v>
      </c>
      <c r="I61" s="216">
        <f t="shared" si="1"/>
        <v>1.0112866817155757</v>
      </c>
      <c r="J61" s="204">
        <v>0</v>
      </c>
      <c r="K61" s="216">
        <f t="shared" si="2"/>
        <v>0</v>
      </c>
      <c r="L61" s="205">
        <v>72.900000000000006</v>
      </c>
      <c r="M61" s="216">
        <f t="shared" si="3"/>
        <v>1.0112866817155757</v>
      </c>
      <c r="N61" s="205">
        <v>174.96000000000043</v>
      </c>
      <c r="O61" s="204">
        <v>2.4</v>
      </c>
      <c r="P61" s="206">
        <v>1.1286681715575621E-2</v>
      </c>
      <c r="Q61" s="290">
        <v>0</v>
      </c>
      <c r="R61" s="206">
        <v>2.7149923476536939E-17</v>
      </c>
      <c r="S61" s="205">
        <v>4.2086334417490436E-13</v>
      </c>
      <c r="T61" s="204" t="s">
        <v>402</v>
      </c>
      <c r="U61" s="204" t="s">
        <v>224</v>
      </c>
      <c r="V61" s="204"/>
      <c r="W61" s="211">
        <v>1</v>
      </c>
      <c r="X61" s="204" t="s">
        <v>468</v>
      </c>
    </row>
    <row r="62" spans="2:24">
      <c r="B62" s="659"/>
      <c r="C62" s="659"/>
      <c r="D62" s="215">
        <v>6</v>
      </c>
      <c r="E62" s="204" t="s">
        <v>550</v>
      </c>
      <c r="F62" s="205">
        <v>171.76</v>
      </c>
      <c r="G62" s="290">
        <v>218.55600000000001</v>
      </c>
      <c r="H62" s="290">
        <v>220.55600000000001</v>
      </c>
      <c r="I62" s="216">
        <f t="shared" si="1"/>
        <v>1.0091509727484032</v>
      </c>
      <c r="J62" s="204">
        <v>0</v>
      </c>
      <c r="K62" s="216">
        <f t="shared" si="2"/>
        <v>0</v>
      </c>
      <c r="L62" s="205">
        <v>90.4</v>
      </c>
      <c r="M62" s="216">
        <f t="shared" si="3"/>
        <v>1.0091509727484032</v>
      </c>
      <c r="N62" s="205">
        <v>180.8</v>
      </c>
      <c r="O62" s="204">
        <v>1.9</v>
      </c>
      <c r="P62" s="206">
        <v>8.693424110982997E-3</v>
      </c>
      <c r="Q62" s="290">
        <v>0.10000000000000009</v>
      </c>
      <c r="R62" s="206">
        <v>4.5754863742015816E-4</v>
      </c>
      <c r="S62" s="205">
        <v>9.040000000000008</v>
      </c>
      <c r="T62" s="204" t="s">
        <v>402</v>
      </c>
      <c r="U62" s="204" t="s">
        <v>224</v>
      </c>
      <c r="V62" s="204"/>
      <c r="W62" s="211">
        <v>1</v>
      </c>
      <c r="X62" s="204" t="s">
        <v>479</v>
      </c>
    </row>
    <row r="63" spans="2:24">
      <c r="B63" s="659"/>
      <c r="C63" s="659"/>
      <c r="D63" s="215">
        <v>7</v>
      </c>
      <c r="E63" s="204" t="s">
        <v>551</v>
      </c>
      <c r="F63" s="205">
        <v>165.31900000000002</v>
      </c>
      <c r="G63" s="290">
        <v>9.2799999999999994</v>
      </c>
      <c r="H63" s="290">
        <v>10.479999999999999</v>
      </c>
      <c r="I63" s="216">
        <f t="shared" si="1"/>
        <v>1.1293103448275861</v>
      </c>
      <c r="J63" s="204">
        <v>0</v>
      </c>
      <c r="K63" s="216">
        <f t="shared" si="2"/>
        <v>0</v>
      </c>
      <c r="L63" s="205">
        <v>150.29</v>
      </c>
      <c r="M63" s="216">
        <f t="shared" si="3"/>
        <v>1.1293103448275861</v>
      </c>
      <c r="N63" s="205">
        <v>180.34799999999987</v>
      </c>
      <c r="O63" s="204">
        <v>1.1000000000000001</v>
      </c>
      <c r="P63" s="206">
        <v>0.1185344827586207</v>
      </c>
      <c r="Q63" s="290">
        <v>9.9999999999999201E-2</v>
      </c>
      <c r="R63" s="206">
        <v>1.0775862068965431E-2</v>
      </c>
      <c r="S63" s="205">
        <v>15.028999999999879</v>
      </c>
      <c r="T63" s="204" t="s">
        <v>419</v>
      </c>
      <c r="U63" s="204" t="s">
        <v>420</v>
      </c>
      <c r="V63" s="204"/>
      <c r="W63" s="211">
        <v>1</v>
      </c>
      <c r="X63" s="204" t="s">
        <v>477</v>
      </c>
    </row>
    <row r="64" spans="2:24">
      <c r="B64" s="659"/>
      <c r="C64" s="659"/>
      <c r="D64" s="215">
        <v>8</v>
      </c>
      <c r="E64" s="204" t="s">
        <v>411</v>
      </c>
      <c r="F64" s="205">
        <v>159.02500000000001</v>
      </c>
      <c r="G64" s="290">
        <v>41.384</v>
      </c>
      <c r="H64" s="290">
        <v>42.183999999999997</v>
      </c>
      <c r="I64" s="216">
        <f t="shared" si="1"/>
        <v>1.01933114247052</v>
      </c>
      <c r="J64" s="204">
        <v>0</v>
      </c>
      <c r="K64" s="216">
        <f t="shared" si="2"/>
        <v>0</v>
      </c>
      <c r="L64" s="205">
        <v>318.05</v>
      </c>
      <c r="M64" s="216">
        <f t="shared" si="3"/>
        <v>1.01933114247052</v>
      </c>
      <c r="N64" s="205">
        <v>254.43999999999912</v>
      </c>
      <c r="O64" s="204">
        <v>0.5</v>
      </c>
      <c r="P64" s="206">
        <v>1.2081964044075005E-2</v>
      </c>
      <c r="Q64" s="290">
        <v>0.29999999999999716</v>
      </c>
      <c r="R64" s="206">
        <v>7.2491784264449343E-3</v>
      </c>
      <c r="S64" s="205">
        <v>95.414999999999097</v>
      </c>
      <c r="T64" s="204" t="s">
        <v>405</v>
      </c>
      <c r="U64" s="204" t="s">
        <v>412</v>
      </c>
      <c r="V64" s="204"/>
      <c r="W64" s="211">
        <v>1</v>
      </c>
      <c r="X64" s="204" t="s">
        <v>413</v>
      </c>
    </row>
    <row r="65" spans="2:24">
      <c r="B65" s="659"/>
      <c r="C65" s="659"/>
      <c r="D65" s="215">
        <v>9</v>
      </c>
      <c r="E65" s="204" t="s">
        <v>552</v>
      </c>
      <c r="F65" s="205">
        <v>157.5</v>
      </c>
      <c r="G65" s="290">
        <v>260.54000000000002</v>
      </c>
      <c r="H65" s="290">
        <v>264.04000000000002</v>
      </c>
      <c r="I65" s="216">
        <f t="shared" si="1"/>
        <v>1.0134336378291242</v>
      </c>
      <c r="J65" s="204">
        <v>0</v>
      </c>
      <c r="K65" s="216">
        <f t="shared" si="2"/>
        <v>0</v>
      </c>
      <c r="L65" s="205">
        <v>45</v>
      </c>
      <c r="M65" s="216">
        <f t="shared" si="3"/>
        <v>1.0134336378291242</v>
      </c>
      <c r="N65" s="205">
        <v>157.5</v>
      </c>
      <c r="O65" s="204">
        <v>3.5</v>
      </c>
      <c r="P65" s="206">
        <v>1.3433637829124125E-2</v>
      </c>
      <c r="Q65" s="290">
        <v>0</v>
      </c>
      <c r="R65" s="206">
        <v>0</v>
      </c>
      <c r="S65" s="205">
        <v>0</v>
      </c>
      <c r="T65" s="204" t="s">
        <v>419</v>
      </c>
      <c r="U65" s="204" t="s">
        <v>522</v>
      </c>
      <c r="V65" s="204"/>
      <c r="W65" s="211">
        <v>1</v>
      </c>
      <c r="X65" s="204" t="s">
        <v>471</v>
      </c>
    </row>
    <row r="66" spans="2:24">
      <c r="B66" s="659"/>
      <c r="C66" s="659"/>
      <c r="D66" s="215">
        <v>10</v>
      </c>
      <c r="E66" s="204" t="s">
        <v>553</v>
      </c>
      <c r="F66" s="205">
        <v>155.68</v>
      </c>
      <c r="G66" s="290">
        <v>279.02</v>
      </c>
      <c r="H66" s="290">
        <v>281.91999999999996</v>
      </c>
      <c r="I66" s="216">
        <f t="shared" si="1"/>
        <v>1.010393520177765</v>
      </c>
      <c r="J66" s="204">
        <v>0</v>
      </c>
      <c r="K66" s="216">
        <f t="shared" si="2"/>
        <v>0</v>
      </c>
      <c r="L66" s="205">
        <v>55.6</v>
      </c>
      <c r="M66" s="216">
        <f t="shared" si="3"/>
        <v>1.010393520177765</v>
      </c>
      <c r="N66" s="205">
        <v>161.23999999999873</v>
      </c>
      <c r="O66" s="204">
        <v>2.8</v>
      </c>
      <c r="P66" s="206">
        <v>1.0035122930255895E-2</v>
      </c>
      <c r="Q66" s="290">
        <v>9.999999999997744E-2</v>
      </c>
      <c r="R66" s="206">
        <v>3.5839724750905832E-4</v>
      </c>
      <c r="S66" s="205">
        <v>5.5599999999987455</v>
      </c>
      <c r="T66" s="204" t="s">
        <v>419</v>
      </c>
      <c r="U66" s="204" t="s">
        <v>522</v>
      </c>
      <c r="V66" s="204"/>
      <c r="W66" s="211">
        <v>1</v>
      </c>
      <c r="X66" s="204" t="s">
        <v>473</v>
      </c>
    </row>
    <row r="67" spans="2:24">
      <c r="B67" s="661">
        <v>45876</v>
      </c>
      <c r="C67" s="659" t="s">
        <v>287</v>
      </c>
      <c r="D67" s="215">
        <v>1</v>
      </c>
      <c r="E67" s="204" t="s">
        <v>411</v>
      </c>
      <c r="F67" s="205">
        <v>254.44000000000003</v>
      </c>
      <c r="G67" s="290">
        <v>44.576000000000001</v>
      </c>
      <c r="H67" s="290">
        <v>45.6</v>
      </c>
      <c r="I67" s="216">
        <f t="shared" si="1"/>
        <v>1.0229720028715004</v>
      </c>
      <c r="J67" s="204">
        <v>0</v>
      </c>
      <c r="K67" s="216">
        <f t="shared" si="2"/>
        <v>0</v>
      </c>
      <c r="L67" s="205">
        <v>318.05</v>
      </c>
      <c r="M67" s="216">
        <f t="shared" si="3"/>
        <v>1.0229720028715004</v>
      </c>
      <c r="N67" s="205">
        <v>325.68320000000028</v>
      </c>
      <c r="O67" s="204">
        <v>0.8</v>
      </c>
      <c r="P67" s="206">
        <v>1.7946877243359655E-2</v>
      </c>
      <c r="Q67" s="290">
        <v>0.22400000000000087</v>
      </c>
      <c r="R67" s="206">
        <v>5.0251256281407227E-3</v>
      </c>
      <c r="S67" s="205">
        <v>71.243200000000272</v>
      </c>
      <c r="T67" s="204" t="s">
        <v>405</v>
      </c>
      <c r="U67" s="204" t="s">
        <v>225</v>
      </c>
      <c r="V67" s="204"/>
      <c r="W67" s="211">
        <v>1</v>
      </c>
      <c r="X67" s="204" t="s">
        <v>413</v>
      </c>
    </row>
    <row r="68" spans="2:24">
      <c r="B68" s="659"/>
      <c r="C68" s="659"/>
      <c r="D68" s="215">
        <v>2</v>
      </c>
      <c r="E68" s="204" t="s">
        <v>554</v>
      </c>
      <c r="F68" s="205">
        <v>158.119</v>
      </c>
      <c r="G68" s="290">
        <v>25.064</v>
      </c>
      <c r="H68" s="290">
        <v>26.463999999999999</v>
      </c>
      <c r="I68" s="216">
        <f t="shared" si="1"/>
        <v>1.055857006064475</v>
      </c>
      <c r="J68" s="204">
        <v>0</v>
      </c>
      <c r="K68" s="216">
        <f t="shared" si="2"/>
        <v>0</v>
      </c>
      <c r="L68" s="205">
        <v>121.63</v>
      </c>
      <c r="M68" s="216">
        <f t="shared" si="3"/>
        <v>1.055857006064475</v>
      </c>
      <c r="N68" s="205">
        <v>170.28199999999981</v>
      </c>
      <c r="O68" s="204">
        <v>1.3</v>
      </c>
      <c r="P68" s="206">
        <v>5.1867219917012451E-2</v>
      </c>
      <c r="Q68" s="290">
        <v>9.9999999999998535E-2</v>
      </c>
      <c r="R68" s="206">
        <v>3.9897861474624376E-3</v>
      </c>
      <c r="S68" s="205">
        <v>12.162999999999821</v>
      </c>
      <c r="T68" s="204" t="s">
        <v>419</v>
      </c>
      <c r="U68" s="204" t="s">
        <v>522</v>
      </c>
      <c r="V68" s="204"/>
      <c r="W68" s="211">
        <v>1</v>
      </c>
      <c r="X68" s="204" t="s">
        <v>485</v>
      </c>
    </row>
    <row r="69" spans="2:24">
      <c r="B69" s="659"/>
      <c r="C69" s="659"/>
      <c r="D69" s="215">
        <v>3</v>
      </c>
      <c r="E69" s="204" t="s">
        <v>545</v>
      </c>
      <c r="F69" s="205">
        <v>157.71899999999999</v>
      </c>
      <c r="G69" s="290">
        <v>55.008000000000003</v>
      </c>
      <c r="H69" s="290">
        <v>56.008000000000003</v>
      </c>
      <c r="I69" s="216">
        <f t="shared" si="1"/>
        <v>1.0181791739383363</v>
      </c>
      <c r="J69" s="204">
        <v>0</v>
      </c>
      <c r="K69" s="216">
        <f t="shared" si="2"/>
        <v>0</v>
      </c>
      <c r="L69" s="205">
        <v>525.73</v>
      </c>
      <c r="M69" s="216">
        <f t="shared" si="3"/>
        <v>1.0181791739383363</v>
      </c>
      <c r="N69" s="205">
        <v>525.73</v>
      </c>
      <c r="O69" s="204">
        <v>0.3</v>
      </c>
      <c r="P69" s="206">
        <v>5.4537521815008717E-3</v>
      </c>
      <c r="Q69" s="290">
        <v>0.7</v>
      </c>
      <c r="R69" s="206">
        <v>1.2725421756835368E-2</v>
      </c>
      <c r="S69" s="205">
        <v>368.01099999999997</v>
      </c>
      <c r="T69" s="204" t="s">
        <v>405</v>
      </c>
      <c r="U69" s="204" t="s">
        <v>225</v>
      </c>
      <c r="V69" s="204"/>
      <c r="W69" s="211">
        <v>1</v>
      </c>
      <c r="X69" s="204" t="s">
        <v>517</v>
      </c>
    </row>
    <row r="70" spans="2:24">
      <c r="B70" s="659"/>
      <c r="C70" s="659"/>
      <c r="D70" s="215">
        <v>4</v>
      </c>
      <c r="E70" s="204" t="s">
        <v>530</v>
      </c>
      <c r="F70" s="205">
        <v>157.46</v>
      </c>
      <c r="G70" s="290">
        <v>309.60000000000002</v>
      </c>
      <c r="H70" s="290">
        <v>311.70000000000005</v>
      </c>
      <c r="I70" s="216">
        <f t="shared" si="1"/>
        <v>1.0067829457364341</v>
      </c>
      <c r="J70" s="204">
        <v>0</v>
      </c>
      <c r="K70" s="216">
        <f t="shared" si="2"/>
        <v>0</v>
      </c>
      <c r="L70" s="205">
        <v>78.73</v>
      </c>
      <c r="M70" s="216">
        <f t="shared" si="3"/>
        <v>1.0067829457364341</v>
      </c>
      <c r="N70" s="205">
        <v>165.33300000000179</v>
      </c>
      <c r="O70" s="204">
        <v>2</v>
      </c>
      <c r="P70" s="206">
        <v>6.4599483204134363E-3</v>
      </c>
      <c r="Q70" s="290">
        <v>0.10000000000002274</v>
      </c>
      <c r="R70" s="206">
        <v>3.2299741602074525E-4</v>
      </c>
      <c r="S70" s="205">
        <v>7.8730000000017908</v>
      </c>
      <c r="T70" s="204" t="s">
        <v>419</v>
      </c>
      <c r="U70" s="204" t="s">
        <v>522</v>
      </c>
      <c r="V70" s="204"/>
      <c r="W70" s="211">
        <v>1</v>
      </c>
      <c r="X70" s="204" t="s">
        <v>478</v>
      </c>
    </row>
    <row r="71" spans="2:24">
      <c r="B71" s="659"/>
      <c r="C71" s="659"/>
      <c r="D71" s="215">
        <v>5</v>
      </c>
      <c r="E71" s="204" t="s">
        <v>548</v>
      </c>
      <c r="F71" s="205">
        <v>156.09000000000003</v>
      </c>
      <c r="G71" s="290">
        <v>107.461</v>
      </c>
      <c r="H71" s="290">
        <v>109.761</v>
      </c>
      <c r="I71" s="216">
        <f t="shared" si="1"/>
        <v>1.0214031136877564</v>
      </c>
      <c r="J71" s="204">
        <v>0</v>
      </c>
      <c r="K71" s="216">
        <f t="shared" si="2"/>
        <v>0</v>
      </c>
      <c r="L71" s="205">
        <v>70.95</v>
      </c>
      <c r="M71" s="216">
        <f t="shared" si="3"/>
        <v>1.0214031136877564</v>
      </c>
      <c r="N71" s="205">
        <v>163.1849999999998</v>
      </c>
      <c r="O71" s="204">
        <v>2.2000000000000002</v>
      </c>
      <c r="P71" s="206">
        <v>2.0472543527419253E-2</v>
      </c>
      <c r="Q71" s="290">
        <v>9.999999999999698E-2</v>
      </c>
      <c r="R71" s="206">
        <v>9.3057016033721055E-4</v>
      </c>
      <c r="S71" s="205">
        <v>7.0949999999997857</v>
      </c>
      <c r="T71" s="204" t="s">
        <v>419</v>
      </c>
      <c r="U71" s="204" t="s">
        <v>522</v>
      </c>
      <c r="V71" s="204"/>
      <c r="W71" s="211">
        <v>1</v>
      </c>
      <c r="X71" s="204" t="s">
        <v>482</v>
      </c>
    </row>
    <row r="72" spans="2:24">
      <c r="B72" s="659"/>
      <c r="C72" s="659"/>
      <c r="D72" s="215">
        <v>6</v>
      </c>
      <c r="E72" s="204" t="s">
        <v>555</v>
      </c>
      <c r="F72" s="205">
        <v>151.65799999999999</v>
      </c>
      <c r="G72" s="290">
        <v>159.79300000000001</v>
      </c>
      <c r="H72" s="290">
        <v>161.19300000000001</v>
      </c>
      <c r="I72" s="216">
        <f t="shared" ref="I72:I135" si="15">H72/G72</f>
        <v>1.0087613349771267</v>
      </c>
      <c r="J72" s="204">
        <v>0</v>
      </c>
      <c r="K72" s="216">
        <f t="shared" ref="K72:K135" si="16">J72/G72</f>
        <v>0</v>
      </c>
      <c r="L72" s="205">
        <v>116.66</v>
      </c>
      <c r="M72" s="216">
        <f t="shared" ref="M72:M135" si="17">(H72+J72)/G72</f>
        <v>1.0087613349771267</v>
      </c>
      <c r="N72" s="205">
        <v>163.32400000000067</v>
      </c>
      <c r="O72" s="204">
        <v>1.3</v>
      </c>
      <c r="P72" s="206">
        <v>8.1355253359033253E-3</v>
      </c>
      <c r="Q72" s="290">
        <v>0.10000000000000564</v>
      </c>
      <c r="R72" s="206">
        <v>6.2580964122336798E-4</v>
      </c>
      <c r="S72" s="205">
        <v>11.666000000000658</v>
      </c>
      <c r="T72" s="204" t="s">
        <v>405</v>
      </c>
      <c r="U72" s="204" t="s">
        <v>225</v>
      </c>
      <c r="V72" s="204"/>
      <c r="W72" s="211">
        <v>1</v>
      </c>
      <c r="X72" s="204" t="s">
        <v>423</v>
      </c>
    </row>
    <row r="73" spans="2:24">
      <c r="B73" s="659"/>
      <c r="C73" s="659"/>
      <c r="D73" s="215">
        <v>7</v>
      </c>
      <c r="E73" s="204" t="s">
        <v>556</v>
      </c>
      <c r="F73" s="205">
        <v>145.92600000000002</v>
      </c>
      <c r="G73" s="290">
        <v>97.272000000000006</v>
      </c>
      <c r="H73" s="290">
        <v>99.872</v>
      </c>
      <c r="I73" s="216">
        <f t="shared" si="15"/>
        <v>1.026729171806892</v>
      </c>
      <c r="J73" s="204">
        <v>0</v>
      </c>
      <c r="K73" s="216">
        <f t="shared" si="16"/>
        <v>0</v>
      </c>
      <c r="L73" s="205">
        <v>66.33</v>
      </c>
      <c r="M73" s="216">
        <f t="shared" si="17"/>
        <v>1.026729171806892</v>
      </c>
      <c r="N73" s="205">
        <v>172.45799999999963</v>
      </c>
      <c r="O73" s="204">
        <v>2.2000000000000002</v>
      </c>
      <c r="P73" s="206">
        <v>2.2616991528908628E-2</v>
      </c>
      <c r="Q73" s="290">
        <v>0.39999999999999414</v>
      </c>
      <c r="R73" s="206">
        <v>4.1121802779833265E-3</v>
      </c>
      <c r="S73" s="205">
        <v>26.531999999999609</v>
      </c>
      <c r="T73" s="204" t="s">
        <v>402</v>
      </c>
      <c r="U73" s="204" t="s">
        <v>224</v>
      </c>
      <c r="V73" s="204"/>
      <c r="W73" s="211">
        <v>1</v>
      </c>
      <c r="X73" s="204" t="s">
        <v>481</v>
      </c>
    </row>
    <row r="74" spans="2:24">
      <c r="B74" s="659"/>
      <c r="C74" s="659"/>
      <c r="D74" s="215">
        <v>8</v>
      </c>
      <c r="E74" s="204" t="s">
        <v>547</v>
      </c>
      <c r="F74" s="205">
        <v>142.76599999999999</v>
      </c>
      <c r="G74" s="290">
        <v>130.70500000000001</v>
      </c>
      <c r="H74" s="290">
        <v>132.70500000000001</v>
      </c>
      <c r="I74" s="216">
        <f t="shared" si="15"/>
        <v>1.0153016334493707</v>
      </c>
      <c r="J74" s="204">
        <v>0</v>
      </c>
      <c r="K74" s="216">
        <f t="shared" si="16"/>
        <v>0</v>
      </c>
      <c r="L74" s="205">
        <v>75.14</v>
      </c>
      <c r="M74" s="216">
        <f t="shared" si="17"/>
        <v>1.0153016334493707</v>
      </c>
      <c r="N74" s="205">
        <v>150.28</v>
      </c>
      <c r="O74" s="204">
        <v>1.9</v>
      </c>
      <c r="P74" s="206">
        <v>1.4536551776902181E-2</v>
      </c>
      <c r="Q74" s="290">
        <v>0.10000000000000009</v>
      </c>
      <c r="R74" s="206">
        <v>7.6508167246853661E-4</v>
      </c>
      <c r="S74" s="205">
        <v>7.5140000000000065</v>
      </c>
      <c r="T74" s="204" t="s">
        <v>402</v>
      </c>
      <c r="U74" s="204" t="s">
        <v>224</v>
      </c>
      <c r="V74" s="204"/>
      <c r="W74" s="211">
        <v>1</v>
      </c>
      <c r="X74" s="204" t="s">
        <v>423</v>
      </c>
    </row>
    <row r="75" spans="2:24">
      <c r="B75" s="659"/>
      <c r="C75" s="659"/>
      <c r="D75" s="215">
        <v>9</v>
      </c>
      <c r="E75" s="204" t="s">
        <v>557</v>
      </c>
      <c r="F75" s="205">
        <v>142.596</v>
      </c>
      <c r="G75" s="290">
        <v>59.109000000000002</v>
      </c>
      <c r="H75" s="290">
        <v>60.408999999999999</v>
      </c>
      <c r="I75" s="216">
        <f t="shared" si="15"/>
        <v>1.0219932666768174</v>
      </c>
      <c r="J75" s="204">
        <v>0</v>
      </c>
      <c r="K75" s="216">
        <f t="shared" si="16"/>
        <v>0</v>
      </c>
      <c r="L75" s="205">
        <v>118.83</v>
      </c>
      <c r="M75" s="216">
        <f t="shared" si="17"/>
        <v>1.0219932666768174</v>
      </c>
      <c r="N75" s="205">
        <v>154.47899999999967</v>
      </c>
      <c r="O75" s="204">
        <v>1.2</v>
      </c>
      <c r="P75" s="206">
        <v>2.0301476932446834E-2</v>
      </c>
      <c r="Q75" s="290">
        <v>9.9999999999997202E-2</v>
      </c>
      <c r="R75" s="206">
        <v>1.6917897443705222E-3</v>
      </c>
      <c r="S75" s="205">
        <v>11.882999999999667</v>
      </c>
      <c r="T75" s="204" t="s">
        <v>402</v>
      </c>
      <c r="U75" s="204" t="s">
        <v>224</v>
      </c>
      <c r="V75" s="204"/>
      <c r="W75" s="211">
        <v>1</v>
      </c>
      <c r="X75" s="204" t="s">
        <v>486</v>
      </c>
    </row>
    <row r="76" spans="2:24">
      <c r="B76" s="659"/>
      <c r="C76" s="659"/>
      <c r="D76" s="215">
        <v>10</v>
      </c>
      <c r="E76" s="204" t="s">
        <v>534</v>
      </c>
      <c r="F76" s="205">
        <v>141.6</v>
      </c>
      <c r="G76" s="290">
        <v>48.444000000000003</v>
      </c>
      <c r="H76" s="290">
        <v>49.544000000000004</v>
      </c>
      <c r="I76" s="216">
        <f t="shared" si="15"/>
        <v>1.0227066303360581</v>
      </c>
      <c r="J76" s="204">
        <v>0</v>
      </c>
      <c r="K76" s="216">
        <f t="shared" si="16"/>
        <v>0</v>
      </c>
      <c r="L76" s="205">
        <v>177</v>
      </c>
      <c r="M76" s="216">
        <f t="shared" si="17"/>
        <v>1.0227066303360581</v>
      </c>
      <c r="N76" s="205">
        <v>194.70000000000024</v>
      </c>
      <c r="O76" s="204">
        <v>0.8</v>
      </c>
      <c r="P76" s="206">
        <v>1.6513912971678639E-2</v>
      </c>
      <c r="Q76" s="290">
        <v>0.30000000000000138</v>
      </c>
      <c r="R76" s="206">
        <v>6.1927173643795174E-3</v>
      </c>
      <c r="S76" s="205">
        <v>53.100000000000243</v>
      </c>
      <c r="T76" s="204" t="s">
        <v>419</v>
      </c>
      <c r="U76" s="204" t="s">
        <v>522</v>
      </c>
      <c r="V76" s="204"/>
      <c r="W76" s="211">
        <v>1</v>
      </c>
      <c r="X76" s="204" t="s">
        <v>406</v>
      </c>
    </row>
    <row r="77" spans="2:24">
      <c r="B77" s="661">
        <v>45877</v>
      </c>
      <c r="C77" s="659" t="s">
        <v>270</v>
      </c>
      <c r="D77" s="215">
        <v>1</v>
      </c>
      <c r="E77" s="204" t="s">
        <v>411</v>
      </c>
      <c r="F77" s="205">
        <v>222.63499999999999</v>
      </c>
      <c r="G77" s="290">
        <v>31.832000000000001</v>
      </c>
      <c r="H77" s="290">
        <v>33.1</v>
      </c>
      <c r="I77" s="216">
        <f t="shared" si="15"/>
        <v>1.0398341291781854</v>
      </c>
      <c r="J77" s="204">
        <v>0</v>
      </c>
      <c r="K77" s="216">
        <f t="shared" si="16"/>
        <v>0</v>
      </c>
      <c r="L77" s="205">
        <v>318.05</v>
      </c>
      <c r="M77" s="216">
        <f t="shared" si="17"/>
        <v>1.0398341291781854</v>
      </c>
      <c r="N77" s="205">
        <v>403.28740000000022</v>
      </c>
      <c r="O77" s="204">
        <v>0.7</v>
      </c>
      <c r="P77" s="206">
        <v>2.1990449861774314E-2</v>
      </c>
      <c r="Q77" s="290">
        <v>0.56800000000000073</v>
      </c>
      <c r="R77" s="206">
        <v>1.784367931641118E-2</v>
      </c>
      <c r="S77" s="205">
        <v>180.65240000000023</v>
      </c>
      <c r="T77" s="204" t="s">
        <v>405</v>
      </c>
      <c r="U77" s="204" t="s">
        <v>412</v>
      </c>
      <c r="V77" s="204"/>
      <c r="W77" s="211">
        <v>1</v>
      </c>
      <c r="X77" s="204" t="s">
        <v>413</v>
      </c>
    </row>
    <row r="78" spans="2:24">
      <c r="B78" s="659"/>
      <c r="C78" s="659"/>
      <c r="D78" s="215">
        <v>2</v>
      </c>
      <c r="E78" s="204" t="s">
        <v>422</v>
      </c>
      <c r="F78" s="205">
        <v>136.88999999999999</v>
      </c>
      <c r="G78" s="290">
        <v>207.136</v>
      </c>
      <c r="H78" s="290">
        <v>209.1</v>
      </c>
      <c r="I78" s="216">
        <f t="shared" si="15"/>
        <v>1.0094816931870849</v>
      </c>
      <c r="J78" s="204">
        <v>0</v>
      </c>
      <c r="K78" s="216">
        <f t="shared" si="16"/>
        <v>0</v>
      </c>
      <c r="L78" s="205">
        <v>136.88999999999999</v>
      </c>
      <c r="M78" s="216">
        <f t="shared" si="17"/>
        <v>1.0094816931870849</v>
      </c>
      <c r="N78" s="205">
        <v>268.85195999999979</v>
      </c>
      <c r="O78" s="204">
        <v>1</v>
      </c>
      <c r="P78" s="206">
        <v>4.8277460219372783E-3</v>
      </c>
      <c r="Q78" s="290">
        <v>0.96399999999999864</v>
      </c>
      <c r="R78" s="206">
        <v>4.6539471651475296E-3</v>
      </c>
      <c r="S78" s="205">
        <v>131.96195999999981</v>
      </c>
      <c r="T78" s="204" t="s">
        <v>405</v>
      </c>
      <c r="U78" s="204" t="s">
        <v>225</v>
      </c>
      <c r="V78" s="204"/>
      <c r="W78" s="211">
        <v>1</v>
      </c>
      <c r="X78" s="204" t="s">
        <v>423</v>
      </c>
    </row>
    <row r="79" spans="2:24">
      <c r="B79" s="659"/>
      <c r="C79" s="659"/>
      <c r="D79" s="215">
        <v>3</v>
      </c>
      <c r="E79" s="204" t="s">
        <v>558</v>
      </c>
      <c r="F79" s="205">
        <v>130.31400000000002</v>
      </c>
      <c r="G79" s="290">
        <v>29.891999999999999</v>
      </c>
      <c r="H79" s="290">
        <v>30.4</v>
      </c>
      <c r="I79" s="216">
        <f t="shared" si="15"/>
        <v>1.0169945135822294</v>
      </c>
      <c r="J79" s="204">
        <v>0</v>
      </c>
      <c r="K79" s="216">
        <f t="shared" si="16"/>
        <v>0</v>
      </c>
      <c r="L79" s="205">
        <v>651.57000000000005</v>
      </c>
      <c r="M79" s="216">
        <f t="shared" si="17"/>
        <v>1.0169945135822294</v>
      </c>
      <c r="N79" s="205">
        <v>330.99755999999945</v>
      </c>
      <c r="O79" s="204">
        <v>0.2</v>
      </c>
      <c r="P79" s="206">
        <v>6.6907533788304564E-3</v>
      </c>
      <c r="Q79" s="290">
        <v>0.30799999999999911</v>
      </c>
      <c r="R79" s="206">
        <v>1.0303760203398873E-2</v>
      </c>
      <c r="S79" s="205">
        <v>200.68355999999943</v>
      </c>
      <c r="T79" s="204" t="s">
        <v>402</v>
      </c>
      <c r="U79" s="204" t="s">
        <v>224</v>
      </c>
      <c r="V79" s="204"/>
      <c r="W79" s="211">
        <v>1</v>
      </c>
      <c r="X79" s="204" t="s">
        <v>559</v>
      </c>
    </row>
    <row r="80" spans="2:24">
      <c r="B80" s="659"/>
      <c r="C80" s="659"/>
      <c r="D80" s="215">
        <v>4</v>
      </c>
      <c r="E80" s="204" t="s">
        <v>560</v>
      </c>
      <c r="F80" s="205">
        <v>126.55499999999999</v>
      </c>
      <c r="G80" s="290">
        <v>38.03</v>
      </c>
      <c r="H80" s="290">
        <v>39.6</v>
      </c>
      <c r="I80" s="216">
        <f t="shared" si="15"/>
        <v>1.0412831974756771</v>
      </c>
      <c r="J80" s="204">
        <v>0</v>
      </c>
      <c r="K80" s="216">
        <f t="shared" si="16"/>
        <v>0</v>
      </c>
      <c r="L80" s="205">
        <v>97.35</v>
      </c>
      <c r="M80" s="216">
        <f t="shared" si="17"/>
        <v>1.0412831974756771</v>
      </c>
      <c r="N80" s="205">
        <v>152.83950000000002</v>
      </c>
      <c r="O80" s="204">
        <v>1.3</v>
      </c>
      <c r="P80" s="206">
        <v>3.418353931107021E-2</v>
      </c>
      <c r="Q80" s="290">
        <v>0.27000000000000024</v>
      </c>
      <c r="R80" s="206">
        <v>7.099658164606895E-3</v>
      </c>
      <c r="S80" s="205">
        <v>26.284500000000023</v>
      </c>
      <c r="T80" s="204" t="s">
        <v>419</v>
      </c>
      <c r="U80" s="204" t="s">
        <v>522</v>
      </c>
      <c r="V80" s="204"/>
      <c r="W80" s="211">
        <v>1</v>
      </c>
      <c r="X80" s="204" t="s">
        <v>423</v>
      </c>
    </row>
    <row r="81" spans="2:24">
      <c r="B81" s="659"/>
      <c r="C81" s="659"/>
      <c r="D81" s="215">
        <v>5</v>
      </c>
      <c r="E81" s="204" t="s">
        <v>561</v>
      </c>
      <c r="F81" s="205">
        <v>125.08199999999999</v>
      </c>
      <c r="G81" s="290">
        <v>82.495000000000005</v>
      </c>
      <c r="H81" s="290">
        <v>83.3</v>
      </c>
      <c r="I81" s="216">
        <f t="shared" si="15"/>
        <v>1.009758167161646</v>
      </c>
      <c r="J81" s="204">
        <v>0</v>
      </c>
      <c r="K81" s="216">
        <f t="shared" si="16"/>
        <v>0</v>
      </c>
      <c r="L81" s="205">
        <v>208.47</v>
      </c>
      <c r="M81" s="216">
        <f t="shared" si="17"/>
        <v>1.009758167161646</v>
      </c>
      <c r="N81" s="205">
        <v>167.81834999999845</v>
      </c>
      <c r="O81" s="204">
        <v>0.6</v>
      </c>
      <c r="P81" s="206">
        <v>7.2731680707921681E-3</v>
      </c>
      <c r="Q81" s="290">
        <v>0.20499999999999263</v>
      </c>
      <c r="R81" s="206">
        <v>2.4849990908539015E-3</v>
      </c>
      <c r="S81" s="205">
        <v>42.736349999998467</v>
      </c>
      <c r="T81" s="204" t="s">
        <v>402</v>
      </c>
      <c r="U81" s="204" t="s">
        <v>224</v>
      </c>
      <c r="V81" s="204"/>
      <c r="W81" s="211">
        <v>1</v>
      </c>
      <c r="X81" s="204" t="s">
        <v>492</v>
      </c>
    </row>
    <row r="82" spans="2:24">
      <c r="B82" s="659"/>
      <c r="C82" s="659"/>
      <c r="D82" s="215">
        <v>6</v>
      </c>
      <c r="E82" s="204" t="s">
        <v>404</v>
      </c>
      <c r="F82" s="205">
        <v>124.48499999999999</v>
      </c>
      <c r="G82" s="290">
        <v>16.981999999999999</v>
      </c>
      <c r="H82" s="290">
        <v>17.600000000000001</v>
      </c>
      <c r="I82" s="216">
        <f t="shared" si="15"/>
        <v>1.0363914733246968</v>
      </c>
      <c r="J82" s="204">
        <v>0</v>
      </c>
      <c r="K82" s="216">
        <f t="shared" si="16"/>
        <v>0</v>
      </c>
      <c r="L82" s="205">
        <v>414.95</v>
      </c>
      <c r="M82" s="216">
        <f t="shared" si="17"/>
        <v>1.0363914733246968</v>
      </c>
      <c r="N82" s="205">
        <v>256.43910000000085</v>
      </c>
      <c r="O82" s="204">
        <v>0.3</v>
      </c>
      <c r="P82" s="206">
        <v>1.7665763749852785E-2</v>
      </c>
      <c r="Q82" s="290">
        <v>0.31800000000000211</v>
      </c>
      <c r="R82" s="206">
        <v>1.8725709574844079E-2</v>
      </c>
      <c r="S82" s="205">
        <v>131.95410000000086</v>
      </c>
      <c r="T82" s="204" t="s">
        <v>405</v>
      </c>
      <c r="U82" s="204" t="s">
        <v>225</v>
      </c>
      <c r="V82" s="204"/>
      <c r="W82" s="211">
        <v>1</v>
      </c>
      <c r="X82" s="204" t="s">
        <v>406</v>
      </c>
    </row>
    <row r="83" spans="2:24">
      <c r="B83" s="659"/>
      <c r="C83" s="659"/>
      <c r="D83" s="215">
        <v>7</v>
      </c>
      <c r="E83" s="204" t="s">
        <v>562</v>
      </c>
      <c r="F83" s="205">
        <v>124.10799999999999</v>
      </c>
      <c r="G83" s="290">
        <v>293.29000000000002</v>
      </c>
      <c r="H83" s="290">
        <v>295.99</v>
      </c>
      <c r="I83" s="216">
        <f t="shared" si="15"/>
        <v>1.0092059054178457</v>
      </c>
      <c r="J83" s="204">
        <v>0</v>
      </c>
      <c r="K83" s="216">
        <f t="shared" si="16"/>
        <v>0</v>
      </c>
      <c r="L83" s="205">
        <v>53.96</v>
      </c>
      <c r="M83" s="216">
        <f t="shared" si="17"/>
        <v>1.0092059054178457</v>
      </c>
      <c r="N83" s="205">
        <v>145.69199999999938</v>
      </c>
      <c r="O83" s="204">
        <v>2.2999999999999998</v>
      </c>
      <c r="P83" s="206">
        <v>7.8420675781649546E-3</v>
      </c>
      <c r="Q83" s="290">
        <v>0.39999999999998881</v>
      </c>
      <c r="R83" s="206">
        <v>1.3638378396808237E-3</v>
      </c>
      <c r="S83" s="205">
        <v>21.583999999999396</v>
      </c>
      <c r="T83" s="204" t="s">
        <v>405</v>
      </c>
      <c r="U83" s="204" t="s">
        <v>412</v>
      </c>
      <c r="V83" s="204"/>
      <c r="W83" s="211">
        <v>1</v>
      </c>
      <c r="X83" s="204" t="s">
        <v>423</v>
      </c>
    </row>
    <row r="84" spans="2:24">
      <c r="B84" s="659"/>
      <c r="C84" s="659"/>
      <c r="D84" s="215">
        <v>8</v>
      </c>
      <c r="E84" s="204" t="s">
        <v>523</v>
      </c>
      <c r="F84" s="205">
        <v>123.14100000000001</v>
      </c>
      <c r="G84" s="290">
        <v>10.856999999999999</v>
      </c>
      <c r="H84" s="290">
        <v>11.5</v>
      </c>
      <c r="I84" s="216">
        <f t="shared" si="15"/>
        <v>1.0592244634797827</v>
      </c>
      <c r="J84" s="204">
        <v>0</v>
      </c>
      <c r="K84" s="216">
        <f t="shared" si="16"/>
        <v>0</v>
      </c>
      <c r="L84" s="205">
        <v>410.47</v>
      </c>
      <c r="M84" s="216">
        <f t="shared" si="17"/>
        <v>1.0592244634797827</v>
      </c>
      <c r="N84" s="205">
        <v>263.93221000000028</v>
      </c>
      <c r="O84" s="204">
        <v>0.3</v>
      </c>
      <c r="P84" s="206">
        <v>2.7631942525559547E-2</v>
      </c>
      <c r="Q84" s="290">
        <v>0.34300000000000069</v>
      </c>
      <c r="R84" s="206">
        <v>3.1592520954223151E-2</v>
      </c>
      <c r="S84" s="205">
        <v>140.79121000000029</v>
      </c>
      <c r="T84" s="204" t="s">
        <v>419</v>
      </c>
      <c r="U84" s="204" t="s">
        <v>522</v>
      </c>
      <c r="V84" s="204"/>
      <c r="W84" s="211">
        <v>1</v>
      </c>
      <c r="X84" s="204" t="s">
        <v>456</v>
      </c>
    </row>
    <row r="85" spans="2:24">
      <c r="B85" s="659"/>
      <c r="C85" s="659"/>
      <c r="D85" s="215">
        <v>9</v>
      </c>
      <c r="E85" s="204" t="s">
        <v>533</v>
      </c>
      <c r="F85" s="205">
        <v>118.94000000000001</v>
      </c>
      <c r="G85" s="290">
        <v>31.524000000000001</v>
      </c>
      <c r="H85" s="290">
        <v>32.299999999999997</v>
      </c>
      <c r="I85" s="216">
        <f t="shared" si="15"/>
        <v>1.0246161654612358</v>
      </c>
      <c r="J85" s="204">
        <v>0</v>
      </c>
      <c r="K85" s="216">
        <f t="shared" si="16"/>
        <v>0</v>
      </c>
      <c r="L85" s="205">
        <v>297.35000000000002</v>
      </c>
      <c r="M85" s="216">
        <f t="shared" si="17"/>
        <v>1.0246161654612358</v>
      </c>
      <c r="N85" s="205">
        <v>230.74359999999891</v>
      </c>
      <c r="O85" s="204">
        <v>0.4</v>
      </c>
      <c r="P85" s="206">
        <v>1.2688745083111281E-2</v>
      </c>
      <c r="Q85" s="290">
        <v>0.37599999999999623</v>
      </c>
      <c r="R85" s="206">
        <v>1.1927420378124484E-2</v>
      </c>
      <c r="S85" s="205">
        <v>111.80359999999888</v>
      </c>
      <c r="T85" s="204" t="s">
        <v>402</v>
      </c>
      <c r="U85" s="204" t="s">
        <v>224</v>
      </c>
      <c r="V85" s="204"/>
      <c r="W85" s="211">
        <v>1</v>
      </c>
      <c r="X85" s="204" t="s">
        <v>474</v>
      </c>
    </row>
    <row r="86" spans="2:24">
      <c r="B86" s="659"/>
      <c r="C86" s="659"/>
      <c r="D86" s="215">
        <v>10</v>
      </c>
      <c r="E86" s="204" t="s">
        <v>563</v>
      </c>
      <c r="F86" s="205">
        <v>118.31399999999999</v>
      </c>
      <c r="G86" s="290">
        <v>6.72</v>
      </c>
      <c r="H86" s="290">
        <v>7.12</v>
      </c>
      <c r="I86" s="216">
        <f t="shared" si="15"/>
        <v>1.0595238095238095</v>
      </c>
      <c r="J86" s="204">
        <v>0</v>
      </c>
      <c r="K86" s="216">
        <f t="shared" si="16"/>
        <v>0</v>
      </c>
      <c r="L86" s="205">
        <v>394.38</v>
      </c>
      <c r="M86" s="216">
        <f t="shared" si="17"/>
        <v>1.0595238095238095</v>
      </c>
      <c r="N86" s="205">
        <v>157.75200000000015</v>
      </c>
      <c r="O86" s="204">
        <v>0.3</v>
      </c>
      <c r="P86" s="206">
        <v>4.4642857142857144E-2</v>
      </c>
      <c r="Q86" s="290">
        <v>0.10000000000000037</v>
      </c>
      <c r="R86" s="206">
        <v>1.4880952380952436E-2</v>
      </c>
      <c r="S86" s="205">
        <v>39.438000000000144</v>
      </c>
      <c r="T86" s="204" t="s">
        <v>419</v>
      </c>
      <c r="U86" s="204" t="s">
        <v>420</v>
      </c>
      <c r="V86" s="204"/>
      <c r="W86" s="211">
        <v>1</v>
      </c>
      <c r="X86" s="204" t="s">
        <v>504</v>
      </c>
    </row>
    <row r="87" spans="2:24">
      <c r="B87" s="661">
        <v>45878</v>
      </c>
      <c r="C87" s="659" t="s">
        <v>288</v>
      </c>
      <c r="D87" s="215">
        <v>1</v>
      </c>
      <c r="E87" s="204" t="s">
        <v>564</v>
      </c>
      <c r="F87" s="205">
        <v>290</v>
      </c>
      <c r="G87" s="290">
        <v>2.0979000000000001</v>
      </c>
      <c r="H87" s="290">
        <v>2.2000000000000002</v>
      </c>
      <c r="I87" s="216">
        <f t="shared" si="15"/>
        <v>1.048667715334382</v>
      </c>
      <c r="J87" s="204">
        <v>0</v>
      </c>
      <c r="K87" s="216">
        <f t="shared" si="16"/>
        <v>0</v>
      </c>
      <c r="L87" s="205">
        <v>2900</v>
      </c>
      <c r="M87" s="216">
        <f t="shared" si="17"/>
        <v>1.048667715334382</v>
      </c>
      <c r="N87" s="205">
        <v>296.09000000000026</v>
      </c>
      <c r="O87" s="204">
        <v>0.1</v>
      </c>
      <c r="P87" s="206">
        <v>4.7666714333381002E-2</v>
      </c>
      <c r="Q87" s="290">
        <v>2.100000000000074E-3</v>
      </c>
      <c r="R87" s="206">
        <v>1.0010010010010363E-3</v>
      </c>
      <c r="S87" s="205">
        <v>6.0900000000002148</v>
      </c>
      <c r="T87" s="204" t="s">
        <v>405</v>
      </c>
      <c r="U87" s="204" t="s">
        <v>225</v>
      </c>
      <c r="V87" s="204"/>
      <c r="W87" s="211">
        <v>1</v>
      </c>
      <c r="X87" s="204" t="s">
        <v>559</v>
      </c>
    </row>
    <row r="88" spans="2:24">
      <c r="B88" s="659"/>
      <c r="C88" s="659"/>
      <c r="D88" s="215">
        <v>2</v>
      </c>
      <c r="E88" s="204" t="s">
        <v>411</v>
      </c>
      <c r="F88" s="205">
        <v>222.63500000000002</v>
      </c>
      <c r="G88" s="290">
        <v>31.327999999999999</v>
      </c>
      <c r="H88" s="290">
        <v>32.5</v>
      </c>
      <c r="I88" s="216">
        <f t="shared" si="15"/>
        <v>1.0374106230847804</v>
      </c>
      <c r="J88" s="204">
        <v>0</v>
      </c>
      <c r="K88" s="216">
        <f t="shared" si="16"/>
        <v>0</v>
      </c>
      <c r="L88" s="205">
        <v>318.05</v>
      </c>
      <c r="M88" s="216">
        <f t="shared" si="17"/>
        <v>1.0374106230847804</v>
      </c>
      <c r="N88" s="205">
        <v>372.75460000000021</v>
      </c>
      <c r="O88" s="204">
        <v>0.70000000000000007</v>
      </c>
      <c r="P88" s="206">
        <v>2.2344228804902964E-2</v>
      </c>
      <c r="Q88" s="290">
        <v>0.47200000000000053</v>
      </c>
      <c r="R88" s="206">
        <v>1.5066394279877443E-2</v>
      </c>
      <c r="S88" s="205">
        <v>150.11960000000016</v>
      </c>
      <c r="T88" s="204" t="s">
        <v>405</v>
      </c>
      <c r="U88" s="204" t="s">
        <v>225</v>
      </c>
      <c r="V88" s="204"/>
      <c r="W88" s="211">
        <v>1</v>
      </c>
      <c r="X88" s="204" t="s">
        <v>413</v>
      </c>
    </row>
    <row r="89" spans="2:24">
      <c r="B89" s="659"/>
      <c r="C89" s="659"/>
      <c r="D89" s="215">
        <v>3</v>
      </c>
      <c r="E89" s="204" t="s">
        <v>528</v>
      </c>
      <c r="F89" s="205">
        <v>168.13200000000001</v>
      </c>
      <c r="G89" s="290">
        <v>72.59</v>
      </c>
      <c r="H89" s="290">
        <v>73.3</v>
      </c>
      <c r="I89" s="216">
        <f t="shared" si="15"/>
        <v>1.0097809615649538</v>
      </c>
      <c r="J89" s="204">
        <v>0</v>
      </c>
      <c r="K89" s="216">
        <f t="shared" si="16"/>
        <v>0</v>
      </c>
      <c r="L89" s="205">
        <v>420.33</v>
      </c>
      <c r="M89" s="216">
        <f t="shared" si="17"/>
        <v>1.0097809615649538</v>
      </c>
      <c r="N89" s="205">
        <v>298.43429999999734</v>
      </c>
      <c r="O89" s="204">
        <v>0.4</v>
      </c>
      <c r="P89" s="206">
        <v>5.5104008816641414E-3</v>
      </c>
      <c r="Q89" s="290">
        <v>0.30999999999999373</v>
      </c>
      <c r="R89" s="206">
        <v>4.2705606832896224E-3</v>
      </c>
      <c r="S89" s="205">
        <v>130.30229999999736</v>
      </c>
      <c r="T89" s="204" t="s">
        <v>402</v>
      </c>
      <c r="U89" s="204" t="s">
        <v>224</v>
      </c>
      <c r="V89" s="204"/>
      <c r="W89" s="211">
        <v>1</v>
      </c>
      <c r="X89" s="204" t="s">
        <v>487</v>
      </c>
    </row>
    <row r="90" spans="2:24">
      <c r="B90" s="659"/>
      <c r="C90" s="659"/>
      <c r="D90" s="215">
        <v>4</v>
      </c>
      <c r="E90" s="204" t="s">
        <v>404</v>
      </c>
      <c r="F90" s="205">
        <v>165.98000000000002</v>
      </c>
      <c r="G90" s="290">
        <v>16.632000000000001</v>
      </c>
      <c r="H90" s="290">
        <v>17.3</v>
      </c>
      <c r="I90" s="216">
        <f t="shared" si="15"/>
        <v>1.0401635401635401</v>
      </c>
      <c r="J90" s="204">
        <v>0</v>
      </c>
      <c r="K90" s="216">
        <f t="shared" si="16"/>
        <v>0</v>
      </c>
      <c r="L90" s="205">
        <v>414.95</v>
      </c>
      <c r="M90" s="216">
        <f t="shared" si="17"/>
        <v>1.0401635401635401</v>
      </c>
      <c r="N90" s="205">
        <v>277.18659999999966</v>
      </c>
      <c r="O90" s="204">
        <v>0.4</v>
      </c>
      <c r="P90" s="206">
        <v>2.4050024050024051E-2</v>
      </c>
      <c r="Q90" s="290">
        <v>0.26799999999999924</v>
      </c>
      <c r="R90" s="206">
        <v>1.6113516113516066E-2</v>
      </c>
      <c r="S90" s="205">
        <v>111.20659999999968</v>
      </c>
      <c r="T90" s="204" t="s">
        <v>405</v>
      </c>
      <c r="U90" s="204" t="s">
        <v>225</v>
      </c>
      <c r="V90" s="204"/>
      <c r="W90" s="211">
        <v>1</v>
      </c>
      <c r="X90" s="204" t="s">
        <v>406</v>
      </c>
    </row>
    <row r="91" spans="2:24">
      <c r="B91" s="659"/>
      <c r="C91" s="659"/>
      <c r="D91" s="215">
        <v>5</v>
      </c>
      <c r="E91" s="204" t="s">
        <v>545</v>
      </c>
      <c r="F91" s="205">
        <v>157.71899999999999</v>
      </c>
      <c r="G91" s="290">
        <v>38.328000000000003</v>
      </c>
      <c r="H91" s="290">
        <v>39</v>
      </c>
      <c r="I91" s="216">
        <f t="shared" si="15"/>
        <v>1.0175328741390106</v>
      </c>
      <c r="J91" s="204">
        <v>0</v>
      </c>
      <c r="K91" s="216">
        <f t="shared" si="16"/>
        <v>0</v>
      </c>
      <c r="L91" s="205">
        <v>525.73</v>
      </c>
      <c r="M91" s="216">
        <f t="shared" si="17"/>
        <v>1.0175328741390106</v>
      </c>
      <c r="N91" s="205">
        <v>353.29055999999844</v>
      </c>
      <c r="O91" s="204">
        <v>0.3</v>
      </c>
      <c r="P91" s="206">
        <v>7.8271759549154649E-3</v>
      </c>
      <c r="Q91" s="290">
        <v>0.37199999999999706</v>
      </c>
      <c r="R91" s="206">
        <v>9.7056981840951007E-3</v>
      </c>
      <c r="S91" s="205">
        <v>195.57155999999847</v>
      </c>
      <c r="T91" s="204" t="s">
        <v>405</v>
      </c>
      <c r="U91" s="204" t="s">
        <v>225</v>
      </c>
      <c r="V91" s="204"/>
      <c r="W91" s="211">
        <v>1</v>
      </c>
      <c r="X91" s="204" t="s">
        <v>517</v>
      </c>
    </row>
    <row r="92" spans="2:24">
      <c r="B92" s="659"/>
      <c r="C92" s="659"/>
      <c r="D92" s="215">
        <v>6</v>
      </c>
      <c r="E92" s="204" t="s">
        <v>416</v>
      </c>
      <c r="F92" s="205">
        <v>151.63800000000001</v>
      </c>
      <c r="G92" s="290">
        <v>14.568</v>
      </c>
      <c r="H92" s="290">
        <v>15</v>
      </c>
      <c r="I92" s="216">
        <f t="shared" si="15"/>
        <v>1.029654036243822</v>
      </c>
      <c r="J92" s="204">
        <v>0</v>
      </c>
      <c r="K92" s="216">
        <f t="shared" si="16"/>
        <v>0</v>
      </c>
      <c r="L92" s="205">
        <v>758.19</v>
      </c>
      <c r="M92" s="216">
        <f t="shared" si="17"/>
        <v>1.029654036243822</v>
      </c>
      <c r="N92" s="205">
        <v>327.53808000000032</v>
      </c>
      <c r="O92" s="204">
        <v>0.2</v>
      </c>
      <c r="P92" s="206">
        <v>1.3728720483250962E-2</v>
      </c>
      <c r="Q92" s="290">
        <v>0.23200000000000037</v>
      </c>
      <c r="R92" s="206">
        <v>1.592531576057114E-2</v>
      </c>
      <c r="S92" s="205">
        <v>175.90008000000029</v>
      </c>
      <c r="T92" s="204" t="s">
        <v>405</v>
      </c>
      <c r="U92" s="204" t="s">
        <v>225</v>
      </c>
      <c r="V92" s="204"/>
      <c r="W92" s="211">
        <v>1</v>
      </c>
      <c r="X92" s="204" t="s">
        <v>417</v>
      </c>
    </row>
    <row r="93" spans="2:24">
      <c r="B93" s="659"/>
      <c r="C93" s="659"/>
      <c r="D93" s="215">
        <v>7</v>
      </c>
      <c r="E93" s="204" t="s">
        <v>533</v>
      </c>
      <c r="F93" s="205">
        <v>148.67500000000001</v>
      </c>
      <c r="G93" s="290">
        <v>36.777999999999999</v>
      </c>
      <c r="H93" s="290">
        <v>37.5</v>
      </c>
      <c r="I93" s="216">
        <f t="shared" si="15"/>
        <v>1.0196313013214422</v>
      </c>
      <c r="J93" s="204">
        <v>0</v>
      </c>
      <c r="K93" s="216">
        <f t="shared" si="16"/>
        <v>0</v>
      </c>
      <c r="L93" s="205">
        <v>297.35000000000002</v>
      </c>
      <c r="M93" s="216">
        <f t="shared" si="17"/>
        <v>1.0196313013214422</v>
      </c>
      <c r="N93" s="205">
        <v>214.6867000000004</v>
      </c>
      <c r="O93" s="204">
        <v>0.5</v>
      </c>
      <c r="P93" s="206">
        <v>1.3595084017619229E-2</v>
      </c>
      <c r="Q93" s="290">
        <v>0.22200000000000131</v>
      </c>
      <c r="R93" s="206">
        <v>6.0362173038229737E-3</v>
      </c>
      <c r="S93" s="205">
        <v>66.011700000000388</v>
      </c>
      <c r="T93" s="204" t="s">
        <v>405</v>
      </c>
      <c r="U93" s="204" t="s">
        <v>225</v>
      </c>
      <c r="V93" s="204"/>
      <c r="W93" s="211">
        <v>1</v>
      </c>
      <c r="X93" s="204" t="s">
        <v>474</v>
      </c>
    </row>
    <row r="94" spans="2:24">
      <c r="B94" s="659"/>
      <c r="C94" s="659"/>
      <c r="D94" s="215">
        <v>8</v>
      </c>
      <c r="E94" s="204" t="s">
        <v>565</v>
      </c>
      <c r="F94" s="205">
        <v>145.05199999999999</v>
      </c>
      <c r="G94" s="290">
        <v>43.167999999999999</v>
      </c>
      <c r="H94" s="290">
        <v>43.868000000000002</v>
      </c>
      <c r="I94" s="216">
        <f t="shared" si="15"/>
        <v>1.0162157153446998</v>
      </c>
      <c r="J94" s="204">
        <v>0</v>
      </c>
      <c r="K94" s="216">
        <f t="shared" si="16"/>
        <v>0</v>
      </c>
      <c r="L94" s="205">
        <v>362.63</v>
      </c>
      <c r="M94" s="216">
        <f t="shared" si="17"/>
        <v>1.0162157153446998</v>
      </c>
      <c r="N94" s="205">
        <v>253.84100000000103</v>
      </c>
      <c r="O94" s="204">
        <v>0.4</v>
      </c>
      <c r="P94" s="206">
        <v>9.2661230541141587E-3</v>
      </c>
      <c r="Q94" s="290">
        <v>0.30000000000000282</v>
      </c>
      <c r="R94" s="206">
        <v>6.9495922905856841E-3</v>
      </c>
      <c r="S94" s="205">
        <v>108.78900000000102</v>
      </c>
      <c r="T94" s="204" t="s">
        <v>402</v>
      </c>
      <c r="U94" s="204" t="s">
        <v>224</v>
      </c>
      <c r="V94" s="204"/>
      <c r="W94" s="211">
        <v>1</v>
      </c>
      <c r="X94" s="204" t="s">
        <v>566</v>
      </c>
    </row>
    <row r="95" spans="2:24">
      <c r="B95" s="659"/>
      <c r="C95" s="659"/>
      <c r="D95" s="215">
        <v>9</v>
      </c>
      <c r="E95" s="204" t="s">
        <v>567</v>
      </c>
      <c r="F95" s="205">
        <v>141.74800000000002</v>
      </c>
      <c r="G95" s="290">
        <v>18.524000000000001</v>
      </c>
      <c r="H95" s="290">
        <v>19.100000000000001</v>
      </c>
      <c r="I95" s="216">
        <f t="shared" si="15"/>
        <v>1.0310947959404018</v>
      </c>
      <c r="J95" s="204">
        <v>0</v>
      </c>
      <c r="K95" s="216">
        <f t="shared" si="16"/>
        <v>0</v>
      </c>
      <c r="L95" s="205">
        <v>354.37</v>
      </c>
      <c r="M95" s="216">
        <f t="shared" si="17"/>
        <v>1.0310947959404018</v>
      </c>
      <c r="N95" s="205">
        <v>204.11712000000017</v>
      </c>
      <c r="O95" s="204">
        <v>0.4</v>
      </c>
      <c r="P95" s="206">
        <v>2.1593608291945583E-2</v>
      </c>
      <c r="Q95" s="290">
        <v>0.17600000000000049</v>
      </c>
      <c r="R95" s="206">
        <v>9.5011876484560834E-3</v>
      </c>
      <c r="S95" s="205">
        <v>62.369120000000173</v>
      </c>
      <c r="T95" s="204" t="s">
        <v>402</v>
      </c>
      <c r="U95" s="204" t="s">
        <v>224</v>
      </c>
      <c r="V95" s="204"/>
      <c r="W95" s="211">
        <v>1</v>
      </c>
      <c r="X95" s="204" t="s">
        <v>471</v>
      </c>
    </row>
    <row r="96" spans="2:24">
      <c r="B96" s="659"/>
      <c r="C96" s="659"/>
      <c r="D96" s="215">
        <v>10</v>
      </c>
      <c r="E96" s="204" t="s">
        <v>534</v>
      </c>
      <c r="F96" s="205">
        <v>141.6</v>
      </c>
      <c r="G96" s="290">
        <v>39.204000000000001</v>
      </c>
      <c r="H96" s="290">
        <v>40.704000000000001</v>
      </c>
      <c r="I96" s="216">
        <f t="shared" si="15"/>
        <v>1.0382614018977656</v>
      </c>
      <c r="J96" s="204">
        <v>0</v>
      </c>
      <c r="K96" s="216">
        <f t="shared" si="16"/>
        <v>0</v>
      </c>
      <c r="L96" s="205">
        <v>177</v>
      </c>
      <c r="M96" s="216">
        <f t="shared" si="17"/>
        <v>1.0382614018977656</v>
      </c>
      <c r="N96" s="205">
        <v>265.5</v>
      </c>
      <c r="O96" s="204">
        <v>0.8</v>
      </c>
      <c r="P96" s="206">
        <v>2.0406081012141621E-2</v>
      </c>
      <c r="Q96" s="290">
        <v>0.7</v>
      </c>
      <c r="R96" s="206">
        <v>1.7855320885623915E-2</v>
      </c>
      <c r="S96" s="205">
        <v>123.89999999999999</v>
      </c>
      <c r="T96" s="204" t="s">
        <v>402</v>
      </c>
      <c r="U96" s="204" t="s">
        <v>224</v>
      </c>
      <c r="V96" s="204"/>
      <c r="W96" s="211">
        <v>1</v>
      </c>
      <c r="X96" s="204" t="s">
        <v>406</v>
      </c>
    </row>
    <row r="97" spans="2:24">
      <c r="B97" s="661">
        <v>45879</v>
      </c>
      <c r="C97" s="659" t="s">
        <v>284</v>
      </c>
      <c r="D97" s="215">
        <v>1</v>
      </c>
      <c r="E97" s="204" t="s">
        <v>411</v>
      </c>
      <c r="F97" s="205">
        <v>190.83</v>
      </c>
      <c r="G97" s="290">
        <v>43.088000000000001</v>
      </c>
      <c r="H97" s="290">
        <v>43.887999999999998</v>
      </c>
      <c r="I97" s="216">
        <f t="shared" si="15"/>
        <v>1.0185666542888971</v>
      </c>
      <c r="J97" s="204">
        <v>0</v>
      </c>
      <c r="K97" s="216">
        <f t="shared" si="16"/>
        <v>0</v>
      </c>
      <c r="L97" s="205">
        <v>318.05</v>
      </c>
      <c r="M97" s="216">
        <f t="shared" si="17"/>
        <v>1.0185666542888971</v>
      </c>
      <c r="N97" s="205">
        <v>254.43999999999912</v>
      </c>
      <c r="O97" s="204">
        <v>0.6</v>
      </c>
      <c r="P97" s="206">
        <v>1.3924990716672855E-2</v>
      </c>
      <c r="Q97" s="290">
        <v>0.19999999999999718</v>
      </c>
      <c r="R97" s="206">
        <v>4.6416635722242193E-3</v>
      </c>
      <c r="S97" s="205">
        <v>63.609999999999104</v>
      </c>
      <c r="T97" s="204" t="s">
        <v>405</v>
      </c>
      <c r="U97" s="204" t="s">
        <v>225</v>
      </c>
      <c r="V97" s="204"/>
      <c r="W97" s="211">
        <v>1</v>
      </c>
      <c r="X97" s="204" t="s">
        <v>413</v>
      </c>
    </row>
    <row r="98" spans="2:24">
      <c r="B98" s="659"/>
      <c r="C98" s="659"/>
      <c r="D98" s="215">
        <v>2</v>
      </c>
      <c r="E98" s="204" t="s">
        <v>525</v>
      </c>
      <c r="F98" s="205">
        <v>186.072</v>
      </c>
      <c r="G98" s="290">
        <v>10.505000000000001</v>
      </c>
      <c r="H98" s="290">
        <v>11</v>
      </c>
      <c r="I98" s="216">
        <f t="shared" si="15"/>
        <v>1.0471204188481675</v>
      </c>
      <c r="J98" s="204">
        <v>0</v>
      </c>
      <c r="K98" s="216">
        <f t="shared" si="16"/>
        <v>0</v>
      </c>
      <c r="L98" s="205">
        <v>930.36</v>
      </c>
      <c r="M98" s="216">
        <f t="shared" si="17"/>
        <v>1.0471204188481675</v>
      </c>
      <c r="N98" s="205">
        <v>460.52819999999929</v>
      </c>
      <c r="O98" s="204">
        <v>0.2</v>
      </c>
      <c r="P98" s="206">
        <v>1.9038553069966681E-2</v>
      </c>
      <c r="Q98" s="290">
        <v>0.29499999999999921</v>
      </c>
      <c r="R98" s="206">
        <v>2.8081865778200779E-2</v>
      </c>
      <c r="S98" s="205">
        <v>274.45619999999928</v>
      </c>
      <c r="T98" s="204" t="s">
        <v>405</v>
      </c>
      <c r="U98" s="204" t="s">
        <v>225</v>
      </c>
      <c r="V98" s="204"/>
      <c r="W98" s="211">
        <v>1</v>
      </c>
      <c r="X98" s="204" t="s">
        <v>474</v>
      </c>
    </row>
    <row r="99" spans="2:24">
      <c r="B99" s="659"/>
      <c r="C99" s="659"/>
      <c r="D99" s="215">
        <v>3</v>
      </c>
      <c r="E99" s="204" t="s">
        <v>567</v>
      </c>
      <c r="F99" s="205">
        <v>177.185</v>
      </c>
      <c r="G99" s="290">
        <v>19.701000000000001</v>
      </c>
      <c r="H99" s="290">
        <v>20.501000000000001</v>
      </c>
      <c r="I99" s="216">
        <f t="shared" si="15"/>
        <v>1.0406070757829553</v>
      </c>
      <c r="J99" s="204">
        <v>0</v>
      </c>
      <c r="K99" s="216">
        <f t="shared" si="16"/>
        <v>0</v>
      </c>
      <c r="L99" s="205">
        <v>354.37</v>
      </c>
      <c r="M99" s="216">
        <f t="shared" si="17"/>
        <v>1.0406070757829553</v>
      </c>
      <c r="N99" s="205">
        <v>283.49600000000027</v>
      </c>
      <c r="O99" s="204">
        <v>0.5</v>
      </c>
      <c r="P99" s="206">
        <v>2.5379422364346985E-2</v>
      </c>
      <c r="Q99" s="290">
        <v>0.30000000000000071</v>
      </c>
      <c r="R99" s="206">
        <v>1.5227653418608229E-2</v>
      </c>
      <c r="S99" s="205">
        <v>106.31100000000025</v>
      </c>
      <c r="T99" s="204" t="s">
        <v>402</v>
      </c>
      <c r="U99" s="204" t="s">
        <v>224</v>
      </c>
      <c r="V99" s="204"/>
      <c r="W99" s="211">
        <v>1</v>
      </c>
      <c r="X99" s="204" t="s">
        <v>471</v>
      </c>
    </row>
    <row r="100" spans="2:24">
      <c r="B100" s="659"/>
      <c r="C100" s="659"/>
      <c r="D100" s="215">
        <v>4</v>
      </c>
      <c r="E100" s="204" t="s">
        <v>407</v>
      </c>
      <c r="F100" s="205">
        <v>165.27</v>
      </c>
      <c r="G100" s="290">
        <v>68.138000000000005</v>
      </c>
      <c r="H100" s="290">
        <v>69.038000000000011</v>
      </c>
      <c r="I100" s="216">
        <f t="shared" si="15"/>
        <v>1.0132084886553758</v>
      </c>
      <c r="J100" s="204">
        <v>0</v>
      </c>
      <c r="K100" s="216">
        <f t="shared" si="16"/>
        <v>0</v>
      </c>
      <c r="L100" s="205">
        <v>330.54</v>
      </c>
      <c r="M100" s="216">
        <f t="shared" si="17"/>
        <v>1.0132084886553758</v>
      </c>
      <c r="N100" s="205">
        <v>297.48600000000192</v>
      </c>
      <c r="O100" s="204">
        <v>0.5</v>
      </c>
      <c r="P100" s="206">
        <v>7.3380492529865858E-3</v>
      </c>
      <c r="Q100" s="290">
        <v>0.40000000000000568</v>
      </c>
      <c r="R100" s="206">
        <v>5.8704394023893517E-3</v>
      </c>
      <c r="S100" s="205">
        <v>132.21600000000188</v>
      </c>
      <c r="T100" s="204" t="s">
        <v>405</v>
      </c>
      <c r="U100" s="204" t="s">
        <v>225</v>
      </c>
      <c r="V100" s="204"/>
      <c r="W100" s="211">
        <v>1</v>
      </c>
      <c r="X100" s="204" t="s">
        <v>408</v>
      </c>
    </row>
    <row r="101" spans="2:24">
      <c r="B101" s="659"/>
      <c r="C101" s="659"/>
      <c r="D101" s="215">
        <v>5</v>
      </c>
      <c r="E101" s="204" t="s">
        <v>545</v>
      </c>
      <c r="F101" s="205">
        <v>157.71899999999999</v>
      </c>
      <c r="G101" s="290">
        <v>34.295999999999999</v>
      </c>
      <c r="H101" s="290">
        <v>34.9</v>
      </c>
      <c r="I101" s="216">
        <f t="shared" si="15"/>
        <v>1.0176113832516911</v>
      </c>
      <c r="J101" s="204">
        <v>0</v>
      </c>
      <c r="K101" s="216">
        <f t="shared" si="16"/>
        <v>0</v>
      </c>
      <c r="L101" s="205">
        <v>525.73</v>
      </c>
      <c r="M101" s="216">
        <f t="shared" si="17"/>
        <v>1.0176113832516911</v>
      </c>
      <c r="N101" s="205">
        <v>317.54091999999957</v>
      </c>
      <c r="O101" s="204">
        <v>0.3</v>
      </c>
      <c r="P101" s="206">
        <v>8.74737578726382E-3</v>
      </c>
      <c r="Q101" s="290">
        <v>0.30399999999999922</v>
      </c>
      <c r="R101" s="206">
        <v>8.8640074644273162E-3</v>
      </c>
      <c r="S101" s="205">
        <v>159.82191999999958</v>
      </c>
      <c r="T101" s="204" t="s">
        <v>405</v>
      </c>
      <c r="U101" s="204" t="s">
        <v>225</v>
      </c>
      <c r="V101" s="204"/>
      <c r="W101" s="211">
        <v>1</v>
      </c>
      <c r="X101" s="204" t="s">
        <v>517</v>
      </c>
    </row>
    <row r="102" spans="2:24">
      <c r="B102" s="659"/>
      <c r="C102" s="659"/>
      <c r="D102" s="215">
        <v>6</v>
      </c>
      <c r="E102" s="204" t="s">
        <v>430</v>
      </c>
      <c r="F102" s="205">
        <v>148.452</v>
      </c>
      <c r="G102" s="290">
        <v>56.405999999999999</v>
      </c>
      <c r="H102" s="290">
        <v>57.205999999999996</v>
      </c>
      <c r="I102" s="216">
        <f t="shared" si="15"/>
        <v>1.0141828883452115</v>
      </c>
      <c r="J102" s="204">
        <v>0</v>
      </c>
      <c r="K102" s="216">
        <f t="shared" si="16"/>
        <v>0</v>
      </c>
      <c r="L102" s="205">
        <v>371.13</v>
      </c>
      <c r="M102" s="216">
        <f t="shared" si="17"/>
        <v>1.0141828883452115</v>
      </c>
      <c r="N102" s="205">
        <v>296.90399999999892</v>
      </c>
      <c r="O102" s="204">
        <v>0.4</v>
      </c>
      <c r="P102" s="206">
        <v>7.0914441726057514E-3</v>
      </c>
      <c r="Q102" s="290">
        <v>0.39999999999999714</v>
      </c>
      <c r="R102" s="206">
        <v>7.0914441726057003E-3</v>
      </c>
      <c r="S102" s="205">
        <v>148.45199999999895</v>
      </c>
      <c r="T102" s="204" t="s">
        <v>405</v>
      </c>
      <c r="U102" s="204" t="s">
        <v>224</v>
      </c>
      <c r="V102" s="204"/>
      <c r="W102" s="211">
        <v>1</v>
      </c>
      <c r="X102" s="204" t="s">
        <v>494</v>
      </c>
    </row>
    <row r="103" spans="2:24">
      <c r="B103" s="659"/>
      <c r="C103" s="659"/>
      <c r="D103" s="215">
        <v>7</v>
      </c>
      <c r="E103" s="204" t="s">
        <v>561</v>
      </c>
      <c r="F103" s="205">
        <v>145.929</v>
      </c>
      <c r="G103" s="290">
        <v>103.215</v>
      </c>
      <c r="H103" s="290">
        <v>104.515</v>
      </c>
      <c r="I103" s="216">
        <f t="shared" si="15"/>
        <v>1.0125950685462384</v>
      </c>
      <c r="J103" s="204">
        <v>0</v>
      </c>
      <c r="K103" s="216">
        <f t="shared" si="16"/>
        <v>0</v>
      </c>
      <c r="L103" s="205">
        <v>208.47</v>
      </c>
      <c r="M103" s="216">
        <f t="shared" si="17"/>
        <v>1.0125950685462384</v>
      </c>
      <c r="N103" s="205">
        <v>271.0109999999994</v>
      </c>
      <c r="O103" s="204">
        <v>0.70000000000000007</v>
      </c>
      <c r="P103" s="206">
        <v>6.7819599864360801E-3</v>
      </c>
      <c r="Q103" s="290">
        <v>0.59999999999999709</v>
      </c>
      <c r="R103" s="206">
        <v>5.813108559802326E-3</v>
      </c>
      <c r="S103" s="205">
        <v>125.0819999999994</v>
      </c>
      <c r="T103" s="204" t="s">
        <v>405</v>
      </c>
      <c r="U103" s="204" t="s">
        <v>224</v>
      </c>
      <c r="V103" s="204"/>
      <c r="W103" s="211">
        <v>1</v>
      </c>
      <c r="X103" s="204" t="s">
        <v>492</v>
      </c>
    </row>
    <row r="104" spans="2:24">
      <c r="B104" s="659"/>
      <c r="C104" s="659"/>
      <c r="D104" s="215">
        <v>8</v>
      </c>
      <c r="E104" s="204" t="s">
        <v>568</v>
      </c>
      <c r="F104" s="205">
        <v>144.375</v>
      </c>
      <c r="G104" s="290">
        <v>3.198</v>
      </c>
      <c r="H104" s="290">
        <v>4.4980000000000002</v>
      </c>
      <c r="I104" s="216">
        <f t="shared" si="15"/>
        <v>1.4065040650406504</v>
      </c>
      <c r="J104" s="204">
        <v>0</v>
      </c>
      <c r="K104" s="216">
        <f t="shared" si="16"/>
        <v>0</v>
      </c>
      <c r="L104" s="205">
        <v>206.25</v>
      </c>
      <c r="M104" s="216">
        <f t="shared" si="17"/>
        <v>1.4065040650406504</v>
      </c>
      <c r="N104" s="205">
        <v>268.12500000000006</v>
      </c>
      <c r="O104" s="204">
        <v>0.70000000000000007</v>
      </c>
      <c r="P104" s="206">
        <v>0.21888680425265794</v>
      </c>
      <c r="Q104" s="290">
        <v>0.6000000000000002</v>
      </c>
      <c r="R104" s="206">
        <v>0.18761726078799257</v>
      </c>
      <c r="S104" s="205">
        <v>123.75000000000004</v>
      </c>
      <c r="T104" s="204" t="s">
        <v>419</v>
      </c>
      <c r="U104" s="204" t="s">
        <v>420</v>
      </c>
      <c r="V104" s="204"/>
      <c r="W104" s="211">
        <v>1</v>
      </c>
      <c r="X104" s="204" t="s">
        <v>464</v>
      </c>
    </row>
    <row r="105" spans="2:24">
      <c r="B105" s="659"/>
      <c r="C105" s="659"/>
      <c r="D105" s="215">
        <v>9</v>
      </c>
      <c r="E105" s="204" t="s">
        <v>569</v>
      </c>
      <c r="F105" s="205">
        <v>142.137</v>
      </c>
      <c r="G105" s="290">
        <v>62.168999999999997</v>
      </c>
      <c r="H105" s="290">
        <v>62.869</v>
      </c>
      <c r="I105" s="216">
        <f t="shared" si="15"/>
        <v>1.0112596310058068</v>
      </c>
      <c r="J105" s="204">
        <v>0</v>
      </c>
      <c r="K105" s="216">
        <f t="shared" si="16"/>
        <v>0</v>
      </c>
      <c r="L105" s="205">
        <v>473.79</v>
      </c>
      <c r="M105" s="216">
        <f t="shared" si="17"/>
        <v>1.0112596310058068</v>
      </c>
      <c r="N105" s="205">
        <v>331.65300000000138</v>
      </c>
      <c r="O105" s="204">
        <v>0.3</v>
      </c>
      <c r="P105" s="206">
        <v>4.825556145345751E-3</v>
      </c>
      <c r="Q105" s="290">
        <v>0.40000000000000285</v>
      </c>
      <c r="R105" s="206">
        <v>6.4340748604610476E-3</v>
      </c>
      <c r="S105" s="205">
        <v>189.51600000000136</v>
      </c>
      <c r="T105" s="204" t="s">
        <v>405</v>
      </c>
      <c r="U105" s="204" t="s">
        <v>225</v>
      </c>
      <c r="V105" s="204"/>
      <c r="W105" s="211">
        <v>1</v>
      </c>
      <c r="X105" s="204" t="s">
        <v>423</v>
      </c>
    </row>
    <row r="106" spans="2:24">
      <c r="B106" s="659"/>
      <c r="C106" s="659"/>
      <c r="D106" s="215">
        <v>10</v>
      </c>
      <c r="E106" s="204" t="s">
        <v>570</v>
      </c>
      <c r="F106" s="205">
        <v>141.93</v>
      </c>
      <c r="G106" s="290">
        <v>408.82799999999997</v>
      </c>
      <c r="H106" s="290">
        <v>411.82799999999997</v>
      </c>
      <c r="I106" s="216">
        <f t="shared" si="15"/>
        <v>1.0073380492529866</v>
      </c>
      <c r="J106" s="204">
        <v>0</v>
      </c>
      <c r="K106" s="216">
        <f t="shared" si="16"/>
        <v>0</v>
      </c>
      <c r="L106" s="205">
        <v>78.849999999999994</v>
      </c>
      <c r="M106" s="216">
        <f t="shared" si="17"/>
        <v>1.0073380492529866</v>
      </c>
      <c r="N106" s="205">
        <v>236.54999999999998</v>
      </c>
      <c r="O106" s="204">
        <v>1.8</v>
      </c>
      <c r="P106" s="206">
        <v>4.402829551791952E-3</v>
      </c>
      <c r="Q106" s="290">
        <v>1.2</v>
      </c>
      <c r="R106" s="206">
        <v>2.9352197011946347E-3</v>
      </c>
      <c r="S106" s="205">
        <v>94.61999999999999</v>
      </c>
      <c r="T106" s="204" t="s">
        <v>419</v>
      </c>
      <c r="U106" s="204" t="s">
        <v>522</v>
      </c>
      <c r="V106" s="204"/>
      <c r="W106" s="211">
        <v>1</v>
      </c>
      <c r="X106" s="204" t="s">
        <v>408</v>
      </c>
    </row>
    <row r="107" spans="2:24">
      <c r="B107" s="661">
        <v>45880</v>
      </c>
      <c r="C107" s="659" t="s">
        <v>285</v>
      </c>
      <c r="D107" s="215">
        <v>1</v>
      </c>
      <c r="E107" s="204" t="s">
        <v>411</v>
      </c>
      <c r="F107" s="205">
        <v>254.44000000000003</v>
      </c>
      <c r="G107" s="290">
        <v>43.088000000000001</v>
      </c>
      <c r="H107" s="290">
        <v>44.2</v>
      </c>
      <c r="I107" s="216">
        <f t="shared" si="15"/>
        <v>1.0258076494615671</v>
      </c>
      <c r="J107" s="204">
        <v>0</v>
      </c>
      <c r="K107" s="216">
        <f t="shared" si="16"/>
        <v>0</v>
      </c>
      <c r="L107" s="205">
        <v>318.05</v>
      </c>
      <c r="M107" s="216">
        <f t="shared" si="17"/>
        <v>1.0258076494615671</v>
      </c>
      <c r="N107" s="205">
        <v>353.67160000000064</v>
      </c>
      <c r="O107" s="204">
        <v>0.8</v>
      </c>
      <c r="P107" s="206">
        <v>1.8566654288897141E-2</v>
      </c>
      <c r="Q107" s="290">
        <v>0.31200000000000183</v>
      </c>
      <c r="R107" s="206">
        <v>7.240995172669927E-3</v>
      </c>
      <c r="S107" s="205">
        <v>99.231600000000583</v>
      </c>
      <c r="T107" s="204" t="s">
        <v>405</v>
      </c>
      <c r="U107" s="204" t="s">
        <v>225</v>
      </c>
      <c r="V107" s="204"/>
      <c r="W107" s="211">
        <v>1</v>
      </c>
      <c r="X107" s="204" t="s">
        <v>413</v>
      </c>
    </row>
    <row r="108" spans="2:24">
      <c r="B108" s="659"/>
      <c r="C108" s="659"/>
      <c r="D108" s="215">
        <v>2</v>
      </c>
      <c r="E108" s="204" t="s">
        <v>404</v>
      </c>
      <c r="F108" s="205">
        <v>207.47499999999999</v>
      </c>
      <c r="G108" s="290">
        <v>18.004000000000001</v>
      </c>
      <c r="H108" s="290">
        <v>18.7</v>
      </c>
      <c r="I108" s="216">
        <f t="shared" si="15"/>
        <v>1.0386580759831148</v>
      </c>
      <c r="J108" s="204">
        <v>0</v>
      </c>
      <c r="K108" s="216">
        <f t="shared" si="16"/>
        <v>0</v>
      </c>
      <c r="L108" s="205">
        <v>414.95</v>
      </c>
      <c r="M108" s="216">
        <f t="shared" si="17"/>
        <v>1.0386580759831148</v>
      </c>
      <c r="N108" s="205">
        <v>288.80519999999916</v>
      </c>
      <c r="O108" s="204">
        <v>0.5</v>
      </c>
      <c r="P108" s="206">
        <v>2.777160630970895E-2</v>
      </c>
      <c r="Q108" s="290">
        <v>0.19599999999999795</v>
      </c>
      <c r="R108" s="206">
        <v>1.0886469673405796E-2</v>
      </c>
      <c r="S108" s="205">
        <v>81.330199999999152</v>
      </c>
      <c r="T108" s="204" t="s">
        <v>419</v>
      </c>
      <c r="U108" s="204" t="s">
        <v>522</v>
      </c>
      <c r="V108" s="204"/>
      <c r="W108" s="211">
        <v>1</v>
      </c>
      <c r="X108" s="204" t="s">
        <v>406</v>
      </c>
    </row>
    <row r="109" spans="2:24">
      <c r="B109" s="659"/>
      <c r="C109" s="659"/>
      <c r="D109" s="215">
        <v>3</v>
      </c>
      <c r="E109" s="204" t="s">
        <v>523</v>
      </c>
      <c r="F109" s="205">
        <v>164.18800000000002</v>
      </c>
      <c r="G109" s="290">
        <v>11.256</v>
      </c>
      <c r="H109" s="290">
        <v>11.9</v>
      </c>
      <c r="I109" s="216">
        <f t="shared" si="15"/>
        <v>1.0572139303482586</v>
      </c>
      <c r="J109" s="204">
        <v>0</v>
      </c>
      <c r="K109" s="216">
        <f t="shared" si="16"/>
        <v>0</v>
      </c>
      <c r="L109" s="205">
        <v>410.47</v>
      </c>
      <c r="M109" s="216">
        <f t="shared" si="17"/>
        <v>1.0572139303482586</v>
      </c>
      <c r="N109" s="205">
        <v>264.34268000000009</v>
      </c>
      <c r="O109" s="204">
        <v>0.4</v>
      </c>
      <c r="P109" s="206">
        <v>3.5536602700781808E-2</v>
      </c>
      <c r="Q109" s="290">
        <v>0.24400000000000011</v>
      </c>
      <c r="R109" s="206">
        <v>2.1677327647476909E-2</v>
      </c>
      <c r="S109" s="205">
        <v>100.15468000000006</v>
      </c>
      <c r="T109" s="204" t="s">
        <v>402</v>
      </c>
      <c r="U109" s="204" t="s">
        <v>224</v>
      </c>
      <c r="V109" s="204"/>
      <c r="W109" s="211">
        <v>1</v>
      </c>
      <c r="X109" s="204" t="s">
        <v>456</v>
      </c>
    </row>
    <row r="110" spans="2:24">
      <c r="B110" s="659"/>
      <c r="C110" s="659"/>
      <c r="D110" s="215">
        <v>4</v>
      </c>
      <c r="E110" s="204" t="s">
        <v>563</v>
      </c>
      <c r="F110" s="205">
        <v>157.75200000000001</v>
      </c>
      <c r="G110" s="290">
        <v>7.08</v>
      </c>
      <c r="H110" s="290">
        <v>6.88</v>
      </c>
      <c r="I110" s="216">
        <f t="shared" si="15"/>
        <v>0.97175141242937846</v>
      </c>
      <c r="J110" s="204">
        <v>0.9</v>
      </c>
      <c r="K110" s="216">
        <f t="shared" si="16"/>
        <v>0.1271186440677966</v>
      </c>
      <c r="L110" s="205">
        <v>394.38</v>
      </c>
      <c r="M110" s="216">
        <f t="shared" si="17"/>
        <v>1.0988700564971752</v>
      </c>
      <c r="N110" s="205">
        <v>283.95359999999988</v>
      </c>
      <c r="O110" s="204">
        <v>0.4</v>
      </c>
      <c r="P110" s="206">
        <v>5.6497175141242938E-2</v>
      </c>
      <c r="Q110" s="290">
        <v>0.30000000000000016</v>
      </c>
      <c r="R110" s="206">
        <v>4.2372881355932222E-2</v>
      </c>
      <c r="S110" s="205">
        <v>118.31400000000006</v>
      </c>
      <c r="T110" s="204" t="s">
        <v>419</v>
      </c>
      <c r="U110" s="204" t="s">
        <v>420</v>
      </c>
      <c r="V110" s="204"/>
      <c r="W110" s="211">
        <v>1</v>
      </c>
      <c r="X110" s="204" t="s">
        <v>504</v>
      </c>
    </row>
    <row r="111" spans="2:24">
      <c r="B111" s="659"/>
      <c r="C111" s="659"/>
      <c r="D111" s="215">
        <v>5</v>
      </c>
      <c r="E111" s="204" t="s">
        <v>571</v>
      </c>
      <c r="F111" s="205">
        <v>152.69999999999999</v>
      </c>
      <c r="G111" s="290">
        <v>15.948</v>
      </c>
      <c r="H111" s="290">
        <v>16.748000000000001</v>
      </c>
      <c r="I111" s="216">
        <f t="shared" si="15"/>
        <v>1.0501630298470028</v>
      </c>
      <c r="J111" s="204">
        <v>0</v>
      </c>
      <c r="K111" s="216">
        <f t="shared" si="16"/>
        <v>0</v>
      </c>
      <c r="L111" s="205">
        <v>305.39999999999998</v>
      </c>
      <c r="M111" s="216">
        <f t="shared" si="17"/>
        <v>1.0501630298470028</v>
      </c>
      <c r="N111" s="205">
        <v>244.32000000000019</v>
      </c>
      <c r="O111" s="204">
        <v>0.5</v>
      </c>
      <c r="P111" s="206">
        <v>3.1351893654376725E-2</v>
      </c>
      <c r="Q111" s="290">
        <v>0.30000000000000071</v>
      </c>
      <c r="R111" s="206">
        <v>1.8811136192626077E-2</v>
      </c>
      <c r="S111" s="205">
        <v>91.620000000000203</v>
      </c>
      <c r="T111" s="204" t="s">
        <v>405</v>
      </c>
      <c r="U111" s="204" t="s">
        <v>225</v>
      </c>
      <c r="V111" s="204"/>
      <c r="W111" s="211">
        <v>1</v>
      </c>
      <c r="X111" s="204" t="s">
        <v>490</v>
      </c>
    </row>
    <row r="112" spans="2:24">
      <c r="B112" s="659"/>
      <c r="C112" s="659"/>
      <c r="D112" s="215">
        <v>6</v>
      </c>
      <c r="E112" s="204" t="s">
        <v>533</v>
      </c>
      <c r="F112" s="205">
        <v>148.67500000000001</v>
      </c>
      <c r="G112" s="290">
        <v>35.704999999999998</v>
      </c>
      <c r="H112" s="290">
        <v>36.805</v>
      </c>
      <c r="I112" s="216">
        <f t="shared" si="15"/>
        <v>1.0308080100826216</v>
      </c>
      <c r="J112" s="204">
        <v>0</v>
      </c>
      <c r="K112" s="216">
        <f t="shared" si="16"/>
        <v>0</v>
      </c>
      <c r="L112" s="205">
        <v>297.35000000000002</v>
      </c>
      <c r="M112" s="216">
        <f t="shared" si="17"/>
        <v>1.0308080100826216</v>
      </c>
      <c r="N112" s="205">
        <v>327.08500000000043</v>
      </c>
      <c r="O112" s="204">
        <v>0.5</v>
      </c>
      <c r="P112" s="206">
        <v>1.4003640946646129E-2</v>
      </c>
      <c r="Q112" s="290">
        <v>0.60000000000000142</v>
      </c>
      <c r="R112" s="206">
        <v>1.6804369135975394E-2</v>
      </c>
      <c r="S112" s="205">
        <v>178.41000000000042</v>
      </c>
      <c r="T112" s="204" t="s">
        <v>405</v>
      </c>
      <c r="U112" s="204" t="s">
        <v>225</v>
      </c>
      <c r="V112" s="204"/>
      <c r="W112" s="211">
        <v>1</v>
      </c>
      <c r="X112" s="204" t="s">
        <v>474</v>
      </c>
    </row>
    <row r="113" spans="2:25">
      <c r="B113" s="659"/>
      <c r="C113" s="659"/>
      <c r="D113" s="215">
        <v>7</v>
      </c>
      <c r="E113" s="204" t="s">
        <v>572</v>
      </c>
      <c r="F113" s="205">
        <v>136.672</v>
      </c>
      <c r="G113" s="290">
        <v>33.04</v>
      </c>
      <c r="H113" s="290">
        <v>34.24</v>
      </c>
      <c r="I113" s="216">
        <f t="shared" si="15"/>
        <v>1.0363196125907992</v>
      </c>
      <c r="J113" s="204">
        <v>0</v>
      </c>
      <c r="K113" s="216">
        <f t="shared" si="16"/>
        <v>0</v>
      </c>
      <c r="L113" s="205">
        <v>170.84</v>
      </c>
      <c r="M113" s="216">
        <f t="shared" si="17"/>
        <v>1.0363196125907992</v>
      </c>
      <c r="N113" s="205">
        <v>205.00800000000049</v>
      </c>
      <c r="O113" s="204">
        <v>0.8</v>
      </c>
      <c r="P113" s="206">
        <v>2.4213075060532691E-2</v>
      </c>
      <c r="Q113" s="290">
        <v>0.4000000000000028</v>
      </c>
      <c r="R113" s="206">
        <v>1.2106537530266429E-2</v>
      </c>
      <c r="S113" s="205">
        <v>68.336000000000482</v>
      </c>
      <c r="T113" s="204" t="s">
        <v>402</v>
      </c>
      <c r="U113" s="204" t="s">
        <v>224</v>
      </c>
      <c r="V113" s="204"/>
      <c r="W113" s="211">
        <v>1</v>
      </c>
      <c r="X113" s="204" t="s">
        <v>499</v>
      </c>
    </row>
    <row r="114" spans="2:25">
      <c r="B114" s="659"/>
      <c r="C114" s="659"/>
      <c r="D114" s="215">
        <v>8</v>
      </c>
      <c r="E114" s="204" t="s">
        <v>573</v>
      </c>
      <c r="F114" s="205">
        <v>134.595</v>
      </c>
      <c r="G114" s="290">
        <v>99.05</v>
      </c>
      <c r="H114" s="290">
        <v>100.14999999999999</v>
      </c>
      <c r="I114" s="216">
        <f t="shared" si="15"/>
        <v>1.01110550227158</v>
      </c>
      <c r="J114" s="204">
        <v>0</v>
      </c>
      <c r="K114" s="216">
        <f t="shared" si="16"/>
        <v>0</v>
      </c>
      <c r="L114" s="205">
        <v>269.19</v>
      </c>
      <c r="M114" s="216">
        <f t="shared" si="17"/>
        <v>1.01110550227158</v>
      </c>
      <c r="N114" s="205">
        <v>296.10899999999845</v>
      </c>
      <c r="O114" s="204">
        <v>0.5</v>
      </c>
      <c r="P114" s="206">
        <v>5.0479555779909136E-3</v>
      </c>
      <c r="Q114" s="290">
        <v>0.59999999999999432</v>
      </c>
      <c r="R114" s="206">
        <v>6.0575466935890391E-3</v>
      </c>
      <c r="S114" s="205">
        <v>161.51399999999848</v>
      </c>
      <c r="T114" s="204" t="s">
        <v>402</v>
      </c>
      <c r="U114" s="204" t="s">
        <v>224</v>
      </c>
      <c r="V114" s="204"/>
      <c r="W114" s="211">
        <v>1</v>
      </c>
      <c r="X114" s="204" t="s">
        <v>482</v>
      </c>
    </row>
    <row r="115" spans="2:25">
      <c r="B115" s="659"/>
      <c r="C115" s="659"/>
      <c r="D115" s="215">
        <v>9</v>
      </c>
      <c r="E115" s="204" t="s">
        <v>574</v>
      </c>
      <c r="F115" s="205">
        <v>132.756</v>
      </c>
      <c r="G115" s="290">
        <v>14.853999999999999</v>
      </c>
      <c r="H115" s="290">
        <v>16.3</v>
      </c>
      <c r="I115" s="216">
        <f t="shared" si="15"/>
        <v>1.0973475158206545</v>
      </c>
      <c r="J115" s="204">
        <v>0</v>
      </c>
      <c r="K115" s="216">
        <f t="shared" si="16"/>
        <v>0</v>
      </c>
      <c r="L115" s="205">
        <v>110.63</v>
      </c>
      <c r="M115" s="216">
        <f t="shared" si="17"/>
        <v>1.0973475158206545</v>
      </c>
      <c r="N115" s="205">
        <v>159.97098000000017</v>
      </c>
      <c r="O115" s="204">
        <v>1.2</v>
      </c>
      <c r="P115" s="206">
        <v>8.0786320183115656E-2</v>
      </c>
      <c r="Q115" s="290">
        <v>0.24600000000000155</v>
      </c>
      <c r="R115" s="206">
        <v>1.6561195637538814E-2</v>
      </c>
      <c r="S115" s="205">
        <v>27.214980000000171</v>
      </c>
      <c r="T115" s="204" t="s">
        <v>419</v>
      </c>
      <c r="U115" s="204" t="s">
        <v>420</v>
      </c>
      <c r="V115" s="204"/>
      <c r="W115" s="211">
        <v>1</v>
      </c>
      <c r="X115" s="204" t="s">
        <v>575</v>
      </c>
    </row>
    <row r="116" spans="2:25">
      <c r="B116" s="659"/>
      <c r="C116" s="659"/>
      <c r="D116" s="215">
        <v>10</v>
      </c>
      <c r="E116" s="204" t="s">
        <v>435</v>
      </c>
      <c r="F116" s="205">
        <v>131.66200000000001</v>
      </c>
      <c r="G116" s="290">
        <v>7.6950000000000003</v>
      </c>
      <c r="H116" s="290">
        <v>7.9950000000000001</v>
      </c>
      <c r="I116" s="216">
        <f t="shared" si="15"/>
        <v>1.0389863547758285</v>
      </c>
      <c r="J116" s="204">
        <v>0</v>
      </c>
      <c r="K116" s="216">
        <f t="shared" si="16"/>
        <v>0</v>
      </c>
      <c r="L116" s="205">
        <v>658.31</v>
      </c>
      <c r="M116" s="216">
        <f t="shared" si="17"/>
        <v>1.0389863547758285</v>
      </c>
      <c r="N116" s="205">
        <v>197.49299999999985</v>
      </c>
      <c r="O116" s="204">
        <v>0.2</v>
      </c>
      <c r="P116" s="206">
        <v>2.5990903183885642E-2</v>
      </c>
      <c r="Q116" s="290">
        <v>9.9999999999999811E-2</v>
      </c>
      <c r="R116" s="206">
        <v>1.2995451591942795E-2</v>
      </c>
      <c r="S116" s="205">
        <v>65.830999999999875</v>
      </c>
      <c r="T116" s="204" t="s">
        <v>405</v>
      </c>
      <c r="U116" s="204" t="s">
        <v>225</v>
      </c>
      <c r="V116" s="204"/>
      <c r="W116" s="211">
        <v>1</v>
      </c>
      <c r="X116" s="204" t="s">
        <v>436</v>
      </c>
    </row>
    <row r="117" spans="2:25">
      <c r="B117" s="661">
        <v>45881</v>
      </c>
      <c r="C117" s="659" t="s">
        <v>268</v>
      </c>
      <c r="D117" s="237">
        <v>11</v>
      </c>
      <c r="E117" s="204" t="s">
        <v>564</v>
      </c>
      <c r="F117" s="205">
        <v>290</v>
      </c>
      <c r="G117" s="204">
        <v>1.2754000000000001</v>
      </c>
      <c r="H117" s="204">
        <v>1.4000000000000001</v>
      </c>
      <c r="I117" s="216">
        <f t="shared" si="15"/>
        <v>1.0976948408342482</v>
      </c>
      <c r="J117" s="204">
        <v>0</v>
      </c>
      <c r="K117" s="216">
        <f t="shared" si="16"/>
        <v>0</v>
      </c>
      <c r="L117" s="205">
        <v>2900</v>
      </c>
      <c r="M117" s="216">
        <f t="shared" si="17"/>
        <v>1.0976948408342482</v>
      </c>
      <c r="N117" s="205">
        <v>361.34000000000015</v>
      </c>
      <c r="O117" s="204">
        <v>0.1</v>
      </c>
      <c r="P117" s="206">
        <v>7.8406774345303437E-2</v>
      </c>
      <c r="Q117" s="290">
        <v>2.4600000000000039E-2</v>
      </c>
      <c r="R117" s="206">
        <v>1.9288066488944672E-2</v>
      </c>
      <c r="S117" s="205">
        <v>71.340000000000117</v>
      </c>
      <c r="T117" s="204" t="s">
        <v>405</v>
      </c>
      <c r="U117" s="204" t="s">
        <v>225</v>
      </c>
      <c r="V117" s="204"/>
      <c r="W117" s="211">
        <v>1</v>
      </c>
      <c r="X117" s="204" t="s">
        <v>559</v>
      </c>
    </row>
    <row r="118" spans="2:25">
      <c r="B118" s="659"/>
      <c r="C118" s="659"/>
      <c r="D118" s="237">
        <v>12</v>
      </c>
      <c r="E118" s="204" t="s">
        <v>558</v>
      </c>
      <c r="F118" s="205">
        <v>260.62800000000004</v>
      </c>
      <c r="G118" s="204">
        <v>21.864000000000001</v>
      </c>
      <c r="H118" s="204">
        <v>22.564</v>
      </c>
      <c r="I118" s="216">
        <f t="shared" si="15"/>
        <v>1.0320160995243322</v>
      </c>
      <c r="J118" s="204">
        <v>0</v>
      </c>
      <c r="K118" s="216">
        <f t="shared" si="16"/>
        <v>0</v>
      </c>
      <c r="L118" s="205">
        <v>651.57000000000005</v>
      </c>
      <c r="M118" s="216">
        <f t="shared" si="17"/>
        <v>1.0320160995243322</v>
      </c>
      <c r="N118" s="205">
        <v>456.09899999999959</v>
      </c>
      <c r="O118" s="204">
        <v>0.4</v>
      </c>
      <c r="P118" s="206">
        <v>1.8294914013904134E-2</v>
      </c>
      <c r="Q118" s="204">
        <v>0.29999999999999927</v>
      </c>
      <c r="R118" s="206">
        <v>1.3721185510428066E-2</v>
      </c>
      <c r="S118" s="205">
        <v>195.47099999999955</v>
      </c>
      <c r="T118" s="204" t="s">
        <v>402</v>
      </c>
      <c r="U118" s="204" t="s">
        <v>224</v>
      </c>
      <c r="V118" s="204"/>
      <c r="W118" s="211">
        <v>1</v>
      </c>
      <c r="X118" s="204" t="s">
        <v>559</v>
      </c>
    </row>
    <row r="119" spans="2:25">
      <c r="B119" s="659"/>
      <c r="C119" s="659"/>
      <c r="D119" s="237">
        <v>13</v>
      </c>
      <c r="E119" s="204" t="s">
        <v>529</v>
      </c>
      <c r="F119" s="205">
        <v>254.96</v>
      </c>
      <c r="G119" s="204">
        <v>143.209</v>
      </c>
      <c r="H119" s="204">
        <v>146.309</v>
      </c>
      <c r="I119" s="216">
        <f t="shared" si="15"/>
        <v>1.021646684216774</v>
      </c>
      <c r="J119" s="204">
        <v>0</v>
      </c>
      <c r="K119" s="216">
        <f t="shared" si="16"/>
        <v>0</v>
      </c>
      <c r="L119" s="205">
        <v>127.48</v>
      </c>
      <c r="M119" s="216">
        <f t="shared" si="17"/>
        <v>1.021646684216774</v>
      </c>
      <c r="N119" s="205">
        <v>395.18799999999931</v>
      </c>
      <c r="O119" s="204">
        <v>2</v>
      </c>
      <c r="P119" s="206">
        <v>1.3965602720499409E-2</v>
      </c>
      <c r="Q119" s="204">
        <v>1.0999999999999943</v>
      </c>
      <c r="R119" s="206">
        <v>7.6810814962746353E-3</v>
      </c>
      <c r="S119" s="205">
        <v>140.22799999999927</v>
      </c>
      <c r="T119" s="204" t="s">
        <v>419</v>
      </c>
      <c r="U119" s="204" t="s">
        <v>522</v>
      </c>
      <c r="V119" s="204"/>
      <c r="W119" s="211">
        <v>1</v>
      </c>
      <c r="X119" s="204" t="s">
        <v>417</v>
      </c>
    </row>
    <row r="120" spans="2:25">
      <c r="B120" s="659"/>
      <c r="C120" s="659"/>
      <c r="D120" s="237">
        <v>14</v>
      </c>
      <c r="E120" s="204" t="s">
        <v>599</v>
      </c>
      <c r="F120" s="205">
        <v>222.44</v>
      </c>
      <c r="G120" s="204">
        <v>67.733999999999995</v>
      </c>
      <c r="H120" s="204">
        <v>68.733999999999995</v>
      </c>
      <c r="I120" s="216">
        <f t="shared" si="15"/>
        <v>1.0147636342161988</v>
      </c>
      <c r="J120" s="204">
        <v>0</v>
      </c>
      <c r="K120" s="216">
        <f t="shared" si="16"/>
        <v>0</v>
      </c>
      <c r="L120" s="205">
        <v>444.88</v>
      </c>
      <c r="M120" s="216">
        <f t="shared" si="17"/>
        <v>1.0147636342161988</v>
      </c>
      <c r="N120" s="205">
        <v>444.88</v>
      </c>
      <c r="O120" s="204">
        <v>0.5</v>
      </c>
      <c r="P120" s="206">
        <v>7.3818171080993304E-3</v>
      </c>
      <c r="Q120" s="204">
        <v>0.5</v>
      </c>
      <c r="R120" s="206">
        <v>7.3818171080993304E-3</v>
      </c>
      <c r="S120" s="205">
        <v>222.44</v>
      </c>
      <c r="T120" s="204" t="s">
        <v>405</v>
      </c>
      <c r="U120" s="204" t="s">
        <v>412</v>
      </c>
      <c r="V120" s="204"/>
      <c r="W120" s="211">
        <v>1</v>
      </c>
      <c r="X120" s="204" t="s">
        <v>598</v>
      </c>
    </row>
    <row r="121" spans="2:25">
      <c r="B121" s="659"/>
      <c r="C121" s="659"/>
      <c r="D121" s="237">
        <v>15</v>
      </c>
      <c r="E121" s="204" t="s">
        <v>545</v>
      </c>
      <c r="F121" s="205">
        <v>210.29200000000003</v>
      </c>
      <c r="G121" s="204">
        <v>42.432000000000002</v>
      </c>
      <c r="H121" s="204">
        <v>43.8</v>
      </c>
      <c r="I121" s="216">
        <f t="shared" si="15"/>
        <v>1.0322398190045248</v>
      </c>
      <c r="J121" s="204">
        <v>0</v>
      </c>
      <c r="K121" s="216">
        <f t="shared" si="16"/>
        <v>0</v>
      </c>
      <c r="L121" s="205">
        <v>525.73</v>
      </c>
      <c r="M121" s="216">
        <f t="shared" si="17"/>
        <v>1.0322398190045248</v>
      </c>
      <c r="N121" s="205">
        <v>719.19863999999734</v>
      </c>
      <c r="O121" s="204">
        <v>0.4</v>
      </c>
      <c r="P121" s="206">
        <v>9.4268476621417793E-3</v>
      </c>
      <c r="Q121" s="204">
        <v>0.96799999999999498</v>
      </c>
      <c r="R121" s="206">
        <v>2.2812971342382988E-2</v>
      </c>
      <c r="S121" s="205">
        <v>508.90663999999737</v>
      </c>
      <c r="T121" s="204" t="s">
        <v>405</v>
      </c>
      <c r="U121" s="204" t="s">
        <v>412</v>
      </c>
      <c r="V121" s="204"/>
      <c r="W121" s="211">
        <v>1</v>
      </c>
      <c r="X121" s="204" t="s">
        <v>517</v>
      </c>
    </row>
    <row r="122" spans="2:25">
      <c r="B122" s="659"/>
      <c r="C122" s="659"/>
      <c r="D122" s="237">
        <v>16</v>
      </c>
      <c r="E122" s="204" t="s">
        <v>422</v>
      </c>
      <c r="F122" s="205">
        <v>205.33499999999998</v>
      </c>
      <c r="G122" s="204">
        <v>252.43199999999999</v>
      </c>
      <c r="H122" s="204">
        <v>255.232</v>
      </c>
      <c r="I122" s="216">
        <f t="shared" si="15"/>
        <v>1.0110920960892438</v>
      </c>
      <c r="J122" s="204">
        <v>0</v>
      </c>
      <c r="K122" s="216">
        <f t="shared" si="16"/>
        <v>0</v>
      </c>
      <c r="L122" s="205">
        <v>136.88999999999999</v>
      </c>
      <c r="M122" s="216">
        <f t="shared" si="17"/>
        <v>1.0110920960892438</v>
      </c>
      <c r="N122" s="205">
        <v>383.29200000000151</v>
      </c>
      <c r="O122" s="204">
        <v>1.5</v>
      </c>
      <c r="P122" s="206">
        <v>5.9421943335234836E-3</v>
      </c>
      <c r="Q122" s="204">
        <v>1.3000000000000114</v>
      </c>
      <c r="R122" s="206">
        <v>5.1499017557203979E-3</v>
      </c>
      <c r="S122" s="205">
        <v>177.95700000000153</v>
      </c>
      <c r="T122" s="204" t="s">
        <v>405</v>
      </c>
      <c r="U122" s="204" t="s">
        <v>225</v>
      </c>
      <c r="V122" s="204"/>
      <c r="W122" s="211">
        <v>1</v>
      </c>
      <c r="X122" s="204" t="s">
        <v>423</v>
      </c>
    </row>
    <row r="123" spans="2:25">
      <c r="B123" s="659"/>
      <c r="C123" s="659"/>
      <c r="D123" s="237">
        <v>17</v>
      </c>
      <c r="E123" s="204" t="s">
        <v>525</v>
      </c>
      <c r="F123" s="205">
        <v>186.072</v>
      </c>
      <c r="G123" s="204">
        <v>12.265000000000001</v>
      </c>
      <c r="H123" s="204">
        <v>12.5</v>
      </c>
      <c r="I123" s="216">
        <f t="shared" si="15"/>
        <v>1.019160211985324</v>
      </c>
      <c r="J123" s="204">
        <v>0</v>
      </c>
      <c r="K123" s="216">
        <f t="shared" si="16"/>
        <v>0</v>
      </c>
      <c r="L123" s="205">
        <v>930.36</v>
      </c>
      <c r="M123" s="216">
        <f t="shared" si="17"/>
        <v>1.019160211985324</v>
      </c>
      <c r="N123" s="205">
        <v>218.63459999999947</v>
      </c>
      <c r="O123" s="204">
        <v>0.2</v>
      </c>
      <c r="P123" s="206">
        <v>1.6306563391765186E-2</v>
      </c>
      <c r="Q123" s="204">
        <v>3.499999999999942E-2</v>
      </c>
      <c r="R123" s="206">
        <v>2.8536485935588599E-3</v>
      </c>
      <c r="S123" s="205">
        <v>32.562599999999463</v>
      </c>
      <c r="T123" s="204" t="s">
        <v>405</v>
      </c>
      <c r="U123" s="204" t="s">
        <v>225</v>
      </c>
      <c r="V123" s="204"/>
      <c r="W123" s="211">
        <v>1</v>
      </c>
      <c r="X123" s="204" t="s">
        <v>474</v>
      </c>
    </row>
    <row r="124" spans="2:25">
      <c r="B124" s="659"/>
      <c r="C124" s="659"/>
      <c r="D124" s="237">
        <v>18</v>
      </c>
      <c r="E124" s="204" t="s">
        <v>533</v>
      </c>
      <c r="F124" s="205">
        <v>178.41000000000005</v>
      </c>
      <c r="G124" s="204">
        <v>41.255000000000003</v>
      </c>
      <c r="H124" s="204">
        <v>42.455000000000005</v>
      </c>
      <c r="I124" s="216">
        <f t="shared" si="15"/>
        <v>1.0290873833474732</v>
      </c>
      <c r="J124" s="204">
        <v>0</v>
      </c>
      <c r="K124" s="216">
        <f t="shared" si="16"/>
        <v>0</v>
      </c>
      <c r="L124" s="205">
        <v>297.35000000000002</v>
      </c>
      <c r="M124" s="216">
        <f t="shared" si="17"/>
        <v>1.0290873833474732</v>
      </c>
      <c r="N124" s="205">
        <v>356.82000000000085</v>
      </c>
      <c r="O124" s="204">
        <v>0.60000000000000009</v>
      </c>
      <c r="P124" s="206">
        <v>1.4543691673736517E-2</v>
      </c>
      <c r="Q124" s="204">
        <v>0.60000000000000275</v>
      </c>
      <c r="R124" s="206">
        <v>1.4543691673736583E-2</v>
      </c>
      <c r="S124" s="205">
        <v>178.41000000000082</v>
      </c>
      <c r="T124" s="204" t="s">
        <v>405</v>
      </c>
      <c r="U124" s="204" t="s">
        <v>225</v>
      </c>
      <c r="V124" s="204"/>
      <c r="W124" s="211">
        <v>1</v>
      </c>
      <c r="X124" s="204" t="s">
        <v>474</v>
      </c>
    </row>
    <row r="125" spans="2:25">
      <c r="B125" s="659"/>
      <c r="C125" s="659"/>
      <c r="D125" s="237">
        <v>19</v>
      </c>
      <c r="E125" s="204" t="s">
        <v>597</v>
      </c>
      <c r="F125" s="205">
        <v>167.36400000000003</v>
      </c>
      <c r="G125" s="204">
        <v>17.036999999999999</v>
      </c>
      <c r="H125" s="204">
        <v>17.637</v>
      </c>
      <c r="I125" s="216">
        <f t="shared" si="15"/>
        <v>1.0352174678640607</v>
      </c>
      <c r="J125" s="204">
        <v>0</v>
      </c>
      <c r="K125" s="216">
        <f t="shared" si="16"/>
        <v>0</v>
      </c>
      <c r="L125" s="205">
        <v>418.41</v>
      </c>
      <c r="M125" s="216">
        <f t="shared" si="17"/>
        <v>1.0352174678640607</v>
      </c>
      <c r="N125" s="205">
        <v>251.04600000000062</v>
      </c>
      <c r="O125" s="204">
        <v>0.4</v>
      </c>
      <c r="P125" s="206">
        <v>2.347831190937372E-2</v>
      </c>
      <c r="Q125" s="204">
        <v>0.2000000000000014</v>
      </c>
      <c r="R125" s="206">
        <v>1.173915595468694E-2</v>
      </c>
      <c r="S125" s="205">
        <v>83.682000000000585</v>
      </c>
      <c r="T125" s="204" t="s">
        <v>419</v>
      </c>
      <c r="U125" s="204" t="s">
        <v>420</v>
      </c>
      <c r="V125" s="204"/>
      <c r="W125" s="211">
        <v>1</v>
      </c>
      <c r="X125" s="204" t="s">
        <v>471</v>
      </c>
    </row>
    <row r="126" spans="2:25">
      <c r="B126" s="659"/>
      <c r="C126" s="659"/>
      <c r="D126" s="237">
        <v>20</v>
      </c>
      <c r="E126" s="204" t="s">
        <v>603</v>
      </c>
      <c r="F126" s="205">
        <v>159.55199999999999</v>
      </c>
      <c r="G126" s="204">
        <v>164.232</v>
      </c>
      <c r="H126" s="204">
        <v>167.13200000000001</v>
      </c>
      <c r="I126" s="216">
        <f t="shared" si="15"/>
        <v>1.0176579472940719</v>
      </c>
      <c r="J126" s="204">
        <v>0</v>
      </c>
      <c r="K126" s="216">
        <f t="shared" si="16"/>
        <v>0</v>
      </c>
      <c r="L126" s="205">
        <v>88.64</v>
      </c>
      <c r="M126" s="216">
        <f t="shared" si="17"/>
        <v>1.0176579472940719</v>
      </c>
      <c r="N126" s="205">
        <v>257.05600000000049</v>
      </c>
      <c r="O126" s="204">
        <v>1.8</v>
      </c>
      <c r="P126" s="206">
        <v>1.0960105217010083E-2</v>
      </c>
      <c r="Q126" s="204">
        <v>1.1000000000000056</v>
      </c>
      <c r="R126" s="206">
        <v>6.6978420770617518E-3</v>
      </c>
      <c r="S126" s="205">
        <v>97.504000000000502</v>
      </c>
      <c r="T126" s="204" t="s">
        <v>419</v>
      </c>
      <c r="U126" s="204" t="s">
        <v>224</v>
      </c>
      <c r="V126" s="204"/>
      <c r="W126" s="211">
        <v>1</v>
      </c>
      <c r="X126" s="204" t="s">
        <v>600</v>
      </c>
    </row>
    <row r="127" spans="2:25">
      <c r="B127" s="661">
        <v>45882</v>
      </c>
      <c r="C127" s="659" t="s">
        <v>286</v>
      </c>
      <c r="D127" s="237">
        <v>21</v>
      </c>
      <c r="E127" s="204" t="s">
        <v>426</v>
      </c>
      <c r="F127" s="205">
        <v>153.018</v>
      </c>
      <c r="G127" s="204">
        <v>209.471</v>
      </c>
      <c r="H127" s="204">
        <v>210.7</v>
      </c>
      <c r="I127" s="216">
        <f t="shared" si="15"/>
        <v>1.0058671606093443</v>
      </c>
      <c r="J127" s="204">
        <v>0</v>
      </c>
      <c r="K127" s="216">
        <f t="shared" si="16"/>
        <v>0</v>
      </c>
      <c r="L127" s="205">
        <v>510.06</v>
      </c>
      <c r="M127" s="216">
        <f t="shared" si="17"/>
        <v>1.0058671606093443</v>
      </c>
      <c r="N127" s="205">
        <v>626.86373999999239</v>
      </c>
      <c r="O127" s="204">
        <v>0.3</v>
      </c>
      <c r="P127" s="206">
        <v>1.4321791560645625E-3</v>
      </c>
      <c r="Q127" s="204">
        <v>0.92899999999998495</v>
      </c>
      <c r="R127" s="206">
        <v>4.4349814532798574E-3</v>
      </c>
      <c r="S127" s="205">
        <v>473.8457399999923</v>
      </c>
      <c r="T127" s="204" t="s">
        <v>405</v>
      </c>
      <c r="U127" s="204" t="s">
        <v>225</v>
      </c>
      <c r="V127" s="204"/>
      <c r="W127" s="211">
        <v>1</v>
      </c>
      <c r="X127" s="204" t="s">
        <v>423</v>
      </c>
      <c r="Y127" s="207" t="s">
        <v>272</v>
      </c>
    </row>
    <row r="128" spans="2:25">
      <c r="B128" s="659"/>
      <c r="C128" s="659"/>
      <c r="D128" s="237">
        <v>22</v>
      </c>
      <c r="E128" s="204" t="s">
        <v>604</v>
      </c>
      <c r="F128" s="205">
        <v>149.4</v>
      </c>
      <c r="G128" s="204">
        <v>2150</v>
      </c>
      <c r="H128" s="204">
        <v>2160</v>
      </c>
      <c r="I128" s="216">
        <f t="shared" si="15"/>
        <v>1.0046511627906978</v>
      </c>
      <c r="J128" s="204">
        <v>0</v>
      </c>
      <c r="K128" s="216">
        <f t="shared" si="16"/>
        <v>0</v>
      </c>
      <c r="L128" s="205">
        <v>14.94</v>
      </c>
      <c r="M128" s="216">
        <f t="shared" si="17"/>
        <v>1.0046511627906978</v>
      </c>
      <c r="N128" s="205">
        <v>149.4</v>
      </c>
      <c r="O128" s="204">
        <v>10</v>
      </c>
      <c r="P128" s="206">
        <v>4.6511627906976744E-3</v>
      </c>
      <c r="Q128" s="204">
        <v>0</v>
      </c>
      <c r="R128" s="206">
        <v>0</v>
      </c>
      <c r="S128" s="205">
        <v>0</v>
      </c>
      <c r="T128" s="204" t="s">
        <v>405</v>
      </c>
      <c r="U128" s="204" t="s">
        <v>225</v>
      </c>
      <c r="V128" s="204"/>
      <c r="W128" s="211">
        <v>1</v>
      </c>
      <c r="X128" s="204" t="s">
        <v>445</v>
      </c>
      <c r="Y128" s="209" t="s">
        <v>289</v>
      </c>
    </row>
    <row r="129" spans="2:24">
      <c r="B129" s="659"/>
      <c r="C129" s="659"/>
      <c r="D129" s="237">
        <v>23</v>
      </c>
      <c r="E129" s="204" t="s">
        <v>533</v>
      </c>
      <c r="F129" s="205">
        <v>148.67500000000001</v>
      </c>
      <c r="G129" s="204">
        <v>38.997999999999998</v>
      </c>
      <c r="H129" s="204">
        <v>39.799999999999997</v>
      </c>
      <c r="I129" s="216">
        <f t="shared" si="15"/>
        <v>1.020565157187548</v>
      </c>
      <c r="J129" s="204">
        <v>0</v>
      </c>
      <c r="K129" s="216">
        <f t="shared" si="16"/>
        <v>0</v>
      </c>
      <c r="L129" s="205">
        <v>297.35000000000002</v>
      </c>
      <c r="M129" s="216">
        <f t="shared" si="17"/>
        <v>1.020565157187548</v>
      </c>
      <c r="N129" s="205">
        <v>238.4746999999999</v>
      </c>
      <c r="O129" s="204">
        <v>0.5</v>
      </c>
      <c r="P129" s="206">
        <v>1.2821170316426484E-2</v>
      </c>
      <c r="Q129" s="204">
        <v>0.3019999999999996</v>
      </c>
      <c r="R129" s="206">
        <v>7.7439868711215859E-3</v>
      </c>
      <c r="S129" s="205">
        <v>89.799699999999888</v>
      </c>
      <c r="T129" s="204" t="s">
        <v>405</v>
      </c>
      <c r="U129" s="204" t="s">
        <v>225</v>
      </c>
      <c r="V129" s="204"/>
      <c r="W129" s="211">
        <v>1</v>
      </c>
      <c r="X129" s="204" t="s">
        <v>474</v>
      </c>
    </row>
    <row r="130" spans="2:24">
      <c r="B130" s="659"/>
      <c r="C130" s="659"/>
      <c r="D130" s="237">
        <v>24</v>
      </c>
      <c r="E130" s="204" t="s">
        <v>565</v>
      </c>
      <c r="F130" s="205">
        <v>145.05199999999999</v>
      </c>
      <c r="G130" s="204">
        <v>44.856000000000002</v>
      </c>
      <c r="H130" s="204">
        <v>45.6</v>
      </c>
      <c r="I130" s="216">
        <f t="shared" si="15"/>
        <v>1.0165864098448367</v>
      </c>
      <c r="J130" s="204">
        <v>0</v>
      </c>
      <c r="K130" s="216">
        <f t="shared" si="16"/>
        <v>0</v>
      </c>
      <c r="L130" s="205">
        <v>362.63</v>
      </c>
      <c r="M130" s="216">
        <f t="shared" si="17"/>
        <v>1.0165864098448367</v>
      </c>
      <c r="N130" s="205">
        <v>269.79671999999994</v>
      </c>
      <c r="O130" s="204">
        <v>0.4</v>
      </c>
      <c r="P130" s="206">
        <v>8.9174246477617264E-3</v>
      </c>
      <c r="Q130" s="204">
        <v>0.34399999999999975</v>
      </c>
      <c r="R130" s="206">
        <v>7.668985197075079E-3</v>
      </c>
      <c r="S130" s="205">
        <v>124.7447199999999</v>
      </c>
      <c r="T130" s="204" t="s">
        <v>402</v>
      </c>
      <c r="U130" s="204" t="s">
        <v>224</v>
      </c>
      <c r="V130" s="204"/>
      <c r="W130" s="211">
        <v>1</v>
      </c>
      <c r="X130" s="204" t="s">
        <v>566</v>
      </c>
    </row>
    <row r="131" spans="2:24">
      <c r="B131" s="659"/>
      <c r="C131" s="659"/>
      <c r="D131" s="237">
        <v>25</v>
      </c>
      <c r="E131" s="204" t="s">
        <v>567</v>
      </c>
      <c r="F131" s="205">
        <v>141.74800000000002</v>
      </c>
      <c r="G131" s="204">
        <v>19.492000000000001</v>
      </c>
      <c r="H131" s="204">
        <v>19.899999999999999</v>
      </c>
      <c r="I131" s="216">
        <f t="shared" si="15"/>
        <v>1.0209316642725219</v>
      </c>
      <c r="J131" s="204">
        <v>0</v>
      </c>
      <c r="K131" s="216">
        <f t="shared" si="16"/>
        <v>0</v>
      </c>
      <c r="L131" s="205">
        <v>354.37</v>
      </c>
      <c r="M131" s="216">
        <f t="shared" si="17"/>
        <v>1.0209316642725219</v>
      </c>
      <c r="N131" s="205">
        <v>144.58295999999919</v>
      </c>
      <c r="O131" s="204">
        <v>0.4</v>
      </c>
      <c r="P131" s="206">
        <v>2.0521239482864766E-2</v>
      </c>
      <c r="Q131" s="204">
        <v>7.9999999999976756E-3</v>
      </c>
      <c r="R131" s="206">
        <v>4.1042478965717602E-4</v>
      </c>
      <c r="S131" s="205">
        <v>2.8349599999991764</v>
      </c>
      <c r="T131" s="204" t="s">
        <v>402</v>
      </c>
      <c r="U131" s="204" t="s">
        <v>224</v>
      </c>
      <c r="V131" s="204"/>
      <c r="W131" s="211">
        <v>1</v>
      </c>
      <c r="X131" s="204" t="s">
        <v>471</v>
      </c>
    </row>
    <row r="132" spans="2:24">
      <c r="B132" s="659"/>
      <c r="C132" s="659"/>
      <c r="D132" s="237">
        <v>26</v>
      </c>
      <c r="E132" s="204" t="s">
        <v>605</v>
      </c>
      <c r="F132" s="205">
        <v>140.86000000000001</v>
      </c>
      <c r="G132" s="204">
        <v>40.631</v>
      </c>
      <c r="H132" s="204">
        <v>41.4</v>
      </c>
      <c r="I132" s="216">
        <f t="shared" si="15"/>
        <v>1.0189264354802983</v>
      </c>
      <c r="J132" s="204">
        <v>0</v>
      </c>
      <c r="K132" s="216">
        <f t="shared" si="16"/>
        <v>0</v>
      </c>
      <c r="L132" s="205">
        <v>281.72000000000003</v>
      </c>
      <c r="M132" s="216">
        <f t="shared" si="17"/>
        <v>1.0189264354802983</v>
      </c>
      <c r="N132" s="205">
        <v>216.64267999999956</v>
      </c>
      <c r="O132" s="204">
        <v>0.5</v>
      </c>
      <c r="P132" s="206">
        <v>1.2305874824641284E-2</v>
      </c>
      <c r="Q132" s="204">
        <v>0.26899999999999835</v>
      </c>
      <c r="R132" s="206">
        <v>6.6205606556569698E-3</v>
      </c>
      <c r="S132" s="205">
        <v>75.782679999999544</v>
      </c>
      <c r="T132" s="204" t="s">
        <v>405</v>
      </c>
      <c r="U132" s="204" t="s">
        <v>225</v>
      </c>
      <c r="V132" s="204"/>
      <c r="W132" s="211">
        <v>1</v>
      </c>
      <c r="X132" s="204" t="s">
        <v>486</v>
      </c>
    </row>
    <row r="133" spans="2:24">
      <c r="B133" s="659"/>
      <c r="C133" s="659"/>
      <c r="D133" s="237">
        <v>27</v>
      </c>
      <c r="E133" s="204" t="s">
        <v>606</v>
      </c>
      <c r="F133" s="205">
        <v>138.50900000000001</v>
      </c>
      <c r="G133" s="204">
        <v>113.883</v>
      </c>
      <c r="H133" s="204">
        <v>115.2</v>
      </c>
      <c r="I133" s="216">
        <f t="shared" si="15"/>
        <v>1.0115645004083138</v>
      </c>
      <c r="J133" s="204">
        <v>0</v>
      </c>
      <c r="K133" s="216">
        <f t="shared" si="16"/>
        <v>0</v>
      </c>
      <c r="L133" s="205">
        <v>197.87</v>
      </c>
      <c r="M133" s="216">
        <f t="shared" si="17"/>
        <v>1.0115645004083138</v>
      </c>
      <c r="N133" s="205">
        <v>260.59479000000147</v>
      </c>
      <c r="O133" s="204">
        <v>0.70000000000000007</v>
      </c>
      <c r="P133" s="206">
        <v>6.1466592906755189E-3</v>
      </c>
      <c r="Q133" s="204">
        <v>0.61700000000000721</v>
      </c>
      <c r="R133" s="206">
        <v>5.4178411176383414E-3</v>
      </c>
      <c r="S133" s="205">
        <v>122.08579000000142</v>
      </c>
      <c r="T133" s="204" t="s">
        <v>402</v>
      </c>
      <c r="U133" s="204" t="s">
        <v>224</v>
      </c>
      <c r="V133" s="204"/>
      <c r="W133" s="211">
        <v>1</v>
      </c>
      <c r="X133" s="204" t="s">
        <v>601</v>
      </c>
    </row>
    <row r="134" spans="2:24">
      <c r="B134" s="659"/>
      <c r="C134" s="659"/>
      <c r="D134" s="237">
        <v>28</v>
      </c>
      <c r="E134" s="204" t="s">
        <v>607</v>
      </c>
      <c r="F134" s="205">
        <v>136.172</v>
      </c>
      <c r="G134" s="204">
        <v>3.0720000000000001</v>
      </c>
      <c r="H134" s="204">
        <v>3.6</v>
      </c>
      <c r="I134" s="216">
        <f t="shared" si="15"/>
        <v>1.171875</v>
      </c>
      <c r="J134" s="204">
        <v>0</v>
      </c>
      <c r="K134" s="216">
        <f t="shared" si="16"/>
        <v>0</v>
      </c>
      <c r="L134" s="205">
        <v>340.43</v>
      </c>
      <c r="M134" s="216">
        <f t="shared" si="17"/>
        <v>1.171875</v>
      </c>
      <c r="N134" s="205">
        <v>179.74704</v>
      </c>
      <c r="O134" s="204">
        <v>0.4</v>
      </c>
      <c r="P134" s="206">
        <v>0.13020833333333334</v>
      </c>
      <c r="Q134" s="204">
        <v>0.128</v>
      </c>
      <c r="R134" s="206">
        <v>4.1666666666666664E-2</v>
      </c>
      <c r="S134" s="205">
        <v>43.575040000000001</v>
      </c>
      <c r="T134" s="204" t="s">
        <v>537</v>
      </c>
      <c r="U134" s="204" t="s">
        <v>420</v>
      </c>
      <c r="V134" s="204"/>
      <c r="W134" s="211">
        <v>1</v>
      </c>
      <c r="X134" s="204" t="s">
        <v>476</v>
      </c>
    </row>
    <row r="135" spans="2:24">
      <c r="B135" s="659"/>
      <c r="C135" s="659"/>
      <c r="D135" s="237">
        <v>29</v>
      </c>
      <c r="E135" s="204" t="s">
        <v>573</v>
      </c>
      <c r="F135" s="205">
        <v>134.595</v>
      </c>
      <c r="G135" s="204">
        <v>91.805000000000007</v>
      </c>
      <c r="H135" s="204">
        <v>92.5</v>
      </c>
      <c r="I135" s="216">
        <f t="shared" si="15"/>
        <v>1.0075703937694025</v>
      </c>
      <c r="J135" s="204">
        <v>0</v>
      </c>
      <c r="K135" s="216">
        <f t="shared" si="16"/>
        <v>0</v>
      </c>
      <c r="L135" s="205">
        <v>269.19</v>
      </c>
      <c r="M135" s="216">
        <f t="shared" si="17"/>
        <v>1.0075703937694025</v>
      </c>
      <c r="N135" s="205">
        <v>187.08704999999816</v>
      </c>
      <c r="O135" s="204">
        <v>0.5</v>
      </c>
      <c r="P135" s="206">
        <v>5.446326452807581E-3</v>
      </c>
      <c r="Q135" s="204">
        <v>0.19499999999999318</v>
      </c>
      <c r="R135" s="206">
        <v>2.1240673165948821E-3</v>
      </c>
      <c r="S135" s="205">
        <v>52.492049999998166</v>
      </c>
      <c r="T135" s="204" t="s">
        <v>402</v>
      </c>
      <c r="U135" s="204" t="s">
        <v>224</v>
      </c>
      <c r="V135" s="204"/>
      <c r="W135" s="211">
        <v>1</v>
      </c>
      <c r="X135" s="204" t="s">
        <v>482</v>
      </c>
    </row>
    <row r="136" spans="2:24">
      <c r="B136" s="659"/>
      <c r="C136" s="659"/>
      <c r="D136" s="237">
        <v>30</v>
      </c>
      <c r="E136" s="204" t="s">
        <v>530</v>
      </c>
      <c r="F136" s="205">
        <v>133.84100000000001</v>
      </c>
      <c r="G136" s="204">
        <v>359.64</v>
      </c>
      <c r="H136" s="204">
        <v>362.4</v>
      </c>
      <c r="I136" s="216">
        <f t="shared" ref="I136:I199" si="18">H136/G136</f>
        <v>1.0076743410076743</v>
      </c>
      <c r="J136" s="204">
        <v>0</v>
      </c>
      <c r="K136" s="216">
        <f t="shared" ref="K136:K199" si="19">J136/G136</f>
        <v>0</v>
      </c>
      <c r="L136" s="205">
        <v>78.73</v>
      </c>
      <c r="M136" s="216">
        <f t="shared" ref="M136:M199" si="20">(H136+J136)/G136</f>
        <v>1.0076743410076743</v>
      </c>
      <c r="N136" s="205">
        <v>217.2947999999993</v>
      </c>
      <c r="O136" s="204">
        <v>1.7</v>
      </c>
      <c r="P136" s="206">
        <v>4.7269491713936157E-3</v>
      </c>
      <c r="Q136" s="204">
        <v>1.0599999999999909</v>
      </c>
      <c r="R136" s="206">
        <v>2.9473918362807002E-3</v>
      </c>
      <c r="S136" s="205">
        <v>83.453799999999291</v>
      </c>
      <c r="T136" s="204" t="s">
        <v>402</v>
      </c>
      <c r="U136" s="204" t="s">
        <v>224</v>
      </c>
      <c r="V136" s="204"/>
      <c r="W136" s="211">
        <v>1</v>
      </c>
      <c r="X136" s="204" t="s">
        <v>478</v>
      </c>
    </row>
    <row r="137" spans="2:24">
      <c r="B137" s="661">
        <v>45883</v>
      </c>
      <c r="C137" s="659" t="s">
        <v>287</v>
      </c>
      <c r="D137" s="237">
        <v>31</v>
      </c>
      <c r="E137" s="204" t="s">
        <v>411</v>
      </c>
      <c r="F137" s="205">
        <v>254.44000000000003</v>
      </c>
      <c r="G137" s="204">
        <v>41.536000000000001</v>
      </c>
      <c r="H137" s="204">
        <v>42.9</v>
      </c>
      <c r="I137" s="216">
        <f t="shared" si="18"/>
        <v>1.0328389830508473</v>
      </c>
      <c r="J137" s="204">
        <v>0</v>
      </c>
      <c r="K137" s="216">
        <f t="shared" si="19"/>
        <v>0</v>
      </c>
      <c r="L137" s="205">
        <v>318.05</v>
      </c>
      <c r="M137" s="216">
        <f t="shared" si="20"/>
        <v>1.0328389830508473</v>
      </c>
      <c r="N137" s="205">
        <v>433.82019999999915</v>
      </c>
      <c r="O137" s="204">
        <v>0.8</v>
      </c>
      <c r="P137" s="206">
        <v>1.9260400616332819E-2</v>
      </c>
      <c r="Q137" s="204">
        <v>0.56399999999999717</v>
      </c>
      <c r="R137" s="206">
        <v>1.3578582434514569E-2</v>
      </c>
      <c r="S137" s="205">
        <v>179.38019999999909</v>
      </c>
      <c r="T137" s="204" t="s">
        <v>405</v>
      </c>
      <c r="U137" s="204" t="s">
        <v>225</v>
      </c>
      <c r="V137" s="204"/>
      <c r="W137" s="211">
        <v>1</v>
      </c>
      <c r="X137" s="204" t="s">
        <v>413</v>
      </c>
    </row>
    <row r="138" spans="2:24">
      <c r="B138" s="659"/>
      <c r="C138" s="659"/>
      <c r="D138" s="237">
        <v>32</v>
      </c>
      <c r="E138" s="204" t="s">
        <v>534</v>
      </c>
      <c r="F138" s="205">
        <v>194.70000000000002</v>
      </c>
      <c r="G138" s="204">
        <v>37.421999999999997</v>
      </c>
      <c r="H138" s="204">
        <v>38.799999999999997</v>
      </c>
      <c r="I138" s="216">
        <f t="shared" si="18"/>
        <v>1.0368232590454813</v>
      </c>
      <c r="J138" s="204">
        <v>0</v>
      </c>
      <c r="K138" s="216">
        <f t="shared" si="19"/>
        <v>0</v>
      </c>
      <c r="L138" s="205">
        <v>177</v>
      </c>
      <c r="M138" s="216">
        <f t="shared" si="20"/>
        <v>1.0368232590454813</v>
      </c>
      <c r="N138" s="205">
        <v>243.90600000000001</v>
      </c>
      <c r="O138" s="204">
        <v>1.1000000000000001</v>
      </c>
      <c r="P138" s="206">
        <v>2.9394473838918286E-2</v>
      </c>
      <c r="Q138" s="204">
        <v>0.27800000000000002</v>
      </c>
      <c r="R138" s="206">
        <v>7.4287852065629857E-3</v>
      </c>
      <c r="S138" s="205">
        <v>49.206000000000003</v>
      </c>
      <c r="T138" s="204" t="s">
        <v>419</v>
      </c>
      <c r="U138" s="204" t="s">
        <v>522</v>
      </c>
      <c r="V138" s="204"/>
      <c r="W138" s="211">
        <v>1</v>
      </c>
      <c r="X138" s="204" t="s">
        <v>406</v>
      </c>
    </row>
    <row r="139" spans="2:24">
      <c r="B139" s="659"/>
      <c r="C139" s="659"/>
      <c r="D139" s="237">
        <v>33</v>
      </c>
      <c r="E139" s="204" t="s">
        <v>529</v>
      </c>
      <c r="F139" s="205">
        <v>191.22</v>
      </c>
      <c r="G139" s="204">
        <v>140.34200000000001</v>
      </c>
      <c r="H139" s="204">
        <v>143.30000000000001</v>
      </c>
      <c r="I139" s="216">
        <f t="shared" si="18"/>
        <v>1.0210770831255076</v>
      </c>
      <c r="J139" s="204">
        <v>0</v>
      </c>
      <c r="K139" s="216">
        <f t="shared" si="19"/>
        <v>0</v>
      </c>
      <c r="L139" s="205">
        <v>127.48</v>
      </c>
      <c r="M139" s="216">
        <f t="shared" si="20"/>
        <v>1.0210770831255076</v>
      </c>
      <c r="N139" s="205">
        <v>377.08583999999979</v>
      </c>
      <c r="O139" s="204">
        <v>1.5</v>
      </c>
      <c r="P139" s="206">
        <v>1.0688176027133716E-2</v>
      </c>
      <c r="Q139" s="204">
        <v>1.4579999999999984</v>
      </c>
      <c r="R139" s="206">
        <v>1.0388907098373959E-2</v>
      </c>
      <c r="S139" s="205">
        <v>185.86583999999979</v>
      </c>
      <c r="T139" s="204" t="s">
        <v>419</v>
      </c>
      <c r="U139" s="204" t="s">
        <v>522</v>
      </c>
      <c r="V139" s="204"/>
      <c r="W139" s="211">
        <v>1</v>
      </c>
      <c r="X139" s="204" t="s">
        <v>417</v>
      </c>
    </row>
    <row r="140" spans="2:24">
      <c r="B140" s="659"/>
      <c r="C140" s="659"/>
      <c r="D140" s="237">
        <v>34</v>
      </c>
      <c r="E140" s="204" t="s">
        <v>404</v>
      </c>
      <c r="F140" s="205">
        <v>165.98000000000002</v>
      </c>
      <c r="G140" s="204">
        <v>15.875999999999999</v>
      </c>
      <c r="H140" s="204">
        <v>16.5</v>
      </c>
      <c r="I140" s="216">
        <f t="shared" si="18"/>
        <v>1.0393046107331823</v>
      </c>
      <c r="J140" s="204">
        <v>0</v>
      </c>
      <c r="K140" s="216">
        <f t="shared" si="19"/>
        <v>0</v>
      </c>
      <c r="L140" s="205">
        <v>414.95</v>
      </c>
      <c r="M140" s="216">
        <f t="shared" si="20"/>
        <v>1.0393046107331823</v>
      </c>
      <c r="N140" s="205">
        <v>258.92880000000025</v>
      </c>
      <c r="O140" s="204">
        <v>0.4</v>
      </c>
      <c r="P140" s="206">
        <v>2.5195263290501389E-2</v>
      </c>
      <c r="Q140" s="204">
        <v>0.22400000000000053</v>
      </c>
      <c r="R140" s="206">
        <v>1.410934744268081E-2</v>
      </c>
      <c r="S140" s="205">
        <v>92.948800000000219</v>
      </c>
      <c r="T140" s="204" t="s">
        <v>402</v>
      </c>
      <c r="U140" s="204" t="s">
        <v>224</v>
      </c>
      <c r="V140" s="204"/>
      <c r="W140" s="211">
        <v>1</v>
      </c>
      <c r="X140" s="204" t="s">
        <v>406</v>
      </c>
    </row>
    <row r="141" spans="2:24">
      <c r="B141" s="659"/>
      <c r="C141" s="659"/>
      <c r="D141" s="237">
        <v>35</v>
      </c>
      <c r="E141" s="204" t="s">
        <v>591</v>
      </c>
      <c r="F141" s="205">
        <v>155.215</v>
      </c>
      <c r="G141" s="204">
        <v>19.952000000000002</v>
      </c>
      <c r="H141" s="204">
        <v>21.2</v>
      </c>
      <c r="I141" s="216">
        <f t="shared" si="18"/>
        <v>1.0625501202886927</v>
      </c>
      <c r="J141" s="204">
        <v>0</v>
      </c>
      <c r="K141" s="216">
        <f t="shared" si="19"/>
        <v>0</v>
      </c>
      <c r="L141" s="205">
        <v>310.43</v>
      </c>
      <c r="M141" s="216">
        <f t="shared" si="20"/>
        <v>1.0625501202886927</v>
      </c>
      <c r="N141" s="205">
        <v>387.41663999999923</v>
      </c>
      <c r="O141" s="204">
        <v>0.5</v>
      </c>
      <c r="P141" s="206">
        <v>2.5060144346431432E-2</v>
      </c>
      <c r="Q141" s="204">
        <v>0.74799999999999756</v>
      </c>
      <c r="R141" s="206">
        <v>3.7489975942261299E-2</v>
      </c>
      <c r="S141" s="205">
        <v>232.20163999999926</v>
      </c>
      <c r="T141" s="204" t="s">
        <v>405</v>
      </c>
      <c r="U141" s="204" t="s">
        <v>225</v>
      </c>
      <c r="V141" s="204"/>
      <c r="W141" s="211">
        <v>1</v>
      </c>
      <c r="X141" s="204" t="s">
        <v>403</v>
      </c>
    </row>
    <row r="142" spans="2:24">
      <c r="B142" s="659"/>
      <c r="C142" s="659"/>
      <c r="D142" s="237">
        <v>36</v>
      </c>
      <c r="E142" s="204" t="s">
        <v>414</v>
      </c>
      <c r="F142" s="205">
        <v>154.05500000000001</v>
      </c>
      <c r="G142" s="204">
        <v>72.772277227722796</v>
      </c>
      <c r="H142" s="204">
        <v>73.900000000000006</v>
      </c>
      <c r="I142" s="216">
        <f t="shared" si="18"/>
        <v>1.0154965986394555</v>
      </c>
      <c r="J142" s="204">
        <v>0</v>
      </c>
      <c r="K142" s="216">
        <f t="shared" si="19"/>
        <v>0</v>
      </c>
      <c r="L142" s="205">
        <v>308.11</v>
      </c>
      <c r="M142" s="216">
        <f t="shared" si="20"/>
        <v>1.0154965986394555</v>
      </c>
      <c r="N142" s="205">
        <v>347.46266336633107</v>
      </c>
      <c r="O142" s="204">
        <v>0.5</v>
      </c>
      <c r="P142" s="206">
        <v>6.8707482993197256E-3</v>
      </c>
      <c r="Q142" s="204">
        <v>0.62772277227720963</v>
      </c>
      <c r="R142" s="206">
        <v>8.6258503401358023E-3</v>
      </c>
      <c r="S142" s="205">
        <v>193.40766336633106</v>
      </c>
      <c r="T142" s="204" t="s">
        <v>402</v>
      </c>
      <c r="U142" s="204" t="s">
        <v>224</v>
      </c>
      <c r="V142" s="204"/>
      <c r="W142" s="211">
        <v>1</v>
      </c>
      <c r="X142" s="204" t="s">
        <v>415</v>
      </c>
    </row>
    <row r="143" spans="2:24">
      <c r="B143" s="659"/>
      <c r="C143" s="659"/>
      <c r="D143" s="237">
        <v>37</v>
      </c>
      <c r="E143" s="204" t="s">
        <v>578</v>
      </c>
      <c r="F143" s="205">
        <v>148.68</v>
      </c>
      <c r="G143" s="204">
        <v>11.234999999999999</v>
      </c>
      <c r="H143" s="204">
        <v>12.2</v>
      </c>
      <c r="I143" s="216">
        <f t="shared" si="18"/>
        <v>1.0858923008455719</v>
      </c>
      <c r="J143" s="204">
        <v>0</v>
      </c>
      <c r="K143" s="216">
        <f t="shared" si="19"/>
        <v>0</v>
      </c>
      <c r="L143" s="205">
        <v>212.4</v>
      </c>
      <c r="M143" s="216">
        <f t="shared" si="20"/>
        <v>1.0858923008455719</v>
      </c>
      <c r="N143" s="205">
        <v>204.96599999999998</v>
      </c>
      <c r="O143" s="204">
        <v>0.7</v>
      </c>
      <c r="P143" s="206">
        <v>6.2305295950155763E-2</v>
      </c>
      <c r="Q143" s="204">
        <v>0.2649999999999999</v>
      </c>
      <c r="R143" s="206">
        <v>2.3587004895416104E-2</v>
      </c>
      <c r="S143" s="205">
        <v>56.28599999999998</v>
      </c>
      <c r="T143" s="204" t="s">
        <v>419</v>
      </c>
      <c r="U143" s="204" t="s">
        <v>420</v>
      </c>
      <c r="V143" s="204"/>
      <c r="W143" s="211">
        <v>1</v>
      </c>
      <c r="X143" s="204" t="s">
        <v>489</v>
      </c>
    </row>
    <row r="144" spans="2:24">
      <c r="B144" s="659"/>
      <c r="C144" s="659"/>
      <c r="D144" s="237">
        <v>38</v>
      </c>
      <c r="E144" s="204" t="s">
        <v>533</v>
      </c>
      <c r="F144" s="205">
        <v>148.67500000000001</v>
      </c>
      <c r="G144" s="204">
        <v>36.963000000000001</v>
      </c>
      <c r="H144" s="204">
        <v>38.200000000000003</v>
      </c>
      <c r="I144" s="216">
        <f t="shared" si="18"/>
        <v>1.0334658983307632</v>
      </c>
      <c r="J144" s="204">
        <v>0</v>
      </c>
      <c r="K144" s="216">
        <f t="shared" si="19"/>
        <v>0</v>
      </c>
      <c r="L144" s="205">
        <v>297.35000000000002</v>
      </c>
      <c r="M144" s="216">
        <f t="shared" si="20"/>
        <v>1.0334658983307632</v>
      </c>
      <c r="N144" s="205">
        <v>367.82195000000058</v>
      </c>
      <c r="O144" s="204">
        <v>0.5</v>
      </c>
      <c r="P144" s="206">
        <v>1.3527040554067581E-2</v>
      </c>
      <c r="Q144" s="204">
        <v>0.73700000000000188</v>
      </c>
      <c r="R144" s="206">
        <v>1.9938857776695663E-2</v>
      </c>
      <c r="S144" s="205">
        <v>219.14695000000057</v>
      </c>
      <c r="T144" s="204" t="s">
        <v>405</v>
      </c>
      <c r="U144" s="204" t="s">
        <v>225</v>
      </c>
      <c r="V144" s="204"/>
      <c r="W144" s="211">
        <v>1</v>
      </c>
      <c r="X144" s="204" t="s">
        <v>474</v>
      </c>
    </row>
    <row r="145" spans="2:24">
      <c r="B145" s="659"/>
      <c r="C145" s="659"/>
      <c r="D145" s="237">
        <v>39</v>
      </c>
      <c r="E145" s="204" t="s">
        <v>588</v>
      </c>
      <c r="F145" s="205">
        <v>148.21600000000001</v>
      </c>
      <c r="G145" s="204">
        <v>7.2080000000000002</v>
      </c>
      <c r="H145" s="204">
        <v>7.9</v>
      </c>
      <c r="I145" s="216">
        <f t="shared" si="18"/>
        <v>1.0960044395116537</v>
      </c>
      <c r="J145" s="204">
        <v>0</v>
      </c>
      <c r="K145" s="216">
        <f t="shared" si="19"/>
        <v>0</v>
      </c>
      <c r="L145" s="205">
        <v>370.54</v>
      </c>
      <c r="M145" s="216">
        <f t="shared" si="20"/>
        <v>1.0960044395116537</v>
      </c>
      <c r="N145" s="205">
        <v>256.41368000000006</v>
      </c>
      <c r="O145" s="204">
        <v>0.4</v>
      </c>
      <c r="P145" s="206">
        <v>5.549389567147614E-2</v>
      </c>
      <c r="Q145" s="204">
        <v>0.29200000000000015</v>
      </c>
      <c r="R145" s="206">
        <v>4.0510543840177597E-2</v>
      </c>
      <c r="S145" s="205">
        <v>108.19768000000006</v>
      </c>
      <c r="T145" s="204" t="s">
        <v>405</v>
      </c>
      <c r="U145" s="204" t="s">
        <v>225</v>
      </c>
      <c r="V145" s="204"/>
      <c r="W145" s="211">
        <v>1</v>
      </c>
      <c r="X145" s="204" t="s">
        <v>455</v>
      </c>
    </row>
    <row r="146" spans="2:24">
      <c r="B146" s="659"/>
      <c r="C146" s="659"/>
      <c r="D146" s="237">
        <v>40</v>
      </c>
      <c r="E146" s="204" t="s">
        <v>608</v>
      </c>
      <c r="F146" s="205">
        <v>145.42500000000001</v>
      </c>
      <c r="G146" s="204">
        <v>33.231000000000002</v>
      </c>
      <c r="H146" s="204">
        <v>33.9</v>
      </c>
      <c r="I146" s="216">
        <f t="shared" si="18"/>
        <v>1.0201318046402454</v>
      </c>
      <c r="J146" s="204">
        <v>0</v>
      </c>
      <c r="K146" s="216">
        <f t="shared" si="19"/>
        <v>0</v>
      </c>
      <c r="L146" s="205">
        <v>290.85000000000002</v>
      </c>
      <c r="M146" s="216">
        <f t="shared" si="20"/>
        <v>1.0201318046402454</v>
      </c>
      <c r="N146" s="205">
        <v>194.57864999999913</v>
      </c>
      <c r="O146" s="204">
        <v>0.5</v>
      </c>
      <c r="P146" s="206">
        <v>1.5046191808853179E-2</v>
      </c>
      <c r="Q146" s="204">
        <v>0.16899999999999693</v>
      </c>
      <c r="R146" s="206">
        <v>5.085612831392282E-3</v>
      </c>
      <c r="S146" s="205">
        <v>49.153649999999111</v>
      </c>
      <c r="T146" s="204" t="s">
        <v>405</v>
      </c>
      <c r="U146" s="204" t="s">
        <v>225</v>
      </c>
      <c r="V146" s="204"/>
      <c r="W146" s="211">
        <v>1</v>
      </c>
      <c r="X146" s="204" t="s">
        <v>448</v>
      </c>
    </row>
    <row r="147" spans="2:24">
      <c r="B147" s="661">
        <v>45884</v>
      </c>
      <c r="C147" s="659" t="s">
        <v>270</v>
      </c>
      <c r="D147" s="237">
        <v>41</v>
      </c>
      <c r="E147" s="204" t="s">
        <v>529</v>
      </c>
      <c r="F147" s="205">
        <v>229.464</v>
      </c>
      <c r="G147" s="204">
        <v>123.23399999999999</v>
      </c>
      <c r="H147" s="204">
        <v>126.4</v>
      </c>
      <c r="I147" s="216">
        <f t="shared" si="18"/>
        <v>1.0256909619098626</v>
      </c>
      <c r="J147" s="204">
        <v>0</v>
      </c>
      <c r="K147" s="216">
        <f t="shared" si="19"/>
        <v>0</v>
      </c>
      <c r="L147" s="205">
        <v>127.48</v>
      </c>
      <c r="M147" s="216">
        <f t="shared" si="20"/>
        <v>1.0256909619098626</v>
      </c>
      <c r="N147" s="205">
        <v>403.60168000000141</v>
      </c>
      <c r="O147" s="204">
        <v>1.8</v>
      </c>
      <c r="P147" s="206">
        <v>1.4606358634792347E-2</v>
      </c>
      <c r="Q147" s="204">
        <v>1.366000000000011</v>
      </c>
      <c r="R147" s="206">
        <v>1.1084603275070281E-2</v>
      </c>
      <c r="S147" s="205">
        <v>174.13768000000141</v>
      </c>
      <c r="T147" s="204" t="s">
        <v>419</v>
      </c>
      <c r="U147" s="204" t="s">
        <v>522</v>
      </c>
      <c r="V147" s="204"/>
      <c r="W147" s="211">
        <v>1</v>
      </c>
      <c r="X147" s="204" t="s">
        <v>417</v>
      </c>
    </row>
    <row r="148" spans="2:24">
      <c r="B148" s="659"/>
      <c r="C148" s="659"/>
      <c r="D148" s="237">
        <v>42</v>
      </c>
      <c r="E148" s="204" t="s">
        <v>411</v>
      </c>
      <c r="F148" s="205">
        <v>222.63499999999999</v>
      </c>
      <c r="G148" s="204">
        <v>25.568000000000001</v>
      </c>
      <c r="H148" s="204">
        <v>26.8</v>
      </c>
      <c r="I148" s="216">
        <f t="shared" si="18"/>
        <v>1.0481852315394242</v>
      </c>
      <c r="J148" s="204">
        <v>0</v>
      </c>
      <c r="K148" s="216">
        <f t="shared" si="19"/>
        <v>0</v>
      </c>
      <c r="L148" s="205">
        <v>318.05</v>
      </c>
      <c r="M148" s="216">
        <f t="shared" si="20"/>
        <v>1.0481852315394242</v>
      </c>
      <c r="N148" s="205">
        <v>391.83759999999978</v>
      </c>
      <c r="O148" s="204">
        <v>0.7</v>
      </c>
      <c r="P148" s="206">
        <v>2.7377972465581973E-2</v>
      </c>
      <c r="Q148" s="204">
        <v>0.53199999999999936</v>
      </c>
      <c r="R148" s="206">
        <v>2.0807259073842278E-2</v>
      </c>
      <c r="S148" s="205">
        <v>169.20259999999979</v>
      </c>
      <c r="T148" s="204" t="s">
        <v>405</v>
      </c>
      <c r="U148" s="204" t="s">
        <v>225</v>
      </c>
      <c r="V148" s="204"/>
      <c r="W148" s="211">
        <v>1</v>
      </c>
      <c r="X148" s="204" t="s">
        <v>413</v>
      </c>
    </row>
    <row r="149" spans="2:24">
      <c r="B149" s="659"/>
      <c r="C149" s="659"/>
      <c r="D149" s="237">
        <v>43</v>
      </c>
      <c r="E149" s="204" t="s">
        <v>597</v>
      </c>
      <c r="F149" s="205">
        <v>167.36400000000003</v>
      </c>
      <c r="G149" s="204">
        <v>16.271999999999998</v>
      </c>
      <c r="H149" s="204">
        <v>16.899999999999999</v>
      </c>
      <c r="I149" s="216">
        <f t="shared" si="18"/>
        <v>1.0385939036381515</v>
      </c>
      <c r="J149" s="204">
        <v>0</v>
      </c>
      <c r="K149" s="216">
        <f t="shared" si="19"/>
        <v>0</v>
      </c>
      <c r="L149" s="205">
        <v>418.41</v>
      </c>
      <c r="M149" s="216">
        <f t="shared" si="20"/>
        <v>1.0385939036381515</v>
      </c>
      <c r="N149" s="205">
        <v>262.76148000000006</v>
      </c>
      <c r="O149" s="204">
        <v>0.4</v>
      </c>
      <c r="P149" s="206">
        <v>2.4582104228121932E-2</v>
      </c>
      <c r="Q149" s="204">
        <v>0.22800000000000009</v>
      </c>
      <c r="R149" s="206">
        <v>1.4011799410029505E-2</v>
      </c>
      <c r="S149" s="205">
        <v>95.397480000000044</v>
      </c>
      <c r="T149" s="204" t="s">
        <v>419</v>
      </c>
      <c r="U149" s="204" t="s">
        <v>522</v>
      </c>
      <c r="V149" s="204"/>
      <c r="W149" s="211">
        <v>1</v>
      </c>
      <c r="X149" s="204" t="s">
        <v>471</v>
      </c>
    </row>
    <row r="150" spans="2:24">
      <c r="B150" s="659"/>
      <c r="C150" s="659"/>
      <c r="D150" s="237">
        <v>44</v>
      </c>
      <c r="E150" s="204" t="s">
        <v>561</v>
      </c>
      <c r="F150" s="205">
        <v>166.77600000000001</v>
      </c>
      <c r="G150" s="204">
        <v>70.56</v>
      </c>
      <c r="H150" s="204">
        <v>71.7</v>
      </c>
      <c r="I150" s="216">
        <f t="shared" si="18"/>
        <v>1.0161564625850341</v>
      </c>
      <c r="J150" s="204">
        <v>0</v>
      </c>
      <c r="K150" s="216">
        <f t="shared" si="19"/>
        <v>0</v>
      </c>
      <c r="L150" s="205">
        <v>208.47</v>
      </c>
      <c r="M150" s="216">
        <f t="shared" si="20"/>
        <v>1.0161564625850341</v>
      </c>
      <c r="N150" s="205">
        <v>237.65580000000011</v>
      </c>
      <c r="O150" s="204">
        <v>0.8</v>
      </c>
      <c r="P150" s="206">
        <v>1.1337868480725623E-2</v>
      </c>
      <c r="Q150" s="204">
        <v>0.34000000000000052</v>
      </c>
      <c r="R150" s="206">
        <v>4.8185941043083977E-3</v>
      </c>
      <c r="S150" s="205">
        <v>70.879800000000103</v>
      </c>
      <c r="T150" s="204" t="s">
        <v>402</v>
      </c>
      <c r="U150" s="204" t="s">
        <v>224</v>
      </c>
      <c r="V150" s="204"/>
      <c r="W150" s="211">
        <v>1</v>
      </c>
      <c r="X150" s="204" t="s">
        <v>492</v>
      </c>
    </row>
    <row r="151" spans="2:24">
      <c r="B151" s="659"/>
      <c r="C151" s="659"/>
      <c r="D151" s="237">
        <v>45</v>
      </c>
      <c r="E151" s="204" t="s">
        <v>424</v>
      </c>
      <c r="F151" s="205">
        <v>164.208</v>
      </c>
      <c r="G151" s="204">
        <v>42.384999999999998</v>
      </c>
      <c r="H151" s="204">
        <v>43.4</v>
      </c>
      <c r="I151" s="216">
        <f t="shared" si="18"/>
        <v>1.0239471511147813</v>
      </c>
      <c r="J151" s="204">
        <v>0</v>
      </c>
      <c r="K151" s="216">
        <f t="shared" si="19"/>
        <v>0</v>
      </c>
      <c r="L151" s="205">
        <v>273.68</v>
      </c>
      <c r="M151" s="216">
        <f t="shared" si="20"/>
        <v>1.0239471511147813</v>
      </c>
      <c r="N151" s="205">
        <v>277.78520000000015</v>
      </c>
      <c r="O151" s="204">
        <v>0.6</v>
      </c>
      <c r="P151" s="206">
        <v>1.4155951397900201E-2</v>
      </c>
      <c r="Q151" s="204">
        <v>0.41500000000000059</v>
      </c>
      <c r="R151" s="206">
        <v>9.7911997168809873E-3</v>
      </c>
      <c r="S151" s="205">
        <v>113.57720000000016</v>
      </c>
      <c r="T151" s="204" t="s">
        <v>419</v>
      </c>
      <c r="U151" s="204" t="s">
        <v>420</v>
      </c>
      <c r="V151" s="204"/>
      <c r="W151" s="211">
        <v>1</v>
      </c>
      <c r="X151" s="204" t="s">
        <v>425</v>
      </c>
    </row>
    <row r="152" spans="2:24">
      <c r="B152" s="659"/>
      <c r="C152" s="659"/>
      <c r="D152" s="237">
        <v>46</v>
      </c>
      <c r="E152" s="204" t="s">
        <v>409</v>
      </c>
      <c r="F152" s="205">
        <v>160.70000000000002</v>
      </c>
      <c r="G152" s="204">
        <v>15.036</v>
      </c>
      <c r="H152" s="204">
        <v>15.5</v>
      </c>
      <c r="I152" s="216">
        <f t="shared" si="18"/>
        <v>1.0308592710827349</v>
      </c>
      <c r="J152" s="204">
        <v>0</v>
      </c>
      <c r="K152" s="216">
        <f t="shared" si="19"/>
        <v>0</v>
      </c>
      <c r="L152" s="205">
        <v>401.75</v>
      </c>
      <c r="M152" s="216">
        <f t="shared" si="20"/>
        <v>1.0308592710827349</v>
      </c>
      <c r="N152" s="205">
        <v>186.41200000000018</v>
      </c>
      <c r="O152" s="204">
        <v>0.4</v>
      </c>
      <c r="P152" s="206">
        <v>2.6602819898909287E-2</v>
      </c>
      <c r="Q152" s="204">
        <v>6.400000000000039E-2</v>
      </c>
      <c r="R152" s="206">
        <v>4.2564511838255117E-3</v>
      </c>
      <c r="S152" s="205">
        <v>25.712000000000156</v>
      </c>
      <c r="T152" s="204" t="s">
        <v>402</v>
      </c>
      <c r="U152" s="204" t="s">
        <v>224</v>
      </c>
      <c r="V152" s="204"/>
      <c r="W152" s="211">
        <v>1</v>
      </c>
      <c r="X152" s="204" t="s">
        <v>410</v>
      </c>
    </row>
    <row r="153" spans="2:24">
      <c r="B153" s="659"/>
      <c r="C153" s="659"/>
      <c r="D153" s="237">
        <v>47</v>
      </c>
      <c r="E153" s="204" t="s">
        <v>545</v>
      </c>
      <c r="F153" s="205">
        <v>157.71899999999999</v>
      </c>
      <c r="G153" s="204">
        <v>41.16</v>
      </c>
      <c r="H153" s="204">
        <v>42.2</v>
      </c>
      <c r="I153" s="216">
        <f t="shared" si="18"/>
        <v>1.0252672497570459</v>
      </c>
      <c r="J153" s="204">
        <v>0</v>
      </c>
      <c r="K153" s="216">
        <f t="shared" si="19"/>
        <v>0</v>
      </c>
      <c r="L153" s="205">
        <v>525.73</v>
      </c>
      <c r="M153" s="216">
        <f t="shared" si="20"/>
        <v>1.0252672497570459</v>
      </c>
      <c r="N153" s="205">
        <v>546.75920000000326</v>
      </c>
      <c r="O153" s="204">
        <v>0.3</v>
      </c>
      <c r="P153" s="206">
        <v>7.28862973760933E-3</v>
      </c>
      <c r="Q153" s="204">
        <v>0.74000000000000621</v>
      </c>
      <c r="R153" s="206">
        <v>1.7978620019436498E-2</v>
      </c>
      <c r="S153" s="205">
        <v>389.04020000000327</v>
      </c>
      <c r="T153" s="204" t="s">
        <v>405</v>
      </c>
      <c r="U153" s="204" t="s">
        <v>225</v>
      </c>
      <c r="V153" s="204"/>
      <c r="W153" s="211">
        <v>1</v>
      </c>
      <c r="X153" s="204" t="s">
        <v>517</v>
      </c>
    </row>
    <row r="154" spans="2:24">
      <c r="B154" s="659"/>
      <c r="C154" s="659"/>
      <c r="D154" s="237">
        <v>48</v>
      </c>
      <c r="E154" s="204" t="s">
        <v>414</v>
      </c>
      <c r="F154" s="205">
        <v>154.05500000000001</v>
      </c>
      <c r="G154" s="204">
        <v>65.6683168316832</v>
      </c>
      <c r="H154" s="204">
        <v>66.8</v>
      </c>
      <c r="I154" s="216">
        <f t="shared" si="18"/>
        <v>1.0172333207689404</v>
      </c>
      <c r="J154" s="204">
        <v>0</v>
      </c>
      <c r="K154" s="216">
        <f t="shared" si="19"/>
        <v>0</v>
      </c>
      <c r="L154" s="205">
        <v>308.11</v>
      </c>
      <c r="M154" s="216">
        <f t="shared" si="20"/>
        <v>1.0172333207689404</v>
      </c>
      <c r="N154" s="205">
        <v>348.68290099008851</v>
      </c>
      <c r="O154" s="204">
        <v>0.5</v>
      </c>
      <c r="P154" s="206">
        <v>7.6140218620429669E-3</v>
      </c>
      <c r="Q154" s="204">
        <v>0.63168316831679761</v>
      </c>
      <c r="R154" s="206">
        <v>9.6192989068973282E-3</v>
      </c>
      <c r="S154" s="205">
        <v>194.62790099008851</v>
      </c>
      <c r="T154" s="204" t="s">
        <v>402</v>
      </c>
      <c r="U154" s="204" t="s">
        <v>224</v>
      </c>
      <c r="V154" s="204"/>
      <c r="W154" s="211">
        <v>1</v>
      </c>
      <c r="X154" s="204" t="s">
        <v>415</v>
      </c>
    </row>
    <row r="155" spans="2:24">
      <c r="B155" s="659"/>
      <c r="C155" s="659"/>
      <c r="D155" s="237">
        <v>49</v>
      </c>
      <c r="E155" s="204" t="s">
        <v>426</v>
      </c>
      <c r="F155" s="205">
        <v>153.018</v>
      </c>
      <c r="G155" s="204">
        <v>170.58500000000001</v>
      </c>
      <c r="H155" s="204">
        <v>171.6</v>
      </c>
      <c r="I155" s="216">
        <f t="shared" si="18"/>
        <v>1.0059501128469677</v>
      </c>
      <c r="J155" s="204">
        <v>0</v>
      </c>
      <c r="K155" s="216">
        <f t="shared" si="19"/>
        <v>0</v>
      </c>
      <c r="L155" s="205">
        <v>510.06</v>
      </c>
      <c r="M155" s="216">
        <f t="shared" si="20"/>
        <v>1.0059501128469677</v>
      </c>
      <c r="N155" s="205">
        <v>517.71089999999299</v>
      </c>
      <c r="O155" s="204">
        <v>0.3</v>
      </c>
      <c r="P155" s="206">
        <v>1.7586540434387547E-3</v>
      </c>
      <c r="Q155" s="204">
        <v>0.71499999999998631</v>
      </c>
      <c r="R155" s="206">
        <v>4.191458803528952E-3</v>
      </c>
      <c r="S155" s="205">
        <v>364.69289999999302</v>
      </c>
      <c r="T155" s="204" t="s">
        <v>402</v>
      </c>
      <c r="U155" s="204" t="s">
        <v>224</v>
      </c>
      <c r="V155" s="204"/>
      <c r="W155" s="211">
        <v>1</v>
      </c>
      <c r="X155" s="204" t="s">
        <v>423</v>
      </c>
    </row>
    <row r="156" spans="2:24">
      <c r="B156" s="659"/>
      <c r="C156" s="659"/>
      <c r="D156" s="237">
        <v>50</v>
      </c>
      <c r="E156" s="204" t="s">
        <v>416</v>
      </c>
      <c r="F156" s="205">
        <v>151.63800000000001</v>
      </c>
      <c r="G156" s="204">
        <v>15.731999999999999</v>
      </c>
      <c r="H156" s="204">
        <v>16</v>
      </c>
      <c r="I156" s="216">
        <f t="shared" si="18"/>
        <v>1.0170353419781337</v>
      </c>
      <c r="J156" s="204">
        <v>0</v>
      </c>
      <c r="K156" s="216">
        <f t="shared" si="19"/>
        <v>0</v>
      </c>
      <c r="L156" s="205">
        <v>758.19</v>
      </c>
      <c r="M156" s="216">
        <f t="shared" si="20"/>
        <v>1.0170353419781337</v>
      </c>
      <c r="N156" s="205">
        <v>203.19492000000054</v>
      </c>
      <c r="O156" s="204">
        <v>0.2</v>
      </c>
      <c r="P156" s="206">
        <v>1.2712941774726674E-2</v>
      </c>
      <c r="Q156" s="204">
        <v>6.8000000000000671E-2</v>
      </c>
      <c r="R156" s="206">
        <v>4.3224002034071111E-3</v>
      </c>
      <c r="S156" s="205">
        <v>51.55692000000051</v>
      </c>
      <c r="T156" s="204" t="s">
        <v>405</v>
      </c>
      <c r="U156" s="204" t="s">
        <v>225</v>
      </c>
      <c r="V156" s="204"/>
      <c r="W156" s="211">
        <v>1</v>
      </c>
      <c r="X156" s="204" t="s">
        <v>417</v>
      </c>
    </row>
    <row r="157" spans="2:24">
      <c r="B157" s="661">
        <v>45885</v>
      </c>
      <c r="C157" s="659" t="s">
        <v>288</v>
      </c>
      <c r="D157" s="237">
        <v>51</v>
      </c>
      <c r="E157" s="204" t="s">
        <v>411</v>
      </c>
      <c r="F157" s="205">
        <v>222.63499999999999</v>
      </c>
      <c r="G157" s="204">
        <v>29.335999999999999</v>
      </c>
      <c r="H157" s="204">
        <v>30.6</v>
      </c>
      <c r="I157" s="216">
        <f t="shared" si="18"/>
        <v>1.0430869920916281</v>
      </c>
      <c r="J157" s="204">
        <v>0</v>
      </c>
      <c r="K157" s="216">
        <f t="shared" si="19"/>
        <v>0</v>
      </c>
      <c r="L157" s="205">
        <v>318.05</v>
      </c>
      <c r="M157" s="216">
        <f t="shared" si="20"/>
        <v>1.0430869920916281</v>
      </c>
      <c r="N157" s="205">
        <v>402.01520000000096</v>
      </c>
      <c r="O157" s="204">
        <v>0.7</v>
      </c>
      <c r="P157" s="206">
        <v>2.3861467139350969E-2</v>
      </c>
      <c r="Q157" s="204">
        <v>0.56400000000000294</v>
      </c>
      <c r="R157" s="206">
        <v>1.9225524952277168E-2</v>
      </c>
      <c r="S157" s="205">
        <v>179.38020000000094</v>
      </c>
      <c r="T157" s="204" t="s">
        <v>405</v>
      </c>
      <c r="U157" s="204" t="s">
        <v>225</v>
      </c>
      <c r="V157" s="204"/>
      <c r="W157" s="211">
        <v>1</v>
      </c>
      <c r="X157" s="204" t="s">
        <v>413</v>
      </c>
    </row>
    <row r="158" spans="2:24">
      <c r="B158" s="659"/>
      <c r="C158" s="659"/>
      <c r="D158" s="237">
        <v>52</v>
      </c>
      <c r="E158" s="204" t="s">
        <v>569</v>
      </c>
      <c r="F158" s="205">
        <v>142.137</v>
      </c>
      <c r="G158" s="204">
        <v>71.369</v>
      </c>
      <c r="H158" s="204">
        <v>72.7</v>
      </c>
      <c r="I158" s="216">
        <f t="shared" si="18"/>
        <v>1.0186495537278091</v>
      </c>
      <c r="J158" s="204">
        <v>0</v>
      </c>
      <c r="K158" s="216">
        <f t="shared" si="19"/>
        <v>0</v>
      </c>
      <c r="L158" s="205">
        <v>473.79</v>
      </c>
      <c r="M158" s="216">
        <f t="shared" si="20"/>
        <v>1.0186495537278091</v>
      </c>
      <c r="N158" s="205">
        <v>630.61449000000152</v>
      </c>
      <c r="O158" s="204">
        <v>0.3</v>
      </c>
      <c r="P158" s="206">
        <v>4.2035057237736267E-3</v>
      </c>
      <c r="Q158" s="204">
        <v>1.031000000000003</v>
      </c>
      <c r="R158" s="206">
        <v>1.4446048004035409E-2</v>
      </c>
      <c r="S158" s="205">
        <v>488.47749000000147</v>
      </c>
      <c r="T158" s="204" t="s">
        <v>405</v>
      </c>
      <c r="U158" s="204" t="s">
        <v>225</v>
      </c>
      <c r="V158" s="204"/>
      <c r="W158" s="211">
        <v>1</v>
      </c>
      <c r="X158" s="204" t="s">
        <v>423</v>
      </c>
    </row>
    <row r="159" spans="2:24">
      <c r="B159" s="659"/>
      <c r="C159" s="659"/>
      <c r="D159" s="237">
        <v>53</v>
      </c>
      <c r="E159" s="204" t="s">
        <v>521</v>
      </c>
      <c r="F159" s="205">
        <v>139.44000000000003</v>
      </c>
      <c r="G159" s="204">
        <v>18.204000000000001</v>
      </c>
      <c r="H159" s="204">
        <v>18.100000000000001</v>
      </c>
      <c r="I159" s="216">
        <f t="shared" si="18"/>
        <v>0.99428696989672605</v>
      </c>
      <c r="J159" s="204">
        <v>0.8</v>
      </c>
      <c r="K159" s="216">
        <f t="shared" si="19"/>
        <v>4.3946385409800046E-2</v>
      </c>
      <c r="L159" s="205">
        <v>348.6</v>
      </c>
      <c r="M159" s="216">
        <f t="shared" si="20"/>
        <v>1.0382333553065262</v>
      </c>
      <c r="N159" s="205">
        <v>242.62560000000053</v>
      </c>
      <c r="O159" s="204">
        <v>0.4</v>
      </c>
      <c r="P159" s="206">
        <v>2.1973192704900023E-2</v>
      </c>
      <c r="Q159" s="204">
        <v>0.29600000000000148</v>
      </c>
      <c r="R159" s="206">
        <v>1.6260162601626098E-2</v>
      </c>
      <c r="S159" s="205">
        <v>103.18560000000052</v>
      </c>
      <c r="T159" s="204" t="s">
        <v>419</v>
      </c>
      <c r="U159" s="204" t="s">
        <v>420</v>
      </c>
      <c r="V159" s="204"/>
      <c r="W159" s="211">
        <v>1</v>
      </c>
      <c r="X159" s="204" t="s">
        <v>470</v>
      </c>
    </row>
    <row r="160" spans="2:24">
      <c r="B160" s="659"/>
      <c r="C160" s="659"/>
      <c r="D160" s="237">
        <v>54</v>
      </c>
      <c r="E160" s="204" t="s">
        <v>607</v>
      </c>
      <c r="F160" s="205">
        <v>136.172</v>
      </c>
      <c r="G160" s="204">
        <v>3.28</v>
      </c>
      <c r="H160" s="204">
        <v>3.2</v>
      </c>
      <c r="I160" s="216">
        <f t="shared" si="18"/>
        <v>0.97560975609756106</v>
      </c>
      <c r="J160" s="204">
        <v>0.7</v>
      </c>
      <c r="K160" s="216">
        <f t="shared" si="19"/>
        <v>0.21341463414634146</v>
      </c>
      <c r="L160" s="205">
        <v>340.43</v>
      </c>
      <c r="M160" s="216">
        <f t="shared" si="20"/>
        <v>1.1890243902439026</v>
      </c>
      <c r="N160" s="205">
        <v>211.06660000000019</v>
      </c>
      <c r="O160" s="204">
        <v>0.4</v>
      </c>
      <c r="P160" s="206">
        <v>0.12195121951219513</v>
      </c>
      <c r="Q160" s="204">
        <v>0.22000000000000053</v>
      </c>
      <c r="R160" s="206">
        <v>6.7073170731707488E-2</v>
      </c>
      <c r="S160" s="205">
        <v>74.894600000000182</v>
      </c>
      <c r="T160" s="204" t="s">
        <v>419</v>
      </c>
      <c r="U160" s="204" t="s">
        <v>420</v>
      </c>
      <c r="V160" s="204"/>
      <c r="W160" s="211">
        <v>1</v>
      </c>
      <c r="X160" s="204" t="s">
        <v>476</v>
      </c>
    </row>
    <row r="161" spans="2:24">
      <c r="B161" s="659"/>
      <c r="C161" s="659"/>
      <c r="D161" s="237">
        <v>55</v>
      </c>
      <c r="E161" s="204" t="s">
        <v>576</v>
      </c>
      <c r="F161" s="205">
        <v>135.666</v>
      </c>
      <c r="G161" s="204">
        <v>4.5090000000000003</v>
      </c>
      <c r="H161" s="204">
        <v>5.0999999999999996</v>
      </c>
      <c r="I161" s="216">
        <f t="shared" si="18"/>
        <v>1.1310711909514304</v>
      </c>
      <c r="J161" s="204">
        <v>0</v>
      </c>
      <c r="K161" s="216">
        <f t="shared" si="19"/>
        <v>0</v>
      </c>
      <c r="L161" s="205">
        <v>452.22</v>
      </c>
      <c r="M161" s="216">
        <f t="shared" si="20"/>
        <v>1.1310711909514304</v>
      </c>
      <c r="N161" s="205">
        <v>267.26201999999972</v>
      </c>
      <c r="O161" s="204">
        <v>0.3</v>
      </c>
      <c r="P161" s="206">
        <v>6.65335994677312E-2</v>
      </c>
      <c r="Q161" s="204">
        <v>0.29099999999999931</v>
      </c>
      <c r="R161" s="206">
        <v>6.4537591483699114E-2</v>
      </c>
      <c r="S161" s="205">
        <v>131.5960199999997</v>
      </c>
      <c r="T161" s="204" t="s">
        <v>419</v>
      </c>
      <c r="U161" s="204" t="s">
        <v>420</v>
      </c>
      <c r="V161" s="204"/>
      <c r="W161" s="211">
        <v>1</v>
      </c>
      <c r="X161" s="204" t="s">
        <v>464</v>
      </c>
    </row>
    <row r="162" spans="2:24">
      <c r="B162" s="659"/>
      <c r="C162" s="659"/>
      <c r="D162" s="237">
        <v>56</v>
      </c>
      <c r="E162" s="204" t="s">
        <v>604</v>
      </c>
      <c r="F162" s="205">
        <v>134.46</v>
      </c>
      <c r="G162" s="204">
        <v>1755</v>
      </c>
      <c r="H162" s="204">
        <v>1764</v>
      </c>
      <c r="I162" s="216">
        <f t="shared" si="18"/>
        <v>1.0051282051282051</v>
      </c>
      <c r="J162" s="204">
        <v>0</v>
      </c>
      <c r="K162" s="216">
        <f t="shared" si="19"/>
        <v>0</v>
      </c>
      <c r="L162" s="205">
        <v>14.94</v>
      </c>
      <c r="M162" s="216">
        <f t="shared" si="20"/>
        <v>1.0051282051282051</v>
      </c>
      <c r="N162" s="205">
        <v>134.46</v>
      </c>
      <c r="O162" s="204">
        <v>9</v>
      </c>
      <c r="P162" s="206">
        <v>5.1282051282051282E-3</v>
      </c>
      <c r="Q162" s="204">
        <v>0</v>
      </c>
      <c r="R162" s="206">
        <v>0</v>
      </c>
      <c r="S162" s="205">
        <v>0</v>
      </c>
      <c r="T162" s="204" t="s">
        <v>405</v>
      </c>
      <c r="U162" s="204" t="s">
        <v>225</v>
      </c>
      <c r="V162" s="204"/>
      <c r="W162" s="211">
        <v>1</v>
      </c>
      <c r="X162" s="204" t="s">
        <v>445</v>
      </c>
    </row>
    <row r="163" spans="2:24">
      <c r="B163" s="659"/>
      <c r="C163" s="659"/>
      <c r="D163" s="237">
        <v>57</v>
      </c>
      <c r="E163" s="204" t="s">
        <v>407</v>
      </c>
      <c r="F163" s="205">
        <v>132.21600000000001</v>
      </c>
      <c r="G163" s="204">
        <v>70.277000000000001</v>
      </c>
      <c r="H163" s="204">
        <v>71.2</v>
      </c>
      <c r="I163" s="216">
        <f t="shared" si="18"/>
        <v>1.0131337421916131</v>
      </c>
      <c r="J163" s="204">
        <v>0</v>
      </c>
      <c r="K163" s="216">
        <f t="shared" si="19"/>
        <v>0</v>
      </c>
      <c r="L163" s="205">
        <v>330.54</v>
      </c>
      <c r="M163" s="216">
        <f t="shared" si="20"/>
        <v>1.0131337421916131</v>
      </c>
      <c r="N163" s="205">
        <v>305.08842000000061</v>
      </c>
      <c r="O163" s="204">
        <v>0.4</v>
      </c>
      <c r="P163" s="206">
        <v>5.6917625965820966E-3</v>
      </c>
      <c r="Q163" s="204">
        <v>0.5230000000000018</v>
      </c>
      <c r="R163" s="206">
        <v>7.4419795950311169E-3</v>
      </c>
      <c r="S163" s="205">
        <v>172.8724200000006</v>
      </c>
      <c r="T163" s="204" t="s">
        <v>405</v>
      </c>
      <c r="U163" s="204" t="s">
        <v>225</v>
      </c>
      <c r="V163" s="204"/>
      <c r="W163" s="211">
        <v>1</v>
      </c>
      <c r="X163" s="204" t="s">
        <v>408</v>
      </c>
    </row>
    <row r="164" spans="2:24">
      <c r="B164" s="659"/>
      <c r="C164" s="659"/>
      <c r="D164" s="237">
        <v>58</v>
      </c>
      <c r="E164" s="204" t="s">
        <v>435</v>
      </c>
      <c r="F164" s="205">
        <v>131.66200000000001</v>
      </c>
      <c r="G164" s="204">
        <v>6.2549999999999999</v>
      </c>
      <c r="H164" s="204">
        <v>6.8</v>
      </c>
      <c r="I164" s="216">
        <f t="shared" si="18"/>
        <v>1.0871302957633893</v>
      </c>
      <c r="J164" s="204">
        <v>0</v>
      </c>
      <c r="K164" s="216">
        <f t="shared" si="19"/>
        <v>0</v>
      </c>
      <c r="L164" s="205">
        <v>658.31</v>
      </c>
      <c r="M164" s="216">
        <f t="shared" si="20"/>
        <v>1.0871302957633893</v>
      </c>
      <c r="N164" s="205">
        <v>358.7789499999999</v>
      </c>
      <c r="O164" s="204">
        <v>0.2</v>
      </c>
      <c r="P164" s="206">
        <v>3.1974420463629097E-2</v>
      </c>
      <c r="Q164" s="204">
        <v>0.34499999999999992</v>
      </c>
      <c r="R164" s="206">
        <v>5.5155875299760182E-2</v>
      </c>
      <c r="S164" s="205">
        <v>227.11694999999992</v>
      </c>
      <c r="T164" s="204" t="s">
        <v>405</v>
      </c>
      <c r="U164" s="204" t="s">
        <v>225</v>
      </c>
      <c r="V164" s="204"/>
      <c r="W164" s="211">
        <v>1</v>
      </c>
      <c r="X164" s="204" t="s">
        <v>436</v>
      </c>
    </row>
    <row r="165" spans="2:24">
      <c r="B165" s="659"/>
      <c r="C165" s="659"/>
      <c r="D165" s="237">
        <v>59</v>
      </c>
      <c r="E165" s="204" t="s">
        <v>526</v>
      </c>
      <c r="F165" s="205">
        <v>130.94999999999999</v>
      </c>
      <c r="G165" s="204">
        <v>1.3460000000000001</v>
      </c>
      <c r="H165" s="204">
        <v>1.9</v>
      </c>
      <c r="I165" s="216">
        <f t="shared" si="18"/>
        <v>1.4115898959881128</v>
      </c>
      <c r="J165" s="204">
        <v>0</v>
      </c>
      <c r="K165" s="216">
        <f t="shared" si="19"/>
        <v>0</v>
      </c>
      <c r="L165" s="205">
        <v>436.5</v>
      </c>
      <c r="M165" s="216">
        <f t="shared" si="20"/>
        <v>1.4115898959881128</v>
      </c>
      <c r="N165" s="205">
        <v>241.82099999999991</v>
      </c>
      <c r="O165" s="204">
        <v>0.3</v>
      </c>
      <c r="P165" s="206">
        <v>0.22288261515601782</v>
      </c>
      <c r="Q165" s="204">
        <v>0.25399999999999984</v>
      </c>
      <c r="R165" s="206">
        <v>0.18870728083209495</v>
      </c>
      <c r="S165" s="205">
        <v>110.87099999999992</v>
      </c>
      <c r="T165" s="204" t="s">
        <v>419</v>
      </c>
      <c r="U165" s="204" t="s">
        <v>420</v>
      </c>
      <c r="V165" s="204"/>
      <c r="W165" s="211">
        <v>1</v>
      </c>
      <c r="X165" s="204" t="s">
        <v>434</v>
      </c>
    </row>
    <row r="166" spans="2:24">
      <c r="B166" s="659"/>
      <c r="C166" s="659"/>
      <c r="D166" s="237">
        <v>60</v>
      </c>
      <c r="E166" s="204" t="s">
        <v>577</v>
      </c>
      <c r="F166" s="205">
        <v>128.63999999999999</v>
      </c>
      <c r="G166" s="204">
        <v>2.9940000000000002</v>
      </c>
      <c r="H166" s="204">
        <v>3.6</v>
      </c>
      <c r="I166" s="216">
        <f t="shared" si="18"/>
        <v>1.2024048096192383</v>
      </c>
      <c r="J166" s="204">
        <v>0</v>
      </c>
      <c r="K166" s="216">
        <f t="shared" si="19"/>
        <v>0</v>
      </c>
      <c r="L166" s="205">
        <v>428.8</v>
      </c>
      <c r="M166" s="216">
        <f t="shared" si="20"/>
        <v>1.2024048096192383</v>
      </c>
      <c r="N166" s="205">
        <v>259.85279999999995</v>
      </c>
      <c r="O166" s="204">
        <v>0.3</v>
      </c>
      <c r="P166" s="206">
        <v>0.1002004008016032</v>
      </c>
      <c r="Q166" s="204">
        <v>0.30599999999999988</v>
      </c>
      <c r="R166" s="206">
        <v>0.10220440881763522</v>
      </c>
      <c r="S166" s="205">
        <v>131.21279999999996</v>
      </c>
      <c r="T166" s="204" t="s">
        <v>537</v>
      </c>
      <c r="U166" s="204" t="s">
        <v>412</v>
      </c>
      <c r="V166" s="204"/>
      <c r="W166" s="211">
        <v>1</v>
      </c>
      <c r="X166" s="204" t="s">
        <v>438</v>
      </c>
    </row>
    <row r="167" spans="2:24">
      <c r="B167" s="661">
        <v>45886</v>
      </c>
      <c r="C167" s="659" t="s">
        <v>284</v>
      </c>
      <c r="D167" s="237">
        <v>61</v>
      </c>
      <c r="E167" s="204" t="s">
        <v>411</v>
      </c>
      <c r="F167" s="205">
        <v>222.63499999999999</v>
      </c>
      <c r="G167" s="204">
        <v>40.847999999999999</v>
      </c>
      <c r="H167" s="204">
        <v>41.9</v>
      </c>
      <c r="I167" s="216">
        <f t="shared" si="18"/>
        <v>1.0257540148844497</v>
      </c>
      <c r="J167" s="204">
        <v>0</v>
      </c>
      <c r="K167" s="216">
        <f t="shared" si="19"/>
        <v>0</v>
      </c>
      <c r="L167" s="205">
        <v>318.05</v>
      </c>
      <c r="M167" s="216">
        <f t="shared" si="20"/>
        <v>1.0257540148844497</v>
      </c>
      <c r="N167" s="205">
        <v>334.58859999999987</v>
      </c>
      <c r="O167" s="204">
        <v>0.7</v>
      </c>
      <c r="P167" s="206">
        <v>1.7136701919310614E-2</v>
      </c>
      <c r="Q167" s="204">
        <v>0.35199999999999965</v>
      </c>
      <c r="R167" s="206">
        <v>8.6173129651390436E-3</v>
      </c>
      <c r="S167" s="205">
        <v>111.95359999999989</v>
      </c>
      <c r="T167" s="204" t="s">
        <v>405</v>
      </c>
      <c r="U167" s="204" t="s">
        <v>412</v>
      </c>
      <c r="V167" s="204"/>
      <c r="W167" s="211">
        <v>1</v>
      </c>
      <c r="X167" s="204" t="s">
        <v>413</v>
      </c>
    </row>
    <row r="168" spans="2:24">
      <c r="B168" s="659"/>
      <c r="C168" s="659"/>
      <c r="D168" s="237">
        <v>62</v>
      </c>
      <c r="E168" s="204" t="s">
        <v>529</v>
      </c>
      <c r="F168" s="205">
        <v>191.22</v>
      </c>
      <c r="G168" s="204">
        <v>144.43100000000001</v>
      </c>
      <c r="H168" s="204">
        <v>147.5</v>
      </c>
      <c r="I168" s="216">
        <f t="shared" si="18"/>
        <v>1.0212489008592338</v>
      </c>
      <c r="J168" s="204">
        <v>0</v>
      </c>
      <c r="K168" s="216">
        <f t="shared" si="19"/>
        <v>0</v>
      </c>
      <c r="L168" s="205">
        <v>127.48</v>
      </c>
      <c r="M168" s="216">
        <f t="shared" si="20"/>
        <v>1.0212489008592338</v>
      </c>
      <c r="N168" s="205">
        <v>391.23611999999855</v>
      </c>
      <c r="O168" s="204">
        <v>1.5</v>
      </c>
      <c r="P168" s="206">
        <v>1.0385582042636276E-2</v>
      </c>
      <c r="Q168" s="204">
        <v>1.5689999999999884</v>
      </c>
      <c r="R168" s="206">
        <v>1.0863318816597464E-2</v>
      </c>
      <c r="S168" s="205">
        <v>200.01611999999852</v>
      </c>
      <c r="T168" s="204" t="s">
        <v>419</v>
      </c>
      <c r="U168" s="204" t="s">
        <v>522</v>
      </c>
      <c r="V168" s="204"/>
      <c r="W168" s="211">
        <v>1</v>
      </c>
      <c r="X168" s="204" t="s">
        <v>417</v>
      </c>
    </row>
    <row r="169" spans="2:24">
      <c r="B169" s="659"/>
      <c r="C169" s="659"/>
      <c r="D169" s="237">
        <v>63</v>
      </c>
      <c r="E169" s="204" t="s">
        <v>605</v>
      </c>
      <c r="F169" s="205">
        <v>169.03200000000001</v>
      </c>
      <c r="G169" s="204">
        <v>40.590000000000003</v>
      </c>
      <c r="H169" s="204">
        <v>41.5</v>
      </c>
      <c r="I169" s="216">
        <f t="shared" si="18"/>
        <v>1.0224193151022418</v>
      </c>
      <c r="J169" s="204">
        <v>0</v>
      </c>
      <c r="K169" s="216">
        <f t="shared" si="19"/>
        <v>0</v>
      </c>
      <c r="L169" s="205">
        <v>281.72000000000003</v>
      </c>
      <c r="M169" s="216">
        <f t="shared" si="20"/>
        <v>1.0224193151022418</v>
      </c>
      <c r="N169" s="205">
        <v>256.36519999999905</v>
      </c>
      <c r="O169" s="204">
        <v>0.6</v>
      </c>
      <c r="P169" s="206">
        <v>1.4781966001478195E-2</v>
      </c>
      <c r="Q169" s="204">
        <v>0.30999999999999661</v>
      </c>
      <c r="R169" s="206">
        <v>7.6373491007636508E-3</v>
      </c>
      <c r="S169" s="205">
        <v>87.333199999999053</v>
      </c>
      <c r="T169" s="204" t="s">
        <v>405</v>
      </c>
      <c r="U169" s="204" t="s">
        <v>225</v>
      </c>
      <c r="V169" s="204"/>
      <c r="W169" s="211">
        <v>1</v>
      </c>
      <c r="X169" s="204" t="s">
        <v>486</v>
      </c>
    </row>
    <row r="170" spans="2:24">
      <c r="B170" s="659"/>
      <c r="C170" s="659"/>
      <c r="D170" s="237">
        <v>64</v>
      </c>
      <c r="E170" s="204" t="s">
        <v>594</v>
      </c>
      <c r="F170" s="205">
        <v>167.245</v>
      </c>
      <c r="G170" s="204">
        <v>47.97</v>
      </c>
      <c r="H170" s="204">
        <v>48.8</v>
      </c>
      <c r="I170" s="216">
        <f t="shared" si="18"/>
        <v>1.0173024807171149</v>
      </c>
      <c r="J170" s="204">
        <v>0</v>
      </c>
      <c r="K170" s="216">
        <f t="shared" si="19"/>
        <v>0</v>
      </c>
      <c r="L170" s="205">
        <v>334.49</v>
      </c>
      <c r="M170" s="216">
        <f t="shared" si="20"/>
        <v>1.0173024807171149</v>
      </c>
      <c r="N170" s="205">
        <v>277.62669999999946</v>
      </c>
      <c r="O170" s="204">
        <v>0.5</v>
      </c>
      <c r="P170" s="206">
        <v>1.0423181154888472E-2</v>
      </c>
      <c r="Q170" s="204">
        <v>0.32999999999999829</v>
      </c>
      <c r="R170" s="206">
        <v>6.8792995622263559E-3</v>
      </c>
      <c r="S170" s="205">
        <v>110.38169999999943</v>
      </c>
      <c r="T170" s="204" t="s">
        <v>402</v>
      </c>
      <c r="U170" s="204" t="s">
        <v>224</v>
      </c>
      <c r="V170" s="204"/>
      <c r="W170" s="211">
        <v>1</v>
      </c>
      <c r="X170" s="204" t="s">
        <v>478</v>
      </c>
    </row>
    <row r="171" spans="2:24">
      <c r="B171" s="659"/>
      <c r="C171" s="659"/>
      <c r="D171" s="237">
        <v>65</v>
      </c>
      <c r="E171" s="204" t="s">
        <v>561</v>
      </c>
      <c r="F171" s="205">
        <v>166.77599999999998</v>
      </c>
      <c r="G171" s="204">
        <v>92.61</v>
      </c>
      <c r="H171" s="204">
        <v>93.8</v>
      </c>
      <c r="I171" s="216">
        <f t="shared" si="18"/>
        <v>1.0128495842781557</v>
      </c>
      <c r="J171" s="204">
        <v>0</v>
      </c>
      <c r="K171" s="216">
        <f t="shared" si="19"/>
        <v>0</v>
      </c>
      <c r="L171" s="205">
        <v>208.47</v>
      </c>
      <c r="M171" s="216">
        <f t="shared" si="20"/>
        <v>1.0128495842781557</v>
      </c>
      <c r="N171" s="205">
        <v>248.07929999999953</v>
      </c>
      <c r="O171" s="204">
        <v>0.79999999999999993</v>
      </c>
      <c r="P171" s="206">
        <v>8.6383759853147606E-3</v>
      </c>
      <c r="Q171" s="204">
        <v>0.38999999999999779</v>
      </c>
      <c r="R171" s="206">
        <v>4.2112082928409218E-3</v>
      </c>
      <c r="S171" s="205">
        <v>81.303299999999538</v>
      </c>
      <c r="T171" s="204" t="s">
        <v>402</v>
      </c>
      <c r="U171" s="204" t="s">
        <v>224</v>
      </c>
      <c r="V171" s="204"/>
      <c r="W171" s="211">
        <v>1</v>
      </c>
      <c r="X171" s="204" t="s">
        <v>492</v>
      </c>
    </row>
    <row r="172" spans="2:24">
      <c r="B172" s="659"/>
      <c r="C172" s="659"/>
      <c r="D172" s="237">
        <v>66</v>
      </c>
      <c r="E172" s="204" t="s">
        <v>523</v>
      </c>
      <c r="F172" s="205">
        <v>164.18800000000002</v>
      </c>
      <c r="G172" s="204">
        <v>10.843</v>
      </c>
      <c r="H172" s="204">
        <v>11.5</v>
      </c>
      <c r="I172" s="216">
        <f t="shared" si="18"/>
        <v>1.0605920870607766</v>
      </c>
      <c r="J172" s="204">
        <v>0</v>
      </c>
      <c r="K172" s="216">
        <f t="shared" si="19"/>
        <v>0</v>
      </c>
      <c r="L172" s="205">
        <v>410.47</v>
      </c>
      <c r="M172" s="216">
        <f t="shared" si="20"/>
        <v>1.0605920870607766</v>
      </c>
      <c r="N172" s="205">
        <v>269.67879000000005</v>
      </c>
      <c r="O172" s="204">
        <v>0.4</v>
      </c>
      <c r="P172" s="206">
        <v>3.6890159549940058E-2</v>
      </c>
      <c r="Q172" s="204">
        <v>0.25700000000000001</v>
      </c>
      <c r="R172" s="206">
        <v>2.3701927510836485E-2</v>
      </c>
      <c r="S172" s="205">
        <v>105.49079</v>
      </c>
      <c r="T172" s="204" t="s">
        <v>419</v>
      </c>
      <c r="U172" s="204" t="s">
        <v>420</v>
      </c>
      <c r="V172" s="204"/>
      <c r="W172" s="211">
        <v>1</v>
      </c>
      <c r="X172" s="204" t="s">
        <v>456</v>
      </c>
    </row>
    <row r="173" spans="2:24">
      <c r="B173" s="659"/>
      <c r="C173" s="659"/>
      <c r="D173" s="237">
        <v>67</v>
      </c>
      <c r="E173" s="204" t="s">
        <v>609</v>
      </c>
      <c r="F173" s="205">
        <v>160.70000000000002</v>
      </c>
      <c r="G173" s="204">
        <v>29.47</v>
      </c>
      <c r="H173" s="204">
        <v>30.1</v>
      </c>
      <c r="I173" s="216">
        <f t="shared" si="18"/>
        <v>1.0213776722090262</v>
      </c>
      <c r="J173" s="204">
        <v>0</v>
      </c>
      <c r="K173" s="216">
        <f t="shared" si="19"/>
        <v>0</v>
      </c>
      <c r="L173" s="205">
        <v>401.75</v>
      </c>
      <c r="M173" s="216">
        <f t="shared" si="20"/>
        <v>1.0213776722090262</v>
      </c>
      <c r="N173" s="205">
        <v>253.10250000000102</v>
      </c>
      <c r="O173" s="204">
        <v>0.4</v>
      </c>
      <c r="P173" s="206">
        <v>1.3573125212080083E-2</v>
      </c>
      <c r="Q173" s="204">
        <v>0.23000000000000254</v>
      </c>
      <c r="R173" s="206">
        <v>7.8045469969461332E-3</v>
      </c>
      <c r="S173" s="205">
        <v>92.402500000001012</v>
      </c>
      <c r="T173" s="204" t="s">
        <v>402</v>
      </c>
      <c r="U173" s="204" t="s">
        <v>224</v>
      </c>
      <c r="V173" s="204"/>
      <c r="W173" s="211">
        <v>1</v>
      </c>
      <c r="X173" s="204" t="s">
        <v>583</v>
      </c>
    </row>
    <row r="174" spans="2:24">
      <c r="B174" s="659"/>
      <c r="C174" s="659"/>
      <c r="D174" s="237">
        <v>68</v>
      </c>
      <c r="E174" s="204" t="s">
        <v>563</v>
      </c>
      <c r="F174" s="205">
        <v>157.75200000000001</v>
      </c>
      <c r="G174" s="204">
        <v>7.76</v>
      </c>
      <c r="H174" s="204">
        <v>8.4</v>
      </c>
      <c r="I174" s="216">
        <f t="shared" si="18"/>
        <v>1.0824742268041239</v>
      </c>
      <c r="J174" s="204">
        <v>0</v>
      </c>
      <c r="K174" s="216">
        <f t="shared" si="19"/>
        <v>0</v>
      </c>
      <c r="L174" s="205">
        <v>394.38</v>
      </c>
      <c r="M174" s="216">
        <f t="shared" si="20"/>
        <v>1.0824742268041239</v>
      </c>
      <c r="N174" s="205">
        <v>252.40320000000023</v>
      </c>
      <c r="O174" s="204">
        <v>0.4</v>
      </c>
      <c r="P174" s="206">
        <v>5.1546391752577324E-2</v>
      </c>
      <c r="Q174" s="204">
        <v>0.24000000000000055</v>
      </c>
      <c r="R174" s="206">
        <v>3.0927835051546462E-2</v>
      </c>
      <c r="S174" s="205">
        <v>94.651200000000216</v>
      </c>
      <c r="T174" s="204" t="s">
        <v>419</v>
      </c>
      <c r="U174" s="204" t="s">
        <v>420</v>
      </c>
      <c r="V174" s="204"/>
      <c r="W174" s="211">
        <v>1</v>
      </c>
      <c r="X174" s="204" t="s">
        <v>504</v>
      </c>
    </row>
    <row r="175" spans="2:24">
      <c r="B175" s="659"/>
      <c r="C175" s="659"/>
      <c r="D175" s="237">
        <v>69</v>
      </c>
      <c r="E175" s="204" t="s">
        <v>545</v>
      </c>
      <c r="F175" s="205">
        <v>157.71899999999999</v>
      </c>
      <c r="G175" s="204">
        <v>37.247999999999998</v>
      </c>
      <c r="H175" s="204">
        <v>38.299999999999997</v>
      </c>
      <c r="I175" s="216">
        <f t="shared" si="18"/>
        <v>1.0282431271477663</v>
      </c>
      <c r="J175" s="204">
        <v>0</v>
      </c>
      <c r="K175" s="216">
        <f t="shared" si="19"/>
        <v>0</v>
      </c>
      <c r="L175" s="205">
        <v>525.73</v>
      </c>
      <c r="M175" s="216">
        <f t="shared" si="20"/>
        <v>1.0282431271477663</v>
      </c>
      <c r="N175" s="205">
        <v>553.06795999999986</v>
      </c>
      <c r="O175" s="204">
        <v>0.3</v>
      </c>
      <c r="P175" s="206">
        <v>8.0541237113402071E-3</v>
      </c>
      <c r="Q175" s="204">
        <v>0.75199999999999956</v>
      </c>
      <c r="R175" s="206">
        <v>2.0189003436426108E-2</v>
      </c>
      <c r="S175" s="205">
        <v>395.34895999999981</v>
      </c>
      <c r="T175" s="204" t="s">
        <v>402</v>
      </c>
      <c r="U175" s="204" t="s">
        <v>224</v>
      </c>
      <c r="V175" s="204"/>
      <c r="W175" s="211">
        <v>1</v>
      </c>
      <c r="X175" s="204" t="s">
        <v>517</v>
      </c>
    </row>
    <row r="176" spans="2:24">
      <c r="B176" s="659"/>
      <c r="C176" s="659"/>
      <c r="D176" s="237">
        <v>70</v>
      </c>
      <c r="E176" s="204" t="s">
        <v>414</v>
      </c>
      <c r="F176" s="205">
        <v>154.05500000000001</v>
      </c>
      <c r="G176" s="204">
        <v>83.1683168316832</v>
      </c>
      <c r="H176" s="204">
        <v>84</v>
      </c>
      <c r="I176" s="216">
        <f t="shared" si="18"/>
        <v>1.0099999999999996</v>
      </c>
      <c r="J176" s="204">
        <v>0</v>
      </c>
      <c r="K176" s="216">
        <f t="shared" si="19"/>
        <v>0</v>
      </c>
      <c r="L176" s="205">
        <v>308.11</v>
      </c>
      <c r="M176" s="216">
        <f t="shared" si="20"/>
        <v>1.0099999999999996</v>
      </c>
      <c r="N176" s="205">
        <v>256.24990099008937</v>
      </c>
      <c r="O176" s="204">
        <v>0.5</v>
      </c>
      <c r="P176" s="206">
        <v>6.01190476190476E-3</v>
      </c>
      <c r="Q176" s="204">
        <v>0.33168316831680045</v>
      </c>
      <c r="R176" s="206">
        <v>3.9880952380948612E-3</v>
      </c>
      <c r="S176" s="205">
        <v>102.19490099008939</v>
      </c>
      <c r="T176" s="204" t="s">
        <v>402</v>
      </c>
      <c r="U176" s="204" t="s">
        <v>224</v>
      </c>
      <c r="V176" s="204"/>
      <c r="W176" s="211">
        <v>1</v>
      </c>
      <c r="X176" s="204" t="s">
        <v>415</v>
      </c>
    </row>
    <row r="177" spans="2:24">
      <c r="B177" s="661">
        <v>45887</v>
      </c>
      <c r="C177" s="659" t="s">
        <v>285</v>
      </c>
      <c r="D177" s="237">
        <v>71</v>
      </c>
      <c r="E177" s="204" t="s">
        <v>545</v>
      </c>
      <c r="F177" s="205">
        <v>210.29200000000003</v>
      </c>
      <c r="G177" s="204">
        <v>33.887999999999998</v>
      </c>
      <c r="H177" s="204">
        <v>34.799999999999997</v>
      </c>
      <c r="I177" s="216">
        <f t="shared" si="18"/>
        <v>1.0269121813031161</v>
      </c>
      <c r="J177" s="204">
        <v>0</v>
      </c>
      <c r="K177" s="216">
        <f t="shared" si="19"/>
        <v>0</v>
      </c>
      <c r="L177" s="205">
        <v>525.73</v>
      </c>
      <c r="M177" s="216">
        <f t="shared" si="20"/>
        <v>1.0269121813031161</v>
      </c>
      <c r="N177" s="205">
        <v>479.46575999999953</v>
      </c>
      <c r="O177" s="204">
        <v>0.4</v>
      </c>
      <c r="P177" s="206">
        <v>1.1803588290840416E-2</v>
      </c>
      <c r="Q177" s="204">
        <v>0.51199999999999901</v>
      </c>
      <c r="R177" s="206">
        <v>1.5108593012275703E-2</v>
      </c>
      <c r="S177" s="205">
        <v>269.1737599999995</v>
      </c>
      <c r="T177" s="204" t="s">
        <v>402</v>
      </c>
      <c r="U177" s="204" t="s">
        <v>224</v>
      </c>
      <c r="V177" s="204"/>
      <c r="W177" s="211">
        <v>1</v>
      </c>
      <c r="X177" s="204" t="s">
        <v>517</v>
      </c>
    </row>
    <row r="178" spans="2:24">
      <c r="B178" s="659"/>
      <c r="C178" s="659"/>
      <c r="D178" s="237">
        <v>72</v>
      </c>
      <c r="E178" s="204" t="s">
        <v>411</v>
      </c>
      <c r="F178" s="205">
        <v>190.83</v>
      </c>
      <c r="G178" s="204">
        <v>42.095999999999997</v>
      </c>
      <c r="H178" s="204">
        <v>43.2</v>
      </c>
      <c r="I178" s="216">
        <f t="shared" si="18"/>
        <v>1.0262257696693273</v>
      </c>
      <c r="J178" s="204">
        <v>0</v>
      </c>
      <c r="K178" s="216">
        <f t="shared" si="19"/>
        <v>0</v>
      </c>
      <c r="L178" s="205">
        <v>318.05</v>
      </c>
      <c r="M178" s="216">
        <f t="shared" si="20"/>
        <v>1.0262257696693273</v>
      </c>
      <c r="N178" s="205">
        <v>351.12720000000201</v>
      </c>
      <c r="O178" s="204">
        <v>0.6</v>
      </c>
      <c r="P178" s="206">
        <v>1.4253135689851768E-2</v>
      </c>
      <c r="Q178" s="204">
        <v>0.50400000000000633</v>
      </c>
      <c r="R178" s="206">
        <v>1.1972633979475636E-2</v>
      </c>
      <c r="S178" s="205">
        <v>160.29720000000202</v>
      </c>
      <c r="T178" s="204" t="s">
        <v>405</v>
      </c>
      <c r="U178" s="204" t="s">
        <v>412</v>
      </c>
      <c r="V178" s="204"/>
      <c r="W178" s="211">
        <v>1</v>
      </c>
      <c r="X178" s="204" t="s">
        <v>413</v>
      </c>
    </row>
    <row r="179" spans="2:24">
      <c r="B179" s="659"/>
      <c r="C179" s="659"/>
      <c r="D179" s="237">
        <v>73</v>
      </c>
      <c r="E179" s="204" t="s">
        <v>404</v>
      </c>
      <c r="F179" s="205">
        <v>165.98000000000002</v>
      </c>
      <c r="G179" s="204">
        <v>15.176</v>
      </c>
      <c r="H179" s="204">
        <v>16</v>
      </c>
      <c r="I179" s="216">
        <f t="shared" si="18"/>
        <v>1.0542962572482868</v>
      </c>
      <c r="J179" s="204">
        <v>0</v>
      </c>
      <c r="K179" s="216">
        <f t="shared" si="19"/>
        <v>0</v>
      </c>
      <c r="L179" s="205">
        <v>414.95</v>
      </c>
      <c r="M179" s="216">
        <f t="shared" si="20"/>
        <v>1.0542962572482868</v>
      </c>
      <c r="N179" s="205">
        <v>341.91879999999992</v>
      </c>
      <c r="O179" s="204">
        <v>0.4</v>
      </c>
      <c r="P179" s="206">
        <v>2.6357406431207171E-2</v>
      </c>
      <c r="Q179" s="204">
        <v>0.42399999999999982</v>
      </c>
      <c r="R179" s="206">
        <v>2.7938850817079586E-2</v>
      </c>
      <c r="S179" s="205">
        <v>175.93879999999993</v>
      </c>
      <c r="T179" s="204" t="s">
        <v>537</v>
      </c>
      <c r="U179" s="204" t="s">
        <v>602</v>
      </c>
      <c r="V179" s="204"/>
      <c r="W179" s="211">
        <v>1</v>
      </c>
      <c r="X179" s="204" t="s">
        <v>406</v>
      </c>
    </row>
    <row r="180" spans="2:24">
      <c r="B180" s="659"/>
      <c r="C180" s="659"/>
      <c r="D180" s="237">
        <v>74</v>
      </c>
      <c r="E180" s="204" t="s">
        <v>426</v>
      </c>
      <c r="F180" s="205">
        <v>153.018</v>
      </c>
      <c r="G180" s="204">
        <v>162.25399999999999</v>
      </c>
      <c r="H180" s="204">
        <v>162.80000000000001</v>
      </c>
      <c r="I180" s="216">
        <f t="shared" si="18"/>
        <v>1.003365094234965</v>
      </c>
      <c r="J180" s="204">
        <v>0</v>
      </c>
      <c r="K180" s="216">
        <f t="shared" si="19"/>
        <v>0</v>
      </c>
      <c r="L180" s="205">
        <v>510.06</v>
      </c>
      <c r="M180" s="216">
        <f t="shared" si="20"/>
        <v>1.003365094234965</v>
      </c>
      <c r="N180" s="205">
        <v>278.49276000001055</v>
      </c>
      <c r="O180" s="204">
        <v>0.3</v>
      </c>
      <c r="P180" s="206">
        <v>1.8489528763543581E-3</v>
      </c>
      <c r="Q180" s="204">
        <v>0.2460000000000207</v>
      </c>
      <c r="R180" s="206">
        <v>1.5161413586107012E-3</v>
      </c>
      <c r="S180" s="205">
        <v>125.47476000001056</v>
      </c>
      <c r="T180" s="204" t="s">
        <v>402</v>
      </c>
      <c r="U180" s="204" t="s">
        <v>224</v>
      </c>
      <c r="V180" s="204"/>
      <c r="W180" s="211">
        <v>1</v>
      </c>
      <c r="X180" s="204" t="s">
        <v>423</v>
      </c>
    </row>
    <row r="181" spans="2:24">
      <c r="B181" s="659"/>
      <c r="C181" s="659"/>
      <c r="D181" s="237">
        <v>75</v>
      </c>
      <c r="E181" s="204" t="s">
        <v>416</v>
      </c>
      <c r="F181" s="205">
        <v>151.63800000000001</v>
      </c>
      <c r="G181" s="204">
        <v>19.044</v>
      </c>
      <c r="H181" s="204">
        <v>19.5</v>
      </c>
      <c r="I181" s="216">
        <f t="shared" si="18"/>
        <v>1.0239445494643982</v>
      </c>
      <c r="J181" s="204">
        <v>0</v>
      </c>
      <c r="K181" s="216">
        <f t="shared" si="19"/>
        <v>0</v>
      </c>
      <c r="L181" s="205">
        <v>758.19</v>
      </c>
      <c r="M181" s="216">
        <f t="shared" si="20"/>
        <v>1.0239445494643982</v>
      </c>
      <c r="N181" s="205">
        <v>345.73463999999967</v>
      </c>
      <c r="O181" s="204">
        <v>0.2</v>
      </c>
      <c r="P181" s="206">
        <v>1.0501995379122034E-2</v>
      </c>
      <c r="Q181" s="204">
        <v>0.25599999999999951</v>
      </c>
      <c r="R181" s="206">
        <v>1.3442554085276176E-2</v>
      </c>
      <c r="S181" s="205">
        <v>194.09663999999964</v>
      </c>
      <c r="T181" s="204" t="s">
        <v>405</v>
      </c>
      <c r="U181" s="204" t="s">
        <v>225</v>
      </c>
      <c r="V181" s="204"/>
      <c r="W181" s="211">
        <v>1</v>
      </c>
      <c r="X181" s="204" t="s">
        <v>417</v>
      </c>
    </row>
    <row r="182" spans="2:24">
      <c r="B182" s="659"/>
      <c r="C182" s="659"/>
      <c r="D182" s="237">
        <v>76</v>
      </c>
      <c r="E182" s="204" t="s">
        <v>569</v>
      </c>
      <c r="F182" s="205">
        <v>142.137</v>
      </c>
      <c r="G182" s="204">
        <v>60.72</v>
      </c>
      <c r="H182" s="204">
        <v>61.5</v>
      </c>
      <c r="I182" s="216">
        <f t="shared" si="18"/>
        <v>1.0128458498023716</v>
      </c>
      <c r="J182" s="204">
        <v>0</v>
      </c>
      <c r="K182" s="216">
        <f t="shared" si="19"/>
        <v>0</v>
      </c>
      <c r="L182" s="205">
        <v>473.79</v>
      </c>
      <c r="M182" s="216">
        <f t="shared" si="20"/>
        <v>1.0128458498023716</v>
      </c>
      <c r="N182" s="205">
        <v>369.55620000000056</v>
      </c>
      <c r="O182" s="204">
        <v>0.3</v>
      </c>
      <c r="P182" s="206">
        <v>4.940711462450593E-3</v>
      </c>
      <c r="Q182" s="204">
        <v>0.48000000000000115</v>
      </c>
      <c r="R182" s="206">
        <v>7.9051383399209672E-3</v>
      </c>
      <c r="S182" s="205">
        <v>227.41920000000056</v>
      </c>
      <c r="T182" s="204" t="s">
        <v>402</v>
      </c>
      <c r="U182" s="204" t="s">
        <v>224</v>
      </c>
      <c r="V182" s="204"/>
      <c r="W182" s="211">
        <v>1</v>
      </c>
      <c r="X182" s="204" t="s">
        <v>423</v>
      </c>
    </row>
    <row r="183" spans="2:24">
      <c r="B183" s="659"/>
      <c r="C183" s="659"/>
      <c r="D183" s="237">
        <v>77</v>
      </c>
      <c r="E183" s="204" t="s">
        <v>599</v>
      </c>
      <c r="F183" s="205">
        <v>133.464</v>
      </c>
      <c r="G183" s="204">
        <v>27.341999999999999</v>
      </c>
      <c r="H183" s="204">
        <v>28.2</v>
      </c>
      <c r="I183" s="216">
        <f t="shared" si="18"/>
        <v>1.0313802940531052</v>
      </c>
      <c r="J183" s="204">
        <v>0</v>
      </c>
      <c r="K183" s="216">
        <f t="shared" si="19"/>
        <v>0</v>
      </c>
      <c r="L183" s="205">
        <v>444.88</v>
      </c>
      <c r="M183" s="216">
        <f t="shared" si="20"/>
        <v>1.0313802940531052</v>
      </c>
      <c r="N183" s="205">
        <v>381.70704000000023</v>
      </c>
      <c r="O183" s="204">
        <v>0.3</v>
      </c>
      <c r="P183" s="206">
        <v>1.0972130787798991E-2</v>
      </c>
      <c r="Q183" s="204">
        <v>0.5580000000000005</v>
      </c>
      <c r="R183" s="206">
        <v>2.0408163265306142E-2</v>
      </c>
      <c r="S183" s="205">
        <v>248.24304000000021</v>
      </c>
      <c r="T183" s="204" t="s">
        <v>402</v>
      </c>
      <c r="U183" s="204" t="s">
        <v>224</v>
      </c>
      <c r="V183" s="204"/>
      <c r="W183" s="211">
        <v>1</v>
      </c>
      <c r="X183" s="204" t="s">
        <v>598</v>
      </c>
    </row>
    <row r="184" spans="2:24">
      <c r="B184" s="659"/>
      <c r="C184" s="659"/>
      <c r="D184" s="237">
        <v>78</v>
      </c>
      <c r="E184" s="204" t="s">
        <v>435</v>
      </c>
      <c r="F184" s="205">
        <v>131.66200000000001</v>
      </c>
      <c r="G184" s="204">
        <v>6.45</v>
      </c>
      <c r="H184" s="204">
        <v>6.8</v>
      </c>
      <c r="I184" s="216">
        <f t="shared" si="18"/>
        <v>1.0542635658914727</v>
      </c>
      <c r="J184" s="204">
        <v>0</v>
      </c>
      <c r="K184" s="216">
        <f t="shared" si="19"/>
        <v>0</v>
      </c>
      <c r="L184" s="205">
        <v>658.31</v>
      </c>
      <c r="M184" s="216">
        <f t="shared" si="20"/>
        <v>1.0542635658914727</v>
      </c>
      <c r="N184" s="205">
        <v>230.40849999999975</v>
      </c>
      <c r="O184" s="204">
        <v>0.2</v>
      </c>
      <c r="P184" s="206">
        <v>3.1007751937984496E-2</v>
      </c>
      <c r="Q184" s="204">
        <v>0.14999999999999963</v>
      </c>
      <c r="R184" s="206">
        <v>2.3255813953488316E-2</v>
      </c>
      <c r="S184" s="205">
        <v>98.746499999999756</v>
      </c>
      <c r="T184" s="204" t="s">
        <v>402</v>
      </c>
      <c r="U184" s="204" t="s">
        <v>224</v>
      </c>
      <c r="V184" s="204"/>
      <c r="W184" s="211">
        <v>1</v>
      </c>
      <c r="X184" s="204" t="s">
        <v>436</v>
      </c>
    </row>
    <row r="185" spans="2:24">
      <c r="B185" s="659"/>
      <c r="C185" s="659"/>
      <c r="D185" s="237">
        <v>79</v>
      </c>
      <c r="E185" s="204" t="s">
        <v>526</v>
      </c>
      <c r="F185" s="205">
        <v>130.94999999999999</v>
      </c>
      <c r="G185" s="204">
        <v>1.323</v>
      </c>
      <c r="H185" s="204">
        <v>1.8</v>
      </c>
      <c r="I185" s="216">
        <f t="shared" si="18"/>
        <v>1.360544217687075</v>
      </c>
      <c r="J185" s="204">
        <v>0</v>
      </c>
      <c r="K185" s="216">
        <f t="shared" si="19"/>
        <v>0</v>
      </c>
      <c r="L185" s="205">
        <v>436.5</v>
      </c>
      <c r="M185" s="216">
        <f t="shared" si="20"/>
        <v>1.360544217687075</v>
      </c>
      <c r="N185" s="205">
        <v>208.21050000000005</v>
      </c>
      <c r="O185" s="204">
        <v>0.3</v>
      </c>
      <c r="P185" s="206">
        <v>0.22675736961451248</v>
      </c>
      <c r="Q185" s="204">
        <v>0.1770000000000001</v>
      </c>
      <c r="R185" s="206">
        <v>0.13378684807256244</v>
      </c>
      <c r="S185" s="205">
        <v>77.26050000000005</v>
      </c>
      <c r="T185" s="204" t="s">
        <v>419</v>
      </c>
      <c r="U185" s="204" t="s">
        <v>420</v>
      </c>
      <c r="V185" s="204"/>
      <c r="W185" s="211">
        <v>1</v>
      </c>
      <c r="X185" s="204" t="s">
        <v>434</v>
      </c>
    </row>
    <row r="186" spans="2:24">
      <c r="B186" s="659"/>
      <c r="C186" s="659"/>
      <c r="D186" s="237">
        <v>80</v>
      </c>
      <c r="E186" s="204" t="s">
        <v>558</v>
      </c>
      <c r="F186" s="205">
        <v>130.31400000000002</v>
      </c>
      <c r="G186" s="204">
        <v>20.064</v>
      </c>
      <c r="H186" s="204">
        <v>20.6</v>
      </c>
      <c r="I186" s="216">
        <f t="shared" si="18"/>
        <v>1.0267145135566189</v>
      </c>
      <c r="J186" s="204">
        <v>0</v>
      </c>
      <c r="K186" s="216">
        <f t="shared" si="19"/>
        <v>0</v>
      </c>
      <c r="L186" s="205">
        <v>651.57000000000005</v>
      </c>
      <c r="M186" s="216">
        <f t="shared" si="20"/>
        <v>1.0267145135566189</v>
      </c>
      <c r="N186" s="205">
        <v>349.24152000000089</v>
      </c>
      <c r="O186" s="204">
        <v>0.2</v>
      </c>
      <c r="P186" s="206">
        <v>9.9681020733652318E-3</v>
      </c>
      <c r="Q186" s="204">
        <v>0.33600000000000135</v>
      </c>
      <c r="R186" s="206">
        <v>1.6746411483253655E-2</v>
      </c>
      <c r="S186" s="205">
        <v>218.9275200000009</v>
      </c>
      <c r="T186" s="204" t="s">
        <v>402</v>
      </c>
      <c r="U186" s="204" t="s">
        <v>224</v>
      </c>
      <c r="V186" s="204"/>
      <c r="W186" s="211">
        <v>1</v>
      </c>
      <c r="X186" s="204" t="s">
        <v>559</v>
      </c>
    </row>
    <row r="187" spans="2:24">
      <c r="B187" s="661">
        <v>45888</v>
      </c>
      <c r="C187" s="659" t="s">
        <v>268</v>
      </c>
      <c r="D187" s="237">
        <v>81</v>
      </c>
      <c r="E187" s="204" t="s">
        <v>411</v>
      </c>
      <c r="F187" s="205">
        <v>222.63499999999999</v>
      </c>
      <c r="G187" s="204">
        <v>41.624000000000002</v>
      </c>
      <c r="H187" s="204">
        <v>42.7</v>
      </c>
      <c r="I187" s="216">
        <f t="shared" si="18"/>
        <v>1.0258504708821834</v>
      </c>
      <c r="J187" s="204">
        <v>0</v>
      </c>
      <c r="K187" s="216">
        <f t="shared" si="19"/>
        <v>0</v>
      </c>
      <c r="L187" s="205">
        <v>318.05</v>
      </c>
      <c r="M187" s="216">
        <f t="shared" si="20"/>
        <v>1.0258504708821834</v>
      </c>
      <c r="N187" s="205">
        <v>342.2218000000002</v>
      </c>
      <c r="O187" s="204">
        <v>0.7</v>
      </c>
      <c r="P187" s="206">
        <v>1.6817220834134151E-2</v>
      </c>
      <c r="Q187" s="204">
        <v>0.37600000000000056</v>
      </c>
      <c r="R187" s="206">
        <v>9.0332500480492153E-3</v>
      </c>
      <c r="S187" s="205">
        <v>119.58680000000018</v>
      </c>
      <c r="T187" s="204" t="s">
        <v>405</v>
      </c>
      <c r="U187" s="204" t="s">
        <v>412</v>
      </c>
      <c r="V187" s="204"/>
      <c r="W187" s="211">
        <v>1</v>
      </c>
      <c r="X187" s="204" t="s">
        <v>413</v>
      </c>
    </row>
    <row r="188" spans="2:24">
      <c r="B188" s="659"/>
      <c r="C188" s="659"/>
      <c r="D188" s="237">
        <v>82</v>
      </c>
      <c r="E188" s="204" t="s">
        <v>426</v>
      </c>
      <c r="F188" s="205">
        <v>204.024</v>
      </c>
      <c r="G188" s="204">
        <v>156.16499999999999</v>
      </c>
      <c r="H188" s="204">
        <v>157.1</v>
      </c>
      <c r="I188" s="216">
        <f t="shared" si="18"/>
        <v>1.005987257067845</v>
      </c>
      <c r="J188" s="204">
        <v>0</v>
      </c>
      <c r="K188" s="216">
        <f t="shared" si="19"/>
        <v>0</v>
      </c>
      <c r="L188" s="205">
        <v>510.06</v>
      </c>
      <c r="M188" s="216">
        <f t="shared" si="20"/>
        <v>1.005987257067845</v>
      </c>
      <c r="N188" s="205">
        <v>476.90610000000117</v>
      </c>
      <c r="O188" s="204">
        <v>0.4</v>
      </c>
      <c r="P188" s="206">
        <v>2.5613933980085171E-3</v>
      </c>
      <c r="Q188" s="204">
        <v>0.53500000000000225</v>
      </c>
      <c r="R188" s="206">
        <v>3.4258636698364054E-3</v>
      </c>
      <c r="S188" s="205">
        <v>272.88210000000117</v>
      </c>
      <c r="T188" s="204" t="s">
        <v>405</v>
      </c>
      <c r="U188" s="204" t="s">
        <v>226</v>
      </c>
      <c r="V188" s="204"/>
      <c r="W188" s="211">
        <v>1</v>
      </c>
      <c r="X188" s="204" t="s">
        <v>423</v>
      </c>
    </row>
    <row r="189" spans="2:24">
      <c r="B189" s="659"/>
      <c r="C189" s="659"/>
      <c r="D189" s="237">
        <v>83</v>
      </c>
      <c r="E189" s="204" t="s">
        <v>404</v>
      </c>
      <c r="F189" s="205">
        <v>165.98000000000002</v>
      </c>
      <c r="G189" s="204">
        <v>14.378</v>
      </c>
      <c r="H189" s="204">
        <v>15</v>
      </c>
      <c r="I189" s="216">
        <f t="shared" si="18"/>
        <v>1.043260536931423</v>
      </c>
      <c r="J189" s="204">
        <v>0</v>
      </c>
      <c r="K189" s="216">
        <f t="shared" si="19"/>
        <v>0</v>
      </c>
      <c r="L189" s="205">
        <v>414.95</v>
      </c>
      <c r="M189" s="216">
        <f t="shared" si="20"/>
        <v>1.043260536931423</v>
      </c>
      <c r="N189" s="205">
        <v>258.09889999999996</v>
      </c>
      <c r="O189" s="204">
        <v>0.4</v>
      </c>
      <c r="P189" s="206">
        <v>2.7820280984837947E-2</v>
      </c>
      <c r="Q189" s="204">
        <v>0.22199999999999986</v>
      </c>
      <c r="R189" s="206">
        <v>1.5440255946585052E-2</v>
      </c>
      <c r="S189" s="205">
        <v>92.11889999999994</v>
      </c>
      <c r="T189" s="204" t="s">
        <v>405</v>
      </c>
      <c r="U189" s="204" t="s">
        <v>225</v>
      </c>
      <c r="V189" s="204"/>
      <c r="W189" s="211">
        <v>1</v>
      </c>
      <c r="X189" s="204" t="s">
        <v>406</v>
      </c>
    </row>
    <row r="190" spans="2:24">
      <c r="B190" s="659"/>
      <c r="C190" s="659"/>
      <c r="D190" s="237">
        <v>84</v>
      </c>
      <c r="E190" s="204" t="s">
        <v>545</v>
      </c>
      <c r="F190" s="205">
        <v>157.71899999999999</v>
      </c>
      <c r="G190" s="204">
        <v>36.095999999999997</v>
      </c>
      <c r="H190" s="204">
        <v>36.5</v>
      </c>
      <c r="I190" s="216">
        <f t="shared" si="18"/>
        <v>1.0111923758865249</v>
      </c>
      <c r="J190" s="204">
        <v>0</v>
      </c>
      <c r="K190" s="216">
        <f t="shared" si="19"/>
        <v>0</v>
      </c>
      <c r="L190" s="205">
        <v>525.73</v>
      </c>
      <c r="M190" s="216">
        <f t="shared" si="20"/>
        <v>1.0111923758865249</v>
      </c>
      <c r="N190" s="205">
        <v>212.39492000000183</v>
      </c>
      <c r="O190" s="204">
        <v>0.3</v>
      </c>
      <c r="P190" s="206">
        <v>8.3111702127659573E-3</v>
      </c>
      <c r="Q190" s="204">
        <v>0.10400000000000348</v>
      </c>
      <c r="R190" s="206">
        <v>2.8812056737589618E-3</v>
      </c>
      <c r="S190" s="205">
        <v>54.675920000001831</v>
      </c>
      <c r="T190" s="204" t="s">
        <v>405</v>
      </c>
      <c r="U190" s="204" t="s">
        <v>226</v>
      </c>
      <c r="V190" s="204"/>
      <c r="W190" s="211">
        <v>1</v>
      </c>
      <c r="X190" s="204" t="s">
        <v>517</v>
      </c>
    </row>
    <row r="191" spans="2:24">
      <c r="B191" s="659"/>
      <c r="C191" s="659"/>
      <c r="D191" s="237">
        <v>85</v>
      </c>
      <c r="E191" s="204" t="s">
        <v>416</v>
      </c>
      <c r="F191" s="205">
        <v>151.63800000000001</v>
      </c>
      <c r="G191" s="204">
        <v>18.648</v>
      </c>
      <c r="H191" s="204">
        <v>19</v>
      </c>
      <c r="I191" s="216">
        <f t="shared" si="18"/>
        <v>1.0188760188760189</v>
      </c>
      <c r="J191" s="204">
        <v>0</v>
      </c>
      <c r="K191" s="216">
        <f t="shared" si="19"/>
        <v>0</v>
      </c>
      <c r="L191" s="205">
        <v>758.19</v>
      </c>
      <c r="M191" s="216">
        <f t="shared" si="20"/>
        <v>1.0188760188760189</v>
      </c>
      <c r="N191" s="205">
        <v>266.88288000000028</v>
      </c>
      <c r="O191" s="204">
        <v>0.2</v>
      </c>
      <c r="P191" s="206">
        <v>1.0725010725010725E-2</v>
      </c>
      <c r="Q191" s="204">
        <v>0.1520000000000003</v>
      </c>
      <c r="R191" s="206">
        <v>8.1510081510081673E-3</v>
      </c>
      <c r="S191" s="205">
        <v>115.24488000000024</v>
      </c>
      <c r="T191" s="204" t="s">
        <v>405</v>
      </c>
      <c r="U191" s="204" t="s">
        <v>225</v>
      </c>
      <c r="V191" s="204"/>
      <c r="W191" s="211">
        <v>1</v>
      </c>
      <c r="X191" s="204" t="s">
        <v>417</v>
      </c>
    </row>
    <row r="192" spans="2:24">
      <c r="B192" s="659"/>
      <c r="C192" s="659"/>
      <c r="D192" s="237">
        <v>86</v>
      </c>
      <c r="E192" s="204" t="s">
        <v>565</v>
      </c>
      <c r="F192" s="205">
        <v>145.05199999999999</v>
      </c>
      <c r="G192" s="204">
        <v>46.192</v>
      </c>
      <c r="H192" s="204">
        <v>46.9</v>
      </c>
      <c r="I192" s="216">
        <f t="shared" si="18"/>
        <v>1.0153273294076897</v>
      </c>
      <c r="J192" s="204">
        <v>0</v>
      </c>
      <c r="K192" s="216">
        <f t="shared" si="19"/>
        <v>0</v>
      </c>
      <c r="L192" s="205">
        <v>362.63</v>
      </c>
      <c r="M192" s="216">
        <f t="shared" si="20"/>
        <v>1.0153273294076897</v>
      </c>
      <c r="N192" s="205">
        <v>256.74203999999941</v>
      </c>
      <c r="O192" s="204">
        <v>0.4</v>
      </c>
      <c r="P192" s="206">
        <v>8.6595081399376515E-3</v>
      </c>
      <c r="Q192" s="204">
        <v>0.30799999999999839</v>
      </c>
      <c r="R192" s="206">
        <v>6.6678212677519569E-3</v>
      </c>
      <c r="S192" s="205">
        <v>111.69003999999941</v>
      </c>
      <c r="T192" s="204" t="s">
        <v>402</v>
      </c>
      <c r="U192" s="204" t="s">
        <v>224</v>
      </c>
      <c r="V192" s="204"/>
      <c r="W192" s="211">
        <v>1</v>
      </c>
      <c r="X192" s="204" t="s">
        <v>566</v>
      </c>
    </row>
    <row r="193" spans="2:24">
      <c r="B193" s="659"/>
      <c r="C193" s="659"/>
      <c r="D193" s="237">
        <v>87</v>
      </c>
      <c r="E193" s="204" t="s">
        <v>521</v>
      </c>
      <c r="F193" s="205">
        <v>139.44000000000003</v>
      </c>
      <c r="G193" s="204">
        <v>15.252000000000001</v>
      </c>
      <c r="H193" s="204">
        <v>15.9</v>
      </c>
      <c r="I193" s="216">
        <f t="shared" si="18"/>
        <v>1.042486231313926</v>
      </c>
      <c r="J193" s="204">
        <v>0</v>
      </c>
      <c r="K193" s="216">
        <f t="shared" si="19"/>
        <v>0</v>
      </c>
      <c r="L193" s="205">
        <v>348.6</v>
      </c>
      <c r="M193" s="216">
        <f t="shared" si="20"/>
        <v>1.042486231313926</v>
      </c>
      <c r="N193" s="205">
        <v>225.89279999999991</v>
      </c>
      <c r="O193" s="204">
        <v>0.4</v>
      </c>
      <c r="P193" s="206">
        <v>2.6226068712300026E-2</v>
      </c>
      <c r="Q193" s="204">
        <v>0.24799999999999967</v>
      </c>
      <c r="R193" s="206">
        <v>1.6260162601625994E-2</v>
      </c>
      <c r="S193" s="205">
        <v>86.452799999999883</v>
      </c>
      <c r="T193" s="204" t="s">
        <v>419</v>
      </c>
      <c r="U193" s="204" t="s">
        <v>420</v>
      </c>
      <c r="V193" s="204"/>
      <c r="W193" s="211">
        <v>1</v>
      </c>
      <c r="X193" s="204" t="s">
        <v>470</v>
      </c>
    </row>
    <row r="194" spans="2:24">
      <c r="B194" s="659"/>
      <c r="C194" s="659"/>
      <c r="D194" s="237">
        <v>88</v>
      </c>
      <c r="E194" s="204" t="s">
        <v>407</v>
      </c>
      <c r="F194" s="205">
        <v>132.21600000000001</v>
      </c>
      <c r="G194" s="204">
        <v>75.733000000000004</v>
      </c>
      <c r="H194" s="204">
        <v>76.7</v>
      </c>
      <c r="I194" s="216">
        <f t="shared" si="18"/>
        <v>1.0127685421150621</v>
      </c>
      <c r="J194" s="204">
        <v>0</v>
      </c>
      <c r="K194" s="216">
        <f t="shared" si="19"/>
        <v>0</v>
      </c>
      <c r="L194" s="205">
        <v>330.54</v>
      </c>
      <c r="M194" s="216">
        <f t="shared" si="20"/>
        <v>1.0127685421150621</v>
      </c>
      <c r="N194" s="205">
        <v>319.63217999999961</v>
      </c>
      <c r="O194" s="204">
        <v>0.4</v>
      </c>
      <c r="P194" s="206">
        <v>5.2817133878230102E-3</v>
      </c>
      <c r="Q194" s="204">
        <v>0.56699999999999873</v>
      </c>
      <c r="R194" s="206">
        <v>7.4868287272390989E-3</v>
      </c>
      <c r="S194" s="205">
        <v>187.4161799999996</v>
      </c>
      <c r="T194" s="204" t="s">
        <v>405</v>
      </c>
      <c r="U194" s="204" t="s">
        <v>225</v>
      </c>
      <c r="V194" s="204"/>
      <c r="W194" s="211">
        <v>1</v>
      </c>
      <c r="X194" s="204" t="s">
        <v>408</v>
      </c>
    </row>
    <row r="195" spans="2:24">
      <c r="B195" s="659"/>
      <c r="C195" s="659"/>
      <c r="D195" s="237">
        <v>89</v>
      </c>
      <c r="E195" s="204" t="s">
        <v>577</v>
      </c>
      <c r="F195" s="205">
        <v>128.63999999999999</v>
      </c>
      <c r="G195" s="204">
        <v>3.6</v>
      </c>
      <c r="H195" s="204">
        <v>4.2</v>
      </c>
      <c r="I195" s="216">
        <f t="shared" si="18"/>
        <v>1.1666666666666667</v>
      </c>
      <c r="J195" s="204">
        <v>0</v>
      </c>
      <c r="K195" s="216">
        <f t="shared" si="19"/>
        <v>0</v>
      </c>
      <c r="L195" s="205">
        <v>428.8</v>
      </c>
      <c r="M195" s="216">
        <f t="shared" si="20"/>
        <v>1.1666666666666667</v>
      </c>
      <c r="N195" s="205">
        <v>257.28000000000003</v>
      </c>
      <c r="O195" s="204">
        <v>0.3</v>
      </c>
      <c r="P195" s="206">
        <v>8.3333333333333329E-2</v>
      </c>
      <c r="Q195" s="204">
        <v>0.3000000000000001</v>
      </c>
      <c r="R195" s="206">
        <v>8.3333333333333356E-2</v>
      </c>
      <c r="S195" s="205">
        <v>128.64000000000004</v>
      </c>
      <c r="T195" s="204" t="s">
        <v>537</v>
      </c>
      <c r="U195" s="204" t="s">
        <v>658</v>
      </c>
      <c r="V195" s="204"/>
      <c r="W195" s="211">
        <v>1</v>
      </c>
      <c r="X195" s="204" t="s">
        <v>438</v>
      </c>
    </row>
    <row r="196" spans="2:24">
      <c r="B196" s="659"/>
      <c r="C196" s="659"/>
      <c r="D196" s="237">
        <v>90</v>
      </c>
      <c r="E196" s="204" t="s">
        <v>547</v>
      </c>
      <c r="F196" s="205">
        <v>127.738</v>
      </c>
      <c r="G196" s="204">
        <v>141.815</v>
      </c>
      <c r="H196" s="204">
        <v>144.1</v>
      </c>
      <c r="I196" s="216">
        <f t="shared" si="18"/>
        <v>1.0161125409864964</v>
      </c>
      <c r="J196" s="204">
        <v>0</v>
      </c>
      <c r="K196" s="216">
        <f t="shared" si="19"/>
        <v>0</v>
      </c>
      <c r="L196" s="205">
        <v>75.14</v>
      </c>
      <c r="M196" s="216">
        <f t="shared" si="20"/>
        <v>1.0161125409864964</v>
      </c>
      <c r="N196" s="205">
        <v>171.69489999999973</v>
      </c>
      <c r="O196" s="204">
        <v>1.7</v>
      </c>
      <c r="P196" s="206">
        <v>1.1987448436343123E-2</v>
      </c>
      <c r="Q196" s="204">
        <v>0.58499999999999663</v>
      </c>
      <c r="R196" s="206">
        <v>4.1250925501533451E-3</v>
      </c>
      <c r="S196" s="205">
        <v>43.956899999999749</v>
      </c>
      <c r="T196" s="204" t="s">
        <v>402</v>
      </c>
      <c r="U196" s="204" t="s">
        <v>224</v>
      </c>
      <c r="V196" s="204"/>
      <c r="W196" s="211">
        <v>1</v>
      </c>
      <c r="X196" s="204" t="s">
        <v>423</v>
      </c>
    </row>
    <row r="197" spans="2:24">
      <c r="B197" s="661">
        <v>45889</v>
      </c>
      <c r="C197" s="659" t="s">
        <v>286</v>
      </c>
      <c r="D197" s="237">
        <v>91</v>
      </c>
      <c r="E197" s="204" t="s">
        <v>659</v>
      </c>
      <c r="F197" s="205">
        <v>180.62800000000001</v>
      </c>
      <c r="G197" s="204">
        <v>181.05600000000001</v>
      </c>
      <c r="H197" s="204">
        <v>182.5</v>
      </c>
      <c r="I197" s="216">
        <f t="shared" si="18"/>
        <v>1.0079754330151998</v>
      </c>
      <c r="J197" s="204">
        <v>0</v>
      </c>
      <c r="K197" s="216">
        <f t="shared" si="19"/>
        <v>0</v>
      </c>
      <c r="L197" s="205">
        <v>258.04000000000002</v>
      </c>
      <c r="M197" s="216">
        <f t="shared" si="20"/>
        <v>1.0079754330151998</v>
      </c>
      <c r="N197" s="205">
        <v>372.60975999999704</v>
      </c>
      <c r="O197" s="204">
        <v>0.7</v>
      </c>
      <c r="P197" s="206">
        <v>3.8662071403322723E-3</v>
      </c>
      <c r="Q197" s="204">
        <v>0.74399999999998845</v>
      </c>
      <c r="R197" s="206">
        <v>4.1092258748673801E-3</v>
      </c>
      <c r="S197" s="205">
        <v>191.98175999999702</v>
      </c>
      <c r="T197" s="204" t="s">
        <v>402</v>
      </c>
      <c r="U197" s="204" t="s">
        <v>224</v>
      </c>
      <c r="V197" s="204"/>
      <c r="W197" s="211">
        <v>1</v>
      </c>
      <c r="X197" s="204" t="s">
        <v>660</v>
      </c>
    </row>
    <row r="198" spans="2:24">
      <c r="B198" s="659"/>
      <c r="C198" s="659"/>
      <c r="D198" s="237">
        <v>92</v>
      </c>
      <c r="E198" s="204" t="s">
        <v>563</v>
      </c>
      <c r="F198" s="205">
        <v>157.75200000000001</v>
      </c>
      <c r="G198" s="204">
        <v>10.25</v>
      </c>
      <c r="H198" s="204">
        <v>11</v>
      </c>
      <c r="I198" s="216">
        <f t="shared" si="18"/>
        <v>1.0731707317073171</v>
      </c>
      <c r="J198" s="204">
        <v>0</v>
      </c>
      <c r="K198" s="216">
        <f t="shared" si="19"/>
        <v>0</v>
      </c>
      <c r="L198" s="205">
        <v>394.38</v>
      </c>
      <c r="M198" s="216">
        <f t="shared" si="20"/>
        <v>1.0731707317073171</v>
      </c>
      <c r="N198" s="205">
        <v>295.78499999999997</v>
      </c>
      <c r="O198" s="204">
        <v>0.4</v>
      </c>
      <c r="P198" s="206">
        <v>3.9024390243902439E-2</v>
      </c>
      <c r="Q198" s="204">
        <v>0.35</v>
      </c>
      <c r="R198" s="206">
        <v>3.414634146341463E-2</v>
      </c>
      <c r="S198" s="205">
        <v>138.03299999999999</v>
      </c>
      <c r="T198" s="204" t="s">
        <v>402</v>
      </c>
      <c r="U198" s="204" t="s">
        <v>522</v>
      </c>
      <c r="V198" s="204"/>
      <c r="W198" s="211">
        <v>1</v>
      </c>
      <c r="X198" s="204" t="s">
        <v>504</v>
      </c>
    </row>
    <row r="199" spans="2:24">
      <c r="B199" s="659"/>
      <c r="C199" s="659"/>
      <c r="D199" s="237">
        <v>93</v>
      </c>
      <c r="E199" s="204" t="s">
        <v>545</v>
      </c>
      <c r="F199" s="205">
        <v>157.71899999999999</v>
      </c>
      <c r="G199" s="204">
        <v>37.68</v>
      </c>
      <c r="H199" s="204">
        <v>38.4</v>
      </c>
      <c r="I199" s="216">
        <f t="shared" si="18"/>
        <v>1.0191082802547771</v>
      </c>
      <c r="J199" s="204">
        <v>0</v>
      </c>
      <c r="K199" s="216">
        <f t="shared" si="19"/>
        <v>0</v>
      </c>
      <c r="L199" s="205">
        <v>525.73</v>
      </c>
      <c r="M199" s="216">
        <f t="shared" si="20"/>
        <v>1.0191082802547771</v>
      </c>
      <c r="N199" s="205">
        <v>378.52559999999943</v>
      </c>
      <c r="O199" s="204">
        <v>0.3</v>
      </c>
      <c r="P199" s="206">
        <v>7.9617834394904458E-3</v>
      </c>
      <c r="Q199" s="204">
        <v>0.41999999999999887</v>
      </c>
      <c r="R199" s="206">
        <v>1.1146496815286594E-2</v>
      </c>
      <c r="S199" s="205">
        <v>220.80659999999941</v>
      </c>
      <c r="T199" s="204" t="s">
        <v>537</v>
      </c>
      <c r="U199" s="204" t="s">
        <v>658</v>
      </c>
      <c r="V199" s="204"/>
      <c r="W199" s="211">
        <v>1</v>
      </c>
      <c r="X199" s="204" t="s">
        <v>517</v>
      </c>
    </row>
    <row r="200" spans="2:24">
      <c r="B200" s="659"/>
      <c r="C200" s="659"/>
      <c r="D200" s="237">
        <v>94</v>
      </c>
      <c r="E200" s="204" t="s">
        <v>530</v>
      </c>
      <c r="F200" s="205">
        <v>149.58699999999999</v>
      </c>
      <c r="G200" s="204">
        <v>338.22</v>
      </c>
      <c r="H200" s="204">
        <v>340.5</v>
      </c>
      <c r="I200" s="216">
        <f t="shared" ref="I200:I263" si="21">H200/G200</f>
        <v>1.0067411743835373</v>
      </c>
      <c r="J200" s="204">
        <v>0</v>
      </c>
      <c r="K200" s="216">
        <f t="shared" ref="K200:K263" si="22">J200/G200</f>
        <v>0</v>
      </c>
      <c r="L200" s="205">
        <v>78.73</v>
      </c>
      <c r="M200" s="216">
        <f t="shared" ref="M200:M263" si="23">(H200+J200)/G200</f>
        <v>1.0067411743835373</v>
      </c>
      <c r="N200" s="205">
        <v>179.50439999999787</v>
      </c>
      <c r="O200" s="204">
        <v>1.9</v>
      </c>
      <c r="P200" s="206">
        <v>5.6176453196144513E-3</v>
      </c>
      <c r="Q200" s="204">
        <v>0.3799999999999728</v>
      </c>
      <c r="R200" s="206">
        <v>1.12352906392281E-3</v>
      </c>
      <c r="S200" s="205">
        <v>29.917399999997862</v>
      </c>
      <c r="T200" s="204" t="s">
        <v>402</v>
      </c>
      <c r="U200" s="204" t="s">
        <v>224</v>
      </c>
      <c r="V200" s="204"/>
      <c r="W200" s="211">
        <v>1</v>
      </c>
      <c r="X200" s="204" t="s">
        <v>478</v>
      </c>
    </row>
    <row r="201" spans="2:24">
      <c r="B201" s="659"/>
      <c r="C201" s="659"/>
      <c r="D201" s="237">
        <v>95</v>
      </c>
      <c r="E201" s="204" t="s">
        <v>588</v>
      </c>
      <c r="F201" s="205">
        <v>148.21600000000001</v>
      </c>
      <c r="G201" s="204">
        <v>7.1440000000000001</v>
      </c>
      <c r="H201" s="204">
        <v>7.7</v>
      </c>
      <c r="I201" s="216">
        <f t="shared" si="21"/>
        <v>1.0778275475923853</v>
      </c>
      <c r="J201" s="204">
        <v>0</v>
      </c>
      <c r="K201" s="216">
        <f t="shared" si="22"/>
        <v>0</v>
      </c>
      <c r="L201" s="205">
        <v>370.54</v>
      </c>
      <c r="M201" s="216">
        <f t="shared" si="23"/>
        <v>1.0778275475923853</v>
      </c>
      <c r="N201" s="205">
        <v>206.02024000000003</v>
      </c>
      <c r="O201" s="204">
        <v>0.4</v>
      </c>
      <c r="P201" s="206">
        <v>5.5991041433370664E-2</v>
      </c>
      <c r="Q201" s="204">
        <v>0.15600000000000003</v>
      </c>
      <c r="R201" s="206">
        <v>2.1836506159014561E-2</v>
      </c>
      <c r="S201" s="205">
        <v>57.804240000000014</v>
      </c>
      <c r="T201" s="204" t="s">
        <v>537</v>
      </c>
      <c r="U201" s="204" t="s">
        <v>658</v>
      </c>
      <c r="V201" s="204"/>
      <c r="W201" s="211">
        <v>1</v>
      </c>
      <c r="X201" s="204" t="s">
        <v>455</v>
      </c>
    </row>
    <row r="202" spans="2:24">
      <c r="B202" s="659"/>
      <c r="C202" s="659"/>
      <c r="D202" s="237">
        <v>96</v>
      </c>
      <c r="E202" s="204" t="s">
        <v>565</v>
      </c>
      <c r="F202" s="205">
        <v>145.05199999999999</v>
      </c>
      <c r="G202" s="204">
        <v>46.064</v>
      </c>
      <c r="H202" s="204">
        <v>46.8</v>
      </c>
      <c r="I202" s="216">
        <f t="shared" si="21"/>
        <v>1.0159777700590482</v>
      </c>
      <c r="J202" s="204">
        <v>0</v>
      </c>
      <c r="K202" s="216">
        <f t="shared" si="22"/>
        <v>0</v>
      </c>
      <c r="L202" s="205">
        <v>362.63</v>
      </c>
      <c r="M202" s="216">
        <f t="shared" si="23"/>
        <v>1.0159777700590482</v>
      </c>
      <c r="N202" s="205">
        <v>266.89567999999895</v>
      </c>
      <c r="O202" s="204">
        <v>0.4</v>
      </c>
      <c r="P202" s="206">
        <v>8.6835706842653699E-3</v>
      </c>
      <c r="Q202" s="204">
        <v>0.33599999999999708</v>
      </c>
      <c r="R202" s="206">
        <v>7.2941993747828475E-3</v>
      </c>
      <c r="S202" s="205">
        <v>121.84367999999894</v>
      </c>
      <c r="T202" s="204" t="s">
        <v>402</v>
      </c>
      <c r="U202" s="204" t="s">
        <v>224</v>
      </c>
      <c r="V202" s="204"/>
      <c r="W202" s="211">
        <v>1</v>
      </c>
      <c r="X202" s="204" t="s">
        <v>566</v>
      </c>
    </row>
    <row r="203" spans="2:24">
      <c r="B203" s="659"/>
      <c r="C203" s="659"/>
      <c r="D203" s="237">
        <v>97</v>
      </c>
      <c r="E203" s="204" t="s">
        <v>661</v>
      </c>
      <c r="F203" s="205">
        <v>144.60599999999999</v>
      </c>
      <c r="G203" s="204">
        <v>27.263999999999999</v>
      </c>
      <c r="H203" s="204">
        <v>28.3</v>
      </c>
      <c r="I203" s="216">
        <f t="shared" si="21"/>
        <v>1.0379988262910798</v>
      </c>
      <c r="J203" s="204">
        <v>0</v>
      </c>
      <c r="K203" s="216">
        <f t="shared" si="22"/>
        <v>0</v>
      </c>
      <c r="L203" s="205">
        <v>241.01</v>
      </c>
      <c r="M203" s="216">
        <f t="shared" si="23"/>
        <v>1.0379988262910798</v>
      </c>
      <c r="N203" s="205">
        <v>249.68636000000032</v>
      </c>
      <c r="O203" s="204">
        <v>0.6</v>
      </c>
      <c r="P203" s="206">
        <v>2.2007042253521125E-2</v>
      </c>
      <c r="Q203" s="204">
        <v>0.43600000000000139</v>
      </c>
      <c r="R203" s="206">
        <v>1.5991784037558736E-2</v>
      </c>
      <c r="S203" s="205">
        <v>105.08036000000033</v>
      </c>
      <c r="T203" s="204" t="s">
        <v>405</v>
      </c>
      <c r="U203" s="204" t="s">
        <v>225</v>
      </c>
      <c r="V203" s="204"/>
      <c r="W203" s="211">
        <v>1</v>
      </c>
      <c r="X203" s="204" t="s">
        <v>454</v>
      </c>
    </row>
    <row r="204" spans="2:24">
      <c r="B204" s="659"/>
      <c r="C204" s="659"/>
      <c r="D204" s="237">
        <v>98</v>
      </c>
      <c r="E204" s="204" t="s">
        <v>569</v>
      </c>
      <c r="F204" s="205">
        <v>142.137</v>
      </c>
      <c r="G204" s="204">
        <v>67.251999999999995</v>
      </c>
      <c r="H204" s="204">
        <v>68.2</v>
      </c>
      <c r="I204" s="216">
        <f t="shared" si="21"/>
        <v>1.0140962350562066</v>
      </c>
      <c r="J204" s="204">
        <v>0</v>
      </c>
      <c r="K204" s="216">
        <f t="shared" si="22"/>
        <v>0</v>
      </c>
      <c r="L204" s="205">
        <v>473.79</v>
      </c>
      <c r="M204" s="216">
        <f t="shared" si="23"/>
        <v>1.0140962350562066</v>
      </c>
      <c r="N204" s="205">
        <v>449.15292000000358</v>
      </c>
      <c r="O204" s="204">
        <v>0.3</v>
      </c>
      <c r="P204" s="206">
        <v>4.4608338785463632E-3</v>
      </c>
      <c r="Q204" s="204">
        <v>0.64800000000000746</v>
      </c>
      <c r="R204" s="206">
        <v>9.6354011776602563E-3</v>
      </c>
      <c r="S204" s="205">
        <v>307.01592000000358</v>
      </c>
      <c r="T204" s="204" t="s">
        <v>537</v>
      </c>
      <c r="U204" s="204" t="s">
        <v>658</v>
      </c>
      <c r="V204" s="204"/>
      <c r="W204" s="211">
        <v>1</v>
      </c>
      <c r="X204" s="204" t="s">
        <v>423</v>
      </c>
    </row>
    <row r="205" spans="2:24">
      <c r="B205" s="659"/>
      <c r="C205" s="659"/>
      <c r="D205" s="237">
        <v>99</v>
      </c>
      <c r="E205" s="204" t="s">
        <v>524</v>
      </c>
      <c r="F205" s="205">
        <v>136.44</v>
      </c>
      <c r="G205" s="204">
        <v>54.72</v>
      </c>
      <c r="H205" s="204">
        <v>56.1</v>
      </c>
      <c r="I205" s="216">
        <f t="shared" si="21"/>
        <v>1.0252192982456141</v>
      </c>
      <c r="J205" s="204">
        <v>0</v>
      </c>
      <c r="K205" s="216">
        <f t="shared" si="22"/>
        <v>0</v>
      </c>
      <c r="L205" s="205">
        <v>151.6</v>
      </c>
      <c r="M205" s="216">
        <f t="shared" si="23"/>
        <v>1.0252192982456141</v>
      </c>
      <c r="N205" s="205">
        <v>209.20800000000037</v>
      </c>
      <c r="O205" s="204">
        <v>0.9</v>
      </c>
      <c r="P205" s="206">
        <v>1.6447368421052631E-2</v>
      </c>
      <c r="Q205" s="204">
        <v>0.48000000000000254</v>
      </c>
      <c r="R205" s="206">
        <v>8.7719298245614499E-3</v>
      </c>
      <c r="S205" s="205">
        <v>72.768000000000384</v>
      </c>
      <c r="T205" s="204" t="s">
        <v>402</v>
      </c>
      <c r="U205" s="204" t="s">
        <v>224</v>
      </c>
      <c r="V205" s="204"/>
      <c r="W205" s="211">
        <v>1</v>
      </c>
      <c r="X205" s="204" t="s">
        <v>493</v>
      </c>
    </row>
    <row r="206" spans="2:24">
      <c r="B206" s="659"/>
      <c r="C206" s="659"/>
      <c r="D206" s="237">
        <v>100</v>
      </c>
      <c r="E206" s="204" t="s">
        <v>547</v>
      </c>
      <c r="F206" s="205">
        <v>135.25200000000001</v>
      </c>
      <c r="G206" s="204">
        <v>136.72499999999999</v>
      </c>
      <c r="H206" s="204">
        <v>139</v>
      </c>
      <c r="I206" s="216">
        <f t="shared" si="21"/>
        <v>1.0166392393490584</v>
      </c>
      <c r="J206" s="204">
        <v>0</v>
      </c>
      <c r="K206" s="216">
        <f t="shared" si="22"/>
        <v>0</v>
      </c>
      <c r="L206" s="205">
        <v>75.14</v>
      </c>
      <c r="M206" s="216">
        <f t="shared" si="23"/>
        <v>1.0166392393490584</v>
      </c>
      <c r="N206" s="205">
        <v>170.94350000000043</v>
      </c>
      <c r="O206" s="204">
        <v>1.8</v>
      </c>
      <c r="P206" s="206">
        <v>1.3165112452002196E-2</v>
      </c>
      <c r="Q206" s="204">
        <v>0.47500000000000564</v>
      </c>
      <c r="R206" s="206">
        <v>3.474126897056176E-3</v>
      </c>
      <c r="S206" s="205">
        <v>35.691500000000424</v>
      </c>
      <c r="T206" s="204" t="s">
        <v>402</v>
      </c>
      <c r="U206" s="204" t="s">
        <v>224</v>
      </c>
      <c r="V206" s="204"/>
      <c r="W206" s="211">
        <v>1</v>
      </c>
      <c r="X206" s="204" t="s">
        <v>423</v>
      </c>
    </row>
    <row r="207" spans="2:24">
      <c r="B207" s="661">
        <v>45890</v>
      </c>
      <c r="C207" s="659" t="s">
        <v>287</v>
      </c>
      <c r="D207" s="237">
        <v>101</v>
      </c>
      <c r="E207" s="204" t="s">
        <v>591</v>
      </c>
      <c r="F207" s="205">
        <v>155.215</v>
      </c>
      <c r="G207" s="204">
        <v>18.356999999999999</v>
      </c>
      <c r="H207" s="204">
        <v>19.3</v>
      </c>
      <c r="I207" s="216">
        <f t="shared" si="21"/>
        <v>1.0513700495723703</v>
      </c>
      <c r="J207" s="204">
        <v>0</v>
      </c>
      <c r="K207" s="216">
        <f t="shared" si="22"/>
        <v>0</v>
      </c>
      <c r="L207" s="205">
        <v>310.43</v>
      </c>
      <c r="M207" s="216">
        <f t="shared" si="23"/>
        <v>1.0513700495723703</v>
      </c>
      <c r="N207" s="205">
        <v>292.73549000000042</v>
      </c>
      <c r="O207" s="204">
        <v>0.5</v>
      </c>
      <c r="P207" s="206">
        <v>2.7237566051097676E-2</v>
      </c>
      <c r="Q207" s="204">
        <v>0.44300000000000139</v>
      </c>
      <c r="R207" s="206">
        <v>2.4132483521272615E-2</v>
      </c>
      <c r="S207" s="205">
        <v>137.52049000000042</v>
      </c>
      <c r="T207" s="204" t="s">
        <v>402</v>
      </c>
      <c r="U207" s="204" t="s">
        <v>224</v>
      </c>
      <c r="V207" s="204"/>
      <c r="W207" s="211">
        <v>1</v>
      </c>
      <c r="X207" s="204" t="s">
        <v>403</v>
      </c>
    </row>
    <row r="208" spans="2:24">
      <c r="B208" s="659"/>
      <c r="C208" s="659"/>
      <c r="D208" s="237">
        <v>102</v>
      </c>
      <c r="E208" s="204" t="s">
        <v>588</v>
      </c>
      <c r="F208" s="205">
        <v>148.21600000000001</v>
      </c>
      <c r="G208" s="204">
        <v>6.72</v>
      </c>
      <c r="H208" s="204">
        <v>7.6</v>
      </c>
      <c r="I208" s="216">
        <f t="shared" si="21"/>
        <v>1.1309523809523809</v>
      </c>
      <c r="J208" s="204">
        <v>0</v>
      </c>
      <c r="K208" s="216">
        <f t="shared" si="22"/>
        <v>0</v>
      </c>
      <c r="L208" s="205">
        <v>370.54</v>
      </c>
      <c r="M208" s="216">
        <f t="shared" si="23"/>
        <v>1.1309523809523809</v>
      </c>
      <c r="N208" s="205">
        <v>326.0752</v>
      </c>
      <c r="O208" s="204">
        <v>0.4</v>
      </c>
      <c r="P208" s="206">
        <v>5.9523809523809527E-2</v>
      </c>
      <c r="Q208" s="204">
        <v>0.47999999999999987</v>
      </c>
      <c r="R208" s="206">
        <v>7.1428571428571411E-2</v>
      </c>
      <c r="S208" s="205">
        <v>177.85919999999996</v>
      </c>
      <c r="T208" s="204" t="s">
        <v>419</v>
      </c>
      <c r="U208" s="204" t="s">
        <v>420</v>
      </c>
      <c r="V208" s="204"/>
      <c r="W208" s="211">
        <v>1</v>
      </c>
      <c r="X208" s="204" t="s">
        <v>455</v>
      </c>
    </row>
    <row r="209" spans="2:24">
      <c r="B209" s="659"/>
      <c r="C209" s="659"/>
      <c r="D209" s="237">
        <v>103</v>
      </c>
      <c r="E209" s="204" t="s">
        <v>608</v>
      </c>
      <c r="F209" s="205">
        <v>145.42500000000001</v>
      </c>
      <c r="G209" s="204">
        <v>32.869999999999997</v>
      </c>
      <c r="H209" s="204">
        <v>33.700000000000003</v>
      </c>
      <c r="I209" s="216">
        <f t="shared" si="21"/>
        <v>1.0252509887435353</v>
      </c>
      <c r="J209" s="204">
        <v>0</v>
      </c>
      <c r="K209" s="216">
        <f t="shared" si="22"/>
        <v>0</v>
      </c>
      <c r="L209" s="205">
        <v>290.85000000000002</v>
      </c>
      <c r="M209" s="216">
        <f t="shared" si="23"/>
        <v>1.0252509887435353</v>
      </c>
      <c r="N209" s="205">
        <v>241.40550000000158</v>
      </c>
      <c r="O209" s="204">
        <v>0.5</v>
      </c>
      <c r="P209" s="206">
        <v>1.5211439002129602E-2</v>
      </c>
      <c r="Q209" s="204">
        <v>0.3300000000000054</v>
      </c>
      <c r="R209" s="206">
        <v>1.0039549741405702E-2</v>
      </c>
      <c r="S209" s="205">
        <v>95.980500000001584</v>
      </c>
      <c r="T209" s="204" t="s">
        <v>402</v>
      </c>
      <c r="U209" s="204" t="s">
        <v>224</v>
      </c>
      <c r="V209" s="204"/>
      <c r="W209" s="211">
        <v>1</v>
      </c>
      <c r="X209" s="204" t="s">
        <v>448</v>
      </c>
    </row>
    <row r="210" spans="2:24">
      <c r="B210" s="659"/>
      <c r="C210" s="659"/>
      <c r="D210" s="237">
        <v>104</v>
      </c>
      <c r="E210" s="204" t="s">
        <v>569</v>
      </c>
      <c r="F210" s="205">
        <v>142.137</v>
      </c>
      <c r="G210" s="204">
        <v>59.247999999999998</v>
      </c>
      <c r="H210" s="204">
        <v>60.1</v>
      </c>
      <c r="I210" s="216">
        <f t="shared" si="21"/>
        <v>1.0143802322441264</v>
      </c>
      <c r="J210" s="204">
        <v>0</v>
      </c>
      <c r="K210" s="216">
        <f t="shared" si="22"/>
        <v>0</v>
      </c>
      <c r="L210" s="205">
        <v>473.79</v>
      </c>
      <c r="M210" s="216">
        <f t="shared" si="23"/>
        <v>1.0143802322441264</v>
      </c>
      <c r="N210" s="205">
        <v>403.66908000000183</v>
      </c>
      <c r="O210" s="204">
        <v>0.3</v>
      </c>
      <c r="P210" s="206">
        <v>5.0634620577909807E-3</v>
      </c>
      <c r="Q210" s="204">
        <v>0.55200000000000382</v>
      </c>
      <c r="R210" s="206">
        <v>9.3167701863354681E-3</v>
      </c>
      <c r="S210" s="205">
        <v>261.53208000000183</v>
      </c>
      <c r="T210" s="204" t="s">
        <v>402</v>
      </c>
      <c r="U210" s="204" t="s">
        <v>224</v>
      </c>
      <c r="V210" s="204"/>
      <c r="W210" s="211">
        <v>1</v>
      </c>
      <c r="X210" s="204" t="s">
        <v>423</v>
      </c>
    </row>
    <row r="211" spans="2:24">
      <c r="B211" s="659"/>
      <c r="C211" s="659"/>
      <c r="D211" s="237">
        <v>105</v>
      </c>
      <c r="E211" s="204" t="s">
        <v>530</v>
      </c>
      <c r="F211" s="205">
        <v>141.714</v>
      </c>
      <c r="G211" s="204">
        <v>318.24</v>
      </c>
      <c r="H211" s="204">
        <v>321.7</v>
      </c>
      <c r="I211" s="216">
        <f t="shared" si="21"/>
        <v>1.0108722976370035</v>
      </c>
      <c r="J211" s="204">
        <v>0</v>
      </c>
      <c r="K211" s="216">
        <f t="shared" si="22"/>
        <v>0</v>
      </c>
      <c r="L211" s="205">
        <v>78.73</v>
      </c>
      <c r="M211" s="216">
        <f t="shared" si="23"/>
        <v>1.0108722976370035</v>
      </c>
      <c r="N211" s="205">
        <v>272.40579999999841</v>
      </c>
      <c r="O211" s="204">
        <v>1.8</v>
      </c>
      <c r="P211" s="206">
        <v>5.6561085972850677E-3</v>
      </c>
      <c r="Q211" s="204">
        <v>1.6599999999999795</v>
      </c>
      <c r="R211" s="206">
        <v>5.216189039718387E-3</v>
      </c>
      <c r="S211" s="205">
        <v>130.69179999999838</v>
      </c>
      <c r="T211" s="204" t="s">
        <v>402</v>
      </c>
      <c r="U211" s="204" t="s">
        <v>224</v>
      </c>
      <c r="V211" s="204"/>
      <c r="W211" s="211">
        <v>1</v>
      </c>
      <c r="X211" s="204" t="s">
        <v>478</v>
      </c>
    </row>
    <row r="212" spans="2:24">
      <c r="B212" s="659"/>
      <c r="C212" s="659"/>
      <c r="D212" s="237">
        <v>106</v>
      </c>
      <c r="E212" s="204" t="s">
        <v>521</v>
      </c>
      <c r="F212" s="205">
        <v>139.44000000000003</v>
      </c>
      <c r="G212" s="204">
        <v>13.324999999999999</v>
      </c>
      <c r="H212" s="204">
        <v>14.3</v>
      </c>
      <c r="I212" s="216">
        <f t="shared" si="21"/>
        <v>1.0731707317073171</v>
      </c>
      <c r="J212" s="204">
        <v>0</v>
      </c>
      <c r="K212" s="216">
        <f t="shared" si="22"/>
        <v>0</v>
      </c>
      <c r="L212" s="205">
        <v>348.6</v>
      </c>
      <c r="M212" s="216">
        <f t="shared" si="23"/>
        <v>1.0731707317073171</v>
      </c>
      <c r="N212" s="205">
        <v>339.8850000000005</v>
      </c>
      <c r="O212" s="204">
        <v>0.4</v>
      </c>
      <c r="P212" s="206">
        <v>3.0018761726078803E-2</v>
      </c>
      <c r="Q212" s="204">
        <v>0.5750000000000014</v>
      </c>
      <c r="R212" s="206">
        <v>4.3151969981238381E-2</v>
      </c>
      <c r="S212" s="205">
        <v>200.4450000000005</v>
      </c>
      <c r="T212" s="204" t="s">
        <v>419</v>
      </c>
      <c r="U212" s="204" t="s">
        <v>522</v>
      </c>
      <c r="V212" s="204"/>
      <c r="W212" s="211">
        <v>1</v>
      </c>
      <c r="X212" s="204" t="s">
        <v>470</v>
      </c>
    </row>
    <row r="213" spans="2:24">
      <c r="B213" s="659"/>
      <c r="C213" s="659"/>
      <c r="D213" s="237">
        <v>107</v>
      </c>
      <c r="E213" s="204" t="s">
        <v>662</v>
      </c>
      <c r="F213" s="205">
        <v>135.48800000000003</v>
      </c>
      <c r="G213" s="204">
        <v>49.878999999999998</v>
      </c>
      <c r="H213" s="204">
        <v>51.2</v>
      </c>
      <c r="I213" s="216">
        <f t="shared" si="21"/>
        <v>1.0264840915014335</v>
      </c>
      <c r="J213" s="204">
        <v>0</v>
      </c>
      <c r="K213" s="216">
        <f t="shared" si="22"/>
        <v>0</v>
      </c>
      <c r="L213" s="205">
        <v>169.36</v>
      </c>
      <c r="M213" s="216">
        <f t="shared" si="23"/>
        <v>1.0264840915014335</v>
      </c>
      <c r="N213" s="205">
        <v>223.72456000000088</v>
      </c>
      <c r="O213" s="204">
        <v>0.8</v>
      </c>
      <c r="P213" s="206">
        <v>1.6038813929709898E-2</v>
      </c>
      <c r="Q213" s="204">
        <v>0.52100000000000501</v>
      </c>
      <c r="R213" s="206">
        <v>1.0445277571723671E-2</v>
      </c>
      <c r="S213" s="205">
        <v>88.23656000000085</v>
      </c>
      <c r="T213" s="204" t="s">
        <v>419</v>
      </c>
      <c r="U213" s="204" t="s">
        <v>420</v>
      </c>
      <c r="V213" s="204"/>
      <c r="W213" s="211">
        <v>1</v>
      </c>
      <c r="X213" s="204" t="s">
        <v>423</v>
      </c>
    </row>
    <row r="214" spans="2:24">
      <c r="B214" s="659"/>
      <c r="C214" s="659"/>
      <c r="D214" s="237">
        <v>108</v>
      </c>
      <c r="E214" s="204" t="s">
        <v>584</v>
      </c>
      <c r="F214" s="205">
        <v>135.29999999999998</v>
      </c>
      <c r="G214" s="204">
        <v>27.83</v>
      </c>
      <c r="H214" s="204">
        <v>28.6</v>
      </c>
      <c r="I214" s="216">
        <f t="shared" si="21"/>
        <v>1.0276679841897234</v>
      </c>
      <c r="J214" s="204">
        <v>0</v>
      </c>
      <c r="K214" s="216">
        <f t="shared" si="22"/>
        <v>0</v>
      </c>
      <c r="L214" s="205">
        <v>451</v>
      </c>
      <c r="M214" s="216">
        <f t="shared" si="23"/>
        <v>1.0276679841897234</v>
      </c>
      <c r="N214" s="205">
        <v>347.2700000000014</v>
      </c>
      <c r="O214" s="204">
        <v>0.3</v>
      </c>
      <c r="P214" s="206">
        <v>1.0779734099892203E-2</v>
      </c>
      <c r="Q214" s="204">
        <v>0.47000000000000314</v>
      </c>
      <c r="R214" s="206">
        <v>1.688825008983123E-2</v>
      </c>
      <c r="S214" s="205">
        <v>211.97000000000142</v>
      </c>
      <c r="T214" s="204" t="s">
        <v>419</v>
      </c>
      <c r="U214" s="204" t="s">
        <v>522</v>
      </c>
      <c r="V214" s="204"/>
      <c r="W214" s="211">
        <v>1</v>
      </c>
      <c r="X214" s="204" t="s">
        <v>516</v>
      </c>
    </row>
    <row r="215" spans="2:24">
      <c r="B215" s="659"/>
      <c r="C215" s="659"/>
      <c r="D215" s="237">
        <v>109</v>
      </c>
      <c r="E215" s="204" t="s">
        <v>547</v>
      </c>
      <c r="F215" s="205">
        <v>135.25200000000001</v>
      </c>
      <c r="G215" s="204">
        <v>128.85499999999999</v>
      </c>
      <c r="H215" s="204">
        <v>131.9</v>
      </c>
      <c r="I215" s="216">
        <f t="shared" si="21"/>
        <v>1.0236312133793801</v>
      </c>
      <c r="J215" s="204">
        <v>0</v>
      </c>
      <c r="K215" s="216">
        <f t="shared" si="22"/>
        <v>0</v>
      </c>
      <c r="L215" s="205">
        <v>75.14</v>
      </c>
      <c r="M215" s="216">
        <f t="shared" si="23"/>
        <v>1.0236312133793801</v>
      </c>
      <c r="N215" s="205">
        <v>228.80130000000119</v>
      </c>
      <c r="O215" s="204">
        <v>1.8</v>
      </c>
      <c r="P215" s="206">
        <v>1.3969190175002911E-2</v>
      </c>
      <c r="Q215" s="204">
        <v>1.2450000000000159</v>
      </c>
      <c r="R215" s="206">
        <v>9.6620232043771372E-3</v>
      </c>
      <c r="S215" s="205">
        <v>93.549300000001196</v>
      </c>
      <c r="T215" s="204" t="s">
        <v>402</v>
      </c>
      <c r="U215" s="204" t="s">
        <v>224</v>
      </c>
      <c r="V215" s="204"/>
      <c r="W215" s="211">
        <v>1</v>
      </c>
      <c r="X215" s="204" t="s">
        <v>423</v>
      </c>
    </row>
    <row r="216" spans="2:24">
      <c r="B216" s="659"/>
      <c r="C216" s="659"/>
      <c r="D216" s="237">
        <v>110</v>
      </c>
      <c r="E216" s="204" t="s">
        <v>548</v>
      </c>
      <c r="F216" s="205">
        <v>134.80500000000001</v>
      </c>
      <c r="G216" s="204">
        <v>103.52500000000001</v>
      </c>
      <c r="H216" s="204">
        <v>106</v>
      </c>
      <c r="I216" s="216">
        <f t="shared" si="21"/>
        <v>1.0239072687756581</v>
      </c>
      <c r="J216" s="204">
        <v>0</v>
      </c>
      <c r="K216" s="216">
        <f t="shared" si="22"/>
        <v>0</v>
      </c>
      <c r="L216" s="205">
        <v>70.95</v>
      </c>
      <c r="M216" s="216">
        <f t="shared" si="23"/>
        <v>1.0239072687756581</v>
      </c>
      <c r="N216" s="205">
        <v>175.6012499999996</v>
      </c>
      <c r="O216" s="204">
        <v>1.9</v>
      </c>
      <c r="P216" s="206">
        <v>1.8353054817676889E-2</v>
      </c>
      <c r="Q216" s="204">
        <v>0.5749999999999944</v>
      </c>
      <c r="R216" s="206">
        <v>5.5542139579811099E-3</v>
      </c>
      <c r="S216" s="205">
        <v>40.796249999999603</v>
      </c>
      <c r="T216" s="204" t="s">
        <v>419</v>
      </c>
      <c r="U216" s="204" t="s">
        <v>522</v>
      </c>
      <c r="V216" s="204"/>
      <c r="W216" s="211">
        <v>1</v>
      </c>
      <c r="X216" s="204" t="s">
        <v>482</v>
      </c>
    </row>
    <row r="217" spans="2:24">
      <c r="B217" s="661">
        <v>45891</v>
      </c>
      <c r="C217" s="659" t="s">
        <v>270</v>
      </c>
      <c r="D217" s="237">
        <v>111</v>
      </c>
      <c r="E217" s="204" t="s">
        <v>545</v>
      </c>
      <c r="F217" s="205">
        <v>157.71899999999999</v>
      </c>
      <c r="G217" s="204">
        <v>29.568000000000001</v>
      </c>
      <c r="H217" s="204">
        <v>30.3</v>
      </c>
      <c r="I217" s="216">
        <f t="shared" si="21"/>
        <v>1.0247564935064934</v>
      </c>
      <c r="J217" s="204">
        <v>0</v>
      </c>
      <c r="K217" s="216">
        <f t="shared" si="22"/>
        <v>0</v>
      </c>
      <c r="L217" s="205">
        <v>525.73</v>
      </c>
      <c r="M217" s="216">
        <f t="shared" si="23"/>
        <v>1.0247564935064934</v>
      </c>
      <c r="N217" s="205">
        <v>384.83435999999966</v>
      </c>
      <c r="O217" s="204">
        <v>0.3</v>
      </c>
      <c r="P217" s="206">
        <v>1.0146103896103896E-2</v>
      </c>
      <c r="Q217" s="204">
        <v>0.43199999999999933</v>
      </c>
      <c r="R217" s="206">
        <v>1.4610389610389588E-2</v>
      </c>
      <c r="S217" s="205">
        <v>227.11535999999967</v>
      </c>
      <c r="T217" s="204" t="s">
        <v>402</v>
      </c>
      <c r="U217" s="204" t="s">
        <v>224</v>
      </c>
      <c r="V217" s="204"/>
      <c r="W217" s="211">
        <v>1</v>
      </c>
      <c r="X217" s="204" t="s">
        <v>517</v>
      </c>
    </row>
    <row r="218" spans="2:24">
      <c r="B218" s="659"/>
      <c r="C218" s="659"/>
      <c r="D218" s="237">
        <v>112</v>
      </c>
      <c r="E218" s="204" t="s">
        <v>426</v>
      </c>
      <c r="F218" s="205">
        <v>153.018</v>
      </c>
      <c r="G218" s="204">
        <v>139.84700000000001</v>
      </c>
      <c r="H218" s="204">
        <v>140.6</v>
      </c>
      <c r="I218" s="216">
        <f t="shared" si="21"/>
        <v>1.0053844558696288</v>
      </c>
      <c r="J218" s="204">
        <v>0</v>
      </c>
      <c r="K218" s="216">
        <f t="shared" si="22"/>
        <v>0</v>
      </c>
      <c r="L218" s="205">
        <v>510.06</v>
      </c>
      <c r="M218" s="216">
        <f t="shared" si="23"/>
        <v>1.0053844558696288</v>
      </c>
      <c r="N218" s="205">
        <v>384.07517999999283</v>
      </c>
      <c r="O218" s="204">
        <v>0.3</v>
      </c>
      <c r="P218" s="206">
        <v>2.1452015416848409E-3</v>
      </c>
      <c r="Q218" s="204">
        <v>0.45299999999998591</v>
      </c>
      <c r="R218" s="206">
        <v>3.2392543279440096E-3</v>
      </c>
      <c r="S218" s="205">
        <v>231.05717999999283</v>
      </c>
      <c r="T218" s="204" t="s">
        <v>402</v>
      </c>
      <c r="U218" s="204" t="s">
        <v>224</v>
      </c>
      <c r="V218" s="204"/>
      <c r="W218" s="211">
        <v>1</v>
      </c>
      <c r="X218" s="204" t="s">
        <v>423</v>
      </c>
    </row>
    <row r="219" spans="2:24">
      <c r="B219" s="659"/>
      <c r="C219" s="659"/>
      <c r="D219" s="237">
        <v>113</v>
      </c>
      <c r="E219" s="204" t="s">
        <v>407</v>
      </c>
      <c r="F219" s="205">
        <v>132.21600000000001</v>
      </c>
      <c r="G219" s="204">
        <v>68.510000000000005</v>
      </c>
      <c r="H219" s="204">
        <v>69.400000000000006</v>
      </c>
      <c r="I219" s="216">
        <f t="shared" si="21"/>
        <v>1.0129908042621516</v>
      </c>
      <c r="J219" s="204">
        <v>0</v>
      </c>
      <c r="K219" s="216">
        <f t="shared" si="22"/>
        <v>0</v>
      </c>
      <c r="L219" s="205">
        <v>330.54</v>
      </c>
      <c r="M219" s="216">
        <f t="shared" si="23"/>
        <v>1.0129908042621516</v>
      </c>
      <c r="N219" s="205">
        <v>294.1806000000002</v>
      </c>
      <c r="O219" s="204">
        <v>0.4</v>
      </c>
      <c r="P219" s="206">
        <v>5.8385637133265217E-3</v>
      </c>
      <c r="Q219" s="204">
        <v>0.49000000000000055</v>
      </c>
      <c r="R219" s="206">
        <v>7.1522405488249965E-3</v>
      </c>
      <c r="S219" s="205">
        <v>161.96460000000019</v>
      </c>
      <c r="T219" s="204" t="s">
        <v>405</v>
      </c>
      <c r="U219" s="204" t="s">
        <v>225</v>
      </c>
      <c r="V219" s="204"/>
      <c r="W219" s="211">
        <v>1</v>
      </c>
      <c r="X219" s="204" t="s">
        <v>408</v>
      </c>
    </row>
    <row r="220" spans="2:24">
      <c r="B220" s="659"/>
      <c r="C220" s="659"/>
      <c r="D220" s="237">
        <v>114</v>
      </c>
      <c r="E220" s="204" t="s">
        <v>558</v>
      </c>
      <c r="F220" s="205">
        <v>130.31400000000002</v>
      </c>
      <c r="G220" s="204">
        <v>16.488</v>
      </c>
      <c r="H220" s="204">
        <v>16.7</v>
      </c>
      <c r="I220" s="216">
        <f t="shared" si="21"/>
        <v>1.0128578360019407</v>
      </c>
      <c r="J220" s="204">
        <v>0</v>
      </c>
      <c r="K220" s="216">
        <f t="shared" si="22"/>
        <v>0</v>
      </c>
      <c r="L220" s="205">
        <v>651.57000000000005</v>
      </c>
      <c r="M220" s="216">
        <f t="shared" si="23"/>
        <v>1.0128578360019407</v>
      </c>
      <c r="N220" s="205">
        <v>138.13283999999985</v>
      </c>
      <c r="O220" s="204">
        <v>0.2</v>
      </c>
      <c r="P220" s="206">
        <v>1.2130033964095101E-2</v>
      </c>
      <c r="Q220" s="204">
        <v>1.1999999999999733E-2</v>
      </c>
      <c r="R220" s="206">
        <v>7.2780203784568985E-4</v>
      </c>
      <c r="S220" s="205">
        <v>7.8188399999998266</v>
      </c>
      <c r="T220" s="204" t="s">
        <v>402</v>
      </c>
      <c r="U220" s="204" t="s">
        <v>224</v>
      </c>
      <c r="V220" s="204"/>
      <c r="W220" s="211">
        <v>1</v>
      </c>
      <c r="X220" s="204" t="s">
        <v>559</v>
      </c>
    </row>
    <row r="221" spans="2:24">
      <c r="B221" s="659"/>
      <c r="C221" s="659"/>
      <c r="D221" s="237">
        <v>115</v>
      </c>
      <c r="E221" s="204" t="s">
        <v>663</v>
      </c>
      <c r="F221" s="205">
        <v>129.92000000000002</v>
      </c>
      <c r="G221" s="204">
        <v>1622</v>
      </c>
      <c r="H221" s="204">
        <v>1680</v>
      </c>
      <c r="I221" s="216">
        <f t="shared" si="21"/>
        <v>1.0357583230579532</v>
      </c>
      <c r="J221" s="204">
        <v>0</v>
      </c>
      <c r="K221" s="216">
        <f t="shared" si="22"/>
        <v>0</v>
      </c>
      <c r="L221" s="205">
        <v>2.2400000000000002</v>
      </c>
      <c r="M221" s="216">
        <f t="shared" si="23"/>
        <v>1.0357583230579532</v>
      </c>
      <c r="N221" s="205">
        <v>129.92000000000002</v>
      </c>
      <c r="O221" s="204">
        <v>58</v>
      </c>
      <c r="P221" s="206">
        <v>3.5758323057953144E-2</v>
      </c>
      <c r="Q221" s="204">
        <v>0</v>
      </c>
      <c r="R221" s="206">
        <v>0</v>
      </c>
      <c r="S221" s="205">
        <v>0</v>
      </c>
      <c r="T221" s="204" t="s">
        <v>405</v>
      </c>
      <c r="U221" s="204" t="s">
        <v>225</v>
      </c>
      <c r="V221" s="204"/>
      <c r="W221" s="211">
        <v>1</v>
      </c>
      <c r="X221" s="204" t="s">
        <v>486</v>
      </c>
    </row>
    <row r="222" spans="2:24">
      <c r="B222" s="659"/>
      <c r="C222" s="659"/>
      <c r="D222" s="237">
        <v>116</v>
      </c>
      <c r="E222" s="204" t="s">
        <v>659</v>
      </c>
      <c r="F222" s="205">
        <v>129.02000000000001</v>
      </c>
      <c r="G222" s="204">
        <v>134.464</v>
      </c>
      <c r="H222" s="204">
        <v>135.5</v>
      </c>
      <c r="I222" s="216">
        <f t="shared" si="21"/>
        <v>1.0077046644455021</v>
      </c>
      <c r="J222" s="204">
        <v>0</v>
      </c>
      <c r="K222" s="216">
        <f t="shared" si="22"/>
        <v>0</v>
      </c>
      <c r="L222" s="205">
        <v>258.04000000000002</v>
      </c>
      <c r="M222" s="216">
        <f t="shared" si="23"/>
        <v>1.0077046644455021</v>
      </c>
      <c r="N222" s="205">
        <v>267.32944000000037</v>
      </c>
      <c r="O222" s="204">
        <v>0.5</v>
      </c>
      <c r="P222" s="206">
        <v>3.7184673964778675E-3</v>
      </c>
      <c r="Q222" s="204">
        <v>0.53600000000000136</v>
      </c>
      <c r="R222" s="206">
        <v>3.9861970490242841E-3</v>
      </c>
      <c r="S222" s="205">
        <v>138.30944000000036</v>
      </c>
      <c r="T222" s="204" t="s">
        <v>402</v>
      </c>
      <c r="U222" s="204" t="s">
        <v>224</v>
      </c>
      <c r="V222" s="204"/>
      <c r="W222" s="211">
        <v>1</v>
      </c>
      <c r="X222" s="204" t="s">
        <v>660</v>
      </c>
    </row>
    <row r="223" spans="2:24">
      <c r="B223" s="659"/>
      <c r="C223" s="659"/>
      <c r="D223" s="237">
        <v>117</v>
      </c>
      <c r="E223" s="204" t="s">
        <v>577</v>
      </c>
      <c r="F223" s="205">
        <v>128.63999999999999</v>
      </c>
      <c r="G223" s="204">
        <v>2.73</v>
      </c>
      <c r="H223" s="204">
        <v>3.2</v>
      </c>
      <c r="I223" s="216">
        <f t="shared" si="21"/>
        <v>1.1721611721611722</v>
      </c>
      <c r="J223" s="204">
        <v>0</v>
      </c>
      <c r="K223" s="216">
        <f t="shared" si="22"/>
        <v>0</v>
      </c>
      <c r="L223" s="205">
        <v>428.8</v>
      </c>
      <c r="M223" s="216">
        <f t="shared" si="23"/>
        <v>1.1721611721611722</v>
      </c>
      <c r="N223" s="205">
        <v>201.53600000000009</v>
      </c>
      <c r="O223" s="204">
        <v>0.3</v>
      </c>
      <c r="P223" s="206">
        <v>0.10989010989010989</v>
      </c>
      <c r="Q223" s="204">
        <v>0.17000000000000021</v>
      </c>
      <c r="R223" s="206">
        <v>6.2271062271062348E-2</v>
      </c>
      <c r="S223" s="205">
        <v>72.896000000000086</v>
      </c>
      <c r="T223" s="204" t="s">
        <v>537</v>
      </c>
      <c r="U223" s="204" t="s">
        <v>658</v>
      </c>
      <c r="V223" s="204"/>
      <c r="W223" s="211">
        <v>1</v>
      </c>
      <c r="X223" s="204" t="s">
        <v>438</v>
      </c>
    </row>
    <row r="224" spans="2:24">
      <c r="B224" s="659"/>
      <c r="C224" s="659"/>
      <c r="D224" s="237">
        <v>118</v>
      </c>
      <c r="E224" s="204" t="s">
        <v>411</v>
      </c>
      <c r="F224" s="205">
        <v>127.22000000000001</v>
      </c>
      <c r="G224" s="204">
        <v>27.943999999999999</v>
      </c>
      <c r="H224" s="204">
        <v>28.9</v>
      </c>
      <c r="I224" s="216">
        <f t="shared" si="21"/>
        <v>1.0342112797022616</v>
      </c>
      <c r="J224" s="204">
        <v>0</v>
      </c>
      <c r="K224" s="216">
        <f t="shared" si="22"/>
        <v>0</v>
      </c>
      <c r="L224" s="205">
        <v>318.05</v>
      </c>
      <c r="M224" s="216">
        <f t="shared" si="23"/>
        <v>1.0342112797022616</v>
      </c>
      <c r="N224" s="205">
        <v>304.05579999999986</v>
      </c>
      <c r="O224" s="204">
        <v>0.4</v>
      </c>
      <c r="P224" s="206">
        <v>1.4314342971657602E-2</v>
      </c>
      <c r="Q224" s="204">
        <v>0.55599999999999949</v>
      </c>
      <c r="R224" s="206">
        <v>1.9896936730604046E-2</v>
      </c>
      <c r="S224" s="205">
        <v>176.83579999999984</v>
      </c>
      <c r="T224" s="204" t="s">
        <v>405</v>
      </c>
      <c r="U224" s="204" t="s">
        <v>225</v>
      </c>
      <c r="V224" s="204"/>
      <c r="W224" s="211">
        <v>1</v>
      </c>
      <c r="X224" s="204" t="s">
        <v>413</v>
      </c>
    </row>
    <row r="225" spans="2:24">
      <c r="B225" s="659"/>
      <c r="C225" s="659"/>
      <c r="D225" s="237">
        <v>119</v>
      </c>
      <c r="E225" s="204" t="s">
        <v>544</v>
      </c>
      <c r="F225" s="205">
        <v>126.75999999999999</v>
      </c>
      <c r="G225" s="204">
        <v>1.6559999999999999</v>
      </c>
      <c r="H225" s="204">
        <v>2.4</v>
      </c>
      <c r="I225" s="216">
        <f t="shared" si="21"/>
        <v>1.4492753623188406</v>
      </c>
      <c r="J225" s="204">
        <v>0</v>
      </c>
      <c r="K225" s="216">
        <f t="shared" si="22"/>
        <v>0</v>
      </c>
      <c r="L225" s="205">
        <v>316.89999999999998</v>
      </c>
      <c r="M225" s="216">
        <f t="shared" si="23"/>
        <v>1.4492753623188406</v>
      </c>
      <c r="N225" s="205">
        <v>235.77359999999999</v>
      </c>
      <c r="O225" s="204">
        <v>0.4</v>
      </c>
      <c r="P225" s="206">
        <v>0.24154589371980678</v>
      </c>
      <c r="Q225" s="204">
        <v>0.34399999999999997</v>
      </c>
      <c r="R225" s="206">
        <v>0.20772946859903382</v>
      </c>
      <c r="S225" s="205">
        <v>109.01359999999998</v>
      </c>
      <c r="T225" s="204" t="s">
        <v>419</v>
      </c>
      <c r="U225" s="204" t="s">
        <v>420</v>
      </c>
      <c r="V225" s="204"/>
      <c r="W225" s="211">
        <v>1</v>
      </c>
      <c r="X225" s="204" t="s">
        <v>492</v>
      </c>
    </row>
    <row r="226" spans="2:24">
      <c r="B226" s="659"/>
      <c r="C226" s="659"/>
      <c r="D226" s="237">
        <v>120</v>
      </c>
      <c r="E226" s="204" t="s">
        <v>664</v>
      </c>
      <c r="F226" s="205">
        <v>126.54</v>
      </c>
      <c r="G226" s="204">
        <v>44.3</v>
      </c>
      <c r="H226" s="204">
        <v>45.3</v>
      </c>
      <c r="I226" s="216">
        <f t="shared" si="21"/>
        <v>1.0225733634311513</v>
      </c>
      <c r="J226" s="204">
        <v>0</v>
      </c>
      <c r="K226" s="216">
        <f t="shared" si="22"/>
        <v>0</v>
      </c>
      <c r="L226" s="205">
        <v>253.08</v>
      </c>
      <c r="M226" s="216">
        <f t="shared" si="23"/>
        <v>1.0225733634311513</v>
      </c>
      <c r="N226" s="205">
        <v>253.08</v>
      </c>
      <c r="O226" s="204">
        <v>0.5</v>
      </c>
      <c r="P226" s="206">
        <v>1.1286681715575621E-2</v>
      </c>
      <c r="Q226" s="204">
        <v>0.5</v>
      </c>
      <c r="R226" s="206">
        <v>1.1286681715575621E-2</v>
      </c>
      <c r="S226" s="205">
        <v>126.54</v>
      </c>
      <c r="T226" s="204" t="s">
        <v>402</v>
      </c>
      <c r="U226" s="204" t="s">
        <v>224</v>
      </c>
      <c r="V226" s="204"/>
      <c r="W226" s="211">
        <v>1</v>
      </c>
      <c r="X226" s="204" t="s">
        <v>489</v>
      </c>
    </row>
    <row r="227" spans="2:24">
      <c r="B227" s="661">
        <v>45892</v>
      </c>
      <c r="C227" s="659" t="s">
        <v>288</v>
      </c>
      <c r="D227" s="237">
        <v>121</v>
      </c>
      <c r="E227" s="204" t="s">
        <v>426</v>
      </c>
      <c r="F227" s="205">
        <v>153.018</v>
      </c>
      <c r="G227" s="204">
        <v>131.23099999999999</v>
      </c>
      <c r="H227" s="204">
        <v>132</v>
      </c>
      <c r="I227" s="216">
        <f t="shared" si="21"/>
        <v>1.005859895908741</v>
      </c>
      <c r="J227" s="204">
        <v>0</v>
      </c>
      <c r="K227" s="216">
        <f t="shared" si="22"/>
        <v>0</v>
      </c>
      <c r="L227" s="205">
        <v>510.06</v>
      </c>
      <c r="M227" s="216">
        <f t="shared" si="23"/>
        <v>1.005859895908741</v>
      </c>
      <c r="N227" s="205">
        <v>392.23614000000276</v>
      </c>
      <c r="O227" s="204">
        <v>0.3</v>
      </c>
      <c r="P227" s="206">
        <v>2.2860452179744115E-3</v>
      </c>
      <c r="Q227" s="204">
        <v>0.46900000000000547</v>
      </c>
      <c r="R227" s="206">
        <v>3.5738506907667051E-3</v>
      </c>
      <c r="S227" s="205">
        <v>239.21814000000279</v>
      </c>
      <c r="T227" s="204" t="s">
        <v>405</v>
      </c>
      <c r="U227" s="204" t="s">
        <v>225</v>
      </c>
      <c r="V227" s="204"/>
      <c r="W227" s="211">
        <v>1</v>
      </c>
      <c r="X227" s="204" t="s">
        <v>423</v>
      </c>
    </row>
    <row r="228" spans="2:24">
      <c r="B228" s="659"/>
      <c r="C228" s="659"/>
      <c r="D228" s="237">
        <v>122</v>
      </c>
      <c r="E228" s="204" t="s">
        <v>594</v>
      </c>
      <c r="F228" s="205">
        <v>133.79600000000002</v>
      </c>
      <c r="G228" s="204">
        <v>46.878</v>
      </c>
      <c r="H228" s="204">
        <v>47.7</v>
      </c>
      <c r="I228" s="216">
        <f t="shared" si="21"/>
        <v>1.0175348777678228</v>
      </c>
      <c r="J228" s="204">
        <v>0</v>
      </c>
      <c r="K228" s="216">
        <f t="shared" si="22"/>
        <v>0</v>
      </c>
      <c r="L228" s="205">
        <v>334.49</v>
      </c>
      <c r="M228" s="216">
        <f t="shared" si="23"/>
        <v>1.0175348777678228</v>
      </c>
      <c r="N228" s="205">
        <v>274.95078000000092</v>
      </c>
      <c r="O228" s="204">
        <v>0.4</v>
      </c>
      <c r="P228" s="206">
        <v>8.5327872349502971E-3</v>
      </c>
      <c r="Q228" s="204">
        <v>0.42200000000000271</v>
      </c>
      <c r="R228" s="206">
        <v>9.0020905328726201E-3</v>
      </c>
      <c r="S228" s="205">
        <v>141.1547800000009</v>
      </c>
      <c r="T228" s="204" t="s">
        <v>402</v>
      </c>
      <c r="U228" s="204" t="s">
        <v>224</v>
      </c>
      <c r="V228" s="204"/>
      <c r="W228" s="211">
        <v>1</v>
      </c>
      <c r="X228" s="204" t="s">
        <v>478</v>
      </c>
    </row>
    <row r="229" spans="2:24">
      <c r="B229" s="659"/>
      <c r="C229" s="659"/>
      <c r="D229" s="237">
        <v>123</v>
      </c>
      <c r="E229" s="204" t="s">
        <v>558</v>
      </c>
      <c r="F229" s="205">
        <v>130.31400000000002</v>
      </c>
      <c r="G229" s="204">
        <v>16.692</v>
      </c>
      <c r="H229" s="204">
        <v>17.100000000000001</v>
      </c>
      <c r="I229" s="216">
        <f t="shared" si="21"/>
        <v>1.0244428468727536</v>
      </c>
      <c r="J229" s="204">
        <v>0</v>
      </c>
      <c r="K229" s="216">
        <f t="shared" si="22"/>
        <v>0</v>
      </c>
      <c r="L229" s="205">
        <v>651.57000000000005</v>
      </c>
      <c r="M229" s="216">
        <f t="shared" si="23"/>
        <v>1.0244428468727536</v>
      </c>
      <c r="N229" s="205">
        <v>265.84056000000083</v>
      </c>
      <c r="O229" s="204">
        <v>0.2</v>
      </c>
      <c r="P229" s="206">
        <v>1.1981787682722263E-2</v>
      </c>
      <c r="Q229" s="204">
        <v>0.20800000000000124</v>
      </c>
      <c r="R229" s="206">
        <v>1.2461059190031227E-2</v>
      </c>
      <c r="S229" s="205">
        <v>135.52656000000081</v>
      </c>
      <c r="T229" s="204" t="s">
        <v>402</v>
      </c>
      <c r="U229" s="204" t="s">
        <v>224</v>
      </c>
      <c r="V229" s="204"/>
      <c r="W229" s="211">
        <v>1</v>
      </c>
      <c r="X229" s="204" t="s">
        <v>559</v>
      </c>
    </row>
    <row r="230" spans="2:24">
      <c r="B230" s="659"/>
      <c r="C230" s="659"/>
      <c r="D230" s="237">
        <v>124</v>
      </c>
      <c r="E230" s="204" t="s">
        <v>404</v>
      </c>
      <c r="F230" s="205">
        <v>124.48499999999999</v>
      </c>
      <c r="G230" s="204">
        <v>10.808</v>
      </c>
      <c r="H230" s="204">
        <v>11.5</v>
      </c>
      <c r="I230" s="216">
        <f t="shared" si="21"/>
        <v>1.0640266469282014</v>
      </c>
      <c r="J230" s="204">
        <v>0</v>
      </c>
      <c r="K230" s="216">
        <f t="shared" si="22"/>
        <v>0</v>
      </c>
      <c r="L230" s="205">
        <v>414.95</v>
      </c>
      <c r="M230" s="216">
        <f t="shared" si="23"/>
        <v>1.0640266469282014</v>
      </c>
      <c r="N230" s="205">
        <v>287.14540000000005</v>
      </c>
      <c r="O230" s="204">
        <v>0.3</v>
      </c>
      <c r="P230" s="206">
        <v>2.7757216876387859E-2</v>
      </c>
      <c r="Q230" s="204">
        <v>0.39200000000000018</v>
      </c>
      <c r="R230" s="206">
        <v>3.6269430051813489E-2</v>
      </c>
      <c r="S230" s="205">
        <v>162.66040000000007</v>
      </c>
      <c r="T230" s="204" t="s">
        <v>419</v>
      </c>
      <c r="U230" s="204" t="s">
        <v>522</v>
      </c>
      <c r="V230" s="204"/>
      <c r="W230" s="211">
        <v>1</v>
      </c>
      <c r="X230" s="204" t="s">
        <v>406</v>
      </c>
    </row>
    <row r="231" spans="2:24">
      <c r="B231" s="659"/>
      <c r="C231" s="659"/>
      <c r="D231" s="237">
        <v>125</v>
      </c>
      <c r="E231" s="204" t="s">
        <v>591</v>
      </c>
      <c r="F231" s="205">
        <v>124.17200000000001</v>
      </c>
      <c r="G231" s="204">
        <v>20.792999999999999</v>
      </c>
      <c r="H231" s="204">
        <v>21.9</v>
      </c>
      <c r="I231" s="216">
        <f t="shared" si="21"/>
        <v>1.0532390708411485</v>
      </c>
      <c r="J231" s="204">
        <v>0</v>
      </c>
      <c r="K231" s="216">
        <f t="shared" si="22"/>
        <v>0</v>
      </c>
      <c r="L231" s="205">
        <v>310.43</v>
      </c>
      <c r="M231" s="216">
        <f t="shared" si="23"/>
        <v>1.0532390708411485</v>
      </c>
      <c r="N231" s="205">
        <v>343.64600999999982</v>
      </c>
      <c r="O231" s="204">
        <v>0.4</v>
      </c>
      <c r="P231" s="206">
        <v>1.9237243303034678E-2</v>
      </c>
      <c r="Q231" s="204">
        <v>0.7069999999999993</v>
      </c>
      <c r="R231" s="206">
        <v>3.4001827538113753E-2</v>
      </c>
      <c r="S231" s="205">
        <v>219.47400999999979</v>
      </c>
      <c r="T231" s="204" t="s">
        <v>402</v>
      </c>
      <c r="U231" s="204" t="s">
        <v>224</v>
      </c>
      <c r="V231" s="204"/>
      <c r="W231" s="211">
        <v>1</v>
      </c>
      <c r="X231" s="204" t="s">
        <v>403</v>
      </c>
    </row>
    <row r="232" spans="2:24">
      <c r="B232" s="659"/>
      <c r="C232" s="659"/>
      <c r="D232" s="237">
        <v>126</v>
      </c>
      <c r="E232" s="204" t="s">
        <v>585</v>
      </c>
      <c r="F232" s="205">
        <v>123.92399999999999</v>
      </c>
      <c r="G232" s="204">
        <v>8.4239999999999995</v>
      </c>
      <c r="H232" s="204">
        <v>8.4</v>
      </c>
      <c r="I232" s="216">
        <f t="shared" si="21"/>
        <v>0.99715099715099731</v>
      </c>
      <c r="J232" s="204">
        <v>0.6</v>
      </c>
      <c r="K232" s="216">
        <f t="shared" si="22"/>
        <v>7.1225071225071226E-2</v>
      </c>
      <c r="L232" s="205">
        <v>413.08</v>
      </c>
      <c r="M232" s="216">
        <f t="shared" si="23"/>
        <v>1.0683760683760684</v>
      </c>
      <c r="N232" s="205">
        <v>237.93408000000019</v>
      </c>
      <c r="O232" s="204">
        <v>0.3</v>
      </c>
      <c r="P232" s="206">
        <v>3.5612535612535613E-2</v>
      </c>
      <c r="Q232" s="204">
        <v>0.27600000000000052</v>
      </c>
      <c r="R232" s="206">
        <v>3.2763532763532825E-2</v>
      </c>
      <c r="S232" s="205">
        <v>114.01008000000022</v>
      </c>
      <c r="T232" s="204" t="s">
        <v>419</v>
      </c>
      <c r="U232" s="204" t="s">
        <v>522</v>
      </c>
      <c r="V232" s="204"/>
      <c r="W232" s="211">
        <v>1</v>
      </c>
      <c r="X232" s="204" t="s">
        <v>575</v>
      </c>
    </row>
    <row r="233" spans="2:24">
      <c r="B233" s="659"/>
      <c r="C233" s="659"/>
      <c r="D233" s="237">
        <v>127</v>
      </c>
      <c r="E233" s="204" t="s">
        <v>665</v>
      </c>
      <c r="F233" s="205">
        <v>122.14400000000001</v>
      </c>
      <c r="G233" s="204">
        <v>106.8</v>
      </c>
      <c r="H233" s="204">
        <v>109.2</v>
      </c>
      <c r="I233" s="216">
        <f t="shared" si="21"/>
        <v>1.0224719101123596</v>
      </c>
      <c r="J233" s="204">
        <v>0</v>
      </c>
      <c r="K233" s="216">
        <f t="shared" si="22"/>
        <v>0</v>
      </c>
      <c r="L233" s="205">
        <v>76.34</v>
      </c>
      <c r="M233" s="216">
        <f t="shared" si="23"/>
        <v>1.0224719101123596</v>
      </c>
      <c r="N233" s="205">
        <v>183.21600000000043</v>
      </c>
      <c r="O233" s="204">
        <v>1.6</v>
      </c>
      <c r="P233" s="206">
        <v>1.4981273408239702E-2</v>
      </c>
      <c r="Q233" s="204">
        <v>0.8000000000000056</v>
      </c>
      <c r="R233" s="206">
        <v>7.4906367041199032E-3</v>
      </c>
      <c r="S233" s="205">
        <v>61.072000000000429</v>
      </c>
      <c r="T233" s="204" t="s">
        <v>419</v>
      </c>
      <c r="U233" s="204" t="s">
        <v>522</v>
      </c>
      <c r="V233" s="204"/>
      <c r="W233" s="211">
        <v>1</v>
      </c>
      <c r="X233" s="204" t="s">
        <v>492</v>
      </c>
    </row>
    <row r="234" spans="2:24">
      <c r="B234" s="659"/>
      <c r="C234" s="659"/>
      <c r="D234" s="237">
        <v>128</v>
      </c>
      <c r="E234" s="204" t="s">
        <v>666</v>
      </c>
      <c r="F234" s="205">
        <v>121.88</v>
      </c>
      <c r="G234" s="204">
        <v>5.29</v>
      </c>
      <c r="H234" s="204">
        <v>5.8</v>
      </c>
      <c r="I234" s="216">
        <f t="shared" si="21"/>
        <v>1.0964083175803403</v>
      </c>
      <c r="J234" s="204">
        <v>0</v>
      </c>
      <c r="K234" s="216">
        <f t="shared" si="22"/>
        <v>0</v>
      </c>
      <c r="L234" s="205">
        <v>304.7</v>
      </c>
      <c r="M234" s="216">
        <f t="shared" si="23"/>
        <v>1.0964083175803403</v>
      </c>
      <c r="N234" s="205">
        <v>155.39699999999993</v>
      </c>
      <c r="O234" s="204">
        <v>0.4</v>
      </c>
      <c r="P234" s="206">
        <v>7.5614366729678639E-2</v>
      </c>
      <c r="Q234" s="204">
        <v>0.10999999999999976</v>
      </c>
      <c r="R234" s="206">
        <v>2.0793950850661581E-2</v>
      </c>
      <c r="S234" s="205">
        <v>33.516999999999925</v>
      </c>
      <c r="T234" s="204" t="s">
        <v>419</v>
      </c>
      <c r="U234" s="204" t="s">
        <v>420</v>
      </c>
      <c r="V234" s="204"/>
      <c r="W234" s="211">
        <v>1</v>
      </c>
      <c r="X234" s="204" t="s">
        <v>449</v>
      </c>
    </row>
    <row r="235" spans="2:24">
      <c r="B235" s="659"/>
      <c r="C235" s="659"/>
      <c r="D235" s="237">
        <v>129</v>
      </c>
      <c r="E235" s="204" t="s">
        <v>609</v>
      </c>
      <c r="F235" s="205">
        <v>120.52499999999999</v>
      </c>
      <c r="G235" s="204">
        <v>26.768000000000001</v>
      </c>
      <c r="H235" s="204">
        <v>27.4</v>
      </c>
      <c r="I235" s="216">
        <f t="shared" si="21"/>
        <v>1.0236102809324565</v>
      </c>
      <c r="J235" s="204">
        <v>0</v>
      </c>
      <c r="K235" s="216">
        <f t="shared" si="22"/>
        <v>0</v>
      </c>
      <c r="L235" s="205">
        <v>401.75</v>
      </c>
      <c r="M235" s="216">
        <f t="shared" si="23"/>
        <v>1.0236102809324565</v>
      </c>
      <c r="N235" s="205">
        <v>253.90599999999915</v>
      </c>
      <c r="O235" s="204">
        <v>0.3</v>
      </c>
      <c r="P235" s="206">
        <v>1.1207411835026897E-2</v>
      </c>
      <c r="Q235" s="204">
        <v>0.33199999999999791</v>
      </c>
      <c r="R235" s="206">
        <v>1.2402869097429688E-2</v>
      </c>
      <c r="S235" s="205">
        <v>133.38099999999915</v>
      </c>
      <c r="T235" s="204" t="s">
        <v>402</v>
      </c>
      <c r="U235" s="204" t="s">
        <v>224</v>
      </c>
      <c r="V235" s="204"/>
      <c r="W235" s="211">
        <v>1</v>
      </c>
      <c r="X235" s="204" t="s">
        <v>583</v>
      </c>
    </row>
    <row r="236" spans="2:24">
      <c r="B236" s="659"/>
      <c r="C236" s="659"/>
      <c r="D236" s="237">
        <v>130</v>
      </c>
      <c r="E236" s="204" t="s">
        <v>667</v>
      </c>
      <c r="F236" s="205">
        <v>120.07</v>
      </c>
      <c r="G236" s="204">
        <v>12.45</v>
      </c>
      <c r="H236" s="204">
        <v>14</v>
      </c>
      <c r="I236" s="216">
        <f t="shared" si="21"/>
        <v>1.1244979919678715</v>
      </c>
      <c r="J236" s="204">
        <v>0</v>
      </c>
      <c r="K236" s="216">
        <f t="shared" si="22"/>
        <v>0</v>
      </c>
      <c r="L236" s="205">
        <v>120.07</v>
      </c>
      <c r="M236" s="216">
        <f t="shared" si="23"/>
        <v>1.1244979919678715</v>
      </c>
      <c r="N236" s="205">
        <v>186.10850000000008</v>
      </c>
      <c r="O236" s="204">
        <v>1</v>
      </c>
      <c r="P236" s="206">
        <v>8.0321285140562249E-2</v>
      </c>
      <c r="Q236" s="204">
        <v>0.55000000000000071</v>
      </c>
      <c r="R236" s="206">
        <v>4.4176706827309294E-2</v>
      </c>
      <c r="S236" s="205">
        <v>66.038500000000084</v>
      </c>
      <c r="T236" s="204" t="s">
        <v>419</v>
      </c>
      <c r="U236" s="204" t="s">
        <v>420</v>
      </c>
      <c r="V236" s="204"/>
      <c r="W236" s="211">
        <v>1</v>
      </c>
      <c r="X236" s="204" t="s">
        <v>515</v>
      </c>
    </row>
    <row r="237" spans="2:24">
      <c r="B237" s="661">
        <v>45893</v>
      </c>
      <c r="C237" s="659" t="s">
        <v>284</v>
      </c>
      <c r="D237" s="237">
        <v>131</v>
      </c>
      <c r="E237" s="204" t="s">
        <v>524</v>
      </c>
      <c r="F237" s="205">
        <v>151.6</v>
      </c>
      <c r="G237" s="204">
        <v>55.008000000000003</v>
      </c>
      <c r="H237" s="204">
        <v>56.4</v>
      </c>
      <c r="I237" s="216">
        <f t="shared" si="21"/>
        <v>1.0253054101221639</v>
      </c>
      <c r="J237" s="204">
        <v>0</v>
      </c>
      <c r="K237" s="216">
        <f t="shared" si="22"/>
        <v>0</v>
      </c>
      <c r="L237" s="205">
        <v>151.6</v>
      </c>
      <c r="M237" s="216">
        <f t="shared" si="23"/>
        <v>1.0253054101221639</v>
      </c>
      <c r="N237" s="205">
        <v>211.02719999999937</v>
      </c>
      <c r="O237" s="204">
        <v>1</v>
      </c>
      <c r="P237" s="206">
        <v>1.8179173938336242E-2</v>
      </c>
      <c r="Q237" s="204">
        <v>0.39199999999999591</v>
      </c>
      <c r="R237" s="206">
        <v>7.1262361838277319E-3</v>
      </c>
      <c r="S237" s="205">
        <v>59.427199999999374</v>
      </c>
      <c r="T237" s="204" t="s">
        <v>419</v>
      </c>
      <c r="U237" s="204" t="s">
        <v>522</v>
      </c>
      <c r="V237" s="204"/>
      <c r="W237" s="211">
        <v>1</v>
      </c>
      <c r="X237" s="204" t="s">
        <v>493</v>
      </c>
    </row>
    <row r="238" spans="2:24">
      <c r="B238" s="659"/>
      <c r="C238" s="659"/>
      <c r="D238" s="237">
        <v>132</v>
      </c>
      <c r="E238" s="204" t="s">
        <v>561</v>
      </c>
      <c r="F238" s="205">
        <v>145.929</v>
      </c>
      <c r="G238" s="204">
        <v>80.045000000000002</v>
      </c>
      <c r="H238" s="204">
        <v>81.099999999999994</v>
      </c>
      <c r="I238" s="216">
        <f t="shared" si="21"/>
        <v>1.0131800862015115</v>
      </c>
      <c r="J238" s="204">
        <v>0</v>
      </c>
      <c r="K238" s="216">
        <f t="shared" si="22"/>
        <v>0</v>
      </c>
      <c r="L238" s="205">
        <v>208.47</v>
      </c>
      <c r="M238" s="216">
        <f t="shared" si="23"/>
        <v>1.0131800862015115</v>
      </c>
      <c r="N238" s="205">
        <v>219.93584999999845</v>
      </c>
      <c r="O238" s="204">
        <v>0.7</v>
      </c>
      <c r="P238" s="206">
        <v>8.7450808919982501E-3</v>
      </c>
      <c r="Q238" s="204">
        <v>0.35499999999999265</v>
      </c>
      <c r="R238" s="206">
        <v>4.435005309513307E-3</v>
      </c>
      <c r="S238" s="205">
        <v>74.006849999998465</v>
      </c>
      <c r="T238" s="204" t="s">
        <v>402</v>
      </c>
      <c r="U238" s="204" t="s">
        <v>224</v>
      </c>
      <c r="V238" s="204"/>
      <c r="W238" s="211">
        <v>1</v>
      </c>
      <c r="X238" s="204" t="s">
        <v>492</v>
      </c>
    </row>
    <row r="239" spans="2:24">
      <c r="B239" s="659"/>
      <c r="C239" s="659"/>
      <c r="D239" s="237">
        <v>133</v>
      </c>
      <c r="E239" s="204" t="s">
        <v>565</v>
      </c>
      <c r="F239" s="205">
        <v>145.05199999999999</v>
      </c>
      <c r="G239" s="204">
        <v>47.08</v>
      </c>
      <c r="H239" s="204">
        <v>47.8</v>
      </c>
      <c r="I239" s="216">
        <f t="shared" si="21"/>
        <v>1.0152931180968563</v>
      </c>
      <c r="J239" s="204">
        <v>0</v>
      </c>
      <c r="K239" s="216">
        <f t="shared" si="22"/>
        <v>0</v>
      </c>
      <c r="L239" s="205">
        <v>362.63</v>
      </c>
      <c r="M239" s="216">
        <f t="shared" si="23"/>
        <v>1.0152931180968563</v>
      </c>
      <c r="N239" s="205">
        <v>261.09359999999958</v>
      </c>
      <c r="O239" s="204">
        <v>0.4</v>
      </c>
      <c r="P239" s="206">
        <v>8.4961767204757861E-3</v>
      </c>
      <c r="Q239" s="204">
        <v>0.31999999999999884</v>
      </c>
      <c r="R239" s="206">
        <v>6.7969413763806046E-3</v>
      </c>
      <c r="S239" s="205">
        <v>116.04159999999958</v>
      </c>
      <c r="T239" s="204" t="s">
        <v>419</v>
      </c>
      <c r="U239" s="204" t="s">
        <v>224</v>
      </c>
      <c r="V239" s="204"/>
      <c r="W239" s="211">
        <v>1</v>
      </c>
      <c r="X239" s="204" t="s">
        <v>566</v>
      </c>
    </row>
    <row r="240" spans="2:24">
      <c r="B240" s="659"/>
      <c r="C240" s="659"/>
      <c r="D240" s="237">
        <v>134</v>
      </c>
      <c r="E240" s="204" t="s">
        <v>607</v>
      </c>
      <c r="F240" s="205">
        <v>136.172</v>
      </c>
      <c r="G240" s="204">
        <v>3.1560000000000001</v>
      </c>
      <c r="H240" s="204">
        <v>4</v>
      </c>
      <c r="I240" s="216">
        <f t="shared" si="21"/>
        <v>1.2674271229404308</v>
      </c>
      <c r="J240" s="204">
        <v>0</v>
      </c>
      <c r="K240" s="216">
        <f t="shared" si="22"/>
        <v>0</v>
      </c>
      <c r="L240" s="205">
        <v>340.43</v>
      </c>
      <c r="M240" s="216">
        <f t="shared" si="23"/>
        <v>1.2674271229404308</v>
      </c>
      <c r="N240" s="205">
        <v>287.32291999999995</v>
      </c>
      <c r="O240" s="204">
        <v>0.4</v>
      </c>
      <c r="P240" s="206">
        <v>0.1267427122940431</v>
      </c>
      <c r="Q240" s="204">
        <v>0.44399999999999984</v>
      </c>
      <c r="R240" s="206">
        <v>0.14068441064638779</v>
      </c>
      <c r="S240" s="205">
        <v>151.15091999999996</v>
      </c>
      <c r="T240" s="204" t="s">
        <v>419</v>
      </c>
      <c r="U240" s="204" t="s">
        <v>420</v>
      </c>
      <c r="V240" s="204"/>
      <c r="W240" s="211">
        <v>1</v>
      </c>
      <c r="X240" s="204" t="s">
        <v>476</v>
      </c>
    </row>
    <row r="241" spans="2:24">
      <c r="B241" s="659"/>
      <c r="C241" s="659"/>
      <c r="D241" s="237">
        <v>135</v>
      </c>
      <c r="E241" s="204" t="s">
        <v>570</v>
      </c>
      <c r="F241" s="205">
        <v>134.04499999999999</v>
      </c>
      <c r="G241" s="204">
        <v>450.49200000000002</v>
      </c>
      <c r="H241" s="204">
        <v>453.7</v>
      </c>
      <c r="I241" s="216">
        <f t="shared" si="21"/>
        <v>1.0071211031494454</v>
      </c>
      <c r="J241" s="204">
        <v>0</v>
      </c>
      <c r="K241" s="216">
        <f t="shared" si="22"/>
        <v>0</v>
      </c>
      <c r="L241" s="205">
        <v>78.849999999999994</v>
      </c>
      <c r="M241" s="216">
        <f t="shared" si="23"/>
        <v>1.0071211031494454</v>
      </c>
      <c r="N241" s="205">
        <v>252.95079999999763</v>
      </c>
      <c r="O241" s="204">
        <v>1.7</v>
      </c>
      <c r="P241" s="206">
        <v>3.7736519183470514E-3</v>
      </c>
      <c r="Q241" s="204">
        <v>1.50799999999997</v>
      </c>
      <c r="R241" s="206">
        <v>3.347451231098377E-3</v>
      </c>
      <c r="S241" s="205">
        <v>118.90579999999763</v>
      </c>
      <c r="T241" s="204" t="s">
        <v>419</v>
      </c>
      <c r="U241" s="204" t="s">
        <v>224</v>
      </c>
      <c r="V241" s="204"/>
      <c r="W241" s="211">
        <v>1</v>
      </c>
      <c r="X241" s="204" t="s">
        <v>408</v>
      </c>
    </row>
    <row r="242" spans="2:24">
      <c r="B242" s="659"/>
      <c r="C242" s="659"/>
      <c r="D242" s="237">
        <v>136</v>
      </c>
      <c r="E242" s="204" t="s">
        <v>553</v>
      </c>
      <c r="F242" s="205">
        <v>133.44</v>
      </c>
      <c r="G242" s="204">
        <v>269.36</v>
      </c>
      <c r="H242" s="204">
        <v>272.39999999999998</v>
      </c>
      <c r="I242" s="216">
        <f t="shared" si="21"/>
        <v>1.0112860112860111</v>
      </c>
      <c r="J242" s="204">
        <v>0</v>
      </c>
      <c r="K242" s="216">
        <f t="shared" si="22"/>
        <v>0</v>
      </c>
      <c r="L242" s="205">
        <v>55.6</v>
      </c>
      <c r="M242" s="216">
        <f t="shared" si="23"/>
        <v>1.0112860112860111</v>
      </c>
      <c r="N242" s="205">
        <v>169.02399999999798</v>
      </c>
      <c r="O242" s="204">
        <v>2.4</v>
      </c>
      <c r="P242" s="206">
        <v>8.910008910008909E-3</v>
      </c>
      <c r="Q242" s="204">
        <v>0.63999999999996371</v>
      </c>
      <c r="R242" s="206">
        <v>2.3760023760022409E-3</v>
      </c>
      <c r="S242" s="205">
        <v>35.583999999997985</v>
      </c>
      <c r="T242" s="204" t="s">
        <v>419</v>
      </c>
      <c r="U242" s="204" t="s">
        <v>224</v>
      </c>
      <c r="V242" s="204"/>
      <c r="W242" s="211">
        <v>1</v>
      </c>
      <c r="X242" s="204" t="s">
        <v>473</v>
      </c>
    </row>
    <row r="243" spans="2:24">
      <c r="B243" s="659"/>
      <c r="C243" s="659"/>
      <c r="D243" s="237">
        <v>137</v>
      </c>
      <c r="E243" s="204" t="s">
        <v>668</v>
      </c>
      <c r="F243" s="205">
        <v>132.87199999999999</v>
      </c>
      <c r="G243" s="204">
        <v>199.648</v>
      </c>
      <c r="H243" s="204">
        <v>202.2</v>
      </c>
      <c r="I243" s="216">
        <f t="shared" si="21"/>
        <v>1.0127824971950632</v>
      </c>
      <c r="J243" s="204">
        <v>0</v>
      </c>
      <c r="K243" s="216">
        <f t="shared" si="22"/>
        <v>0</v>
      </c>
      <c r="L243" s="205">
        <v>78.16</v>
      </c>
      <c r="M243" s="216">
        <f t="shared" si="23"/>
        <v>1.0127824971950632</v>
      </c>
      <c r="N243" s="205">
        <v>199.46431999999942</v>
      </c>
      <c r="O243" s="204">
        <v>1.7</v>
      </c>
      <c r="P243" s="206">
        <v>8.5149863760217975E-3</v>
      </c>
      <c r="Q243" s="204">
        <v>0.85199999999999254</v>
      </c>
      <c r="R243" s="206">
        <v>4.2675108190414757E-3</v>
      </c>
      <c r="S243" s="205">
        <v>66.592319999999418</v>
      </c>
      <c r="T243" s="204" t="s">
        <v>405</v>
      </c>
      <c r="U243" s="204" t="s">
        <v>412</v>
      </c>
      <c r="V243" s="204"/>
      <c r="W243" s="211">
        <v>1</v>
      </c>
      <c r="X243" s="204" t="s">
        <v>403</v>
      </c>
    </row>
    <row r="244" spans="2:24">
      <c r="B244" s="659"/>
      <c r="C244" s="659"/>
      <c r="D244" s="237">
        <v>138</v>
      </c>
      <c r="E244" s="204" t="s">
        <v>669</v>
      </c>
      <c r="F244" s="205">
        <v>132.02800000000002</v>
      </c>
      <c r="G244" s="204">
        <v>383.95</v>
      </c>
      <c r="H244" s="204">
        <v>388.3</v>
      </c>
      <c r="I244" s="216">
        <f t="shared" si="21"/>
        <v>1.0113296002083605</v>
      </c>
      <c r="J244" s="204">
        <v>0</v>
      </c>
      <c r="K244" s="216">
        <f t="shared" si="22"/>
        <v>0</v>
      </c>
      <c r="L244" s="205">
        <v>50.78</v>
      </c>
      <c r="M244" s="216">
        <f t="shared" si="23"/>
        <v>1.0113296002083605</v>
      </c>
      <c r="N244" s="205">
        <v>220.89300000000117</v>
      </c>
      <c r="O244" s="204">
        <v>2.6</v>
      </c>
      <c r="P244" s="206">
        <v>6.7717150670660248E-3</v>
      </c>
      <c r="Q244" s="204">
        <v>1.7500000000000226</v>
      </c>
      <c r="R244" s="206">
        <v>4.5578851412944989E-3</v>
      </c>
      <c r="S244" s="205">
        <v>88.865000000001146</v>
      </c>
      <c r="T244" s="204" t="s">
        <v>405</v>
      </c>
      <c r="U244" s="204" t="s">
        <v>412</v>
      </c>
      <c r="V244" s="204"/>
      <c r="W244" s="211">
        <v>1</v>
      </c>
      <c r="X244" s="204" t="s">
        <v>469</v>
      </c>
    </row>
    <row r="245" spans="2:24">
      <c r="B245" s="659"/>
      <c r="C245" s="659"/>
      <c r="D245" s="237">
        <v>139</v>
      </c>
      <c r="E245" s="204" t="s">
        <v>670</v>
      </c>
      <c r="F245" s="205">
        <v>131.15200000000002</v>
      </c>
      <c r="G245" s="204">
        <v>337.68</v>
      </c>
      <c r="H245" s="204">
        <v>339.9</v>
      </c>
      <c r="I245" s="216">
        <f t="shared" si="21"/>
        <v>1.0065742714996446</v>
      </c>
      <c r="J245" s="204">
        <v>0</v>
      </c>
      <c r="K245" s="216">
        <f t="shared" si="22"/>
        <v>0</v>
      </c>
      <c r="L245" s="205">
        <v>81.97</v>
      </c>
      <c r="M245" s="216">
        <f t="shared" si="23"/>
        <v>1.0065742714996446</v>
      </c>
      <c r="N245" s="205">
        <v>181.97339999999758</v>
      </c>
      <c r="O245" s="204">
        <v>1.6</v>
      </c>
      <c r="P245" s="206">
        <v>4.7382136934375745E-3</v>
      </c>
      <c r="Q245" s="204">
        <v>0.61999999999997035</v>
      </c>
      <c r="R245" s="206">
        <v>1.8360578062069722E-3</v>
      </c>
      <c r="S245" s="205">
        <v>50.821399999997567</v>
      </c>
      <c r="T245" s="204" t="s">
        <v>419</v>
      </c>
      <c r="U245" s="204" t="s">
        <v>224</v>
      </c>
      <c r="V245" s="204"/>
      <c r="W245" s="211">
        <v>1</v>
      </c>
      <c r="X245" s="204" t="s">
        <v>413</v>
      </c>
    </row>
    <row r="246" spans="2:24">
      <c r="B246" s="659"/>
      <c r="C246" s="659"/>
      <c r="D246" s="237">
        <v>140</v>
      </c>
      <c r="E246" s="204" t="s">
        <v>665</v>
      </c>
      <c r="F246" s="205">
        <v>129.77799999999999</v>
      </c>
      <c r="G246" s="204">
        <v>137.22</v>
      </c>
      <c r="H246" s="204">
        <v>140.1</v>
      </c>
      <c r="I246" s="216">
        <f t="shared" si="21"/>
        <v>1.0209881941407957</v>
      </c>
      <c r="J246" s="204">
        <v>0</v>
      </c>
      <c r="K246" s="216">
        <f t="shared" si="22"/>
        <v>0</v>
      </c>
      <c r="L246" s="205">
        <v>76.34</v>
      </c>
      <c r="M246" s="216">
        <f t="shared" si="23"/>
        <v>1.0209881941407957</v>
      </c>
      <c r="N246" s="205">
        <v>219.85919999999967</v>
      </c>
      <c r="O246" s="204">
        <v>1.7</v>
      </c>
      <c r="P246" s="206">
        <v>1.2388864596997522E-2</v>
      </c>
      <c r="Q246" s="204">
        <v>1.1799999999999955</v>
      </c>
      <c r="R246" s="206">
        <v>8.5993295437982471E-3</v>
      </c>
      <c r="S246" s="205">
        <v>90.081199999999654</v>
      </c>
      <c r="T246" s="204" t="s">
        <v>419</v>
      </c>
      <c r="U246" s="204" t="s">
        <v>522</v>
      </c>
      <c r="V246" s="204"/>
      <c r="W246" s="211">
        <v>1</v>
      </c>
      <c r="X246" s="204" t="s">
        <v>492</v>
      </c>
    </row>
    <row r="247" spans="2:24">
      <c r="B247" s="661">
        <v>45894</v>
      </c>
      <c r="C247" s="659" t="s">
        <v>285</v>
      </c>
      <c r="D247" s="237">
        <v>141</v>
      </c>
      <c r="E247" s="204" t="s">
        <v>662</v>
      </c>
      <c r="F247" s="205">
        <v>135.48800000000003</v>
      </c>
      <c r="G247" s="204">
        <v>50.473999999999997</v>
      </c>
      <c r="H247" s="204">
        <v>52</v>
      </c>
      <c r="I247" s="216">
        <f t="shared" si="21"/>
        <v>1.0302333874866267</v>
      </c>
      <c r="J247" s="204">
        <v>0</v>
      </c>
      <c r="K247" s="216">
        <f t="shared" si="22"/>
        <v>0</v>
      </c>
      <c r="L247" s="205">
        <v>169.36</v>
      </c>
      <c r="M247" s="216">
        <f t="shared" si="23"/>
        <v>1.0302333874866267</v>
      </c>
      <c r="N247" s="205">
        <v>258.44336000000061</v>
      </c>
      <c r="O247" s="204">
        <v>0.8</v>
      </c>
      <c r="P247" s="206">
        <v>1.5849744422871181E-2</v>
      </c>
      <c r="Q247" s="204">
        <v>0.72600000000000331</v>
      </c>
      <c r="R247" s="206">
        <v>1.4383643063755664E-2</v>
      </c>
      <c r="S247" s="205">
        <v>122.95536000000057</v>
      </c>
      <c r="T247" s="204" t="s">
        <v>419</v>
      </c>
      <c r="U247" s="204" t="s">
        <v>420</v>
      </c>
      <c r="V247" s="204"/>
      <c r="W247" s="211">
        <v>1</v>
      </c>
      <c r="X247" s="204" t="s">
        <v>423</v>
      </c>
    </row>
    <row r="248" spans="2:24">
      <c r="B248" s="659"/>
      <c r="C248" s="659"/>
      <c r="D248" s="237">
        <v>142</v>
      </c>
      <c r="E248" s="204" t="s">
        <v>671</v>
      </c>
      <c r="F248" s="205">
        <v>134.99200000000002</v>
      </c>
      <c r="G248" s="204">
        <v>65.64</v>
      </c>
      <c r="H248" s="204">
        <v>67.900000000000006</v>
      </c>
      <c r="I248" s="216">
        <f t="shared" si="21"/>
        <v>1.034430225472273</v>
      </c>
      <c r="J248" s="204">
        <v>0</v>
      </c>
      <c r="K248" s="216">
        <f t="shared" si="22"/>
        <v>0</v>
      </c>
      <c r="L248" s="205">
        <v>84.37</v>
      </c>
      <c r="M248" s="216">
        <f t="shared" si="23"/>
        <v>1.034430225472273</v>
      </c>
      <c r="N248" s="205">
        <v>190.67620000000045</v>
      </c>
      <c r="O248" s="204">
        <v>1.6</v>
      </c>
      <c r="P248" s="206">
        <v>2.4375380865326021E-2</v>
      </c>
      <c r="Q248" s="204">
        <v>0.66000000000000503</v>
      </c>
      <c r="R248" s="206">
        <v>1.0054844606947061E-2</v>
      </c>
      <c r="S248" s="205">
        <v>55.68420000000043</v>
      </c>
      <c r="T248" s="204" t="s">
        <v>224</v>
      </c>
      <c r="U248" s="204" t="s">
        <v>522</v>
      </c>
      <c r="V248" s="204"/>
      <c r="W248" s="211">
        <v>1</v>
      </c>
      <c r="X248" s="204" t="s">
        <v>493</v>
      </c>
    </row>
    <row r="249" spans="2:24">
      <c r="B249" s="659"/>
      <c r="C249" s="659"/>
      <c r="D249" s="237">
        <v>143</v>
      </c>
      <c r="E249" s="204" t="s">
        <v>570</v>
      </c>
      <c r="F249" s="205">
        <v>134.04499999999999</v>
      </c>
      <c r="G249" s="204">
        <v>458.11799999999999</v>
      </c>
      <c r="H249" s="204">
        <v>460.3</v>
      </c>
      <c r="I249" s="216">
        <f t="shared" si="21"/>
        <v>1.0047629650002838</v>
      </c>
      <c r="J249" s="204">
        <v>0</v>
      </c>
      <c r="K249" s="216">
        <f t="shared" si="22"/>
        <v>0</v>
      </c>
      <c r="L249" s="205">
        <v>78.849999999999994</v>
      </c>
      <c r="M249" s="216">
        <f t="shared" si="23"/>
        <v>1.0047629650002838</v>
      </c>
      <c r="N249" s="205">
        <v>172.05070000000129</v>
      </c>
      <c r="O249" s="204">
        <v>1.7</v>
      </c>
      <c r="P249" s="206">
        <v>3.7108343265272264E-3</v>
      </c>
      <c r="Q249" s="204">
        <v>0.48200000000001642</v>
      </c>
      <c r="R249" s="206">
        <v>1.0521306737565788E-3</v>
      </c>
      <c r="S249" s="205">
        <v>38.005700000001291</v>
      </c>
      <c r="T249" s="204" t="s">
        <v>402</v>
      </c>
      <c r="U249" s="204" t="s">
        <v>224</v>
      </c>
      <c r="V249" s="204"/>
      <c r="W249" s="211">
        <v>1</v>
      </c>
      <c r="X249" s="204" t="s">
        <v>408</v>
      </c>
    </row>
    <row r="250" spans="2:24">
      <c r="B250" s="659"/>
      <c r="C250" s="659"/>
      <c r="D250" s="237">
        <v>144</v>
      </c>
      <c r="E250" s="204" t="s">
        <v>530</v>
      </c>
      <c r="F250" s="205">
        <v>133.84100000000001</v>
      </c>
      <c r="G250" s="204">
        <v>335.16</v>
      </c>
      <c r="H250" s="204">
        <v>337.4</v>
      </c>
      <c r="I250" s="216">
        <f t="shared" si="21"/>
        <v>1.0066833751044275</v>
      </c>
      <c r="J250" s="204">
        <v>0</v>
      </c>
      <c r="K250" s="216">
        <f t="shared" si="22"/>
        <v>0</v>
      </c>
      <c r="L250" s="205">
        <v>78.73</v>
      </c>
      <c r="M250" s="216">
        <f t="shared" si="23"/>
        <v>1.0066833751044275</v>
      </c>
      <c r="N250" s="205">
        <v>176.35519999999624</v>
      </c>
      <c r="O250" s="204">
        <v>1.7</v>
      </c>
      <c r="P250" s="206">
        <v>5.0722043203246204E-3</v>
      </c>
      <c r="Q250" s="204">
        <v>0.5399999999999523</v>
      </c>
      <c r="R250" s="206">
        <v>1.6111707841029725E-3</v>
      </c>
      <c r="S250" s="205">
        <v>42.514199999996244</v>
      </c>
      <c r="T250" s="204" t="s">
        <v>224</v>
      </c>
      <c r="U250" s="204" t="s">
        <v>224</v>
      </c>
      <c r="V250" s="204"/>
      <c r="W250" s="211">
        <v>1</v>
      </c>
      <c r="X250" s="204" t="s">
        <v>478</v>
      </c>
    </row>
    <row r="251" spans="2:24">
      <c r="B251" s="659"/>
      <c r="C251" s="659"/>
      <c r="D251" s="237">
        <v>145</v>
      </c>
      <c r="E251" s="204" t="s">
        <v>599</v>
      </c>
      <c r="F251" s="205">
        <v>133.464</v>
      </c>
      <c r="G251" s="204">
        <v>27.306000000000001</v>
      </c>
      <c r="H251" s="204">
        <v>28</v>
      </c>
      <c r="I251" s="216">
        <f t="shared" si="21"/>
        <v>1.025415659562001</v>
      </c>
      <c r="J251" s="204">
        <v>0</v>
      </c>
      <c r="K251" s="216">
        <f t="shared" si="22"/>
        <v>0</v>
      </c>
      <c r="L251" s="205">
        <v>444.88</v>
      </c>
      <c r="M251" s="216">
        <f t="shared" si="23"/>
        <v>1.025415659562001</v>
      </c>
      <c r="N251" s="205">
        <v>308.74671999999958</v>
      </c>
      <c r="O251" s="204">
        <v>0.3</v>
      </c>
      <c r="P251" s="206">
        <v>1.098659635245001E-2</v>
      </c>
      <c r="Q251" s="204">
        <v>0.39399999999999907</v>
      </c>
      <c r="R251" s="206">
        <v>1.442906320955098E-2</v>
      </c>
      <c r="S251" s="205">
        <v>175.28271999999959</v>
      </c>
      <c r="T251" s="204" t="s">
        <v>224</v>
      </c>
      <c r="U251" s="204" t="s">
        <v>224</v>
      </c>
      <c r="V251" s="204"/>
      <c r="W251" s="211">
        <v>1</v>
      </c>
      <c r="X251" s="204" t="s">
        <v>598</v>
      </c>
    </row>
    <row r="252" spans="2:24">
      <c r="B252" s="659"/>
      <c r="C252" s="659"/>
      <c r="D252" s="237">
        <v>146</v>
      </c>
      <c r="E252" s="204" t="s">
        <v>407</v>
      </c>
      <c r="F252" s="205">
        <v>132.21600000000001</v>
      </c>
      <c r="G252" s="204">
        <v>76.352999999999994</v>
      </c>
      <c r="H252" s="204">
        <v>77.2</v>
      </c>
      <c r="I252" s="216">
        <f t="shared" si="21"/>
        <v>1.011093211792595</v>
      </c>
      <c r="J252" s="204">
        <v>0</v>
      </c>
      <c r="K252" s="216">
        <f t="shared" si="22"/>
        <v>0</v>
      </c>
      <c r="L252" s="205">
        <v>330.54</v>
      </c>
      <c r="M252" s="216">
        <f t="shared" si="23"/>
        <v>1.011093211792595</v>
      </c>
      <c r="N252" s="205">
        <v>279.96738000000278</v>
      </c>
      <c r="O252" s="204">
        <v>0.4</v>
      </c>
      <c r="P252" s="206">
        <v>5.2388249315678502E-3</v>
      </c>
      <c r="Q252" s="204">
        <v>0.44700000000000839</v>
      </c>
      <c r="R252" s="206">
        <v>5.8543868610271823E-3</v>
      </c>
      <c r="S252" s="205">
        <v>147.75138000000277</v>
      </c>
      <c r="T252" s="204" t="s">
        <v>405</v>
      </c>
      <c r="U252" s="204" t="s">
        <v>225</v>
      </c>
      <c r="V252" s="204"/>
      <c r="W252" s="211">
        <v>1</v>
      </c>
      <c r="X252" s="204" t="s">
        <v>408</v>
      </c>
    </row>
    <row r="253" spans="2:24">
      <c r="B253" s="659"/>
      <c r="C253" s="659"/>
      <c r="D253" s="237">
        <v>147</v>
      </c>
      <c r="E253" s="204" t="s">
        <v>667</v>
      </c>
      <c r="F253" s="205">
        <v>132.077</v>
      </c>
      <c r="G253" s="204">
        <v>14.795999999999999</v>
      </c>
      <c r="H253" s="204">
        <v>16.3</v>
      </c>
      <c r="I253" s="216">
        <f t="shared" si="21"/>
        <v>1.1016490943498243</v>
      </c>
      <c r="J253" s="204">
        <v>0</v>
      </c>
      <c r="K253" s="216">
        <f t="shared" si="22"/>
        <v>0</v>
      </c>
      <c r="L253" s="205">
        <v>120.07</v>
      </c>
      <c r="M253" s="216">
        <f t="shared" si="23"/>
        <v>1.1016490943498243</v>
      </c>
      <c r="N253" s="205">
        <v>180.58528000000015</v>
      </c>
      <c r="O253" s="204">
        <v>1.1000000000000001</v>
      </c>
      <c r="P253" s="206">
        <v>7.4344417410110844E-2</v>
      </c>
      <c r="Q253" s="204">
        <v>0.40400000000000125</v>
      </c>
      <c r="R253" s="206">
        <v>2.7304676939713522E-2</v>
      </c>
      <c r="S253" s="205">
        <v>48.508280000000148</v>
      </c>
      <c r="T253" s="204" t="s">
        <v>224</v>
      </c>
      <c r="U253" s="204" t="s">
        <v>420</v>
      </c>
      <c r="V253" s="204"/>
      <c r="W253" s="211">
        <v>1</v>
      </c>
      <c r="X253" s="204" t="s">
        <v>515</v>
      </c>
    </row>
    <row r="254" spans="2:24">
      <c r="B254" s="659"/>
      <c r="C254" s="659"/>
      <c r="D254" s="237">
        <v>148</v>
      </c>
      <c r="E254" s="204" t="s">
        <v>435</v>
      </c>
      <c r="F254" s="205">
        <v>131.66200000000001</v>
      </c>
      <c r="G254" s="204">
        <v>6.99</v>
      </c>
      <c r="H254" s="204">
        <v>7.9</v>
      </c>
      <c r="I254" s="216">
        <f t="shared" si="21"/>
        <v>1.1301859799713878</v>
      </c>
      <c r="J254" s="204">
        <v>0</v>
      </c>
      <c r="K254" s="216">
        <f t="shared" si="22"/>
        <v>0</v>
      </c>
      <c r="L254" s="205">
        <v>658.31</v>
      </c>
      <c r="M254" s="216">
        <f t="shared" si="23"/>
        <v>1.1301859799713878</v>
      </c>
      <c r="N254" s="205">
        <v>599.0621000000001</v>
      </c>
      <c r="O254" s="204">
        <v>0.2</v>
      </c>
      <c r="P254" s="206">
        <v>2.8612303290414878E-2</v>
      </c>
      <c r="Q254" s="204">
        <v>0.71000000000000019</v>
      </c>
      <c r="R254" s="206">
        <v>0.10157367668097284</v>
      </c>
      <c r="S254" s="205">
        <v>467.40010000000007</v>
      </c>
      <c r="T254" s="204" t="s">
        <v>224</v>
      </c>
      <c r="U254" s="204" t="s">
        <v>412</v>
      </c>
      <c r="V254" s="204"/>
      <c r="W254" s="211">
        <v>1</v>
      </c>
      <c r="X254" s="204" t="s">
        <v>436</v>
      </c>
    </row>
    <row r="255" spans="2:24">
      <c r="B255" s="659"/>
      <c r="C255" s="659"/>
      <c r="D255" s="237">
        <v>149</v>
      </c>
      <c r="E255" s="204" t="s">
        <v>558</v>
      </c>
      <c r="F255" s="205">
        <v>130.31400000000002</v>
      </c>
      <c r="G255" s="204">
        <v>18.456</v>
      </c>
      <c r="H255" s="204">
        <v>19.100000000000001</v>
      </c>
      <c r="I255" s="216">
        <f t="shared" si="21"/>
        <v>1.0348938014737756</v>
      </c>
      <c r="J255" s="204">
        <v>0</v>
      </c>
      <c r="K255" s="216">
        <f t="shared" si="22"/>
        <v>0</v>
      </c>
      <c r="L255" s="205">
        <v>651.57000000000005</v>
      </c>
      <c r="M255" s="216">
        <f t="shared" si="23"/>
        <v>1.0348938014737756</v>
      </c>
      <c r="N255" s="205">
        <v>419.61108000000127</v>
      </c>
      <c r="O255" s="204">
        <v>0.2</v>
      </c>
      <c r="P255" s="206">
        <v>1.0836584308625921E-2</v>
      </c>
      <c r="Q255" s="204">
        <v>0.44400000000000189</v>
      </c>
      <c r="R255" s="206">
        <v>2.405721716514965E-2</v>
      </c>
      <c r="S255" s="205">
        <v>289.29708000000124</v>
      </c>
      <c r="T255" s="204" t="s">
        <v>224</v>
      </c>
      <c r="U255" s="204" t="s">
        <v>522</v>
      </c>
      <c r="V255" s="204"/>
      <c r="W255" s="211">
        <v>1</v>
      </c>
      <c r="X255" s="204" t="s">
        <v>559</v>
      </c>
    </row>
    <row r="256" spans="2:24">
      <c r="B256" s="659"/>
      <c r="C256" s="659"/>
      <c r="D256" s="237">
        <v>150</v>
      </c>
      <c r="E256" s="204" t="s">
        <v>672</v>
      </c>
      <c r="F256" s="205">
        <v>129.6</v>
      </c>
      <c r="G256" s="204">
        <v>27.917999999999999</v>
      </c>
      <c r="H256" s="204">
        <v>29.1</v>
      </c>
      <c r="I256" s="216">
        <f t="shared" si="21"/>
        <v>1.0423382763808295</v>
      </c>
      <c r="J256" s="204">
        <v>0</v>
      </c>
      <c r="K256" s="216">
        <f t="shared" si="22"/>
        <v>0</v>
      </c>
      <c r="L256" s="205">
        <v>144</v>
      </c>
      <c r="M256" s="216">
        <f t="shared" si="23"/>
        <v>1.0423382763808295</v>
      </c>
      <c r="N256" s="205">
        <v>170.20800000000031</v>
      </c>
      <c r="O256" s="204">
        <v>0.9</v>
      </c>
      <c r="P256" s="206">
        <v>3.2237266279819474E-2</v>
      </c>
      <c r="Q256" s="204">
        <v>0.28200000000000214</v>
      </c>
      <c r="R256" s="206">
        <v>1.0101010101010178E-2</v>
      </c>
      <c r="S256" s="205">
        <v>40.60800000000031</v>
      </c>
      <c r="T256" s="204" t="s">
        <v>224</v>
      </c>
      <c r="U256" s="204" t="s">
        <v>522</v>
      </c>
      <c r="V256" s="204"/>
      <c r="W256" s="211">
        <v>1</v>
      </c>
      <c r="X256" s="204" t="s">
        <v>484</v>
      </c>
    </row>
    <row r="257" spans="2:24">
      <c r="B257" s="661">
        <v>45895</v>
      </c>
      <c r="C257" s="659" t="s">
        <v>268</v>
      </c>
      <c r="D257" s="237">
        <v>151</v>
      </c>
      <c r="E257" s="204" t="s">
        <v>433</v>
      </c>
      <c r="F257" s="205">
        <v>232.768</v>
      </c>
      <c r="G257" s="204">
        <v>23.978000000000002</v>
      </c>
      <c r="H257" s="204">
        <v>24.8</v>
      </c>
      <c r="I257" s="216">
        <f t="shared" si="21"/>
        <v>1.0342814246392527</v>
      </c>
      <c r="J257" s="204">
        <v>0</v>
      </c>
      <c r="K257" s="216">
        <f t="shared" si="22"/>
        <v>0</v>
      </c>
      <c r="L257" s="205">
        <v>581.91999999999996</v>
      </c>
      <c r="M257" s="216">
        <f t="shared" si="23"/>
        <v>1.0342814246392527</v>
      </c>
      <c r="N257" s="205">
        <v>478.33823999999947</v>
      </c>
      <c r="O257" s="204">
        <v>0.4</v>
      </c>
      <c r="P257" s="206">
        <v>1.668195846192343E-2</v>
      </c>
      <c r="Q257" s="204">
        <v>0.42199999999999915</v>
      </c>
      <c r="R257" s="206">
        <v>1.7599466177329184E-2</v>
      </c>
      <c r="S257" s="205">
        <v>245.5702399999995</v>
      </c>
      <c r="T257" s="204" t="s">
        <v>419</v>
      </c>
      <c r="U257" s="204" t="s">
        <v>522</v>
      </c>
      <c r="V257" s="204"/>
      <c r="W257" s="211">
        <v>1</v>
      </c>
      <c r="X257" s="204" t="s">
        <v>434</v>
      </c>
    </row>
    <row r="258" spans="2:24">
      <c r="B258" s="659"/>
      <c r="C258" s="659"/>
      <c r="D258" s="237">
        <v>152</v>
      </c>
      <c r="E258" s="204" t="s">
        <v>416</v>
      </c>
      <c r="F258" s="205">
        <v>151.63800000000001</v>
      </c>
      <c r="G258" s="204">
        <v>19.038</v>
      </c>
      <c r="H258" s="204">
        <v>19.5</v>
      </c>
      <c r="I258" s="216">
        <f t="shared" si="21"/>
        <v>1.0242672549637566</v>
      </c>
      <c r="J258" s="204">
        <v>0</v>
      </c>
      <c r="K258" s="216">
        <f t="shared" si="22"/>
        <v>0</v>
      </c>
      <c r="L258" s="205">
        <v>758.19</v>
      </c>
      <c r="M258" s="216">
        <f t="shared" si="23"/>
        <v>1.0242672549637566</v>
      </c>
      <c r="N258" s="205">
        <v>350.28377999999981</v>
      </c>
      <c r="O258" s="204">
        <v>0.2</v>
      </c>
      <c r="P258" s="206">
        <v>1.0505305179115455E-2</v>
      </c>
      <c r="Q258" s="204">
        <v>0.26199999999999973</v>
      </c>
      <c r="R258" s="206">
        <v>1.3761949784641229E-2</v>
      </c>
      <c r="S258" s="205">
        <v>198.6457799999998</v>
      </c>
      <c r="T258" s="204" t="s">
        <v>405</v>
      </c>
      <c r="U258" s="204" t="s">
        <v>225</v>
      </c>
      <c r="V258" s="204"/>
      <c r="W258" s="211">
        <v>1</v>
      </c>
      <c r="X258" s="204" t="s">
        <v>417</v>
      </c>
    </row>
    <row r="259" spans="2:24">
      <c r="B259" s="659"/>
      <c r="C259" s="659"/>
      <c r="D259" s="237">
        <v>153</v>
      </c>
      <c r="E259" s="204" t="s">
        <v>695</v>
      </c>
      <c r="F259" s="205">
        <v>149.124</v>
      </c>
      <c r="G259" s="204">
        <v>37.68</v>
      </c>
      <c r="H259" s="204">
        <v>39.799999999999997</v>
      </c>
      <c r="I259" s="216">
        <f t="shared" si="21"/>
        <v>1.0562632696390657</v>
      </c>
      <c r="J259" s="204">
        <v>0</v>
      </c>
      <c r="K259" s="216">
        <f t="shared" si="22"/>
        <v>0</v>
      </c>
      <c r="L259" s="205">
        <v>87.72</v>
      </c>
      <c r="M259" s="216">
        <f t="shared" si="23"/>
        <v>1.0562632696390657</v>
      </c>
      <c r="N259" s="205">
        <v>185.96639999999977</v>
      </c>
      <c r="O259" s="204">
        <v>1.7</v>
      </c>
      <c r="P259" s="206">
        <v>4.511677282377919E-2</v>
      </c>
      <c r="Q259" s="204">
        <v>0.41999999999999749</v>
      </c>
      <c r="R259" s="206">
        <v>1.1146496815286558E-2</v>
      </c>
      <c r="S259" s="205">
        <v>36.842399999999778</v>
      </c>
      <c r="T259" s="204" t="s">
        <v>419</v>
      </c>
      <c r="U259" s="204" t="s">
        <v>522</v>
      </c>
      <c r="V259" s="204"/>
      <c r="W259" s="211">
        <v>1</v>
      </c>
      <c r="X259" s="204" t="s">
        <v>660</v>
      </c>
    </row>
    <row r="260" spans="2:24">
      <c r="B260" s="659"/>
      <c r="C260" s="659"/>
      <c r="D260" s="237">
        <v>154</v>
      </c>
      <c r="E260" s="204" t="s">
        <v>569</v>
      </c>
      <c r="F260" s="205">
        <v>142.137</v>
      </c>
      <c r="G260" s="204">
        <v>52.923000000000002</v>
      </c>
      <c r="H260" s="204">
        <v>53.6</v>
      </c>
      <c r="I260" s="216">
        <f t="shared" si="21"/>
        <v>1.0127921697560607</v>
      </c>
      <c r="J260" s="204">
        <v>0</v>
      </c>
      <c r="K260" s="216">
        <f t="shared" si="22"/>
        <v>0</v>
      </c>
      <c r="L260" s="205">
        <v>473.79</v>
      </c>
      <c r="M260" s="216">
        <f t="shared" si="23"/>
        <v>1.0127921697560607</v>
      </c>
      <c r="N260" s="205">
        <v>320.75582999999983</v>
      </c>
      <c r="O260" s="204">
        <v>0.3</v>
      </c>
      <c r="P260" s="206">
        <v>5.6686128904257123E-3</v>
      </c>
      <c r="Q260" s="204">
        <v>0.37699999999999961</v>
      </c>
      <c r="R260" s="206">
        <v>7.1235568656349713E-3</v>
      </c>
      <c r="S260" s="205">
        <v>178.61882999999983</v>
      </c>
      <c r="T260" s="204" t="s">
        <v>405</v>
      </c>
      <c r="U260" s="204" t="s">
        <v>226</v>
      </c>
      <c r="V260" s="204"/>
      <c r="W260" s="211">
        <v>1</v>
      </c>
      <c r="X260" s="204" t="s">
        <v>423</v>
      </c>
    </row>
    <row r="261" spans="2:24">
      <c r="B261" s="659"/>
      <c r="C261" s="659"/>
      <c r="D261" s="237">
        <v>155</v>
      </c>
      <c r="E261" s="204" t="s">
        <v>576</v>
      </c>
      <c r="F261" s="205">
        <v>135.666</v>
      </c>
      <c r="G261" s="204">
        <v>3.96</v>
      </c>
      <c r="H261" s="204">
        <v>4.5999999999999996</v>
      </c>
      <c r="I261" s="216">
        <f t="shared" si="21"/>
        <v>1.1616161616161615</v>
      </c>
      <c r="J261" s="204">
        <v>0</v>
      </c>
      <c r="K261" s="216">
        <f t="shared" si="22"/>
        <v>0</v>
      </c>
      <c r="L261" s="205">
        <v>452.22</v>
      </c>
      <c r="M261" s="216">
        <f t="shared" si="23"/>
        <v>1.1616161616161615</v>
      </c>
      <c r="N261" s="205">
        <v>289.42079999999987</v>
      </c>
      <c r="O261" s="204">
        <v>0.3</v>
      </c>
      <c r="P261" s="206">
        <v>7.575757575757576E-2</v>
      </c>
      <c r="Q261" s="204">
        <v>0.33999999999999969</v>
      </c>
      <c r="R261" s="206">
        <v>8.5858585858585787E-2</v>
      </c>
      <c r="S261" s="205">
        <v>153.75479999999988</v>
      </c>
      <c r="T261" s="204" t="s">
        <v>419</v>
      </c>
      <c r="U261" s="204" t="s">
        <v>420</v>
      </c>
      <c r="V261" s="204"/>
      <c r="W261" s="211">
        <v>1</v>
      </c>
      <c r="X261" s="204" t="s">
        <v>464</v>
      </c>
    </row>
    <row r="262" spans="2:24">
      <c r="B262" s="659"/>
      <c r="C262" s="659"/>
      <c r="D262" s="237">
        <v>156</v>
      </c>
      <c r="E262" s="204" t="s">
        <v>696</v>
      </c>
      <c r="F262" s="205">
        <v>134.5</v>
      </c>
      <c r="G262" s="204">
        <v>3158</v>
      </c>
      <c r="H262" s="204">
        <v>3168</v>
      </c>
      <c r="I262" s="216">
        <f t="shared" si="21"/>
        <v>1.0031665611146294</v>
      </c>
      <c r="J262" s="204">
        <v>0</v>
      </c>
      <c r="K262" s="216">
        <f t="shared" si="22"/>
        <v>0</v>
      </c>
      <c r="L262" s="205">
        <v>13.45</v>
      </c>
      <c r="M262" s="216">
        <f t="shared" si="23"/>
        <v>1.0031665611146294</v>
      </c>
      <c r="N262" s="205">
        <v>134.5</v>
      </c>
      <c r="O262" s="204">
        <v>10</v>
      </c>
      <c r="P262" s="206">
        <v>3.1665611146295125E-3</v>
      </c>
      <c r="Q262" s="204">
        <v>0</v>
      </c>
      <c r="R262" s="206">
        <v>0</v>
      </c>
      <c r="S262" s="205">
        <v>0</v>
      </c>
      <c r="T262" s="204" t="s">
        <v>405</v>
      </c>
      <c r="U262" s="204" t="s">
        <v>226</v>
      </c>
      <c r="V262" s="204"/>
      <c r="W262" s="211">
        <v>1</v>
      </c>
      <c r="X262" s="204" t="s">
        <v>697</v>
      </c>
    </row>
    <row r="263" spans="2:24">
      <c r="B263" s="659"/>
      <c r="C263" s="659"/>
      <c r="D263" s="237">
        <v>157</v>
      </c>
      <c r="E263" s="204" t="s">
        <v>599</v>
      </c>
      <c r="F263" s="205">
        <v>133.464</v>
      </c>
      <c r="G263" s="204">
        <v>27.324000000000002</v>
      </c>
      <c r="H263" s="204">
        <v>28.6</v>
      </c>
      <c r="I263" s="216">
        <f t="shared" si="21"/>
        <v>1.0466988727858293</v>
      </c>
      <c r="J263" s="204">
        <v>0</v>
      </c>
      <c r="K263" s="216">
        <f t="shared" si="22"/>
        <v>0</v>
      </c>
      <c r="L263" s="205">
        <v>444.88</v>
      </c>
      <c r="M263" s="216">
        <f t="shared" si="23"/>
        <v>1.0466988727858293</v>
      </c>
      <c r="N263" s="205">
        <v>567.66687999999988</v>
      </c>
      <c r="O263" s="204">
        <v>0.3</v>
      </c>
      <c r="P263" s="206">
        <v>1.097935880544576E-2</v>
      </c>
      <c r="Q263" s="204">
        <v>0.97599999999999976</v>
      </c>
      <c r="R263" s="206">
        <v>3.5719513980383533E-2</v>
      </c>
      <c r="S263" s="205">
        <v>434.20287999999988</v>
      </c>
      <c r="T263" s="204" t="s">
        <v>405</v>
      </c>
      <c r="U263" s="204" t="s">
        <v>226</v>
      </c>
      <c r="V263" s="204"/>
      <c r="W263" s="211">
        <v>1</v>
      </c>
      <c r="X263" s="204" t="s">
        <v>598</v>
      </c>
    </row>
    <row r="264" spans="2:24">
      <c r="B264" s="659"/>
      <c r="C264" s="659"/>
      <c r="D264" s="237">
        <v>158</v>
      </c>
      <c r="E264" s="204" t="s">
        <v>435</v>
      </c>
      <c r="F264" s="205">
        <v>131.66200000000001</v>
      </c>
      <c r="G264" s="204">
        <v>5.94</v>
      </c>
      <c r="H264" s="204">
        <v>6.4</v>
      </c>
      <c r="I264" s="216">
        <f t="shared" ref="I264:I327" si="24">H264/G264</f>
        <v>1.0774410774410774</v>
      </c>
      <c r="J264" s="204">
        <v>0</v>
      </c>
      <c r="K264" s="216">
        <f t="shared" ref="K264:K327" si="25">J264/G264</f>
        <v>0</v>
      </c>
      <c r="L264" s="205">
        <v>658.31</v>
      </c>
      <c r="M264" s="216">
        <f t="shared" ref="M264:M327" si="26">(H264+J264)/G264</f>
        <v>1.0774410774410774</v>
      </c>
      <c r="N264" s="205">
        <v>302.82259999999997</v>
      </c>
      <c r="O264" s="204">
        <v>0.2</v>
      </c>
      <c r="P264" s="206">
        <v>3.3670033670033669E-2</v>
      </c>
      <c r="Q264" s="204">
        <v>0.25999999999999995</v>
      </c>
      <c r="R264" s="206">
        <v>4.3771043771043759E-2</v>
      </c>
      <c r="S264" s="205">
        <v>171.16059999999996</v>
      </c>
      <c r="T264" s="204" t="s">
        <v>405</v>
      </c>
      <c r="U264" s="204" t="s">
        <v>226</v>
      </c>
      <c r="V264" s="204"/>
      <c r="W264" s="211">
        <v>1</v>
      </c>
      <c r="X264" s="204" t="s">
        <v>436</v>
      </c>
    </row>
    <row r="265" spans="2:24">
      <c r="B265" s="659"/>
      <c r="C265" s="659"/>
      <c r="D265" s="237">
        <v>159</v>
      </c>
      <c r="E265" s="204" t="s">
        <v>558</v>
      </c>
      <c r="F265" s="205">
        <v>130.31400000000002</v>
      </c>
      <c r="G265" s="204">
        <v>14.58</v>
      </c>
      <c r="H265" s="204">
        <v>15.2</v>
      </c>
      <c r="I265" s="216">
        <f t="shared" si="24"/>
        <v>1.0425240054869684</v>
      </c>
      <c r="J265" s="204">
        <v>0</v>
      </c>
      <c r="K265" s="216">
        <f t="shared" si="25"/>
        <v>0</v>
      </c>
      <c r="L265" s="205">
        <v>651.57000000000005</v>
      </c>
      <c r="M265" s="216">
        <f t="shared" si="26"/>
        <v>1.0425240054869684</v>
      </c>
      <c r="N265" s="205">
        <v>403.97339999999951</v>
      </c>
      <c r="O265" s="204">
        <v>0.2</v>
      </c>
      <c r="P265" s="206">
        <v>1.3717421124828533E-2</v>
      </c>
      <c r="Q265" s="204">
        <v>0.41999999999999921</v>
      </c>
      <c r="R265" s="206">
        <v>2.8806584362139863E-2</v>
      </c>
      <c r="S265" s="205">
        <v>273.65939999999949</v>
      </c>
      <c r="T265" s="204" t="s">
        <v>402</v>
      </c>
      <c r="U265" s="204" t="s">
        <v>224</v>
      </c>
      <c r="V265" s="204"/>
      <c r="W265" s="211">
        <v>1</v>
      </c>
      <c r="X265" s="204" t="s">
        <v>559</v>
      </c>
    </row>
    <row r="266" spans="2:24">
      <c r="B266" s="659"/>
      <c r="C266" s="659"/>
      <c r="D266" s="237">
        <v>160</v>
      </c>
      <c r="E266" s="204" t="s">
        <v>698</v>
      </c>
      <c r="F266" s="205">
        <v>130</v>
      </c>
      <c r="G266" s="204">
        <v>4.6879999999999997</v>
      </c>
      <c r="H266" s="204">
        <v>6.1</v>
      </c>
      <c r="I266" s="216">
        <f t="shared" si="24"/>
        <v>1.3011945392491469</v>
      </c>
      <c r="J266" s="204">
        <v>0</v>
      </c>
      <c r="K266" s="216">
        <f t="shared" si="25"/>
        <v>0</v>
      </c>
      <c r="L266" s="205">
        <v>130</v>
      </c>
      <c r="M266" s="216">
        <f t="shared" si="26"/>
        <v>1.3011945392491469</v>
      </c>
      <c r="N266" s="205">
        <v>183.56</v>
      </c>
      <c r="O266" s="204">
        <v>1</v>
      </c>
      <c r="P266" s="206">
        <v>0.21331058020477817</v>
      </c>
      <c r="Q266" s="204">
        <v>0.41199999999999992</v>
      </c>
      <c r="R266" s="206">
        <v>8.788395904436859E-2</v>
      </c>
      <c r="S266" s="205">
        <v>53.559999999999988</v>
      </c>
      <c r="T266" s="204" t="s">
        <v>419</v>
      </c>
      <c r="U266" s="204" t="s">
        <v>420</v>
      </c>
      <c r="V266" s="204"/>
      <c r="W266" s="211">
        <v>1</v>
      </c>
      <c r="X266" s="204" t="s">
        <v>517</v>
      </c>
    </row>
    <row r="267" spans="2:24">
      <c r="B267" s="661">
        <v>45896</v>
      </c>
      <c r="C267" s="659" t="s">
        <v>286</v>
      </c>
      <c r="D267" s="237">
        <v>161</v>
      </c>
      <c r="E267" s="204" t="s">
        <v>696</v>
      </c>
      <c r="F267" s="205">
        <v>188.29999999999998</v>
      </c>
      <c r="G267" s="204">
        <v>1858</v>
      </c>
      <c r="H267" s="204">
        <v>1872</v>
      </c>
      <c r="I267" s="216">
        <f t="shared" si="24"/>
        <v>1.0075349838536061</v>
      </c>
      <c r="J267" s="204">
        <v>0</v>
      </c>
      <c r="K267" s="216">
        <f t="shared" si="25"/>
        <v>0</v>
      </c>
      <c r="L267" s="205">
        <v>13.45</v>
      </c>
      <c r="M267" s="216">
        <f t="shared" si="26"/>
        <v>1.0075349838536061</v>
      </c>
      <c r="N267" s="205">
        <v>188.29999999999998</v>
      </c>
      <c r="O267" s="204">
        <v>14</v>
      </c>
      <c r="P267" s="206">
        <v>7.5349838536060282E-3</v>
      </c>
      <c r="Q267" s="204">
        <v>0</v>
      </c>
      <c r="R267" s="206">
        <v>0</v>
      </c>
      <c r="S267" s="205">
        <v>0</v>
      </c>
      <c r="T267" s="204" t="s">
        <v>405</v>
      </c>
      <c r="U267" s="204" t="s">
        <v>226</v>
      </c>
      <c r="V267" s="204"/>
      <c r="W267" s="211">
        <v>1</v>
      </c>
      <c r="X267" s="204" t="s">
        <v>697</v>
      </c>
    </row>
    <row r="268" spans="2:24">
      <c r="B268" s="659"/>
      <c r="C268" s="659"/>
      <c r="D268" s="237">
        <v>162</v>
      </c>
      <c r="E268" s="204" t="s">
        <v>609</v>
      </c>
      <c r="F268" s="205">
        <v>160.70000000000002</v>
      </c>
      <c r="G268" s="204">
        <v>26.936</v>
      </c>
      <c r="H268" s="204">
        <v>27.6</v>
      </c>
      <c r="I268" s="216">
        <f t="shared" si="24"/>
        <v>1.0246510246510248</v>
      </c>
      <c r="J268" s="204">
        <v>0</v>
      </c>
      <c r="K268" s="216">
        <f t="shared" si="25"/>
        <v>0</v>
      </c>
      <c r="L268" s="205">
        <v>401.75</v>
      </c>
      <c r="M268" s="216">
        <f t="shared" si="26"/>
        <v>1.0246510246510248</v>
      </c>
      <c r="N268" s="205">
        <v>266.76200000000057</v>
      </c>
      <c r="O268" s="204">
        <v>0.4</v>
      </c>
      <c r="P268" s="206">
        <v>1.485001485001485E-2</v>
      </c>
      <c r="Q268" s="204">
        <v>0.26400000000000146</v>
      </c>
      <c r="R268" s="206">
        <v>9.8010098010098551E-3</v>
      </c>
      <c r="S268" s="205">
        <v>106.06200000000058</v>
      </c>
      <c r="T268" s="204" t="s">
        <v>402</v>
      </c>
      <c r="U268" s="204" t="s">
        <v>224</v>
      </c>
      <c r="V268" s="204"/>
      <c r="W268" s="211">
        <v>1</v>
      </c>
      <c r="X268" s="204" t="s">
        <v>583</v>
      </c>
    </row>
    <row r="269" spans="2:24">
      <c r="B269" s="659"/>
      <c r="C269" s="659"/>
      <c r="D269" s="237">
        <v>163</v>
      </c>
      <c r="E269" s="204" t="s">
        <v>699</v>
      </c>
      <c r="F269" s="205">
        <v>142.31</v>
      </c>
      <c r="G269" s="204">
        <v>30.405000000000001</v>
      </c>
      <c r="H269" s="204">
        <v>32.200000000000003</v>
      </c>
      <c r="I269" s="216">
        <f t="shared" si="24"/>
        <v>1.0590363427067917</v>
      </c>
      <c r="J269" s="204">
        <v>0</v>
      </c>
      <c r="K269" s="216">
        <f t="shared" si="25"/>
        <v>0</v>
      </c>
      <c r="L269" s="205">
        <v>101.65</v>
      </c>
      <c r="M269" s="216">
        <f t="shared" si="26"/>
        <v>1.0590363427067917</v>
      </c>
      <c r="N269" s="205">
        <v>182.46175000000019</v>
      </c>
      <c r="O269" s="204">
        <v>1.4</v>
      </c>
      <c r="P269" s="206">
        <v>4.6045058378556152E-2</v>
      </c>
      <c r="Q269" s="204">
        <v>0.39500000000000179</v>
      </c>
      <c r="R269" s="206">
        <v>1.2991284328235547E-2</v>
      </c>
      <c r="S269" s="205">
        <v>40.151750000000185</v>
      </c>
      <c r="T269" s="204" t="s">
        <v>419</v>
      </c>
      <c r="U269" s="204" t="s">
        <v>522</v>
      </c>
      <c r="V269" s="204"/>
      <c r="W269" s="211">
        <v>1</v>
      </c>
      <c r="X269" s="204" t="s">
        <v>492</v>
      </c>
    </row>
    <row r="270" spans="2:24">
      <c r="B270" s="659"/>
      <c r="C270" s="659"/>
      <c r="D270" s="237">
        <v>164</v>
      </c>
      <c r="E270" s="204" t="s">
        <v>555</v>
      </c>
      <c r="F270" s="205">
        <v>139.99199999999999</v>
      </c>
      <c r="G270" s="204">
        <v>190.15100000000001</v>
      </c>
      <c r="H270" s="204">
        <v>192.3</v>
      </c>
      <c r="I270" s="216">
        <f t="shared" si="24"/>
        <v>1.0113015445619533</v>
      </c>
      <c r="J270" s="204">
        <v>0</v>
      </c>
      <c r="K270" s="216">
        <f t="shared" si="25"/>
        <v>0</v>
      </c>
      <c r="L270" s="205">
        <v>116.66</v>
      </c>
      <c r="M270" s="216">
        <f t="shared" si="26"/>
        <v>1.0113015445619533</v>
      </c>
      <c r="N270" s="205">
        <v>250.70234000000011</v>
      </c>
      <c r="O270" s="204">
        <v>1.2</v>
      </c>
      <c r="P270" s="206">
        <v>6.3107740690293498E-3</v>
      </c>
      <c r="Q270" s="204">
        <v>0.94900000000000095</v>
      </c>
      <c r="R270" s="206">
        <v>4.9907704929240491E-3</v>
      </c>
      <c r="S270" s="205">
        <v>110.7103400000001</v>
      </c>
      <c r="T270" s="204" t="s">
        <v>402</v>
      </c>
      <c r="U270" s="204" t="s">
        <v>224</v>
      </c>
      <c r="V270" s="204"/>
      <c r="W270" s="211">
        <v>1</v>
      </c>
      <c r="X270" s="204" t="s">
        <v>423</v>
      </c>
    </row>
    <row r="271" spans="2:24">
      <c r="B271" s="659"/>
      <c r="C271" s="659"/>
      <c r="D271" s="237">
        <v>165</v>
      </c>
      <c r="E271" s="204" t="s">
        <v>670</v>
      </c>
      <c r="F271" s="205">
        <v>139.34899999999999</v>
      </c>
      <c r="G271" s="204">
        <v>338.87</v>
      </c>
      <c r="H271" s="204">
        <v>341.3</v>
      </c>
      <c r="I271" s="216">
        <f t="shared" si="24"/>
        <v>1.0071708914923128</v>
      </c>
      <c r="J271" s="204">
        <v>0</v>
      </c>
      <c r="K271" s="216">
        <f t="shared" si="25"/>
        <v>0</v>
      </c>
      <c r="L271" s="205">
        <v>81.97</v>
      </c>
      <c r="M271" s="216">
        <f t="shared" si="26"/>
        <v>1.0071708914923128</v>
      </c>
      <c r="N271" s="205">
        <v>199.18710000000056</v>
      </c>
      <c r="O271" s="204">
        <v>1.7</v>
      </c>
      <c r="P271" s="206">
        <v>5.0166730604656647E-3</v>
      </c>
      <c r="Q271" s="204">
        <v>0.73000000000000687</v>
      </c>
      <c r="R271" s="206">
        <v>2.154218431847041E-3</v>
      </c>
      <c r="S271" s="205">
        <v>59.838100000000559</v>
      </c>
      <c r="T271" s="204" t="s">
        <v>402</v>
      </c>
      <c r="U271" s="204" t="s">
        <v>224</v>
      </c>
      <c r="V271" s="204"/>
      <c r="W271" s="211">
        <v>1</v>
      </c>
      <c r="X271" s="204" t="s">
        <v>413</v>
      </c>
    </row>
    <row r="272" spans="2:24">
      <c r="B272" s="659"/>
      <c r="C272" s="659"/>
      <c r="D272" s="237">
        <v>166</v>
      </c>
      <c r="E272" s="204" t="s">
        <v>594</v>
      </c>
      <c r="F272" s="205">
        <v>133.79600000000002</v>
      </c>
      <c r="G272" s="204">
        <v>46.253999999999998</v>
      </c>
      <c r="H272" s="204">
        <v>47.3</v>
      </c>
      <c r="I272" s="216">
        <f t="shared" si="24"/>
        <v>1.0226142603882908</v>
      </c>
      <c r="J272" s="204">
        <v>0</v>
      </c>
      <c r="K272" s="216">
        <f t="shared" si="25"/>
        <v>0</v>
      </c>
      <c r="L272" s="205">
        <v>334.49</v>
      </c>
      <c r="M272" s="216">
        <f t="shared" si="26"/>
        <v>1.0226142603882908</v>
      </c>
      <c r="N272" s="205">
        <v>349.87653999999981</v>
      </c>
      <c r="O272" s="204">
        <v>0.4</v>
      </c>
      <c r="P272" s="206">
        <v>8.6479007220997117E-3</v>
      </c>
      <c r="Q272" s="204">
        <v>0.64599999999999935</v>
      </c>
      <c r="R272" s="206">
        <v>1.3966359666191018E-2</v>
      </c>
      <c r="S272" s="205">
        <v>216.08053999999979</v>
      </c>
      <c r="T272" s="204" t="s">
        <v>405</v>
      </c>
      <c r="U272" s="204" t="s">
        <v>225</v>
      </c>
      <c r="V272" s="204"/>
      <c r="W272" s="211">
        <v>1</v>
      </c>
      <c r="X272" s="204" t="s">
        <v>478</v>
      </c>
    </row>
    <row r="273" spans="2:24">
      <c r="B273" s="659"/>
      <c r="C273" s="659"/>
      <c r="D273" s="237">
        <v>167</v>
      </c>
      <c r="E273" s="204" t="s">
        <v>599</v>
      </c>
      <c r="F273" s="205">
        <v>133.464</v>
      </c>
      <c r="G273" s="204">
        <v>26.478000000000002</v>
      </c>
      <c r="H273" s="204">
        <v>27.1</v>
      </c>
      <c r="I273" s="216">
        <f t="shared" si="24"/>
        <v>1.02349120024171</v>
      </c>
      <c r="J273" s="204">
        <v>0</v>
      </c>
      <c r="K273" s="216">
        <f t="shared" si="25"/>
        <v>0</v>
      </c>
      <c r="L273" s="205">
        <v>444.88</v>
      </c>
      <c r="M273" s="216">
        <f t="shared" si="26"/>
        <v>1.02349120024171</v>
      </c>
      <c r="N273" s="205">
        <v>276.71535999999992</v>
      </c>
      <c r="O273" s="204">
        <v>0.3</v>
      </c>
      <c r="P273" s="206">
        <v>1.1330160888284613E-2</v>
      </c>
      <c r="Q273" s="204">
        <v>0.3219999999999999</v>
      </c>
      <c r="R273" s="206">
        <v>1.216103935342548E-2</v>
      </c>
      <c r="S273" s="205">
        <v>143.25135999999995</v>
      </c>
      <c r="T273" s="204" t="s">
        <v>405</v>
      </c>
      <c r="U273" s="204" t="s">
        <v>226</v>
      </c>
      <c r="V273" s="204"/>
      <c r="W273" s="211">
        <v>1</v>
      </c>
      <c r="X273" s="204" t="s">
        <v>598</v>
      </c>
    </row>
    <row r="274" spans="2:24">
      <c r="B274" s="659"/>
      <c r="C274" s="659"/>
      <c r="D274" s="237">
        <v>168</v>
      </c>
      <c r="E274" s="204" t="s">
        <v>407</v>
      </c>
      <c r="F274" s="205">
        <v>132.21600000000001</v>
      </c>
      <c r="G274" s="204">
        <v>72.509</v>
      </c>
      <c r="H274" s="204">
        <v>73.8</v>
      </c>
      <c r="I274" s="216">
        <f t="shared" si="24"/>
        <v>1.0178046863148023</v>
      </c>
      <c r="J274" s="204">
        <v>0</v>
      </c>
      <c r="K274" s="216">
        <f t="shared" si="25"/>
        <v>0</v>
      </c>
      <c r="L274" s="205">
        <v>330.54</v>
      </c>
      <c r="M274" s="216">
        <f t="shared" si="26"/>
        <v>1.0178046863148023</v>
      </c>
      <c r="N274" s="205">
        <v>426.727139999999</v>
      </c>
      <c r="O274" s="204">
        <v>0.4</v>
      </c>
      <c r="P274" s="206">
        <v>5.5165565653918823E-3</v>
      </c>
      <c r="Q274" s="204">
        <v>0.89099999999999679</v>
      </c>
      <c r="R274" s="206">
        <v>1.2288129749410374E-2</v>
      </c>
      <c r="S274" s="205">
        <v>294.51113999999893</v>
      </c>
      <c r="T274" s="204" t="s">
        <v>405</v>
      </c>
      <c r="U274" s="204" t="s">
        <v>225</v>
      </c>
      <c r="V274" s="204"/>
      <c r="W274" s="211">
        <v>1</v>
      </c>
      <c r="X274" s="204" t="s">
        <v>408</v>
      </c>
    </row>
    <row r="275" spans="2:24">
      <c r="B275" s="659"/>
      <c r="C275" s="659"/>
      <c r="D275" s="237">
        <v>169</v>
      </c>
      <c r="E275" s="204" t="s">
        <v>700</v>
      </c>
      <c r="F275" s="205">
        <v>130.67599999999999</v>
      </c>
      <c r="G275" s="204">
        <v>529.38</v>
      </c>
      <c r="H275" s="204">
        <v>532.6</v>
      </c>
      <c r="I275" s="216">
        <f t="shared" si="24"/>
        <v>1.006082587177453</v>
      </c>
      <c r="J275" s="204">
        <v>0</v>
      </c>
      <c r="K275" s="216">
        <f t="shared" si="25"/>
        <v>0</v>
      </c>
      <c r="L275" s="205">
        <v>46.67</v>
      </c>
      <c r="M275" s="216">
        <f t="shared" si="26"/>
        <v>1.006082587177453</v>
      </c>
      <c r="N275" s="205">
        <v>150.27740000000128</v>
      </c>
      <c r="O275" s="204">
        <v>2.8</v>
      </c>
      <c r="P275" s="206">
        <v>5.2892062412633646E-3</v>
      </c>
      <c r="Q275" s="204">
        <v>0.42000000000002746</v>
      </c>
      <c r="R275" s="206">
        <v>7.9338093618955654E-4</v>
      </c>
      <c r="S275" s="205">
        <v>19.601400000001281</v>
      </c>
      <c r="T275" s="204" t="s">
        <v>402</v>
      </c>
      <c r="U275" s="204" t="s">
        <v>224</v>
      </c>
      <c r="V275" s="204"/>
      <c r="W275" s="211">
        <v>1</v>
      </c>
      <c r="X275" s="204" t="s">
        <v>494</v>
      </c>
    </row>
    <row r="276" spans="2:24">
      <c r="B276" s="659"/>
      <c r="C276" s="659"/>
      <c r="D276" s="237">
        <v>170</v>
      </c>
      <c r="E276" s="204" t="s">
        <v>578</v>
      </c>
      <c r="F276" s="205">
        <v>127.44</v>
      </c>
      <c r="G276" s="204">
        <v>10.925000000000001</v>
      </c>
      <c r="H276" s="204">
        <v>11.7</v>
      </c>
      <c r="I276" s="216">
        <f t="shared" si="24"/>
        <v>1.0709382151029747</v>
      </c>
      <c r="J276" s="204">
        <v>0</v>
      </c>
      <c r="K276" s="216">
        <f t="shared" si="25"/>
        <v>0</v>
      </c>
      <c r="L276" s="205">
        <v>212.4</v>
      </c>
      <c r="M276" s="216">
        <f t="shared" si="26"/>
        <v>1.0709382151029747</v>
      </c>
      <c r="N276" s="205">
        <v>164.6099999999997</v>
      </c>
      <c r="O276" s="204">
        <v>0.6</v>
      </c>
      <c r="P276" s="206">
        <v>5.4919908466819219E-2</v>
      </c>
      <c r="Q276" s="204">
        <v>0.1749999999999986</v>
      </c>
      <c r="R276" s="206">
        <v>1.6018306636155479E-2</v>
      </c>
      <c r="S276" s="205">
        <v>37.169999999999703</v>
      </c>
      <c r="T276" s="204" t="s">
        <v>419</v>
      </c>
      <c r="U276" s="204" t="s">
        <v>420</v>
      </c>
      <c r="V276" s="204"/>
      <c r="W276" s="211">
        <v>1</v>
      </c>
      <c r="X276" s="204" t="s">
        <v>489</v>
      </c>
    </row>
    <row r="277" spans="2:24">
      <c r="B277" s="661">
        <v>45897</v>
      </c>
      <c r="C277" s="659" t="s">
        <v>287</v>
      </c>
      <c r="D277" s="237">
        <v>171</v>
      </c>
      <c r="E277" s="204" t="s">
        <v>532</v>
      </c>
      <c r="F277" s="205">
        <v>189.56100000000001</v>
      </c>
      <c r="G277" s="204">
        <v>6.3630000000000004</v>
      </c>
      <c r="H277" s="204">
        <v>6.8</v>
      </c>
      <c r="I277" s="216">
        <f t="shared" si="24"/>
        <v>1.0686782964010686</v>
      </c>
      <c r="J277" s="204">
        <v>0</v>
      </c>
      <c r="K277" s="216">
        <f t="shared" si="25"/>
        <v>0</v>
      </c>
      <c r="L277" s="205">
        <v>631.87</v>
      </c>
      <c r="M277" s="216">
        <f t="shared" si="26"/>
        <v>1.0686782964010686</v>
      </c>
      <c r="N277" s="205">
        <v>276.12718999999964</v>
      </c>
      <c r="O277" s="204">
        <v>0.3</v>
      </c>
      <c r="P277" s="206">
        <v>4.714757190004714E-2</v>
      </c>
      <c r="Q277" s="204">
        <v>0.1369999999999994</v>
      </c>
      <c r="R277" s="206">
        <v>2.1530724501021434E-2</v>
      </c>
      <c r="S277" s="205">
        <v>86.566189999999622</v>
      </c>
      <c r="T277" s="204" t="s">
        <v>419</v>
      </c>
      <c r="U277" s="204" t="s">
        <v>420</v>
      </c>
      <c r="V277" s="204"/>
      <c r="W277" s="211">
        <v>1</v>
      </c>
      <c r="X277" s="204" t="s">
        <v>481</v>
      </c>
    </row>
    <row r="278" spans="2:24">
      <c r="B278" s="659"/>
      <c r="C278" s="659"/>
      <c r="D278" s="237">
        <v>172</v>
      </c>
      <c r="E278" s="204" t="s">
        <v>665</v>
      </c>
      <c r="F278" s="205">
        <v>137.41200000000001</v>
      </c>
      <c r="G278" s="204">
        <v>116.82</v>
      </c>
      <c r="H278" s="204">
        <v>119.6</v>
      </c>
      <c r="I278" s="216">
        <f t="shared" si="24"/>
        <v>1.0237972949837357</v>
      </c>
      <c r="J278" s="204">
        <v>0</v>
      </c>
      <c r="K278" s="216">
        <f t="shared" si="25"/>
        <v>0</v>
      </c>
      <c r="L278" s="205">
        <v>76.34</v>
      </c>
      <c r="M278" s="216">
        <f t="shared" si="26"/>
        <v>1.0237972949837357</v>
      </c>
      <c r="N278" s="205">
        <v>212.22520000000009</v>
      </c>
      <c r="O278" s="204">
        <v>1.8</v>
      </c>
      <c r="P278" s="206">
        <v>1.5408320493066258E-2</v>
      </c>
      <c r="Q278" s="204">
        <v>0.98000000000000109</v>
      </c>
      <c r="R278" s="206">
        <v>8.3889744906694153E-3</v>
      </c>
      <c r="S278" s="205">
        <v>74.81320000000008</v>
      </c>
      <c r="T278" s="204" t="s">
        <v>402</v>
      </c>
      <c r="U278" s="204" t="s">
        <v>224</v>
      </c>
      <c r="V278" s="204"/>
      <c r="W278" s="211">
        <v>1</v>
      </c>
      <c r="X278" s="204" t="s">
        <v>492</v>
      </c>
    </row>
    <row r="279" spans="2:24">
      <c r="B279" s="659"/>
      <c r="C279" s="659"/>
      <c r="D279" s="237">
        <v>173</v>
      </c>
      <c r="E279" s="204" t="s">
        <v>560</v>
      </c>
      <c r="F279" s="205">
        <v>136.29</v>
      </c>
      <c r="G279" s="204">
        <v>39.729999999999997</v>
      </c>
      <c r="H279" s="204">
        <v>41.5</v>
      </c>
      <c r="I279" s="216">
        <f t="shared" si="24"/>
        <v>1.044550717342059</v>
      </c>
      <c r="J279" s="204">
        <v>0</v>
      </c>
      <c r="K279" s="216">
        <f t="shared" si="25"/>
        <v>0</v>
      </c>
      <c r="L279" s="205">
        <v>97.35</v>
      </c>
      <c r="M279" s="216">
        <f t="shared" si="26"/>
        <v>1.044550717342059</v>
      </c>
      <c r="N279" s="205">
        <v>172.3095000000003</v>
      </c>
      <c r="O279" s="204">
        <v>1.4</v>
      </c>
      <c r="P279" s="206">
        <v>3.5237855524792347E-2</v>
      </c>
      <c r="Q279" s="204">
        <v>0.37000000000000322</v>
      </c>
      <c r="R279" s="206">
        <v>9.3128618172666315E-3</v>
      </c>
      <c r="S279" s="205">
        <v>36.019500000000313</v>
      </c>
      <c r="T279" s="204" t="s">
        <v>419</v>
      </c>
      <c r="U279" s="204" t="s">
        <v>522</v>
      </c>
      <c r="V279" s="204"/>
      <c r="W279" s="211">
        <v>1</v>
      </c>
      <c r="X279" s="204" t="s">
        <v>423</v>
      </c>
    </row>
    <row r="280" spans="2:24">
      <c r="B280" s="659"/>
      <c r="C280" s="659"/>
      <c r="D280" s="237">
        <v>174</v>
      </c>
      <c r="E280" s="204" t="s">
        <v>548</v>
      </c>
      <c r="F280" s="205">
        <v>134.80500000000001</v>
      </c>
      <c r="G280" s="204">
        <v>106.559</v>
      </c>
      <c r="H280" s="204">
        <v>109</v>
      </c>
      <c r="I280" s="216">
        <f t="shared" si="24"/>
        <v>1.0229074972550418</v>
      </c>
      <c r="J280" s="204">
        <v>0</v>
      </c>
      <c r="K280" s="216">
        <f t="shared" si="25"/>
        <v>0</v>
      </c>
      <c r="L280" s="205">
        <v>70.95</v>
      </c>
      <c r="M280" s="216">
        <f t="shared" si="26"/>
        <v>1.0229074972550418</v>
      </c>
      <c r="N280" s="205">
        <v>173.18895000000018</v>
      </c>
      <c r="O280" s="204">
        <v>1.9</v>
      </c>
      <c r="P280" s="206">
        <v>1.7830497658574123E-2</v>
      </c>
      <c r="Q280" s="204">
        <v>0.54100000000000259</v>
      </c>
      <c r="R280" s="206">
        <v>5.076999596467709E-3</v>
      </c>
      <c r="S280" s="205">
        <v>38.383950000000183</v>
      </c>
      <c r="T280" s="204" t="s">
        <v>402</v>
      </c>
      <c r="U280" s="204" t="s">
        <v>224</v>
      </c>
      <c r="V280" s="204"/>
      <c r="W280" s="211">
        <v>1</v>
      </c>
      <c r="X280" s="204" t="s">
        <v>482</v>
      </c>
    </row>
    <row r="281" spans="2:24">
      <c r="B281" s="659"/>
      <c r="C281" s="659"/>
      <c r="D281" s="237">
        <v>175</v>
      </c>
      <c r="E281" s="204" t="s">
        <v>696</v>
      </c>
      <c r="F281" s="205">
        <v>134.5</v>
      </c>
      <c r="G281" s="204">
        <v>1754</v>
      </c>
      <c r="H281" s="204">
        <v>1764</v>
      </c>
      <c r="I281" s="216">
        <f t="shared" si="24"/>
        <v>1.0057012542759407</v>
      </c>
      <c r="J281" s="204">
        <v>0</v>
      </c>
      <c r="K281" s="216">
        <f t="shared" si="25"/>
        <v>0</v>
      </c>
      <c r="L281" s="205">
        <v>13.45</v>
      </c>
      <c r="M281" s="216">
        <f t="shared" si="26"/>
        <v>1.0057012542759407</v>
      </c>
      <c r="N281" s="205">
        <v>134.5</v>
      </c>
      <c r="O281" s="204">
        <v>10</v>
      </c>
      <c r="P281" s="206">
        <v>5.7012542759407071E-3</v>
      </c>
      <c r="Q281" s="204">
        <v>0</v>
      </c>
      <c r="R281" s="206">
        <v>0</v>
      </c>
      <c r="S281" s="205">
        <v>0</v>
      </c>
      <c r="T281" s="204" t="s">
        <v>405</v>
      </c>
      <c r="U281" s="204" t="s">
        <v>226</v>
      </c>
      <c r="V281" s="204"/>
      <c r="W281" s="211">
        <v>1</v>
      </c>
      <c r="X281" s="204" t="s">
        <v>697</v>
      </c>
    </row>
    <row r="282" spans="2:24">
      <c r="B282" s="659"/>
      <c r="C282" s="659"/>
      <c r="D282" s="237">
        <v>176</v>
      </c>
      <c r="E282" s="204" t="s">
        <v>701</v>
      </c>
      <c r="F282" s="205">
        <v>134.20399999999998</v>
      </c>
      <c r="G282" s="204">
        <v>141.36000000000001</v>
      </c>
      <c r="H282" s="204">
        <v>144.80000000000001</v>
      </c>
      <c r="I282" s="216">
        <f t="shared" si="24"/>
        <v>1.0243350311262025</v>
      </c>
      <c r="J282" s="204">
        <v>0</v>
      </c>
      <c r="K282" s="216">
        <f t="shared" si="25"/>
        <v>0</v>
      </c>
      <c r="L282" s="205">
        <v>47.93</v>
      </c>
      <c r="M282" s="216">
        <f t="shared" si="26"/>
        <v>1.0243350311262025</v>
      </c>
      <c r="N282" s="205">
        <v>164.87919999999988</v>
      </c>
      <c r="O282" s="204">
        <v>2.8</v>
      </c>
      <c r="P282" s="206">
        <v>1.9807583474816069E-2</v>
      </c>
      <c r="Q282" s="204">
        <v>0.6399999999999979</v>
      </c>
      <c r="R282" s="206">
        <v>4.5274476513865155E-3</v>
      </c>
      <c r="S282" s="205">
        <v>30.675199999999901</v>
      </c>
      <c r="T282" s="204" t="s">
        <v>402</v>
      </c>
      <c r="U282" s="204" t="s">
        <v>224</v>
      </c>
      <c r="V282" s="204"/>
      <c r="W282" s="211">
        <v>1</v>
      </c>
      <c r="X282" s="204" t="s">
        <v>425</v>
      </c>
    </row>
    <row r="283" spans="2:24">
      <c r="B283" s="659"/>
      <c r="C283" s="659"/>
      <c r="D283" s="237">
        <v>177</v>
      </c>
      <c r="E283" s="204" t="s">
        <v>570</v>
      </c>
      <c r="F283" s="205">
        <v>134.04499999999999</v>
      </c>
      <c r="G283" s="204">
        <v>437.286</v>
      </c>
      <c r="H283" s="204">
        <v>440.5</v>
      </c>
      <c r="I283" s="216">
        <f t="shared" si="24"/>
        <v>1.0073498808560073</v>
      </c>
      <c r="J283" s="204">
        <v>0</v>
      </c>
      <c r="K283" s="216">
        <f t="shared" si="25"/>
        <v>0</v>
      </c>
      <c r="L283" s="205">
        <v>78.849999999999994</v>
      </c>
      <c r="M283" s="216">
        <f t="shared" si="26"/>
        <v>1.0073498808560073</v>
      </c>
      <c r="N283" s="205">
        <v>253.42389999999986</v>
      </c>
      <c r="O283" s="204">
        <v>1.7</v>
      </c>
      <c r="P283" s="206">
        <v>3.8876158852558735E-3</v>
      </c>
      <c r="Q283" s="204">
        <v>1.5139999999999987</v>
      </c>
      <c r="R283" s="206">
        <v>3.4622649707514047E-3</v>
      </c>
      <c r="S283" s="205">
        <v>119.37889999999989</v>
      </c>
      <c r="T283" s="204" t="s">
        <v>402</v>
      </c>
      <c r="U283" s="204" t="s">
        <v>224</v>
      </c>
      <c r="V283" s="204"/>
      <c r="W283" s="211">
        <v>1</v>
      </c>
      <c r="X283" s="204" t="s">
        <v>408</v>
      </c>
    </row>
    <row r="284" spans="2:24" ht="16.5">
      <c r="B284" s="659"/>
      <c r="C284" s="659"/>
      <c r="D284" s="237">
        <v>178</v>
      </c>
      <c r="E284" s="204" t="s">
        <v>668</v>
      </c>
      <c r="F284" s="205">
        <v>132.87199999999999</v>
      </c>
      <c r="G284" s="204">
        <v>176.8</v>
      </c>
      <c r="H284" s="204">
        <v>179.6</v>
      </c>
      <c r="I284" s="216">
        <f t="shared" si="24"/>
        <v>1.0158371040723981</v>
      </c>
      <c r="J284" s="204">
        <v>0</v>
      </c>
      <c r="K284" s="216">
        <f t="shared" si="25"/>
        <v>0</v>
      </c>
      <c r="L284" s="205">
        <v>78.16</v>
      </c>
      <c r="M284" s="216">
        <f t="shared" si="26"/>
        <v>1.0158371040723981</v>
      </c>
      <c r="N284" s="205">
        <v>218.84799999999865</v>
      </c>
      <c r="O284" s="204">
        <v>1.7</v>
      </c>
      <c r="P284" s="206">
        <v>9.6153846153846142E-3</v>
      </c>
      <c r="Q284" s="204">
        <v>1.099999999999983</v>
      </c>
      <c r="R284" s="206">
        <v>6.221719457013478E-3</v>
      </c>
      <c r="S284" s="205">
        <v>85.975999999998663</v>
      </c>
      <c r="T284" s="204" t="s">
        <v>405</v>
      </c>
      <c r="U284" s="204" t="s">
        <v>412</v>
      </c>
      <c r="V284" s="338" t="s">
        <v>702</v>
      </c>
      <c r="W284" s="211">
        <v>1</v>
      </c>
      <c r="X284" s="204" t="s">
        <v>403</v>
      </c>
    </row>
    <row r="285" spans="2:24">
      <c r="B285" s="659"/>
      <c r="C285" s="659"/>
      <c r="D285" s="237">
        <v>179</v>
      </c>
      <c r="E285" s="204" t="s">
        <v>547</v>
      </c>
      <c r="F285" s="205">
        <v>127.738</v>
      </c>
      <c r="G285" s="204">
        <v>131.02500000000001</v>
      </c>
      <c r="H285" s="204">
        <v>133.19999999999999</v>
      </c>
      <c r="I285" s="216">
        <f t="shared" si="24"/>
        <v>1.0165998855180307</v>
      </c>
      <c r="J285" s="204">
        <v>0</v>
      </c>
      <c r="K285" s="216">
        <f t="shared" si="25"/>
        <v>0</v>
      </c>
      <c r="L285" s="205">
        <v>75.14</v>
      </c>
      <c r="M285" s="216">
        <f t="shared" si="26"/>
        <v>1.0165998855180307</v>
      </c>
      <c r="N285" s="205">
        <v>163.42949999999871</v>
      </c>
      <c r="O285" s="204">
        <v>1.7</v>
      </c>
      <c r="P285" s="206">
        <v>1.2974623163518412E-2</v>
      </c>
      <c r="Q285" s="204">
        <v>0.47499999999998299</v>
      </c>
      <c r="R285" s="206">
        <v>3.6252623545123676E-3</v>
      </c>
      <c r="S285" s="205">
        <v>35.691499999998719</v>
      </c>
      <c r="T285" s="204" t="s">
        <v>402</v>
      </c>
      <c r="U285" s="204" t="s">
        <v>224</v>
      </c>
      <c r="V285" s="204"/>
      <c r="W285" s="211">
        <v>1</v>
      </c>
      <c r="X285" s="204" t="s">
        <v>423</v>
      </c>
    </row>
    <row r="286" spans="2:24">
      <c r="B286" s="659"/>
      <c r="C286" s="659"/>
      <c r="D286" s="237">
        <v>180</v>
      </c>
      <c r="E286" s="204" t="s">
        <v>531</v>
      </c>
      <c r="F286" s="205">
        <v>126.67200000000001</v>
      </c>
      <c r="G286" s="204">
        <v>16.785</v>
      </c>
      <c r="H286" s="204">
        <v>18.100000000000001</v>
      </c>
      <c r="I286" s="216">
        <f t="shared" si="24"/>
        <v>1.0783437593089069</v>
      </c>
      <c r="J286" s="204">
        <v>0</v>
      </c>
      <c r="K286" s="216">
        <f t="shared" si="25"/>
        <v>0</v>
      </c>
      <c r="L286" s="205">
        <v>180.96</v>
      </c>
      <c r="M286" s="216">
        <f t="shared" si="26"/>
        <v>1.0783437593089069</v>
      </c>
      <c r="N286" s="205">
        <v>237.96240000000023</v>
      </c>
      <c r="O286" s="204">
        <v>0.70000000000000007</v>
      </c>
      <c r="P286" s="206">
        <v>4.170390229371463E-2</v>
      </c>
      <c r="Q286" s="204">
        <v>0.61500000000000121</v>
      </c>
      <c r="R286" s="206">
        <v>3.6639857015192207E-2</v>
      </c>
      <c r="S286" s="205">
        <v>111.29040000000022</v>
      </c>
      <c r="T286" s="204" t="s">
        <v>419</v>
      </c>
      <c r="U286" s="204" t="s">
        <v>420</v>
      </c>
      <c r="V286" s="204"/>
      <c r="W286" s="211">
        <v>1</v>
      </c>
      <c r="X286" s="204" t="s">
        <v>468</v>
      </c>
    </row>
    <row r="287" spans="2:24">
      <c r="B287" s="661">
        <v>45898</v>
      </c>
      <c r="C287" s="659" t="s">
        <v>270</v>
      </c>
      <c r="D287" s="237">
        <v>181</v>
      </c>
      <c r="E287" s="204" t="s">
        <v>558</v>
      </c>
      <c r="F287" s="205">
        <v>130.31400000000002</v>
      </c>
      <c r="G287" s="204">
        <v>13.164</v>
      </c>
      <c r="H287" s="204">
        <v>13.4</v>
      </c>
      <c r="I287" s="216">
        <f t="shared" si="24"/>
        <v>1.0179276815557581</v>
      </c>
      <c r="J287" s="204">
        <v>0</v>
      </c>
      <c r="K287" s="216">
        <f t="shared" si="25"/>
        <v>0</v>
      </c>
      <c r="L287" s="205">
        <v>651.57000000000005</v>
      </c>
      <c r="M287" s="216">
        <f t="shared" si="26"/>
        <v>1.0179276815557581</v>
      </c>
      <c r="N287" s="205">
        <v>153.77052000000043</v>
      </c>
      <c r="O287" s="204">
        <v>0.2</v>
      </c>
      <c r="P287" s="206">
        <v>1.5192950470981466E-2</v>
      </c>
      <c r="Q287" s="204">
        <v>3.6000000000000643E-2</v>
      </c>
      <c r="R287" s="206">
        <v>2.7347310847767124E-3</v>
      </c>
      <c r="S287" s="205">
        <v>23.45652000000042</v>
      </c>
      <c r="T287" s="204" t="s">
        <v>402</v>
      </c>
      <c r="U287" s="204" t="s">
        <v>224</v>
      </c>
      <c r="V287" s="204"/>
      <c r="W287" s="211">
        <v>1</v>
      </c>
      <c r="X287" s="204" t="s">
        <v>559</v>
      </c>
    </row>
    <row r="288" spans="2:24">
      <c r="B288" s="659"/>
      <c r="C288" s="659"/>
      <c r="D288" s="237">
        <v>182</v>
      </c>
      <c r="E288" s="204" t="s">
        <v>665</v>
      </c>
      <c r="F288" s="205">
        <v>129.77799999999999</v>
      </c>
      <c r="G288" s="204">
        <v>101.28</v>
      </c>
      <c r="H288" s="204">
        <v>104</v>
      </c>
      <c r="I288" s="216">
        <f t="shared" si="24"/>
        <v>1.0268562401263823</v>
      </c>
      <c r="J288" s="204">
        <v>0</v>
      </c>
      <c r="K288" s="216">
        <f t="shared" si="25"/>
        <v>0</v>
      </c>
      <c r="L288" s="205">
        <v>76.34</v>
      </c>
      <c r="M288" s="216">
        <f t="shared" si="26"/>
        <v>1.0268562401263823</v>
      </c>
      <c r="N288" s="205">
        <v>207.64479999999992</v>
      </c>
      <c r="O288" s="204">
        <v>1.7</v>
      </c>
      <c r="P288" s="206">
        <v>1.6785150078988943E-2</v>
      </c>
      <c r="Q288" s="204">
        <v>1.0199999999999989</v>
      </c>
      <c r="R288" s="206">
        <v>1.0071090047393354E-2</v>
      </c>
      <c r="S288" s="205">
        <v>77.866799999999927</v>
      </c>
      <c r="T288" s="204" t="s">
        <v>419</v>
      </c>
      <c r="U288" s="204" t="s">
        <v>522</v>
      </c>
      <c r="V288" s="204"/>
      <c r="W288" s="211">
        <v>1</v>
      </c>
      <c r="X288" s="204" t="s">
        <v>492</v>
      </c>
    </row>
    <row r="289" spans="2:24">
      <c r="B289" s="659"/>
      <c r="C289" s="659"/>
      <c r="D289" s="237">
        <v>183</v>
      </c>
      <c r="E289" s="204" t="s">
        <v>703</v>
      </c>
      <c r="F289" s="205">
        <v>127.66999999999999</v>
      </c>
      <c r="G289" s="204">
        <v>54.536999999999999</v>
      </c>
      <c r="H289" s="204">
        <v>57.4</v>
      </c>
      <c r="I289" s="216">
        <f t="shared" si="24"/>
        <v>1.0524964702862276</v>
      </c>
      <c r="J289" s="204">
        <v>0</v>
      </c>
      <c r="K289" s="216">
        <f t="shared" si="25"/>
        <v>0</v>
      </c>
      <c r="L289" s="205">
        <v>75.099999999999994</v>
      </c>
      <c r="M289" s="216">
        <f t="shared" si="26"/>
        <v>1.0524964702862276</v>
      </c>
      <c r="N289" s="205">
        <v>215.01129999999995</v>
      </c>
      <c r="O289" s="204">
        <v>1.7</v>
      </c>
      <c r="P289" s="206">
        <v>3.1171498248895244E-2</v>
      </c>
      <c r="Q289" s="204">
        <v>1.1629999999999996</v>
      </c>
      <c r="R289" s="206">
        <v>2.1324972037332447E-2</v>
      </c>
      <c r="S289" s="205">
        <v>87.341299999999961</v>
      </c>
      <c r="T289" s="204" t="s">
        <v>419</v>
      </c>
      <c r="U289" s="204" t="s">
        <v>522</v>
      </c>
      <c r="V289" s="204"/>
      <c r="W289" s="211">
        <v>1</v>
      </c>
      <c r="X289" s="204" t="s">
        <v>512</v>
      </c>
    </row>
    <row r="290" spans="2:24">
      <c r="B290" s="659"/>
      <c r="C290" s="659"/>
      <c r="D290" s="237">
        <v>184</v>
      </c>
      <c r="E290" s="204" t="s">
        <v>529</v>
      </c>
      <c r="F290" s="205">
        <v>127.48</v>
      </c>
      <c r="G290" s="204">
        <v>116.654</v>
      </c>
      <c r="H290" s="204">
        <v>118.8</v>
      </c>
      <c r="I290" s="216">
        <f t="shared" si="24"/>
        <v>1.0183962830250142</v>
      </c>
      <c r="J290" s="204">
        <v>0</v>
      </c>
      <c r="K290" s="216">
        <f t="shared" si="25"/>
        <v>0</v>
      </c>
      <c r="L290" s="205">
        <v>127.48</v>
      </c>
      <c r="M290" s="216">
        <f t="shared" si="26"/>
        <v>1.0183962830250142</v>
      </c>
      <c r="N290" s="205">
        <v>273.57208000000008</v>
      </c>
      <c r="O290" s="204">
        <v>1</v>
      </c>
      <c r="P290" s="206">
        <v>8.5723592847223411E-3</v>
      </c>
      <c r="Q290" s="204">
        <v>1.1460000000000008</v>
      </c>
      <c r="R290" s="206">
        <v>9.8239237402918105E-3</v>
      </c>
      <c r="S290" s="205">
        <v>146.0920800000001</v>
      </c>
      <c r="T290" s="204" t="s">
        <v>402</v>
      </c>
      <c r="U290" s="204" t="s">
        <v>224</v>
      </c>
      <c r="V290" s="204"/>
      <c r="W290" s="211">
        <v>1</v>
      </c>
      <c r="X290" s="204" t="s">
        <v>417</v>
      </c>
    </row>
    <row r="291" spans="2:24">
      <c r="B291" s="659"/>
      <c r="C291" s="659"/>
      <c r="D291" s="237">
        <v>185</v>
      </c>
      <c r="E291" s="204" t="s">
        <v>532</v>
      </c>
      <c r="F291" s="205">
        <v>126.37400000000001</v>
      </c>
      <c r="G291" s="204">
        <v>5.9790000000000001</v>
      </c>
      <c r="H291" s="204">
        <v>6.2</v>
      </c>
      <c r="I291" s="216">
        <f t="shared" si="24"/>
        <v>1.0369627027931092</v>
      </c>
      <c r="J291" s="204">
        <v>0</v>
      </c>
      <c r="K291" s="216">
        <f t="shared" si="25"/>
        <v>0</v>
      </c>
      <c r="L291" s="205">
        <v>631.87</v>
      </c>
      <c r="M291" s="216">
        <f t="shared" si="26"/>
        <v>1.0369627027931092</v>
      </c>
      <c r="N291" s="205">
        <v>139.64327000000006</v>
      </c>
      <c r="O291" s="204">
        <v>0.2</v>
      </c>
      <c r="P291" s="206">
        <v>3.3450409767519652E-2</v>
      </c>
      <c r="Q291" s="204">
        <v>2.1000000000000074E-2</v>
      </c>
      <c r="R291" s="206">
        <v>3.5122930255895757E-3</v>
      </c>
      <c r="S291" s="205">
        <v>13.269270000000047</v>
      </c>
      <c r="T291" s="204" t="s">
        <v>419</v>
      </c>
      <c r="U291" s="204" t="s">
        <v>522</v>
      </c>
      <c r="V291" s="204"/>
      <c r="W291" s="211">
        <v>1</v>
      </c>
      <c r="X291" s="204" t="s">
        <v>481</v>
      </c>
    </row>
    <row r="292" spans="2:24">
      <c r="B292" s="659"/>
      <c r="C292" s="659"/>
      <c r="D292" s="237">
        <v>186</v>
      </c>
      <c r="E292" s="204" t="s">
        <v>570</v>
      </c>
      <c r="F292" s="205">
        <v>126.16</v>
      </c>
      <c r="G292" s="204">
        <v>385.76400000000001</v>
      </c>
      <c r="H292" s="204">
        <v>388.7</v>
      </c>
      <c r="I292" s="216">
        <f t="shared" si="24"/>
        <v>1.0076108708951586</v>
      </c>
      <c r="J292" s="204">
        <v>0</v>
      </c>
      <c r="K292" s="216">
        <f t="shared" si="25"/>
        <v>0</v>
      </c>
      <c r="L292" s="205">
        <v>78.849999999999994</v>
      </c>
      <c r="M292" s="216">
        <f t="shared" si="26"/>
        <v>1.0076108708951586</v>
      </c>
      <c r="N292" s="205">
        <v>231.5035999999983</v>
      </c>
      <c r="O292" s="204">
        <v>1.6</v>
      </c>
      <c r="P292" s="206">
        <v>4.1476135668439777E-3</v>
      </c>
      <c r="Q292" s="204">
        <v>1.3359999999999785</v>
      </c>
      <c r="R292" s="206">
        <v>3.4632573283146654E-3</v>
      </c>
      <c r="S292" s="205">
        <v>105.3435999999983</v>
      </c>
      <c r="T292" s="204" t="s">
        <v>402</v>
      </c>
      <c r="U292" s="204" t="s">
        <v>224</v>
      </c>
      <c r="V292" s="204"/>
      <c r="W292" s="211">
        <v>1</v>
      </c>
      <c r="X292" s="204" t="s">
        <v>408</v>
      </c>
    </row>
    <row r="293" spans="2:24">
      <c r="B293" s="659"/>
      <c r="C293" s="659"/>
      <c r="D293" s="237">
        <v>187</v>
      </c>
      <c r="E293" s="204" t="s">
        <v>597</v>
      </c>
      <c r="F293" s="205">
        <v>125.523</v>
      </c>
      <c r="G293" s="204">
        <v>15.741</v>
      </c>
      <c r="H293" s="204">
        <v>16.3</v>
      </c>
      <c r="I293" s="216">
        <f t="shared" si="24"/>
        <v>1.0355123562670734</v>
      </c>
      <c r="J293" s="204">
        <v>0</v>
      </c>
      <c r="K293" s="216">
        <f t="shared" si="25"/>
        <v>0</v>
      </c>
      <c r="L293" s="205">
        <v>418.41</v>
      </c>
      <c r="M293" s="216">
        <f t="shared" si="26"/>
        <v>1.0355123562670734</v>
      </c>
      <c r="N293" s="205">
        <v>233.89119000000045</v>
      </c>
      <c r="O293" s="204">
        <v>0.3</v>
      </c>
      <c r="P293" s="206">
        <v>1.905850962454736E-2</v>
      </c>
      <c r="Q293" s="204">
        <v>0.25900000000000106</v>
      </c>
      <c r="R293" s="206">
        <v>1.6453846642525957E-2</v>
      </c>
      <c r="S293" s="205">
        <v>108.36819000000045</v>
      </c>
      <c r="T293" s="204" t="s">
        <v>419</v>
      </c>
      <c r="U293" s="204" t="s">
        <v>420</v>
      </c>
      <c r="V293" s="204"/>
      <c r="W293" s="211">
        <v>1</v>
      </c>
      <c r="X293" s="204" t="s">
        <v>471</v>
      </c>
    </row>
    <row r="294" spans="2:24" ht="16.5">
      <c r="B294" s="659"/>
      <c r="C294" s="659"/>
      <c r="D294" s="237">
        <v>188</v>
      </c>
      <c r="E294" s="204" t="s">
        <v>668</v>
      </c>
      <c r="F294" s="205">
        <v>125.056</v>
      </c>
      <c r="G294" s="204">
        <v>175.44</v>
      </c>
      <c r="H294" s="204">
        <v>178.3</v>
      </c>
      <c r="I294" s="216">
        <f t="shared" si="24"/>
        <v>1.0163018695850434</v>
      </c>
      <c r="J294" s="204">
        <v>0</v>
      </c>
      <c r="K294" s="216">
        <f t="shared" si="25"/>
        <v>0</v>
      </c>
      <c r="L294" s="205">
        <v>78.16</v>
      </c>
      <c r="M294" s="216">
        <f t="shared" si="26"/>
        <v>1.0163018695850434</v>
      </c>
      <c r="N294" s="205">
        <v>223.53760000000105</v>
      </c>
      <c r="O294" s="204">
        <v>1.6</v>
      </c>
      <c r="P294" s="206">
        <v>9.1199270405836752E-3</v>
      </c>
      <c r="Q294" s="204">
        <v>1.2600000000000136</v>
      </c>
      <c r="R294" s="206">
        <v>7.1819425444597214E-3</v>
      </c>
      <c r="S294" s="205">
        <v>98.481600000001052</v>
      </c>
      <c r="T294" s="204" t="s">
        <v>405</v>
      </c>
      <c r="U294" s="204" t="s">
        <v>412</v>
      </c>
      <c r="V294" s="338" t="s">
        <v>702</v>
      </c>
      <c r="W294" s="211">
        <v>1</v>
      </c>
      <c r="X294" s="204" t="s">
        <v>403</v>
      </c>
    </row>
    <row r="295" spans="2:24">
      <c r="B295" s="659"/>
      <c r="C295" s="659"/>
      <c r="D295" s="237">
        <v>189</v>
      </c>
      <c r="E295" s="204" t="s">
        <v>422</v>
      </c>
      <c r="F295" s="205">
        <v>123.20099999999999</v>
      </c>
      <c r="G295" s="204">
        <v>236.23400000000001</v>
      </c>
      <c r="H295" s="204">
        <v>237.6</v>
      </c>
      <c r="I295" s="216">
        <f t="shared" si="24"/>
        <v>1.0057824021944344</v>
      </c>
      <c r="J295" s="204">
        <v>0</v>
      </c>
      <c r="K295" s="216">
        <f t="shared" si="25"/>
        <v>0</v>
      </c>
      <c r="L295" s="205">
        <v>136.88999999999999</v>
      </c>
      <c r="M295" s="216">
        <f t="shared" si="26"/>
        <v>1.0057824021944344</v>
      </c>
      <c r="N295" s="205">
        <v>186.991739999998</v>
      </c>
      <c r="O295" s="204">
        <v>0.9</v>
      </c>
      <c r="P295" s="206">
        <v>3.8097818264940693E-3</v>
      </c>
      <c r="Q295" s="204">
        <v>0.46599999999998543</v>
      </c>
      <c r="R295" s="206">
        <v>1.9726203679402009E-3</v>
      </c>
      <c r="S295" s="205">
        <v>63.790739999997996</v>
      </c>
      <c r="T295" s="204" t="s">
        <v>402</v>
      </c>
      <c r="U295" s="204" t="s">
        <v>224</v>
      </c>
      <c r="V295" s="204"/>
      <c r="W295" s="211">
        <v>1</v>
      </c>
      <c r="X295" s="204" t="s">
        <v>423</v>
      </c>
    </row>
    <row r="296" spans="2:24">
      <c r="B296" s="659"/>
      <c r="C296" s="659"/>
      <c r="D296" s="237">
        <v>190</v>
      </c>
      <c r="E296" s="204" t="s">
        <v>437</v>
      </c>
      <c r="F296" s="205">
        <v>118.32000000000001</v>
      </c>
      <c r="G296" s="204">
        <v>4.2569999999999997</v>
      </c>
      <c r="H296" s="204">
        <v>4.7</v>
      </c>
      <c r="I296" s="216">
        <f t="shared" si="24"/>
        <v>1.1040638947615693</v>
      </c>
      <c r="J296" s="204">
        <v>0</v>
      </c>
      <c r="K296" s="216">
        <f t="shared" si="25"/>
        <v>0</v>
      </c>
      <c r="L296" s="205">
        <v>591.6</v>
      </c>
      <c r="M296" s="216">
        <f t="shared" si="26"/>
        <v>1.1040638947615693</v>
      </c>
      <c r="N296" s="205">
        <v>262.07880000000029</v>
      </c>
      <c r="O296" s="204">
        <v>0.2</v>
      </c>
      <c r="P296" s="206">
        <v>4.6981442330279545E-2</v>
      </c>
      <c r="Q296" s="204">
        <v>0.24300000000000049</v>
      </c>
      <c r="R296" s="206">
        <v>5.708245243128976E-2</v>
      </c>
      <c r="S296" s="205">
        <v>143.75880000000029</v>
      </c>
      <c r="T296" s="204" t="s">
        <v>537</v>
      </c>
      <c r="U296" s="204" t="s">
        <v>522</v>
      </c>
      <c r="V296" s="204"/>
      <c r="W296" s="211">
        <v>1</v>
      </c>
      <c r="X296" s="204" t="s">
        <v>438</v>
      </c>
    </row>
    <row r="297" spans="2:24">
      <c r="B297" s="661">
        <v>45899</v>
      </c>
      <c r="C297" s="659" t="s">
        <v>288</v>
      </c>
      <c r="D297" s="237">
        <v>191</v>
      </c>
      <c r="E297" s="204" t="s">
        <v>696</v>
      </c>
      <c r="F297" s="205">
        <v>134.5</v>
      </c>
      <c r="G297" s="204">
        <v>1718</v>
      </c>
      <c r="H297" s="204">
        <v>1728</v>
      </c>
      <c r="I297" s="216">
        <f t="shared" si="24"/>
        <v>1.0058207217694994</v>
      </c>
      <c r="J297" s="204">
        <v>0</v>
      </c>
      <c r="K297" s="216">
        <f t="shared" si="25"/>
        <v>0</v>
      </c>
      <c r="L297" s="205">
        <v>13.45</v>
      </c>
      <c r="M297" s="216">
        <f t="shared" si="26"/>
        <v>1.0058207217694994</v>
      </c>
      <c r="N297" s="205">
        <v>134.5</v>
      </c>
      <c r="O297" s="204">
        <v>10</v>
      </c>
      <c r="P297" s="206">
        <v>5.8207217694994182E-3</v>
      </c>
      <c r="Q297" s="204">
        <v>0</v>
      </c>
      <c r="R297" s="206">
        <v>0</v>
      </c>
      <c r="S297" s="205">
        <v>0</v>
      </c>
      <c r="T297" s="204" t="s">
        <v>405</v>
      </c>
      <c r="U297" s="204" t="s">
        <v>226</v>
      </c>
      <c r="V297" s="204"/>
      <c r="W297" s="211">
        <v>1</v>
      </c>
      <c r="X297" s="204" t="s">
        <v>697</v>
      </c>
    </row>
    <row r="298" spans="2:24">
      <c r="B298" s="659"/>
      <c r="C298" s="659"/>
      <c r="D298" s="237">
        <v>192</v>
      </c>
      <c r="E298" s="204" t="s">
        <v>664</v>
      </c>
      <c r="F298" s="205">
        <v>126.54</v>
      </c>
      <c r="G298" s="204">
        <v>48.45</v>
      </c>
      <c r="H298" s="204">
        <v>49.3</v>
      </c>
      <c r="I298" s="216">
        <f t="shared" si="24"/>
        <v>1.0175438596491226</v>
      </c>
      <c r="J298" s="204">
        <v>0</v>
      </c>
      <c r="K298" s="216">
        <f t="shared" si="25"/>
        <v>0</v>
      </c>
      <c r="L298" s="205">
        <v>253.08</v>
      </c>
      <c r="M298" s="216">
        <f t="shared" si="26"/>
        <v>1.0175438596491226</v>
      </c>
      <c r="N298" s="205">
        <v>215.11799999999857</v>
      </c>
      <c r="O298" s="204">
        <v>0.5</v>
      </c>
      <c r="P298" s="206">
        <v>1.0319917440660475E-2</v>
      </c>
      <c r="Q298" s="204">
        <v>0.34999999999999432</v>
      </c>
      <c r="R298" s="206">
        <v>7.2239422084622142E-3</v>
      </c>
      <c r="S298" s="205">
        <v>88.577999999998568</v>
      </c>
      <c r="T298" s="204" t="s">
        <v>402</v>
      </c>
      <c r="U298" s="204" t="s">
        <v>224</v>
      </c>
      <c r="V298" s="204"/>
      <c r="W298" s="211">
        <v>1</v>
      </c>
      <c r="X298" s="204" t="s">
        <v>489</v>
      </c>
    </row>
    <row r="299" spans="2:24">
      <c r="B299" s="659"/>
      <c r="C299" s="659"/>
      <c r="D299" s="237">
        <v>193</v>
      </c>
      <c r="E299" s="204" t="s">
        <v>533</v>
      </c>
      <c r="F299" s="205">
        <v>118.94000000000001</v>
      </c>
      <c r="G299" s="204">
        <v>42.328000000000003</v>
      </c>
      <c r="H299" s="204">
        <v>43.1</v>
      </c>
      <c r="I299" s="216">
        <f t="shared" si="24"/>
        <v>1.0182385182385183</v>
      </c>
      <c r="J299" s="204">
        <v>0</v>
      </c>
      <c r="K299" s="216">
        <f t="shared" si="25"/>
        <v>0</v>
      </c>
      <c r="L299" s="205">
        <v>297.35000000000002</v>
      </c>
      <c r="M299" s="216">
        <f t="shared" si="26"/>
        <v>1.0182385182385183</v>
      </c>
      <c r="N299" s="205">
        <v>229.55419999999955</v>
      </c>
      <c r="O299" s="204">
        <v>0.4</v>
      </c>
      <c r="P299" s="206">
        <v>9.4500094500094504E-3</v>
      </c>
      <c r="Q299" s="204">
        <v>0.37199999999999844</v>
      </c>
      <c r="R299" s="206">
        <v>8.7885087885087518E-3</v>
      </c>
      <c r="S299" s="205">
        <v>110.61419999999954</v>
      </c>
      <c r="T299" s="204" t="s">
        <v>402</v>
      </c>
      <c r="U299" s="204" t="s">
        <v>224</v>
      </c>
      <c r="V299" s="204"/>
      <c r="W299" s="211">
        <v>1</v>
      </c>
      <c r="X299" s="204" t="s">
        <v>474</v>
      </c>
    </row>
    <row r="300" spans="2:24">
      <c r="B300" s="659"/>
      <c r="C300" s="659"/>
      <c r="D300" s="237">
        <v>194</v>
      </c>
      <c r="E300" s="204" t="s">
        <v>704</v>
      </c>
      <c r="F300" s="205">
        <v>118.339</v>
      </c>
      <c r="G300" s="204">
        <v>95.037999999999997</v>
      </c>
      <c r="H300" s="204">
        <v>97.2</v>
      </c>
      <c r="I300" s="216">
        <f t="shared" si="24"/>
        <v>1.0227487952187546</v>
      </c>
      <c r="J300" s="204">
        <v>0</v>
      </c>
      <c r="K300" s="216">
        <f t="shared" si="25"/>
        <v>0</v>
      </c>
      <c r="L300" s="205">
        <v>91.03</v>
      </c>
      <c r="M300" s="216">
        <f t="shared" si="26"/>
        <v>1.0227487952187546</v>
      </c>
      <c r="N300" s="205">
        <v>196.80686000000057</v>
      </c>
      <c r="O300" s="204">
        <v>1.3</v>
      </c>
      <c r="P300" s="206">
        <v>1.367873903070351E-2</v>
      </c>
      <c r="Q300" s="204">
        <v>0.86200000000000609</v>
      </c>
      <c r="R300" s="206">
        <v>9.0700561880511597E-3</v>
      </c>
      <c r="S300" s="205">
        <v>78.467860000000556</v>
      </c>
      <c r="T300" s="204" t="s">
        <v>402</v>
      </c>
      <c r="U300" s="204" t="s">
        <v>224</v>
      </c>
      <c r="V300" s="204"/>
      <c r="W300" s="211">
        <v>1</v>
      </c>
      <c r="X300" s="204" t="s">
        <v>484</v>
      </c>
    </row>
    <row r="301" spans="2:24">
      <c r="B301" s="659"/>
      <c r="C301" s="659"/>
      <c r="D301" s="237">
        <v>195</v>
      </c>
      <c r="E301" s="204" t="s">
        <v>570</v>
      </c>
      <c r="F301" s="205">
        <v>118.27499999999999</v>
      </c>
      <c r="G301" s="204">
        <v>446.77199999999999</v>
      </c>
      <c r="H301" s="204">
        <v>450.3</v>
      </c>
      <c r="I301" s="216">
        <f t="shared" si="24"/>
        <v>1.0078966452687277</v>
      </c>
      <c r="J301" s="204">
        <v>0</v>
      </c>
      <c r="K301" s="216">
        <f t="shared" si="25"/>
        <v>0</v>
      </c>
      <c r="L301" s="205">
        <v>78.849999999999994</v>
      </c>
      <c r="M301" s="216">
        <f t="shared" si="26"/>
        <v>1.0078966452687277</v>
      </c>
      <c r="N301" s="205">
        <v>278.18280000000158</v>
      </c>
      <c r="O301" s="204">
        <v>1.5</v>
      </c>
      <c r="P301" s="206">
        <v>3.3574172060916977E-3</v>
      </c>
      <c r="Q301" s="204">
        <v>2.02800000000002</v>
      </c>
      <c r="R301" s="206">
        <v>4.5392280626360207E-3</v>
      </c>
      <c r="S301" s="205">
        <v>159.90780000000157</v>
      </c>
      <c r="T301" s="204" t="s">
        <v>402</v>
      </c>
      <c r="U301" s="204" t="s">
        <v>224</v>
      </c>
      <c r="V301" s="204"/>
      <c r="W301" s="211">
        <v>1</v>
      </c>
      <c r="X301" s="204" t="s">
        <v>408</v>
      </c>
    </row>
    <row r="302" spans="2:24">
      <c r="B302" s="659"/>
      <c r="C302" s="659"/>
      <c r="D302" s="237">
        <v>196</v>
      </c>
      <c r="E302" s="204" t="s">
        <v>705</v>
      </c>
      <c r="F302" s="205">
        <v>116.78800000000001</v>
      </c>
      <c r="G302" s="204">
        <v>2.552</v>
      </c>
      <c r="H302" s="204">
        <v>3.1</v>
      </c>
      <c r="I302" s="216">
        <f t="shared" si="24"/>
        <v>1.2147335423197492</v>
      </c>
      <c r="J302" s="204">
        <v>0</v>
      </c>
      <c r="K302" s="216">
        <f t="shared" si="25"/>
        <v>0</v>
      </c>
      <c r="L302" s="205">
        <v>291.97000000000003</v>
      </c>
      <c r="M302" s="216">
        <f t="shared" si="26"/>
        <v>1.2147335423197492</v>
      </c>
      <c r="N302" s="205">
        <v>159.99956000000003</v>
      </c>
      <c r="O302" s="204">
        <v>0.4</v>
      </c>
      <c r="P302" s="206">
        <v>0.15673981191222572</v>
      </c>
      <c r="Q302" s="204">
        <v>0.14800000000000002</v>
      </c>
      <c r="R302" s="206">
        <v>5.7993730407523515E-2</v>
      </c>
      <c r="S302" s="205">
        <v>43.211560000000013</v>
      </c>
      <c r="T302" s="204" t="s">
        <v>537</v>
      </c>
      <c r="U302" s="204" t="s">
        <v>522</v>
      </c>
      <c r="V302" s="204"/>
      <c r="W302" s="211">
        <v>1</v>
      </c>
      <c r="X302" s="204" t="s">
        <v>463</v>
      </c>
    </row>
    <row r="303" spans="2:24">
      <c r="B303" s="659"/>
      <c r="C303" s="659"/>
      <c r="D303" s="237">
        <v>197</v>
      </c>
      <c r="E303" s="204" t="s">
        <v>433</v>
      </c>
      <c r="F303" s="205">
        <v>116.384</v>
      </c>
      <c r="G303" s="204">
        <v>26.353000000000002</v>
      </c>
      <c r="H303" s="204">
        <v>26.9</v>
      </c>
      <c r="I303" s="216">
        <f t="shared" si="24"/>
        <v>1.0207566500967631</v>
      </c>
      <c r="J303" s="204">
        <v>0</v>
      </c>
      <c r="K303" s="216">
        <f t="shared" si="25"/>
        <v>0</v>
      </c>
      <c r="L303" s="205">
        <v>581.91999999999996</v>
      </c>
      <c r="M303" s="216">
        <f t="shared" si="26"/>
        <v>1.0207566500967631</v>
      </c>
      <c r="N303" s="205">
        <v>318.31023999999826</v>
      </c>
      <c r="O303" s="204">
        <v>0.2</v>
      </c>
      <c r="P303" s="206">
        <v>7.5892687739536292E-3</v>
      </c>
      <c r="Q303" s="204">
        <v>0.34699999999999703</v>
      </c>
      <c r="R303" s="206">
        <v>1.3167381322809434E-2</v>
      </c>
      <c r="S303" s="205">
        <v>201.92623999999827</v>
      </c>
      <c r="T303" s="204" t="s">
        <v>402</v>
      </c>
      <c r="U303" s="204" t="s">
        <v>224</v>
      </c>
      <c r="V303" s="204"/>
      <c r="W303" s="211">
        <v>1</v>
      </c>
      <c r="X303" s="204" t="s">
        <v>434</v>
      </c>
    </row>
    <row r="304" spans="2:24">
      <c r="B304" s="659"/>
      <c r="C304" s="659"/>
      <c r="D304" s="237">
        <v>198</v>
      </c>
      <c r="E304" s="204" t="s">
        <v>608</v>
      </c>
      <c r="F304" s="205">
        <v>116.34000000000002</v>
      </c>
      <c r="G304" s="204">
        <v>28.576000000000001</v>
      </c>
      <c r="H304" s="204">
        <v>29.4</v>
      </c>
      <c r="I304" s="216">
        <f t="shared" si="24"/>
        <v>1.0288353863381858</v>
      </c>
      <c r="J304" s="204">
        <v>0</v>
      </c>
      <c r="K304" s="216">
        <f t="shared" si="25"/>
        <v>0</v>
      </c>
      <c r="L304" s="205">
        <v>290.85000000000002</v>
      </c>
      <c r="M304" s="216">
        <f t="shared" si="26"/>
        <v>1.0288353863381858</v>
      </c>
      <c r="N304" s="205">
        <v>239.66039999999947</v>
      </c>
      <c r="O304" s="204">
        <v>0.4</v>
      </c>
      <c r="P304" s="206">
        <v>1.3997760358342666E-2</v>
      </c>
      <c r="Q304" s="204">
        <v>0.42399999999999805</v>
      </c>
      <c r="R304" s="206">
        <v>1.4837625979843156E-2</v>
      </c>
      <c r="S304" s="205">
        <v>123.32039999999944</v>
      </c>
      <c r="T304" s="204" t="s">
        <v>402</v>
      </c>
      <c r="U304" s="204" t="s">
        <v>224</v>
      </c>
      <c r="V304" s="204"/>
      <c r="W304" s="211">
        <v>1</v>
      </c>
      <c r="X304" s="204" t="s">
        <v>448</v>
      </c>
    </row>
    <row r="305" spans="2:24">
      <c r="B305" s="659"/>
      <c r="C305" s="659"/>
      <c r="D305" s="237">
        <v>199</v>
      </c>
      <c r="E305" s="204" t="s">
        <v>548</v>
      </c>
      <c r="F305" s="205">
        <v>113.52000000000001</v>
      </c>
      <c r="G305" s="204">
        <v>103.402</v>
      </c>
      <c r="H305" s="204">
        <v>105.9</v>
      </c>
      <c r="I305" s="216">
        <f t="shared" si="24"/>
        <v>1.0241581400746602</v>
      </c>
      <c r="J305" s="204">
        <v>0</v>
      </c>
      <c r="K305" s="216">
        <f t="shared" si="25"/>
        <v>0</v>
      </c>
      <c r="L305" s="205">
        <v>70.95</v>
      </c>
      <c r="M305" s="216">
        <f t="shared" si="26"/>
        <v>1.0241581400746602</v>
      </c>
      <c r="N305" s="205">
        <v>177.23310000000035</v>
      </c>
      <c r="O305" s="204">
        <v>1.6</v>
      </c>
      <c r="P305" s="206">
        <v>1.547358851859732E-2</v>
      </c>
      <c r="Q305" s="204">
        <v>0.89800000000000457</v>
      </c>
      <c r="R305" s="206">
        <v>8.68455155606279E-3</v>
      </c>
      <c r="S305" s="205">
        <v>63.713100000000324</v>
      </c>
      <c r="T305" s="204" t="s">
        <v>402</v>
      </c>
      <c r="U305" s="204" t="s">
        <v>224</v>
      </c>
      <c r="V305" s="204"/>
      <c r="W305" s="211">
        <v>1</v>
      </c>
      <c r="X305" s="204" t="s">
        <v>482</v>
      </c>
    </row>
    <row r="306" spans="2:24">
      <c r="B306" s="659"/>
      <c r="C306" s="659"/>
      <c r="D306" s="237">
        <v>200</v>
      </c>
      <c r="E306" s="204" t="s">
        <v>675</v>
      </c>
      <c r="F306" s="205">
        <v>113.47199999999999</v>
      </c>
      <c r="G306" s="204">
        <v>58.46</v>
      </c>
      <c r="H306" s="204">
        <v>59.1</v>
      </c>
      <c r="I306" s="216">
        <f t="shared" si="24"/>
        <v>1.0109476565172768</v>
      </c>
      <c r="J306" s="204">
        <v>0</v>
      </c>
      <c r="K306" s="216">
        <f t="shared" si="25"/>
        <v>0</v>
      </c>
      <c r="L306" s="205">
        <v>378.24</v>
      </c>
      <c r="M306" s="216">
        <f t="shared" si="26"/>
        <v>1.0109476565172768</v>
      </c>
      <c r="N306" s="205">
        <v>242.07360000000023</v>
      </c>
      <c r="O306" s="204">
        <v>0.3</v>
      </c>
      <c r="P306" s="206">
        <v>5.1317139924734858E-3</v>
      </c>
      <c r="Q306" s="204">
        <v>0.34000000000000058</v>
      </c>
      <c r="R306" s="206">
        <v>5.8159425248032939E-3</v>
      </c>
      <c r="S306" s="205">
        <v>128.60160000000022</v>
      </c>
      <c r="T306" s="204" t="s">
        <v>402</v>
      </c>
      <c r="U306" s="204" t="s">
        <v>224</v>
      </c>
      <c r="V306" s="204"/>
      <c r="W306" s="211">
        <v>1</v>
      </c>
      <c r="X306" s="204" t="s">
        <v>676</v>
      </c>
    </row>
    <row r="307" spans="2:24">
      <c r="B307" s="662">
        <v>45900</v>
      </c>
      <c r="C307" s="659" t="s">
        <v>284</v>
      </c>
      <c r="D307" s="237">
        <v>201</v>
      </c>
      <c r="E307" s="204" t="s">
        <v>426</v>
      </c>
      <c r="F307" s="205">
        <v>204.024</v>
      </c>
      <c r="G307" s="204">
        <v>153.107</v>
      </c>
      <c r="H307" s="204">
        <v>153.9</v>
      </c>
      <c r="I307" s="216">
        <f t="shared" si="24"/>
        <v>1.0051793843521197</v>
      </c>
      <c r="J307" s="204">
        <v>0</v>
      </c>
      <c r="K307" s="216">
        <f t="shared" si="25"/>
        <v>0</v>
      </c>
      <c r="L307" s="205">
        <v>510.06</v>
      </c>
      <c r="M307" s="216">
        <f t="shared" si="26"/>
        <v>1.0051793843521197</v>
      </c>
      <c r="N307" s="205">
        <v>404.47758000000323</v>
      </c>
      <c r="O307" s="204">
        <v>0.4</v>
      </c>
      <c r="P307" s="206">
        <v>2.6125520061133717E-3</v>
      </c>
      <c r="Q307" s="204">
        <v>0.39300000000000634</v>
      </c>
      <c r="R307" s="206">
        <v>2.566832346006429E-3</v>
      </c>
      <c r="S307" s="205">
        <v>200.45358000000323</v>
      </c>
      <c r="T307" s="204" t="s">
        <v>402</v>
      </c>
      <c r="U307" s="204" t="s">
        <v>224</v>
      </c>
      <c r="V307" s="204"/>
      <c r="W307" s="211">
        <v>1</v>
      </c>
      <c r="X307" s="204" t="s">
        <v>423</v>
      </c>
    </row>
    <row r="308" spans="2:24">
      <c r="B308" s="663"/>
      <c r="C308" s="659"/>
      <c r="D308" s="237">
        <v>202</v>
      </c>
      <c r="E308" s="204" t="s">
        <v>561</v>
      </c>
      <c r="F308" s="205">
        <v>145.929</v>
      </c>
      <c r="G308" s="204">
        <v>77.77</v>
      </c>
      <c r="H308" s="204">
        <v>79</v>
      </c>
      <c r="I308" s="216">
        <f t="shared" si="24"/>
        <v>1.0158158673010158</v>
      </c>
      <c r="J308" s="204">
        <v>0</v>
      </c>
      <c r="K308" s="216">
        <f t="shared" si="25"/>
        <v>0</v>
      </c>
      <c r="L308" s="205">
        <v>208.47</v>
      </c>
      <c r="M308" s="216">
        <f t="shared" si="26"/>
        <v>1.0158158673010158</v>
      </c>
      <c r="N308" s="205">
        <v>256.41810000000083</v>
      </c>
      <c r="O308" s="204">
        <v>0.70000000000000007</v>
      </c>
      <c r="P308" s="206">
        <v>9.0009000900090029E-3</v>
      </c>
      <c r="Q308" s="204">
        <v>0.53000000000000391</v>
      </c>
      <c r="R308" s="206">
        <v>6.8149672110068655E-3</v>
      </c>
      <c r="S308" s="205">
        <v>110.48910000000082</v>
      </c>
      <c r="T308" s="204" t="s">
        <v>402</v>
      </c>
      <c r="U308" s="204" t="s">
        <v>224</v>
      </c>
      <c r="V308" s="204"/>
      <c r="W308" s="211">
        <v>1</v>
      </c>
      <c r="X308" s="204" t="s">
        <v>492</v>
      </c>
    </row>
    <row r="309" spans="2:24">
      <c r="B309" s="663"/>
      <c r="C309" s="659"/>
      <c r="D309" s="237">
        <v>203</v>
      </c>
      <c r="E309" s="204" t="s">
        <v>665</v>
      </c>
      <c r="F309" s="205">
        <v>145.04599999999999</v>
      </c>
      <c r="G309" s="204">
        <v>133.32</v>
      </c>
      <c r="H309" s="204">
        <v>136.1</v>
      </c>
      <c r="I309" s="216">
        <f t="shared" si="24"/>
        <v>1.0208520852085208</v>
      </c>
      <c r="J309" s="204">
        <v>0</v>
      </c>
      <c r="K309" s="216">
        <f t="shared" si="25"/>
        <v>0</v>
      </c>
      <c r="L309" s="205">
        <v>76.34</v>
      </c>
      <c r="M309" s="216">
        <f t="shared" si="26"/>
        <v>1.0208520852085208</v>
      </c>
      <c r="N309" s="205">
        <v>212.22520000000009</v>
      </c>
      <c r="O309" s="204">
        <v>1.9</v>
      </c>
      <c r="P309" s="206">
        <v>1.4251425142514252E-2</v>
      </c>
      <c r="Q309" s="204">
        <v>0.88000000000000123</v>
      </c>
      <c r="R309" s="206">
        <v>6.6006600660066103E-3</v>
      </c>
      <c r="S309" s="205">
        <v>67.179200000000094</v>
      </c>
      <c r="T309" s="204" t="s">
        <v>419</v>
      </c>
      <c r="U309" s="204" t="s">
        <v>522</v>
      </c>
      <c r="V309" s="204"/>
      <c r="W309" s="211">
        <v>1</v>
      </c>
      <c r="X309" s="204" t="s">
        <v>492</v>
      </c>
    </row>
    <row r="310" spans="2:24">
      <c r="B310" s="663"/>
      <c r="C310" s="659"/>
      <c r="D310" s="237">
        <v>204</v>
      </c>
      <c r="E310" s="204" t="s">
        <v>706</v>
      </c>
      <c r="F310" s="205">
        <v>140.42600000000002</v>
      </c>
      <c r="G310" s="204">
        <v>148.488</v>
      </c>
      <c r="H310" s="204">
        <v>150.1</v>
      </c>
      <c r="I310" s="216">
        <f t="shared" si="24"/>
        <v>1.0108560961155111</v>
      </c>
      <c r="J310" s="204">
        <v>0</v>
      </c>
      <c r="K310" s="216">
        <f t="shared" si="25"/>
        <v>0</v>
      </c>
      <c r="L310" s="205">
        <v>127.66</v>
      </c>
      <c r="M310" s="216">
        <f t="shared" si="26"/>
        <v>1.0108560961155111</v>
      </c>
      <c r="N310" s="205">
        <v>205.78791999999933</v>
      </c>
      <c r="O310" s="204">
        <v>1.1000000000000001</v>
      </c>
      <c r="P310" s="206">
        <v>7.4080060341576428E-3</v>
      </c>
      <c r="Q310" s="204">
        <v>0.51199999999999468</v>
      </c>
      <c r="R310" s="206">
        <v>3.4480900813533394E-3</v>
      </c>
      <c r="S310" s="205">
        <v>65.361919999999316</v>
      </c>
      <c r="T310" s="204" t="s">
        <v>402</v>
      </c>
      <c r="U310" s="204" t="s">
        <v>224</v>
      </c>
      <c r="V310" s="204"/>
      <c r="W310" s="211">
        <v>1</v>
      </c>
      <c r="X310" s="204" t="s">
        <v>423</v>
      </c>
    </row>
    <row r="311" spans="2:24">
      <c r="B311" s="663"/>
      <c r="C311" s="659"/>
      <c r="D311" s="237">
        <v>205</v>
      </c>
      <c r="E311" s="204" t="s">
        <v>546</v>
      </c>
      <c r="F311" s="205">
        <v>137.28</v>
      </c>
      <c r="G311" s="204">
        <v>95.19</v>
      </c>
      <c r="H311" s="204">
        <v>97.1</v>
      </c>
      <c r="I311" s="216">
        <f t="shared" si="24"/>
        <v>1.0200651328921104</v>
      </c>
      <c r="J311" s="204">
        <v>0</v>
      </c>
      <c r="K311" s="216">
        <f t="shared" si="25"/>
        <v>0</v>
      </c>
      <c r="L311" s="205">
        <v>114.4</v>
      </c>
      <c r="M311" s="216">
        <f t="shared" si="26"/>
        <v>1.0200651328921104</v>
      </c>
      <c r="N311" s="205">
        <v>218.50399999999962</v>
      </c>
      <c r="O311" s="204">
        <v>1.2</v>
      </c>
      <c r="P311" s="206">
        <v>1.2606366214938543E-2</v>
      </c>
      <c r="Q311" s="204">
        <v>0.70999999999999663</v>
      </c>
      <c r="R311" s="206">
        <v>7.4587666771719369E-3</v>
      </c>
      <c r="S311" s="205">
        <v>81.22399999999962</v>
      </c>
      <c r="T311" s="204" t="s">
        <v>419</v>
      </c>
      <c r="U311" s="204" t="s">
        <v>522</v>
      </c>
      <c r="V311" s="204"/>
      <c r="W311" s="211">
        <v>1</v>
      </c>
      <c r="X311" s="204" t="s">
        <v>482</v>
      </c>
    </row>
    <row r="312" spans="2:24">
      <c r="B312" s="663"/>
      <c r="C312" s="659"/>
      <c r="D312" s="237">
        <v>206</v>
      </c>
      <c r="E312" s="204" t="s">
        <v>422</v>
      </c>
      <c r="F312" s="205">
        <v>136.88999999999999</v>
      </c>
      <c r="G312" s="204">
        <v>312.274</v>
      </c>
      <c r="H312" s="204">
        <v>314.2</v>
      </c>
      <c r="I312" s="216">
        <f t="shared" si="24"/>
        <v>1.0061676604520389</v>
      </c>
      <c r="J312" s="204">
        <v>0</v>
      </c>
      <c r="K312" s="216">
        <f t="shared" si="25"/>
        <v>0</v>
      </c>
      <c r="L312" s="205">
        <v>136.88999999999999</v>
      </c>
      <c r="M312" s="216">
        <f t="shared" si="26"/>
        <v>1.0061676604520389</v>
      </c>
      <c r="N312" s="205">
        <v>263.65013999999832</v>
      </c>
      <c r="O312" s="204">
        <v>1</v>
      </c>
      <c r="P312" s="206">
        <v>3.2023159148696339E-3</v>
      </c>
      <c r="Q312" s="204">
        <v>0.92599999999998772</v>
      </c>
      <c r="R312" s="206">
        <v>2.9653445371692413E-3</v>
      </c>
      <c r="S312" s="205">
        <v>126.7601399999983</v>
      </c>
      <c r="T312" s="204" t="s">
        <v>405</v>
      </c>
      <c r="U312" s="204" t="s">
        <v>225</v>
      </c>
      <c r="V312" s="204"/>
      <c r="W312" s="211">
        <v>1</v>
      </c>
      <c r="X312" s="204" t="s">
        <v>423</v>
      </c>
    </row>
    <row r="313" spans="2:24">
      <c r="B313" s="663"/>
      <c r="C313" s="659"/>
      <c r="D313" s="237">
        <v>207</v>
      </c>
      <c r="E313" s="204" t="s">
        <v>424</v>
      </c>
      <c r="F313" s="205">
        <v>136.84</v>
      </c>
      <c r="G313" s="204">
        <v>44.274999999999999</v>
      </c>
      <c r="H313" s="204">
        <v>45.2</v>
      </c>
      <c r="I313" s="216">
        <f t="shared" si="24"/>
        <v>1.020892151326934</v>
      </c>
      <c r="J313" s="204">
        <v>0</v>
      </c>
      <c r="K313" s="216">
        <f t="shared" si="25"/>
        <v>0</v>
      </c>
      <c r="L313" s="205">
        <v>273.68</v>
      </c>
      <c r="M313" s="216">
        <f t="shared" si="26"/>
        <v>1.020892151326934</v>
      </c>
      <c r="N313" s="205">
        <v>253.15400000000116</v>
      </c>
      <c r="O313" s="204">
        <v>0.5</v>
      </c>
      <c r="P313" s="206">
        <v>1.1293054771315642E-2</v>
      </c>
      <c r="Q313" s="204">
        <v>0.42500000000000426</v>
      </c>
      <c r="R313" s="206">
        <v>9.5990965556183912E-3</v>
      </c>
      <c r="S313" s="205">
        <v>116.31400000000117</v>
      </c>
      <c r="T313" s="204" t="s">
        <v>405</v>
      </c>
      <c r="U313" s="204" t="s">
        <v>225</v>
      </c>
      <c r="V313" s="204"/>
      <c r="W313" s="211">
        <v>1</v>
      </c>
      <c r="X313" s="204" t="s">
        <v>425</v>
      </c>
    </row>
    <row r="314" spans="2:24">
      <c r="B314" s="663"/>
      <c r="C314" s="659"/>
      <c r="D314" s="237">
        <v>208</v>
      </c>
      <c r="E314" s="204" t="s">
        <v>550</v>
      </c>
      <c r="F314" s="205">
        <v>135.60000000000002</v>
      </c>
      <c r="G314" s="204">
        <v>216.99600000000001</v>
      </c>
      <c r="H314" s="204">
        <v>219.4</v>
      </c>
      <c r="I314" s="216">
        <f t="shared" si="24"/>
        <v>1.0110785452266402</v>
      </c>
      <c r="J314" s="204">
        <v>0</v>
      </c>
      <c r="K314" s="216">
        <f t="shared" si="25"/>
        <v>0</v>
      </c>
      <c r="L314" s="205">
        <v>90.4</v>
      </c>
      <c r="M314" s="216">
        <f t="shared" si="26"/>
        <v>1.0110785452266402</v>
      </c>
      <c r="N314" s="205">
        <v>217.32159999999968</v>
      </c>
      <c r="O314" s="204">
        <v>1.5</v>
      </c>
      <c r="P314" s="206">
        <v>6.9125698169551506E-3</v>
      </c>
      <c r="Q314" s="204">
        <v>0.90399999999999636</v>
      </c>
      <c r="R314" s="206">
        <v>4.1659754096849541E-3</v>
      </c>
      <c r="S314" s="205">
        <v>81.721599999999682</v>
      </c>
      <c r="T314" s="204" t="s">
        <v>419</v>
      </c>
      <c r="U314" s="204" t="s">
        <v>522</v>
      </c>
      <c r="V314" s="204"/>
      <c r="W314" s="211">
        <v>1</v>
      </c>
      <c r="X314" s="204" t="s">
        <v>479</v>
      </c>
    </row>
    <row r="315" spans="2:24">
      <c r="B315" s="663"/>
      <c r="C315" s="659"/>
      <c r="D315" s="237">
        <v>209</v>
      </c>
      <c r="E315" s="204" t="s">
        <v>662</v>
      </c>
      <c r="F315" s="205">
        <v>135.48800000000003</v>
      </c>
      <c r="G315" s="204">
        <v>50.777999999999999</v>
      </c>
      <c r="H315" s="204">
        <v>52.2</v>
      </c>
      <c r="I315" s="216">
        <f t="shared" si="24"/>
        <v>1.0280042538107055</v>
      </c>
      <c r="J315" s="204">
        <v>0</v>
      </c>
      <c r="K315" s="216">
        <f t="shared" si="25"/>
        <v>0</v>
      </c>
      <c r="L315" s="205">
        <v>169.36</v>
      </c>
      <c r="M315" s="216">
        <f t="shared" si="26"/>
        <v>1.0280042538107055</v>
      </c>
      <c r="N315" s="205">
        <v>240.82992000000073</v>
      </c>
      <c r="O315" s="204">
        <v>0.8</v>
      </c>
      <c r="P315" s="206">
        <v>1.5754854464531884E-2</v>
      </c>
      <c r="Q315" s="204">
        <v>0.62200000000000411</v>
      </c>
      <c r="R315" s="206">
        <v>1.224939934617362E-2</v>
      </c>
      <c r="S315" s="205">
        <v>105.3419200000007</v>
      </c>
      <c r="T315" s="204" t="s">
        <v>419</v>
      </c>
      <c r="U315" s="204" t="s">
        <v>522</v>
      </c>
      <c r="V315" s="204"/>
      <c r="W315" s="211">
        <v>1</v>
      </c>
      <c r="X315" s="204" t="s">
        <v>423</v>
      </c>
    </row>
    <row r="316" spans="2:24">
      <c r="B316" s="663"/>
      <c r="C316" s="659"/>
      <c r="D316" s="237">
        <v>210</v>
      </c>
      <c r="E316" s="204" t="s">
        <v>599</v>
      </c>
      <c r="F316" s="205">
        <v>133.464</v>
      </c>
      <c r="G316" s="204">
        <v>28.655999999999999</v>
      </c>
      <c r="H316" s="204">
        <v>29.2</v>
      </c>
      <c r="I316" s="216">
        <f t="shared" si="24"/>
        <v>1.0189838079285316</v>
      </c>
      <c r="J316" s="204">
        <v>0</v>
      </c>
      <c r="K316" s="216">
        <f t="shared" si="25"/>
        <v>0</v>
      </c>
      <c r="L316" s="205">
        <v>444.88</v>
      </c>
      <c r="M316" s="216">
        <f t="shared" si="26"/>
        <v>1.0189838079285316</v>
      </c>
      <c r="N316" s="205">
        <v>242.01472000000021</v>
      </c>
      <c r="O316" s="204">
        <v>0.3</v>
      </c>
      <c r="P316" s="206">
        <v>1.0469011725293133E-2</v>
      </c>
      <c r="Q316" s="204">
        <v>0.24400000000000049</v>
      </c>
      <c r="R316" s="206">
        <v>8.5147962032384311E-3</v>
      </c>
      <c r="S316" s="205">
        <v>108.55072000000023</v>
      </c>
      <c r="T316" s="204" t="s">
        <v>402</v>
      </c>
      <c r="U316" s="204" t="s">
        <v>224</v>
      </c>
      <c r="V316" s="204"/>
      <c r="W316" s="211">
        <v>1</v>
      </c>
      <c r="X316" s="204" t="s">
        <v>598</v>
      </c>
    </row>
    <row r="317" spans="2:24">
      <c r="B317" s="662">
        <v>45901</v>
      </c>
      <c r="C317" s="660" t="s">
        <v>945</v>
      </c>
      <c r="D317" s="239">
        <v>1</v>
      </c>
      <c r="E317" s="204" t="s">
        <v>579</v>
      </c>
      <c r="F317" s="205">
        <v>161.85599999999999</v>
      </c>
      <c r="G317" s="204">
        <v>56.832656084656101</v>
      </c>
      <c r="H317" s="204">
        <v>58.2</v>
      </c>
      <c r="I317" s="216">
        <f t="shared" si="24"/>
        <v>1.0240591239182477</v>
      </c>
      <c r="J317" s="204">
        <v>0</v>
      </c>
      <c r="K317" s="216">
        <f t="shared" si="25"/>
        <v>0</v>
      </c>
      <c r="L317" s="205">
        <v>179.84</v>
      </c>
      <c r="M317" s="216">
        <f t="shared" si="26"/>
        <v>1.0240591239182477</v>
      </c>
      <c r="N317" s="205">
        <v>245.90312973544735</v>
      </c>
      <c r="O317" s="204">
        <v>0.9</v>
      </c>
      <c r="P317" s="206">
        <v>1.5835965833787338E-2</v>
      </c>
      <c r="Q317" s="204">
        <v>0.46734391534390196</v>
      </c>
      <c r="R317" s="206">
        <v>8.2231580844604815E-3</v>
      </c>
      <c r="S317" s="205">
        <v>84.047129735447328</v>
      </c>
      <c r="T317" s="204" t="s">
        <v>402</v>
      </c>
      <c r="U317" s="204" t="s">
        <v>224</v>
      </c>
      <c r="V317" s="204"/>
      <c r="W317" s="211">
        <v>1</v>
      </c>
      <c r="X317" s="204" t="s">
        <v>481</v>
      </c>
    </row>
    <row r="318" spans="2:24">
      <c r="B318" s="663"/>
      <c r="C318" s="659"/>
      <c r="D318" s="239">
        <v>2</v>
      </c>
      <c r="E318" s="204" t="s">
        <v>411</v>
      </c>
      <c r="F318" s="205">
        <v>159.02500000000001</v>
      </c>
      <c r="G318" s="204">
        <v>41.48</v>
      </c>
      <c r="H318" s="204">
        <v>41.7</v>
      </c>
      <c r="I318" s="216">
        <f t="shared" si="24"/>
        <v>1.005303760848602</v>
      </c>
      <c r="J318" s="204">
        <v>0.8</v>
      </c>
      <c r="K318" s="216">
        <f t="shared" si="25"/>
        <v>1.9286403085824497E-2</v>
      </c>
      <c r="L318" s="205">
        <v>318.05</v>
      </c>
      <c r="M318" s="216">
        <f t="shared" si="26"/>
        <v>1.0245901639344264</v>
      </c>
      <c r="N318" s="205">
        <v>324.41100000000102</v>
      </c>
      <c r="O318" s="204">
        <v>0.5</v>
      </c>
      <c r="P318" s="206">
        <v>1.2054001928640309E-2</v>
      </c>
      <c r="Q318" s="204">
        <v>0.52000000000000313</v>
      </c>
      <c r="R318" s="206">
        <v>1.2536162005785997E-2</v>
      </c>
      <c r="S318" s="205">
        <v>165.38600000000099</v>
      </c>
      <c r="T318" s="204" t="s">
        <v>405</v>
      </c>
      <c r="U318" s="204" t="s">
        <v>226</v>
      </c>
      <c r="V318" s="204"/>
      <c r="W318" s="211">
        <v>1</v>
      </c>
      <c r="X318" s="204" t="s">
        <v>413</v>
      </c>
    </row>
    <row r="319" spans="2:24">
      <c r="B319" s="663"/>
      <c r="C319" s="659"/>
      <c r="D319" s="239">
        <v>3</v>
      </c>
      <c r="E319" s="204" t="s">
        <v>608</v>
      </c>
      <c r="F319" s="205">
        <v>145.42500000000001</v>
      </c>
      <c r="G319" s="204">
        <v>35.795999999999999</v>
      </c>
      <c r="H319" s="204">
        <v>36.299999999999997</v>
      </c>
      <c r="I319" s="216">
        <f t="shared" si="24"/>
        <v>1.0140797854508883</v>
      </c>
      <c r="J319" s="204">
        <v>0</v>
      </c>
      <c r="K319" s="216">
        <f t="shared" si="25"/>
        <v>0</v>
      </c>
      <c r="L319" s="205">
        <v>290.85000000000002</v>
      </c>
      <c r="M319" s="216">
        <f t="shared" si="26"/>
        <v>1.0140797854508883</v>
      </c>
      <c r="N319" s="205">
        <v>146.58839999999935</v>
      </c>
      <c r="O319" s="204">
        <v>0.5</v>
      </c>
      <c r="P319" s="206">
        <v>1.3968041121913063E-2</v>
      </c>
      <c r="Q319" s="204">
        <v>3.9999999999977831E-3</v>
      </c>
      <c r="R319" s="206">
        <v>1.1174432897524257E-4</v>
      </c>
      <c r="S319" s="205">
        <v>1.1633999999993554</v>
      </c>
      <c r="T319" s="204" t="s">
        <v>402</v>
      </c>
      <c r="U319" s="204" t="s">
        <v>224</v>
      </c>
      <c r="V319" s="204"/>
      <c r="W319" s="211">
        <v>1</v>
      </c>
      <c r="X319" s="204" t="s">
        <v>448</v>
      </c>
    </row>
    <row r="320" spans="2:24">
      <c r="B320" s="663"/>
      <c r="C320" s="659"/>
      <c r="D320" s="239">
        <v>4</v>
      </c>
      <c r="E320" s="204" t="s">
        <v>576</v>
      </c>
      <c r="F320" s="205">
        <v>135.666</v>
      </c>
      <c r="G320" s="204">
        <v>3.7890000000000001</v>
      </c>
      <c r="H320" s="204">
        <v>4.3</v>
      </c>
      <c r="I320" s="216">
        <f t="shared" si="24"/>
        <v>1.1348640802322512</v>
      </c>
      <c r="J320" s="204">
        <v>0</v>
      </c>
      <c r="K320" s="216">
        <f t="shared" si="25"/>
        <v>0</v>
      </c>
      <c r="L320" s="205">
        <v>452.22</v>
      </c>
      <c r="M320" s="216">
        <f t="shared" si="26"/>
        <v>1.1348640802322512</v>
      </c>
      <c r="N320" s="205">
        <v>231.08441999999988</v>
      </c>
      <c r="O320" s="204">
        <v>0.3</v>
      </c>
      <c r="P320" s="206">
        <v>7.9176563737133804E-2</v>
      </c>
      <c r="Q320" s="204">
        <v>0.21099999999999969</v>
      </c>
      <c r="R320" s="206">
        <v>5.5687516495117363E-2</v>
      </c>
      <c r="S320" s="205">
        <v>95.41841999999987</v>
      </c>
      <c r="T320" s="204" t="s">
        <v>419</v>
      </c>
      <c r="U320" s="204" t="s">
        <v>522</v>
      </c>
      <c r="V320" s="204"/>
      <c r="W320" s="211">
        <v>1</v>
      </c>
      <c r="X320" s="204" t="s">
        <v>464</v>
      </c>
    </row>
    <row r="321" spans="2:24">
      <c r="B321" s="663"/>
      <c r="C321" s="659"/>
      <c r="D321" s="239">
        <v>5</v>
      </c>
      <c r="E321" s="204" t="s">
        <v>573</v>
      </c>
      <c r="F321" s="205">
        <v>134.595</v>
      </c>
      <c r="G321" s="204">
        <v>109.69</v>
      </c>
      <c r="H321" s="204">
        <v>110.2</v>
      </c>
      <c r="I321" s="216">
        <f t="shared" si="24"/>
        <v>1.0046494666788222</v>
      </c>
      <c r="J321" s="204">
        <v>0</v>
      </c>
      <c r="K321" s="216">
        <f t="shared" si="25"/>
        <v>0</v>
      </c>
      <c r="L321" s="205">
        <v>269.19</v>
      </c>
      <c r="M321" s="216">
        <f t="shared" si="26"/>
        <v>1.0046494666788222</v>
      </c>
      <c r="N321" s="205">
        <v>137.28690000000137</v>
      </c>
      <c r="O321" s="204">
        <v>0.5</v>
      </c>
      <c r="P321" s="206">
        <v>4.5583006655118968E-3</v>
      </c>
      <c r="Q321" s="204">
        <v>1.0000000000005116E-2</v>
      </c>
      <c r="R321" s="206">
        <v>9.1166013310284584E-5</v>
      </c>
      <c r="S321" s="205">
        <v>2.6919000000013771</v>
      </c>
      <c r="T321" s="204" t="s">
        <v>402</v>
      </c>
      <c r="U321" s="204" t="s">
        <v>224</v>
      </c>
      <c r="V321" s="204"/>
      <c r="W321" s="211">
        <v>1</v>
      </c>
      <c r="X321" s="204" t="s">
        <v>482</v>
      </c>
    </row>
    <row r="322" spans="2:24">
      <c r="B322" s="663"/>
      <c r="C322" s="659"/>
      <c r="D322" s="239">
        <v>6</v>
      </c>
      <c r="E322" s="204" t="s">
        <v>604</v>
      </c>
      <c r="F322" s="205">
        <v>134.46</v>
      </c>
      <c r="G322" s="204">
        <v>2169</v>
      </c>
      <c r="H322" s="204">
        <v>2178</v>
      </c>
      <c r="I322" s="216">
        <f t="shared" si="24"/>
        <v>1.004149377593361</v>
      </c>
      <c r="J322" s="204">
        <v>0</v>
      </c>
      <c r="K322" s="216">
        <f t="shared" si="25"/>
        <v>0</v>
      </c>
      <c r="L322" s="205">
        <v>14.94</v>
      </c>
      <c r="M322" s="216">
        <f t="shared" si="26"/>
        <v>1.004149377593361</v>
      </c>
      <c r="N322" s="205">
        <v>134.46</v>
      </c>
      <c r="O322" s="204">
        <v>9</v>
      </c>
      <c r="P322" s="206">
        <v>4.1493775933609959E-3</v>
      </c>
      <c r="Q322" s="204">
        <v>0</v>
      </c>
      <c r="R322" s="206">
        <v>0</v>
      </c>
      <c r="S322" s="205">
        <v>0</v>
      </c>
      <c r="T322" s="204" t="s">
        <v>405</v>
      </c>
      <c r="U322" s="204" t="s">
        <v>225</v>
      </c>
      <c r="V322" s="204"/>
      <c r="W322" s="211">
        <v>1</v>
      </c>
      <c r="X322" s="204" t="s">
        <v>445</v>
      </c>
    </row>
    <row r="323" spans="2:24">
      <c r="B323" s="663"/>
      <c r="C323" s="659"/>
      <c r="D323" s="239">
        <v>7</v>
      </c>
      <c r="E323" s="204" t="s">
        <v>930</v>
      </c>
      <c r="F323" s="205">
        <v>133.71</v>
      </c>
      <c r="G323" s="204">
        <v>5.2220000000000004</v>
      </c>
      <c r="H323" s="204">
        <v>6.6</v>
      </c>
      <c r="I323" s="216">
        <f t="shared" si="24"/>
        <v>1.2638835695135962</v>
      </c>
      <c r="J323" s="204">
        <v>0</v>
      </c>
      <c r="K323" s="216">
        <f t="shared" si="25"/>
        <v>0</v>
      </c>
      <c r="L323" s="205">
        <v>133.71</v>
      </c>
      <c r="M323" s="216">
        <f t="shared" si="26"/>
        <v>1.2638835695135962</v>
      </c>
      <c r="N323" s="205">
        <v>184.2523799999999</v>
      </c>
      <c r="O323" s="204">
        <v>1</v>
      </c>
      <c r="P323" s="206">
        <v>0.19149751053236305</v>
      </c>
      <c r="Q323" s="204">
        <v>0.37799999999999923</v>
      </c>
      <c r="R323" s="206">
        <v>7.2386058981233084E-2</v>
      </c>
      <c r="S323" s="205">
        <v>50.542379999999902</v>
      </c>
      <c r="T323" s="204" t="s">
        <v>419</v>
      </c>
      <c r="U323" s="204" t="s">
        <v>522</v>
      </c>
      <c r="V323" s="204"/>
      <c r="W323" s="211">
        <v>1</v>
      </c>
      <c r="X323" s="204" t="s">
        <v>587</v>
      </c>
    </row>
    <row r="324" spans="2:24">
      <c r="B324" s="663"/>
      <c r="C324" s="659"/>
      <c r="D324" s="239">
        <v>8</v>
      </c>
      <c r="E324" s="204" t="s">
        <v>599</v>
      </c>
      <c r="F324" s="205">
        <v>133.464</v>
      </c>
      <c r="G324" s="204">
        <v>28.512</v>
      </c>
      <c r="H324" s="204">
        <v>29.2</v>
      </c>
      <c r="I324" s="216">
        <f t="shared" si="24"/>
        <v>1.0241301907968574</v>
      </c>
      <c r="J324" s="204">
        <v>0</v>
      </c>
      <c r="K324" s="216">
        <f t="shared" si="25"/>
        <v>0</v>
      </c>
      <c r="L324" s="205">
        <v>444.88</v>
      </c>
      <c r="M324" s="216">
        <f t="shared" si="26"/>
        <v>1.0241301907968574</v>
      </c>
      <c r="N324" s="205">
        <v>306.07743999999946</v>
      </c>
      <c r="O324" s="204">
        <v>0.3</v>
      </c>
      <c r="P324" s="206">
        <v>1.0521885521885521E-2</v>
      </c>
      <c r="Q324" s="204">
        <v>0.38799999999999885</v>
      </c>
      <c r="R324" s="206">
        <v>1.3608305274971901E-2</v>
      </c>
      <c r="S324" s="205">
        <v>172.61343999999949</v>
      </c>
      <c r="T324" s="204" t="s">
        <v>402</v>
      </c>
      <c r="U324" s="204" t="s">
        <v>224</v>
      </c>
      <c r="V324" s="204"/>
      <c r="W324" s="211">
        <v>1</v>
      </c>
      <c r="X324" s="204" t="s">
        <v>598</v>
      </c>
    </row>
    <row r="325" spans="2:24">
      <c r="B325" s="663"/>
      <c r="C325" s="659"/>
      <c r="D325" s="239">
        <v>9</v>
      </c>
      <c r="E325" s="204" t="s">
        <v>946</v>
      </c>
      <c r="F325" s="205">
        <v>129.108</v>
      </c>
      <c r="G325" s="204">
        <v>3.3679999999999999</v>
      </c>
      <c r="H325" s="204">
        <v>4.4000000000000004</v>
      </c>
      <c r="I325" s="216">
        <f t="shared" si="24"/>
        <v>1.306413301662708</v>
      </c>
      <c r="J325" s="204">
        <v>0</v>
      </c>
      <c r="K325" s="216">
        <f t="shared" si="25"/>
        <v>0</v>
      </c>
      <c r="L325" s="205">
        <v>184.44</v>
      </c>
      <c r="M325" s="216">
        <f t="shared" si="26"/>
        <v>1.306413301662708</v>
      </c>
      <c r="N325" s="205">
        <v>190.3420800000001</v>
      </c>
      <c r="O325" s="204">
        <v>0.70000000000000007</v>
      </c>
      <c r="P325" s="206">
        <v>0.20783847980997627</v>
      </c>
      <c r="Q325" s="204">
        <v>0.33200000000000041</v>
      </c>
      <c r="R325" s="206">
        <v>9.8574821852731712E-2</v>
      </c>
      <c r="S325" s="205">
        <v>61.234080000000077</v>
      </c>
      <c r="T325" s="204" t="s">
        <v>537</v>
      </c>
      <c r="U325" s="204" t="s">
        <v>522</v>
      </c>
      <c r="V325" s="204"/>
      <c r="W325" s="211">
        <v>1</v>
      </c>
      <c r="X325" s="204" t="s">
        <v>464</v>
      </c>
    </row>
    <row r="326" spans="2:24">
      <c r="B326" s="663"/>
      <c r="C326" s="659"/>
      <c r="D326" s="239">
        <v>10</v>
      </c>
      <c r="E326" s="204" t="s">
        <v>659</v>
      </c>
      <c r="F326" s="205">
        <v>129.02000000000001</v>
      </c>
      <c r="G326" s="204">
        <v>114.52800000000001</v>
      </c>
      <c r="H326" s="204">
        <v>115.2</v>
      </c>
      <c r="I326" s="216">
        <f t="shared" si="24"/>
        <v>1.0058675607711651</v>
      </c>
      <c r="J326" s="204">
        <v>0</v>
      </c>
      <c r="K326" s="216">
        <f t="shared" si="25"/>
        <v>0</v>
      </c>
      <c r="L326" s="205">
        <v>258.04000000000002</v>
      </c>
      <c r="M326" s="216">
        <f t="shared" si="26"/>
        <v>1.0058675607711651</v>
      </c>
      <c r="N326" s="205">
        <v>173.40287999999924</v>
      </c>
      <c r="O326" s="204">
        <v>0.5</v>
      </c>
      <c r="P326" s="206">
        <v>4.3657446214026259E-3</v>
      </c>
      <c r="Q326" s="204">
        <v>0.17199999999999704</v>
      </c>
      <c r="R326" s="206">
        <v>1.5018161497624776E-3</v>
      </c>
      <c r="S326" s="205">
        <v>44.38287999999924</v>
      </c>
      <c r="T326" s="204" t="s">
        <v>402</v>
      </c>
      <c r="U326" s="204" t="s">
        <v>224</v>
      </c>
      <c r="V326" s="204"/>
      <c r="W326" s="211">
        <v>1</v>
      </c>
      <c r="X326" s="204" t="s">
        <v>660</v>
      </c>
    </row>
    <row r="327" spans="2:24">
      <c r="B327" s="662">
        <v>45902</v>
      </c>
      <c r="C327" s="660" t="s">
        <v>947</v>
      </c>
      <c r="D327" s="239">
        <v>1</v>
      </c>
      <c r="E327" s="204" t="s">
        <v>433</v>
      </c>
      <c r="F327" s="205">
        <v>174.57599999999999</v>
      </c>
      <c r="G327" s="204">
        <v>22.742999999999999</v>
      </c>
      <c r="H327" s="204">
        <v>23.4</v>
      </c>
      <c r="I327" s="216">
        <f t="shared" si="24"/>
        <v>1.0288880094974278</v>
      </c>
      <c r="J327" s="204">
        <v>0</v>
      </c>
      <c r="K327" s="216">
        <f t="shared" si="25"/>
        <v>0</v>
      </c>
      <c r="L327" s="205">
        <v>581.91999999999996</v>
      </c>
      <c r="M327" s="216">
        <f t="shared" si="26"/>
        <v>1.0288880094974278</v>
      </c>
      <c r="N327" s="205">
        <v>382.32144</v>
      </c>
      <c r="O327" s="204">
        <v>0.3</v>
      </c>
      <c r="P327" s="206">
        <v>1.3190871916633691E-2</v>
      </c>
      <c r="Q327" s="204">
        <v>0.35700000000000004</v>
      </c>
      <c r="R327" s="206">
        <v>1.5697137580794093E-2</v>
      </c>
      <c r="S327" s="205">
        <v>207.74544</v>
      </c>
      <c r="T327" s="204" t="s">
        <v>402</v>
      </c>
      <c r="U327" s="204" t="s">
        <v>224</v>
      </c>
      <c r="V327" s="204"/>
      <c r="W327" s="211">
        <v>1</v>
      </c>
      <c r="X327" s="204" t="s">
        <v>434</v>
      </c>
    </row>
    <row r="328" spans="2:24">
      <c r="B328" s="663"/>
      <c r="C328" s="659"/>
      <c r="D328" s="239">
        <v>2</v>
      </c>
      <c r="E328" s="204" t="s">
        <v>545</v>
      </c>
      <c r="F328" s="205">
        <v>157.71899999999999</v>
      </c>
      <c r="G328" s="204">
        <v>25.584</v>
      </c>
      <c r="H328" s="204">
        <v>26.3</v>
      </c>
      <c r="I328" s="216">
        <f t="shared" ref="I328:I391" si="27">H328/G328</f>
        <v>1.0279862414008756</v>
      </c>
      <c r="J328" s="204">
        <v>0</v>
      </c>
      <c r="K328" s="216">
        <f t="shared" ref="K328:K391" si="28">J328/G328</f>
        <v>0</v>
      </c>
      <c r="L328" s="205">
        <v>525.73</v>
      </c>
      <c r="M328" s="216">
        <f t="shared" ref="M328:M391" si="29">(H328+J328)/G328</f>
        <v>1.0279862414008756</v>
      </c>
      <c r="N328" s="205">
        <v>376.42268000000058</v>
      </c>
      <c r="O328" s="204">
        <v>0.3</v>
      </c>
      <c r="P328" s="206">
        <v>1.172607879924953E-2</v>
      </c>
      <c r="Q328" s="204">
        <v>0.41600000000000109</v>
      </c>
      <c r="R328" s="206">
        <v>1.626016260162606E-2</v>
      </c>
      <c r="S328" s="205">
        <v>218.70368000000059</v>
      </c>
      <c r="T328" s="204" t="s">
        <v>402</v>
      </c>
      <c r="U328" s="204" t="s">
        <v>224</v>
      </c>
      <c r="V328" s="204"/>
      <c r="W328" s="211">
        <v>1</v>
      </c>
      <c r="X328" s="204" t="s">
        <v>517</v>
      </c>
    </row>
    <row r="329" spans="2:24">
      <c r="B329" s="663"/>
      <c r="C329" s="659"/>
      <c r="D329" s="239">
        <v>3</v>
      </c>
      <c r="E329" s="204" t="s">
        <v>948</v>
      </c>
      <c r="F329" s="205">
        <v>154.392</v>
      </c>
      <c r="G329" s="204">
        <v>101.01300000000001</v>
      </c>
      <c r="H329" s="204">
        <v>103.6</v>
      </c>
      <c r="I329" s="216">
        <f t="shared" si="27"/>
        <v>1.025610564976785</v>
      </c>
      <c r="J329" s="204">
        <v>0</v>
      </c>
      <c r="K329" s="216">
        <f t="shared" si="28"/>
        <v>0</v>
      </c>
      <c r="L329" s="205">
        <v>73.52</v>
      </c>
      <c r="M329" s="216">
        <f t="shared" si="29"/>
        <v>1.025610564976785</v>
      </c>
      <c r="N329" s="205">
        <v>190.19623999999919</v>
      </c>
      <c r="O329" s="204">
        <v>2.1</v>
      </c>
      <c r="P329" s="206">
        <v>2.0789403344124022E-2</v>
      </c>
      <c r="Q329" s="204">
        <v>0.486999999999989</v>
      </c>
      <c r="R329" s="206">
        <v>4.8211616326610338E-3</v>
      </c>
      <c r="S329" s="205">
        <v>35.80423999999919</v>
      </c>
      <c r="T329" s="204" t="s">
        <v>402</v>
      </c>
      <c r="U329" s="204" t="s">
        <v>224</v>
      </c>
      <c r="V329" s="204"/>
      <c r="W329" s="211">
        <v>1</v>
      </c>
      <c r="X329" s="204" t="s">
        <v>484</v>
      </c>
    </row>
    <row r="330" spans="2:24">
      <c r="B330" s="663"/>
      <c r="C330" s="659"/>
      <c r="D330" s="239">
        <v>4</v>
      </c>
      <c r="E330" s="204" t="s">
        <v>932</v>
      </c>
      <c r="F330" s="205">
        <v>153.41200000000001</v>
      </c>
      <c r="G330" s="204">
        <v>26.975999999999999</v>
      </c>
      <c r="H330" s="204">
        <v>27.8</v>
      </c>
      <c r="I330" s="216">
        <f t="shared" si="27"/>
        <v>1.0305456702253857</v>
      </c>
      <c r="J330" s="204">
        <v>0</v>
      </c>
      <c r="K330" s="216">
        <f t="shared" si="28"/>
        <v>0</v>
      </c>
      <c r="L330" s="205">
        <v>219.16</v>
      </c>
      <c r="M330" s="216">
        <f t="shared" si="29"/>
        <v>1.0305456702253857</v>
      </c>
      <c r="N330" s="205">
        <v>180.58784000000034</v>
      </c>
      <c r="O330" s="204">
        <v>0.70000000000000007</v>
      </c>
      <c r="P330" s="206">
        <v>2.594899169632266E-2</v>
      </c>
      <c r="Q330" s="204">
        <v>0.12400000000000155</v>
      </c>
      <c r="R330" s="206">
        <v>4.5966785290629288E-3</v>
      </c>
      <c r="S330" s="205">
        <v>27.175840000000338</v>
      </c>
      <c r="T330" s="204" t="s">
        <v>537</v>
      </c>
      <c r="U330" s="204" t="s">
        <v>522</v>
      </c>
      <c r="V330" s="204"/>
      <c r="W330" s="211">
        <v>1</v>
      </c>
      <c r="X330" s="204" t="s">
        <v>510</v>
      </c>
    </row>
    <row r="331" spans="2:24">
      <c r="B331" s="663"/>
      <c r="C331" s="659"/>
      <c r="D331" s="239">
        <v>5</v>
      </c>
      <c r="E331" s="204" t="s">
        <v>426</v>
      </c>
      <c r="F331" s="205">
        <v>153.018</v>
      </c>
      <c r="G331" s="204">
        <v>135.80000000000001</v>
      </c>
      <c r="H331" s="204">
        <v>136.30000000000001</v>
      </c>
      <c r="I331" s="216">
        <f t="shared" si="27"/>
        <v>1.0036818851251841</v>
      </c>
      <c r="J331" s="204">
        <v>0</v>
      </c>
      <c r="K331" s="216">
        <f t="shared" si="28"/>
        <v>0</v>
      </c>
      <c r="L331" s="205">
        <v>510.06</v>
      </c>
      <c r="M331" s="216">
        <f t="shared" si="29"/>
        <v>1.0036818851251841</v>
      </c>
      <c r="N331" s="205">
        <v>255.03</v>
      </c>
      <c r="O331" s="204">
        <v>0.3</v>
      </c>
      <c r="P331" s="206">
        <v>2.2091310751104561E-3</v>
      </c>
      <c r="Q331" s="204">
        <v>0.2</v>
      </c>
      <c r="R331" s="206">
        <v>1.4727540500736377E-3</v>
      </c>
      <c r="S331" s="205">
        <v>102.012</v>
      </c>
      <c r="T331" s="204" t="s">
        <v>402</v>
      </c>
      <c r="U331" s="204" t="s">
        <v>224</v>
      </c>
      <c r="V331" s="204"/>
      <c r="W331" s="211">
        <v>1</v>
      </c>
      <c r="X331" s="204" t="s">
        <v>423</v>
      </c>
    </row>
    <row r="332" spans="2:24">
      <c r="B332" s="663"/>
      <c r="C332" s="659"/>
      <c r="D332" s="239">
        <v>6</v>
      </c>
      <c r="E332" s="204" t="s">
        <v>535</v>
      </c>
      <c r="F332" s="205">
        <v>150.78700000000001</v>
      </c>
      <c r="G332" s="204">
        <v>28.184999999999999</v>
      </c>
      <c r="H332" s="204">
        <v>29.8</v>
      </c>
      <c r="I332" s="216">
        <f t="shared" si="27"/>
        <v>1.0572999822600675</v>
      </c>
      <c r="J332" s="204">
        <v>0</v>
      </c>
      <c r="K332" s="216">
        <f t="shared" si="28"/>
        <v>0</v>
      </c>
      <c r="L332" s="205">
        <v>115.99</v>
      </c>
      <c r="M332" s="216">
        <f t="shared" si="29"/>
        <v>1.0572999822600675</v>
      </c>
      <c r="N332" s="205">
        <v>187.32385000000022</v>
      </c>
      <c r="O332" s="204">
        <v>1.3</v>
      </c>
      <c r="P332" s="206">
        <v>4.612382472946603E-2</v>
      </c>
      <c r="Q332" s="204">
        <v>0.31500000000000195</v>
      </c>
      <c r="R332" s="206">
        <v>1.1176157530601452E-2</v>
      </c>
      <c r="S332" s="205">
        <v>36.536850000000221</v>
      </c>
      <c r="T332" s="204" t="s">
        <v>419</v>
      </c>
      <c r="U332" s="204" t="s">
        <v>522</v>
      </c>
      <c r="V332" s="204"/>
      <c r="W332" s="211">
        <v>1</v>
      </c>
      <c r="X332" s="204" t="s">
        <v>492</v>
      </c>
    </row>
    <row r="333" spans="2:24">
      <c r="B333" s="663"/>
      <c r="C333" s="659"/>
      <c r="D333" s="239">
        <v>7</v>
      </c>
      <c r="E333" s="204" t="s">
        <v>422</v>
      </c>
      <c r="F333" s="205">
        <v>150.57900000000001</v>
      </c>
      <c r="G333" s="204">
        <v>293.69799999999998</v>
      </c>
      <c r="H333" s="204">
        <v>296.7</v>
      </c>
      <c r="I333" s="216">
        <f t="shared" si="27"/>
        <v>1.0102213838705065</v>
      </c>
      <c r="J333" s="204">
        <v>0</v>
      </c>
      <c r="K333" s="216">
        <f t="shared" si="28"/>
        <v>0</v>
      </c>
      <c r="L333" s="205">
        <v>136.88999999999999</v>
      </c>
      <c r="M333" s="216">
        <f t="shared" si="29"/>
        <v>1.0102213838705065</v>
      </c>
      <c r="N333" s="205">
        <v>410.94378000000125</v>
      </c>
      <c r="O333" s="204">
        <v>1.1000000000000001</v>
      </c>
      <c r="P333" s="206">
        <v>3.7453438566146182E-3</v>
      </c>
      <c r="Q333" s="204">
        <v>1.9020000000000095</v>
      </c>
      <c r="R333" s="206">
        <v>6.4760400138918536E-3</v>
      </c>
      <c r="S333" s="205">
        <v>260.36478000000125</v>
      </c>
      <c r="T333" s="204" t="s">
        <v>405</v>
      </c>
      <c r="U333" s="204" t="s">
        <v>225</v>
      </c>
      <c r="V333" s="204"/>
      <c r="W333" s="211">
        <v>1</v>
      </c>
      <c r="X333" s="204" t="s">
        <v>423</v>
      </c>
    </row>
    <row r="334" spans="2:24">
      <c r="B334" s="663"/>
      <c r="C334" s="659"/>
      <c r="D334" s="239">
        <v>8</v>
      </c>
      <c r="E334" s="204" t="s">
        <v>548</v>
      </c>
      <c r="F334" s="205">
        <v>148.995</v>
      </c>
      <c r="G334" s="204">
        <v>129.232</v>
      </c>
      <c r="H334" s="204">
        <v>131.69999999999999</v>
      </c>
      <c r="I334" s="216">
        <f t="shared" si="27"/>
        <v>1.019097437167265</v>
      </c>
      <c r="J334" s="204">
        <v>0</v>
      </c>
      <c r="K334" s="216">
        <f t="shared" si="28"/>
        <v>0</v>
      </c>
      <c r="L334" s="205">
        <v>70.95</v>
      </c>
      <c r="M334" s="216">
        <f t="shared" si="29"/>
        <v>1.019097437167265</v>
      </c>
      <c r="N334" s="205">
        <v>175.10459999999924</v>
      </c>
      <c r="O334" s="204">
        <v>2.1</v>
      </c>
      <c r="P334" s="206">
        <v>1.6249845239569148E-2</v>
      </c>
      <c r="Q334" s="204">
        <v>0.36799999999998922</v>
      </c>
      <c r="R334" s="206">
        <v>2.8475919276958433E-3</v>
      </c>
      <c r="S334" s="205">
        <v>26.109599999999237</v>
      </c>
      <c r="T334" s="204" t="s">
        <v>402</v>
      </c>
      <c r="U334" s="204" t="s">
        <v>224</v>
      </c>
      <c r="V334" s="204"/>
      <c r="W334" s="211">
        <v>1</v>
      </c>
      <c r="X334" s="204" t="s">
        <v>482</v>
      </c>
    </row>
    <row r="335" spans="2:24">
      <c r="B335" s="663"/>
      <c r="C335" s="659"/>
      <c r="D335" s="239">
        <v>9</v>
      </c>
      <c r="E335" s="204" t="s">
        <v>949</v>
      </c>
      <c r="F335" s="205">
        <v>148.4</v>
      </c>
      <c r="G335" s="204">
        <v>82.56</v>
      </c>
      <c r="H335" s="204">
        <v>84.6</v>
      </c>
      <c r="I335" s="216">
        <f t="shared" si="27"/>
        <v>1.0247093023255813</v>
      </c>
      <c r="J335" s="204">
        <v>0</v>
      </c>
      <c r="K335" s="216">
        <f t="shared" si="28"/>
        <v>0</v>
      </c>
      <c r="L335" s="205">
        <v>92.75</v>
      </c>
      <c r="M335" s="216">
        <f t="shared" si="29"/>
        <v>1.0247093023255813</v>
      </c>
      <c r="N335" s="205">
        <v>189.20999999999927</v>
      </c>
      <c r="O335" s="204">
        <v>1.6</v>
      </c>
      <c r="P335" s="206">
        <v>1.937984496124031E-2</v>
      </c>
      <c r="Q335" s="204">
        <v>0.43999999999999195</v>
      </c>
      <c r="R335" s="206">
        <v>5.3294573643409881E-3</v>
      </c>
      <c r="S335" s="205">
        <v>40.809999999999256</v>
      </c>
      <c r="T335" s="204" t="s">
        <v>402</v>
      </c>
      <c r="U335" s="204" t="s">
        <v>224</v>
      </c>
      <c r="V335" s="204"/>
      <c r="W335" s="211">
        <v>1</v>
      </c>
      <c r="X335" s="204" t="s">
        <v>504</v>
      </c>
    </row>
    <row r="336" spans="2:24">
      <c r="B336" s="663"/>
      <c r="C336" s="659"/>
      <c r="D336" s="239">
        <v>10</v>
      </c>
      <c r="E336" s="204" t="s">
        <v>930</v>
      </c>
      <c r="F336" s="205">
        <v>147.08100000000002</v>
      </c>
      <c r="G336" s="204">
        <v>5.593</v>
      </c>
      <c r="H336" s="204">
        <v>6.9</v>
      </c>
      <c r="I336" s="216">
        <f t="shared" si="27"/>
        <v>1.233684963347041</v>
      </c>
      <c r="J336" s="204">
        <v>0</v>
      </c>
      <c r="K336" s="216">
        <f t="shared" si="28"/>
        <v>0</v>
      </c>
      <c r="L336" s="205">
        <v>133.71</v>
      </c>
      <c r="M336" s="216">
        <f t="shared" si="29"/>
        <v>1.233684963347041</v>
      </c>
      <c r="N336" s="205">
        <v>174.75897000000006</v>
      </c>
      <c r="O336" s="204">
        <v>1.1000000000000001</v>
      </c>
      <c r="P336" s="206">
        <v>0.19667441444662973</v>
      </c>
      <c r="Q336" s="204">
        <v>0.20700000000000029</v>
      </c>
      <c r="R336" s="206">
        <v>3.7010548900411284E-2</v>
      </c>
      <c r="S336" s="205">
        <v>27.677970000000041</v>
      </c>
      <c r="T336" s="204" t="s">
        <v>419</v>
      </c>
      <c r="U336" s="204" t="s">
        <v>420</v>
      </c>
      <c r="V336" s="204"/>
      <c r="W336" s="211">
        <v>1</v>
      </c>
      <c r="X336" s="204" t="s">
        <v>587</v>
      </c>
    </row>
    <row r="337" spans="2:24">
      <c r="B337" s="662">
        <v>45903</v>
      </c>
      <c r="C337" s="660" t="s">
        <v>950</v>
      </c>
      <c r="D337" s="239">
        <v>1</v>
      </c>
      <c r="E337" s="204" t="s">
        <v>937</v>
      </c>
      <c r="F337" s="205">
        <v>203.42000000000002</v>
      </c>
      <c r="G337" s="204">
        <v>143.286</v>
      </c>
      <c r="H337" s="204">
        <v>140.1</v>
      </c>
      <c r="I337" s="216">
        <f t="shared" si="27"/>
        <v>0.97776475021984</v>
      </c>
      <c r="J337" s="204">
        <v>17.600000000000001</v>
      </c>
      <c r="K337" s="216">
        <f t="shared" si="28"/>
        <v>0.12283126055581146</v>
      </c>
      <c r="L337" s="205">
        <v>290.60000000000002</v>
      </c>
      <c r="M337" s="216">
        <f t="shared" si="29"/>
        <v>1.1005960107756514</v>
      </c>
      <c r="N337" s="205">
        <v>4188.7083999999968</v>
      </c>
      <c r="O337" s="204">
        <v>0.7</v>
      </c>
      <c r="P337" s="206">
        <v>4.8853342266515914E-3</v>
      </c>
      <c r="Q337" s="204">
        <v>13.713999999999988</v>
      </c>
      <c r="R337" s="206">
        <v>9.5710676548999812E-2</v>
      </c>
      <c r="S337" s="205">
        <v>3985.2883999999967</v>
      </c>
      <c r="T337" s="204" t="s">
        <v>405</v>
      </c>
      <c r="U337" s="204" t="s">
        <v>226</v>
      </c>
      <c r="V337" s="204"/>
      <c r="W337" s="211">
        <v>1</v>
      </c>
      <c r="X337" s="204" t="s">
        <v>834</v>
      </c>
    </row>
    <row r="338" spans="2:24">
      <c r="B338" s="663"/>
      <c r="C338" s="659"/>
      <c r="D338" s="239">
        <v>2</v>
      </c>
      <c r="E338" s="204" t="s">
        <v>525</v>
      </c>
      <c r="F338" s="205">
        <v>186.072</v>
      </c>
      <c r="G338" s="204">
        <v>11.032999999999999</v>
      </c>
      <c r="H338" s="204">
        <v>11.5</v>
      </c>
      <c r="I338" s="216">
        <f t="shared" si="27"/>
        <v>1.0423275627662467</v>
      </c>
      <c r="J338" s="204">
        <v>0</v>
      </c>
      <c r="K338" s="216">
        <f t="shared" si="28"/>
        <v>0</v>
      </c>
      <c r="L338" s="205">
        <v>930.36</v>
      </c>
      <c r="M338" s="216">
        <f t="shared" si="29"/>
        <v>1.0423275627662467</v>
      </c>
      <c r="N338" s="205">
        <v>434.4781200000005</v>
      </c>
      <c r="O338" s="204">
        <v>0.2</v>
      </c>
      <c r="P338" s="206">
        <v>1.8127435874195599E-2</v>
      </c>
      <c r="Q338" s="204">
        <v>0.26700000000000051</v>
      </c>
      <c r="R338" s="206">
        <v>2.4200126892051168E-2</v>
      </c>
      <c r="S338" s="205">
        <v>248.40612000000047</v>
      </c>
      <c r="T338" s="204" t="s">
        <v>405</v>
      </c>
      <c r="U338" s="204" t="s">
        <v>225</v>
      </c>
      <c r="V338" s="204"/>
      <c r="W338" s="211">
        <v>1</v>
      </c>
      <c r="X338" s="204" t="s">
        <v>474</v>
      </c>
    </row>
    <row r="339" spans="2:24">
      <c r="B339" s="663"/>
      <c r="C339" s="659"/>
      <c r="D339" s="239">
        <v>3</v>
      </c>
      <c r="E339" s="204" t="s">
        <v>570</v>
      </c>
      <c r="F339" s="205">
        <v>134.04499999999999</v>
      </c>
      <c r="G339" s="204">
        <v>408.642</v>
      </c>
      <c r="H339" s="204">
        <v>411.5</v>
      </c>
      <c r="I339" s="216">
        <f t="shared" si="27"/>
        <v>1.0069938968583749</v>
      </c>
      <c r="J339" s="204">
        <v>0</v>
      </c>
      <c r="K339" s="216">
        <f t="shared" si="28"/>
        <v>0</v>
      </c>
      <c r="L339" s="205">
        <v>78.849999999999994</v>
      </c>
      <c r="M339" s="216">
        <f t="shared" si="29"/>
        <v>1.0069938968583749</v>
      </c>
      <c r="N339" s="205">
        <v>225.3533000000003</v>
      </c>
      <c r="O339" s="204">
        <v>1.7</v>
      </c>
      <c r="P339" s="206">
        <v>4.1601205945546466E-3</v>
      </c>
      <c r="Q339" s="204">
        <v>1.1580000000000041</v>
      </c>
      <c r="R339" s="206">
        <v>2.8337762638201754E-3</v>
      </c>
      <c r="S339" s="205">
        <v>91.308300000000315</v>
      </c>
      <c r="T339" s="204" t="s">
        <v>402</v>
      </c>
      <c r="U339" s="204" t="s">
        <v>224</v>
      </c>
      <c r="V339" s="204"/>
      <c r="W339" s="211">
        <v>1</v>
      </c>
      <c r="X339" s="204" t="s">
        <v>408</v>
      </c>
    </row>
    <row r="340" spans="2:24">
      <c r="B340" s="663"/>
      <c r="C340" s="659"/>
      <c r="D340" s="239">
        <v>4</v>
      </c>
      <c r="E340" s="204" t="s">
        <v>951</v>
      </c>
      <c r="F340" s="205">
        <v>133.97999999999999</v>
      </c>
      <c r="G340" s="204">
        <v>137.55000000000001</v>
      </c>
      <c r="H340" s="204">
        <v>140.4</v>
      </c>
      <c r="I340" s="216">
        <f t="shared" si="27"/>
        <v>1.0207197382769901</v>
      </c>
      <c r="J340" s="204">
        <v>0</v>
      </c>
      <c r="K340" s="216">
        <f t="shared" si="28"/>
        <v>0</v>
      </c>
      <c r="L340" s="205">
        <v>66.989999999999995</v>
      </c>
      <c r="M340" s="216">
        <f t="shared" si="29"/>
        <v>1.0207197382769901</v>
      </c>
      <c r="N340" s="205">
        <v>190.92149999999961</v>
      </c>
      <c r="O340" s="204">
        <v>2</v>
      </c>
      <c r="P340" s="206">
        <v>1.4540167211922935E-2</v>
      </c>
      <c r="Q340" s="204">
        <v>0.84999999999999432</v>
      </c>
      <c r="R340" s="206">
        <v>6.1795710650672069E-3</v>
      </c>
      <c r="S340" s="205">
        <v>56.941499999999614</v>
      </c>
      <c r="T340" s="204" t="s">
        <v>402</v>
      </c>
      <c r="U340" s="204" t="s">
        <v>224</v>
      </c>
      <c r="V340" s="204"/>
      <c r="W340" s="211">
        <v>1</v>
      </c>
      <c r="X340" s="204" t="s">
        <v>475</v>
      </c>
    </row>
    <row r="341" spans="2:24">
      <c r="B341" s="663"/>
      <c r="C341" s="659"/>
      <c r="D341" s="239">
        <v>5</v>
      </c>
      <c r="E341" s="204" t="s">
        <v>599</v>
      </c>
      <c r="F341" s="205">
        <v>133.464</v>
      </c>
      <c r="G341" s="204">
        <v>24.533999999999999</v>
      </c>
      <c r="H341" s="204">
        <v>25.3</v>
      </c>
      <c r="I341" s="216">
        <f t="shared" si="27"/>
        <v>1.0312219776636504</v>
      </c>
      <c r="J341" s="204">
        <v>0</v>
      </c>
      <c r="K341" s="216">
        <f t="shared" si="28"/>
        <v>0</v>
      </c>
      <c r="L341" s="205">
        <v>444.88</v>
      </c>
      <c r="M341" s="216">
        <f t="shared" si="29"/>
        <v>1.0312219776636504</v>
      </c>
      <c r="N341" s="205">
        <v>340.77808000000078</v>
      </c>
      <c r="O341" s="204">
        <v>0.3</v>
      </c>
      <c r="P341" s="206">
        <v>1.2227928588897041E-2</v>
      </c>
      <c r="Q341" s="204">
        <v>0.4660000000000018</v>
      </c>
      <c r="R341" s="206">
        <v>1.8994049074753477E-2</v>
      </c>
      <c r="S341" s="205">
        <v>207.31408000000079</v>
      </c>
      <c r="T341" s="204" t="s">
        <v>402</v>
      </c>
      <c r="U341" s="204" t="s">
        <v>224</v>
      </c>
      <c r="V341" s="204"/>
      <c r="W341" s="211">
        <v>1</v>
      </c>
      <c r="X341" s="204" t="s">
        <v>598</v>
      </c>
    </row>
    <row r="342" spans="2:24">
      <c r="B342" s="663"/>
      <c r="C342" s="659"/>
      <c r="D342" s="239">
        <v>6</v>
      </c>
      <c r="E342" s="204" t="s">
        <v>553</v>
      </c>
      <c r="F342" s="205">
        <v>133.44</v>
      </c>
      <c r="G342" s="204">
        <v>215.18</v>
      </c>
      <c r="H342" s="204">
        <v>218.4</v>
      </c>
      <c r="I342" s="216">
        <f t="shared" si="27"/>
        <v>1.014964216005205</v>
      </c>
      <c r="J342" s="204">
        <v>0</v>
      </c>
      <c r="K342" s="216">
        <f t="shared" si="28"/>
        <v>0</v>
      </c>
      <c r="L342" s="205">
        <v>55.6</v>
      </c>
      <c r="M342" s="216">
        <f t="shared" si="29"/>
        <v>1.014964216005205</v>
      </c>
      <c r="N342" s="205">
        <v>179.03199999999995</v>
      </c>
      <c r="O342" s="204">
        <v>2.4</v>
      </c>
      <c r="P342" s="206">
        <v>1.1153452923134119E-2</v>
      </c>
      <c r="Q342" s="204">
        <v>0.81999999999999895</v>
      </c>
      <c r="R342" s="206">
        <v>3.8107630820708193E-3</v>
      </c>
      <c r="S342" s="205">
        <v>45.591999999999942</v>
      </c>
      <c r="T342" s="204" t="s">
        <v>402</v>
      </c>
      <c r="U342" s="204" t="s">
        <v>224</v>
      </c>
      <c r="V342" s="204"/>
      <c r="W342" s="211">
        <v>1</v>
      </c>
      <c r="X342" s="204" t="s">
        <v>473</v>
      </c>
    </row>
    <row r="343" spans="2:24">
      <c r="B343" s="663"/>
      <c r="C343" s="659"/>
      <c r="D343" s="239">
        <v>7</v>
      </c>
      <c r="E343" s="204" t="s">
        <v>952</v>
      </c>
      <c r="F343" s="205">
        <v>133.27500000000001</v>
      </c>
      <c r="G343" s="204">
        <v>69.674000000000007</v>
      </c>
      <c r="H343" s="204">
        <v>73.2</v>
      </c>
      <c r="I343" s="216">
        <f t="shared" si="27"/>
        <v>1.0506071131268477</v>
      </c>
      <c r="J343" s="204">
        <v>0</v>
      </c>
      <c r="K343" s="216">
        <f t="shared" si="28"/>
        <v>0</v>
      </c>
      <c r="L343" s="205">
        <v>53.31</v>
      </c>
      <c r="M343" s="216">
        <f t="shared" si="29"/>
        <v>1.0506071131268477</v>
      </c>
      <c r="N343" s="205">
        <v>187.9710599999998</v>
      </c>
      <c r="O343" s="204">
        <v>2.5</v>
      </c>
      <c r="P343" s="206">
        <v>3.5881390475643711E-2</v>
      </c>
      <c r="Q343" s="204">
        <v>1.0259999999999962</v>
      </c>
      <c r="R343" s="206">
        <v>1.4725722651204124E-2</v>
      </c>
      <c r="S343" s="205">
        <v>54.696059999999804</v>
      </c>
      <c r="T343" s="204" t="s">
        <v>419</v>
      </c>
      <c r="U343" s="204" t="s">
        <v>522</v>
      </c>
      <c r="V343" s="204"/>
      <c r="W343" s="211">
        <v>1</v>
      </c>
      <c r="X343" s="204" t="s">
        <v>600</v>
      </c>
    </row>
    <row r="344" spans="2:24">
      <c r="B344" s="663"/>
      <c r="C344" s="659"/>
      <c r="D344" s="239">
        <v>8</v>
      </c>
      <c r="E344" s="204" t="s">
        <v>943</v>
      </c>
      <c r="F344" s="205">
        <v>130.98000000000002</v>
      </c>
      <c r="G344" s="204">
        <v>12061</v>
      </c>
      <c r="H344" s="204">
        <v>12120</v>
      </c>
      <c r="I344" s="216">
        <f t="shared" si="27"/>
        <v>1.0048918000165823</v>
      </c>
      <c r="J344" s="204">
        <v>0</v>
      </c>
      <c r="K344" s="216">
        <f t="shared" si="28"/>
        <v>0</v>
      </c>
      <c r="L344" s="205">
        <v>2.2200000000000002</v>
      </c>
      <c r="M344" s="216">
        <f t="shared" si="29"/>
        <v>1.0048918000165823</v>
      </c>
      <c r="N344" s="205">
        <v>130.98000000000002</v>
      </c>
      <c r="O344" s="204">
        <v>59</v>
      </c>
      <c r="P344" s="206">
        <v>4.8918000165823726E-3</v>
      </c>
      <c r="Q344" s="204">
        <v>0</v>
      </c>
      <c r="R344" s="206">
        <v>0</v>
      </c>
      <c r="S344" s="205">
        <v>0</v>
      </c>
      <c r="T344" s="204" t="s">
        <v>405</v>
      </c>
      <c r="U344" s="204" t="s">
        <v>226</v>
      </c>
      <c r="V344" s="204"/>
      <c r="W344" s="211">
        <v>1</v>
      </c>
      <c r="X344" s="204" t="s">
        <v>423</v>
      </c>
    </row>
    <row r="345" spans="2:24">
      <c r="B345" s="663"/>
      <c r="C345" s="659"/>
      <c r="D345" s="239">
        <v>9</v>
      </c>
      <c r="E345" s="204" t="s">
        <v>698</v>
      </c>
      <c r="F345" s="205">
        <v>130</v>
      </c>
      <c r="G345" s="204">
        <v>4.1399999999999997</v>
      </c>
      <c r="H345" s="204">
        <v>6</v>
      </c>
      <c r="I345" s="216">
        <f t="shared" si="27"/>
        <v>1.4492753623188408</v>
      </c>
      <c r="J345" s="204">
        <v>0</v>
      </c>
      <c r="K345" s="216">
        <f t="shared" si="28"/>
        <v>0</v>
      </c>
      <c r="L345" s="205">
        <v>130</v>
      </c>
      <c r="M345" s="216">
        <f t="shared" si="29"/>
        <v>1.4492753623188408</v>
      </c>
      <c r="N345" s="205">
        <v>241.80000000000004</v>
      </c>
      <c r="O345" s="204">
        <v>1</v>
      </c>
      <c r="P345" s="206">
        <v>0.24154589371980678</v>
      </c>
      <c r="Q345" s="204">
        <v>0.86000000000000032</v>
      </c>
      <c r="R345" s="206">
        <v>0.20772946859903391</v>
      </c>
      <c r="S345" s="205">
        <v>111.80000000000004</v>
      </c>
      <c r="T345" s="204" t="s">
        <v>419</v>
      </c>
      <c r="U345" s="204" t="s">
        <v>420</v>
      </c>
      <c r="V345" s="204"/>
      <c r="W345" s="211">
        <v>1</v>
      </c>
      <c r="X345" s="204" t="s">
        <v>517</v>
      </c>
    </row>
    <row r="346" spans="2:24">
      <c r="B346" s="663"/>
      <c r="C346" s="659"/>
      <c r="D346" s="239">
        <v>10</v>
      </c>
      <c r="E346" s="204" t="s">
        <v>953</v>
      </c>
      <c r="F346" s="205">
        <v>129.25900000000001</v>
      </c>
      <c r="G346" s="204">
        <v>19.844999999999999</v>
      </c>
      <c r="H346" s="204">
        <v>21.6</v>
      </c>
      <c r="I346" s="216">
        <f t="shared" si="27"/>
        <v>1.08843537414966</v>
      </c>
      <c r="J346" s="204">
        <v>0</v>
      </c>
      <c r="K346" s="216">
        <f t="shared" si="28"/>
        <v>0</v>
      </c>
      <c r="L346" s="205">
        <v>99.43</v>
      </c>
      <c r="M346" s="216">
        <f t="shared" si="29"/>
        <v>1.08843537414966</v>
      </c>
      <c r="N346" s="205">
        <v>174.49965000000026</v>
      </c>
      <c r="O346" s="204">
        <v>1.3</v>
      </c>
      <c r="P346" s="206">
        <v>6.5507684555303605E-2</v>
      </c>
      <c r="Q346" s="204">
        <v>0.45500000000000251</v>
      </c>
      <c r="R346" s="206">
        <v>2.2927689594356388E-2</v>
      </c>
      <c r="S346" s="205">
        <v>45.240650000000251</v>
      </c>
      <c r="T346" s="204" t="s">
        <v>419</v>
      </c>
      <c r="U346" s="204" t="s">
        <v>522</v>
      </c>
      <c r="V346" s="204"/>
      <c r="W346" s="211">
        <v>1</v>
      </c>
      <c r="X346" s="204" t="s">
        <v>427</v>
      </c>
    </row>
    <row r="347" spans="2:24">
      <c r="B347" s="662">
        <v>45904</v>
      </c>
      <c r="C347" s="660" t="s">
        <v>954</v>
      </c>
      <c r="D347" s="239">
        <v>1</v>
      </c>
      <c r="E347" s="204" t="s">
        <v>937</v>
      </c>
      <c r="F347" s="205">
        <v>174.36</v>
      </c>
      <c r="G347" s="204">
        <v>137.04599999999999</v>
      </c>
      <c r="H347" s="204">
        <v>138.5</v>
      </c>
      <c r="I347" s="216">
        <f t="shared" si="27"/>
        <v>1.0106095763466283</v>
      </c>
      <c r="J347" s="204">
        <v>13</v>
      </c>
      <c r="K347" s="216">
        <f t="shared" si="28"/>
        <v>9.4858660595712394E-2</v>
      </c>
      <c r="L347" s="205">
        <v>290.60000000000002</v>
      </c>
      <c r="M347" s="216">
        <f t="shared" si="29"/>
        <v>1.1054682369423405</v>
      </c>
      <c r="N347" s="205">
        <v>4200.332400000003</v>
      </c>
      <c r="O347" s="204">
        <v>0.6</v>
      </c>
      <c r="P347" s="206">
        <v>4.3780920274944183E-3</v>
      </c>
      <c r="Q347" s="204">
        <v>13.854000000000008</v>
      </c>
      <c r="R347" s="206">
        <v>0.10109014491484618</v>
      </c>
      <c r="S347" s="205">
        <v>4025.9724000000028</v>
      </c>
      <c r="T347" s="204" t="s">
        <v>405</v>
      </c>
      <c r="U347" s="204" t="s">
        <v>225</v>
      </c>
      <c r="V347" s="204"/>
      <c r="W347" s="211">
        <v>1</v>
      </c>
      <c r="X347" s="204" t="s">
        <v>834</v>
      </c>
    </row>
    <row r="348" spans="2:24">
      <c r="B348" s="663"/>
      <c r="C348" s="659"/>
      <c r="D348" s="239">
        <v>2</v>
      </c>
      <c r="E348" s="204" t="s">
        <v>696</v>
      </c>
      <c r="F348" s="205">
        <v>161.39999999999998</v>
      </c>
      <c r="G348" s="204">
        <v>1518</v>
      </c>
      <c r="H348" s="204">
        <v>1530</v>
      </c>
      <c r="I348" s="216">
        <f t="shared" si="27"/>
        <v>1.0079051383399209</v>
      </c>
      <c r="J348" s="204">
        <v>0</v>
      </c>
      <c r="K348" s="216">
        <f t="shared" si="28"/>
        <v>0</v>
      </c>
      <c r="L348" s="205">
        <v>13.45</v>
      </c>
      <c r="M348" s="216">
        <f t="shared" si="29"/>
        <v>1.0079051383399209</v>
      </c>
      <c r="N348" s="205">
        <v>161.39999999999998</v>
      </c>
      <c r="O348" s="204">
        <v>12</v>
      </c>
      <c r="P348" s="206">
        <v>7.9051383399209481E-3</v>
      </c>
      <c r="Q348" s="204">
        <v>0</v>
      </c>
      <c r="R348" s="206">
        <v>0</v>
      </c>
      <c r="S348" s="205">
        <v>0</v>
      </c>
      <c r="T348" s="204" t="s">
        <v>405</v>
      </c>
      <c r="U348" s="204" t="s">
        <v>226</v>
      </c>
      <c r="V348" s="204"/>
      <c r="W348" s="211">
        <v>1</v>
      </c>
      <c r="X348" s="204" t="s">
        <v>697</v>
      </c>
    </row>
    <row r="349" spans="2:24">
      <c r="B349" s="663"/>
      <c r="C349" s="659"/>
      <c r="D349" s="239">
        <v>3</v>
      </c>
      <c r="E349" s="204" t="s">
        <v>416</v>
      </c>
      <c r="F349" s="205">
        <v>151.63800000000001</v>
      </c>
      <c r="G349" s="204">
        <v>17.574000000000002</v>
      </c>
      <c r="H349" s="204">
        <v>18</v>
      </c>
      <c r="I349" s="216">
        <f t="shared" si="27"/>
        <v>1.0242403550699897</v>
      </c>
      <c r="J349" s="204">
        <v>0</v>
      </c>
      <c r="K349" s="216">
        <f t="shared" si="28"/>
        <v>0</v>
      </c>
      <c r="L349" s="205">
        <v>758.19</v>
      </c>
      <c r="M349" s="216">
        <f t="shared" si="29"/>
        <v>1.0242403550699897</v>
      </c>
      <c r="N349" s="205">
        <v>322.98893999999882</v>
      </c>
      <c r="O349" s="204">
        <v>0.2</v>
      </c>
      <c r="P349" s="206">
        <v>1.1380448389666552E-2</v>
      </c>
      <c r="Q349" s="204">
        <v>0.22599999999999837</v>
      </c>
      <c r="R349" s="206">
        <v>1.2859906680323111E-2</v>
      </c>
      <c r="S349" s="205">
        <v>171.35093999999879</v>
      </c>
      <c r="T349" s="204" t="s">
        <v>405</v>
      </c>
      <c r="U349" s="204" t="s">
        <v>226</v>
      </c>
      <c r="V349" s="204"/>
      <c r="W349" s="211">
        <v>1</v>
      </c>
      <c r="X349" s="204" t="s">
        <v>417</v>
      </c>
    </row>
    <row r="350" spans="2:24">
      <c r="B350" s="663"/>
      <c r="C350" s="659"/>
      <c r="D350" s="239">
        <v>4</v>
      </c>
      <c r="E350" s="204" t="s">
        <v>576</v>
      </c>
      <c r="F350" s="205">
        <v>135.666</v>
      </c>
      <c r="G350" s="204">
        <v>3.798</v>
      </c>
      <c r="H350" s="204">
        <v>4.2</v>
      </c>
      <c r="I350" s="216">
        <f t="shared" si="27"/>
        <v>1.1058451816745656</v>
      </c>
      <c r="J350" s="204">
        <v>0</v>
      </c>
      <c r="K350" s="216">
        <f t="shared" si="28"/>
        <v>0</v>
      </c>
      <c r="L350" s="205">
        <v>452.22</v>
      </c>
      <c r="M350" s="216">
        <f t="shared" si="29"/>
        <v>1.1058451816745656</v>
      </c>
      <c r="N350" s="205">
        <v>181.79244000000008</v>
      </c>
      <c r="O350" s="204">
        <v>0.3</v>
      </c>
      <c r="P350" s="206">
        <v>7.8988941548183256E-2</v>
      </c>
      <c r="Q350" s="204">
        <v>0.10200000000000015</v>
      </c>
      <c r="R350" s="206">
        <v>2.6856240126382346E-2</v>
      </c>
      <c r="S350" s="205">
        <v>46.126440000000066</v>
      </c>
      <c r="T350" s="204" t="s">
        <v>419</v>
      </c>
      <c r="U350" s="204" t="s">
        <v>522</v>
      </c>
      <c r="V350" s="204"/>
      <c r="W350" s="211">
        <v>1</v>
      </c>
      <c r="X350" s="204" t="s">
        <v>464</v>
      </c>
    </row>
    <row r="351" spans="2:24">
      <c r="B351" s="663"/>
      <c r="C351" s="659"/>
      <c r="D351" s="239">
        <v>5</v>
      </c>
      <c r="E351" s="204" t="s">
        <v>599</v>
      </c>
      <c r="F351" s="205">
        <v>133.464</v>
      </c>
      <c r="G351" s="204">
        <v>22.5</v>
      </c>
      <c r="H351" s="204">
        <v>23.1</v>
      </c>
      <c r="I351" s="216">
        <f t="shared" si="27"/>
        <v>1.0266666666666668</v>
      </c>
      <c r="J351" s="204">
        <v>0</v>
      </c>
      <c r="K351" s="216">
        <f t="shared" si="28"/>
        <v>0</v>
      </c>
      <c r="L351" s="205">
        <v>444.88</v>
      </c>
      <c r="M351" s="216">
        <f t="shared" si="29"/>
        <v>1.0266666666666668</v>
      </c>
      <c r="N351" s="205">
        <v>266.92800000000062</v>
      </c>
      <c r="O351" s="204">
        <v>0.3</v>
      </c>
      <c r="P351" s="206">
        <v>1.3333333333333332E-2</v>
      </c>
      <c r="Q351" s="204">
        <v>0.30000000000000143</v>
      </c>
      <c r="R351" s="206">
        <v>1.3333333333333397E-2</v>
      </c>
      <c r="S351" s="205">
        <v>133.46400000000062</v>
      </c>
      <c r="T351" s="204" t="s">
        <v>402</v>
      </c>
      <c r="U351" s="204" t="s">
        <v>224</v>
      </c>
      <c r="V351" s="204"/>
      <c r="W351" s="211">
        <v>1</v>
      </c>
      <c r="X351" s="204" t="s">
        <v>598</v>
      </c>
    </row>
    <row r="352" spans="2:24">
      <c r="B352" s="663"/>
      <c r="C352" s="659"/>
      <c r="D352" s="239">
        <v>6</v>
      </c>
      <c r="E352" s="204" t="s">
        <v>407</v>
      </c>
      <c r="F352" s="205">
        <v>132.21600000000001</v>
      </c>
      <c r="G352" s="204">
        <v>59.674999999999997</v>
      </c>
      <c r="H352" s="204">
        <v>60.4</v>
      </c>
      <c r="I352" s="216">
        <f t="shared" si="27"/>
        <v>1.0121491411813992</v>
      </c>
      <c r="J352" s="204">
        <v>0</v>
      </c>
      <c r="K352" s="216">
        <f t="shared" si="28"/>
        <v>0</v>
      </c>
      <c r="L352" s="205">
        <v>330.54</v>
      </c>
      <c r="M352" s="216">
        <f t="shared" si="29"/>
        <v>1.0121491411813992</v>
      </c>
      <c r="N352" s="205">
        <v>239.64150000000049</v>
      </c>
      <c r="O352" s="204">
        <v>0.4</v>
      </c>
      <c r="P352" s="206">
        <v>6.7029744449099296E-3</v>
      </c>
      <c r="Q352" s="204">
        <v>0.3250000000000014</v>
      </c>
      <c r="R352" s="206">
        <v>5.4461667364893405E-3</v>
      </c>
      <c r="S352" s="205">
        <v>107.42550000000047</v>
      </c>
      <c r="T352" s="204" t="s">
        <v>405</v>
      </c>
      <c r="U352" s="204" t="s">
        <v>225</v>
      </c>
      <c r="V352" s="204"/>
      <c r="W352" s="211">
        <v>1</v>
      </c>
      <c r="X352" s="204" t="s">
        <v>408</v>
      </c>
    </row>
    <row r="353" spans="2:24">
      <c r="B353" s="663"/>
      <c r="C353" s="659"/>
      <c r="D353" s="239">
        <v>7</v>
      </c>
      <c r="E353" s="204" t="s">
        <v>659</v>
      </c>
      <c r="F353" s="205">
        <v>129.02000000000001</v>
      </c>
      <c r="G353" s="204">
        <v>90.591999999999999</v>
      </c>
      <c r="H353" s="204">
        <v>91.7</v>
      </c>
      <c r="I353" s="216">
        <f t="shared" si="27"/>
        <v>1.0122306605439775</v>
      </c>
      <c r="J353" s="204">
        <v>0</v>
      </c>
      <c r="K353" s="216">
        <f t="shared" si="28"/>
        <v>0</v>
      </c>
      <c r="L353" s="205">
        <v>258.04000000000002</v>
      </c>
      <c r="M353" s="216">
        <f t="shared" si="29"/>
        <v>1.0122306605439775</v>
      </c>
      <c r="N353" s="205">
        <v>285.90832000000108</v>
      </c>
      <c r="O353" s="204">
        <v>0.5</v>
      </c>
      <c r="P353" s="206">
        <v>5.5192511480042393E-3</v>
      </c>
      <c r="Q353" s="204">
        <v>0.60800000000000409</v>
      </c>
      <c r="R353" s="206">
        <v>6.7114093959731993E-3</v>
      </c>
      <c r="S353" s="205">
        <v>156.88832000000107</v>
      </c>
      <c r="T353" s="204" t="s">
        <v>405</v>
      </c>
      <c r="U353" s="204" t="s">
        <v>225</v>
      </c>
      <c r="V353" s="204"/>
      <c r="W353" s="211">
        <v>1</v>
      </c>
      <c r="X353" s="204" t="s">
        <v>660</v>
      </c>
    </row>
    <row r="354" spans="2:24">
      <c r="B354" s="663"/>
      <c r="C354" s="659"/>
      <c r="D354" s="239">
        <v>8</v>
      </c>
      <c r="E354" s="204" t="s">
        <v>528</v>
      </c>
      <c r="F354" s="205">
        <v>126.09899999999999</v>
      </c>
      <c r="G354" s="204">
        <v>86.59</v>
      </c>
      <c r="H354" s="204">
        <v>87.2</v>
      </c>
      <c r="I354" s="216">
        <f t="shared" si="27"/>
        <v>1.0070446933826076</v>
      </c>
      <c r="J354" s="204">
        <v>0</v>
      </c>
      <c r="K354" s="216">
        <f t="shared" si="28"/>
        <v>0</v>
      </c>
      <c r="L354" s="205">
        <v>420.33</v>
      </c>
      <c r="M354" s="216">
        <f t="shared" si="29"/>
        <v>1.0070446933826076</v>
      </c>
      <c r="N354" s="205">
        <v>256.40129999999976</v>
      </c>
      <c r="O354" s="204">
        <v>0.3</v>
      </c>
      <c r="P354" s="206">
        <v>3.4646033029218154E-3</v>
      </c>
      <c r="Q354" s="204">
        <v>0.30999999999999944</v>
      </c>
      <c r="R354" s="206">
        <v>3.5800900796858692E-3</v>
      </c>
      <c r="S354" s="205">
        <v>130.30229999999975</v>
      </c>
      <c r="T354" s="204" t="s">
        <v>402</v>
      </c>
      <c r="U354" s="204" t="s">
        <v>224</v>
      </c>
      <c r="V354" s="204"/>
      <c r="W354" s="211">
        <v>1</v>
      </c>
      <c r="X354" s="204" t="s">
        <v>487</v>
      </c>
    </row>
    <row r="355" spans="2:24">
      <c r="B355" s="663"/>
      <c r="C355" s="659"/>
      <c r="D355" s="239">
        <v>9</v>
      </c>
      <c r="E355" s="204" t="s">
        <v>580</v>
      </c>
      <c r="F355" s="205">
        <v>123.92399999999999</v>
      </c>
      <c r="G355" s="204">
        <v>5.84</v>
      </c>
      <c r="H355" s="204">
        <v>6.4</v>
      </c>
      <c r="I355" s="216">
        <f t="shared" si="27"/>
        <v>1.0958904109589043</v>
      </c>
      <c r="J355" s="204">
        <v>0</v>
      </c>
      <c r="K355" s="216">
        <f t="shared" si="28"/>
        <v>0</v>
      </c>
      <c r="L355" s="205">
        <v>413.08</v>
      </c>
      <c r="M355" s="216">
        <f t="shared" si="29"/>
        <v>1.0958904109589043</v>
      </c>
      <c r="N355" s="205">
        <v>231.32480000000021</v>
      </c>
      <c r="O355" s="204">
        <v>0.3</v>
      </c>
      <c r="P355" s="206">
        <v>5.1369863013698627E-2</v>
      </c>
      <c r="Q355" s="204">
        <v>0.26000000000000051</v>
      </c>
      <c r="R355" s="206">
        <v>4.4520547945205567E-2</v>
      </c>
      <c r="S355" s="205">
        <v>107.4008000000002</v>
      </c>
      <c r="T355" s="204" t="s">
        <v>419</v>
      </c>
      <c r="U355" s="204" t="s">
        <v>522</v>
      </c>
      <c r="V355" s="204"/>
      <c r="W355" s="211">
        <v>1</v>
      </c>
      <c r="X355" s="204" t="s">
        <v>446</v>
      </c>
    </row>
    <row r="356" spans="2:24">
      <c r="B356" s="663"/>
      <c r="C356" s="659"/>
      <c r="D356" s="239">
        <v>10</v>
      </c>
      <c r="E356" s="204" t="s">
        <v>665</v>
      </c>
      <c r="F356" s="205">
        <v>122.14400000000001</v>
      </c>
      <c r="G356" s="204">
        <v>105.42</v>
      </c>
      <c r="H356" s="204">
        <v>107.9</v>
      </c>
      <c r="I356" s="216">
        <f t="shared" si="27"/>
        <v>1.0235249478277366</v>
      </c>
      <c r="J356" s="204">
        <v>0</v>
      </c>
      <c r="K356" s="216">
        <f t="shared" si="28"/>
        <v>0</v>
      </c>
      <c r="L356" s="205">
        <v>76.34</v>
      </c>
      <c r="M356" s="216">
        <f t="shared" si="29"/>
        <v>1.0235249478277366</v>
      </c>
      <c r="N356" s="205">
        <v>189.3232000000003</v>
      </c>
      <c r="O356" s="204">
        <v>1.6</v>
      </c>
      <c r="P356" s="206">
        <v>1.5177385695313983E-2</v>
      </c>
      <c r="Q356" s="204">
        <v>0.88000000000000389</v>
      </c>
      <c r="R356" s="206">
        <v>8.3475621324227266E-3</v>
      </c>
      <c r="S356" s="205">
        <v>67.179200000000293</v>
      </c>
      <c r="T356" s="204" t="s">
        <v>402</v>
      </c>
      <c r="U356" s="204" t="s">
        <v>224</v>
      </c>
      <c r="V356" s="204"/>
      <c r="W356" s="211">
        <v>1</v>
      </c>
      <c r="X356" s="204" t="s">
        <v>492</v>
      </c>
    </row>
    <row r="357" spans="2:24">
      <c r="B357" s="662">
        <v>45905</v>
      </c>
      <c r="C357" s="660" t="s">
        <v>955</v>
      </c>
      <c r="D357" s="239">
        <v>1</v>
      </c>
      <c r="E357" s="204" t="s">
        <v>931</v>
      </c>
      <c r="F357" s="205">
        <v>157.55199999999999</v>
      </c>
      <c r="G357" s="204">
        <v>20.375</v>
      </c>
      <c r="H357" s="204">
        <v>21.5</v>
      </c>
      <c r="I357" s="216">
        <f t="shared" si="27"/>
        <v>1.0552147239263803</v>
      </c>
      <c r="J357" s="204">
        <v>0</v>
      </c>
      <c r="K357" s="216">
        <f t="shared" si="28"/>
        <v>0</v>
      </c>
      <c r="L357" s="205">
        <v>196.94</v>
      </c>
      <c r="M357" s="216">
        <f t="shared" si="29"/>
        <v>1.0552147239263803</v>
      </c>
      <c r="N357" s="205">
        <v>221.5575</v>
      </c>
      <c r="O357" s="204">
        <v>0.79999999999999993</v>
      </c>
      <c r="P357" s="206">
        <v>3.926380368098159E-2</v>
      </c>
      <c r="Q357" s="204">
        <v>0.32500000000000007</v>
      </c>
      <c r="R357" s="206">
        <v>1.5950920245398775E-2</v>
      </c>
      <c r="S357" s="205">
        <v>64.005500000000012</v>
      </c>
      <c r="T357" s="204" t="s">
        <v>419</v>
      </c>
      <c r="U357" s="204" t="s">
        <v>522</v>
      </c>
      <c r="V357" s="204"/>
      <c r="W357" s="211">
        <v>1</v>
      </c>
      <c r="X357" s="204" t="s">
        <v>834</v>
      </c>
    </row>
    <row r="358" spans="2:24">
      <c r="B358" s="663"/>
      <c r="C358" s="659"/>
      <c r="D358" s="239">
        <v>2</v>
      </c>
      <c r="E358" s="204" t="s">
        <v>670</v>
      </c>
      <c r="F358" s="205">
        <v>155.74300000000008</v>
      </c>
      <c r="G358" s="204">
        <v>230.86</v>
      </c>
      <c r="H358" s="204">
        <v>233</v>
      </c>
      <c r="I358" s="216">
        <f t="shared" si="27"/>
        <v>1.0092696872563458</v>
      </c>
      <c r="J358" s="204">
        <v>0</v>
      </c>
      <c r="K358" s="216">
        <f t="shared" si="28"/>
        <v>0</v>
      </c>
      <c r="L358" s="205">
        <v>81.97</v>
      </c>
      <c r="M358" s="216">
        <f t="shared" si="29"/>
        <v>1.0092696872563458</v>
      </c>
      <c r="N358" s="205">
        <v>175.41579999999888</v>
      </c>
      <c r="O358" s="204">
        <v>1.900000000000001</v>
      </c>
      <c r="P358" s="206">
        <v>8.2300961621762144E-3</v>
      </c>
      <c r="Q358" s="204">
        <v>0.23999999999998534</v>
      </c>
      <c r="R358" s="206">
        <v>1.0395910941695631E-3</v>
      </c>
      <c r="S358" s="205">
        <v>19.672799999998798</v>
      </c>
      <c r="T358" s="204" t="s">
        <v>402</v>
      </c>
      <c r="U358" s="204" t="s">
        <v>224</v>
      </c>
      <c r="V358" s="204"/>
      <c r="W358" s="211">
        <v>1</v>
      </c>
      <c r="X358" s="204" t="s">
        <v>413</v>
      </c>
    </row>
    <row r="359" spans="2:24">
      <c r="B359" s="663"/>
      <c r="C359" s="659"/>
      <c r="D359" s="239">
        <v>3</v>
      </c>
      <c r="E359" s="204" t="s">
        <v>933</v>
      </c>
      <c r="F359" s="205">
        <v>151.29</v>
      </c>
      <c r="G359" s="204">
        <v>31.08</v>
      </c>
      <c r="H359" s="204">
        <v>32.4</v>
      </c>
      <c r="I359" s="216">
        <f t="shared" si="27"/>
        <v>1.0424710424710424</v>
      </c>
      <c r="J359" s="204">
        <v>0</v>
      </c>
      <c r="K359" s="216">
        <f t="shared" si="28"/>
        <v>0</v>
      </c>
      <c r="L359" s="205">
        <v>151.29</v>
      </c>
      <c r="M359" s="216">
        <f t="shared" si="29"/>
        <v>1.0424710424710424</v>
      </c>
      <c r="N359" s="205">
        <v>199.70280000000002</v>
      </c>
      <c r="O359" s="204">
        <v>1</v>
      </c>
      <c r="P359" s="206">
        <v>3.2175032175032175E-2</v>
      </c>
      <c r="Q359" s="204">
        <v>0.32000000000000028</v>
      </c>
      <c r="R359" s="206">
        <v>1.0296010296010306E-2</v>
      </c>
      <c r="S359" s="205">
        <v>48.41280000000004</v>
      </c>
      <c r="T359" s="204" t="s">
        <v>224</v>
      </c>
      <c r="U359" s="204" t="s">
        <v>522</v>
      </c>
      <c r="V359" s="204"/>
      <c r="W359" s="211">
        <v>1</v>
      </c>
      <c r="X359" s="204" t="s">
        <v>488</v>
      </c>
    </row>
    <row r="360" spans="2:24">
      <c r="B360" s="663"/>
      <c r="C360" s="659"/>
      <c r="D360" s="239">
        <v>4</v>
      </c>
      <c r="E360" s="204" t="s">
        <v>548</v>
      </c>
      <c r="F360" s="205">
        <v>148.995</v>
      </c>
      <c r="G360" s="204">
        <v>86.960999999999999</v>
      </c>
      <c r="H360" s="204">
        <v>89.6</v>
      </c>
      <c r="I360" s="216">
        <f t="shared" si="27"/>
        <v>1.0303469371327376</v>
      </c>
      <c r="J360" s="204">
        <v>0</v>
      </c>
      <c r="K360" s="216">
        <f t="shared" si="28"/>
        <v>0</v>
      </c>
      <c r="L360" s="205">
        <v>70.95</v>
      </c>
      <c r="M360" s="216">
        <f t="shared" si="29"/>
        <v>1.0303469371327376</v>
      </c>
      <c r="N360" s="205">
        <v>187.2370499999997</v>
      </c>
      <c r="O360" s="204">
        <v>2.1</v>
      </c>
      <c r="P360" s="206">
        <v>2.414875633904854E-2</v>
      </c>
      <c r="Q360" s="204">
        <v>0.5389999999999957</v>
      </c>
      <c r="R360" s="206">
        <v>6.1981807936890756E-3</v>
      </c>
      <c r="S360" s="205">
        <v>38.242049999999693</v>
      </c>
      <c r="T360" s="204" t="s">
        <v>224</v>
      </c>
      <c r="U360" s="204" t="s">
        <v>522</v>
      </c>
      <c r="V360" s="204"/>
      <c r="W360" s="211">
        <v>1</v>
      </c>
      <c r="X360" s="204" t="s">
        <v>482</v>
      </c>
    </row>
    <row r="361" spans="2:24">
      <c r="B361" s="663"/>
      <c r="C361" s="659"/>
      <c r="D361" s="239">
        <v>5</v>
      </c>
      <c r="E361" s="204" t="s">
        <v>948</v>
      </c>
      <c r="F361" s="205">
        <v>147.04</v>
      </c>
      <c r="G361" s="204">
        <v>69.399000000000001</v>
      </c>
      <c r="H361" s="204">
        <v>71.5</v>
      </c>
      <c r="I361" s="216">
        <f t="shared" si="27"/>
        <v>1.0302742114439689</v>
      </c>
      <c r="J361" s="204">
        <v>0</v>
      </c>
      <c r="K361" s="216">
        <f t="shared" si="28"/>
        <v>0</v>
      </c>
      <c r="L361" s="205">
        <v>73.52</v>
      </c>
      <c r="M361" s="216">
        <f t="shared" si="29"/>
        <v>1.0302742114439689</v>
      </c>
      <c r="N361" s="205">
        <v>154.46551999999991</v>
      </c>
      <c r="O361" s="204">
        <v>2</v>
      </c>
      <c r="P361" s="206">
        <v>2.8818859061369759E-2</v>
      </c>
      <c r="Q361" s="204">
        <v>0.10099999999999909</v>
      </c>
      <c r="R361" s="206">
        <v>1.4553523825991599E-3</v>
      </c>
      <c r="S361" s="205">
        <v>7.4255199999999331</v>
      </c>
      <c r="T361" s="204" t="s">
        <v>224</v>
      </c>
      <c r="U361" s="204" t="s">
        <v>522</v>
      </c>
      <c r="V361" s="204"/>
      <c r="W361" s="211">
        <v>1</v>
      </c>
      <c r="X361" s="204" t="s">
        <v>484</v>
      </c>
    </row>
    <row r="362" spans="2:24">
      <c r="B362" s="663"/>
      <c r="C362" s="659"/>
      <c r="D362" s="239">
        <v>6</v>
      </c>
      <c r="E362" s="204" t="s">
        <v>696</v>
      </c>
      <c r="F362" s="205">
        <v>134.5</v>
      </c>
      <c r="G362" s="204">
        <v>1484</v>
      </c>
      <c r="H362" s="204">
        <v>1494</v>
      </c>
      <c r="I362" s="216">
        <f t="shared" si="27"/>
        <v>1.0067385444743935</v>
      </c>
      <c r="J362" s="204">
        <v>0</v>
      </c>
      <c r="K362" s="216">
        <f t="shared" si="28"/>
        <v>0</v>
      </c>
      <c r="L362" s="205">
        <v>13.45</v>
      </c>
      <c r="M362" s="216">
        <f t="shared" si="29"/>
        <v>1.0067385444743935</v>
      </c>
      <c r="N362" s="205">
        <v>134.5</v>
      </c>
      <c r="O362" s="204">
        <v>10</v>
      </c>
      <c r="P362" s="206">
        <v>6.7385444743935314E-3</v>
      </c>
      <c r="Q362" s="204">
        <v>0</v>
      </c>
      <c r="R362" s="206">
        <v>0</v>
      </c>
      <c r="S362" s="205">
        <v>0</v>
      </c>
      <c r="T362" s="204" t="s">
        <v>405</v>
      </c>
      <c r="U362" s="204" t="s">
        <v>226</v>
      </c>
      <c r="V362" s="204"/>
      <c r="W362" s="211">
        <v>1</v>
      </c>
      <c r="X362" s="204" t="s">
        <v>697</v>
      </c>
    </row>
    <row r="363" spans="2:24">
      <c r="B363" s="663"/>
      <c r="C363" s="659"/>
      <c r="D363" s="239">
        <v>7</v>
      </c>
      <c r="E363" s="204" t="s">
        <v>956</v>
      </c>
      <c r="F363" s="205">
        <v>133.602</v>
      </c>
      <c r="G363" s="204">
        <v>59.6</v>
      </c>
      <c r="H363" s="204">
        <v>61.6</v>
      </c>
      <c r="I363" s="216">
        <f t="shared" si="27"/>
        <v>1.0335570469798658</v>
      </c>
      <c r="J363" s="204">
        <v>0</v>
      </c>
      <c r="K363" s="216">
        <f t="shared" si="28"/>
        <v>0</v>
      </c>
      <c r="L363" s="205">
        <v>95.43</v>
      </c>
      <c r="M363" s="216">
        <f t="shared" si="29"/>
        <v>1.0335570469798658</v>
      </c>
      <c r="N363" s="205">
        <v>190.86</v>
      </c>
      <c r="O363" s="204">
        <v>1.4</v>
      </c>
      <c r="P363" s="206">
        <v>2.3489932885906038E-2</v>
      </c>
      <c r="Q363" s="204">
        <v>0.60000000000000009</v>
      </c>
      <c r="R363" s="206">
        <v>1.0067114093959733E-2</v>
      </c>
      <c r="S363" s="205">
        <v>57.25800000000001</v>
      </c>
      <c r="T363" s="204" t="s">
        <v>402</v>
      </c>
      <c r="U363" s="204" t="s">
        <v>224</v>
      </c>
      <c r="V363" s="204"/>
      <c r="W363" s="211">
        <v>1</v>
      </c>
      <c r="X363" s="204" t="s">
        <v>479</v>
      </c>
    </row>
    <row r="364" spans="2:24">
      <c r="B364" s="663"/>
      <c r="C364" s="659"/>
      <c r="D364" s="239">
        <v>8</v>
      </c>
      <c r="E364" s="204" t="s">
        <v>547</v>
      </c>
      <c r="F364" s="205">
        <v>127.738</v>
      </c>
      <c r="G364" s="204">
        <v>113.295</v>
      </c>
      <c r="H364" s="204">
        <v>116.5</v>
      </c>
      <c r="I364" s="216">
        <f t="shared" si="27"/>
        <v>1.0282889800962089</v>
      </c>
      <c r="J364" s="204">
        <v>0</v>
      </c>
      <c r="K364" s="216">
        <f t="shared" si="28"/>
        <v>0</v>
      </c>
      <c r="L364" s="205">
        <v>75.14</v>
      </c>
      <c r="M364" s="216">
        <f t="shared" si="29"/>
        <v>1.0282889800962089</v>
      </c>
      <c r="N364" s="205">
        <v>240.82369999999986</v>
      </c>
      <c r="O364" s="204">
        <v>1.7</v>
      </c>
      <c r="P364" s="206">
        <v>1.50050752460391E-2</v>
      </c>
      <c r="Q364" s="204">
        <v>1.5049999999999983</v>
      </c>
      <c r="R364" s="206">
        <v>1.3283904850169895E-2</v>
      </c>
      <c r="S364" s="205">
        <v>113.08569999999987</v>
      </c>
      <c r="T364" s="204" t="s">
        <v>402</v>
      </c>
      <c r="U364" s="204" t="s">
        <v>224</v>
      </c>
      <c r="V364" s="204"/>
      <c r="W364" s="211">
        <v>1</v>
      </c>
      <c r="X364" s="204" t="s">
        <v>423</v>
      </c>
    </row>
    <row r="365" spans="2:24">
      <c r="B365" s="663"/>
      <c r="C365" s="659"/>
      <c r="D365" s="239">
        <v>9</v>
      </c>
      <c r="E365" s="204" t="s">
        <v>529</v>
      </c>
      <c r="F365" s="205">
        <v>127.48</v>
      </c>
      <c r="G365" s="204">
        <v>115.526</v>
      </c>
      <c r="H365" s="204">
        <v>117.6</v>
      </c>
      <c r="I365" s="216">
        <f t="shared" si="27"/>
        <v>1.0179526686633311</v>
      </c>
      <c r="J365" s="204">
        <v>0</v>
      </c>
      <c r="K365" s="216">
        <f t="shared" si="28"/>
        <v>0</v>
      </c>
      <c r="L365" s="205">
        <v>127.48</v>
      </c>
      <c r="M365" s="216">
        <f t="shared" si="29"/>
        <v>1.0179526686633311</v>
      </c>
      <c r="N365" s="205">
        <v>264.39351999999974</v>
      </c>
      <c r="O365" s="204">
        <v>1</v>
      </c>
      <c r="P365" s="206">
        <v>8.6560601076813883E-3</v>
      </c>
      <c r="Q365" s="204">
        <v>1.0739999999999981</v>
      </c>
      <c r="R365" s="206">
        <v>9.2966085556497931E-3</v>
      </c>
      <c r="S365" s="205">
        <v>136.91351999999975</v>
      </c>
      <c r="T365" s="204" t="s">
        <v>402</v>
      </c>
      <c r="U365" s="204" t="s">
        <v>224</v>
      </c>
      <c r="V365" s="204"/>
      <c r="W365" s="211">
        <v>1</v>
      </c>
      <c r="X365" s="204" t="s">
        <v>417</v>
      </c>
    </row>
    <row r="366" spans="2:24">
      <c r="B366" s="663"/>
      <c r="C366" s="659"/>
      <c r="D366" s="239">
        <v>10</v>
      </c>
      <c r="E366" s="204" t="s">
        <v>546</v>
      </c>
      <c r="F366" s="205">
        <v>125.84000000000002</v>
      </c>
      <c r="G366" s="204">
        <v>63.63</v>
      </c>
      <c r="H366" s="204">
        <v>65.3</v>
      </c>
      <c r="I366" s="216">
        <f t="shared" si="27"/>
        <v>1.0262454816910263</v>
      </c>
      <c r="J366" s="204">
        <v>0</v>
      </c>
      <c r="K366" s="216">
        <f t="shared" si="28"/>
        <v>0</v>
      </c>
      <c r="L366" s="205">
        <v>114.4</v>
      </c>
      <c r="M366" s="216">
        <f t="shared" si="29"/>
        <v>1.0262454816910263</v>
      </c>
      <c r="N366" s="205">
        <v>191.0479999999994</v>
      </c>
      <c r="O366" s="204">
        <v>1.1000000000000001</v>
      </c>
      <c r="P366" s="206">
        <v>1.7287443030017287E-2</v>
      </c>
      <c r="Q366" s="204">
        <v>0.56999999999999451</v>
      </c>
      <c r="R366" s="206">
        <v>8.9580386610088707E-3</v>
      </c>
      <c r="S366" s="205">
        <v>65.207999999999373</v>
      </c>
      <c r="T366" s="204" t="s">
        <v>402</v>
      </c>
      <c r="U366" s="204" t="s">
        <v>224</v>
      </c>
      <c r="V366" s="204"/>
      <c r="W366" s="211">
        <v>1</v>
      </c>
      <c r="X366" s="204" t="s">
        <v>482</v>
      </c>
    </row>
    <row r="367" spans="2:24">
      <c r="B367" s="662">
        <v>45906</v>
      </c>
      <c r="C367" s="660" t="s">
        <v>957</v>
      </c>
      <c r="D367" s="239">
        <v>1</v>
      </c>
      <c r="E367" s="204" t="s">
        <v>599</v>
      </c>
      <c r="F367" s="205">
        <v>177.952</v>
      </c>
      <c r="G367" s="204">
        <v>22.59</v>
      </c>
      <c r="H367" s="204">
        <v>23.4</v>
      </c>
      <c r="I367" s="216">
        <f t="shared" si="27"/>
        <v>1.0358565737051793</v>
      </c>
      <c r="J367" s="204">
        <v>0</v>
      </c>
      <c r="K367" s="216">
        <f t="shared" si="28"/>
        <v>0</v>
      </c>
      <c r="L367" s="205">
        <v>444.88</v>
      </c>
      <c r="M367" s="216">
        <f t="shared" si="29"/>
        <v>1.0358565737051793</v>
      </c>
      <c r="N367" s="205">
        <v>360.35279999999943</v>
      </c>
      <c r="O367" s="204">
        <v>0.4</v>
      </c>
      <c r="P367" s="206">
        <v>1.7706949977866315E-2</v>
      </c>
      <c r="Q367" s="204">
        <v>0.4099999999999987</v>
      </c>
      <c r="R367" s="206">
        <v>1.8149623727312911E-2</v>
      </c>
      <c r="S367" s="205">
        <v>182.40079999999941</v>
      </c>
      <c r="T367" s="204" t="s">
        <v>402</v>
      </c>
      <c r="U367" s="204" t="s">
        <v>224</v>
      </c>
      <c r="V367" s="204"/>
      <c r="W367" s="211">
        <v>1</v>
      </c>
      <c r="X367" s="204" t="s">
        <v>598</v>
      </c>
    </row>
    <row r="368" spans="2:24">
      <c r="B368" s="663"/>
      <c r="C368" s="659"/>
      <c r="D368" s="239">
        <v>2</v>
      </c>
      <c r="E368" s="204" t="s">
        <v>561</v>
      </c>
      <c r="F368" s="205">
        <v>166.77600000000001</v>
      </c>
      <c r="G368" s="204">
        <v>54.354999999999997</v>
      </c>
      <c r="H368" s="204">
        <v>55.9</v>
      </c>
      <c r="I368" s="216">
        <f t="shared" si="27"/>
        <v>1.0284242479992642</v>
      </c>
      <c r="J368" s="204">
        <v>0</v>
      </c>
      <c r="K368" s="216">
        <f t="shared" si="28"/>
        <v>0</v>
      </c>
      <c r="L368" s="205">
        <v>208.47</v>
      </c>
      <c r="M368" s="216">
        <f t="shared" si="29"/>
        <v>1.0284242479992642</v>
      </c>
      <c r="N368" s="205">
        <v>322.08615000000037</v>
      </c>
      <c r="O368" s="204">
        <v>0.8</v>
      </c>
      <c r="P368" s="206">
        <v>1.4718057216447431E-2</v>
      </c>
      <c r="Q368" s="204">
        <v>0.74500000000000166</v>
      </c>
      <c r="R368" s="206">
        <v>1.37061907828167E-2</v>
      </c>
      <c r="S368" s="205">
        <v>155.31015000000033</v>
      </c>
      <c r="T368" s="204" t="s">
        <v>224</v>
      </c>
      <c r="U368" s="204" t="s">
        <v>224</v>
      </c>
      <c r="V368" s="204"/>
      <c r="W368" s="211">
        <v>1</v>
      </c>
      <c r="X368" s="204" t="s">
        <v>492</v>
      </c>
    </row>
    <row r="369" spans="2:24">
      <c r="B369" s="663"/>
      <c r="C369" s="659"/>
      <c r="D369" s="239">
        <v>3</v>
      </c>
      <c r="E369" s="204" t="s">
        <v>422</v>
      </c>
      <c r="F369" s="205">
        <v>164.26799999999997</v>
      </c>
      <c r="G369" s="204">
        <v>241.762</v>
      </c>
      <c r="H369" s="204">
        <v>244.8</v>
      </c>
      <c r="I369" s="216">
        <f t="shared" si="27"/>
        <v>1.0125660773818881</v>
      </c>
      <c r="J369" s="204">
        <v>0</v>
      </c>
      <c r="K369" s="216">
        <f t="shared" si="28"/>
        <v>0</v>
      </c>
      <c r="L369" s="205">
        <v>136.88999999999999</v>
      </c>
      <c r="M369" s="216">
        <f t="shared" si="29"/>
        <v>1.0125660773818881</v>
      </c>
      <c r="N369" s="205">
        <v>415.87182000000143</v>
      </c>
      <c r="O369" s="204">
        <v>1.2</v>
      </c>
      <c r="P369" s="206">
        <v>4.9635592028523922E-3</v>
      </c>
      <c r="Q369" s="204">
        <v>1.838000000000011</v>
      </c>
      <c r="R369" s="206">
        <v>7.6025181790356257E-3</v>
      </c>
      <c r="S369" s="205">
        <v>251.60382000000146</v>
      </c>
      <c r="T369" s="204" t="s">
        <v>405</v>
      </c>
      <c r="U369" s="204" t="s">
        <v>225</v>
      </c>
      <c r="V369" s="204"/>
      <c r="W369" s="211">
        <v>1</v>
      </c>
      <c r="X369" s="204" t="s">
        <v>423</v>
      </c>
    </row>
    <row r="370" spans="2:24">
      <c r="B370" s="663"/>
      <c r="C370" s="659"/>
      <c r="D370" s="239">
        <v>4</v>
      </c>
      <c r="E370" s="204" t="s">
        <v>545</v>
      </c>
      <c r="F370" s="205">
        <v>157.71899999999999</v>
      </c>
      <c r="G370" s="204">
        <v>23.04</v>
      </c>
      <c r="H370" s="204">
        <v>23.7</v>
      </c>
      <c r="I370" s="216">
        <f t="shared" si="27"/>
        <v>1.0286458333333333</v>
      </c>
      <c r="J370" s="204">
        <v>0</v>
      </c>
      <c r="K370" s="216">
        <f t="shared" si="28"/>
        <v>0</v>
      </c>
      <c r="L370" s="205">
        <v>525.73</v>
      </c>
      <c r="M370" s="216">
        <f t="shared" si="29"/>
        <v>1.0286458333333333</v>
      </c>
      <c r="N370" s="205">
        <v>346.98180000000008</v>
      </c>
      <c r="O370" s="204">
        <v>0.3</v>
      </c>
      <c r="P370" s="206">
        <v>1.3020833333333334E-2</v>
      </c>
      <c r="Q370" s="204">
        <v>0.36000000000000015</v>
      </c>
      <c r="R370" s="206">
        <v>1.5625000000000007E-2</v>
      </c>
      <c r="S370" s="205">
        <v>189.26280000000008</v>
      </c>
      <c r="T370" s="204" t="s">
        <v>224</v>
      </c>
      <c r="U370" s="204" t="s">
        <v>224</v>
      </c>
      <c r="V370" s="204"/>
      <c r="W370" s="211">
        <v>1</v>
      </c>
      <c r="X370" s="204" t="s">
        <v>517</v>
      </c>
    </row>
    <row r="371" spans="2:24">
      <c r="B371" s="663"/>
      <c r="C371" s="659"/>
      <c r="D371" s="239">
        <v>5</v>
      </c>
      <c r="E371" s="204" t="s">
        <v>424</v>
      </c>
      <c r="F371" s="205">
        <v>136.84</v>
      </c>
      <c r="G371" s="204">
        <v>37.695</v>
      </c>
      <c r="H371" s="204">
        <v>38.700000000000003</v>
      </c>
      <c r="I371" s="216">
        <f t="shared" si="27"/>
        <v>1.0266613609231994</v>
      </c>
      <c r="J371" s="204">
        <v>0</v>
      </c>
      <c r="K371" s="216">
        <f t="shared" si="28"/>
        <v>0</v>
      </c>
      <c r="L371" s="205">
        <v>273.68</v>
      </c>
      <c r="M371" s="216">
        <f t="shared" si="29"/>
        <v>1.0266613609231994</v>
      </c>
      <c r="N371" s="205">
        <v>275.0484000000007</v>
      </c>
      <c r="O371" s="204">
        <v>0.5</v>
      </c>
      <c r="P371" s="206">
        <v>1.326435866825839E-2</v>
      </c>
      <c r="Q371" s="204">
        <v>0.50500000000000256</v>
      </c>
      <c r="R371" s="206">
        <v>1.3397002254941042E-2</v>
      </c>
      <c r="S371" s="205">
        <v>138.20840000000069</v>
      </c>
      <c r="T371" s="204" t="s">
        <v>405</v>
      </c>
      <c r="U371" s="204" t="s">
        <v>225</v>
      </c>
      <c r="V371" s="204"/>
      <c r="W371" s="211">
        <v>1</v>
      </c>
      <c r="X371" s="204" t="s">
        <v>425</v>
      </c>
    </row>
    <row r="372" spans="2:24">
      <c r="B372" s="663"/>
      <c r="C372" s="659"/>
      <c r="D372" s="239">
        <v>6</v>
      </c>
      <c r="E372" s="204" t="s">
        <v>696</v>
      </c>
      <c r="F372" s="205">
        <v>134.5</v>
      </c>
      <c r="G372" s="204">
        <v>1484</v>
      </c>
      <c r="H372" s="204">
        <v>1494</v>
      </c>
      <c r="I372" s="216">
        <f t="shared" si="27"/>
        <v>1.0067385444743935</v>
      </c>
      <c r="J372" s="204">
        <v>0</v>
      </c>
      <c r="K372" s="216">
        <f t="shared" si="28"/>
        <v>0</v>
      </c>
      <c r="L372" s="205">
        <v>13.45</v>
      </c>
      <c r="M372" s="216">
        <f t="shared" si="29"/>
        <v>1.0067385444743935</v>
      </c>
      <c r="N372" s="205">
        <v>134.5</v>
      </c>
      <c r="O372" s="204">
        <v>10</v>
      </c>
      <c r="P372" s="206">
        <v>6.7385444743935314E-3</v>
      </c>
      <c r="Q372" s="204">
        <v>0</v>
      </c>
      <c r="R372" s="206">
        <v>0</v>
      </c>
      <c r="S372" s="205">
        <v>0</v>
      </c>
      <c r="T372" s="204" t="s">
        <v>405</v>
      </c>
      <c r="U372" s="204" t="s">
        <v>226</v>
      </c>
      <c r="V372" s="204"/>
      <c r="W372" s="211">
        <v>1</v>
      </c>
      <c r="X372" s="204" t="s">
        <v>697</v>
      </c>
    </row>
    <row r="373" spans="2:24">
      <c r="B373" s="663"/>
      <c r="C373" s="659"/>
      <c r="D373" s="239">
        <v>7</v>
      </c>
      <c r="E373" s="204" t="s">
        <v>594</v>
      </c>
      <c r="F373" s="205">
        <v>133.79600000000002</v>
      </c>
      <c r="G373" s="204">
        <v>44.277999999999999</v>
      </c>
      <c r="H373" s="204">
        <v>44.9</v>
      </c>
      <c r="I373" s="216">
        <f t="shared" si="27"/>
        <v>1.0140476082930574</v>
      </c>
      <c r="J373" s="204">
        <v>0</v>
      </c>
      <c r="K373" s="216">
        <f t="shared" si="28"/>
        <v>0</v>
      </c>
      <c r="L373" s="205">
        <v>334.49</v>
      </c>
      <c r="M373" s="216">
        <f t="shared" si="29"/>
        <v>1.0140476082930574</v>
      </c>
      <c r="N373" s="205">
        <v>208.05277999999996</v>
      </c>
      <c r="O373" s="204">
        <v>0.4</v>
      </c>
      <c r="P373" s="206">
        <v>9.0338316997154357E-3</v>
      </c>
      <c r="Q373" s="204">
        <v>0.22199999999999986</v>
      </c>
      <c r="R373" s="206">
        <v>5.0137765933420632E-3</v>
      </c>
      <c r="S373" s="205">
        <v>74.256779999999964</v>
      </c>
      <c r="T373" s="204" t="s">
        <v>224</v>
      </c>
      <c r="U373" s="204" t="s">
        <v>224</v>
      </c>
      <c r="V373" s="204"/>
      <c r="W373" s="211">
        <v>1</v>
      </c>
      <c r="X373" s="204" t="s">
        <v>478</v>
      </c>
    </row>
    <row r="374" spans="2:24">
      <c r="B374" s="663"/>
      <c r="C374" s="659"/>
      <c r="D374" s="239">
        <v>8</v>
      </c>
      <c r="E374" s="204" t="s">
        <v>407</v>
      </c>
      <c r="F374" s="205">
        <v>132.21600000000001</v>
      </c>
      <c r="G374" s="204">
        <v>62.93</v>
      </c>
      <c r="H374" s="204">
        <v>63.9</v>
      </c>
      <c r="I374" s="216">
        <f t="shared" si="27"/>
        <v>1.0154139520101699</v>
      </c>
      <c r="J374" s="204">
        <v>0</v>
      </c>
      <c r="K374" s="216">
        <f t="shared" si="28"/>
        <v>0</v>
      </c>
      <c r="L374" s="205">
        <v>330.54</v>
      </c>
      <c r="M374" s="216">
        <f t="shared" si="29"/>
        <v>1.0154139520101699</v>
      </c>
      <c r="N374" s="205">
        <v>320.62379999999962</v>
      </c>
      <c r="O374" s="204">
        <v>0.4</v>
      </c>
      <c r="P374" s="206">
        <v>6.3562688701732087E-3</v>
      </c>
      <c r="Q374" s="204">
        <v>0.56999999999999884</v>
      </c>
      <c r="R374" s="206">
        <v>9.0576831399968027E-3</v>
      </c>
      <c r="S374" s="205">
        <v>188.40779999999964</v>
      </c>
      <c r="T374" s="204" t="s">
        <v>224</v>
      </c>
      <c r="U374" s="204" t="s">
        <v>224</v>
      </c>
      <c r="V374" s="204"/>
      <c r="W374" s="211">
        <v>1</v>
      </c>
      <c r="X374" s="204" t="s">
        <v>408</v>
      </c>
    </row>
    <row r="375" spans="2:24">
      <c r="B375" s="663"/>
      <c r="C375" s="659"/>
      <c r="D375" s="239">
        <v>9</v>
      </c>
      <c r="E375" s="204" t="s">
        <v>528</v>
      </c>
      <c r="F375" s="205">
        <v>126.09899999999999</v>
      </c>
      <c r="G375" s="204">
        <v>71.89</v>
      </c>
      <c r="H375" s="204">
        <v>72.5</v>
      </c>
      <c r="I375" s="216">
        <f t="shared" si="27"/>
        <v>1.0084851857003756</v>
      </c>
      <c r="J375" s="204">
        <v>0</v>
      </c>
      <c r="K375" s="216">
        <f t="shared" si="28"/>
        <v>0</v>
      </c>
      <c r="L375" s="205">
        <v>420.33</v>
      </c>
      <c r="M375" s="216">
        <f t="shared" si="29"/>
        <v>1.0084851857003756</v>
      </c>
      <c r="N375" s="205">
        <v>256.40129999999976</v>
      </c>
      <c r="O375" s="204">
        <v>0.3</v>
      </c>
      <c r="P375" s="206">
        <v>4.173042147725692E-3</v>
      </c>
      <c r="Q375" s="204">
        <v>0.30999999999999944</v>
      </c>
      <c r="R375" s="206">
        <v>4.3121435526498738E-3</v>
      </c>
      <c r="S375" s="205">
        <v>130.30229999999975</v>
      </c>
      <c r="T375" s="204" t="s">
        <v>405</v>
      </c>
      <c r="U375" s="204" t="s">
        <v>225</v>
      </c>
      <c r="V375" s="204"/>
      <c r="W375" s="211">
        <v>1</v>
      </c>
      <c r="X375" s="204" t="s">
        <v>487</v>
      </c>
    </row>
    <row r="376" spans="2:24">
      <c r="B376" s="663"/>
      <c r="C376" s="659"/>
      <c r="D376" s="239">
        <v>10</v>
      </c>
      <c r="E376" s="204" t="s">
        <v>597</v>
      </c>
      <c r="F376" s="205">
        <v>125.523</v>
      </c>
      <c r="G376" s="204">
        <v>15.768000000000001</v>
      </c>
      <c r="H376" s="204">
        <v>16.2</v>
      </c>
      <c r="I376" s="216">
        <f t="shared" si="27"/>
        <v>1.0273972602739725</v>
      </c>
      <c r="J376" s="204">
        <v>0</v>
      </c>
      <c r="K376" s="216">
        <f t="shared" si="28"/>
        <v>0</v>
      </c>
      <c r="L376" s="205">
        <v>418.41</v>
      </c>
      <c r="M376" s="216">
        <f t="shared" si="29"/>
        <v>1.0273972602739725</v>
      </c>
      <c r="N376" s="205">
        <v>180.75311999999943</v>
      </c>
      <c r="O376" s="204">
        <v>0.3</v>
      </c>
      <c r="P376" s="206">
        <v>1.9025875190258751E-2</v>
      </c>
      <c r="Q376" s="204">
        <v>0.13199999999999862</v>
      </c>
      <c r="R376" s="206">
        <v>8.3713850837137636E-3</v>
      </c>
      <c r="S376" s="205">
        <v>55.230119999999424</v>
      </c>
      <c r="T376" s="204" t="s">
        <v>224</v>
      </c>
      <c r="U376" s="204" t="s">
        <v>224</v>
      </c>
      <c r="V376" s="204"/>
      <c r="W376" s="211">
        <v>1</v>
      </c>
      <c r="X376" s="204" t="s">
        <v>471</v>
      </c>
    </row>
    <row r="377" spans="2:24">
      <c r="B377" s="662">
        <v>45907</v>
      </c>
      <c r="C377" s="660" t="s">
        <v>958</v>
      </c>
      <c r="D377" s="239">
        <v>1</v>
      </c>
      <c r="E377" s="204" t="s">
        <v>594</v>
      </c>
      <c r="F377" s="205">
        <v>167.245</v>
      </c>
      <c r="G377" s="204">
        <v>50.18</v>
      </c>
      <c r="H377" s="204">
        <v>51.1</v>
      </c>
      <c r="I377" s="216">
        <f t="shared" si="27"/>
        <v>1.018333997608609</v>
      </c>
      <c r="J377" s="204">
        <v>0</v>
      </c>
      <c r="K377" s="216">
        <f t="shared" si="28"/>
        <v>0</v>
      </c>
      <c r="L377" s="205">
        <v>334.49</v>
      </c>
      <c r="M377" s="216">
        <f t="shared" si="29"/>
        <v>1.018333997608609</v>
      </c>
      <c r="N377" s="205">
        <v>307.73080000000056</v>
      </c>
      <c r="O377" s="204">
        <v>0.5</v>
      </c>
      <c r="P377" s="206">
        <v>9.9641291351135908E-3</v>
      </c>
      <c r="Q377" s="204">
        <v>0.42000000000000171</v>
      </c>
      <c r="R377" s="206">
        <v>8.3698684734954502E-3</v>
      </c>
      <c r="S377" s="205">
        <v>140.48580000000058</v>
      </c>
      <c r="T377" s="204" t="s">
        <v>402</v>
      </c>
      <c r="U377" s="204" t="s">
        <v>224</v>
      </c>
      <c r="V377" s="204"/>
      <c r="W377" s="211">
        <v>1</v>
      </c>
      <c r="X377" s="204" t="s">
        <v>478</v>
      </c>
    </row>
    <row r="378" spans="2:24">
      <c r="B378" s="663"/>
      <c r="C378" s="659"/>
      <c r="D378" s="239">
        <v>2</v>
      </c>
      <c r="E378" s="204" t="s">
        <v>416</v>
      </c>
      <c r="F378" s="205">
        <v>151.63800000000001</v>
      </c>
      <c r="G378" s="204">
        <v>19.608000000000001</v>
      </c>
      <c r="H378" s="204">
        <v>20</v>
      </c>
      <c r="I378" s="216">
        <f t="shared" si="27"/>
        <v>1.0199918400652794</v>
      </c>
      <c r="J378" s="204">
        <v>0</v>
      </c>
      <c r="K378" s="216">
        <f t="shared" si="28"/>
        <v>0</v>
      </c>
      <c r="L378" s="205">
        <v>758.19</v>
      </c>
      <c r="M378" s="216">
        <f t="shared" si="29"/>
        <v>1.0199918400652794</v>
      </c>
      <c r="N378" s="205">
        <v>297.21047999999962</v>
      </c>
      <c r="O378" s="204">
        <v>0.2</v>
      </c>
      <c r="P378" s="206">
        <v>1.0199918400652794E-2</v>
      </c>
      <c r="Q378" s="204">
        <v>0.19199999999999945</v>
      </c>
      <c r="R378" s="206">
        <v>9.7919216646266544E-3</v>
      </c>
      <c r="S378" s="205">
        <v>145.57247999999959</v>
      </c>
      <c r="T378" s="204" t="s">
        <v>405</v>
      </c>
      <c r="U378" s="204" t="s">
        <v>225</v>
      </c>
      <c r="V378" s="204"/>
      <c r="W378" s="211">
        <v>1</v>
      </c>
      <c r="X378" s="204" t="s">
        <v>417</v>
      </c>
    </row>
    <row r="379" spans="2:24">
      <c r="B379" s="663"/>
      <c r="C379" s="659"/>
      <c r="D379" s="239">
        <v>3</v>
      </c>
      <c r="E379" s="204" t="s">
        <v>550</v>
      </c>
      <c r="F379" s="205">
        <v>144.64000000000001</v>
      </c>
      <c r="G379" s="204">
        <v>232.28399999999999</v>
      </c>
      <c r="H379" s="204">
        <v>235.1</v>
      </c>
      <c r="I379" s="216">
        <f t="shared" si="27"/>
        <v>1.0121230906993164</v>
      </c>
      <c r="J379" s="204">
        <v>0</v>
      </c>
      <c r="K379" s="216">
        <f t="shared" si="28"/>
        <v>0</v>
      </c>
      <c r="L379" s="205">
        <v>90.4</v>
      </c>
      <c r="M379" s="216">
        <f t="shared" si="29"/>
        <v>1.0121230906993164</v>
      </c>
      <c r="N379" s="205">
        <v>254.56640000000024</v>
      </c>
      <c r="O379" s="204">
        <v>1.6</v>
      </c>
      <c r="P379" s="206">
        <v>6.8881197155206565E-3</v>
      </c>
      <c r="Q379" s="204">
        <v>1.2160000000000024</v>
      </c>
      <c r="R379" s="206">
        <v>5.2349709837957092E-3</v>
      </c>
      <c r="S379" s="205">
        <v>109.92640000000023</v>
      </c>
      <c r="T379" s="204" t="s">
        <v>402</v>
      </c>
      <c r="U379" s="204" t="s">
        <v>224</v>
      </c>
      <c r="V379" s="204"/>
      <c r="W379" s="211">
        <v>1</v>
      </c>
      <c r="X379" s="204" t="s">
        <v>479</v>
      </c>
    </row>
    <row r="380" spans="2:24">
      <c r="B380" s="663"/>
      <c r="C380" s="659"/>
      <c r="D380" s="239">
        <v>4</v>
      </c>
      <c r="E380" s="204" t="s">
        <v>959</v>
      </c>
      <c r="F380" s="205">
        <v>144.52100000000002</v>
      </c>
      <c r="G380" s="204">
        <v>233.87</v>
      </c>
      <c r="H380" s="204">
        <v>236.2</v>
      </c>
      <c r="I380" s="216">
        <f t="shared" si="27"/>
        <v>1.0099627998460683</v>
      </c>
      <c r="J380" s="204">
        <v>0</v>
      </c>
      <c r="K380" s="216">
        <f t="shared" si="28"/>
        <v>0</v>
      </c>
      <c r="L380" s="205">
        <v>111.17</v>
      </c>
      <c r="M380" s="216">
        <f t="shared" si="29"/>
        <v>1.0099627998460683</v>
      </c>
      <c r="N380" s="205">
        <v>259.02609999999822</v>
      </c>
      <c r="O380" s="204">
        <v>1.3</v>
      </c>
      <c r="P380" s="206">
        <v>5.558643690939411E-3</v>
      </c>
      <c r="Q380" s="204">
        <v>1.029999999999984</v>
      </c>
      <c r="R380" s="206">
        <v>4.4041561551288492E-3</v>
      </c>
      <c r="S380" s="205">
        <v>114.50509999999822</v>
      </c>
      <c r="T380" s="204" t="s">
        <v>402</v>
      </c>
      <c r="U380" s="204" t="s">
        <v>224</v>
      </c>
      <c r="V380" s="204"/>
      <c r="W380" s="211">
        <v>1</v>
      </c>
      <c r="X380" s="204" t="s">
        <v>423</v>
      </c>
    </row>
    <row r="381" spans="2:24">
      <c r="B381" s="663"/>
      <c r="C381" s="659"/>
      <c r="D381" s="239">
        <v>5</v>
      </c>
      <c r="E381" s="204" t="s">
        <v>952</v>
      </c>
      <c r="F381" s="205">
        <v>143.93700000000001</v>
      </c>
      <c r="G381" s="204">
        <v>76.186000000000007</v>
      </c>
      <c r="H381" s="204">
        <v>79.5</v>
      </c>
      <c r="I381" s="216">
        <f t="shared" si="27"/>
        <v>1.0434988055548262</v>
      </c>
      <c r="J381" s="204">
        <v>0</v>
      </c>
      <c r="K381" s="216">
        <f t="shared" si="28"/>
        <v>0</v>
      </c>
      <c r="L381" s="205">
        <v>53.31</v>
      </c>
      <c r="M381" s="216">
        <f t="shared" si="29"/>
        <v>1.0434988055548262</v>
      </c>
      <c r="N381" s="205">
        <v>176.66933999999964</v>
      </c>
      <c r="O381" s="204">
        <v>2.7</v>
      </c>
      <c r="P381" s="206">
        <v>3.5439582075446931E-2</v>
      </c>
      <c r="Q381" s="204">
        <v>0.61399999999999277</v>
      </c>
      <c r="R381" s="206">
        <v>8.0592234793793183E-3</v>
      </c>
      <c r="S381" s="205">
        <v>32.732339999999617</v>
      </c>
      <c r="T381" s="204" t="s">
        <v>419</v>
      </c>
      <c r="U381" s="204" t="s">
        <v>522</v>
      </c>
      <c r="V381" s="204"/>
      <c r="W381" s="211">
        <v>1</v>
      </c>
      <c r="X381" s="204" t="s">
        <v>600</v>
      </c>
    </row>
    <row r="382" spans="2:24">
      <c r="B382" s="663"/>
      <c r="C382" s="659"/>
      <c r="D382" s="239">
        <v>6</v>
      </c>
      <c r="E382" s="204" t="s">
        <v>570</v>
      </c>
      <c r="F382" s="205">
        <v>141.93</v>
      </c>
      <c r="G382" s="204">
        <v>426.87</v>
      </c>
      <c r="H382" s="204">
        <v>430.2</v>
      </c>
      <c r="I382" s="216">
        <f t="shared" si="27"/>
        <v>1.0078009698503057</v>
      </c>
      <c r="J382" s="204">
        <v>0</v>
      </c>
      <c r="K382" s="216">
        <f t="shared" si="28"/>
        <v>0</v>
      </c>
      <c r="L382" s="205">
        <v>78.849999999999994</v>
      </c>
      <c r="M382" s="216">
        <f t="shared" si="29"/>
        <v>1.0078009698503057</v>
      </c>
      <c r="N382" s="205">
        <v>262.57049999999873</v>
      </c>
      <c r="O382" s="204">
        <v>1.8</v>
      </c>
      <c r="P382" s="206">
        <v>4.2167404596247099E-3</v>
      </c>
      <c r="Q382" s="204">
        <v>1.529999999999984</v>
      </c>
      <c r="R382" s="206">
        <v>3.5842293906809663E-3</v>
      </c>
      <c r="S382" s="205">
        <v>120.64049999999874</v>
      </c>
      <c r="T382" s="204" t="s">
        <v>402</v>
      </c>
      <c r="U382" s="204" t="s">
        <v>224</v>
      </c>
      <c r="V382" s="204"/>
      <c r="W382" s="211">
        <v>1</v>
      </c>
      <c r="X382" s="204" t="s">
        <v>408</v>
      </c>
    </row>
    <row r="383" spans="2:24">
      <c r="B383" s="663"/>
      <c r="C383" s="659"/>
      <c r="D383" s="239">
        <v>7</v>
      </c>
      <c r="E383" s="204" t="s">
        <v>670</v>
      </c>
      <c r="F383" s="205">
        <v>139.34899999999999</v>
      </c>
      <c r="G383" s="204">
        <v>339.5</v>
      </c>
      <c r="H383" s="204">
        <v>342.8</v>
      </c>
      <c r="I383" s="216">
        <f t="shared" si="27"/>
        <v>1.009720176730486</v>
      </c>
      <c r="J383" s="204">
        <v>0</v>
      </c>
      <c r="K383" s="216">
        <f t="shared" si="28"/>
        <v>0</v>
      </c>
      <c r="L383" s="205">
        <v>81.97</v>
      </c>
      <c r="M383" s="216">
        <f t="shared" si="29"/>
        <v>1.009720176730486</v>
      </c>
      <c r="N383" s="205">
        <v>270.50100000000094</v>
      </c>
      <c r="O383" s="204">
        <v>1.7</v>
      </c>
      <c r="P383" s="206">
        <v>5.0073637702503677E-3</v>
      </c>
      <c r="Q383" s="204">
        <v>1.6000000000000114</v>
      </c>
      <c r="R383" s="206">
        <v>4.7128129602356742E-3</v>
      </c>
      <c r="S383" s="205">
        <v>131.15200000000092</v>
      </c>
      <c r="T383" s="204" t="s">
        <v>402</v>
      </c>
      <c r="U383" s="204" t="s">
        <v>224</v>
      </c>
      <c r="V383" s="204"/>
      <c r="W383" s="211">
        <v>1</v>
      </c>
      <c r="X383" s="204" t="s">
        <v>413</v>
      </c>
    </row>
    <row r="384" spans="2:24">
      <c r="B384" s="663"/>
      <c r="C384" s="659"/>
      <c r="D384" s="239">
        <v>8</v>
      </c>
      <c r="E384" s="204" t="s">
        <v>931</v>
      </c>
      <c r="F384" s="205">
        <v>137.858</v>
      </c>
      <c r="G384" s="204">
        <v>25.27</v>
      </c>
      <c r="H384" s="204">
        <v>26.4</v>
      </c>
      <c r="I384" s="216">
        <f t="shared" si="27"/>
        <v>1.0447170557973882</v>
      </c>
      <c r="J384" s="204">
        <v>0</v>
      </c>
      <c r="K384" s="216">
        <f t="shared" si="28"/>
        <v>0</v>
      </c>
      <c r="L384" s="205">
        <v>196.94</v>
      </c>
      <c r="M384" s="216">
        <f t="shared" si="29"/>
        <v>1.0447170557973882</v>
      </c>
      <c r="N384" s="205">
        <v>222.54219999999981</v>
      </c>
      <c r="O384" s="204">
        <v>0.70000000000000007</v>
      </c>
      <c r="P384" s="206">
        <v>2.7700831024930751E-2</v>
      </c>
      <c r="Q384" s="204">
        <v>0.42999999999999894</v>
      </c>
      <c r="R384" s="206">
        <v>1.7016224772457417E-2</v>
      </c>
      <c r="S384" s="205">
        <v>84.684199999999791</v>
      </c>
      <c r="T384" s="204" t="s">
        <v>419</v>
      </c>
      <c r="U384" s="204" t="s">
        <v>522</v>
      </c>
      <c r="V384" s="204"/>
      <c r="W384" s="211">
        <v>1</v>
      </c>
      <c r="X384" s="204" t="s">
        <v>834</v>
      </c>
    </row>
    <row r="385" spans="2:24">
      <c r="B385" s="663"/>
      <c r="C385" s="659"/>
      <c r="D385" s="239">
        <v>9</v>
      </c>
      <c r="E385" s="204" t="s">
        <v>546</v>
      </c>
      <c r="F385" s="205">
        <v>137.28</v>
      </c>
      <c r="G385" s="204">
        <v>93.6</v>
      </c>
      <c r="H385" s="204">
        <v>95.6</v>
      </c>
      <c r="I385" s="216">
        <f t="shared" si="27"/>
        <v>1.0213675213675213</v>
      </c>
      <c r="J385" s="204">
        <v>0</v>
      </c>
      <c r="K385" s="216">
        <f t="shared" si="28"/>
        <v>0</v>
      </c>
      <c r="L385" s="205">
        <v>114.4</v>
      </c>
      <c r="M385" s="216">
        <f t="shared" si="29"/>
        <v>1.0213675213675213</v>
      </c>
      <c r="N385" s="205">
        <v>228.8</v>
      </c>
      <c r="O385" s="204">
        <v>1.2</v>
      </c>
      <c r="P385" s="206">
        <v>1.282051282051282E-2</v>
      </c>
      <c r="Q385" s="204">
        <v>0.8</v>
      </c>
      <c r="R385" s="206">
        <v>8.5470085470085479E-3</v>
      </c>
      <c r="S385" s="205">
        <v>91.52000000000001</v>
      </c>
      <c r="T385" s="204" t="s">
        <v>402</v>
      </c>
      <c r="U385" s="204" t="s">
        <v>224</v>
      </c>
      <c r="V385" s="204"/>
      <c r="W385" s="211">
        <v>1</v>
      </c>
      <c r="X385" s="204" t="s">
        <v>482</v>
      </c>
    </row>
    <row r="386" spans="2:24">
      <c r="B386" s="663"/>
      <c r="C386" s="659"/>
      <c r="D386" s="239">
        <v>10</v>
      </c>
      <c r="E386" s="204" t="s">
        <v>960</v>
      </c>
      <c r="F386" s="205">
        <v>136.88999999999999</v>
      </c>
      <c r="G386" s="204">
        <v>45.856000000000002</v>
      </c>
      <c r="H386" s="204">
        <v>47.5</v>
      </c>
      <c r="I386" s="216">
        <f t="shared" si="27"/>
        <v>1.0358513607815771</v>
      </c>
      <c r="J386" s="204">
        <v>0</v>
      </c>
      <c r="K386" s="216">
        <f t="shared" si="28"/>
        <v>0</v>
      </c>
      <c r="L386" s="205">
        <v>136.88999999999999</v>
      </c>
      <c r="M386" s="216">
        <f t="shared" si="29"/>
        <v>1.0358513607815771</v>
      </c>
      <c r="N386" s="205">
        <v>225.04715999999976</v>
      </c>
      <c r="O386" s="204">
        <v>1</v>
      </c>
      <c r="P386" s="206">
        <v>2.1807397069085833E-2</v>
      </c>
      <c r="Q386" s="204">
        <v>0.64399999999999835</v>
      </c>
      <c r="R386" s="206">
        <v>1.4043963712491241E-2</v>
      </c>
      <c r="S386" s="205">
        <v>88.157159999999763</v>
      </c>
      <c r="T386" s="204" t="s">
        <v>405</v>
      </c>
      <c r="U386" s="204" t="s">
        <v>225</v>
      </c>
      <c r="V386" s="204"/>
      <c r="W386" s="211">
        <v>1</v>
      </c>
      <c r="X386" s="204" t="s">
        <v>423</v>
      </c>
    </row>
    <row r="387" spans="2:24">
      <c r="B387" s="662">
        <v>45908</v>
      </c>
      <c r="C387" s="660" t="s">
        <v>945</v>
      </c>
      <c r="D387" s="239">
        <v>1</v>
      </c>
      <c r="E387" s="204" t="s">
        <v>696</v>
      </c>
      <c r="F387" s="205">
        <v>215.2</v>
      </c>
      <c r="G387" s="204">
        <v>1658</v>
      </c>
      <c r="H387" s="204">
        <v>1674</v>
      </c>
      <c r="I387" s="216">
        <f t="shared" si="27"/>
        <v>1.0096501809408926</v>
      </c>
      <c r="J387" s="204">
        <v>0</v>
      </c>
      <c r="K387" s="216">
        <f t="shared" si="28"/>
        <v>0</v>
      </c>
      <c r="L387" s="205">
        <v>13.45</v>
      </c>
      <c r="M387" s="216">
        <f t="shared" si="29"/>
        <v>1.0096501809408926</v>
      </c>
      <c r="N387" s="205">
        <v>215.2</v>
      </c>
      <c r="O387" s="204">
        <v>16</v>
      </c>
      <c r="P387" s="206">
        <v>9.6501809408926411E-3</v>
      </c>
      <c r="Q387" s="204">
        <v>0</v>
      </c>
      <c r="R387" s="206">
        <v>0</v>
      </c>
      <c r="S387" s="205">
        <v>0</v>
      </c>
      <c r="T387" s="204" t="s">
        <v>405</v>
      </c>
      <c r="U387" s="204" t="s">
        <v>226</v>
      </c>
      <c r="V387" s="204"/>
      <c r="W387" s="211">
        <v>1</v>
      </c>
      <c r="X387" s="204" t="s">
        <v>697</v>
      </c>
    </row>
    <row r="388" spans="2:24">
      <c r="B388" s="663"/>
      <c r="C388" s="659"/>
      <c r="D388" s="239">
        <v>2</v>
      </c>
      <c r="E388" s="204" t="s">
        <v>407</v>
      </c>
      <c r="F388" s="205">
        <v>165.27</v>
      </c>
      <c r="G388" s="204">
        <v>81.436999999999998</v>
      </c>
      <c r="H388" s="204">
        <v>82.6</v>
      </c>
      <c r="I388" s="216">
        <f t="shared" si="27"/>
        <v>1.0142809779338628</v>
      </c>
      <c r="J388" s="204">
        <v>0</v>
      </c>
      <c r="K388" s="216">
        <f t="shared" si="28"/>
        <v>0</v>
      </c>
      <c r="L388" s="205">
        <v>330.54</v>
      </c>
      <c r="M388" s="216">
        <f t="shared" si="29"/>
        <v>1.0142809779338628</v>
      </c>
      <c r="N388" s="205">
        <v>384.41801999999893</v>
      </c>
      <c r="O388" s="204">
        <v>0.5</v>
      </c>
      <c r="P388" s="206">
        <v>6.1397153627957808E-3</v>
      </c>
      <c r="Q388" s="204">
        <v>0.6629999999999967</v>
      </c>
      <c r="R388" s="206">
        <v>8.1412625710671656E-3</v>
      </c>
      <c r="S388" s="205">
        <v>219.14801999999892</v>
      </c>
      <c r="T388" s="204" t="s">
        <v>405</v>
      </c>
      <c r="U388" s="204" t="s">
        <v>225</v>
      </c>
      <c r="V388" s="204"/>
      <c r="W388" s="211">
        <v>1</v>
      </c>
      <c r="X388" s="204" t="s">
        <v>408</v>
      </c>
    </row>
    <row r="389" spans="2:24">
      <c r="B389" s="663"/>
      <c r="C389" s="659"/>
      <c r="D389" s="239">
        <v>3</v>
      </c>
      <c r="E389" s="204" t="s">
        <v>659</v>
      </c>
      <c r="F389" s="205">
        <v>154.82400000000001</v>
      </c>
      <c r="G389" s="204">
        <v>95.744</v>
      </c>
      <c r="H389" s="204">
        <v>97.2</v>
      </c>
      <c r="I389" s="216">
        <f t="shared" si="27"/>
        <v>1.0152072192513368</v>
      </c>
      <c r="J389" s="204">
        <v>0</v>
      </c>
      <c r="K389" s="216">
        <f t="shared" si="28"/>
        <v>0</v>
      </c>
      <c r="L389" s="205">
        <v>258.04000000000002</v>
      </c>
      <c r="M389" s="216">
        <f t="shared" si="29"/>
        <v>1.0152072192513368</v>
      </c>
      <c r="N389" s="205">
        <v>375.70624000000083</v>
      </c>
      <c r="O389" s="204">
        <v>0.6</v>
      </c>
      <c r="P389" s="206">
        <v>6.266711229946524E-3</v>
      </c>
      <c r="Q389" s="204">
        <v>0.85600000000000309</v>
      </c>
      <c r="R389" s="206">
        <v>8.9405080213904066E-3</v>
      </c>
      <c r="S389" s="205">
        <v>220.88224000000082</v>
      </c>
      <c r="T389" s="204" t="s">
        <v>402</v>
      </c>
      <c r="U389" s="204" t="s">
        <v>224</v>
      </c>
      <c r="V389" s="204"/>
      <c r="W389" s="211">
        <v>1</v>
      </c>
      <c r="X389" s="204" t="s">
        <v>660</v>
      </c>
    </row>
    <row r="390" spans="2:24">
      <c r="B390" s="663"/>
      <c r="C390" s="659"/>
      <c r="D390" s="239">
        <v>4</v>
      </c>
      <c r="E390" s="204" t="s">
        <v>665</v>
      </c>
      <c r="F390" s="205">
        <v>145.04599999999999</v>
      </c>
      <c r="G390" s="204">
        <v>120.36</v>
      </c>
      <c r="H390" s="204">
        <v>123.1</v>
      </c>
      <c r="I390" s="216">
        <f t="shared" si="27"/>
        <v>1.0227650382186773</v>
      </c>
      <c r="J390" s="204">
        <v>0</v>
      </c>
      <c r="K390" s="216">
        <f t="shared" si="28"/>
        <v>0</v>
      </c>
      <c r="L390" s="205">
        <v>76.34</v>
      </c>
      <c r="M390" s="216">
        <f t="shared" si="29"/>
        <v>1.0227650382186773</v>
      </c>
      <c r="N390" s="205">
        <v>209.17159999999961</v>
      </c>
      <c r="O390" s="204">
        <v>1.9</v>
      </c>
      <c r="P390" s="206">
        <v>1.5785975407111998E-2</v>
      </c>
      <c r="Q390" s="204">
        <v>0.83999999999999497</v>
      </c>
      <c r="R390" s="206">
        <v>6.9790628115652623E-3</v>
      </c>
      <c r="S390" s="205">
        <v>64.125599999999622</v>
      </c>
      <c r="T390" s="204" t="s">
        <v>402</v>
      </c>
      <c r="U390" s="204" t="s">
        <v>224</v>
      </c>
      <c r="V390" s="204"/>
      <c r="W390" s="211">
        <v>1</v>
      </c>
      <c r="X390" s="204" t="s">
        <v>492</v>
      </c>
    </row>
    <row r="391" spans="2:24">
      <c r="B391" s="663"/>
      <c r="C391" s="659"/>
      <c r="D391" s="239">
        <v>5</v>
      </c>
      <c r="E391" s="204" t="s">
        <v>952</v>
      </c>
      <c r="F391" s="205">
        <v>143.93700000000001</v>
      </c>
      <c r="G391" s="204">
        <v>76.12</v>
      </c>
      <c r="H391" s="204">
        <v>79.400000000000006</v>
      </c>
      <c r="I391" s="216">
        <f t="shared" si="27"/>
        <v>1.0430898581187598</v>
      </c>
      <c r="J391" s="204">
        <v>0</v>
      </c>
      <c r="K391" s="216">
        <f t="shared" si="28"/>
        <v>0</v>
      </c>
      <c r="L391" s="205">
        <v>53.31</v>
      </c>
      <c r="M391" s="216">
        <f t="shared" si="29"/>
        <v>1.0430898581187598</v>
      </c>
      <c r="N391" s="205">
        <v>174.85680000000008</v>
      </c>
      <c r="O391" s="204">
        <v>2.7</v>
      </c>
      <c r="P391" s="206">
        <v>3.5470310036784025E-2</v>
      </c>
      <c r="Q391" s="204">
        <v>0.58000000000000096</v>
      </c>
      <c r="R391" s="206">
        <v>7.6195480819758396E-3</v>
      </c>
      <c r="S391" s="205">
        <v>30.919800000000052</v>
      </c>
      <c r="T391" s="204" t="s">
        <v>419</v>
      </c>
      <c r="U391" s="204" t="s">
        <v>522</v>
      </c>
      <c r="V391" s="204"/>
      <c r="W391" s="211">
        <v>1</v>
      </c>
      <c r="X391" s="204" t="s">
        <v>600</v>
      </c>
    </row>
    <row r="392" spans="2:24">
      <c r="B392" s="663"/>
      <c r="C392" s="659"/>
      <c r="D392" s="239">
        <v>6</v>
      </c>
      <c r="E392" s="204" t="s">
        <v>530</v>
      </c>
      <c r="F392" s="205">
        <v>141.714</v>
      </c>
      <c r="G392" s="204">
        <v>367.92</v>
      </c>
      <c r="H392" s="204">
        <v>371.3</v>
      </c>
      <c r="I392" s="216">
        <f t="shared" ref="I392:I396" si="30">H392/G392</f>
        <v>1.0091867797347249</v>
      </c>
      <c r="J392" s="204">
        <v>0</v>
      </c>
      <c r="K392" s="216">
        <f t="shared" ref="K392:K396" si="31">J392/G392</f>
        <v>0</v>
      </c>
      <c r="L392" s="205">
        <v>78.73</v>
      </c>
      <c r="M392" s="216">
        <f t="shared" ref="M392:M396" si="32">(H392+J392)/G392</f>
        <v>1.0091867797347249</v>
      </c>
      <c r="N392" s="205">
        <v>266.10739999999964</v>
      </c>
      <c r="O392" s="204">
        <v>1.8</v>
      </c>
      <c r="P392" s="206">
        <v>4.8923679060665359E-3</v>
      </c>
      <c r="Q392" s="204">
        <v>1.5799999999999954</v>
      </c>
      <c r="R392" s="206">
        <v>4.2944118286583916E-3</v>
      </c>
      <c r="S392" s="205">
        <v>124.39339999999964</v>
      </c>
      <c r="T392" s="204" t="s">
        <v>402</v>
      </c>
      <c r="U392" s="204" t="s">
        <v>224</v>
      </c>
      <c r="V392" s="204"/>
      <c r="W392" s="211">
        <v>1</v>
      </c>
      <c r="X392" s="204" t="s">
        <v>478</v>
      </c>
    </row>
    <row r="393" spans="2:24">
      <c r="B393" s="663"/>
      <c r="C393" s="659"/>
      <c r="D393" s="239">
        <v>7</v>
      </c>
      <c r="E393" s="204" t="s">
        <v>670</v>
      </c>
      <c r="F393" s="205">
        <v>139.34899999999999</v>
      </c>
      <c r="G393" s="204">
        <v>355.95</v>
      </c>
      <c r="H393" s="204">
        <v>359.1</v>
      </c>
      <c r="I393" s="216">
        <f t="shared" si="30"/>
        <v>1.0088495575221239</v>
      </c>
      <c r="J393" s="204">
        <v>0</v>
      </c>
      <c r="K393" s="216">
        <f t="shared" si="31"/>
        <v>0</v>
      </c>
      <c r="L393" s="205">
        <v>81.97</v>
      </c>
      <c r="M393" s="216">
        <f t="shared" si="32"/>
        <v>1.0088495575221239</v>
      </c>
      <c r="N393" s="205">
        <v>258.20550000000281</v>
      </c>
      <c r="O393" s="204">
        <v>1.7</v>
      </c>
      <c r="P393" s="206">
        <v>4.7759516786065456E-3</v>
      </c>
      <c r="Q393" s="204">
        <v>1.4500000000000342</v>
      </c>
      <c r="R393" s="206">
        <v>4.0736058435174444E-3</v>
      </c>
      <c r="S393" s="205">
        <v>118.8565000000028</v>
      </c>
      <c r="T393" s="204" t="s">
        <v>402</v>
      </c>
      <c r="U393" s="204" t="s">
        <v>224</v>
      </c>
      <c r="V393" s="204"/>
      <c r="W393" s="211">
        <v>1</v>
      </c>
      <c r="X393" s="204" t="s">
        <v>413</v>
      </c>
    </row>
    <row r="394" spans="2:24">
      <c r="B394" s="663"/>
      <c r="C394" s="659"/>
      <c r="D394" s="239">
        <v>8</v>
      </c>
      <c r="E394" s="204" t="s">
        <v>422</v>
      </c>
      <c r="F394" s="205">
        <v>136.88999999999999</v>
      </c>
      <c r="G394" s="204">
        <v>310.5</v>
      </c>
      <c r="H394" s="204">
        <v>312.5</v>
      </c>
      <c r="I394" s="216">
        <f t="shared" si="30"/>
        <v>1.0064412238325282</v>
      </c>
      <c r="J394" s="204">
        <v>0</v>
      </c>
      <c r="K394" s="216">
        <f t="shared" si="31"/>
        <v>0</v>
      </c>
      <c r="L394" s="205">
        <v>136.88999999999999</v>
      </c>
      <c r="M394" s="216">
        <f t="shared" si="32"/>
        <v>1.0064412238325282</v>
      </c>
      <c r="N394" s="205">
        <v>273.77999999999997</v>
      </c>
      <c r="O394" s="204">
        <v>1</v>
      </c>
      <c r="P394" s="206">
        <v>3.2206119162640902E-3</v>
      </c>
      <c r="Q394" s="204">
        <v>1</v>
      </c>
      <c r="R394" s="206">
        <v>3.2206119162640902E-3</v>
      </c>
      <c r="S394" s="205">
        <v>136.88999999999999</v>
      </c>
      <c r="T394" s="204" t="s">
        <v>405</v>
      </c>
      <c r="U394" s="204" t="s">
        <v>225</v>
      </c>
      <c r="V394" s="204"/>
      <c r="W394" s="211">
        <v>1</v>
      </c>
      <c r="X394" s="204" t="s">
        <v>423</v>
      </c>
    </row>
    <row r="395" spans="2:24">
      <c r="B395" s="663"/>
      <c r="C395" s="659"/>
      <c r="D395" s="239">
        <v>9</v>
      </c>
      <c r="E395" s="204" t="s">
        <v>933</v>
      </c>
      <c r="F395" s="205">
        <v>136.161</v>
      </c>
      <c r="G395" s="204">
        <v>40.78</v>
      </c>
      <c r="H395" s="204">
        <v>42.1</v>
      </c>
      <c r="I395" s="216">
        <f t="shared" si="30"/>
        <v>1.032368808239333</v>
      </c>
      <c r="J395" s="204">
        <v>0</v>
      </c>
      <c r="K395" s="216">
        <f t="shared" si="31"/>
        <v>0</v>
      </c>
      <c r="L395" s="205">
        <v>151.29</v>
      </c>
      <c r="M395" s="216">
        <f t="shared" si="32"/>
        <v>1.032368808239333</v>
      </c>
      <c r="N395" s="205">
        <v>199.70280000000002</v>
      </c>
      <c r="O395" s="204">
        <v>0.9</v>
      </c>
      <c r="P395" s="206">
        <v>2.2069641981363415E-2</v>
      </c>
      <c r="Q395" s="204">
        <v>0.42000000000000026</v>
      </c>
      <c r="R395" s="206">
        <v>1.0299166257969599E-2</v>
      </c>
      <c r="S395" s="205">
        <v>63.541800000000038</v>
      </c>
      <c r="T395" s="204" t="s">
        <v>419</v>
      </c>
      <c r="U395" s="204" t="s">
        <v>522</v>
      </c>
      <c r="V395" s="204"/>
      <c r="W395" s="211">
        <v>1</v>
      </c>
      <c r="X395" s="204" t="s">
        <v>488</v>
      </c>
    </row>
    <row r="396" spans="2:24">
      <c r="B396" s="663"/>
      <c r="C396" s="659"/>
      <c r="D396" s="239">
        <v>10</v>
      </c>
      <c r="E396" s="204" t="s">
        <v>956</v>
      </c>
      <c r="F396" s="205">
        <v>133.602</v>
      </c>
      <c r="G396" s="204">
        <v>75.55</v>
      </c>
      <c r="H396" s="204">
        <v>77.599999999999994</v>
      </c>
      <c r="I396" s="216">
        <f t="shared" si="30"/>
        <v>1.0271343481138318</v>
      </c>
      <c r="J396" s="204">
        <v>0</v>
      </c>
      <c r="K396" s="216">
        <f t="shared" si="31"/>
        <v>0</v>
      </c>
      <c r="L396" s="205">
        <v>95.43</v>
      </c>
      <c r="M396" s="216">
        <f t="shared" si="32"/>
        <v>1.0271343481138318</v>
      </c>
      <c r="N396" s="205">
        <v>195.63149999999973</v>
      </c>
      <c r="O396" s="204">
        <v>1.4</v>
      </c>
      <c r="P396" s="206">
        <v>1.8530774321641297E-2</v>
      </c>
      <c r="Q396" s="204">
        <v>0.64999999999999725</v>
      </c>
      <c r="R396" s="206">
        <v>8.6035737921905664E-3</v>
      </c>
      <c r="S396" s="205">
        <v>62.029499999999743</v>
      </c>
      <c r="T396" s="204" t="s">
        <v>402</v>
      </c>
      <c r="U396" s="204" t="s">
        <v>224</v>
      </c>
      <c r="V396" s="204"/>
      <c r="W396" s="211">
        <v>1</v>
      </c>
      <c r="X396" s="204" t="s">
        <v>479</v>
      </c>
    </row>
  </sheetData>
  <mergeCells count="97">
    <mergeCell ref="B377:B386"/>
    <mergeCell ref="C377:C386"/>
    <mergeCell ref="B387:B396"/>
    <mergeCell ref="C387:C396"/>
    <mergeCell ref="B347:B356"/>
    <mergeCell ref="C347:C356"/>
    <mergeCell ref="B357:B366"/>
    <mergeCell ref="C357:C366"/>
    <mergeCell ref="B367:B376"/>
    <mergeCell ref="C367:C376"/>
    <mergeCell ref="B317:B326"/>
    <mergeCell ref="B327:B336"/>
    <mergeCell ref="C327:C336"/>
    <mergeCell ref="B337:B346"/>
    <mergeCell ref="C337:C346"/>
    <mergeCell ref="Q5:S5"/>
    <mergeCell ref="B47:B56"/>
    <mergeCell ref="B7:B16"/>
    <mergeCell ref="C7:C16"/>
    <mergeCell ref="D4:D6"/>
    <mergeCell ref="E4:F4"/>
    <mergeCell ref="C47:C56"/>
    <mergeCell ref="B17:B26"/>
    <mergeCell ref="C17:C26"/>
    <mergeCell ref="B27:B36"/>
    <mergeCell ref="C27:C36"/>
    <mergeCell ref="B37:B46"/>
    <mergeCell ref="C37:C46"/>
    <mergeCell ref="Z3:AH5"/>
    <mergeCell ref="B2:X2"/>
    <mergeCell ref="B3:C6"/>
    <mergeCell ref="D3:F3"/>
    <mergeCell ref="G3:S3"/>
    <mergeCell ref="T3:T6"/>
    <mergeCell ref="U3:U6"/>
    <mergeCell ref="V3:V6"/>
    <mergeCell ref="W3:W6"/>
    <mergeCell ref="X3:X6"/>
    <mergeCell ref="G4:N4"/>
    <mergeCell ref="O4:S4"/>
    <mergeCell ref="E5:E6"/>
    <mergeCell ref="F5:F6"/>
    <mergeCell ref="G5:N5"/>
    <mergeCell ref="O5:P5"/>
    <mergeCell ref="B57:B66"/>
    <mergeCell ref="C57:C66"/>
    <mergeCell ref="B67:B76"/>
    <mergeCell ref="B117:B126"/>
    <mergeCell ref="B127:B136"/>
    <mergeCell ref="B107:B116"/>
    <mergeCell ref="C107:C116"/>
    <mergeCell ref="B97:B106"/>
    <mergeCell ref="C97:C106"/>
    <mergeCell ref="C67:C76"/>
    <mergeCell ref="B77:B86"/>
    <mergeCell ref="C77:C86"/>
    <mergeCell ref="B87:B96"/>
    <mergeCell ref="C87:C96"/>
    <mergeCell ref="B137:B146"/>
    <mergeCell ref="B147:B156"/>
    <mergeCell ref="B157:B166"/>
    <mergeCell ref="B167:B176"/>
    <mergeCell ref="B177:B186"/>
    <mergeCell ref="B187:B196"/>
    <mergeCell ref="B197:B206"/>
    <mergeCell ref="B207:B216"/>
    <mergeCell ref="B217:B226"/>
    <mergeCell ref="B227:B236"/>
    <mergeCell ref="B237:B246"/>
    <mergeCell ref="B247:B256"/>
    <mergeCell ref="B257:B266"/>
    <mergeCell ref="B267:B276"/>
    <mergeCell ref="B277:B286"/>
    <mergeCell ref="B287:B296"/>
    <mergeCell ref="B297:B306"/>
    <mergeCell ref="B307:B316"/>
    <mergeCell ref="C117:C126"/>
    <mergeCell ref="C127:C136"/>
    <mergeCell ref="C137:C146"/>
    <mergeCell ref="C147:C156"/>
    <mergeCell ref="C157:C166"/>
    <mergeCell ref="C167:C176"/>
    <mergeCell ref="C177:C186"/>
    <mergeCell ref="C187:C196"/>
    <mergeCell ref="C197:C206"/>
    <mergeCell ref="C207:C216"/>
    <mergeCell ref="C217:C226"/>
    <mergeCell ref="C227:C236"/>
    <mergeCell ref="C237:C246"/>
    <mergeCell ref="C247:C256"/>
    <mergeCell ref="C257:C266"/>
    <mergeCell ref="C317:C326"/>
    <mergeCell ref="C267:C276"/>
    <mergeCell ref="C277:C286"/>
    <mergeCell ref="C287:C296"/>
    <mergeCell ref="C297:C306"/>
    <mergeCell ref="C307:C316"/>
  </mergeCells>
  <phoneticPr fontId="9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AH396"/>
  <sheetViews>
    <sheetView zoomScale="70" zoomScaleNormal="70" workbookViewId="0">
      <pane xSplit="4" ySplit="6" topLeftCell="E307" activePane="bottomRight" state="frozen"/>
      <selection activeCell="Z121" sqref="Z121"/>
      <selection pane="topRight" activeCell="Z121" sqref="Z121"/>
      <selection pane="bottomLeft" activeCell="Z121" sqref="Z121"/>
      <selection pane="bottomRight" activeCell="B307" sqref="B307:B316"/>
    </sheetView>
  </sheetViews>
  <sheetFormatPr defaultColWidth="8.85546875" defaultRowHeight="14.25"/>
  <cols>
    <col min="1" max="1" width="8.85546875" style="202"/>
    <col min="2" max="2" width="12.42578125" style="202" customWidth="1"/>
    <col min="3" max="3" width="8.85546875" style="202"/>
    <col min="4" max="4" width="6.85546875" style="202" customWidth="1"/>
    <col min="5" max="5" width="27" style="202" customWidth="1"/>
    <col min="6" max="6" width="22.5703125" style="202" customWidth="1"/>
    <col min="7" max="7" width="14.140625" style="202" customWidth="1"/>
    <col min="8" max="8" width="14" style="202" customWidth="1"/>
    <col min="9" max="9" width="16.85546875" style="202" customWidth="1"/>
    <col min="10" max="12" width="14" style="202" customWidth="1"/>
    <col min="13" max="13" width="19.42578125" style="202" customWidth="1"/>
    <col min="14" max="18" width="14" style="202" customWidth="1"/>
    <col min="19" max="19" width="8.85546875" style="202" customWidth="1"/>
    <col min="20" max="20" width="10.140625" style="202" customWidth="1"/>
    <col min="21" max="21" width="15.5703125" style="202" customWidth="1"/>
    <col min="22" max="22" width="15.5703125" style="202" bestFit="1" customWidth="1"/>
    <col min="23" max="23" width="7.42578125" style="202" bestFit="1" customWidth="1"/>
    <col min="24" max="24" width="32.5703125" style="202" bestFit="1" customWidth="1"/>
    <col min="25" max="25" width="8.85546875" style="202"/>
    <col min="26" max="27" width="21.5703125" style="202" customWidth="1"/>
    <col min="28" max="33" width="14.42578125" style="202" customWidth="1"/>
    <col min="34" max="34" width="11.42578125" style="202" bestFit="1" customWidth="1"/>
    <col min="35" max="16384" width="8.85546875" style="202"/>
  </cols>
  <sheetData>
    <row r="2" spans="2:34" ht="41.1" customHeight="1">
      <c r="B2" s="665" t="s">
        <v>596</v>
      </c>
      <c r="C2" s="666"/>
      <c r="D2" s="666"/>
      <c r="E2" s="666"/>
      <c r="F2" s="666"/>
      <c r="G2" s="666"/>
      <c r="H2" s="666"/>
      <c r="I2" s="666"/>
      <c r="J2" s="666"/>
      <c r="K2" s="666"/>
      <c r="L2" s="666"/>
      <c r="M2" s="666"/>
      <c r="N2" s="666"/>
      <c r="O2" s="666"/>
      <c r="P2" s="666"/>
      <c r="Q2" s="666"/>
      <c r="R2" s="666"/>
      <c r="S2" s="666"/>
      <c r="T2" s="666"/>
      <c r="U2" s="666"/>
      <c r="V2" s="666"/>
      <c r="W2" s="666"/>
      <c r="X2" s="666"/>
      <c r="Z2" s="203"/>
      <c r="AA2" s="203"/>
    </row>
    <row r="3" spans="2:34" ht="17.100000000000001" customHeight="1">
      <c r="B3" s="667" t="s">
        <v>273</v>
      </c>
      <c r="C3" s="668"/>
      <c r="D3" s="664" t="s">
        <v>177</v>
      </c>
      <c r="E3" s="664"/>
      <c r="F3" s="664"/>
      <c r="G3" s="664" t="s">
        <v>191</v>
      </c>
      <c r="H3" s="664"/>
      <c r="I3" s="664"/>
      <c r="J3" s="664"/>
      <c r="K3" s="664"/>
      <c r="L3" s="664"/>
      <c r="M3" s="664"/>
      <c r="N3" s="664"/>
      <c r="O3" s="664"/>
      <c r="P3" s="664"/>
      <c r="Q3" s="664"/>
      <c r="R3" s="664"/>
      <c r="S3" s="664"/>
      <c r="T3" s="664" t="s">
        <v>178</v>
      </c>
      <c r="U3" s="673" t="s">
        <v>274</v>
      </c>
      <c r="V3" s="676" t="s">
        <v>295</v>
      </c>
      <c r="W3" s="676" t="s">
        <v>275</v>
      </c>
      <c r="X3" s="679" t="s">
        <v>179</v>
      </c>
      <c r="Z3" s="664" t="s">
        <v>276</v>
      </c>
      <c r="AA3" s="664"/>
      <c r="AB3" s="664"/>
      <c r="AC3" s="664"/>
      <c r="AD3" s="664"/>
      <c r="AE3" s="664"/>
      <c r="AF3" s="664"/>
      <c r="AG3" s="664"/>
      <c r="AH3" s="664"/>
    </row>
    <row r="4" spans="2:34" ht="17.100000000000001" customHeight="1">
      <c r="B4" s="669"/>
      <c r="C4" s="670"/>
      <c r="D4" s="680" t="s">
        <v>176</v>
      </c>
      <c r="E4" s="664" t="s">
        <v>180</v>
      </c>
      <c r="F4" s="664"/>
      <c r="G4" s="664" t="s">
        <v>192</v>
      </c>
      <c r="H4" s="664"/>
      <c r="I4" s="664"/>
      <c r="J4" s="664"/>
      <c r="K4" s="664"/>
      <c r="L4" s="664"/>
      <c r="M4" s="664"/>
      <c r="N4" s="664"/>
      <c r="O4" s="664" t="s">
        <v>181</v>
      </c>
      <c r="P4" s="664"/>
      <c r="Q4" s="664"/>
      <c r="R4" s="664"/>
      <c r="S4" s="664"/>
      <c r="T4" s="664"/>
      <c r="U4" s="674"/>
      <c r="V4" s="677"/>
      <c r="W4" s="677"/>
      <c r="X4" s="679"/>
      <c r="Z4" s="664"/>
      <c r="AA4" s="664"/>
      <c r="AB4" s="664"/>
      <c r="AC4" s="664"/>
      <c r="AD4" s="664"/>
      <c r="AE4" s="664"/>
      <c r="AF4" s="664"/>
      <c r="AG4" s="664"/>
      <c r="AH4" s="664"/>
    </row>
    <row r="5" spans="2:34" ht="17.100000000000001" customHeight="1">
      <c r="B5" s="669"/>
      <c r="C5" s="670"/>
      <c r="D5" s="680"/>
      <c r="E5" s="680" t="s">
        <v>182</v>
      </c>
      <c r="F5" s="679" t="s">
        <v>979</v>
      </c>
      <c r="G5" s="681" t="s">
        <v>193</v>
      </c>
      <c r="H5" s="681"/>
      <c r="I5" s="681"/>
      <c r="J5" s="681"/>
      <c r="K5" s="681"/>
      <c r="L5" s="681"/>
      <c r="M5" s="681"/>
      <c r="N5" s="681"/>
      <c r="O5" s="682" t="s">
        <v>175</v>
      </c>
      <c r="P5" s="683"/>
      <c r="Q5" s="684"/>
      <c r="R5" s="681" t="s">
        <v>183</v>
      </c>
      <c r="S5" s="681"/>
      <c r="T5" s="664"/>
      <c r="U5" s="674"/>
      <c r="V5" s="677"/>
      <c r="W5" s="677"/>
      <c r="X5" s="679"/>
      <c r="Z5" s="664"/>
      <c r="AA5" s="664"/>
      <c r="AB5" s="664"/>
      <c r="AC5" s="664"/>
      <c r="AD5" s="664"/>
      <c r="AE5" s="664"/>
      <c r="AF5" s="664"/>
      <c r="AG5" s="664"/>
      <c r="AH5" s="664"/>
    </row>
    <row r="6" spans="2:34" ht="38.450000000000003" customHeight="1">
      <c r="B6" s="671"/>
      <c r="C6" s="672"/>
      <c r="D6" s="680"/>
      <c r="E6" s="680"/>
      <c r="F6" s="679"/>
      <c r="G6" s="241" t="s">
        <v>184</v>
      </c>
      <c r="H6" s="241" t="s">
        <v>296</v>
      </c>
      <c r="I6" s="241" t="s">
        <v>297</v>
      </c>
      <c r="J6" s="241" t="s">
        <v>185</v>
      </c>
      <c r="K6" s="241" t="s">
        <v>290</v>
      </c>
      <c r="L6" s="241" t="s">
        <v>186</v>
      </c>
      <c r="M6" s="241" t="s">
        <v>194</v>
      </c>
      <c r="N6" s="241" t="s">
        <v>187</v>
      </c>
      <c r="O6" s="240" t="s">
        <v>188</v>
      </c>
      <c r="P6" s="240" t="s">
        <v>189</v>
      </c>
      <c r="Q6" s="241" t="s">
        <v>190</v>
      </c>
      <c r="R6" s="240" t="s">
        <v>188</v>
      </c>
      <c r="S6" s="240" t="s">
        <v>189</v>
      </c>
      <c r="T6" s="664"/>
      <c r="U6" s="675"/>
      <c r="V6" s="678"/>
      <c r="W6" s="678"/>
      <c r="X6" s="679"/>
      <c r="Z6" s="254" t="s">
        <v>263</v>
      </c>
      <c r="AA6" s="254" t="s">
        <v>292</v>
      </c>
      <c r="AB6" s="242" t="s">
        <v>298</v>
      </c>
      <c r="AC6" s="242" t="s">
        <v>299</v>
      </c>
      <c r="AD6" s="242" t="s">
        <v>264</v>
      </c>
      <c r="AE6" s="242" t="s">
        <v>265</v>
      </c>
      <c r="AF6" s="242" t="s">
        <v>281</v>
      </c>
      <c r="AG6" s="242" t="s">
        <v>282</v>
      </c>
      <c r="AH6" s="242" t="s">
        <v>293</v>
      </c>
    </row>
    <row r="7" spans="2:34">
      <c r="B7" s="661">
        <v>45870</v>
      </c>
      <c r="C7" s="659" t="s">
        <v>266</v>
      </c>
      <c r="D7" s="239">
        <v>1</v>
      </c>
      <c r="E7" s="204" t="s">
        <v>426</v>
      </c>
      <c r="F7" s="210">
        <v>238.7080799999996</v>
      </c>
      <c r="G7" s="289">
        <v>46.131999999999998</v>
      </c>
      <c r="H7" s="289">
        <v>46.3</v>
      </c>
      <c r="I7" s="216">
        <f>H7/G7</f>
        <v>1.0036417237492412</v>
      </c>
      <c r="J7" s="289">
        <v>0.5</v>
      </c>
      <c r="K7" s="216">
        <f>J7/G7</f>
        <v>1.0838463539408654E-2</v>
      </c>
      <c r="L7" s="210">
        <v>510.06</v>
      </c>
      <c r="M7" s="216">
        <f>(H7+J7)/G7</f>
        <v>1.01448018728865</v>
      </c>
      <c r="N7" s="210">
        <v>340.7200799999996</v>
      </c>
      <c r="O7" s="289">
        <v>0.2</v>
      </c>
      <c r="P7" s="212">
        <v>4.3353854157634616E-3</v>
      </c>
      <c r="Q7" s="280">
        <v>102.012</v>
      </c>
      <c r="R7" s="289">
        <v>0.46799999999999925</v>
      </c>
      <c r="S7" s="212">
        <v>1.0144801872886484E-2</v>
      </c>
      <c r="T7" s="211" t="s">
        <v>405</v>
      </c>
      <c r="U7" s="211" t="s">
        <v>226</v>
      </c>
      <c r="V7" s="211"/>
      <c r="W7" s="211">
        <v>1</v>
      </c>
      <c r="X7" s="211" t="s">
        <v>427</v>
      </c>
      <c r="Y7" s="207" t="s">
        <v>385</v>
      </c>
      <c r="Z7" s="251">
        <f>SUM(W7:W46)</f>
        <v>40</v>
      </c>
      <c r="AA7" s="250">
        <f ca="1">SUMIF($U$7:$U$10000,TRIM(AA6),$W$7:$W$46)</f>
        <v>1</v>
      </c>
      <c r="AB7" s="250">
        <f ca="1">SUMIF($U$7:$U$10000,TRIM(AB6),$W$7:$W$46)</f>
        <v>22</v>
      </c>
      <c r="AC7" s="250">
        <f t="shared" ref="AC7:AH7" ca="1" si="0">SUMIF($U$7:$U$10000,TRIM(AC6),$W$7:$W$46)</f>
        <v>23</v>
      </c>
      <c r="AD7" s="250">
        <f t="shared" ca="1" si="0"/>
        <v>85</v>
      </c>
      <c r="AE7" s="250">
        <f t="shared" ca="1" si="0"/>
        <v>160</v>
      </c>
      <c r="AF7" s="250">
        <f t="shared" ca="1" si="0"/>
        <v>78</v>
      </c>
      <c r="AG7" s="250">
        <f t="shared" ca="1" si="0"/>
        <v>16</v>
      </c>
      <c r="AH7" s="250">
        <f t="shared" ca="1" si="0"/>
        <v>0</v>
      </c>
    </row>
    <row r="8" spans="2:34">
      <c r="B8" s="659"/>
      <c r="C8" s="659"/>
      <c r="D8" s="239">
        <v>2</v>
      </c>
      <c r="E8" s="204" t="s">
        <v>428</v>
      </c>
      <c r="F8" s="210">
        <v>223.66830000000007</v>
      </c>
      <c r="G8" s="289">
        <v>1.365</v>
      </c>
      <c r="H8" s="289">
        <v>1.2</v>
      </c>
      <c r="I8" s="216">
        <f t="shared" ref="I8:I71" si="1">H8/G8</f>
        <v>0.87912087912087911</v>
      </c>
      <c r="J8" s="289">
        <v>0.4</v>
      </c>
      <c r="K8" s="216">
        <f t="shared" ref="K8:K71" si="2">J8/G8</f>
        <v>0.29304029304029305</v>
      </c>
      <c r="L8" s="210">
        <v>951.78</v>
      </c>
      <c r="M8" s="216">
        <f t="shared" ref="M8:M71" si="3">(H8+J8)/G8</f>
        <v>1.1721611721611722</v>
      </c>
      <c r="N8" s="210">
        <v>223.66830000000007</v>
      </c>
      <c r="O8" s="289">
        <v>0</v>
      </c>
      <c r="P8" s="212">
        <v>0</v>
      </c>
      <c r="Q8" s="280">
        <v>0</v>
      </c>
      <c r="R8" s="289">
        <v>0.2350000000000001</v>
      </c>
      <c r="S8" s="212">
        <v>0.17216117216117224</v>
      </c>
      <c r="T8" s="211" t="s">
        <v>419</v>
      </c>
      <c r="U8" s="211" t="s">
        <v>420</v>
      </c>
      <c r="V8" s="211"/>
      <c r="W8" s="211">
        <v>1</v>
      </c>
      <c r="X8" s="211" t="s">
        <v>429</v>
      </c>
      <c r="Y8" s="207"/>
      <c r="Z8" s="251"/>
      <c r="AA8" s="253">
        <f t="shared" ref="AA8:AH8" si="4">SUMIF($U$7:$U$46,TRIM(AA6),$F$7:$F$46)</f>
        <v>0</v>
      </c>
      <c r="AB8" s="253">
        <f t="shared" si="4"/>
        <v>1010.4893800000009</v>
      </c>
      <c r="AC8" s="253">
        <f t="shared" si="4"/>
        <v>350.80799999999988</v>
      </c>
      <c r="AD8" s="253">
        <f t="shared" si="4"/>
        <v>1973.6709514520355</v>
      </c>
      <c r="AE8" s="253">
        <f t="shared" si="4"/>
        <v>2822.4822652804892</v>
      </c>
      <c r="AF8" s="253">
        <f t="shared" si="4"/>
        <v>415.10627999999923</v>
      </c>
      <c r="AG8" s="253">
        <f t="shared" si="4"/>
        <v>641.31750000000125</v>
      </c>
      <c r="AH8" s="253">
        <f t="shared" si="4"/>
        <v>0</v>
      </c>
    </row>
    <row r="9" spans="2:34">
      <c r="B9" s="659"/>
      <c r="C9" s="659"/>
      <c r="D9" s="239">
        <v>3</v>
      </c>
      <c r="E9" s="204" t="s">
        <v>401</v>
      </c>
      <c r="F9" s="210">
        <v>220.92084000000028</v>
      </c>
      <c r="G9" s="289">
        <v>6.0389999999999997</v>
      </c>
      <c r="H9" s="289">
        <v>6.5</v>
      </c>
      <c r="I9" s="216">
        <f t="shared" si="1"/>
        <v>1.0763371419109125</v>
      </c>
      <c r="J9" s="289">
        <v>0</v>
      </c>
      <c r="K9" s="216">
        <f t="shared" si="2"/>
        <v>0</v>
      </c>
      <c r="L9" s="210">
        <v>846.44</v>
      </c>
      <c r="M9" s="216">
        <f t="shared" si="3"/>
        <v>1.0763371419109125</v>
      </c>
      <c r="N9" s="210">
        <v>390.20884000000029</v>
      </c>
      <c r="O9" s="289">
        <v>0.2</v>
      </c>
      <c r="P9" s="212">
        <v>3.3118065904951158E-2</v>
      </c>
      <c r="Q9" s="280">
        <v>169.28800000000001</v>
      </c>
      <c r="R9" s="289">
        <v>0.26100000000000029</v>
      </c>
      <c r="S9" s="212">
        <v>4.3219076005961303E-2</v>
      </c>
      <c r="T9" s="211" t="s">
        <v>419</v>
      </c>
      <c r="U9" s="211" t="s">
        <v>420</v>
      </c>
      <c r="V9" s="211"/>
      <c r="W9" s="211">
        <v>1</v>
      </c>
      <c r="X9" s="211" t="s">
        <v>403</v>
      </c>
      <c r="Y9" s="207"/>
      <c r="Z9" s="251">
        <f>SUM(W47:W116)</f>
        <v>70</v>
      </c>
      <c r="AA9" s="250">
        <f t="shared" ref="AA9:AH9" si="5">SUMIF($U$47:$U$116,TRIM(AA6),$W$47:$W$116)</f>
        <v>0</v>
      </c>
      <c r="AB9" s="250">
        <f t="shared" si="5"/>
        <v>5</v>
      </c>
      <c r="AC9" s="250">
        <f t="shared" si="5"/>
        <v>2</v>
      </c>
      <c r="AD9" s="250">
        <f t="shared" si="5"/>
        <v>26</v>
      </c>
      <c r="AE9" s="250">
        <f t="shared" si="5"/>
        <v>31</v>
      </c>
      <c r="AF9" s="250">
        <f t="shared" si="5"/>
        <v>0</v>
      </c>
      <c r="AG9" s="250">
        <f t="shared" si="5"/>
        <v>4</v>
      </c>
      <c r="AH9" s="250">
        <f t="shared" si="5"/>
        <v>0</v>
      </c>
    </row>
    <row r="10" spans="2:34">
      <c r="B10" s="659"/>
      <c r="C10" s="659"/>
      <c r="D10" s="239">
        <v>4</v>
      </c>
      <c r="E10" s="204" t="s">
        <v>430</v>
      </c>
      <c r="F10" s="210">
        <v>182.96709000000129</v>
      </c>
      <c r="G10" s="289">
        <v>100.607</v>
      </c>
      <c r="H10" s="289">
        <v>99.8</v>
      </c>
      <c r="I10" s="216">
        <f t="shared" si="1"/>
        <v>0.9919786893556114</v>
      </c>
      <c r="J10" s="289">
        <v>1.4</v>
      </c>
      <c r="K10" s="216">
        <f t="shared" si="2"/>
        <v>1.3915532716411383E-2</v>
      </c>
      <c r="L10" s="210">
        <v>371.13</v>
      </c>
      <c r="M10" s="216">
        <f t="shared" si="3"/>
        <v>1.0058942220720228</v>
      </c>
      <c r="N10" s="210">
        <v>220.08009000000129</v>
      </c>
      <c r="O10" s="289">
        <v>0.1</v>
      </c>
      <c r="P10" s="212">
        <v>9.9396662260081313E-4</v>
      </c>
      <c r="Q10" s="280">
        <v>37.113</v>
      </c>
      <c r="R10" s="289">
        <v>0.49300000000000355</v>
      </c>
      <c r="S10" s="212">
        <v>4.9002554494220439E-3</v>
      </c>
      <c r="T10" s="211" t="s">
        <v>402</v>
      </c>
      <c r="U10" s="211" t="s">
        <v>224</v>
      </c>
      <c r="V10" s="211"/>
      <c r="W10" s="211">
        <v>1</v>
      </c>
      <c r="X10" s="211" t="s">
        <v>423</v>
      </c>
      <c r="Y10" s="207" t="s">
        <v>386</v>
      </c>
      <c r="Z10" s="250"/>
      <c r="AA10" s="253">
        <f t="shared" ref="AA10:AH10" si="6">SUMIF($U$47:$U$116,TRIM(AA6),$F$47:$F$116)</f>
        <v>0</v>
      </c>
      <c r="AB10" s="253">
        <f t="shared" si="6"/>
        <v>1115.5135999999998</v>
      </c>
      <c r="AC10" s="253">
        <f t="shared" si="6"/>
        <v>483.13799999999935</v>
      </c>
      <c r="AD10" s="253">
        <f t="shared" si="6"/>
        <v>5296.9932699999954</v>
      </c>
      <c r="AE10" s="253">
        <f t="shared" si="6"/>
        <v>6692.5343200000107</v>
      </c>
      <c r="AF10" s="253">
        <f t="shared" si="6"/>
        <v>0</v>
      </c>
      <c r="AG10" s="253">
        <f t="shared" si="6"/>
        <v>1247.0399599999996</v>
      </c>
      <c r="AH10" s="253">
        <f t="shared" si="6"/>
        <v>0</v>
      </c>
    </row>
    <row r="11" spans="2:34">
      <c r="B11" s="659"/>
      <c r="C11" s="659"/>
      <c r="D11" s="239">
        <v>5</v>
      </c>
      <c r="E11" s="204" t="s">
        <v>431</v>
      </c>
      <c r="F11" s="210">
        <v>176.39819999999963</v>
      </c>
      <c r="G11" s="289">
        <v>12.67</v>
      </c>
      <c r="H11" s="289">
        <v>13.2</v>
      </c>
      <c r="I11" s="216">
        <f t="shared" si="1"/>
        <v>1.0418310970797158</v>
      </c>
      <c r="J11" s="289">
        <v>0</v>
      </c>
      <c r="K11" s="216">
        <f t="shared" si="2"/>
        <v>0</v>
      </c>
      <c r="L11" s="210">
        <v>534.54</v>
      </c>
      <c r="M11" s="216">
        <f t="shared" si="3"/>
        <v>1.0418310970797158</v>
      </c>
      <c r="N11" s="210">
        <v>283.30619999999965</v>
      </c>
      <c r="O11" s="289">
        <v>0.2</v>
      </c>
      <c r="P11" s="212">
        <v>1.5785319652722968E-2</v>
      </c>
      <c r="Q11" s="280">
        <v>106.908</v>
      </c>
      <c r="R11" s="289">
        <v>0.32999999999999935</v>
      </c>
      <c r="S11" s="212">
        <v>2.6045777426992846E-2</v>
      </c>
      <c r="T11" s="211" t="s">
        <v>405</v>
      </c>
      <c r="U11" s="211" t="s">
        <v>226</v>
      </c>
      <c r="V11" s="211"/>
      <c r="W11" s="211">
        <v>1</v>
      </c>
      <c r="X11" s="211" t="s">
        <v>421</v>
      </c>
      <c r="Y11" s="207"/>
      <c r="Z11" s="250"/>
      <c r="AA11" s="251"/>
      <c r="AB11" s="251"/>
      <c r="AC11" s="250"/>
      <c r="AD11" s="250"/>
      <c r="AE11" s="250"/>
      <c r="AF11" s="250"/>
      <c r="AG11" s="250"/>
      <c r="AH11" s="250"/>
    </row>
    <row r="12" spans="2:34">
      <c r="B12" s="659"/>
      <c r="C12" s="659"/>
      <c r="D12" s="239">
        <v>6</v>
      </c>
      <c r="E12" s="204" t="s">
        <v>432</v>
      </c>
      <c r="F12" s="210">
        <v>166.94279999999969</v>
      </c>
      <c r="G12" s="289">
        <v>6.7839999999999998</v>
      </c>
      <c r="H12" s="289">
        <v>7.1999999999999993</v>
      </c>
      <c r="I12" s="216">
        <f t="shared" si="1"/>
        <v>1.061320754716981</v>
      </c>
      <c r="J12" s="289">
        <v>0</v>
      </c>
      <c r="K12" s="216">
        <f t="shared" si="2"/>
        <v>0</v>
      </c>
      <c r="L12" s="210">
        <v>528.29999999999995</v>
      </c>
      <c r="M12" s="216">
        <f t="shared" si="3"/>
        <v>1.061320754716981</v>
      </c>
      <c r="N12" s="210">
        <v>219.77279999999971</v>
      </c>
      <c r="O12" s="289">
        <v>0.1</v>
      </c>
      <c r="P12" s="212">
        <v>1.4740566037735851E-2</v>
      </c>
      <c r="Q12" s="280">
        <v>52.83</v>
      </c>
      <c r="R12" s="289">
        <v>0.3159999999999995</v>
      </c>
      <c r="S12" s="212">
        <v>4.658018867924521E-2</v>
      </c>
      <c r="T12" s="211" t="s">
        <v>402</v>
      </c>
      <c r="U12" s="211" t="s">
        <v>224</v>
      </c>
      <c r="V12" s="211"/>
      <c r="W12" s="211">
        <v>1</v>
      </c>
      <c r="X12" s="211" t="s">
        <v>423</v>
      </c>
      <c r="Y12" s="207"/>
      <c r="Z12" s="251">
        <f>SUM(W117:W186)</f>
        <v>70</v>
      </c>
      <c r="AA12" s="250">
        <f t="shared" ref="AA12:AH12" si="7">SUMIF($U$117:$U$186,TRIM(AA6),$W$117:$W$186)</f>
        <v>1</v>
      </c>
      <c r="AB12" s="250">
        <f t="shared" si="7"/>
        <v>3</v>
      </c>
      <c r="AC12" s="250">
        <f t="shared" si="7"/>
        <v>4</v>
      </c>
      <c r="AD12" s="250">
        <f t="shared" si="7"/>
        <v>15</v>
      </c>
      <c r="AE12" s="250">
        <f t="shared" si="7"/>
        <v>34</v>
      </c>
      <c r="AF12" s="250">
        <f t="shared" si="7"/>
        <v>7</v>
      </c>
      <c r="AG12" s="250">
        <f t="shared" si="7"/>
        <v>6</v>
      </c>
      <c r="AH12" s="250">
        <f t="shared" si="7"/>
        <v>0</v>
      </c>
    </row>
    <row r="13" spans="2:34">
      <c r="B13" s="659"/>
      <c r="C13" s="659"/>
      <c r="D13" s="239">
        <v>7</v>
      </c>
      <c r="E13" s="204" t="s">
        <v>433</v>
      </c>
      <c r="F13" s="210">
        <v>165.26527999999894</v>
      </c>
      <c r="G13" s="289">
        <v>25.916</v>
      </c>
      <c r="H13" s="289">
        <v>26.4</v>
      </c>
      <c r="I13" s="216">
        <f t="shared" si="1"/>
        <v>1.0186757215619693</v>
      </c>
      <c r="J13" s="289">
        <v>0</v>
      </c>
      <c r="K13" s="216">
        <f t="shared" si="2"/>
        <v>0</v>
      </c>
      <c r="L13" s="210">
        <v>581.91999999999996</v>
      </c>
      <c r="M13" s="216">
        <f t="shared" si="3"/>
        <v>1.0186757215619693</v>
      </c>
      <c r="N13" s="210">
        <v>281.64927999999895</v>
      </c>
      <c r="O13" s="289">
        <v>0.2</v>
      </c>
      <c r="P13" s="212">
        <v>7.7172403148634055E-3</v>
      </c>
      <c r="Q13" s="280">
        <v>116.384</v>
      </c>
      <c r="R13" s="289">
        <v>0.2839999999999982</v>
      </c>
      <c r="S13" s="212">
        <v>1.0958481247105965E-2</v>
      </c>
      <c r="T13" s="211" t="s">
        <v>405</v>
      </c>
      <c r="U13" s="211" t="s">
        <v>225</v>
      </c>
      <c r="V13" s="211"/>
      <c r="W13" s="211">
        <v>1</v>
      </c>
      <c r="X13" s="211" t="s">
        <v>434</v>
      </c>
      <c r="Y13" s="207" t="s">
        <v>387</v>
      </c>
      <c r="Z13" s="250"/>
      <c r="AA13" s="253">
        <f t="shared" ref="AA13:AH13" si="8">SUMIF($U$117:$U$186,TRIM(AA6),$F$117:$F$186)</f>
        <v>172.15560000000002</v>
      </c>
      <c r="AB13" s="253">
        <f t="shared" si="8"/>
        <v>644.21809999999959</v>
      </c>
      <c r="AC13" s="253">
        <f t="shared" si="8"/>
        <v>874.41625999999883</v>
      </c>
      <c r="AD13" s="253">
        <f t="shared" si="8"/>
        <v>3059.7451552474977</v>
      </c>
      <c r="AE13" s="253">
        <f t="shared" si="8"/>
        <v>10050.147089999993</v>
      </c>
      <c r="AF13" s="253">
        <f t="shared" si="8"/>
        <v>2190.4281100000026</v>
      </c>
      <c r="AG13" s="253">
        <f t="shared" si="8"/>
        <v>1689.3357000000103</v>
      </c>
      <c r="AH13" s="253">
        <f t="shared" si="8"/>
        <v>0</v>
      </c>
    </row>
    <row r="14" spans="2:34">
      <c r="B14" s="659"/>
      <c r="C14" s="659"/>
      <c r="D14" s="239">
        <v>8</v>
      </c>
      <c r="E14" s="204" t="s">
        <v>435</v>
      </c>
      <c r="F14" s="210">
        <v>164.5775000000007</v>
      </c>
      <c r="G14" s="289">
        <v>8.85</v>
      </c>
      <c r="H14" s="289">
        <v>9.3000000000000007</v>
      </c>
      <c r="I14" s="216">
        <f t="shared" si="1"/>
        <v>1.0508474576271187</v>
      </c>
      <c r="J14" s="289">
        <v>0</v>
      </c>
      <c r="K14" s="216">
        <f t="shared" si="2"/>
        <v>0</v>
      </c>
      <c r="L14" s="210">
        <v>658.31</v>
      </c>
      <c r="M14" s="216">
        <f t="shared" si="3"/>
        <v>1.0508474576271187</v>
      </c>
      <c r="N14" s="210">
        <v>296.2395000000007</v>
      </c>
      <c r="O14" s="289">
        <v>0.2</v>
      </c>
      <c r="P14" s="212">
        <v>2.2598870056497179E-2</v>
      </c>
      <c r="Q14" s="280">
        <v>131.66200000000001</v>
      </c>
      <c r="R14" s="289">
        <v>0.25000000000000105</v>
      </c>
      <c r="S14" s="212">
        <v>2.824858757062159E-2</v>
      </c>
      <c r="T14" s="211" t="s">
        <v>405</v>
      </c>
      <c r="U14" s="211" t="s">
        <v>225</v>
      </c>
      <c r="V14" s="211"/>
      <c r="W14" s="211">
        <v>1</v>
      </c>
      <c r="X14" s="211" t="s">
        <v>436</v>
      </c>
      <c r="Y14" s="207"/>
      <c r="Z14" s="250"/>
      <c r="AA14" s="251"/>
      <c r="AB14" s="251"/>
      <c r="AC14" s="250"/>
      <c r="AD14" s="250"/>
      <c r="AE14" s="250"/>
      <c r="AF14" s="250"/>
      <c r="AG14" s="250"/>
      <c r="AH14" s="250"/>
    </row>
    <row r="15" spans="2:34">
      <c r="B15" s="659"/>
      <c r="C15" s="659"/>
      <c r="D15" s="239">
        <v>9</v>
      </c>
      <c r="E15" s="204" t="s">
        <v>411</v>
      </c>
      <c r="F15" s="210">
        <v>164.11380000000057</v>
      </c>
      <c r="G15" s="289">
        <v>26.184000000000001</v>
      </c>
      <c r="H15" s="289">
        <v>26.6</v>
      </c>
      <c r="I15" s="216">
        <f t="shared" si="1"/>
        <v>1.0158875649251451</v>
      </c>
      <c r="J15" s="289">
        <v>0.6</v>
      </c>
      <c r="K15" s="216">
        <f t="shared" si="2"/>
        <v>2.2914757103574702E-2</v>
      </c>
      <c r="L15" s="210">
        <v>318.05</v>
      </c>
      <c r="M15" s="216">
        <f t="shared" si="3"/>
        <v>1.0388023220287199</v>
      </c>
      <c r="N15" s="210">
        <v>323.13880000000057</v>
      </c>
      <c r="O15" s="289">
        <v>0.5</v>
      </c>
      <c r="P15" s="212">
        <v>1.9095630919645584E-2</v>
      </c>
      <c r="Q15" s="280">
        <v>159.02500000000001</v>
      </c>
      <c r="R15" s="289">
        <v>0.51600000000000179</v>
      </c>
      <c r="S15" s="212">
        <v>1.970669110907431E-2</v>
      </c>
      <c r="T15" s="211" t="s">
        <v>405</v>
      </c>
      <c r="U15" s="211" t="s">
        <v>412</v>
      </c>
      <c r="V15" s="211"/>
      <c r="W15" s="211">
        <v>1</v>
      </c>
      <c r="X15" s="211" t="s">
        <v>413</v>
      </c>
      <c r="Y15" s="207"/>
      <c r="Z15" s="251">
        <f>SUM(W187:W256)</f>
        <v>70</v>
      </c>
      <c r="AA15" s="250">
        <f t="shared" ref="AA15:AH15" si="9">SUMIF($U$187:$U$256,TRIM(AA6),$W$187:$W$256)</f>
        <v>0</v>
      </c>
      <c r="AB15" s="250">
        <f t="shared" si="9"/>
        <v>4</v>
      </c>
      <c r="AC15" s="250">
        <f t="shared" si="9"/>
        <v>3</v>
      </c>
      <c r="AD15" s="250">
        <f t="shared" si="9"/>
        <v>8</v>
      </c>
      <c r="AE15" s="250">
        <f t="shared" si="9"/>
        <v>28</v>
      </c>
      <c r="AF15" s="250">
        <f t="shared" si="9"/>
        <v>23</v>
      </c>
      <c r="AG15" s="250">
        <f t="shared" si="9"/>
        <v>2</v>
      </c>
      <c r="AH15" s="250">
        <f t="shared" si="9"/>
        <v>0</v>
      </c>
    </row>
    <row r="16" spans="2:34">
      <c r="B16" s="659"/>
      <c r="C16" s="659"/>
      <c r="D16" s="239">
        <v>10</v>
      </c>
      <c r="E16" s="204" t="s">
        <v>437</v>
      </c>
      <c r="F16" s="210">
        <v>163.87319999999988</v>
      </c>
      <c r="G16" s="289">
        <v>4.923</v>
      </c>
      <c r="H16" s="289">
        <v>5.3</v>
      </c>
      <c r="I16" s="216">
        <f t="shared" si="1"/>
        <v>1.0765793215518993</v>
      </c>
      <c r="J16" s="289">
        <v>0</v>
      </c>
      <c r="K16" s="216">
        <f t="shared" si="2"/>
        <v>0</v>
      </c>
      <c r="L16" s="210">
        <v>591.6</v>
      </c>
      <c r="M16" s="216">
        <f t="shared" si="3"/>
        <v>1.0765793215518993</v>
      </c>
      <c r="N16" s="210">
        <v>223.03319999999988</v>
      </c>
      <c r="O16" s="289">
        <v>0.1</v>
      </c>
      <c r="P16" s="212">
        <v>2.0312817387771683E-2</v>
      </c>
      <c r="Q16" s="280">
        <v>59.160000000000004</v>
      </c>
      <c r="R16" s="289">
        <v>0.2769999999999998</v>
      </c>
      <c r="S16" s="212">
        <v>5.6266504164127526E-2</v>
      </c>
      <c r="T16" s="211" t="s">
        <v>402</v>
      </c>
      <c r="U16" s="211" t="s">
        <v>224</v>
      </c>
      <c r="V16" s="211"/>
      <c r="W16" s="211">
        <v>1</v>
      </c>
      <c r="X16" s="211" t="s">
        <v>438</v>
      </c>
      <c r="Y16" s="207" t="s">
        <v>388</v>
      </c>
      <c r="Z16" s="250"/>
      <c r="AA16" s="253">
        <f t="shared" ref="AA16:AH16" si="10">SUMIF($U$187:$U$256,TRIM(AA6),$F$187:$F$256)</f>
        <v>0</v>
      </c>
      <c r="AB16" s="253">
        <f t="shared" si="10"/>
        <v>793.69283000000019</v>
      </c>
      <c r="AC16" s="253">
        <f t="shared" si="10"/>
        <v>666.6480400000014</v>
      </c>
      <c r="AD16" s="253">
        <f t="shared" si="10"/>
        <v>1637.1258600000046</v>
      </c>
      <c r="AE16" s="253">
        <f t="shared" si="10"/>
        <v>6394.8248599999997</v>
      </c>
      <c r="AF16" s="253">
        <f t="shared" si="10"/>
        <v>5540.5327300000126</v>
      </c>
      <c r="AG16" s="253">
        <f t="shared" si="10"/>
        <v>417.01999999999981</v>
      </c>
      <c r="AH16" s="253">
        <f t="shared" si="10"/>
        <v>0</v>
      </c>
    </row>
    <row r="17" spans="2:34">
      <c r="B17" s="661">
        <v>45871</v>
      </c>
      <c r="C17" s="659" t="s">
        <v>271</v>
      </c>
      <c r="D17" s="239">
        <v>1</v>
      </c>
      <c r="E17" s="204" t="s">
        <v>401</v>
      </c>
      <c r="F17" s="210">
        <v>240.38896</v>
      </c>
      <c r="G17" s="289">
        <v>6.516</v>
      </c>
      <c r="H17" s="289">
        <v>7</v>
      </c>
      <c r="I17" s="216">
        <f t="shared" si="1"/>
        <v>1.0742786985880908</v>
      </c>
      <c r="J17" s="289">
        <v>0</v>
      </c>
      <c r="K17" s="216">
        <f t="shared" si="2"/>
        <v>0</v>
      </c>
      <c r="L17" s="210">
        <v>846.44</v>
      </c>
      <c r="M17" s="216">
        <f t="shared" si="3"/>
        <v>1.0742786985880908</v>
      </c>
      <c r="N17" s="210">
        <v>409.67696000000001</v>
      </c>
      <c r="O17" s="289">
        <v>0.2</v>
      </c>
      <c r="P17" s="212">
        <v>3.0693677102516883E-2</v>
      </c>
      <c r="Q17" s="280">
        <v>169.28800000000001</v>
      </c>
      <c r="R17" s="289">
        <v>0.28399999999999997</v>
      </c>
      <c r="S17" s="212">
        <v>4.3585021485573965E-2</v>
      </c>
      <c r="T17" s="211" t="s">
        <v>402</v>
      </c>
      <c r="U17" s="211" t="s">
        <v>224</v>
      </c>
      <c r="V17" s="211"/>
      <c r="W17" s="211">
        <v>1</v>
      </c>
      <c r="X17" s="211" t="s">
        <v>403</v>
      </c>
      <c r="Y17" s="207"/>
      <c r="Z17" s="250"/>
      <c r="AA17" s="251"/>
      <c r="AB17" s="251"/>
      <c r="AC17" s="250"/>
      <c r="AD17" s="250"/>
      <c r="AE17" s="250"/>
      <c r="AF17" s="250"/>
      <c r="AG17" s="250"/>
      <c r="AH17" s="250"/>
    </row>
    <row r="18" spans="2:34">
      <c r="B18" s="659"/>
      <c r="C18" s="659"/>
      <c r="D18" s="239">
        <v>2</v>
      </c>
      <c r="E18" s="204" t="s">
        <v>576</v>
      </c>
      <c r="F18" s="210">
        <v>180.88799999999986</v>
      </c>
      <c r="G18" s="289">
        <v>4.8239999999999998</v>
      </c>
      <c r="H18" s="289">
        <v>5.4239999999999995</v>
      </c>
      <c r="I18" s="216">
        <f t="shared" si="1"/>
        <v>1.1243781094527363</v>
      </c>
      <c r="J18" s="289">
        <v>0</v>
      </c>
      <c r="K18" s="216">
        <f t="shared" si="2"/>
        <v>0</v>
      </c>
      <c r="L18" s="210">
        <v>452.22</v>
      </c>
      <c r="M18" s="216">
        <f t="shared" si="3"/>
        <v>1.1243781094527363</v>
      </c>
      <c r="N18" s="210">
        <v>271.33199999999988</v>
      </c>
      <c r="O18" s="289">
        <v>0.2</v>
      </c>
      <c r="P18" s="212">
        <v>4.1459369817578778E-2</v>
      </c>
      <c r="Q18" s="280">
        <v>90.444000000000017</v>
      </c>
      <c r="R18" s="289">
        <v>0.39999999999999963</v>
      </c>
      <c r="S18" s="212">
        <v>8.2918739635157473E-2</v>
      </c>
      <c r="T18" s="211" t="s">
        <v>419</v>
      </c>
      <c r="U18" s="211" t="s">
        <v>522</v>
      </c>
      <c r="V18" s="211"/>
      <c r="W18" s="211">
        <v>1</v>
      </c>
      <c r="X18" s="211" t="s">
        <v>464</v>
      </c>
      <c r="Y18" s="207"/>
      <c r="Z18" s="251">
        <f>SUM(W257:W326)</f>
        <v>70</v>
      </c>
      <c r="AA18" s="250">
        <f t="shared" ref="AA18:AH18" si="11">SUMIF($U$257:$U$326,TRIM(AA6),$W$257:$W$326)</f>
        <v>0</v>
      </c>
      <c r="AB18" s="250">
        <f t="shared" si="11"/>
        <v>0</v>
      </c>
      <c r="AC18" s="250">
        <f t="shared" si="11"/>
        <v>7</v>
      </c>
      <c r="AD18" s="250">
        <f t="shared" si="11"/>
        <v>12</v>
      </c>
      <c r="AE18" s="250">
        <f t="shared" si="11"/>
        <v>29</v>
      </c>
      <c r="AF18" s="250">
        <f t="shared" si="11"/>
        <v>22</v>
      </c>
      <c r="AG18" s="250">
        <f t="shared" si="11"/>
        <v>0</v>
      </c>
      <c r="AH18" s="250">
        <f t="shared" si="11"/>
        <v>0</v>
      </c>
    </row>
    <row r="19" spans="2:34">
      <c r="B19" s="659"/>
      <c r="C19" s="659"/>
      <c r="D19" s="239">
        <v>3</v>
      </c>
      <c r="E19" s="204" t="s">
        <v>422</v>
      </c>
      <c r="F19" s="210">
        <v>177.95699999999846</v>
      </c>
      <c r="G19" s="289">
        <v>215.54</v>
      </c>
      <c r="H19" s="289">
        <v>218.23999999999998</v>
      </c>
      <c r="I19" s="216">
        <f t="shared" si="1"/>
        <v>1.0125266771828894</v>
      </c>
      <c r="J19" s="289">
        <v>0</v>
      </c>
      <c r="K19" s="216">
        <f t="shared" si="2"/>
        <v>0</v>
      </c>
      <c r="L19" s="210">
        <v>136.88999999999999</v>
      </c>
      <c r="M19" s="216">
        <f t="shared" si="3"/>
        <v>1.0125266771828894</v>
      </c>
      <c r="N19" s="210">
        <v>369.60299999999842</v>
      </c>
      <c r="O19" s="289">
        <v>1.4</v>
      </c>
      <c r="P19" s="212">
        <v>6.4953140948315856E-3</v>
      </c>
      <c r="Q19" s="280">
        <v>191.64599999999996</v>
      </c>
      <c r="R19" s="289">
        <v>1.2999999999999887</v>
      </c>
      <c r="S19" s="212">
        <v>6.0313630880578489E-3</v>
      </c>
      <c r="T19" s="211" t="s">
        <v>405</v>
      </c>
      <c r="U19" s="211" t="s">
        <v>225</v>
      </c>
      <c r="V19" s="211"/>
      <c r="W19" s="211">
        <v>1</v>
      </c>
      <c r="X19" s="211" t="s">
        <v>423</v>
      </c>
      <c r="Y19" s="207" t="s">
        <v>389</v>
      </c>
      <c r="Z19" s="250"/>
      <c r="AA19" s="253">
        <f t="shared" ref="AA19:AH19" si="12">SUMIF($U$257:$U$326,TRIM(AA6),$F$257:$F$326)</f>
        <v>0</v>
      </c>
      <c r="AB19" s="253">
        <f t="shared" si="12"/>
        <v>0</v>
      </c>
      <c r="AC19" s="253">
        <f t="shared" si="12"/>
        <v>1459.6556299999991</v>
      </c>
      <c r="AD19" s="253">
        <f t="shared" si="12"/>
        <v>2414.4136500000041</v>
      </c>
      <c r="AE19" s="253">
        <f t="shared" si="12"/>
        <v>5870.1435299999976</v>
      </c>
      <c r="AF19" s="253">
        <f t="shared" si="12"/>
        <v>4989.1388100000286</v>
      </c>
      <c r="AG19" s="253">
        <f t="shared" si="12"/>
        <v>0</v>
      </c>
      <c r="AH19" s="253">
        <f t="shared" si="12"/>
        <v>0</v>
      </c>
    </row>
    <row r="20" spans="2:34">
      <c r="B20" s="659"/>
      <c r="C20" s="659"/>
      <c r="D20" s="239">
        <v>4</v>
      </c>
      <c r="E20" s="204" t="s">
        <v>525</v>
      </c>
      <c r="F20" s="210">
        <v>177.69876000000033</v>
      </c>
      <c r="G20" s="289">
        <v>11.209</v>
      </c>
      <c r="H20" s="289">
        <v>11.5</v>
      </c>
      <c r="I20" s="216">
        <f t="shared" si="1"/>
        <v>1.0259612811133911</v>
      </c>
      <c r="J20" s="289">
        <v>0</v>
      </c>
      <c r="K20" s="216">
        <f t="shared" si="2"/>
        <v>0</v>
      </c>
      <c r="L20" s="210">
        <v>930.36</v>
      </c>
      <c r="M20" s="216">
        <f t="shared" si="3"/>
        <v>1.0259612811133911</v>
      </c>
      <c r="N20" s="210">
        <v>270.73476000000034</v>
      </c>
      <c r="O20" s="289">
        <v>0.1</v>
      </c>
      <c r="P20" s="212">
        <v>8.9214024444642711E-3</v>
      </c>
      <c r="Q20" s="280">
        <v>93.036000000000001</v>
      </c>
      <c r="R20" s="289">
        <v>0.19100000000000036</v>
      </c>
      <c r="S20" s="212">
        <v>1.7039878668926787E-2</v>
      </c>
      <c r="T20" s="211" t="s">
        <v>402</v>
      </c>
      <c r="U20" s="211" t="s">
        <v>224</v>
      </c>
      <c r="V20" s="211"/>
      <c r="W20" s="211">
        <v>1</v>
      </c>
      <c r="X20" s="211" t="s">
        <v>474</v>
      </c>
      <c r="Y20" s="207"/>
      <c r="Z20" s="250"/>
      <c r="AA20" s="251"/>
      <c r="AB20" s="251"/>
      <c r="AC20" s="250"/>
      <c r="AD20" s="250"/>
      <c r="AE20" s="250"/>
      <c r="AF20" s="250"/>
      <c r="AG20" s="250"/>
      <c r="AH20" s="250"/>
    </row>
    <row r="21" spans="2:34">
      <c r="B21" s="659"/>
      <c r="C21" s="659"/>
      <c r="D21" s="239">
        <v>5</v>
      </c>
      <c r="E21" s="204" t="s">
        <v>577</v>
      </c>
      <c r="F21" s="210">
        <v>171.51999999999992</v>
      </c>
      <c r="G21" s="289">
        <v>3.3420000000000001</v>
      </c>
      <c r="H21" s="289">
        <v>4.0419999999999998</v>
      </c>
      <c r="I21" s="216">
        <f t="shared" si="1"/>
        <v>1.2094554159186115</v>
      </c>
      <c r="J21" s="289">
        <v>0</v>
      </c>
      <c r="K21" s="216">
        <f t="shared" si="2"/>
        <v>0</v>
      </c>
      <c r="L21" s="210">
        <v>428.8</v>
      </c>
      <c r="M21" s="216">
        <f t="shared" si="3"/>
        <v>1.2094554159186115</v>
      </c>
      <c r="N21" s="210">
        <v>300.15999999999991</v>
      </c>
      <c r="O21" s="289">
        <v>0.3</v>
      </c>
      <c r="P21" s="212">
        <v>8.9766606822262118E-2</v>
      </c>
      <c r="Q21" s="280">
        <v>128.63999999999999</v>
      </c>
      <c r="R21" s="289">
        <v>0.39999999999999974</v>
      </c>
      <c r="S21" s="212">
        <v>0.11968880909634941</v>
      </c>
      <c r="T21" s="211" t="s">
        <v>537</v>
      </c>
      <c r="U21" s="211" t="s">
        <v>538</v>
      </c>
      <c r="V21" s="211"/>
      <c r="W21" s="211">
        <v>1</v>
      </c>
      <c r="X21" s="211" t="s">
        <v>438</v>
      </c>
      <c r="Y21" s="207"/>
      <c r="Z21" s="208"/>
      <c r="AA21" s="208"/>
      <c r="AB21" s="208"/>
      <c r="AC21" s="208"/>
      <c r="AD21" s="208"/>
      <c r="AE21" s="208"/>
      <c r="AF21" s="208"/>
      <c r="AG21" s="208"/>
      <c r="AH21" s="208"/>
    </row>
    <row r="22" spans="2:34" ht="16.5">
      <c r="B22" s="659"/>
      <c r="C22" s="659"/>
      <c r="D22" s="239">
        <v>6</v>
      </c>
      <c r="E22" s="204" t="s">
        <v>578</v>
      </c>
      <c r="F22" s="210">
        <v>169.92000000000002</v>
      </c>
      <c r="G22" s="289">
        <v>23.542999999999999</v>
      </c>
      <c r="H22" s="289">
        <v>25.042999999999999</v>
      </c>
      <c r="I22" s="216">
        <f t="shared" si="1"/>
        <v>1.0637132056237524</v>
      </c>
      <c r="J22" s="289">
        <v>0</v>
      </c>
      <c r="K22" s="216">
        <f t="shared" si="2"/>
        <v>0</v>
      </c>
      <c r="L22" s="210">
        <v>212.4</v>
      </c>
      <c r="M22" s="216">
        <f t="shared" si="3"/>
        <v>1.0637132056237524</v>
      </c>
      <c r="N22" s="210">
        <v>318.60000000000002</v>
      </c>
      <c r="O22" s="289">
        <v>0.70000000000000007</v>
      </c>
      <c r="P22" s="212">
        <v>2.9732829291084402E-2</v>
      </c>
      <c r="Q22" s="280">
        <v>148.68</v>
      </c>
      <c r="R22" s="289">
        <v>0.79999999999999993</v>
      </c>
      <c r="S22" s="212">
        <v>3.3980376332667886E-2</v>
      </c>
      <c r="T22" s="211" t="s">
        <v>419</v>
      </c>
      <c r="U22" s="211" t="s">
        <v>522</v>
      </c>
      <c r="V22" s="211"/>
      <c r="W22" s="211">
        <v>1</v>
      </c>
      <c r="X22" s="211" t="s">
        <v>423</v>
      </c>
      <c r="Y22" s="252" t="s">
        <v>390</v>
      </c>
      <c r="Z22" s="250">
        <f>SUM(W7:W10000)</f>
        <v>390</v>
      </c>
      <c r="AA22" s="251">
        <f t="shared" ref="AA22:AH22" si="13">SUMIF($U$7:$U$10000,TRIM(AA6),$W$7:$W$10000)</f>
        <v>1</v>
      </c>
      <c r="AB22" s="251">
        <f t="shared" si="13"/>
        <v>22</v>
      </c>
      <c r="AC22" s="250">
        <f t="shared" si="13"/>
        <v>23</v>
      </c>
      <c r="AD22" s="250">
        <f t="shared" si="13"/>
        <v>85</v>
      </c>
      <c r="AE22" s="250">
        <f t="shared" si="13"/>
        <v>160</v>
      </c>
      <c r="AF22" s="250">
        <f t="shared" si="13"/>
        <v>78</v>
      </c>
      <c r="AG22" s="250">
        <f t="shared" si="13"/>
        <v>16</v>
      </c>
      <c r="AH22" s="250">
        <f t="shared" si="13"/>
        <v>0</v>
      </c>
    </row>
    <row r="23" spans="2:34">
      <c r="B23" s="659"/>
      <c r="C23" s="659"/>
      <c r="D23" s="239">
        <v>7</v>
      </c>
      <c r="E23" s="204" t="s">
        <v>528</v>
      </c>
      <c r="F23" s="210">
        <v>168.1320000000012</v>
      </c>
      <c r="G23" s="289">
        <v>71.224999999999994</v>
      </c>
      <c r="H23" s="289">
        <v>71.924999999999997</v>
      </c>
      <c r="I23" s="216">
        <f t="shared" si="1"/>
        <v>1.0098280098280099</v>
      </c>
      <c r="J23" s="289">
        <v>0</v>
      </c>
      <c r="K23" s="216">
        <f t="shared" si="2"/>
        <v>0</v>
      </c>
      <c r="L23" s="210">
        <v>420.33</v>
      </c>
      <c r="M23" s="216">
        <f t="shared" si="3"/>
        <v>1.0098280098280099</v>
      </c>
      <c r="N23" s="210">
        <v>294.23100000000119</v>
      </c>
      <c r="O23" s="289">
        <v>0.3</v>
      </c>
      <c r="P23" s="212">
        <v>4.212004212004212E-3</v>
      </c>
      <c r="Q23" s="280">
        <v>126.09899999999999</v>
      </c>
      <c r="R23" s="289">
        <v>0.40000000000000285</v>
      </c>
      <c r="S23" s="212">
        <v>5.6160056160056565E-3</v>
      </c>
      <c r="T23" s="211" t="s">
        <v>405</v>
      </c>
      <c r="U23" s="211" t="s">
        <v>225</v>
      </c>
      <c r="V23" s="211"/>
      <c r="W23" s="211">
        <v>1</v>
      </c>
      <c r="X23" s="211" t="s">
        <v>487</v>
      </c>
      <c r="Z23" s="250"/>
      <c r="AA23" s="253">
        <f t="shared" ref="AA23:AH23" si="14">SUMIF($U$7:$U$10000,TRIM(AA6),$F$7:$F$10000)</f>
        <v>172.15560000000002</v>
      </c>
      <c r="AB23" s="253">
        <f t="shared" si="14"/>
        <v>4794.4287399999994</v>
      </c>
      <c r="AC23" s="253">
        <f t="shared" si="14"/>
        <v>4973.67479</v>
      </c>
      <c r="AD23" s="253">
        <f t="shared" si="14"/>
        <v>17380.814129814309</v>
      </c>
      <c r="AE23" s="253">
        <f t="shared" si="14"/>
        <v>59175.983775280511</v>
      </c>
      <c r="AF23" s="253">
        <f t="shared" si="14"/>
        <v>18752.040580000044</v>
      </c>
      <c r="AG23" s="253">
        <f t="shared" si="14"/>
        <v>3994.7131600000112</v>
      </c>
      <c r="AH23" s="253">
        <f t="shared" si="14"/>
        <v>0</v>
      </c>
    </row>
    <row r="24" spans="2:34">
      <c r="B24" s="659"/>
      <c r="C24" s="659"/>
      <c r="D24" s="239">
        <v>8</v>
      </c>
      <c r="E24" s="204" t="s">
        <v>407</v>
      </c>
      <c r="F24" s="210">
        <v>165.26999999999904</v>
      </c>
      <c r="G24" s="289">
        <v>72.137</v>
      </c>
      <c r="H24" s="289">
        <v>72.936999999999998</v>
      </c>
      <c r="I24" s="216">
        <f t="shared" si="1"/>
        <v>1.0110900092878827</v>
      </c>
      <c r="J24" s="289">
        <v>0</v>
      </c>
      <c r="K24" s="216">
        <f t="shared" si="2"/>
        <v>0</v>
      </c>
      <c r="L24" s="210">
        <v>330.54</v>
      </c>
      <c r="M24" s="216">
        <f t="shared" si="3"/>
        <v>1.0110900092878827</v>
      </c>
      <c r="N24" s="210">
        <v>264.43199999999905</v>
      </c>
      <c r="O24" s="289">
        <v>0.3</v>
      </c>
      <c r="P24" s="212">
        <v>4.1587534829560418E-3</v>
      </c>
      <c r="Q24" s="280">
        <v>99.162000000000006</v>
      </c>
      <c r="R24" s="289">
        <v>0.49999999999999717</v>
      </c>
      <c r="S24" s="212">
        <v>6.9312558049266972E-3</v>
      </c>
      <c r="T24" s="211" t="s">
        <v>405</v>
      </c>
      <c r="U24" s="211" t="s">
        <v>225</v>
      </c>
      <c r="V24" s="211"/>
      <c r="W24" s="211">
        <v>1</v>
      </c>
      <c r="X24" s="211" t="s">
        <v>408</v>
      </c>
    </row>
    <row r="25" spans="2:34">
      <c r="B25" s="659"/>
      <c r="C25" s="659"/>
      <c r="D25" s="239">
        <v>9</v>
      </c>
      <c r="E25" s="204" t="s">
        <v>579</v>
      </c>
      <c r="F25" s="210">
        <v>161.85600000000051</v>
      </c>
      <c r="G25" s="289">
        <v>65.308592592592603</v>
      </c>
      <c r="H25" s="289">
        <v>67.008592592592606</v>
      </c>
      <c r="I25" s="216">
        <f t="shared" si="1"/>
        <v>1.0260302654293123</v>
      </c>
      <c r="J25" s="289">
        <v>0</v>
      </c>
      <c r="K25" s="216">
        <f t="shared" si="2"/>
        <v>0</v>
      </c>
      <c r="L25" s="210">
        <v>179.84</v>
      </c>
      <c r="M25" s="216">
        <f t="shared" si="3"/>
        <v>1.0260302654293123</v>
      </c>
      <c r="N25" s="210">
        <v>305.72800000000052</v>
      </c>
      <c r="O25" s="289">
        <v>0.8</v>
      </c>
      <c r="P25" s="212">
        <v>1.2249536672617521E-2</v>
      </c>
      <c r="Q25" s="280">
        <v>143.87200000000001</v>
      </c>
      <c r="R25" s="289">
        <v>0.9000000000000028</v>
      </c>
      <c r="S25" s="212">
        <v>1.3780728756694753E-2</v>
      </c>
      <c r="T25" s="211" t="s">
        <v>402</v>
      </c>
      <c r="U25" s="211" t="s">
        <v>224</v>
      </c>
      <c r="V25" s="211"/>
      <c r="W25" s="211">
        <v>1</v>
      </c>
      <c r="X25" s="211" t="s">
        <v>481</v>
      </c>
    </row>
    <row r="26" spans="2:34">
      <c r="B26" s="659"/>
      <c r="C26" s="659"/>
      <c r="D26" s="239">
        <v>10</v>
      </c>
      <c r="E26" s="204" t="s">
        <v>404</v>
      </c>
      <c r="F26" s="210">
        <v>161.83049999999963</v>
      </c>
      <c r="G26" s="289">
        <v>21.91</v>
      </c>
      <c r="H26" s="289">
        <v>22.7</v>
      </c>
      <c r="I26" s="216">
        <f t="shared" si="1"/>
        <v>1.0360565951620264</v>
      </c>
      <c r="J26" s="289">
        <v>0</v>
      </c>
      <c r="K26" s="216">
        <f t="shared" si="2"/>
        <v>0</v>
      </c>
      <c r="L26" s="210">
        <v>414.95</v>
      </c>
      <c r="M26" s="216">
        <f t="shared" si="3"/>
        <v>1.0360565951620264</v>
      </c>
      <c r="N26" s="210">
        <v>327.81049999999965</v>
      </c>
      <c r="O26" s="289">
        <v>0.4</v>
      </c>
      <c r="P26" s="212">
        <v>1.8256503879507075E-2</v>
      </c>
      <c r="Q26" s="280">
        <v>165.98000000000002</v>
      </c>
      <c r="R26" s="289">
        <v>0.38999999999999913</v>
      </c>
      <c r="S26" s="212">
        <v>1.7800091282519359E-2</v>
      </c>
      <c r="T26" s="211" t="s">
        <v>402</v>
      </c>
      <c r="U26" s="211" t="s">
        <v>224</v>
      </c>
      <c r="V26" s="211"/>
      <c r="W26" s="211">
        <v>1</v>
      </c>
      <c r="X26" s="211" t="s">
        <v>406</v>
      </c>
    </row>
    <row r="27" spans="2:34">
      <c r="B27" s="661">
        <v>45872</v>
      </c>
      <c r="C27" s="659" t="s">
        <v>267</v>
      </c>
      <c r="D27" s="239">
        <v>1</v>
      </c>
      <c r="E27" s="204" t="s">
        <v>435</v>
      </c>
      <c r="F27" s="205">
        <v>263.32399999999973</v>
      </c>
      <c r="G27" s="290">
        <v>9.51</v>
      </c>
      <c r="H27" s="290">
        <v>10.11</v>
      </c>
      <c r="I27" s="216">
        <f t="shared" si="1"/>
        <v>1.0630914826498423</v>
      </c>
      <c r="J27" s="290">
        <v>0</v>
      </c>
      <c r="K27" s="216">
        <f t="shared" si="2"/>
        <v>0</v>
      </c>
      <c r="L27" s="205">
        <v>658.31</v>
      </c>
      <c r="M27" s="216">
        <f t="shared" si="3"/>
        <v>1.0630914826498423</v>
      </c>
      <c r="N27" s="205">
        <v>394.98599999999971</v>
      </c>
      <c r="O27" s="290">
        <v>0.2</v>
      </c>
      <c r="P27" s="206">
        <v>2.1030494216614092E-2</v>
      </c>
      <c r="Q27" s="281">
        <v>131.66200000000001</v>
      </c>
      <c r="R27" s="290">
        <v>0.39999999999999963</v>
      </c>
      <c r="S27" s="206">
        <v>4.2060988433228141E-2</v>
      </c>
      <c r="T27" s="204" t="s">
        <v>405</v>
      </c>
      <c r="U27" s="204" t="s">
        <v>225</v>
      </c>
      <c r="V27" s="204"/>
      <c r="W27" s="211">
        <v>1</v>
      </c>
      <c r="X27" s="204" t="s">
        <v>436</v>
      </c>
    </row>
    <row r="28" spans="2:34">
      <c r="B28" s="659"/>
      <c r="C28" s="659"/>
      <c r="D28" s="239">
        <v>2</v>
      </c>
      <c r="E28" s="204" t="s">
        <v>414</v>
      </c>
      <c r="F28" s="205">
        <v>228.3512014520349</v>
      </c>
      <c r="G28" s="290">
        <v>102.458864686469</v>
      </c>
      <c r="H28" s="290">
        <v>103.6</v>
      </c>
      <c r="I28" s="216">
        <f t="shared" si="1"/>
        <v>1.0111374971509097</v>
      </c>
      <c r="J28" s="290">
        <v>0</v>
      </c>
      <c r="K28" s="216">
        <f t="shared" si="2"/>
        <v>0</v>
      </c>
      <c r="L28" s="205">
        <v>308.11</v>
      </c>
      <c r="M28" s="216">
        <f t="shared" si="3"/>
        <v>1.0111374971509097</v>
      </c>
      <c r="N28" s="205">
        <v>351.59520145203493</v>
      </c>
      <c r="O28" s="290">
        <v>0.4</v>
      </c>
      <c r="P28" s="206">
        <v>3.9040057805054436E-3</v>
      </c>
      <c r="Q28" s="281">
        <v>123.24400000000001</v>
      </c>
      <c r="R28" s="290">
        <v>0.74113531353099515</v>
      </c>
      <c r="S28" s="206">
        <v>7.2334913704042974E-3</v>
      </c>
      <c r="T28" s="204" t="s">
        <v>402</v>
      </c>
      <c r="U28" s="211" t="s">
        <v>224</v>
      </c>
      <c r="V28" s="204"/>
      <c r="W28" s="211">
        <v>1</v>
      </c>
      <c r="X28" s="204" t="s">
        <v>415</v>
      </c>
    </row>
    <row r="29" spans="2:34">
      <c r="B29" s="659"/>
      <c r="C29" s="659"/>
      <c r="D29" s="239">
        <v>3</v>
      </c>
      <c r="E29" s="204" t="s">
        <v>404</v>
      </c>
      <c r="F29" s="205">
        <v>177.59860000000003</v>
      </c>
      <c r="G29" s="290">
        <v>26.571999999999999</v>
      </c>
      <c r="H29" s="290">
        <v>27.2</v>
      </c>
      <c r="I29" s="216">
        <f t="shared" si="1"/>
        <v>1.0236339003462291</v>
      </c>
      <c r="J29" s="290">
        <v>0</v>
      </c>
      <c r="K29" s="216">
        <f t="shared" si="2"/>
        <v>0</v>
      </c>
      <c r="L29" s="205">
        <v>414.95</v>
      </c>
      <c r="M29" s="216">
        <f t="shared" si="3"/>
        <v>1.0236339003462291</v>
      </c>
      <c r="N29" s="205">
        <v>260.58860000000004</v>
      </c>
      <c r="O29" s="290">
        <v>0.2</v>
      </c>
      <c r="P29" s="206">
        <v>7.5267198554869793E-3</v>
      </c>
      <c r="Q29" s="281">
        <v>82.990000000000009</v>
      </c>
      <c r="R29" s="290">
        <v>0.4280000000000001</v>
      </c>
      <c r="S29" s="206">
        <v>1.610718049074214E-2</v>
      </c>
      <c r="T29" s="204" t="s">
        <v>405</v>
      </c>
      <c r="U29" s="204" t="s">
        <v>225</v>
      </c>
      <c r="V29" s="204"/>
      <c r="W29" s="211">
        <v>1</v>
      </c>
      <c r="X29" s="204" t="s">
        <v>406</v>
      </c>
    </row>
    <row r="30" spans="2:34">
      <c r="B30" s="659"/>
      <c r="C30" s="659"/>
      <c r="D30" s="239">
        <v>4</v>
      </c>
      <c r="E30" s="204" t="s">
        <v>433</v>
      </c>
      <c r="F30" s="205">
        <v>174.57600000000039</v>
      </c>
      <c r="G30" s="290">
        <v>27.721</v>
      </c>
      <c r="H30" s="290">
        <v>27.321000000000002</v>
      </c>
      <c r="I30" s="216">
        <f t="shared" si="1"/>
        <v>0.98557050611449804</v>
      </c>
      <c r="J30" s="290">
        <v>0.7</v>
      </c>
      <c r="K30" s="216">
        <f t="shared" si="2"/>
        <v>2.5251614299628439E-2</v>
      </c>
      <c r="L30" s="205">
        <v>581.91999999999996</v>
      </c>
      <c r="M30" s="216">
        <f t="shared" si="3"/>
        <v>1.0108221204141266</v>
      </c>
      <c r="N30" s="205">
        <v>174.57600000000039</v>
      </c>
      <c r="O30" s="290">
        <v>0</v>
      </c>
      <c r="P30" s="206">
        <v>0</v>
      </c>
      <c r="Q30" s="281">
        <v>0</v>
      </c>
      <c r="R30" s="290">
        <v>0.30000000000000071</v>
      </c>
      <c r="S30" s="206">
        <v>1.08221204141265E-2</v>
      </c>
      <c r="T30" s="204" t="s">
        <v>405</v>
      </c>
      <c r="U30" s="204" t="s">
        <v>225</v>
      </c>
      <c r="V30" s="204"/>
      <c r="W30" s="211">
        <v>1</v>
      </c>
      <c r="X30" s="204" t="s">
        <v>434</v>
      </c>
    </row>
    <row r="31" spans="2:34">
      <c r="B31" s="659"/>
      <c r="C31" s="659"/>
      <c r="D31" s="239">
        <v>5</v>
      </c>
      <c r="E31" s="204" t="s">
        <v>580</v>
      </c>
      <c r="F31" s="205">
        <v>171.84127999999987</v>
      </c>
      <c r="G31" s="290">
        <v>5.3840000000000003</v>
      </c>
      <c r="H31" s="290">
        <v>6</v>
      </c>
      <c r="I31" s="216">
        <f t="shared" si="1"/>
        <v>1.1144130757800892</v>
      </c>
      <c r="J31" s="290">
        <v>0</v>
      </c>
      <c r="K31" s="216">
        <f t="shared" si="2"/>
        <v>0</v>
      </c>
      <c r="L31" s="205">
        <v>413.08</v>
      </c>
      <c r="M31" s="216">
        <f t="shared" si="3"/>
        <v>1.1144130757800892</v>
      </c>
      <c r="N31" s="205">
        <v>254.45727999999986</v>
      </c>
      <c r="O31" s="290">
        <v>0.2</v>
      </c>
      <c r="P31" s="206">
        <v>3.7147102526002972E-2</v>
      </c>
      <c r="Q31" s="281">
        <v>82.616</v>
      </c>
      <c r="R31" s="290">
        <v>0.41599999999999965</v>
      </c>
      <c r="S31" s="206">
        <v>7.7265973254086115E-2</v>
      </c>
      <c r="T31" s="204" t="s">
        <v>419</v>
      </c>
      <c r="U31" s="211" t="s">
        <v>420</v>
      </c>
      <c r="V31" s="204"/>
      <c r="W31" s="211">
        <v>1</v>
      </c>
      <c r="X31" s="204" t="s">
        <v>446</v>
      </c>
    </row>
    <row r="32" spans="2:34">
      <c r="B32" s="659"/>
      <c r="C32" s="659"/>
      <c r="D32" s="239">
        <v>6</v>
      </c>
      <c r="E32" s="204" t="s">
        <v>401</v>
      </c>
      <c r="F32" s="205">
        <v>170.1344399999997</v>
      </c>
      <c r="G32" s="290">
        <v>7.2990000000000004</v>
      </c>
      <c r="H32" s="290">
        <v>7.5</v>
      </c>
      <c r="I32" s="216">
        <f t="shared" si="1"/>
        <v>1.0275380189066996</v>
      </c>
      <c r="J32" s="290">
        <v>0</v>
      </c>
      <c r="K32" s="216">
        <f t="shared" si="2"/>
        <v>0</v>
      </c>
      <c r="L32" s="205">
        <v>846.44</v>
      </c>
      <c r="M32" s="216">
        <f t="shared" si="3"/>
        <v>1.0275380189066996</v>
      </c>
      <c r="N32" s="205">
        <v>170.1344399999997</v>
      </c>
      <c r="O32" s="290">
        <v>0</v>
      </c>
      <c r="P32" s="206">
        <v>0</v>
      </c>
      <c r="Q32" s="281">
        <v>0</v>
      </c>
      <c r="R32" s="290">
        <v>0.20099999999999962</v>
      </c>
      <c r="S32" s="206">
        <v>2.7538018906699494E-2</v>
      </c>
      <c r="T32" s="204" t="s">
        <v>402</v>
      </c>
      <c r="U32" s="204" t="s">
        <v>224</v>
      </c>
      <c r="V32" s="204"/>
      <c r="W32" s="211">
        <v>1</v>
      </c>
      <c r="X32" s="204" t="s">
        <v>403</v>
      </c>
    </row>
    <row r="33" spans="2:24">
      <c r="B33" s="659"/>
      <c r="C33" s="659"/>
      <c r="D33" s="239">
        <v>7</v>
      </c>
      <c r="E33" s="204" t="s">
        <v>525</v>
      </c>
      <c r="F33" s="205">
        <v>164.67372000000063</v>
      </c>
      <c r="G33" s="290">
        <v>12.023</v>
      </c>
      <c r="H33" s="290">
        <v>12.4</v>
      </c>
      <c r="I33" s="216">
        <f t="shared" si="1"/>
        <v>1.0313565665807203</v>
      </c>
      <c r="J33" s="290">
        <v>0</v>
      </c>
      <c r="K33" s="216">
        <f t="shared" si="2"/>
        <v>0</v>
      </c>
      <c r="L33" s="205">
        <v>930.36</v>
      </c>
      <c r="M33" s="216">
        <f t="shared" si="3"/>
        <v>1.0313565665807203</v>
      </c>
      <c r="N33" s="205">
        <v>350.74572000000063</v>
      </c>
      <c r="O33" s="290">
        <v>0.2</v>
      </c>
      <c r="P33" s="206">
        <v>1.6634783331947102E-2</v>
      </c>
      <c r="Q33" s="281">
        <v>186.072</v>
      </c>
      <c r="R33" s="290">
        <v>0.17700000000000066</v>
      </c>
      <c r="S33" s="206">
        <v>1.472178324877324E-2</v>
      </c>
      <c r="T33" s="204" t="s">
        <v>419</v>
      </c>
      <c r="U33" s="204" t="s">
        <v>420</v>
      </c>
      <c r="V33" s="204"/>
      <c r="W33" s="211">
        <v>1</v>
      </c>
      <c r="X33" s="204" t="s">
        <v>474</v>
      </c>
    </row>
    <row r="34" spans="2:24">
      <c r="B34" s="659"/>
      <c r="C34" s="659"/>
      <c r="D34" s="239">
        <v>8</v>
      </c>
      <c r="E34" s="204" t="s">
        <v>565</v>
      </c>
      <c r="F34" s="205">
        <v>145.05200000000104</v>
      </c>
      <c r="G34" s="290">
        <v>45.4</v>
      </c>
      <c r="H34" s="290">
        <v>46.1</v>
      </c>
      <c r="I34" s="216">
        <f t="shared" si="1"/>
        <v>1.0154185022026432</v>
      </c>
      <c r="J34" s="290">
        <v>0</v>
      </c>
      <c r="K34" s="216">
        <f t="shared" si="2"/>
        <v>0</v>
      </c>
      <c r="L34" s="205">
        <v>362.63</v>
      </c>
      <c r="M34" s="216">
        <f t="shared" si="3"/>
        <v>1.0154185022026432</v>
      </c>
      <c r="N34" s="205">
        <v>253.84100000000103</v>
      </c>
      <c r="O34" s="290">
        <v>0.3</v>
      </c>
      <c r="P34" s="206">
        <v>6.6079295154185024E-3</v>
      </c>
      <c r="Q34" s="281">
        <v>108.789</v>
      </c>
      <c r="R34" s="290">
        <v>0.40000000000000285</v>
      </c>
      <c r="S34" s="206">
        <v>8.8105726872247329E-3</v>
      </c>
      <c r="T34" s="204" t="s">
        <v>402</v>
      </c>
      <c r="U34" s="211" t="s">
        <v>224</v>
      </c>
      <c r="V34" s="204"/>
      <c r="W34" s="211">
        <v>1</v>
      </c>
      <c r="X34" s="204" t="s">
        <v>566</v>
      </c>
    </row>
    <row r="35" spans="2:24">
      <c r="B35" s="659"/>
      <c r="C35" s="659"/>
      <c r="D35" s="239">
        <v>9</v>
      </c>
      <c r="E35" s="204" t="s">
        <v>528</v>
      </c>
      <c r="F35" s="205">
        <v>142.91219999999782</v>
      </c>
      <c r="G35" s="290">
        <v>90.86</v>
      </c>
      <c r="H35" s="290">
        <v>91.6</v>
      </c>
      <c r="I35" s="216">
        <f t="shared" si="1"/>
        <v>1.0081443979749063</v>
      </c>
      <c r="J35" s="290">
        <v>0</v>
      </c>
      <c r="K35" s="216">
        <f t="shared" si="2"/>
        <v>0</v>
      </c>
      <c r="L35" s="205">
        <v>420.33</v>
      </c>
      <c r="M35" s="216">
        <f t="shared" si="3"/>
        <v>1.0081443979749063</v>
      </c>
      <c r="N35" s="205">
        <v>311.04419999999783</v>
      </c>
      <c r="O35" s="290">
        <v>0.4</v>
      </c>
      <c r="P35" s="206">
        <v>4.4023772837332165E-3</v>
      </c>
      <c r="Q35" s="281">
        <v>168.13200000000001</v>
      </c>
      <c r="R35" s="290">
        <v>0.33999999999999486</v>
      </c>
      <c r="S35" s="206">
        <v>3.7420206911731768E-3</v>
      </c>
      <c r="T35" s="204" t="s">
        <v>405</v>
      </c>
      <c r="U35" s="204" t="s">
        <v>225</v>
      </c>
      <c r="V35" s="204"/>
      <c r="W35" s="211">
        <v>1</v>
      </c>
      <c r="X35" s="204" t="s">
        <v>487</v>
      </c>
    </row>
    <row r="36" spans="2:24">
      <c r="B36" s="659"/>
      <c r="C36" s="659"/>
      <c r="D36" s="239">
        <v>10</v>
      </c>
      <c r="E36" s="204" t="s">
        <v>581</v>
      </c>
      <c r="F36" s="205">
        <v>139.84000000000012</v>
      </c>
      <c r="G36" s="290">
        <v>2.2240000000000002</v>
      </c>
      <c r="H36" s="290">
        <v>2.3000000000000003</v>
      </c>
      <c r="I36" s="216">
        <f t="shared" si="1"/>
        <v>1.0341726618705036</v>
      </c>
      <c r="J36" s="290">
        <v>0</v>
      </c>
      <c r="K36" s="216">
        <f t="shared" si="2"/>
        <v>0</v>
      </c>
      <c r="L36" s="205">
        <v>1840</v>
      </c>
      <c r="M36" s="216">
        <f t="shared" si="3"/>
        <v>1.0341726618705036</v>
      </c>
      <c r="N36" s="205">
        <v>139.84000000000012</v>
      </c>
      <c r="O36" s="290">
        <v>0</v>
      </c>
      <c r="P36" s="206">
        <v>0</v>
      </c>
      <c r="Q36" s="281">
        <v>0</v>
      </c>
      <c r="R36" s="290">
        <v>7.6000000000000068E-2</v>
      </c>
      <c r="S36" s="206">
        <v>3.4172661870503628E-2</v>
      </c>
      <c r="T36" s="204" t="s">
        <v>405</v>
      </c>
      <c r="U36" s="204" t="s">
        <v>412</v>
      </c>
      <c r="V36" s="204"/>
      <c r="W36" s="211">
        <v>1</v>
      </c>
      <c r="X36" s="204" t="s">
        <v>410</v>
      </c>
    </row>
    <row r="37" spans="2:24">
      <c r="B37" s="661">
        <v>45873</v>
      </c>
      <c r="C37" s="659" t="s">
        <v>285</v>
      </c>
      <c r="D37" s="239">
        <v>1</v>
      </c>
      <c r="E37" s="204" t="s">
        <v>528</v>
      </c>
      <c r="F37" s="205">
        <v>247.994699999999</v>
      </c>
      <c r="G37" s="290">
        <v>76.510000000000005</v>
      </c>
      <c r="H37" s="290">
        <v>76.7</v>
      </c>
      <c r="I37" s="216">
        <f t="shared" si="1"/>
        <v>1.0024833355116978</v>
      </c>
      <c r="J37" s="290">
        <v>0.5</v>
      </c>
      <c r="K37" s="216">
        <f t="shared" si="2"/>
        <v>6.5350934518363605E-3</v>
      </c>
      <c r="L37" s="205">
        <v>420.33</v>
      </c>
      <c r="M37" s="216">
        <f t="shared" si="3"/>
        <v>1.0090184289635342</v>
      </c>
      <c r="N37" s="205">
        <v>290.02769999999902</v>
      </c>
      <c r="O37" s="290">
        <v>0.1</v>
      </c>
      <c r="P37" s="206">
        <v>1.3070186903672723E-3</v>
      </c>
      <c r="Q37" s="281">
        <v>42.033000000000001</v>
      </c>
      <c r="R37" s="290">
        <v>0.58999999999999775</v>
      </c>
      <c r="S37" s="206">
        <v>7.7114102731668764E-3</v>
      </c>
      <c r="T37" s="204" t="s">
        <v>405</v>
      </c>
      <c r="U37" s="204" t="s">
        <v>225</v>
      </c>
      <c r="V37" s="204"/>
      <c r="W37" s="211">
        <v>1</v>
      </c>
      <c r="X37" s="204" t="s">
        <v>487</v>
      </c>
    </row>
    <row r="38" spans="2:24">
      <c r="B38" s="659"/>
      <c r="C38" s="659"/>
      <c r="D38" s="239">
        <v>2</v>
      </c>
      <c r="E38" s="204" t="s">
        <v>426</v>
      </c>
      <c r="F38" s="205">
        <v>232.58736000000013</v>
      </c>
      <c r="G38" s="290">
        <v>56.543999999999997</v>
      </c>
      <c r="H38" s="290">
        <v>57.3</v>
      </c>
      <c r="I38" s="216">
        <f t="shared" si="1"/>
        <v>1.0133701188455009</v>
      </c>
      <c r="J38" s="290">
        <v>0</v>
      </c>
      <c r="K38" s="216">
        <f t="shared" si="2"/>
        <v>0</v>
      </c>
      <c r="L38" s="205">
        <v>510.06</v>
      </c>
      <c r="M38" s="216">
        <f t="shared" si="3"/>
        <v>1.0133701188455009</v>
      </c>
      <c r="N38" s="205">
        <v>385.60536000000013</v>
      </c>
      <c r="O38" s="290">
        <v>0.3</v>
      </c>
      <c r="P38" s="206">
        <v>5.3056027164685906E-3</v>
      </c>
      <c r="Q38" s="281">
        <v>153.018</v>
      </c>
      <c r="R38" s="290">
        <v>0.45600000000000024</v>
      </c>
      <c r="S38" s="206">
        <v>8.064516129032263E-3</v>
      </c>
      <c r="T38" s="204" t="s">
        <v>405</v>
      </c>
      <c r="U38" s="204" t="s">
        <v>225</v>
      </c>
      <c r="V38" s="204"/>
      <c r="W38" s="211">
        <v>1</v>
      </c>
      <c r="X38" s="204" t="s">
        <v>427</v>
      </c>
    </row>
    <row r="39" spans="2:24">
      <c r="B39" s="659"/>
      <c r="C39" s="659"/>
      <c r="D39" s="239">
        <v>3</v>
      </c>
      <c r="E39" s="204" t="s">
        <v>401</v>
      </c>
      <c r="F39" s="205">
        <v>229.38524000000007</v>
      </c>
      <c r="G39" s="290">
        <v>7.0289999999999999</v>
      </c>
      <c r="H39" s="290">
        <v>7.5</v>
      </c>
      <c r="I39" s="216">
        <f t="shared" si="1"/>
        <v>1.0670081092616304</v>
      </c>
      <c r="J39" s="290">
        <v>0</v>
      </c>
      <c r="K39" s="216">
        <f t="shared" si="2"/>
        <v>0</v>
      </c>
      <c r="L39" s="205">
        <v>846.44</v>
      </c>
      <c r="M39" s="216">
        <f t="shared" si="3"/>
        <v>1.0670081092616304</v>
      </c>
      <c r="N39" s="205">
        <v>398.67324000000008</v>
      </c>
      <c r="O39" s="290">
        <v>0.2</v>
      </c>
      <c r="P39" s="206">
        <v>2.8453549580310145E-2</v>
      </c>
      <c r="Q39" s="281">
        <v>169.28800000000001</v>
      </c>
      <c r="R39" s="290">
        <v>0.27100000000000007</v>
      </c>
      <c r="S39" s="206">
        <v>3.8554559681320252E-2</v>
      </c>
      <c r="T39" s="204" t="s">
        <v>419</v>
      </c>
      <c r="U39" s="204" t="s">
        <v>420</v>
      </c>
      <c r="V39" s="204"/>
      <c r="W39" s="211">
        <v>1</v>
      </c>
      <c r="X39" s="204" t="s">
        <v>403</v>
      </c>
    </row>
    <row r="40" spans="2:24">
      <c r="B40" s="659"/>
      <c r="C40" s="659"/>
      <c r="D40" s="239">
        <v>4</v>
      </c>
      <c r="E40" s="204" t="s">
        <v>424</v>
      </c>
      <c r="F40" s="205">
        <v>191.57599999999925</v>
      </c>
      <c r="G40" s="290">
        <v>50.295000000000002</v>
      </c>
      <c r="H40" s="290">
        <v>51.594999999999999</v>
      </c>
      <c r="I40" s="216">
        <f t="shared" si="1"/>
        <v>1.0258474997514664</v>
      </c>
      <c r="J40" s="290">
        <v>0</v>
      </c>
      <c r="K40" s="216">
        <f t="shared" si="2"/>
        <v>0</v>
      </c>
      <c r="L40" s="205">
        <v>273.68</v>
      </c>
      <c r="M40" s="216">
        <f t="shared" si="3"/>
        <v>1.0258474997514664</v>
      </c>
      <c r="N40" s="205">
        <v>355.78399999999925</v>
      </c>
      <c r="O40" s="290">
        <v>0.6</v>
      </c>
      <c r="P40" s="206">
        <v>1.1929615269907545E-2</v>
      </c>
      <c r="Q40" s="281">
        <v>164.208</v>
      </c>
      <c r="R40" s="290">
        <v>0.69999999999999718</v>
      </c>
      <c r="S40" s="206">
        <v>1.3917884481558746E-2</v>
      </c>
      <c r="T40" s="204" t="s">
        <v>405</v>
      </c>
      <c r="U40" s="204" t="s">
        <v>225</v>
      </c>
      <c r="V40" s="204"/>
      <c r="W40" s="211">
        <v>1</v>
      </c>
      <c r="X40" s="204" t="s">
        <v>425</v>
      </c>
    </row>
    <row r="41" spans="2:24">
      <c r="B41" s="659"/>
      <c r="C41" s="659"/>
      <c r="D41" s="239">
        <v>5</v>
      </c>
      <c r="E41" s="204" t="s">
        <v>411</v>
      </c>
      <c r="F41" s="205">
        <v>190.82999999999913</v>
      </c>
      <c r="G41" s="290">
        <v>42.207999999999998</v>
      </c>
      <c r="H41" s="290">
        <v>43.507999999999996</v>
      </c>
      <c r="I41" s="216">
        <f t="shared" si="1"/>
        <v>1.0307998483699772</v>
      </c>
      <c r="J41" s="290">
        <v>0</v>
      </c>
      <c r="K41" s="216">
        <f t="shared" si="2"/>
        <v>0</v>
      </c>
      <c r="L41" s="205">
        <v>318.05</v>
      </c>
      <c r="M41" s="216">
        <f t="shared" si="3"/>
        <v>1.0307998483699772</v>
      </c>
      <c r="N41" s="205">
        <v>413.46499999999912</v>
      </c>
      <c r="O41" s="290">
        <v>0.7</v>
      </c>
      <c r="P41" s="206">
        <v>1.6584533737680061E-2</v>
      </c>
      <c r="Q41" s="281">
        <v>222.63499999999999</v>
      </c>
      <c r="R41" s="290">
        <v>0.5999999999999972</v>
      </c>
      <c r="S41" s="206">
        <v>1.4215314632297129E-2</v>
      </c>
      <c r="T41" s="204" t="s">
        <v>405</v>
      </c>
      <c r="U41" s="204" t="s">
        <v>225</v>
      </c>
      <c r="V41" s="204"/>
      <c r="W41" s="211">
        <v>1</v>
      </c>
      <c r="X41" s="204" t="s">
        <v>413</v>
      </c>
    </row>
    <row r="42" spans="2:24">
      <c r="B42" s="659"/>
      <c r="C42" s="659"/>
      <c r="D42" s="239">
        <v>6</v>
      </c>
      <c r="E42" s="204" t="s">
        <v>414</v>
      </c>
      <c r="F42" s="205">
        <v>183.11292528049532</v>
      </c>
      <c r="G42" s="290">
        <v>103.905689768977</v>
      </c>
      <c r="H42" s="290">
        <v>105.1</v>
      </c>
      <c r="I42" s="216">
        <f t="shared" si="1"/>
        <v>1.0114941754746869</v>
      </c>
      <c r="J42" s="290">
        <v>0</v>
      </c>
      <c r="K42" s="216">
        <f t="shared" si="2"/>
        <v>0</v>
      </c>
      <c r="L42" s="205">
        <v>308.11</v>
      </c>
      <c r="M42" s="216">
        <f t="shared" si="3"/>
        <v>1.0114941754746869</v>
      </c>
      <c r="N42" s="205">
        <v>367.97892528049533</v>
      </c>
      <c r="O42" s="290">
        <v>0.6</v>
      </c>
      <c r="P42" s="206">
        <v>5.774467224403541E-3</v>
      </c>
      <c r="Q42" s="281">
        <v>184.86600000000001</v>
      </c>
      <c r="R42" s="290">
        <v>0.59431023102299607</v>
      </c>
      <c r="S42" s="206">
        <v>5.7197082502833119E-3</v>
      </c>
      <c r="T42" s="204" t="s">
        <v>405</v>
      </c>
      <c r="U42" s="204" t="s">
        <v>225</v>
      </c>
      <c r="V42" s="204"/>
      <c r="W42" s="211">
        <v>1</v>
      </c>
      <c r="X42" s="204" t="s">
        <v>415</v>
      </c>
    </row>
    <row r="43" spans="2:24">
      <c r="B43" s="659"/>
      <c r="C43" s="659"/>
      <c r="D43" s="239">
        <v>7</v>
      </c>
      <c r="E43" s="204" t="s">
        <v>582</v>
      </c>
      <c r="F43" s="205">
        <v>180.32000000000056</v>
      </c>
      <c r="G43" s="290">
        <v>3.6019999999999999</v>
      </c>
      <c r="H43" s="290">
        <v>3.7</v>
      </c>
      <c r="I43" s="216">
        <f t="shared" si="1"/>
        <v>1.0272071071626874</v>
      </c>
      <c r="J43" s="290">
        <v>0</v>
      </c>
      <c r="K43" s="216">
        <f t="shared" si="2"/>
        <v>0</v>
      </c>
      <c r="L43" s="205">
        <v>1840</v>
      </c>
      <c r="M43" s="216">
        <f t="shared" si="3"/>
        <v>1.0272071071626874</v>
      </c>
      <c r="N43" s="205">
        <v>180.32000000000056</v>
      </c>
      <c r="O43" s="290">
        <v>0</v>
      </c>
      <c r="P43" s="206">
        <v>0</v>
      </c>
      <c r="Q43" s="281">
        <v>0</v>
      </c>
      <c r="R43" s="290">
        <v>9.8000000000000309E-2</v>
      </c>
      <c r="S43" s="206">
        <v>2.7207107162687483E-2</v>
      </c>
      <c r="T43" s="204" t="s">
        <v>405</v>
      </c>
      <c r="U43" s="204" t="s">
        <v>412</v>
      </c>
      <c r="V43" s="204"/>
      <c r="W43" s="211">
        <v>1</v>
      </c>
      <c r="X43" s="204" t="s">
        <v>583</v>
      </c>
    </row>
    <row r="44" spans="2:24">
      <c r="B44" s="659"/>
      <c r="C44" s="659"/>
      <c r="D44" s="239">
        <v>8</v>
      </c>
      <c r="E44" s="204" t="s">
        <v>404</v>
      </c>
      <c r="F44" s="205">
        <v>176.76870000000019</v>
      </c>
      <c r="G44" s="290">
        <v>25.774000000000001</v>
      </c>
      <c r="H44" s="290">
        <v>26.6</v>
      </c>
      <c r="I44" s="216">
        <f t="shared" si="1"/>
        <v>1.0320478001086366</v>
      </c>
      <c r="J44" s="290">
        <v>0</v>
      </c>
      <c r="K44" s="216">
        <f t="shared" si="2"/>
        <v>0</v>
      </c>
      <c r="L44" s="205">
        <v>414.95</v>
      </c>
      <c r="M44" s="216">
        <f t="shared" si="3"/>
        <v>1.0320478001086366</v>
      </c>
      <c r="N44" s="205">
        <v>342.74870000000021</v>
      </c>
      <c r="O44" s="290">
        <v>0.4</v>
      </c>
      <c r="P44" s="206">
        <v>1.5519515791107318E-2</v>
      </c>
      <c r="Q44" s="281">
        <v>165.98000000000002</v>
      </c>
      <c r="R44" s="290">
        <v>0.42600000000000049</v>
      </c>
      <c r="S44" s="206">
        <v>1.6528284317529313E-2</v>
      </c>
      <c r="T44" s="204" t="s">
        <v>405</v>
      </c>
      <c r="U44" s="204" t="s">
        <v>225</v>
      </c>
      <c r="V44" s="204"/>
      <c r="W44" s="211">
        <v>1</v>
      </c>
      <c r="X44" s="204" t="s">
        <v>406</v>
      </c>
    </row>
    <row r="45" spans="2:24">
      <c r="B45" s="659"/>
      <c r="C45" s="659"/>
      <c r="D45" s="239">
        <v>9</v>
      </c>
      <c r="E45" s="204" t="s">
        <v>433</v>
      </c>
      <c r="F45" s="205">
        <v>174.57599999999834</v>
      </c>
      <c r="G45" s="290">
        <v>29.943999999999999</v>
      </c>
      <c r="H45" s="290">
        <v>29.843999999999998</v>
      </c>
      <c r="I45" s="216">
        <f t="shared" si="1"/>
        <v>0.99666043280790806</v>
      </c>
      <c r="J45" s="290">
        <v>0.4</v>
      </c>
      <c r="K45" s="216">
        <f t="shared" si="2"/>
        <v>1.3358268768367621E-2</v>
      </c>
      <c r="L45" s="205">
        <v>581.91999999999996</v>
      </c>
      <c r="M45" s="216">
        <f t="shared" si="3"/>
        <v>1.0100187015762756</v>
      </c>
      <c r="N45" s="205">
        <v>174.57599999999834</v>
      </c>
      <c r="O45" s="290">
        <v>0</v>
      </c>
      <c r="P45" s="206">
        <v>0</v>
      </c>
      <c r="Q45" s="281">
        <v>0</v>
      </c>
      <c r="R45" s="290">
        <v>0.29999999999999716</v>
      </c>
      <c r="S45" s="206">
        <v>1.0018701576275621E-2</v>
      </c>
      <c r="T45" s="204" t="s">
        <v>402</v>
      </c>
      <c r="U45" s="204" t="s">
        <v>224</v>
      </c>
      <c r="V45" s="204"/>
      <c r="W45" s="211">
        <v>1</v>
      </c>
      <c r="X45" s="204" t="s">
        <v>434</v>
      </c>
    </row>
    <row r="46" spans="2:24">
      <c r="B46" s="659"/>
      <c r="C46" s="659"/>
      <c r="D46" s="239">
        <v>10</v>
      </c>
      <c r="E46" s="204" t="s">
        <v>428</v>
      </c>
      <c r="F46" s="205">
        <v>157.04370000000003</v>
      </c>
      <c r="G46" s="290">
        <v>0.93500000000000005</v>
      </c>
      <c r="H46" s="290">
        <v>1.1000000000000001</v>
      </c>
      <c r="I46" s="216">
        <f t="shared" si="1"/>
        <v>1.1764705882352942</v>
      </c>
      <c r="J46" s="290">
        <v>0</v>
      </c>
      <c r="K46" s="216">
        <f t="shared" si="2"/>
        <v>0</v>
      </c>
      <c r="L46" s="205">
        <v>951.78</v>
      </c>
      <c r="M46" s="216">
        <f t="shared" si="3"/>
        <v>1.1764705882352942</v>
      </c>
      <c r="N46" s="205">
        <v>157.04370000000003</v>
      </c>
      <c r="O46" s="290">
        <v>0</v>
      </c>
      <c r="P46" s="206">
        <v>0</v>
      </c>
      <c r="Q46" s="281">
        <v>0</v>
      </c>
      <c r="R46" s="290">
        <v>0.16500000000000004</v>
      </c>
      <c r="S46" s="206">
        <v>0.17647058823529416</v>
      </c>
      <c r="T46" s="204" t="s">
        <v>405</v>
      </c>
      <c r="U46" s="204" t="s">
        <v>412</v>
      </c>
      <c r="V46" s="204"/>
      <c r="W46" s="211">
        <v>1</v>
      </c>
      <c r="X46" s="204" t="s">
        <v>429</v>
      </c>
    </row>
    <row r="47" spans="2:24">
      <c r="B47" s="661">
        <v>45874</v>
      </c>
      <c r="C47" s="659" t="s">
        <v>268</v>
      </c>
      <c r="D47" s="239">
        <v>1</v>
      </c>
      <c r="E47" s="204" t="s">
        <v>564</v>
      </c>
      <c r="F47" s="205">
        <v>343.06999999999891</v>
      </c>
      <c r="G47" s="290">
        <v>2.6817000000000002</v>
      </c>
      <c r="H47" s="290">
        <v>2.8</v>
      </c>
      <c r="I47" s="216">
        <f t="shared" si="1"/>
        <v>1.044113808405116</v>
      </c>
      <c r="J47" s="290">
        <v>0</v>
      </c>
      <c r="K47" s="216">
        <f t="shared" si="2"/>
        <v>0</v>
      </c>
      <c r="L47" s="205">
        <v>2900</v>
      </c>
      <c r="M47" s="216">
        <f t="shared" si="3"/>
        <v>1.044113808405116</v>
      </c>
      <c r="N47" s="205">
        <v>343.06999999999891</v>
      </c>
      <c r="O47" s="290">
        <v>0</v>
      </c>
      <c r="P47" s="206">
        <v>0</v>
      </c>
      <c r="Q47" s="281">
        <v>0</v>
      </c>
      <c r="R47" s="290">
        <v>0.11829999999999963</v>
      </c>
      <c r="S47" s="206">
        <v>4.4113808405116015E-2</v>
      </c>
      <c r="T47" s="204" t="s">
        <v>405</v>
      </c>
      <c r="U47" s="204" t="s">
        <v>412</v>
      </c>
      <c r="V47" s="204"/>
      <c r="W47" s="211">
        <v>1</v>
      </c>
      <c r="X47" s="204" t="s">
        <v>559</v>
      </c>
    </row>
    <row r="48" spans="2:24">
      <c r="B48" s="659"/>
      <c r="C48" s="659"/>
      <c r="D48" s="239">
        <v>2</v>
      </c>
      <c r="E48" s="204" t="s">
        <v>569</v>
      </c>
      <c r="F48" s="205">
        <v>307.96350000000808</v>
      </c>
      <c r="G48" s="290">
        <v>175.95</v>
      </c>
      <c r="H48" s="290">
        <v>176.9</v>
      </c>
      <c r="I48" s="216">
        <f t="shared" si="1"/>
        <v>1.005399261153737</v>
      </c>
      <c r="J48" s="290">
        <v>0</v>
      </c>
      <c r="K48" s="216">
        <f t="shared" si="2"/>
        <v>0</v>
      </c>
      <c r="L48" s="205">
        <v>473.79</v>
      </c>
      <c r="M48" s="216">
        <f t="shared" si="3"/>
        <v>1.005399261153737</v>
      </c>
      <c r="N48" s="205">
        <v>450.10050000000808</v>
      </c>
      <c r="O48" s="290">
        <v>0.3</v>
      </c>
      <c r="P48" s="206">
        <v>1.7050298380221654E-3</v>
      </c>
      <c r="Q48" s="281">
        <v>142.137</v>
      </c>
      <c r="R48" s="290">
        <v>0.65000000000001701</v>
      </c>
      <c r="S48" s="206">
        <v>3.6942313157147886E-3</v>
      </c>
      <c r="T48" s="204" t="s">
        <v>405</v>
      </c>
      <c r="U48" s="204" t="s">
        <v>225</v>
      </c>
      <c r="V48" s="204"/>
      <c r="W48" s="211">
        <v>1</v>
      </c>
      <c r="X48" s="204" t="s">
        <v>423</v>
      </c>
    </row>
    <row r="49" spans="2:24">
      <c r="B49" s="659"/>
      <c r="C49" s="659"/>
      <c r="D49" s="239">
        <v>3</v>
      </c>
      <c r="E49" s="204" t="s">
        <v>435</v>
      </c>
      <c r="F49" s="205">
        <v>263.32399999999973</v>
      </c>
      <c r="G49" s="290">
        <v>9.84</v>
      </c>
      <c r="H49" s="290">
        <v>10.44</v>
      </c>
      <c r="I49" s="216">
        <f t="shared" si="1"/>
        <v>1.0609756097560976</v>
      </c>
      <c r="J49" s="290">
        <v>0</v>
      </c>
      <c r="K49" s="216">
        <f t="shared" si="2"/>
        <v>0</v>
      </c>
      <c r="L49" s="205">
        <v>658.31</v>
      </c>
      <c r="M49" s="216">
        <f t="shared" si="3"/>
        <v>1.0609756097560976</v>
      </c>
      <c r="N49" s="205">
        <v>394.98599999999971</v>
      </c>
      <c r="O49" s="290">
        <v>0.2</v>
      </c>
      <c r="P49" s="206">
        <v>2.0325203252032523E-2</v>
      </c>
      <c r="Q49" s="281">
        <v>131.66200000000001</v>
      </c>
      <c r="R49" s="290">
        <v>0.39999999999999963</v>
      </c>
      <c r="S49" s="206">
        <v>4.0650406504065005E-2</v>
      </c>
      <c r="T49" s="204" t="s">
        <v>405</v>
      </c>
      <c r="U49" s="204" t="s">
        <v>225</v>
      </c>
      <c r="V49" s="204"/>
      <c r="W49" s="211">
        <v>1</v>
      </c>
      <c r="X49" s="204" t="s">
        <v>436</v>
      </c>
    </row>
    <row r="50" spans="2:24">
      <c r="B50" s="659"/>
      <c r="C50" s="659"/>
      <c r="D50" s="239">
        <v>4</v>
      </c>
      <c r="E50" s="204" t="s">
        <v>558</v>
      </c>
      <c r="F50" s="205">
        <v>260.62800000000095</v>
      </c>
      <c r="G50" s="290">
        <v>45.972000000000001</v>
      </c>
      <c r="H50" s="290">
        <v>46.572000000000003</v>
      </c>
      <c r="I50" s="216">
        <f t="shared" si="1"/>
        <v>1.013051422605064</v>
      </c>
      <c r="J50" s="290">
        <v>0</v>
      </c>
      <c r="K50" s="216">
        <f t="shared" si="2"/>
        <v>0</v>
      </c>
      <c r="L50" s="205">
        <v>651.57000000000005</v>
      </c>
      <c r="M50" s="216">
        <f t="shared" si="3"/>
        <v>1.013051422605064</v>
      </c>
      <c r="N50" s="205">
        <v>390.94200000000097</v>
      </c>
      <c r="O50" s="290">
        <v>0.2</v>
      </c>
      <c r="P50" s="206">
        <v>4.350474201687984E-3</v>
      </c>
      <c r="Q50" s="281">
        <v>130.31400000000002</v>
      </c>
      <c r="R50" s="290">
        <v>0.40000000000000141</v>
      </c>
      <c r="S50" s="206">
        <v>8.7009484033759976E-3</v>
      </c>
      <c r="T50" s="204" t="s">
        <v>402</v>
      </c>
      <c r="U50" s="204" t="s">
        <v>224</v>
      </c>
      <c r="V50" s="204"/>
      <c r="W50" s="211">
        <v>1</v>
      </c>
      <c r="X50" s="204" t="s">
        <v>559</v>
      </c>
    </row>
    <row r="51" spans="2:24">
      <c r="B51" s="659"/>
      <c r="C51" s="659"/>
      <c r="D51" s="239">
        <v>5</v>
      </c>
      <c r="E51" s="204" t="s">
        <v>584</v>
      </c>
      <c r="F51" s="205">
        <v>256.16799999999773</v>
      </c>
      <c r="G51" s="290">
        <v>83.731999999999999</v>
      </c>
      <c r="H51" s="290">
        <v>84.6</v>
      </c>
      <c r="I51" s="216">
        <f t="shared" si="1"/>
        <v>1.0103664071083933</v>
      </c>
      <c r="J51" s="290">
        <v>0</v>
      </c>
      <c r="K51" s="216">
        <f t="shared" si="2"/>
        <v>0</v>
      </c>
      <c r="L51" s="205">
        <v>451</v>
      </c>
      <c r="M51" s="216">
        <f t="shared" si="3"/>
        <v>1.0103664071083933</v>
      </c>
      <c r="N51" s="205">
        <v>391.46799999999774</v>
      </c>
      <c r="O51" s="290">
        <v>0.3</v>
      </c>
      <c r="P51" s="206">
        <v>3.582859599675154E-3</v>
      </c>
      <c r="Q51" s="281">
        <v>135.29999999999998</v>
      </c>
      <c r="R51" s="290">
        <v>0.56799999999999495</v>
      </c>
      <c r="S51" s="206">
        <v>6.7835475087182316E-3</v>
      </c>
      <c r="T51" s="204" t="s">
        <v>405</v>
      </c>
      <c r="U51" s="204" t="s">
        <v>225</v>
      </c>
      <c r="V51" s="204"/>
      <c r="W51" s="211">
        <v>1</v>
      </c>
      <c r="X51" s="204" t="s">
        <v>516</v>
      </c>
    </row>
    <row r="52" spans="2:24">
      <c r="B52" s="659"/>
      <c r="C52" s="659"/>
      <c r="D52" s="239">
        <v>6</v>
      </c>
      <c r="E52" s="204" t="s">
        <v>414</v>
      </c>
      <c r="F52" s="205">
        <v>246.48799999999915</v>
      </c>
      <c r="G52" s="290">
        <v>101.632719471947</v>
      </c>
      <c r="H52" s="290">
        <v>102.932719471947</v>
      </c>
      <c r="I52" s="216">
        <f t="shared" si="1"/>
        <v>1.0127911563003962</v>
      </c>
      <c r="J52" s="290">
        <v>0</v>
      </c>
      <c r="K52" s="216">
        <f t="shared" si="2"/>
        <v>0</v>
      </c>
      <c r="L52" s="205">
        <v>308.11</v>
      </c>
      <c r="M52" s="216">
        <f t="shared" si="3"/>
        <v>1.0127911563003962</v>
      </c>
      <c r="N52" s="205">
        <v>400.54299999999915</v>
      </c>
      <c r="O52" s="290">
        <v>0.5</v>
      </c>
      <c r="P52" s="206">
        <v>4.9196755001524057E-3</v>
      </c>
      <c r="Q52" s="281">
        <v>154.05500000000001</v>
      </c>
      <c r="R52" s="290">
        <v>0.79999999999999716</v>
      </c>
      <c r="S52" s="206">
        <v>7.871480800243821E-3</v>
      </c>
      <c r="T52" s="204" t="s">
        <v>402</v>
      </c>
      <c r="U52" s="204" t="s">
        <v>224</v>
      </c>
      <c r="V52" s="204"/>
      <c r="W52" s="211">
        <v>1</v>
      </c>
      <c r="X52" s="204" t="s">
        <v>415</v>
      </c>
    </row>
    <row r="53" spans="2:24">
      <c r="B53" s="659"/>
      <c r="C53" s="659"/>
      <c r="D53" s="239">
        <v>7</v>
      </c>
      <c r="E53" s="204" t="s">
        <v>585</v>
      </c>
      <c r="F53" s="205">
        <v>236.28176000000039</v>
      </c>
      <c r="G53" s="290">
        <v>8.3279999999999994</v>
      </c>
      <c r="H53" s="290">
        <v>8.2279999999999998</v>
      </c>
      <c r="I53" s="216">
        <f t="shared" si="1"/>
        <v>0.98799231508165231</v>
      </c>
      <c r="J53" s="290">
        <v>0.6720000000000006</v>
      </c>
      <c r="K53" s="216">
        <f t="shared" si="2"/>
        <v>8.0691642651296913E-2</v>
      </c>
      <c r="L53" s="205">
        <v>413.08</v>
      </c>
      <c r="M53" s="216">
        <f t="shared" si="3"/>
        <v>1.0686839577329492</v>
      </c>
      <c r="N53" s="205">
        <v>236.28176000000039</v>
      </c>
      <c r="O53" s="290">
        <v>0</v>
      </c>
      <c r="P53" s="206">
        <v>0</v>
      </c>
      <c r="Q53" s="281">
        <v>0</v>
      </c>
      <c r="R53" s="290">
        <v>0.57200000000000095</v>
      </c>
      <c r="S53" s="206">
        <v>6.8683957732949205E-2</v>
      </c>
      <c r="T53" s="204" t="s">
        <v>405</v>
      </c>
      <c r="U53" s="204" t="s">
        <v>225</v>
      </c>
      <c r="V53" s="204"/>
      <c r="W53" s="211">
        <v>1</v>
      </c>
      <c r="X53" s="204" t="s">
        <v>575</v>
      </c>
    </row>
    <row r="54" spans="2:24">
      <c r="B54" s="659"/>
      <c r="C54" s="659"/>
      <c r="D54" s="239">
        <v>8</v>
      </c>
      <c r="E54" s="204" t="s">
        <v>426</v>
      </c>
      <c r="F54" s="205">
        <v>233.60748000000063</v>
      </c>
      <c r="G54" s="290">
        <v>99.141999999999996</v>
      </c>
      <c r="H54" s="290">
        <v>99.8</v>
      </c>
      <c r="I54" s="216">
        <f t="shared" si="1"/>
        <v>1.0066369449879971</v>
      </c>
      <c r="J54" s="290">
        <v>0</v>
      </c>
      <c r="K54" s="216">
        <f t="shared" si="2"/>
        <v>0</v>
      </c>
      <c r="L54" s="205">
        <v>510.06</v>
      </c>
      <c r="M54" s="216">
        <f t="shared" si="3"/>
        <v>1.0066369449879971</v>
      </c>
      <c r="N54" s="205">
        <v>335.61948000000064</v>
      </c>
      <c r="O54" s="290">
        <v>0.2</v>
      </c>
      <c r="P54" s="206">
        <v>2.0173085069899741E-3</v>
      </c>
      <c r="Q54" s="281">
        <v>102.012</v>
      </c>
      <c r="R54" s="290">
        <v>0.45800000000000124</v>
      </c>
      <c r="S54" s="206">
        <v>4.6196364810070535E-3</v>
      </c>
      <c r="T54" s="204" t="s">
        <v>405</v>
      </c>
      <c r="U54" s="204" t="s">
        <v>225</v>
      </c>
      <c r="V54" s="204"/>
      <c r="W54" s="211">
        <v>1</v>
      </c>
      <c r="X54" s="204" t="s">
        <v>427</v>
      </c>
    </row>
    <row r="55" spans="2:24">
      <c r="B55" s="659"/>
      <c r="C55" s="659"/>
      <c r="D55" s="239">
        <v>9</v>
      </c>
      <c r="E55" s="204" t="s">
        <v>545</v>
      </c>
      <c r="F55" s="205">
        <v>233.4241199999999</v>
      </c>
      <c r="G55" s="290">
        <v>92.256</v>
      </c>
      <c r="H55" s="290">
        <v>93</v>
      </c>
      <c r="I55" s="216">
        <f t="shared" si="1"/>
        <v>1.0080645161290323</v>
      </c>
      <c r="J55" s="290">
        <v>0</v>
      </c>
      <c r="K55" s="216">
        <f t="shared" si="2"/>
        <v>0</v>
      </c>
      <c r="L55" s="205">
        <v>525.73</v>
      </c>
      <c r="M55" s="216">
        <f t="shared" si="3"/>
        <v>1.0080645161290323</v>
      </c>
      <c r="N55" s="205">
        <v>391.1431199999999</v>
      </c>
      <c r="O55" s="290">
        <v>0.3</v>
      </c>
      <c r="P55" s="206">
        <v>3.2518210197710717E-3</v>
      </c>
      <c r="Q55" s="281">
        <v>157.71899999999999</v>
      </c>
      <c r="R55" s="290">
        <v>0.44399999999999978</v>
      </c>
      <c r="S55" s="206">
        <v>4.8126951092611839E-3</v>
      </c>
      <c r="T55" s="204" t="s">
        <v>405</v>
      </c>
      <c r="U55" s="204" t="s">
        <v>225</v>
      </c>
      <c r="V55" s="204"/>
      <c r="W55" s="211">
        <v>1</v>
      </c>
      <c r="X55" s="204" t="s">
        <v>517</v>
      </c>
    </row>
    <row r="56" spans="2:24">
      <c r="B56" s="659"/>
      <c r="C56" s="659"/>
      <c r="D56" s="239">
        <v>10</v>
      </c>
      <c r="E56" s="204" t="s">
        <v>407</v>
      </c>
      <c r="F56" s="205">
        <v>223.11449999999908</v>
      </c>
      <c r="G56" s="290">
        <v>86.025000000000006</v>
      </c>
      <c r="H56" s="290">
        <v>87.2</v>
      </c>
      <c r="I56" s="216">
        <f t="shared" si="1"/>
        <v>1.0136588201104331</v>
      </c>
      <c r="J56" s="290">
        <v>0</v>
      </c>
      <c r="K56" s="216">
        <f t="shared" si="2"/>
        <v>0</v>
      </c>
      <c r="L56" s="205">
        <v>330.54</v>
      </c>
      <c r="M56" s="216">
        <f t="shared" si="3"/>
        <v>1.0136588201104331</v>
      </c>
      <c r="N56" s="205">
        <v>388.38449999999909</v>
      </c>
      <c r="O56" s="290">
        <v>0.5</v>
      </c>
      <c r="P56" s="206">
        <v>5.8122638767800052E-3</v>
      </c>
      <c r="Q56" s="281">
        <v>165.27</v>
      </c>
      <c r="R56" s="290">
        <v>0.67499999999999716</v>
      </c>
      <c r="S56" s="206">
        <v>7.8465562336529748E-3</v>
      </c>
      <c r="T56" s="204" t="s">
        <v>405</v>
      </c>
      <c r="U56" s="204" t="s">
        <v>225</v>
      </c>
      <c r="V56" s="204"/>
      <c r="W56" s="211">
        <v>1</v>
      </c>
      <c r="X56" s="204" t="s">
        <v>408</v>
      </c>
    </row>
    <row r="57" spans="2:24">
      <c r="B57" s="661">
        <v>45875</v>
      </c>
      <c r="C57" s="659" t="s">
        <v>286</v>
      </c>
      <c r="D57" s="239">
        <v>1</v>
      </c>
      <c r="E57" s="204" t="s">
        <v>564</v>
      </c>
      <c r="F57" s="205">
        <v>360.18000000000023</v>
      </c>
      <c r="G57" s="290">
        <v>1.6758</v>
      </c>
      <c r="H57" s="290">
        <v>1.8</v>
      </c>
      <c r="I57" s="216">
        <f t="shared" si="1"/>
        <v>1.0741138560687433</v>
      </c>
      <c r="J57" s="290">
        <v>0</v>
      </c>
      <c r="K57" s="216">
        <f t="shared" si="2"/>
        <v>0</v>
      </c>
      <c r="L57" s="205">
        <v>2900</v>
      </c>
      <c r="M57" s="216">
        <f t="shared" si="3"/>
        <v>1.0741138560687433</v>
      </c>
      <c r="N57" s="205">
        <v>360.18000000000023</v>
      </c>
      <c r="O57" s="290">
        <v>0</v>
      </c>
      <c r="P57" s="206">
        <v>0</v>
      </c>
      <c r="Q57" s="281">
        <v>0</v>
      </c>
      <c r="R57" s="290">
        <v>0.12420000000000009</v>
      </c>
      <c r="S57" s="206">
        <v>7.4113856068743336E-2</v>
      </c>
      <c r="T57" s="204" t="s">
        <v>405</v>
      </c>
      <c r="U57" s="204" t="s">
        <v>412</v>
      </c>
      <c r="V57" s="204"/>
      <c r="W57" s="211">
        <v>1</v>
      </c>
      <c r="X57" s="204" t="s">
        <v>559</v>
      </c>
    </row>
    <row r="58" spans="2:24">
      <c r="B58" s="659"/>
      <c r="C58" s="659"/>
      <c r="D58" s="239">
        <v>2</v>
      </c>
      <c r="E58" s="204" t="s">
        <v>525</v>
      </c>
      <c r="F58" s="205">
        <v>335.85996000000029</v>
      </c>
      <c r="G58" s="290">
        <v>11.539</v>
      </c>
      <c r="H58" s="290">
        <v>12</v>
      </c>
      <c r="I58" s="216">
        <f t="shared" si="1"/>
        <v>1.03995146893145</v>
      </c>
      <c r="J58" s="290">
        <v>0</v>
      </c>
      <c r="K58" s="216">
        <f t="shared" si="2"/>
        <v>0</v>
      </c>
      <c r="L58" s="205">
        <v>930.36</v>
      </c>
      <c r="M58" s="216">
        <f t="shared" si="3"/>
        <v>1.03995146893145</v>
      </c>
      <c r="N58" s="205">
        <v>428.89596000000029</v>
      </c>
      <c r="O58" s="290">
        <v>0.1</v>
      </c>
      <c r="P58" s="206">
        <v>8.6662622410954154E-3</v>
      </c>
      <c r="Q58" s="281">
        <v>93.036000000000001</v>
      </c>
      <c r="R58" s="290">
        <v>0.36100000000000032</v>
      </c>
      <c r="S58" s="206">
        <v>3.1285206690354478E-2</v>
      </c>
      <c r="T58" s="204" t="s">
        <v>405</v>
      </c>
      <c r="U58" s="204" t="s">
        <v>412</v>
      </c>
      <c r="V58" s="204"/>
      <c r="W58" s="211">
        <v>1</v>
      </c>
      <c r="X58" s="204" t="s">
        <v>474</v>
      </c>
    </row>
    <row r="59" spans="2:24">
      <c r="B59" s="659"/>
      <c r="C59" s="659"/>
      <c r="D59" s="239">
        <v>3</v>
      </c>
      <c r="E59" s="204" t="s">
        <v>586</v>
      </c>
      <c r="F59" s="205">
        <v>304.42632000000043</v>
      </c>
      <c r="G59" s="290">
        <v>19.431999999999999</v>
      </c>
      <c r="H59" s="290">
        <v>20.5</v>
      </c>
      <c r="I59" s="216">
        <f t="shared" si="1"/>
        <v>1.0549608892548374</v>
      </c>
      <c r="J59" s="290">
        <v>0</v>
      </c>
      <c r="K59" s="216">
        <f t="shared" si="2"/>
        <v>0</v>
      </c>
      <c r="L59" s="205">
        <v>314.49</v>
      </c>
      <c r="M59" s="216">
        <f t="shared" si="3"/>
        <v>1.0549608892548374</v>
      </c>
      <c r="N59" s="205">
        <v>335.87532000000044</v>
      </c>
      <c r="O59" s="290">
        <v>0.1</v>
      </c>
      <c r="P59" s="206">
        <v>5.1461506792918905E-3</v>
      </c>
      <c r="Q59" s="281">
        <v>31.449000000000002</v>
      </c>
      <c r="R59" s="290">
        <v>0.96800000000000141</v>
      </c>
      <c r="S59" s="206">
        <v>4.9814738575545567E-2</v>
      </c>
      <c r="T59" s="204" t="s">
        <v>537</v>
      </c>
      <c r="U59" s="204" t="s">
        <v>538</v>
      </c>
      <c r="V59" s="204"/>
      <c r="W59" s="211">
        <v>1</v>
      </c>
      <c r="X59" s="204" t="s">
        <v>587</v>
      </c>
    </row>
    <row r="60" spans="2:24">
      <c r="B60" s="659"/>
      <c r="C60" s="659"/>
      <c r="D60" s="239">
        <v>4</v>
      </c>
      <c r="E60" s="204" t="s">
        <v>588</v>
      </c>
      <c r="F60" s="205">
        <v>296.43199999999979</v>
      </c>
      <c r="G60" s="290">
        <v>7.992</v>
      </c>
      <c r="H60" s="290">
        <v>8.8919999999999995</v>
      </c>
      <c r="I60" s="216">
        <f t="shared" si="1"/>
        <v>1.1126126126126126</v>
      </c>
      <c r="J60" s="290">
        <v>0</v>
      </c>
      <c r="K60" s="216">
        <f t="shared" si="2"/>
        <v>0</v>
      </c>
      <c r="L60" s="205">
        <v>370.54</v>
      </c>
      <c r="M60" s="216">
        <f t="shared" si="3"/>
        <v>1.1126126126126126</v>
      </c>
      <c r="N60" s="205">
        <v>333.48599999999982</v>
      </c>
      <c r="O60" s="290">
        <v>0.1</v>
      </c>
      <c r="P60" s="206">
        <v>1.2512512512512513E-2</v>
      </c>
      <c r="Q60" s="281">
        <v>37.054000000000002</v>
      </c>
      <c r="R60" s="290">
        <v>0.79999999999999949</v>
      </c>
      <c r="S60" s="206">
        <v>0.10010010010010004</v>
      </c>
      <c r="T60" s="204" t="s">
        <v>419</v>
      </c>
      <c r="U60" s="204" t="s">
        <v>420</v>
      </c>
      <c r="V60" s="204"/>
      <c r="W60" s="211">
        <v>1</v>
      </c>
      <c r="X60" s="204" t="s">
        <v>455</v>
      </c>
    </row>
    <row r="61" spans="2:24">
      <c r="B61" s="659"/>
      <c r="C61" s="659"/>
      <c r="D61" s="239">
        <v>5</v>
      </c>
      <c r="E61" s="204" t="s">
        <v>569</v>
      </c>
      <c r="F61" s="205">
        <v>284.27400000000273</v>
      </c>
      <c r="G61" s="290">
        <v>110.239</v>
      </c>
      <c r="H61" s="290">
        <v>111.13900000000001</v>
      </c>
      <c r="I61" s="216">
        <f t="shared" si="1"/>
        <v>1.0081640798628435</v>
      </c>
      <c r="J61" s="290">
        <v>0</v>
      </c>
      <c r="K61" s="216">
        <f t="shared" si="2"/>
        <v>0</v>
      </c>
      <c r="L61" s="205">
        <v>473.79</v>
      </c>
      <c r="M61" s="216">
        <f t="shared" si="3"/>
        <v>1.0081640798628435</v>
      </c>
      <c r="N61" s="205">
        <v>426.41100000000273</v>
      </c>
      <c r="O61" s="290">
        <v>0.3</v>
      </c>
      <c r="P61" s="206">
        <v>2.7213599542811524E-3</v>
      </c>
      <c r="Q61" s="281">
        <v>142.137</v>
      </c>
      <c r="R61" s="290">
        <v>0.60000000000000564</v>
      </c>
      <c r="S61" s="206">
        <v>5.4427199085623568E-3</v>
      </c>
      <c r="T61" s="204" t="s">
        <v>405</v>
      </c>
      <c r="U61" s="204" t="s">
        <v>225</v>
      </c>
      <c r="V61" s="204"/>
      <c r="W61" s="211">
        <v>1</v>
      </c>
      <c r="X61" s="204" t="s">
        <v>423</v>
      </c>
    </row>
    <row r="62" spans="2:24">
      <c r="B62" s="659"/>
      <c r="C62" s="659"/>
      <c r="D62" s="239">
        <v>6</v>
      </c>
      <c r="E62" s="204" t="s">
        <v>521</v>
      </c>
      <c r="F62" s="205">
        <v>278.87999999999948</v>
      </c>
      <c r="G62" s="290">
        <v>18.204000000000001</v>
      </c>
      <c r="H62" s="290">
        <v>19.103999999999999</v>
      </c>
      <c r="I62" s="216">
        <f t="shared" si="1"/>
        <v>1.0494396835860249</v>
      </c>
      <c r="J62" s="290">
        <v>0</v>
      </c>
      <c r="K62" s="216">
        <f t="shared" si="2"/>
        <v>0</v>
      </c>
      <c r="L62" s="205">
        <v>348.6</v>
      </c>
      <c r="M62" s="216">
        <f t="shared" si="3"/>
        <v>1.0494396835860249</v>
      </c>
      <c r="N62" s="205">
        <v>313.7399999999995</v>
      </c>
      <c r="O62" s="290">
        <v>0.1</v>
      </c>
      <c r="P62" s="206">
        <v>5.4932981762250057E-3</v>
      </c>
      <c r="Q62" s="281">
        <v>34.860000000000007</v>
      </c>
      <c r="R62" s="290">
        <v>0.7999999999999986</v>
      </c>
      <c r="S62" s="206">
        <v>4.3946385409799962E-2</v>
      </c>
      <c r="T62" s="204" t="s">
        <v>419</v>
      </c>
      <c r="U62" s="204" t="s">
        <v>522</v>
      </c>
      <c r="V62" s="204"/>
      <c r="W62" s="211">
        <v>1</v>
      </c>
      <c r="X62" s="204" t="s">
        <v>470</v>
      </c>
    </row>
    <row r="63" spans="2:24">
      <c r="B63" s="659"/>
      <c r="C63" s="659"/>
      <c r="D63" s="239">
        <v>7</v>
      </c>
      <c r="E63" s="204" t="s">
        <v>430</v>
      </c>
      <c r="F63" s="205">
        <v>259.79099999999949</v>
      </c>
      <c r="G63" s="290">
        <v>53.886000000000003</v>
      </c>
      <c r="H63" s="290">
        <v>54.786000000000001</v>
      </c>
      <c r="I63" s="216">
        <f t="shared" si="1"/>
        <v>1.0167019262888319</v>
      </c>
      <c r="J63" s="290">
        <v>0</v>
      </c>
      <c r="K63" s="216">
        <f t="shared" si="2"/>
        <v>0</v>
      </c>
      <c r="L63" s="205">
        <v>371.13</v>
      </c>
      <c r="M63" s="216">
        <f t="shared" si="3"/>
        <v>1.0167019262888319</v>
      </c>
      <c r="N63" s="205">
        <v>334.01699999999948</v>
      </c>
      <c r="O63" s="290">
        <v>0.2</v>
      </c>
      <c r="P63" s="206">
        <v>3.7115391752959954E-3</v>
      </c>
      <c r="Q63" s="281">
        <v>74.225999999999999</v>
      </c>
      <c r="R63" s="290">
        <v>0.69999999999999862</v>
      </c>
      <c r="S63" s="206">
        <v>1.2990387113535957E-2</v>
      </c>
      <c r="T63" s="204" t="s">
        <v>402</v>
      </c>
      <c r="U63" s="204" t="s">
        <v>224</v>
      </c>
      <c r="V63" s="204"/>
      <c r="W63" s="211">
        <v>1</v>
      </c>
      <c r="X63" s="204" t="s">
        <v>494</v>
      </c>
    </row>
    <row r="64" spans="2:24">
      <c r="B64" s="659"/>
      <c r="C64" s="659"/>
      <c r="D64" s="239">
        <v>8</v>
      </c>
      <c r="E64" s="204" t="s">
        <v>577</v>
      </c>
      <c r="F64" s="205">
        <v>257.27999999999992</v>
      </c>
      <c r="G64" s="290">
        <v>3.8340000000000001</v>
      </c>
      <c r="H64" s="290">
        <v>4.5339999999999998</v>
      </c>
      <c r="I64" s="216">
        <f t="shared" si="1"/>
        <v>1.1825769431403232</v>
      </c>
      <c r="J64" s="290">
        <v>0</v>
      </c>
      <c r="K64" s="216">
        <f t="shared" si="2"/>
        <v>0</v>
      </c>
      <c r="L64" s="205">
        <v>428.8</v>
      </c>
      <c r="M64" s="216">
        <f t="shared" si="3"/>
        <v>1.1825769431403232</v>
      </c>
      <c r="N64" s="205">
        <v>300.15999999999991</v>
      </c>
      <c r="O64" s="290">
        <v>0.1</v>
      </c>
      <c r="P64" s="206">
        <v>2.6082420448617631E-2</v>
      </c>
      <c r="Q64" s="281">
        <v>42.88</v>
      </c>
      <c r="R64" s="290">
        <v>0.59999999999999976</v>
      </c>
      <c r="S64" s="206">
        <v>0.15649452269170572</v>
      </c>
      <c r="T64" s="204" t="s">
        <v>537</v>
      </c>
      <c r="U64" s="204" t="s">
        <v>538</v>
      </c>
      <c r="V64" s="204"/>
      <c r="W64" s="211">
        <v>1</v>
      </c>
      <c r="X64" s="204" t="s">
        <v>438</v>
      </c>
    </row>
    <row r="65" spans="2:24">
      <c r="B65" s="659"/>
      <c r="C65" s="659"/>
      <c r="D65" s="239">
        <v>9</v>
      </c>
      <c r="E65" s="204" t="s">
        <v>561</v>
      </c>
      <c r="F65" s="205">
        <v>250.16399999999939</v>
      </c>
      <c r="G65" s="290">
        <v>107.59</v>
      </c>
      <c r="H65" s="290">
        <v>108.89</v>
      </c>
      <c r="I65" s="216">
        <f t="shared" si="1"/>
        <v>1.0120829073333952</v>
      </c>
      <c r="J65" s="290">
        <v>0</v>
      </c>
      <c r="K65" s="216">
        <f t="shared" si="2"/>
        <v>0</v>
      </c>
      <c r="L65" s="205">
        <v>208.47</v>
      </c>
      <c r="M65" s="216">
        <f t="shared" si="3"/>
        <v>1.0120829073333952</v>
      </c>
      <c r="N65" s="205">
        <v>271.0109999999994</v>
      </c>
      <c r="O65" s="290">
        <v>0.1</v>
      </c>
      <c r="P65" s="206">
        <v>9.2945441026117672E-4</v>
      </c>
      <c r="Q65" s="281">
        <v>20.847000000000001</v>
      </c>
      <c r="R65" s="290">
        <v>1.1999999999999971</v>
      </c>
      <c r="S65" s="206">
        <v>1.1153452923134093E-2</v>
      </c>
      <c r="T65" s="204" t="s">
        <v>402</v>
      </c>
      <c r="U65" s="204" t="s">
        <v>224</v>
      </c>
      <c r="V65" s="204"/>
      <c r="W65" s="211">
        <v>1</v>
      </c>
      <c r="X65" s="204" t="s">
        <v>492</v>
      </c>
    </row>
    <row r="66" spans="2:24">
      <c r="B66" s="659"/>
      <c r="C66" s="659"/>
      <c r="D66" s="239">
        <v>10</v>
      </c>
      <c r="E66" s="204" t="s">
        <v>589</v>
      </c>
      <c r="F66" s="205">
        <v>249.9</v>
      </c>
      <c r="G66" s="290">
        <v>165.64</v>
      </c>
      <c r="H66" s="290">
        <v>167.14</v>
      </c>
      <c r="I66" s="216">
        <f t="shared" si="1"/>
        <v>1.0090557836271432</v>
      </c>
      <c r="J66" s="290">
        <v>0</v>
      </c>
      <c r="K66" s="216">
        <f t="shared" si="2"/>
        <v>0</v>
      </c>
      <c r="L66" s="205">
        <v>178.5</v>
      </c>
      <c r="M66" s="216">
        <f t="shared" si="3"/>
        <v>1.0090557836271432</v>
      </c>
      <c r="N66" s="205">
        <v>267.75</v>
      </c>
      <c r="O66" s="290">
        <v>0.1</v>
      </c>
      <c r="P66" s="206">
        <v>6.0371890847621358E-4</v>
      </c>
      <c r="Q66" s="281">
        <v>17.850000000000001</v>
      </c>
      <c r="R66" s="290">
        <v>1.4</v>
      </c>
      <c r="S66" s="206">
        <v>8.4520647186669892E-3</v>
      </c>
      <c r="T66" s="204" t="s">
        <v>402</v>
      </c>
      <c r="U66" s="204" t="s">
        <v>224</v>
      </c>
      <c r="V66" s="204"/>
      <c r="W66" s="211">
        <v>1</v>
      </c>
      <c r="X66" s="204" t="s">
        <v>590</v>
      </c>
    </row>
    <row r="67" spans="2:24">
      <c r="B67" s="661">
        <v>45876</v>
      </c>
      <c r="C67" s="659" t="s">
        <v>269</v>
      </c>
      <c r="D67" s="239">
        <v>1</v>
      </c>
      <c r="E67" s="204" t="s">
        <v>545</v>
      </c>
      <c r="F67" s="205">
        <v>368.01100000000002</v>
      </c>
      <c r="G67" s="290">
        <v>55.008000000000003</v>
      </c>
      <c r="H67" s="290">
        <v>56.008000000000003</v>
      </c>
      <c r="I67" s="216">
        <f t="shared" si="1"/>
        <v>1.0181791739383363</v>
      </c>
      <c r="J67" s="290">
        <v>0</v>
      </c>
      <c r="K67" s="216">
        <f t="shared" si="2"/>
        <v>0</v>
      </c>
      <c r="L67" s="205">
        <v>525.73</v>
      </c>
      <c r="M67" s="216">
        <f t="shared" si="3"/>
        <v>1.0181791739383363</v>
      </c>
      <c r="N67" s="205">
        <v>525.73</v>
      </c>
      <c r="O67" s="290">
        <v>0.3</v>
      </c>
      <c r="P67" s="206">
        <v>5.4537521815008717E-3</v>
      </c>
      <c r="Q67" s="281">
        <v>157.71899999999999</v>
      </c>
      <c r="R67" s="290">
        <v>0.7</v>
      </c>
      <c r="S67" s="206">
        <v>1.2725421756835368E-2</v>
      </c>
      <c r="T67" s="204" t="s">
        <v>405</v>
      </c>
      <c r="U67" s="204" t="s">
        <v>225</v>
      </c>
      <c r="V67" s="204"/>
      <c r="W67" s="211">
        <v>1</v>
      </c>
      <c r="X67" s="204" t="s">
        <v>517</v>
      </c>
    </row>
    <row r="68" spans="2:24">
      <c r="B68" s="659"/>
      <c r="C68" s="659"/>
      <c r="D68" s="239">
        <v>2</v>
      </c>
      <c r="E68" s="204" t="s">
        <v>569</v>
      </c>
      <c r="F68" s="205">
        <v>331.65300000000275</v>
      </c>
      <c r="G68" s="290">
        <v>104.765</v>
      </c>
      <c r="H68" s="290">
        <v>105.66500000000001</v>
      </c>
      <c r="I68" s="216">
        <f t="shared" si="1"/>
        <v>1.0085906552760942</v>
      </c>
      <c r="J68" s="290">
        <v>0</v>
      </c>
      <c r="K68" s="216">
        <f t="shared" si="2"/>
        <v>0</v>
      </c>
      <c r="L68" s="205">
        <v>473.79</v>
      </c>
      <c r="M68" s="216">
        <f t="shared" si="3"/>
        <v>1.0085906552760942</v>
      </c>
      <c r="N68" s="205">
        <v>426.41100000000273</v>
      </c>
      <c r="O68" s="290">
        <v>0.2</v>
      </c>
      <c r="P68" s="206">
        <v>1.9090345057986924E-3</v>
      </c>
      <c r="Q68" s="281">
        <v>94.75800000000001</v>
      </c>
      <c r="R68" s="290">
        <v>0.70000000000000573</v>
      </c>
      <c r="S68" s="206">
        <v>6.6816207702954777E-3</v>
      </c>
      <c r="T68" s="204" t="s">
        <v>405</v>
      </c>
      <c r="U68" s="204" t="s">
        <v>225</v>
      </c>
      <c r="V68" s="204"/>
      <c r="W68" s="211">
        <v>1</v>
      </c>
      <c r="X68" s="204" t="s">
        <v>423</v>
      </c>
    </row>
    <row r="69" spans="2:24">
      <c r="B69" s="659"/>
      <c r="C69" s="659"/>
      <c r="D69" s="239">
        <v>3</v>
      </c>
      <c r="E69" s="204" t="s">
        <v>591</v>
      </c>
      <c r="F69" s="205">
        <v>310.43000000000046</v>
      </c>
      <c r="G69" s="290">
        <v>18.472999999999999</v>
      </c>
      <c r="H69" s="290">
        <v>19.573</v>
      </c>
      <c r="I69" s="216">
        <f t="shared" si="1"/>
        <v>1.0595463649650843</v>
      </c>
      <c r="J69" s="290">
        <v>0</v>
      </c>
      <c r="K69" s="216">
        <f t="shared" si="2"/>
        <v>0</v>
      </c>
      <c r="L69" s="205">
        <v>310.43</v>
      </c>
      <c r="M69" s="216">
        <f t="shared" si="3"/>
        <v>1.0595463649650843</v>
      </c>
      <c r="N69" s="205">
        <v>341.47300000000047</v>
      </c>
      <c r="O69" s="290">
        <v>0.1</v>
      </c>
      <c r="P69" s="206">
        <v>5.4133059059167437E-3</v>
      </c>
      <c r="Q69" s="281">
        <v>31.043000000000003</v>
      </c>
      <c r="R69" s="290">
        <v>1.0000000000000013</v>
      </c>
      <c r="S69" s="206">
        <v>5.4133059059167508E-2</v>
      </c>
      <c r="T69" s="204" t="s">
        <v>405</v>
      </c>
      <c r="U69" s="204" t="s">
        <v>225</v>
      </c>
      <c r="V69" s="204"/>
      <c r="W69" s="211">
        <v>1</v>
      </c>
      <c r="X69" s="204" t="s">
        <v>403</v>
      </c>
    </row>
    <row r="70" spans="2:24">
      <c r="B70" s="659"/>
      <c r="C70" s="659"/>
      <c r="D70" s="239">
        <v>4</v>
      </c>
      <c r="E70" s="204" t="s">
        <v>592</v>
      </c>
      <c r="F70" s="205">
        <v>279.15259999999995</v>
      </c>
      <c r="G70" s="290">
        <v>9.08</v>
      </c>
      <c r="H70" s="290">
        <v>9.08</v>
      </c>
      <c r="I70" s="216">
        <f t="shared" si="1"/>
        <v>1</v>
      </c>
      <c r="J70" s="290">
        <v>0.91999999999999993</v>
      </c>
      <c r="K70" s="216">
        <f t="shared" si="2"/>
        <v>0.1013215859030837</v>
      </c>
      <c r="L70" s="205">
        <v>340.43</v>
      </c>
      <c r="M70" s="216">
        <f t="shared" si="3"/>
        <v>1.1013215859030836</v>
      </c>
      <c r="N70" s="205">
        <v>313.19559999999996</v>
      </c>
      <c r="O70" s="290">
        <v>0.1</v>
      </c>
      <c r="P70" s="206">
        <v>1.1013215859030838E-2</v>
      </c>
      <c r="Q70" s="281">
        <v>34.042999999999999</v>
      </c>
      <c r="R70" s="290">
        <v>0.82</v>
      </c>
      <c r="S70" s="206">
        <v>9.0308370044052858E-2</v>
      </c>
      <c r="T70" s="204" t="s">
        <v>419</v>
      </c>
      <c r="U70" s="204" t="s">
        <v>420</v>
      </c>
      <c r="V70" s="204"/>
      <c r="W70" s="211">
        <v>1</v>
      </c>
      <c r="X70" s="204" t="s">
        <v>491</v>
      </c>
    </row>
    <row r="71" spans="2:24">
      <c r="B71" s="659"/>
      <c r="C71" s="659"/>
      <c r="D71" s="239">
        <v>5</v>
      </c>
      <c r="E71" s="204" t="s">
        <v>414</v>
      </c>
      <c r="F71" s="205">
        <v>246.48800000000173</v>
      </c>
      <c r="G71" s="290">
        <v>99.664943894389495</v>
      </c>
      <c r="H71" s="290">
        <v>100.5649438943895</v>
      </c>
      <c r="I71" s="216">
        <f t="shared" si="1"/>
        <v>1.009030256425506</v>
      </c>
      <c r="J71" s="290">
        <v>0</v>
      </c>
      <c r="K71" s="216">
        <f t="shared" si="2"/>
        <v>0</v>
      </c>
      <c r="L71" s="205">
        <v>308.11</v>
      </c>
      <c r="M71" s="216">
        <f t="shared" si="3"/>
        <v>1.009030256425506</v>
      </c>
      <c r="N71" s="205">
        <v>277.29900000000174</v>
      </c>
      <c r="O71" s="290">
        <v>0.1</v>
      </c>
      <c r="P71" s="206">
        <v>1.003361825056216E-3</v>
      </c>
      <c r="Q71" s="281">
        <v>30.811000000000003</v>
      </c>
      <c r="R71" s="290">
        <v>0.80000000000000571</v>
      </c>
      <c r="S71" s="206">
        <v>8.0268946004497833E-3</v>
      </c>
      <c r="T71" s="204" t="s">
        <v>402</v>
      </c>
      <c r="U71" s="204" t="s">
        <v>224</v>
      </c>
      <c r="V71" s="204"/>
      <c r="W71" s="211">
        <v>1</v>
      </c>
      <c r="X71" s="204" t="s">
        <v>415</v>
      </c>
    </row>
    <row r="72" spans="2:24">
      <c r="B72" s="659"/>
      <c r="C72" s="659"/>
      <c r="D72" s="239">
        <v>6</v>
      </c>
      <c r="E72" s="204" t="s">
        <v>523</v>
      </c>
      <c r="F72" s="205">
        <v>238.48306999999969</v>
      </c>
      <c r="G72" s="290">
        <v>11.319000000000001</v>
      </c>
      <c r="H72" s="290">
        <v>11.319000000000001</v>
      </c>
      <c r="I72" s="216">
        <f t="shared" ref="I72:I135" si="15">H72/G72</f>
        <v>1</v>
      </c>
      <c r="J72" s="290">
        <v>0.68099999999999916</v>
      </c>
      <c r="K72" s="216">
        <f t="shared" ref="K72:K135" si="16">J72/G72</f>
        <v>6.0164325470447838E-2</v>
      </c>
      <c r="L72" s="205">
        <v>410.47</v>
      </c>
      <c r="M72" s="216">
        <f t="shared" ref="M72:M135" si="17">(H72+J72)/G72</f>
        <v>1.0601643254704478</v>
      </c>
      <c r="N72" s="205">
        <v>279.53006999999968</v>
      </c>
      <c r="O72" s="290">
        <v>0.1</v>
      </c>
      <c r="P72" s="206">
        <v>8.8347027122537333E-3</v>
      </c>
      <c r="Q72" s="281">
        <v>41.047000000000004</v>
      </c>
      <c r="R72" s="290">
        <v>0.58099999999999918</v>
      </c>
      <c r="S72" s="206">
        <v>5.132962275819411E-2</v>
      </c>
      <c r="T72" s="204" t="s">
        <v>402</v>
      </c>
      <c r="U72" s="204" t="s">
        <v>224</v>
      </c>
      <c r="V72" s="204"/>
      <c r="W72" s="211">
        <v>1</v>
      </c>
      <c r="X72" s="204" t="s">
        <v>456</v>
      </c>
    </row>
    <row r="73" spans="2:24">
      <c r="B73" s="659"/>
      <c r="C73" s="659"/>
      <c r="D73" s="239">
        <v>7</v>
      </c>
      <c r="E73" s="204" t="s">
        <v>579</v>
      </c>
      <c r="F73" s="205">
        <v>233.79199999999975</v>
      </c>
      <c r="G73" s="290">
        <v>56.813375661375701</v>
      </c>
      <c r="H73" s="290">
        <v>58.2133756613757</v>
      </c>
      <c r="I73" s="216">
        <f t="shared" si="15"/>
        <v>1.024642084433504</v>
      </c>
      <c r="J73" s="290">
        <v>0</v>
      </c>
      <c r="K73" s="216">
        <f t="shared" si="16"/>
        <v>0</v>
      </c>
      <c r="L73" s="205">
        <v>179.84</v>
      </c>
      <c r="M73" s="216">
        <f t="shared" si="17"/>
        <v>1.024642084433504</v>
      </c>
      <c r="N73" s="205">
        <v>251.77599999999975</v>
      </c>
      <c r="O73" s="290">
        <v>0.1</v>
      </c>
      <c r="P73" s="206">
        <v>1.7601488881074272E-3</v>
      </c>
      <c r="Q73" s="281">
        <v>17.984000000000002</v>
      </c>
      <c r="R73" s="290">
        <v>1.2999999999999985</v>
      </c>
      <c r="S73" s="206">
        <v>2.2881935545396526E-2</v>
      </c>
      <c r="T73" s="204" t="s">
        <v>402</v>
      </c>
      <c r="U73" s="204" t="s">
        <v>224</v>
      </c>
      <c r="V73" s="204"/>
      <c r="W73" s="211">
        <v>1</v>
      </c>
      <c r="X73" s="204" t="s">
        <v>481</v>
      </c>
    </row>
    <row r="74" spans="2:24">
      <c r="B74" s="659"/>
      <c r="C74" s="659"/>
      <c r="D74" s="239">
        <v>8</v>
      </c>
      <c r="E74" s="204" t="s">
        <v>567</v>
      </c>
      <c r="F74" s="205">
        <v>212.62199999999973</v>
      </c>
      <c r="G74" s="290">
        <v>18.7</v>
      </c>
      <c r="H74" s="290">
        <v>19.399999999999999</v>
      </c>
      <c r="I74" s="216">
        <f t="shared" si="15"/>
        <v>1.0374331550802138</v>
      </c>
      <c r="J74" s="290">
        <v>0</v>
      </c>
      <c r="K74" s="216">
        <f t="shared" si="16"/>
        <v>0</v>
      </c>
      <c r="L74" s="205">
        <v>354.37</v>
      </c>
      <c r="M74" s="216">
        <f t="shared" si="17"/>
        <v>1.0374331550802138</v>
      </c>
      <c r="N74" s="205">
        <v>248.05899999999974</v>
      </c>
      <c r="O74" s="290">
        <v>0.1</v>
      </c>
      <c r="P74" s="206">
        <v>5.3475935828877011E-3</v>
      </c>
      <c r="Q74" s="281">
        <v>35.437000000000005</v>
      </c>
      <c r="R74" s="290">
        <v>0.59999999999999931</v>
      </c>
      <c r="S74" s="206">
        <v>3.2085561497326165E-2</v>
      </c>
      <c r="T74" s="204" t="s">
        <v>402</v>
      </c>
      <c r="U74" s="204" t="s">
        <v>224</v>
      </c>
      <c r="V74" s="204"/>
      <c r="W74" s="211">
        <v>1</v>
      </c>
      <c r="X74" s="204" t="s">
        <v>471</v>
      </c>
    </row>
    <row r="75" spans="2:24">
      <c r="B75" s="659"/>
      <c r="C75" s="659"/>
      <c r="D75" s="239">
        <v>9</v>
      </c>
      <c r="E75" s="204" t="s">
        <v>564</v>
      </c>
      <c r="F75" s="205">
        <v>207.93000000000029</v>
      </c>
      <c r="G75" s="290">
        <v>1.7282999999999999</v>
      </c>
      <c r="H75" s="290">
        <v>1.8</v>
      </c>
      <c r="I75" s="216">
        <f t="shared" si="15"/>
        <v>1.0414858531504947</v>
      </c>
      <c r="J75" s="290">
        <v>0</v>
      </c>
      <c r="K75" s="216">
        <f t="shared" si="16"/>
        <v>0</v>
      </c>
      <c r="L75" s="205">
        <v>2900</v>
      </c>
      <c r="M75" s="216">
        <f t="shared" si="17"/>
        <v>1.0414858531504947</v>
      </c>
      <c r="N75" s="205">
        <v>207.93000000000029</v>
      </c>
      <c r="O75" s="290">
        <v>0</v>
      </c>
      <c r="P75" s="206">
        <v>0</v>
      </c>
      <c r="Q75" s="281">
        <v>0</v>
      </c>
      <c r="R75" s="290">
        <v>7.1700000000000097E-2</v>
      </c>
      <c r="S75" s="206">
        <v>4.1485853150494766E-2</v>
      </c>
      <c r="T75" s="204" t="s">
        <v>405</v>
      </c>
      <c r="U75" s="204" t="s">
        <v>412</v>
      </c>
      <c r="V75" s="204"/>
      <c r="W75" s="211">
        <v>1</v>
      </c>
      <c r="X75" s="204" t="s">
        <v>559</v>
      </c>
    </row>
    <row r="76" spans="2:24">
      <c r="B76" s="659"/>
      <c r="C76" s="659"/>
      <c r="D76" s="239">
        <v>10</v>
      </c>
      <c r="E76" s="204" t="s">
        <v>407</v>
      </c>
      <c r="F76" s="205">
        <v>198.32400000000001</v>
      </c>
      <c r="G76" s="290">
        <v>66.650000000000006</v>
      </c>
      <c r="H76" s="290">
        <v>67.650000000000006</v>
      </c>
      <c r="I76" s="216">
        <f t="shared" si="15"/>
        <v>1.0150037509377345</v>
      </c>
      <c r="J76" s="290">
        <v>0</v>
      </c>
      <c r="K76" s="216">
        <f t="shared" si="16"/>
        <v>0</v>
      </c>
      <c r="L76" s="205">
        <v>330.54</v>
      </c>
      <c r="M76" s="216">
        <f t="shared" si="17"/>
        <v>1.0150037509377345</v>
      </c>
      <c r="N76" s="205">
        <v>330.54</v>
      </c>
      <c r="O76" s="290">
        <v>0.4</v>
      </c>
      <c r="P76" s="206">
        <v>6.0015003750937736E-3</v>
      </c>
      <c r="Q76" s="281">
        <v>132.21600000000001</v>
      </c>
      <c r="R76" s="290">
        <v>0.6</v>
      </c>
      <c r="S76" s="206">
        <v>9.0022505626406596E-3</v>
      </c>
      <c r="T76" s="204" t="s">
        <v>405</v>
      </c>
      <c r="U76" s="204" t="s">
        <v>225</v>
      </c>
      <c r="V76" s="204"/>
      <c r="W76" s="211">
        <v>1</v>
      </c>
      <c r="X76" s="204" t="s">
        <v>408</v>
      </c>
    </row>
    <row r="77" spans="2:24">
      <c r="B77" s="661">
        <v>45877</v>
      </c>
      <c r="C77" s="659" t="s">
        <v>266</v>
      </c>
      <c r="D77" s="239">
        <v>1</v>
      </c>
      <c r="E77" s="204" t="s">
        <v>586</v>
      </c>
      <c r="F77" s="205">
        <v>248.44709999999975</v>
      </c>
      <c r="G77" s="290">
        <v>17.71</v>
      </c>
      <c r="H77" s="290">
        <v>18.5</v>
      </c>
      <c r="I77" s="216">
        <f t="shared" si="15"/>
        <v>1.0446075663466967</v>
      </c>
      <c r="J77" s="290">
        <v>0</v>
      </c>
      <c r="K77" s="216">
        <f t="shared" si="16"/>
        <v>0</v>
      </c>
      <c r="L77" s="205">
        <v>314.49</v>
      </c>
      <c r="M77" s="216">
        <f t="shared" si="17"/>
        <v>1.0446075663466967</v>
      </c>
      <c r="N77" s="205">
        <v>248.44709999999975</v>
      </c>
      <c r="O77" s="290">
        <v>0</v>
      </c>
      <c r="P77" s="206">
        <v>0</v>
      </c>
      <c r="Q77" s="281">
        <v>0</v>
      </c>
      <c r="R77" s="290">
        <v>0.78999999999999915</v>
      </c>
      <c r="S77" s="206">
        <v>4.4607566346696728E-2</v>
      </c>
      <c r="T77" s="204" t="s">
        <v>402</v>
      </c>
      <c r="U77" s="204" t="s">
        <v>224</v>
      </c>
      <c r="V77" s="204"/>
      <c r="W77" s="211">
        <v>1</v>
      </c>
      <c r="X77" s="204" t="s">
        <v>587</v>
      </c>
    </row>
    <row r="78" spans="2:24">
      <c r="B78" s="659"/>
      <c r="C78" s="659"/>
      <c r="D78" s="239">
        <v>2</v>
      </c>
      <c r="E78" s="204" t="s">
        <v>409</v>
      </c>
      <c r="F78" s="205">
        <v>241.04999999999987</v>
      </c>
      <c r="G78" s="290">
        <v>15.231999999999999</v>
      </c>
      <c r="H78" s="290">
        <v>15.831999999999999</v>
      </c>
      <c r="I78" s="216">
        <f t="shared" si="15"/>
        <v>1.0393907563025211</v>
      </c>
      <c r="J78" s="290">
        <v>0</v>
      </c>
      <c r="K78" s="216">
        <f t="shared" si="16"/>
        <v>0</v>
      </c>
      <c r="L78" s="205">
        <v>401.75</v>
      </c>
      <c r="M78" s="216">
        <f t="shared" si="17"/>
        <v>1.0393907563025211</v>
      </c>
      <c r="N78" s="205">
        <v>241.04999999999987</v>
      </c>
      <c r="O78" s="290">
        <v>0</v>
      </c>
      <c r="P78" s="206">
        <v>0</v>
      </c>
      <c r="Q78" s="281">
        <v>0</v>
      </c>
      <c r="R78" s="290">
        <v>0.59999999999999964</v>
      </c>
      <c r="S78" s="206">
        <v>3.9390756302520986E-2</v>
      </c>
      <c r="T78" s="204" t="s">
        <v>402</v>
      </c>
      <c r="U78" s="204" t="s">
        <v>224</v>
      </c>
      <c r="V78" s="204"/>
      <c r="W78" s="211">
        <v>1</v>
      </c>
      <c r="X78" s="204" t="s">
        <v>410</v>
      </c>
    </row>
    <row r="79" spans="2:24">
      <c r="B79" s="659"/>
      <c r="C79" s="659"/>
      <c r="D79" s="239">
        <v>3</v>
      </c>
      <c r="E79" s="204" t="s">
        <v>579</v>
      </c>
      <c r="F79" s="205">
        <v>233.79199999999949</v>
      </c>
      <c r="G79" s="290">
        <v>57.008507936507939</v>
      </c>
      <c r="H79" s="290">
        <v>58.308507936507937</v>
      </c>
      <c r="I79" s="216">
        <f t="shared" si="15"/>
        <v>1.0228036138298489</v>
      </c>
      <c r="J79" s="290">
        <v>0</v>
      </c>
      <c r="K79" s="216">
        <f t="shared" si="16"/>
        <v>0</v>
      </c>
      <c r="L79" s="205">
        <v>179.84</v>
      </c>
      <c r="M79" s="216">
        <f t="shared" si="17"/>
        <v>1.0228036138298489</v>
      </c>
      <c r="N79" s="205">
        <v>233.79199999999949</v>
      </c>
      <c r="O79" s="290">
        <v>0</v>
      </c>
      <c r="P79" s="206">
        <v>0</v>
      </c>
      <c r="Q79" s="281">
        <v>0</v>
      </c>
      <c r="R79" s="290">
        <v>1.2999999999999972</v>
      </c>
      <c r="S79" s="206">
        <v>2.2803613829848794E-2</v>
      </c>
      <c r="T79" s="204" t="s">
        <v>402</v>
      </c>
      <c r="U79" s="204" t="s">
        <v>224</v>
      </c>
      <c r="V79" s="204"/>
      <c r="W79" s="211">
        <v>1</v>
      </c>
      <c r="X79" s="204" t="s">
        <v>481</v>
      </c>
    </row>
    <row r="80" spans="2:24">
      <c r="B80" s="659"/>
      <c r="C80" s="659"/>
      <c r="D80" s="239">
        <v>4</v>
      </c>
      <c r="E80" s="204" t="s">
        <v>416</v>
      </c>
      <c r="F80" s="205">
        <v>233.52251999999959</v>
      </c>
      <c r="G80" s="290">
        <v>14.592000000000001</v>
      </c>
      <c r="H80" s="290">
        <v>15</v>
      </c>
      <c r="I80" s="216">
        <f t="shared" si="15"/>
        <v>1.0279605263157894</v>
      </c>
      <c r="J80" s="290">
        <v>0</v>
      </c>
      <c r="K80" s="216">
        <f t="shared" si="16"/>
        <v>0</v>
      </c>
      <c r="L80" s="205">
        <v>758.19</v>
      </c>
      <c r="M80" s="216">
        <f t="shared" si="17"/>
        <v>1.0279605263157894</v>
      </c>
      <c r="N80" s="205">
        <v>309.3415199999996</v>
      </c>
      <c r="O80" s="290">
        <v>0.1</v>
      </c>
      <c r="P80" s="206">
        <v>6.853070175438597E-3</v>
      </c>
      <c r="Q80" s="281">
        <v>75.819000000000003</v>
      </c>
      <c r="R80" s="290">
        <v>0.3079999999999995</v>
      </c>
      <c r="S80" s="206">
        <v>2.1107456140350842E-2</v>
      </c>
      <c r="T80" s="204" t="s">
        <v>402</v>
      </c>
      <c r="U80" s="204" t="s">
        <v>224</v>
      </c>
      <c r="V80" s="204"/>
      <c r="W80" s="211">
        <v>1</v>
      </c>
      <c r="X80" s="204" t="s">
        <v>417</v>
      </c>
    </row>
    <row r="81" spans="2:24">
      <c r="B81" s="659"/>
      <c r="C81" s="659"/>
      <c r="D81" s="239">
        <v>5</v>
      </c>
      <c r="E81" s="204" t="s">
        <v>527</v>
      </c>
      <c r="F81" s="205">
        <v>213.465</v>
      </c>
      <c r="G81" s="290">
        <v>9.99</v>
      </c>
      <c r="H81" s="290">
        <v>13.09</v>
      </c>
      <c r="I81" s="216">
        <f t="shared" si="15"/>
        <v>1.3103103103103102</v>
      </c>
      <c r="J81" s="290">
        <v>0</v>
      </c>
      <c r="K81" s="216">
        <f t="shared" si="16"/>
        <v>0</v>
      </c>
      <c r="L81" s="205">
        <v>101.65</v>
      </c>
      <c r="M81" s="216">
        <f t="shared" si="17"/>
        <v>1.3103103103103102</v>
      </c>
      <c r="N81" s="205">
        <v>315.11500000000001</v>
      </c>
      <c r="O81" s="290">
        <v>1</v>
      </c>
      <c r="P81" s="206">
        <v>0.10010010010010009</v>
      </c>
      <c r="Q81" s="281">
        <v>101.65</v>
      </c>
      <c r="R81" s="290">
        <v>2.0999999999999996</v>
      </c>
      <c r="S81" s="206">
        <v>0.21021021021021016</v>
      </c>
      <c r="T81" s="204" t="s">
        <v>419</v>
      </c>
      <c r="U81" s="204" t="s">
        <v>420</v>
      </c>
      <c r="V81" s="204"/>
      <c r="W81" s="211">
        <v>1</v>
      </c>
      <c r="X81" s="204" t="s">
        <v>477</v>
      </c>
    </row>
    <row r="82" spans="2:24">
      <c r="B82" s="659"/>
      <c r="C82" s="659"/>
      <c r="D82" s="239">
        <v>6</v>
      </c>
      <c r="E82" s="204" t="s">
        <v>592</v>
      </c>
      <c r="F82" s="205">
        <v>204.2579999999999</v>
      </c>
      <c r="G82" s="290">
        <v>6.242</v>
      </c>
      <c r="H82" s="290">
        <v>6.8419999999999996</v>
      </c>
      <c r="I82" s="216">
        <f t="shared" si="15"/>
        <v>1.0961230374879845</v>
      </c>
      <c r="J82" s="290">
        <v>0</v>
      </c>
      <c r="K82" s="216">
        <f t="shared" si="16"/>
        <v>0</v>
      </c>
      <c r="L82" s="205">
        <v>340.43</v>
      </c>
      <c r="M82" s="216">
        <f t="shared" si="17"/>
        <v>1.0961230374879845</v>
      </c>
      <c r="N82" s="205">
        <v>204.2579999999999</v>
      </c>
      <c r="O82" s="290">
        <v>0</v>
      </c>
      <c r="P82" s="206">
        <v>0</v>
      </c>
      <c r="Q82" s="281">
        <v>0</v>
      </c>
      <c r="R82" s="290">
        <v>0.59999999999999964</v>
      </c>
      <c r="S82" s="206">
        <v>9.6123037487984564E-2</v>
      </c>
      <c r="T82" s="204" t="s">
        <v>419</v>
      </c>
      <c r="U82" s="204" t="s">
        <v>522</v>
      </c>
      <c r="V82" s="204"/>
      <c r="W82" s="211">
        <v>1</v>
      </c>
      <c r="X82" s="204" t="s">
        <v>491</v>
      </c>
    </row>
    <row r="83" spans="2:24">
      <c r="B83" s="659"/>
      <c r="C83" s="659"/>
      <c r="D83" s="239">
        <v>7</v>
      </c>
      <c r="E83" s="204" t="s">
        <v>545</v>
      </c>
      <c r="F83" s="205">
        <v>201.88031999999794</v>
      </c>
      <c r="G83" s="290">
        <v>33.216000000000001</v>
      </c>
      <c r="H83" s="290">
        <v>33.799999999999997</v>
      </c>
      <c r="I83" s="216">
        <f t="shared" si="15"/>
        <v>1.0175818882466281</v>
      </c>
      <c r="J83" s="290">
        <v>0</v>
      </c>
      <c r="K83" s="216">
        <f t="shared" si="16"/>
        <v>0</v>
      </c>
      <c r="L83" s="205">
        <v>525.73</v>
      </c>
      <c r="M83" s="216">
        <f t="shared" si="17"/>
        <v>1.0175818882466281</v>
      </c>
      <c r="N83" s="205">
        <v>307.02631999999795</v>
      </c>
      <c r="O83" s="290">
        <v>0.2</v>
      </c>
      <c r="P83" s="206">
        <v>6.0211946050096341E-3</v>
      </c>
      <c r="Q83" s="281">
        <v>105.14600000000002</v>
      </c>
      <c r="R83" s="290">
        <v>0.38399999999999607</v>
      </c>
      <c r="S83" s="206">
        <v>1.1560693641618379E-2</v>
      </c>
      <c r="T83" s="204" t="s">
        <v>405</v>
      </c>
      <c r="U83" s="204" t="s">
        <v>225</v>
      </c>
      <c r="V83" s="204"/>
      <c r="W83" s="211">
        <v>1</v>
      </c>
      <c r="X83" s="204" t="s">
        <v>517</v>
      </c>
    </row>
    <row r="84" spans="2:24">
      <c r="B84" s="659"/>
      <c r="C84" s="659"/>
      <c r="D84" s="239">
        <v>8</v>
      </c>
      <c r="E84" s="204" t="s">
        <v>558</v>
      </c>
      <c r="F84" s="205">
        <v>200.68355999999943</v>
      </c>
      <c r="G84" s="290">
        <v>29.891999999999999</v>
      </c>
      <c r="H84" s="290">
        <v>30.4</v>
      </c>
      <c r="I84" s="216">
        <f t="shared" si="15"/>
        <v>1.0169945135822294</v>
      </c>
      <c r="J84" s="290">
        <v>0</v>
      </c>
      <c r="K84" s="216">
        <f t="shared" si="16"/>
        <v>0</v>
      </c>
      <c r="L84" s="205">
        <v>651.57000000000005</v>
      </c>
      <c r="M84" s="216">
        <f t="shared" si="17"/>
        <v>1.0169945135822294</v>
      </c>
      <c r="N84" s="205">
        <v>330.99755999999945</v>
      </c>
      <c r="O84" s="290">
        <v>0.2</v>
      </c>
      <c r="P84" s="206">
        <v>6.6907533788304564E-3</v>
      </c>
      <c r="Q84" s="281">
        <v>130.31400000000002</v>
      </c>
      <c r="R84" s="290">
        <v>0.30799999999999911</v>
      </c>
      <c r="S84" s="206">
        <v>1.0303760203398873E-2</v>
      </c>
      <c r="T84" s="204" t="s">
        <v>402</v>
      </c>
      <c r="U84" s="204" t="s">
        <v>224</v>
      </c>
      <c r="V84" s="204"/>
      <c r="W84" s="211">
        <v>1</v>
      </c>
      <c r="X84" s="204" t="s">
        <v>559</v>
      </c>
    </row>
    <row r="85" spans="2:24">
      <c r="B85" s="659"/>
      <c r="C85" s="659"/>
      <c r="D85" s="239">
        <v>9</v>
      </c>
      <c r="E85" s="204" t="s">
        <v>593</v>
      </c>
      <c r="F85" s="205">
        <v>197.8240000000001</v>
      </c>
      <c r="G85" s="290">
        <v>6.0685714285714303</v>
      </c>
      <c r="H85" s="290">
        <v>7.1685714285714308</v>
      </c>
      <c r="I85" s="216">
        <f t="shared" si="15"/>
        <v>1.1812617702448212</v>
      </c>
      <c r="J85" s="290">
        <v>0</v>
      </c>
      <c r="K85" s="216">
        <f t="shared" si="16"/>
        <v>0</v>
      </c>
      <c r="L85" s="205">
        <v>179.84</v>
      </c>
      <c r="M85" s="216">
        <f t="shared" si="17"/>
        <v>1.1812617702448212</v>
      </c>
      <c r="N85" s="205">
        <v>197.8240000000001</v>
      </c>
      <c r="O85" s="290">
        <v>0</v>
      </c>
      <c r="P85" s="206">
        <v>0</v>
      </c>
      <c r="Q85" s="281">
        <v>0</v>
      </c>
      <c r="R85" s="290">
        <v>1.1000000000000005</v>
      </c>
      <c r="S85" s="206">
        <v>0.18126177024482112</v>
      </c>
      <c r="T85" s="204" t="s">
        <v>419</v>
      </c>
      <c r="U85" s="204" t="s">
        <v>420</v>
      </c>
      <c r="V85" s="204"/>
      <c r="W85" s="211">
        <v>1</v>
      </c>
      <c r="X85" s="204" t="s">
        <v>415</v>
      </c>
    </row>
    <row r="86" spans="2:24">
      <c r="B86" s="659"/>
      <c r="C86" s="659"/>
      <c r="D86" s="239">
        <v>10</v>
      </c>
      <c r="E86" s="204" t="s">
        <v>437</v>
      </c>
      <c r="F86" s="205">
        <v>194.63639999999964</v>
      </c>
      <c r="G86" s="290">
        <v>4.6710000000000003</v>
      </c>
      <c r="H86" s="290">
        <v>5.0999999999999996</v>
      </c>
      <c r="I86" s="216">
        <f t="shared" si="15"/>
        <v>1.0918432883750802</v>
      </c>
      <c r="J86" s="290">
        <v>0</v>
      </c>
      <c r="K86" s="216">
        <f t="shared" si="16"/>
        <v>0</v>
      </c>
      <c r="L86" s="205">
        <v>591.6</v>
      </c>
      <c r="M86" s="216">
        <f t="shared" si="17"/>
        <v>1.0918432883750802</v>
      </c>
      <c r="N86" s="205">
        <v>253.79639999999964</v>
      </c>
      <c r="O86" s="290">
        <v>0.1</v>
      </c>
      <c r="P86" s="206">
        <v>2.1408691928923144E-2</v>
      </c>
      <c r="Q86" s="281">
        <v>59.160000000000004</v>
      </c>
      <c r="R86" s="290">
        <v>0.3289999999999994</v>
      </c>
      <c r="S86" s="206">
        <v>7.0434596446157002E-2</v>
      </c>
      <c r="T86" s="204" t="s">
        <v>402</v>
      </c>
      <c r="U86" s="204" t="s">
        <v>224</v>
      </c>
      <c r="V86" s="204"/>
      <c r="W86" s="211">
        <v>1</v>
      </c>
      <c r="X86" s="204" t="s">
        <v>438</v>
      </c>
    </row>
    <row r="87" spans="2:24">
      <c r="B87" s="661">
        <v>45878</v>
      </c>
      <c r="C87" s="659" t="s">
        <v>271</v>
      </c>
      <c r="D87" s="239">
        <v>1</v>
      </c>
      <c r="E87" s="204" t="s">
        <v>545</v>
      </c>
      <c r="F87" s="205">
        <v>195.57155999999844</v>
      </c>
      <c r="G87" s="290">
        <v>38.328000000000003</v>
      </c>
      <c r="H87" s="290">
        <v>39</v>
      </c>
      <c r="I87" s="216">
        <f t="shared" si="15"/>
        <v>1.0175328741390106</v>
      </c>
      <c r="J87" s="290">
        <v>0</v>
      </c>
      <c r="K87" s="216">
        <f t="shared" si="16"/>
        <v>0</v>
      </c>
      <c r="L87" s="205">
        <v>525.73</v>
      </c>
      <c r="M87" s="216">
        <f t="shared" si="17"/>
        <v>1.0175328741390106</v>
      </c>
      <c r="N87" s="205">
        <v>353.29055999999844</v>
      </c>
      <c r="O87" s="290">
        <v>0.3</v>
      </c>
      <c r="P87" s="206">
        <v>7.8271759549154649E-3</v>
      </c>
      <c r="Q87" s="281">
        <v>157.71899999999999</v>
      </c>
      <c r="R87" s="290">
        <v>0.37199999999999706</v>
      </c>
      <c r="S87" s="206">
        <v>9.7056981840951007E-3</v>
      </c>
      <c r="T87" s="204" t="s">
        <v>405</v>
      </c>
      <c r="U87" s="204" t="s">
        <v>225</v>
      </c>
      <c r="V87" s="204"/>
      <c r="W87" s="211">
        <v>1</v>
      </c>
      <c r="X87" s="204" t="s">
        <v>517</v>
      </c>
    </row>
    <row r="88" spans="2:24">
      <c r="B88" s="659"/>
      <c r="C88" s="659"/>
      <c r="D88" s="239">
        <v>2</v>
      </c>
      <c r="E88" s="204" t="s">
        <v>569</v>
      </c>
      <c r="F88" s="205">
        <v>186.67326000000392</v>
      </c>
      <c r="G88" s="290">
        <v>71.805999999999997</v>
      </c>
      <c r="H88" s="290">
        <v>72.400000000000006</v>
      </c>
      <c r="I88" s="216">
        <f t="shared" si="15"/>
        <v>1.0082722892237419</v>
      </c>
      <c r="J88" s="290">
        <v>0</v>
      </c>
      <c r="K88" s="216">
        <f t="shared" si="16"/>
        <v>0</v>
      </c>
      <c r="L88" s="205">
        <v>473.79</v>
      </c>
      <c r="M88" s="216">
        <f t="shared" si="17"/>
        <v>1.0082722892237419</v>
      </c>
      <c r="N88" s="205">
        <v>281.43126000000393</v>
      </c>
      <c r="O88" s="290">
        <v>0.2</v>
      </c>
      <c r="P88" s="206">
        <v>2.785282566916414E-3</v>
      </c>
      <c r="Q88" s="281">
        <v>94.75800000000001</v>
      </c>
      <c r="R88" s="290">
        <v>0.39400000000000829</v>
      </c>
      <c r="S88" s="206">
        <v>5.4870066568254508E-3</v>
      </c>
      <c r="T88" s="204" t="s">
        <v>405</v>
      </c>
      <c r="U88" s="204" t="s">
        <v>225</v>
      </c>
      <c r="V88" s="204"/>
      <c r="W88" s="211">
        <v>1</v>
      </c>
      <c r="X88" s="204" t="s">
        <v>423</v>
      </c>
    </row>
    <row r="89" spans="2:24">
      <c r="B89" s="659"/>
      <c r="C89" s="659"/>
      <c r="D89" s="239">
        <v>3</v>
      </c>
      <c r="E89" s="204" t="s">
        <v>416</v>
      </c>
      <c r="F89" s="205">
        <v>175.90008000000032</v>
      </c>
      <c r="G89" s="290">
        <v>14.568</v>
      </c>
      <c r="H89" s="290">
        <v>15</v>
      </c>
      <c r="I89" s="216">
        <f t="shared" si="15"/>
        <v>1.029654036243822</v>
      </c>
      <c r="J89" s="290">
        <v>0</v>
      </c>
      <c r="K89" s="216">
        <f t="shared" si="16"/>
        <v>0</v>
      </c>
      <c r="L89" s="205">
        <v>758.19</v>
      </c>
      <c r="M89" s="216">
        <f t="shared" si="17"/>
        <v>1.029654036243822</v>
      </c>
      <c r="N89" s="205">
        <v>327.53808000000032</v>
      </c>
      <c r="O89" s="290">
        <v>0.2</v>
      </c>
      <c r="P89" s="206">
        <v>1.3728720483250962E-2</v>
      </c>
      <c r="Q89" s="281">
        <v>151.63800000000001</v>
      </c>
      <c r="R89" s="290">
        <v>0.23200000000000037</v>
      </c>
      <c r="S89" s="206">
        <v>1.592531576057114E-2</v>
      </c>
      <c r="T89" s="204" t="s">
        <v>405</v>
      </c>
      <c r="U89" s="204" t="s">
        <v>225</v>
      </c>
      <c r="V89" s="204"/>
      <c r="W89" s="211">
        <v>1</v>
      </c>
      <c r="X89" s="204" t="s">
        <v>417</v>
      </c>
    </row>
    <row r="90" spans="2:24">
      <c r="B90" s="659"/>
      <c r="C90" s="659"/>
      <c r="D90" s="239">
        <v>4</v>
      </c>
      <c r="E90" s="204" t="s">
        <v>582</v>
      </c>
      <c r="F90" s="205">
        <v>172.95999999999975</v>
      </c>
      <c r="G90" s="290">
        <v>3.9060000000000001</v>
      </c>
      <c r="H90" s="290">
        <v>4</v>
      </c>
      <c r="I90" s="216">
        <f t="shared" si="15"/>
        <v>1.0240655401945724</v>
      </c>
      <c r="J90" s="290">
        <v>0</v>
      </c>
      <c r="K90" s="216">
        <f t="shared" si="16"/>
        <v>0</v>
      </c>
      <c r="L90" s="205">
        <v>1840</v>
      </c>
      <c r="M90" s="216">
        <f t="shared" si="17"/>
        <v>1.0240655401945724</v>
      </c>
      <c r="N90" s="205">
        <v>172.95999999999975</v>
      </c>
      <c r="O90" s="290">
        <v>0</v>
      </c>
      <c r="P90" s="206">
        <v>0</v>
      </c>
      <c r="Q90" s="281">
        <v>0</v>
      </c>
      <c r="R90" s="290">
        <v>9.3999999999999861E-2</v>
      </c>
      <c r="S90" s="206">
        <v>2.4065540194572417E-2</v>
      </c>
      <c r="T90" s="204" t="s">
        <v>405</v>
      </c>
      <c r="U90" s="204" t="s">
        <v>225</v>
      </c>
      <c r="V90" s="204"/>
      <c r="W90" s="211">
        <v>1</v>
      </c>
      <c r="X90" s="204" t="s">
        <v>583</v>
      </c>
    </row>
    <row r="91" spans="2:24">
      <c r="B91" s="659"/>
      <c r="C91" s="659"/>
      <c r="D91" s="239">
        <v>5</v>
      </c>
      <c r="E91" s="204" t="s">
        <v>594</v>
      </c>
      <c r="F91" s="205">
        <v>167.24499999999952</v>
      </c>
      <c r="G91" s="290">
        <v>42.692</v>
      </c>
      <c r="H91" s="290">
        <v>43.591999999999999</v>
      </c>
      <c r="I91" s="216">
        <f t="shared" si="15"/>
        <v>1.0210812330178956</v>
      </c>
      <c r="J91" s="290">
        <v>0</v>
      </c>
      <c r="K91" s="216">
        <f t="shared" si="16"/>
        <v>0</v>
      </c>
      <c r="L91" s="205">
        <v>334.49</v>
      </c>
      <c r="M91" s="216">
        <f t="shared" si="17"/>
        <v>1.0210812330178956</v>
      </c>
      <c r="N91" s="205">
        <v>301.04099999999954</v>
      </c>
      <c r="O91" s="290">
        <v>0.4</v>
      </c>
      <c r="P91" s="206">
        <v>9.3694368968424997E-3</v>
      </c>
      <c r="Q91" s="281">
        <v>133.79600000000002</v>
      </c>
      <c r="R91" s="290">
        <v>0.49999999999999856</v>
      </c>
      <c r="S91" s="206">
        <v>1.1711796121053091E-2</v>
      </c>
      <c r="T91" s="204" t="s">
        <v>402</v>
      </c>
      <c r="U91" s="204" t="s">
        <v>224</v>
      </c>
      <c r="V91" s="204"/>
      <c r="W91" s="211">
        <v>1</v>
      </c>
      <c r="X91" s="204" t="s">
        <v>478</v>
      </c>
    </row>
    <row r="92" spans="2:24">
      <c r="B92" s="659"/>
      <c r="C92" s="659"/>
      <c r="D92" s="239">
        <v>6</v>
      </c>
      <c r="E92" s="204" t="s">
        <v>558</v>
      </c>
      <c r="F92" s="205">
        <v>153.77051999999998</v>
      </c>
      <c r="G92" s="290">
        <v>35.963999999999999</v>
      </c>
      <c r="H92" s="290">
        <v>36.4</v>
      </c>
      <c r="I92" s="216">
        <f t="shared" si="15"/>
        <v>1.0121232343454565</v>
      </c>
      <c r="J92" s="290">
        <v>0</v>
      </c>
      <c r="K92" s="216">
        <f t="shared" si="16"/>
        <v>0</v>
      </c>
      <c r="L92" s="205">
        <v>651.57000000000005</v>
      </c>
      <c r="M92" s="216">
        <f t="shared" si="17"/>
        <v>1.0121232343454565</v>
      </c>
      <c r="N92" s="205">
        <v>284.08452</v>
      </c>
      <c r="O92" s="290">
        <v>0.2</v>
      </c>
      <c r="P92" s="206">
        <v>5.5611166722277835E-3</v>
      </c>
      <c r="Q92" s="281">
        <v>130.31400000000002</v>
      </c>
      <c r="R92" s="290">
        <v>0.23599999999999993</v>
      </c>
      <c r="S92" s="206">
        <v>6.5621176732287827E-3</v>
      </c>
      <c r="T92" s="204" t="s">
        <v>402</v>
      </c>
      <c r="U92" s="204" t="s">
        <v>224</v>
      </c>
      <c r="V92" s="204"/>
      <c r="W92" s="211">
        <v>1</v>
      </c>
      <c r="X92" s="204" t="s">
        <v>559</v>
      </c>
    </row>
    <row r="93" spans="2:24">
      <c r="B93" s="659"/>
      <c r="C93" s="659"/>
      <c r="D93" s="239">
        <v>7</v>
      </c>
      <c r="E93" s="204" t="s">
        <v>411</v>
      </c>
      <c r="F93" s="205">
        <v>150.11960000000019</v>
      </c>
      <c r="G93" s="290">
        <v>31.327999999999999</v>
      </c>
      <c r="H93" s="290">
        <v>32.5</v>
      </c>
      <c r="I93" s="216">
        <f t="shared" si="15"/>
        <v>1.0374106230847804</v>
      </c>
      <c r="J93" s="290">
        <v>0</v>
      </c>
      <c r="K93" s="216">
        <f t="shared" si="16"/>
        <v>0</v>
      </c>
      <c r="L93" s="205">
        <v>318.05</v>
      </c>
      <c r="M93" s="216">
        <f t="shared" si="17"/>
        <v>1.0374106230847804</v>
      </c>
      <c r="N93" s="205">
        <v>372.75460000000021</v>
      </c>
      <c r="O93" s="290">
        <v>0.70000000000000007</v>
      </c>
      <c r="P93" s="206">
        <v>2.2344228804902964E-2</v>
      </c>
      <c r="Q93" s="281">
        <v>222.63500000000002</v>
      </c>
      <c r="R93" s="290">
        <v>0.47200000000000053</v>
      </c>
      <c r="S93" s="206">
        <v>1.5066394279877443E-2</v>
      </c>
      <c r="T93" s="204" t="s">
        <v>405</v>
      </c>
      <c r="U93" s="204" t="s">
        <v>225</v>
      </c>
      <c r="V93" s="204"/>
      <c r="W93" s="211">
        <v>1</v>
      </c>
      <c r="X93" s="204" t="s">
        <v>413</v>
      </c>
    </row>
    <row r="94" spans="2:24">
      <c r="B94" s="659"/>
      <c r="C94" s="659"/>
      <c r="D94" s="239">
        <v>8</v>
      </c>
      <c r="E94" s="204" t="s">
        <v>407</v>
      </c>
      <c r="F94" s="205">
        <v>132.21599999999859</v>
      </c>
      <c r="G94" s="290">
        <v>63.457000000000001</v>
      </c>
      <c r="H94" s="290">
        <v>64.156999999999996</v>
      </c>
      <c r="I94" s="216">
        <f t="shared" si="15"/>
        <v>1.011031091920513</v>
      </c>
      <c r="J94" s="290">
        <v>0</v>
      </c>
      <c r="K94" s="216">
        <f t="shared" si="16"/>
        <v>0</v>
      </c>
      <c r="L94" s="205">
        <v>330.54</v>
      </c>
      <c r="M94" s="216">
        <f t="shared" si="17"/>
        <v>1.011031091920513</v>
      </c>
      <c r="N94" s="205">
        <v>231.37799999999859</v>
      </c>
      <c r="O94" s="290">
        <v>0.3</v>
      </c>
      <c r="P94" s="206">
        <v>4.7276108230770442E-3</v>
      </c>
      <c r="Q94" s="281">
        <v>99.162000000000006</v>
      </c>
      <c r="R94" s="290">
        <v>0.39999999999999575</v>
      </c>
      <c r="S94" s="206">
        <v>6.3034810974359921E-3</v>
      </c>
      <c r="T94" s="204" t="s">
        <v>405</v>
      </c>
      <c r="U94" s="204" t="s">
        <v>225</v>
      </c>
      <c r="V94" s="204"/>
      <c r="W94" s="211">
        <v>1</v>
      </c>
      <c r="X94" s="204" t="s">
        <v>408</v>
      </c>
    </row>
    <row r="95" spans="2:24">
      <c r="B95" s="659"/>
      <c r="C95" s="659"/>
      <c r="D95" s="239">
        <v>9</v>
      </c>
      <c r="E95" s="204" t="s">
        <v>528</v>
      </c>
      <c r="F95" s="205">
        <v>130.30229999999733</v>
      </c>
      <c r="G95" s="290">
        <v>72.59</v>
      </c>
      <c r="H95" s="290">
        <v>73.3</v>
      </c>
      <c r="I95" s="216">
        <f t="shared" si="15"/>
        <v>1.0097809615649538</v>
      </c>
      <c r="J95" s="290">
        <v>0</v>
      </c>
      <c r="K95" s="216">
        <f t="shared" si="16"/>
        <v>0</v>
      </c>
      <c r="L95" s="205">
        <v>420.33</v>
      </c>
      <c r="M95" s="216">
        <f t="shared" si="17"/>
        <v>1.0097809615649538</v>
      </c>
      <c r="N95" s="205">
        <v>298.43429999999734</v>
      </c>
      <c r="O95" s="290">
        <v>0.4</v>
      </c>
      <c r="P95" s="206">
        <v>5.5104008816641414E-3</v>
      </c>
      <c r="Q95" s="281">
        <v>168.13200000000001</v>
      </c>
      <c r="R95" s="290">
        <v>0.30999999999999373</v>
      </c>
      <c r="S95" s="206">
        <v>4.2705606832896224E-3</v>
      </c>
      <c r="T95" s="204" t="s">
        <v>402</v>
      </c>
      <c r="U95" s="204" t="s">
        <v>224</v>
      </c>
      <c r="V95" s="204"/>
      <c r="W95" s="211">
        <v>1</v>
      </c>
      <c r="X95" s="204" t="s">
        <v>487</v>
      </c>
    </row>
    <row r="96" spans="2:24">
      <c r="B96" s="659"/>
      <c r="C96" s="659"/>
      <c r="D96" s="239">
        <v>10</v>
      </c>
      <c r="E96" s="204" t="s">
        <v>577</v>
      </c>
      <c r="F96" s="205">
        <v>128.64000000000004</v>
      </c>
      <c r="G96" s="290">
        <v>3.09</v>
      </c>
      <c r="H96" s="290">
        <v>3.69</v>
      </c>
      <c r="I96" s="216">
        <f t="shared" si="15"/>
        <v>1.1941747572815535</v>
      </c>
      <c r="J96" s="290">
        <v>0</v>
      </c>
      <c r="K96" s="216">
        <f t="shared" si="16"/>
        <v>0</v>
      </c>
      <c r="L96" s="205">
        <v>428.8</v>
      </c>
      <c r="M96" s="216">
        <f t="shared" si="17"/>
        <v>1.1941747572815535</v>
      </c>
      <c r="N96" s="205">
        <v>257.28000000000003</v>
      </c>
      <c r="O96" s="290">
        <v>0.3</v>
      </c>
      <c r="P96" s="206">
        <v>9.7087378640776698E-2</v>
      </c>
      <c r="Q96" s="281">
        <v>128.63999999999999</v>
      </c>
      <c r="R96" s="290">
        <v>0.3000000000000001</v>
      </c>
      <c r="S96" s="206">
        <v>9.7087378640776739E-2</v>
      </c>
      <c r="T96" s="204" t="s">
        <v>419</v>
      </c>
      <c r="U96" s="204" t="s">
        <v>420</v>
      </c>
      <c r="V96" s="204"/>
      <c r="W96" s="211">
        <v>1</v>
      </c>
      <c r="X96" s="204" t="s">
        <v>438</v>
      </c>
    </row>
    <row r="97" spans="2:24">
      <c r="B97" s="661">
        <v>45879</v>
      </c>
      <c r="C97" s="659" t="s">
        <v>267</v>
      </c>
      <c r="D97" s="239">
        <v>1</v>
      </c>
      <c r="E97" s="204" t="s">
        <v>525</v>
      </c>
      <c r="F97" s="205">
        <v>274.45619999999928</v>
      </c>
      <c r="G97" s="290">
        <v>10.505000000000001</v>
      </c>
      <c r="H97" s="290">
        <v>11</v>
      </c>
      <c r="I97" s="216">
        <f t="shared" si="15"/>
        <v>1.0471204188481675</v>
      </c>
      <c r="J97" s="290">
        <v>0</v>
      </c>
      <c r="K97" s="216">
        <f t="shared" si="16"/>
        <v>0</v>
      </c>
      <c r="L97" s="205">
        <v>930.36</v>
      </c>
      <c r="M97" s="216">
        <f t="shared" si="17"/>
        <v>1.0471204188481675</v>
      </c>
      <c r="N97" s="205">
        <v>460.52819999999929</v>
      </c>
      <c r="O97" s="290">
        <v>0.2</v>
      </c>
      <c r="P97" s="206">
        <v>1.9038553069966681E-2</v>
      </c>
      <c r="Q97" s="281">
        <v>186.072</v>
      </c>
      <c r="R97" s="290">
        <v>0.29499999999999921</v>
      </c>
      <c r="S97" s="206">
        <v>2.8081865778200779E-2</v>
      </c>
      <c r="T97" s="204" t="s">
        <v>405</v>
      </c>
      <c r="U97" s="204" t="s">
        <v>225</v>
      </c>
      <c r="V97" s="204"/>
      <c r="W97" s="211">
        <v>1</v>
      </c>
      <c r="X97" s="204" t="s">
        <v>474</v>
      </c>
    </row>
    <row r="98" spans="2:24">
      <c r="B98" s="659"/>
      <c r="C98" s="659"/>
      <c r="D98" s="239">
        <v>2</v>
      </c>
      <c r="E98" s="204" t="s">
        <v>564</v>
      </c>
      <c r="F98" s="205">
        <v>231.71000000000024</v>
      </c>
      <c r="G98" s="290">
        <v>1.9200999999999999</v>
      </c>
      <c r="H98" s="290">
        <v>2</v>
      </c>
      <c r="I98" s="216">
        <f t="shared" si="15"/>
        <v>1.0416124160199991</v>
      </c>
      <c r="J98" s="290">
        <v>0</v>
      </c>
      <c r="K98" s="216">
        <f t="shared" si="16"/>
        <v>0</v>
      </c>
      <c r="L98" s="205">
        <v>2900</v>
      </c>
      <c r="M98" s="216">
        <f t="shared" si="17"/>
        <v>1.0416124160199991</v>
      </c>
      <c r="N98" s="205">
        <v>231.71000000000024</v>
      </c>
      <c r="O98" s="290">
        <v>0</v>
      </c>
      <c r="P98" s="206">
        <v>0</v>
      </c>
      <c r="Q98" s="281">
        <v>0</v>
      </c>
      <c r="R98" s="290">
        <v>7.9900000000000082E-2</v>
      </c>
      <c r="S98" s="206">
        <v>4.1612416019999002E-2</v>
      </c>
      <c r="T98" s="204" t="s">
        <v>405</v>
      </c>
      <c r="U98" s="204" t="s">
        <v>225</v>
      </c>
      <c r="V98" s="204"/>
      <c r="W98" s="211">
        <v>1</v>
      </c>
      <c r="X98" s="204" t="s">
        <v>559</v>
      </c>
    </row>
    <row r="99" spans="2:24">
      <c r="B99" s="659"/>
      <c r="C99" s="659"/>
      <c r="D99" s="239">
        <v>3</v>
      </c>
      <c r="E99" s="204" t="s">
        <v>528</v>
      </c>
      <c r="F99" s="205">
        <v>193.35180000000094</v>
      </c>
      <c r="G99" s="290">
        <v>90.44</v>
      </c>
      <c r="H99" s="290">
        <v>90.6</v>
      </c>
      <c r="I99" s="216">
        <f t="shared" si="15"/>
        <v>1.0017691287041133</v>
      </c>
      <c r="J99" s="290">
        <v>0.4</v>
      </c>
      <c r="K99" s="216">
        <f t="shared" si="16"/>
        <v>4.4228217602830609E-3</v>
      </c>
      <c r="L99" s="205">
        <v>420.33</v>
      </c>
      <c r="M99" s="216">
        <f t="shared" si="17"/>
        <v>1.0061919504643964</v>
      </c>
      <c r="N99" s="205">
        <v>235.38480000000095</v>
      </c>
      <c r="O99" s="290">
        <v>0.1</v>
      </c>
      <c r="P99" s="206">
        <v>1.1057054400707652E-3</v>
      </c>
      <c r="Q99" s="281">
        <v>42.033000000000001</v>
      </c>
      <c r="R99" s="290">
        <v>0.4600000000000023</v>
      </c>
      <c r="S99" s="206">
        <v>5.0862450243255456E-3</v>
      </c>
      <c r="T99" s="204" t="s">
        <v>402</v>
      </c>
      <c r="U99" s="204" t="s">
        <v>224</v>
      </c>
      <c r="V99" s="204"/>
      <c r="W99" s="211">
        <v>1</v>
      </c>
      <c r="X99" s="204" t="s">
        <v>487</v>
      </c>
    </row>
    <row r="100" spans="2:24">
      <c r="B100" s="659"/>
      <c r="C100" s="659"/>
      <c r="D100" s="239">
        <v>4</v>
      </c>
      <c r="E100" s="204" t="s">
        <v>569</v>
      </c>
      <c r="F100" s="205">
        <v>189.51600000000138</v>
      </c>
      <c r="G100" s="290">
        <v>62.168999999999997</v>
      </c>
      <c r="H100" s="290">
        <v>62.869</v>
      </c>
      <c r="I100" s="216">
        <f t="shared" si="15"/>
        <v>1.0112596310058068</v>
      </c>
      <c r="J100" s="290">
        <v>0</v>
      </c>
      <c r="K100" s="216">
        <f t="shared" si="16"/>
        <v>0</v>
      </c>
      <c r="L100" s="205">
        <v>473.79</v>
      </c>
      <c r="M100" s="216">
        <f t="shared" si="17"/>
        <v>1.0112596310058068</v>
      </c>
      <c r="N100" s="205">
        <v>331.65300000000138</v>
      </c>
      <c r="O100" s="290">
        <v>0.3</v>
      </c>
      <c r="P100" s="206">
        <v>4.825556145345751E-3</v>
      </c>
      <c r="Q100" s="281">
        <v>142.137</v>
      </c>
      <c r="R100" s="290">
        <v>0.40000000000000285</v>
      </c>
      <c r="S100" s="206">
        <v>6.4340748604610476E-3</v>
      </c>
      <c r="T100" s="204" t="s">
        <v>402</v>
      </c>
      <c r="U100" s="204" t="s">
        <v>224</v>
      </c>
      <c r="V100" s="204"/>
      <c r="W100" s="211">
        <v>1</v>
      </c>
      <c r="X100" s="204" t="s">
        <v>423</v>
      </c>
    </row>
    <row r="101" spans="2:24">
      <c r="B101" s="659"/>
      <c r="C101" s="659"/>
      <c r="D101" s="239">
        <v>5</v>
      </c>
      <c r="E101" s="204" t="s">
        <v>433</v>
      </c>
      <c r="F101" s="205">
        <v>174.57600000000122</v>
      </c>
      <c r="G101" s="290">
        <v>24.206</v>
      </c>
      <c r="H101" s="290">
        <v>24.006</v>
      </c>
      <c r="I101" s="216">
        <f t="shared" si="15"/>
        <v>0.99173758572254811</v>
      </c>
      <c r="J101" s="290">
        <v>0.6</v>
      </c>
      <c r="K101" s="216">
        <f t="shared" si="16"/>
        <v>2.4787242832355613E-2</v>
      </c>
      <c r="L101" s="205">
        <v>581.91999999999996</v>
      </c>
      <c r="M101" s="216">
        <f t="shared" si="17"/>
        <v>1.0165248285549038</v>
      </c>
      <c r="N101" s="205">
        <v>232.76800000000122</v>
      </c>
      <c r="O101" s="290">
        <v>0.1</v>
      </c>
      <c r="P101" s="206">
        <v>4.1312071387259357E-3</v>
      </c>
      <c r="Q101" s="281">
        <v>58.192</v>
      </c>
      <c r="R101" s="290">
        <v>0.30000000000000215</v>
      </c>
      <c r="S101" s="206">
        <v>1.2393621416177896E-2</v>
      </c>
      <c r="T101" s="204" t="s">
        <v>402</v>
      </c>
      <c r="U101" s="204" t="s">
        <v>224</v>
      </c>
      <c r="V101" s="204"/>
      <c r="W101" s="211">
        <v>1</v>
      </c>
      <c r="X101" s="204" t="s">
        <v>434</v>
      </c>
    </row>
    <row r="102" spans="2:24">
      <c r="B102" s="659"/>
      <c r="C102" s="659"/>
      <c r="D102" s="239">
        <v>6</v>
      </c>
      <c r="E102" s="204" t="s">
        <v>545</v>
      </c>
      <c r="F102" s="205">
        <v>159.82191999999958</v>
      </c>
      <c r="G102" s="290">
        <v>34.295999999999999</v>
      </c>
      <c r="H102" s="290">
        <v>34.9</v>
      </c>
      <c r="I102" s="216">
        <f t="shared" si="15"/>
        <v>1.0176113832516911</v>
      </c>
      <c r="J102" s="290">
        <v>0</v>
      </c>
      <c r="K102" s="216">
        <f t="shared" si="16"/>
        <v>0</v>
      </c>
      <c r="L102" s="205">
        <v>525.73</v>
      </c>
      <c r="M102" s="216">
        <f t="shared" si="17"/>
        <v>1.0176113832516911</v>
      </c>
      <c r="N102" s="205">
        <v>317.54091999999957</v>
      </c>
      <c r="O102" s="290">
        <v>0.3</v>
      </c>
      <c r="P102" s="206">
        <v>8.74737578726382E-3</v>
      </c>
      <c r="Q102" s="281">
        <v>157.71899999999999</v>
      </c>
      <c r="R102" s="290">
        <v>0.30399999999999922</v>
      </c>
      <c r="S102" s="206">
        <v>8.8640074644273162E-3</v>
      </c>
      <c r="T102" s="204" t="s">
        <v>405</v>
      </c>
      <c r="U102" s="204" t="s">
        <v>225</v>
      </c>
      <c r="V102" s="204"/>
      <c r="W102" s="211">
        <v>1</v>
      </c>
      <c r="X102" s="204" t="s">
        <v>517</v>
      </c>
    </row>
    <row r="103" spans="2:24">
      <c r="B103" s="659"/>
      <c r="C103" s="659"/>
      <c r="D103" s="239">
        <v>7</v>
      </c>
      <c r="E103" s="204" t="s">
        <v>416</v>
      </c>
      <c r="F103" s="205">
        <v>157.70351999999991</v>
      </c>
      <c r="G103" s="290">
        <v>18.192</v>
      </c>
      <c r="H103" s="290">
        <v>18.5</v>
      </c>
      <c r="I103" s="216">
        <f t="shared" si="15"/>
        <v>1.0169305189094107</v>
      </c>
      <c r="J103" s="290">
        <v>0</v>
      </c>
      <c r="K103" s="216">
        <f t="shared" si="16"/>
        <v>0</v>
      </c>
      <c r="L103" s="205">
        <v>758.19</v>
      </c>
      <c r="M103" s="216">
        <f t="shared" si="17"/>
        <v>1.0169305189094107</v>
      </c>
      <c r="N103" s="205">
        <v>233.5225199999999</v>
      </c>
      <c r="O103" s="290">
        <v>0.1</v>
      </c>
      <c r="P103" s="206">
        <v>5.4969217238346529E-3</v>
      </c>
      <c r="Q103" s="281">
        <v>75.819000000000003</v>
      </c>
      <c r="R103" s="290">
        <v>0.20799999999999982</v>
      </c>
      <c r="S103" s="206">
        <v>1.1433597185576067E-2</v>
      </c>
      <c r="T103" s="204" t="s">
        <v>405</v>
      </c>
      <c r="U103" s="204" t="s">
        <v>225</v>
      </c>
      <c r="V103" s="204"/>
      <c r="W103" s="211">
        <v>1</v>
      </c>
      <c r="X103" s="204" t="s">
        <v>417</v>
      </c>
    </row>
    <row r="104" spans="2:24">
      <c r="B104" s="659"/>
      <c r="C104" s="659"/>
      <c r="D104" s="239">
        <v>8</v>
      </c>
      <c r="E104" s="204" t="s">
        <v>430</v>
      </c>
      <c r="F104" s="205">
        <v>148.45199999999892</v>
      </c>
      <c r="G104" s="290">
        <v>56.405999999999999</v>
      </c>
      <c r="H104" s="290">
        <v>57.205999999999996</v>
      </c>
      <c r="I104" s="216">
        <f t="shared" si="15"/>
        <v>1.0141828883452115</v>
      </c>
      <c r="J104" s="290">
        <v>0</v>
      </c>
      <c r="K104" s="216">
        <f t="shared" si="16"/>
        <v>0</v>
      </c>
      <c r="L104" s="205">
        <v>371.13</v>
      </c>
      <c r="M104" s="216">
        <f t="shared" si="17"/>
        <v>1.0141828883452115</v>
      </c>
      <c r="N104" s="205">
        <v>296.90399999999892</v>
      </c>
      <c r="O104" s="290">
        <v>0.4</v>
      </c>
      <c r="P104" s="206">
        <v>7.0914441726057514E-3</v>
      </c>
      <c r="Q104" s="281">
        <v>148.452</v>
      </c>
      <c r="R104" s="290">
        <v>0.39999999999999714</v>
      </c>
      <c r="S104" s="206">
        <v>7.0914441726057003E-3</v>
      </c>
      <c r="T104" s="204" t="s">
        <v>402</v>
      </c>
      <c r="U104" s="204" t="s">
        <v>224</v>
      </c>
      <c r="V104" s="204"/>
      <c r="W104" s="211">
        <v>1</v>
      </c>
      <c r="X104" s="204" t="s">
        <v>494</v>
      </c>
    </row>
    <row r="105" spans="2:24">
      <c r="B105" s="659"/>
      <c r="C105" s="659"/>
      <c r="D105" s="239">
        <v>9</v>
      </c>
      <c r="E105" s="204" t="s">
        <v>540</v>
      </c>
      <c r="F105" s="205">
        <v>143.76799999999974</v>
      </c>
      <c r="G105" s="290">
        <v>42</v>
      </c>
      <c r="H105" s="290">
        <v>43.4</v>
      </c>
      <c r="I105" s="216">
        <f t="shared" si="15"/>
        <v>1.0333333333333332</v>
      </c>
      <c r="J105" s="290">
        <v>0</v>
      </c>
      <c r="K105" s="216">
        <f t="shared" si="16"/>
        <v>0</v>
      </c>
      <c r="L105" s="205">
        <v>179.71</v>
      </c>
      <c r="M105" s="216">
        <f t="shared" si="17"/>
        <v>1.0333333333333332</v>
      </c>
      <c r="N105" s="205">
        <v>251.59399999999977</v>
      </c>
      <c r="O105" s="290">
        <v>0.60000000000000009</v>
      </c>
      <c r="P105" s="206">
        <v>1.4285714285714287E-2</v>
      </c>
      <c r="Q105" s="281">
        <v>107.82600000000002</v>
      </c>
      <c r="R105" s="290">
        <v>0.79999999999999849</v>
      </c>
      <c r="S105" s="206">
        <v>1.9047619047619011E-2</v>
      </c>
      <c r="T105" s="204" t="s">
        <v>402</v>
      </c>
      <c r="U105" s="204" t="s">
        <v>224</v>
      </c>
      <c r="V105" s="204"/>
      <c r="W105" s="211">
        <v>1</v>
      </c>
      <c r="X105" s="204" t="s">
        <v>442</v>
      </c>
    </row>
    <row r="106" spans="2:24">
      <c r="B106" s="659"/>
      <c r="C106" s="659"/>
      <c r="D106" s="239">
        <v>10</v>
      </c>
      <c r="E106" s="204" t="s">
        <v>432</v>
      </c>
      <c r="F106" s="205">
        <v>132.60329999999948</v>
      </c>
      <c r="G106" s="290">
        <v>6.8490000000000002</v>
      </c>
      <c r="H106" s="290">
        <v>7.1999999999999993</v>
      </c>
      <c r="I106" s="216">
        <f t="shared" si="15"/>
        <v>1.0512483574244413</v>
      </c>
      <c r="J106" s="290">
        <v>0</v>
      </c>
      <c r="K106" s="216">
        <f t="shared" si="16"/>
        <v>0</v>
      </c>
      <c r="L106" s="205">
        <v>528.29999999999995</v>
      </c>
      <c r="M106" s="216">
        <f t="shared" si="17"/>
        <v>1.0512483574244413</v>
      </c>
      <c r="N106" s="205">
        <v>185.43329999999949</v>
      </c>
      <c r="O106" s="290">
        <v>0.1</v>
      </c>
      <c r="P106" s="206">
        <v>1.4600671630895021E-2</v>
      </c>
      <c r="Q106" s="281">
        <v>52.83</v>
      </c>
      <c r="R106" s="290">
        <v>0.25099999999999911</v>
      </c>
      <c r="S106" s="206">
        <v>3.6647685793546374E-2</v>
      </c>
      <c r="T106" s="204" t="s">
        <v>405</v>
      </c>
      <c r="U106" s="204" t="s">
        <v>225</v>
      </c>
      <c r="V106" s="204"/>
      <c r="W106" s="211">
        <v>1</v>
      </c>
      <c r="X106" s="204" t="s">
        <v>423</v>
      </c>
    </row>
    <row r="107" spans="2:24">
      <c r="B107" s="661">
        <v>45880</v>
      </c>
      <c r="C107" s="659" t="s">
        <v>285</v>
      </c>
      <c r="D107" s="239">
        <v>1</v>
      </c>
      <c r="E107" s="204" t="s">
        <v>525</v>
      </c>
      <c r="F107" s="205">
        <v>265.15259999999978</v>
      </c>
      <c r="G107" s="290">
        <v>10.615</v>
      </c>
      <c r="H107" s="290">
        <v>11</v>
      </c>
      <c r="I107" s="216">
        <f t="shared" si="15"/>
        <v>1.0362694300518134</v>
      </c>
      <c r="J107" s="290">
        <v>0</v>
      </c>
      <c r="K107" s="216">
        <f t="shared" si="16"/>
        <v>0</v>
      </c>
      <c r="L107" s="205">
        <v>930.36</v>
      </c>
      <c r="M107" s="216">
        <f t="shared" si="17"/>
        <v>1.0362694300518134</v>
      </c>
      <c r="N107" s="205">
        <v>358.18859999999978</v>
      </c>
      <c r="O107" s="290">
        <v>0.1</v>
      </c>
      <c r="P107" s="206">
        <v>9.4206311822892137E-3</v>
      </c>
      <c r="Q107" s="281">
        <v>93.036000000000001</v>
      </c>
      <c r="R107" s="290">
        <v>0.28499999999999981</v>
      </c>
      <c r="S107" s="206">
        <v>2.6848798869524241E-2</v>
      </c>
      <c r="T107" s="204" t="s">
        <v>405</v>
      </c>
      <c r="U107" s="204" t="s">
        <v>225</v>
      </c>
      <c r="V107" s="204"/>
      <c r="W107" s="211">
        <v>1</v>
      </c>
      <c r="X107" s="204" t="s">
        <v>474</v>
      </c>
    </row>
    <row r="108" spans="2:24">
      <c r="B108" s="659"/>
      <c r="C108" s="659"/>
      <c r="D108" s="239">
        <v>2</v>
      </c>
      <c r="E108" s="204" t="s">
        <v>432</v>
      </c>
      <c r="F108" s="205">
        <v>195.99929999999986</v>
      </c>
      <c r="G108" s="290">
        <v>6.6289999999999996</v>
      </c>
      <c r="H108" s="290">
        <v>7.1999999999999993</v>
      </c>
      <c r="I108" s="216">
        <f t="shared" si="15"/>
        <v>1.0861366721979182</v>
      </c>
      <c r="J108" s="290">
        <v>0</v>
      </c>
      <c r="K108" s="216">
        <f t="shared" si="16"/>
        <v>0</v>
      </c>
      <c r="L108" s="205">
        <v>528.29999999999995</v>
      </c>
      <c r="M108" s="216">
        <f t="shared" si="17"/>
        <v>1.0861366721979182</v>
      </c>
      <c r="N108" s="205">
        <v>301.65929999999986</v>
      </c>
      <c r="O108" s="290">
        <v>0.2</v>
      </c>
      <c r="P108" s="206">
        <v>3.0170463116608842E-2</v>
      </c>
      <c r="Q108" s="281">
        <v>105.66</v>
      </c>
      <c r="R108" s="290">
        <v>0.37099999999999972</v>
      </c>
      <c r="S108" s="206">
        <v>5.5966209081309358E-2</v>
      </c>
      <c r="T108" s="204" t="s">
        <v>405</v>
      </c>
      <c r="U108" s="204" t="s">
        <v>225</v>
      </c>
      <c r="V108" s="204"/>
      <c r="W108" s="211">
        <v>1</v>
      </c>
      <c r="X108" s="204" t="s">
        <v>423</v>
      </c>
    </row>
    <row r="109" spans="2:24">
      <c r="B109" s="659"/>
      <c r="C109" s="659"/>
      <c r="D109" s="239">
        <v>3</v>
      </c>
      <c r="E109" s="204" t="s">
        <v>533</v>
      </c>
      <c r="F109" s="205">
        <v>178.41000000000042</v>
      </c>
      <c r="G109" s="290">
        <v>35.704999999999998</v>
      </c>
      <c r="H109" s="290">
        <v>36.805</v>
      </c>
      <c r="I109" s="216">
        <f t="shared" si="15"/>
        <v>1.0308080100826216</v>
      </c>
      <c r="J109" s="290">
        <v>0</v>
      </c>
      <c r="K109" s="216">
        <f t="shared" si="16"/>
        <v>0</v>
      </c>
      <c r="L109" s="205">
        <v>297.35000000000002</v>
      </c>
      <c r="M109" s="216">
        <f t="shared" si="17"/>
        <v>1.0308080100826216</v>
      </c>
      <c r="N109" s="205">
        <v>327.08500000000043</v>
      </c>
      <c r="O109" s="290">
        <v>0.5</v>
      </c>
      <c r="P109" s="206">
        <v>1.4003640946646129E-2</v>
      </c>
      <c r="Q109" s="281">
        <v>148.67500000000001</v>
      </c>
      <c r="R109" s="290">
        <v>0.60000000000000142</v>
      </c>
      <c r="S109" s="206">
        <v>1.6804369135975394E-2</v>
      </c>
      <c r="T109" s="204" t="s">
        <v>405</v>
      </c>
      <c r="U109" s="204" t="s">
        <v>225</v>
      </c>
      <c r="V109" s="204"/>
      <c r="W109" s="211">
        <v>1</v>
      </c>
      <c r="X109" s="204" t="s">
        <v>474</v>
      </c>
    </row>
    <row r="110" spans="2:24">
      <c r="B110" s="659"/>
      <c r="C110" s="659"/>
      <c r="D110" s="239">
        <v>4</v>
      </c>
      <c r="E110" s="204" t="s">
        <v>569</v>
      </c>
      <c r="F110" s="205">
        <v>175.30230000000216</v>
      </c>
      <c r="G110" s="290">
        <v>62.33</v>
      </c>
      <c r="H110" s="290">
        <v>62.6</v>
      </c>
      <c r="I110" s="216">
        <f t="shared" si="15"/>
        <v>1.0043317824482594</v>
      </c>
      <c r="J110" s="290">
        <v>0.1</v>
      </c>
      <c r="K110" s="216">
        <f t="shared" si="16"/>
        <v>1.6043638697256538E-3</v>
      </c>
      <c r="L110" s="205">
        <v>473.79</v>
      </c>
      <c r="M110" s="216">
        <f t="shared" si="17"/>
        <v>1.005936146317985</v>
      </c>
      <c r="N110" s="205">
        <v>175.30230000000216</v>
      </c>
      <c r="O110" s="290">
        <v>0</v>
      </c>
      <c r="P110" s="206">
        <v>0</v>
      </c>
      <c r="Q110" s="281">
        <v>0</v>
      </c>
      <c r="R110" s="290">
        <v>0.37000000000000455</v>
      </c>
      <c r="S110" s="206">
        <v>5.9361463179849923E-3</v>
      </c>
      <c r="T110" s="204" t="s">
        <v>405</v>
      </c>
      <c r="U110" s="204" t="s">
        <v>225</v>
      </c>
      <c r="V110" s="204"/>
      <c r="W110" s="211">
        <v>1</v>
      </c>
      <c r="X110" s="204" t="s">
        <v>423</v>
      </c>
    </row>
    <row r="111" spans="2:24">
      <c r="B111" s="659"/>
      <c r="C111" s="659"/>
      <c r="D111" s="239">
        <v>5</v>
      </c>
      <c r="E111" s="204" t="s">
        <v>573</v>
      </c>
      <c r="F111" s="205">
        <v>161.51399999999845</v>
      </c>
      <c r="G111" s="290">
        <v>99.05</v>
      </c>
      <c r="H111" s="290">
        <v>100.14999999999999</v>
      </c>
      <c r="I111" s="216">
        <f t="shared" si="15"/>
        <v>1.01110550227158</v>
      </c>
      <c r="J111" s="290">
        <v>0</v>
      </c>
      <c r="K111" s="216">
        <f t="shared" si="16"/>
        <v>0</v>
      </c>
      <c r="L111" s="205">
        <v>269.19</v>
      </c>
      <c r="M111" s="216">
        <f t="shared" si="17"/>
        <v>1.01110550227158</v>
      </c>
      <c r="N111" s="205">
        <v>296.10899999999845</v>
      </c>
      <c r="O111" s="290">
        <v>0.5</v>
      </c>
      <c r="P111" s="206">
        <v>5.0479555779909136E-3</v>
      </c>
      <c r="Q111" s="281">
        <v>134.595</v>
      </c>
      <c r="R111" s="290">
        <v>0.59999999999999432</v>
      </c>
      <c r="S111" s="206">
        <v>6.0575466935890391E-3</v>
      </c>
      <c r="T111" s="204" t="s">
        <v>402</v>
      </c>
      <c r="U111" s="204" t="s">
        <v>224</v>
      </c>
      <c r="V111" s="204"/>
      <c r="W111" s="211">
        <v>1</v>
      </c>
      <c r="X111" s="204" t="s">
        <v>482</v>
      </c>
    </row>
    <row r="112" spans="2:24">
      <c r="B112" s="659"/>
      <c r="C112" s="659"/>
      <c r="D112" s="239">
        <v>6</v>
      </c>
      <c r="E112" s="204" t="s">
        <v>545</v>
      </c>
      <c r="F112" s="205">
        <v>157.71899999999999</v>
      </c>
      <c r="G112" s="290">
        <v>33.936</v>
      </c>
      <c r="H112" s="290">
        <v>34.436</v>
      </c>
      <c r="I112" s="216">
        <f t="shared" si="15"/>
        <v>1.0147336162187648</v>
      </c>
      <c r="J112" s="290">
        <v>0</v>
      </c>
      <c r="K112" s="216">
        <f t="shared" si="16"/>
        <v>0</v>
      </c>
      <c r="L112" s="205">
        <v>525.73</v>
      </c>
      <c r="M112" s="216">
        <f t="shared" si="17"/>
        <v>1.0147336162187648</v>
      </c>
      <c r="N112" s="205">
        <v>262.86500000000001</v>
      </c>
      <c r="O112" s="290">
        <v>0.2</v>
      </c>
      <c r="P112" s="206">
        <v>5.8934464875058934E-3</v>
      </c>
      <c r="Q112" s="281">
        <v>105.14600000000002</v>
      </c>
      <c r="R112" s="290">
        <v>0.3</v>
      </c>
      <c r="S112" s="206">
        <v>8.8401697312588401E-3</v>
      </c>
      <c r="T112" s="204" t="s">
        <v>405</v>
      </c>
      <c r="U112" s="204" t="s">
        <v>225</v>
      </c>
      <c r="V112" s="204"/>
      <c r="W112" s="211">
        <v>1</v>
      </c>
      <c r="X112" s="204" t="s">
        <v>517</v>
      </c>
    </row>
    <row r="113" spans="2:25">
      <c r="B113" s="659"/>
      <c r="C113" s="659"/>
      <c r="D113" s="239">
        <v>7</v>
      </c>
      <c r="E113" s="204" t="s">
        <v>582</v>
      </c>
      <c r="F113" s="205">
        <v>154.55999999999932</v>
      </c>
      <c r="G113" s="290">
        <v>4.2160000000000002</v>
      </c>
      <c r="H113" s="290">
        <v>4.3</v>
      </c>
      <c r="I113" s="216">
        <f t="shared" si="15"/>
        <v>1.0199240986717266</v>
      </c>
      <c r="J113" s="290">
        <v>0</v>
      </c>
      <c r="K113" s="216">
        <f t="shared" si="16"/>
        <v>0</v>
      </c>
      <c r="L113" s="205">
        <v>1840</v>
      </c>
      <c r="M113" s="216">
        <f t="shared" si="17"/>
        <v>1.0199240986717266</v>
      </c>
      <c r="N113" s="205">
        <v>154.55999999999932</v>
      </c>
      <c r="O113" s="290">
        <v>0</v>
      </c>
      <c r="P113" s="206">
        <v>0</v>
      </c>
      <c r="Q113" s="281">
        <v>0</v>
      </c>
      <c r="R113" s="290">
        <v>8.3999999999999631E-2</v>
      </c>
      <c r="S113" s="206">
        <v>1.9924098671726665E-2</v>
      </c>
      <c r="T113" s="204" t="s">
        <v>405</v>
      </c>
      <c r="U113" s="204" t="s">
        <v>225</v>
      </c>
      <c r="V113" s="204"/>
      <c r="W113" s="211">
        <v>1</v>
      </c>
      <c r="X113" s="204" t="s">
        <v>583</v>
      </c>
    </row>
    <row r="114" spans="2:25">
      <c r="B114" s="659"/>
      <c r="C114" s="659"/>
      <c r="D114" s="239">
        <v>8</v>
      </c>
      <c r="E114" s="204" t="s">
        <v>581</v>
      </c>
      <c r="F114" s="205">
        <v>147.20000000000013</v>
      </c>
      <c r="G114" s="290">
        <v>2.62</v>
      </c>
      <c r="H114" s="290">
        <v>2.7</v>
      </c>
      <c r="I114" s="216">
        <f t="shared" si="15"/>
        <v>1.0305343511450382</v>
      </c>
      <c r="J114" s="290">
        <v>0</v>
      </c>
      <c r="K114" s="216">
        <f t="shared" si="16"/>
        <v>0</v>
      </c>
      <c r="L114" s="205">
        <v>1840</v>
      </c>
      <c r="M114" s="216">
        <f t="shared" si="17"/>
        <v>1.0305343511450382</v>
      </c>
      <c r="N114" s="205">
        <v>147.20000000000013</v>
      </c>
      <c r="O114" s="290">
        <v>0</v>
      </c>
      <c r="P114" s="206">
        <v>0</v>
      </c>
      <c r="Q114" s="281">
        <v>0</v>
      </c>
      <c r="R114" s="290">
        <v>8.0000000000000071E-2</v>
      </c>
      <c r="S114" s="206">
        <v>3.0534351145038195E-2</v>
      </c>
      <c r="T114" s="204" t="s">
        <v>405</v>
      </c>
      <c r="U114" s="204" t="s">
        <v>225</v>
      </c>
      <c r="V114" s="204"/>
      <c r="W114" s="211">
        <v>1</v>
      </c>
      <c r="X114" s="204" t="s">
        <v>410</v>
      </c>
    </row>
    <row r="115" spans="2:25">
      <c r="B115" s="659"/>
      <c r="C115" s="659"/>
      <c r="D115" s="239">
        <v>9</v>
      </c>
      <c r="E115" s="204" t="s">
        <v>426</v>
      </c>
      <c r="F115" s="205">
        <v>145.87715999999853</v>
      </c>
      <c r="G115" s="290">
        <v>59.014000000000003</v>
      </c>
      <c r="H115" s="290">
        <v>59.5</v>
      </c>
      <c r="I115" s="216">
        <f t="shared" si="15"/>
        <v>1.008235333988545</v>
      </c>
      <c r="J115" s="290">
        <v>0</v>
      </c>
      <c r="K115" s="216">
        <f t="shared" si="16"/>
        <v>0</v>
      </c>
      <c r="L115" s="205">
        <v>510.06</v>
      </c>
      <c r="M115" s="216">
        <f t="shared" si="17"/>
        <v>1.008235333988545</v>
      </c>
      <c r="N115" s="205">
        <v>247.88915999999853</v>
      </c>
      <c r="O115" s="290">
        <v>0.2</v>
      </c>
      <c r="P115" s="206">
        <v>3.3890263327346053E-3</v>
      </c>
      <c r="Q115" s="281">
        <v>102.012</v>
      </c>
      <c r="R115" s="290">
        <v>0.28599999999999709</v>
      </c>
      <c r="S115" s="206">
        <v>4.8463076558104357E-3</v>
      </c>
      <c r="T115" s="204" t="s">
        <v>405</v>
      </c>
      <c r="U115" s="204" t="s">
        <v>224</v>
      </c>
      <c r="V115" s="204"/>
      <c r="W115" s="211">
        <v>1</v>
      </c>
      <c r="X115" s="204" t="s">
        <v>427</v>
      </c>
    </row>
    <row r="116" spans="2:25">
      <c r="B116" s="659"/>
      <c r="C116" s="659"/>
      <c r="D116" s="239">
        <v>10</v>
      </c>
      <c r="E116" s="204" t="s">
        <v>558</v>
      </c>
      <c r="F116" s="205">
        <v>138.13284000000169</v>
      </c>
      <c r="G116" s="290">
        <v>23.687999999999999</v>
      </c>
      <c r="H116" s="290">
        <v>24.1</v>
      </c>
      <c r="I116" s="216">
        <f t="shared" si="15"/>
        <v>1.0173927727119219</v>
      </c>
      <c r="J116" s="290">
        <v>0</v>
      </c>
      <c r="K116" s="216">
        <f t="shared" si="16"/>
        <v>0</v>
      </c>
      <c r="L116" s="205">
        <v>651.57000000000005</v>
      </c>
      <c r="M116" s="216">
        <f t="shared" si="17"/>
        <v>1.0173927727119219</v>
      </c>
      <c r="N116" s="205">
        <v>268.44684000000171</v>
      </c>
      <c r="O116" s="290">
        <v>0.2</v>
      </c>
      <c r="P116" s="206">
        <v>8.443093549476529E-3</v>
      </c>
      <c r="Q116" s="281">
        <v>130.31400000000002</v>
      </c>
      <c r="R116" s="290">
        <v>0.21200000000000258</v>
      </c>
      <c r="S116" s="206">
        <v>8.9496791624452295E-3</v>
      </c>
      <c r="T116" s="204" t="s">
        <v>405</v>
      </c>
      <c r="U116" s="204" t="s">
        <v>224</v>
      </c>
      <c r="V116" s="204"/>
      <c r="W116" s="211">
        <v>1</v>
      </c>
      <c r="X116" s="204" t="s">
        <v>559</v>
      </c>
    </row>
    <row r="117" spans="2:25">
      <c r="B117" s="661">
        <v>45881</v>
      </c>
      <c r="C117" s="659" t="s">
        <v>268</v>
      </c>
      <c r="D117" s="239">
        <v>11</v>
      </c>
      <c r="E117" s="204" t="s">
        <v>545</v>
      </c>
      <c r="F117" s="205">
        <v>508.90663999999731</v>
      </c>
      <c r="G117" s="204">
        <v>42.432000000000002</v>
      </c>
      <c r="H117" s="204">
        <v>43.8</v>
      </c>
      <c r="I117" s="216">
        <f t="shared" si="15"/>
        <v>1.0322398190045248</v>
      </c>
      <c r="J117" s="204">
        <v>0</v>
      </c>
      <c r="K117" s="216">
        <f t="shared" si="16"/>
        <v>0</v>
      </c>
      <c r="L117" s="205">
        <v>525.73</v>
      </c>
      <c r="M117" s="216">
        <f t="shared" si="17"/>
        <v>1.0322398190045248</v>
      </c>
      <c r="N117" s="205">
        <v>719.19863999999734</v>
      </c>
      <c r="O117" s="204">
        <v>0.4</v>
      </c>
      <c r="P117" s="206">
        <v>9.4268476621417793E-3</v>
      </c>
      <c r="Q117" s="281">
        <v>210.29200000000003</v>
      </c>
      <c r="R117" s="204">
        <v>0.96799999999999498</v>
      </c>
      <c r="S117" s="206">
        <v>2.2812971342382988E-2</v>
      </c>
      <c r="T117" s="204" t="s">
        <v>405</v>
      </c>
      <c r="U117" s="204" t="s">
        <v>412</v>
      </c>
      <c r="V117" s="204"/>
      <c r="W117" s="211">
        <v>1</v>
      </c>
      <c r="X117" s="204" t="s">
        <v>517</v>
      </c>
    </row>
    <row r="118" spans="2:25">
      <c r="B118" s="659"/>
      <c r="C118" s="659"/>
      <c r="D118" s="239">
        <v>12</v>
      </c>
      <c r="E118" s="204" t="s">
        <v>426</v>
      </c>
      <c r="F118" s="205">
        <v>323.37804000001324</v>
      </c>
      <c r="G118" s="204">
        <v>289.166</v>
      </c>
      <c r="H118" s="204">
        <v>290.10000000000002</v>
      </c>
      <c r="I118" s="216">
        <f t="shared" si="15"/>
        <v>1.0032299786281929</v>
      </c>
      <c r="J118" s="204">
        <v>0</v>
      </c>
      <c r="K118" s="216">
        <f t="shared" si="16"/>
        <v>0</v>
      </c>
      <c r="L118" s="205">
        <v>510.06</v>
      </c>
      <c r="M118" s="216">
        <f t="shared" si="17"/>
        <v>1.0032299786281929</v>
      </c>
      <c r="N118" s="205">
        <v>476.39604000001322</v>
      </c>
      <c r="O118" s="204">
        <v>0.3</v>
      </c>
      <c r="P118" s="206">
        <v>1.0374663687985448E-3</v>
      </c>
      <c r="Q118" s="281">
        <v>153.018</v>
      </c>
      <c r="R118" s="204">
        <v>0.63400000000002588</v>
      </c>
      <c r="S118" s="206">
        <v>2.1925122593943473E-3</v>
      </c>
      <c r="T118" s="204" t="s">
        <v>405</v>
      </c>
      <c r="U118" s="204" t="s">
        <v>412</v>
      </c>
      <c r="V118" s="204"/>
      <c r="W118" s="211">
        <v>1</v>
      </c>
      <c r="X118" s="204" t="s">
        <v>423</v>
      </c>
    </row>
    <row r="119" spans="2:25">
      <c r="B119" s="659"/>
      <c r="C119" s="659"/>
      <c r="D119" s="239">
        <v>13</v>
      </c>
      <c r="E119" s="204" t="s">
        <v>569</v>
      </c>
      <c r="F119" s="205">
        <v>262.47965999999963</v>
      </c>
      <c r="G119" s="204">
        <v>75.945999999999998</v>
      </c>
      <c r="H119" s="204">
        <v>76.8</v>
      </c>
      <c r="I119" s="216">
        <f t="shared" si="15"/>
        <v>1.0112448318542122</v>
      </c>
      <c r="J119" s="204">
        <v>0</v>
      </c>
      <c r="K119" s="216">
        <f t="shared" si="16"/>
        <v>0</v>
      </c>
      <c r="L119" s="205">
        <v>473.79</v>
      </c>
      <c r="M119" s="216">
        <f t="shared" si="17"/>
        <v>1.0112448318542122</v>
      </c>
      <c r="N119" s="205">
        <v>404.61665999999963</v>
      </c>
      <c r="O119" s="204">
        <v>0.3</v>
      </c>
      <c r="P119" s="206">
        <v>3.9501751244305165E-3</v>
      </c>
      <c r="Q119" s="281">
        <v>142.137</v>
      </c>
      <c r="R119" s="204">
        <v>0.55399999999999916</v>
      </c>
      <c r="S119" s="206">
        <v>7.2946567297816761E-3</v>
      </c>
      <c r="T119" s="204" t="s">
        <v>405</v>
      </c>
      <c r="U119" s="204" t="s">
        <v>412</v>
      </c>
      <c r="V119" s="204"/>
      <c r="W119" s="211">
        <v>1</v>
      </c>
      <c r="X119" s="204" t="s">
        <v>423</v>
      </c>
    </row>
    <row r="120" spans="2:25">
      <c r="B120" s="659"/>
      <c r="C120" s="659"/>
      <c r="D120" s="239">
        <v>14</v>
      </c>
      <c r="E120" s="204" t="s">
        <v>599</v>
      </c>
      <c r="F120" s="205">
        <v>222.44</v>
      </c>
      <c r="G120" s="204">
        <v>67.733999999999995</v>
      </c>
      <c r="H120" s="204">
        <v>68.733999999999995</v>
      </c>
      <c r="I120" s="216">
        <f t="shared" si="15"/>
        <v>1.0147636342161988</v>
      </c>
      <c r="J120" s="204">
        <v>0</v>
      </c>
      <c r="K120" s="216">
        <f t="shared" si="16"/>
        <v>0</v>
      </c>
      <c r="L120" s="205">
        <v>444.88</v>
      </c>
      <c r="M120" s="216">
        <f t="shared" si="17"/>
        <v>1.0147636342161988</v>
      </c>
      <c r="N120" s="205">
        <v>444.88</v>
      </c>
      <c r="O120" s="204">
        <v>0.5</v>
      </c>
      <c r="P120" s="206">
        <v>7.3818171080993304E-3</v>
      </c>
      <c r="Q120" s="281">
        <v>222.44</v>
      </c>
      <c r="R120" s="204">
        <v>0.5</v>
      </c>
      <c r="S120" s="206">
        <v>7.3818171080993304E-3</v>
      </c>
      <c r="T120" s="204" t="s">
        <v>405</v>
      </c>
      <c r="U120" s="204" t="s">
        <v>412</v>
      </c>
      <c r="V120" s="204"/>
      <c r="W120" s="211">
        <v>1</v>
      </c>
      <c r="X120" s="204" t="s">
        <v>598</v>
      </c>
    </row>
    <row r="121" spans="2:25">
      <c r="B121" s="659"/>
      <c r="C121" s="659"/>
      <c r="D121" s="239">
        <v>15</v>
      </c>
      <c r="E121" s="204" t="s">
        <v>558</v>
      </c>
      <c r="F121" s="205">
        <v>195.47099999999955</v>
      </c>
      <c r="G121" s="204">
        <v>21.864000000000001</v>
      </c>
      <c r="H121" s="204">
        <v>22.564</v>
      </c>
      <c r="I121" s="216">
        <f t="shared" si="15"/>
        <v>1.0320160995243322</v>
      </c>
      <c r="J121" s="204">
        <v>0</v>
      </c>
      <c r="K121" s="216">
        <f t="shared" si="16"/>
        <v>0</v>
      </c>
      <c r="L121" s="205">
        <v>651.57000000000005</v>
      </c>
      <c r="M121" s="216">
        <f t="shared" si="17"/>
        <v>1.0320160995243322</v>
      </c>
      <c r="N121" s="205">
        <v>456.09899999999959</v>
      </c>
      <c r="O121" s="204">
        <v>0.4</v>
      </c>
      <c r="P121" s="206">
        <v>1.8294914013904134E-2</v>
      </c>
      <c r="Q121" s="281">
        <v>260.62800000000004</v>
      </c>
      <c r="R121" s="204">
        <v>0.29999999999999927</v>
      </c>
      <c r="S121" s="206">
        <v>1.3721185510428066E-2</v>
      </c>
      <c r="T121" s="204" t="s">
        <v>402</v>
      </c>
      <c r="U121" s="204" t="s">
        <v>224</v>
      </c>
      <c r="V121" s="204"/>
      <c r="W121" s="211">
        <v>1</v>
      </c>
      <c r="X121" s="204" t="s">
        <v>559</v>
      </c>
    </row>
    <row r="122" spans="2:25">
      <c r="B122" s="659"/>
      <c r="C122" s="659"/>
      <c r="D122" s="239">
        <v>16</v>
      </c>
      <c r="E122" s="204" t="s">
        <v>528</v>
      </c>
      <c r="F122" s="205">
        <v>191.25015000000045</v>
      </c>
      <c r="G122" s="204">
        <v>91.944999999999993</v>
      </c>
      <c r="H122" s="204">
        <v>92.6</v>
      </c>
      <c r="I122" s="216">
        <f t="shared" si="15"/>
        <v>1.0071238240252325</v>
      </c>
      <c r="J122" s="204">
        <v>0</v>
      </c>
      <c r="K122" s="216">
        <f t="shared" si="16"/>
        <v>0</v>
      </c>
      <c r="L122" s="205">
        <v>420.33</v>
      </c>
      <c r="M122" s="216">
        <f t="shared" si="17"/>
        <v>1.0071238240252325</v>
      </c>
      <c r="N122" s="205">
        <v>275.31615000000045</v>
      </c>
      <c r="O122" s="204">
        <v>0.2</v>
      </c>
      <c r="P122" s="206">
        <v>2.175213442819077E-3</v>
      </c>
      <c r="Q122" s="281">
        <v>84.066000000000003</v>
      </c>
      <c r="R122" s="204">
        <v>0.45500000000000113</v>
      </c>
      <c r="S122" s="206">
        <v>4.9486105824134118E-3</v>
      </c>
      <c r="T122" s="204" t="s">
        <v>405</v>
      </c>
      <c r="U122" s="204" t="s">
        <v>225</v>
      </c>
      <c r="V122" s="204"/>
      <c r="W122" s="211">
        <v>1</v>
      </c>
      <c r="X122" s="204" t="s">
        <v>487</v>
      </c>
    </row>
    <row r="123" spans="2:25">
      <c r="B123" s="659"/>
      <c r="C123" s="659"/>
      <c r="D123" s="239">
        <v>17</v>
      </c>
      <c r="E123" s="204" t="s">
        <v>533</v>
      </c>
      <c r="F123" s="205">
        <v>178.41000000000079</v>
      </c>
      <c r="G123" s="204">
        <v>41.255000000000003</v>
      </c>
      <c r="H123" s="204">
        <v>42.455000000000005</v>
      </c>
      <c r="I123" s="216">
        <f t="shared" si="15"/>
        <v>1.0290873833474732</v>
      </c>
      <c r="J123" s="204">
        <v>0</v>
      </c>
      <c r="K123" s="216">
        <f t="shared" si="16"/>
        <v>0</v>
      </c>
      <c r="L123" s="205">
        <v>297.35000000000002</v>
      </c>
      <c r="M123" s="216">
        <f t="shared" si="17"/>
        <v>1.0290873833474732</v>
      </c>
      <c r="N123" s="205">
        <v>356.82000000000085</v>
      </c>
      <c r="O123" s="204">
        <v>0.60000000000000009</v>
      </c>
      <c r="P123" s="206">
        <v>1.4543691673736517E-2</v>
      </c>
      <c r="Q123" s="281">
        <v>178.41000000000005</v>
      </c>
      <c r="R123" s="204">
        <v>0.60000000000000275</v>
      </c>
      <c r="S123" s="206">
        <v>1.4543691673736583E-2</v>
      </c>
      <c r="T123" s="204" t="s">
        <v>405</v>
      </c>
      <c r="U123" s="204" t="s">
        <v>225</v>
      </c>
      <c r="V123" s="204"/>
      <c r="W123" s="211">
        <v>1</v>
      </c>
      <c r="X123" s="204" t="s">
        <v>474</v>
      </c>
    </row>
    <row r="124" spans="2:25">
      <c r="B124" s="659"/>
      <c r="C124" s="659"/>
      <c r="D124" s="239">
        <v>18</v>
      </c>
      <c r="E124" s="204" t="s">
        <v>422</v>
      </c>
      <c r="F124" s="205">
        <v>177.95700000000153</v>
      </c>
      <c r="G124" s="204">
        <v>252.43199999999999</v>
      </c>
      <c r="H124" s="204">
        <v>255.232</v>
      </c>
      <c r="I124" s="216">
        <f t="shared" si="15"/>
        <v>1.0110920960892438</v>
      </c>
      <c r="J124" s="204">
        <v>0</v>
      </c>
      <c r="K124" s="216">
        <f t="shared" si="16"/>
        <v>0</v>
      </c>
      <c r="L124" s="205">
        <v>136.88999999999999</v>
      </c>
      <c r="M124" s="216">
        <f t="shared" si="17"/>
        <v>1.0110920960892438</v>
      </c>
      <c r="N124" s="205">
        <v>383.29200000000151</v>
      </c>
      <c r="O124" s="204">
        <v>1.5</v>
      </c>
      <c r="P124" s="206">
        <v>5.9421943335234836E-3</v>
      </c>
      <c r="Q124" s="281">
        <v>205.33499999999998</v>
      </c>
      <c r="R124" s="204">
        <v>1.3000000000000114</v>
      </c>
      <c r="S124" s="206">
        <v>5.1499017557203979E-3</v>
      </c>
      <c r="T124" s="204" t="s">
        <v>405</v>
      </c>
      <c r="U124" s="204" t="s">
        <v>225</v>
      </c>
      <c r="V124" s="204"/>
      <c r="W124" s="211">
        <v>1</v>
      </c>
      <c r="X124" s="204" t="s">
        <v>423</v>
      </c>
    </row>
    <row r="125" spans="2:25">
      <c r="B125" s="659"/>
      <c r="C125" s="659"/>
      <c r="D125" s="239">
        <v>19</v>
      </c>
      <c r="E125" s="204" t="s">
        <v>437</v>
      </c>
      <c r="F125" s="205">
        <v>172.15560000000002</v>
      </c>
      <c r="G125" s="204">
        <v>5.4089999999999998</v>
      </c>
      <c r="H125" s="204">
        <v>5.8</v>
      </c>
      <c r="I125" s="216">
        <f t="shared" si="15"/>
        <v>1.0722869291920873</v>
      </c>
      <c r="J125" s="204">
        <v>0</v>
      </c>
      <c r="K125" s="216">
        <f t="shared" si="16"/>
        <v>0</v>
      </c>
      <c r="L125" s="205">
        <v>591.6</v>
      </c>
      <c r="M125" s="216">
        <f t="shared" si="17"/>
        <v>1.0722869291920873</v>
      </c>
      <c r="N125" s="205">
        <v>231.31560000000002</v>
      </c>
      <c r="O125" s="204">
        <v>0.1</v>
      </c>
      <c r="P125" s="206">
        <v>1.8487705675725646E-2</v>
      </c>
      <c r="Q125" s="281">
        <v>59.160000000000004</v>
      </c>
      <c r="R125" s="204">
        <v>0.29100000000000004</v>
      </c>
      <c r="S125" s="206">
        <v>5.3799223516361627E-2</v>
      </c>
      <c r="T125" s="204" t="s">
        <v>537</v>
      </c>
      <c r="U125" s="204" t="s">
        <v>610</v>
      </c>
      <c r="V125" s="204"/>
      <c r="W125" s="211">
        <v>1</v>
      </c>
      <c r="X125" s="204" t="s">
        <v>438</v>
      </c>
    </row>
    <row r="126" spans="2:25">
      <c r="B126" s="659"/>
      <c r="C126" s="659"/>
      <c r="D126" s="239">
        <v>20</v>
      </c>
      <c r="E126" s="204" t="s">
        <v>404</v>
      </c>
      <c r="F126" s="205">
        <v>165.15010000000015</v>
      </c>
      <c r="G126" s="204">
        <v>17.402000000000001</v>
      </c>
      <c r="H126" s="204">
        <v>18.100000000000001</v>
      </c>
      <c r="I126" s="216">
        <f t="shared" si="15"/>
        <v>1.0401103321457303</v>
      </c>
      <c r="J126" s="204">
        <v>0</v>
      </c>
      <c r="K126" s="216">
        <f t="shared" si="16"/>
        <v>0</v>
      </c>
      <c r="L126" s="205">
        <v>414.95</v>
      </c>
      <c r="M126" s="216">
        <f t="shared" si="17"/>
        <v>1.0401103321457303</v>
      </c>
      <c r="N126" s="205">
        <v>289.63510000000014</v>
      </c>
      <c r="O126" s="204">
        <v>0.3</v>
      </c>
      <c r="P126" s="206">
        <v>1.7239397770371222E-2</v>
      </c>
      <c r="Q126" s="281">
        <v>124.48499999999999</v>
      </c>
      <c r="R126" s="204">
        <v>0.39800000000000041</v>
      </c>
      <c r="S126" s="206">
        <v>2.2870934375359177E-2</v>
      </c>
      <c r="T126" s="204" t="s">
        <v>419</v>
      </c>
      <c r="U126" s="204" t="s">
        <v>420</v>
      </c>
      <c r="V126" s="204"/>
      <c r="W126" s="211">
        <v>1</v>
      </c>
      <c r="X126" s="204" t="s">
        <v>406</v>
      </c>
    </row>
    <row r="127" spans="2:25">
      <c r="B127" s="661">
        <v>45882</v>
      </c>
      <c r="C127" s="659" t="s">
        <v>286</v>
      </c>
      <c r="D127" s="239">
        <v>21</v>
      </c>
      <c r="E127" s="204" t="s">
        <v>569</v>
      </c>
      <c r="F127" s="205">
        <v>602.66087999999729</v>
      </c>
      <c r="G127" s="204">
        <v>83.628</v>
      </c>
      <c r="H127" s="204">
        <v>85.1</v>
      </c>
      <c r="I127" s="216">
        <f t="shared" si="15"/>
        <v>1.0176017601760174</v>
      </c>
      <c r="J127" s="204">
        <v>0</v>
      </c>
      <c r="K127" s="216">
        <f t="shared" si="16"/>
        <v>0</v>
      </c>
      <c r="L127" s="205">
        <v>473.79</v>
      </c>
      <c r="M127" s="216">
        <f t="shared" si="17"/>
        <v>1.0176017601760174</v>
      </c>
      <c r="N127" s="205">
        <v>697.41887999999733</v>
      </c>
      <c r="O127" s="204">
        <v>0.2</v>
      </c>
      <c r="P127" s="206">
        <v>2.3915435021763048E-3</v>
      </c>
      <c r="Q127" s="281">
        <v>94.75800000000001</v>
      </c>
      <c r="R127" s="204">
        <v>1.2719999999999942</v>
      </c>
      <c r="S127" s="206">
        <v>1.5210216673841228E-2</v>
      </c>
      <c r="T127" s="204" t="s">
        <v>405</v>
      </c>
      <c r="U127" s="204" t="s">
        <v>225</v>
      </c>
      <c r="V127" s="204"/>
      <c r="W127" s="211">
        <v>1</v>
      </c>
      <c r="X127" s="204" t="s">
        <v>423</v>
      </c>
      <c r="Y127" s="207" t="s">
        <v>272</v>
      </c>
    </row>
    <row r="128" spans="2:25">
      <c r="B128" s="659"/>
      <c r="C128" s="659"/>
      <c r="D128" s="239">
        <v>22</v>
      </c>
      <c r="E128" s="204" t="s">
        <v>426</v>
      </c>
      <c r="F128" s="205">
        <v>473.84573999999236</v>
      </c>
      <c r="G128" s="204">
        <v>209.471</v>
      </c>
      <c r="H128" s="204">
        <v>210.7</v>
      </c>
      <c r="I128" s="216">
        <f t="shared" si="15"/>
        <v>1.0058671606093443</v>
      </c>
      <c r="J128" s="204">
        <v>0</v>
      </c>
      <c r="K128" s="216">
        <f t="shared" si="16"/>
        <v>0</v>
      </c>
      <c r="L128" s="205">
        <v>510.06</v>
      </c>
      <c r="M128" s="216">
        <f t="shared" si="17"/>
        <v>1.0058671606093443</v>
      </c>
      <c r="N128" s="205">
        <v>626.86373999999239</v>
      </c>
      <c r="O128" s="204">
        <v>0.3</v>
      </c>
      <c r="P128" s="206">
        <v>1.4321791560645625E-3</v>
      </c>
      <c r="Q128" s="281">
        <v>153.018</v>
      </c>
      <c r="R128" s="204">
        <v>0.92899999999998495</v>
      </c>
      <c r="S128" s="206">
        <v>4.4349814532798574E-3</v>
      </c>
      <c r="T128" s="204" t="s">
        <v>405</v>
      </c>
      <c r="U128" s="204" t="s">
        <v>225</v>
      </c>
      <c r="V128" s="204"/>
      <c r="W128" s="211">
        <v>1</v>
      </c>
      <c r="X128" s="204" t="s">
        <v>423</v>
      </c>
      <c r="Y128" s="209" t="s">
        <v>289</v>
      </c>
    </row>
    <row r="129" spans="2:24">
      <c r="B129" s="659"/>
      <c r="C129" s="659"/>
      <c r="D129" s="239">
        <v>23</v>
      </c>
      <c r="E129" s="204" t="s">
        <v>545</v>
      </c>
      <c r="F129" s="205">
        <v>414.27523999999903</v>
      </c>
      <c r="G129" s="204">
        <v>45.911999999999999</v>
      </c>
      <c r="H129" s="204">
        <v>46.8</v>
      </c>
      <c r="I129" s="216">
        <f t="shared" si="15"/>
        <v>1.0193413486670151</v>
      </c>
      <c r="J129" s="204">
        <v>0</v>
      </c>
      <c r="K129" s="216">
        <f t="shared" si="16"/>
        <v>0</v>
      </c>
      <c r="L129" s="205">
        <v>525.73</v>
      </c>
      <c r="M129" s="216">
        <f t="shared" si="17"/>
        <v>1.0193413486670151</v>
      </c>
      <c r="N129" s="205">
        <v>466.84823999999901</v>
      </c>
      <c r="O129" s="204">
        <v>0.1</v>
      </c>
      <c r="P129" s="206">
        <v>2.1780798048440498E-3</v>
      </c>
      <c r="Q129" s="281">
        <v>52.573000000000008</v>
      </c>
      <c r="R129" s="204">
        <v>0.78799999999999815</v>
      </c>
      <c r="S129" s="206">
        <v>1.716326886217107E-2</v>
      </c>
      <c r="T129" s="204" t="s">
        <v>405</v>
      </c>
      <c r="U129" s="204" t="s">
        <v>225</v>
      </c>
      <c r="V129" s="204"/>
      <c r="W129" s="211">
        <v>1</v>
      </c>
      <c r="X129" s="204" t="s">
        <v>517</v>
      </c>
    </row>
    <row r="130" spans="2:24">
      <c r="B130" s="659"/>
      <c r="C130" s="659"/>
      <c r="D130" s="239">
        <v>24</v>
      </c>
      <c r="E130" s="204" t="s">
        <v>599</v>
      </c>
      <c r="F130" s="205">
        <v>366.5811199999979</v>
      </c>
      <c r="G130" s="204">
        <v>43.776000000000003</v>
      </c>
      <c r="H130" s="204">
        <v>44.9</v>
      </c>
      <c r="I130" s="216">
        <f t="shared" si="15"/>
        <v>1.0256761695906431</v>
      </c>
      <c r="J130" s="204">
        <v>0</v>
      </c>
      <c r="K130" s="216">
        <f t="shared" si="16"/>
        <v>0</v>
      </c>
      <c r="L130" s="205">
        <v>444.88</v>
      </c>
      <c r="M130" s="216">
        <f t="shared" si="17"/>
        <v>1.0256761695906431</v>
      </c>
      <c r="N130" s="205">
        <v>500.04511999999789</v>
      </c>
      <c r="O130" s="204">
        <v>0.3</v>
      </c>
      <c r="P130" s="206">
        <v>6.8530701754385961E-3</v>
      </c>
      <c r="Q130" s="281">
        <v>133.464</v>
      </c>
      <c r="R130" s="204">
        <v>0.82399999999999518</v>
      </c>
      <c r="S130" s="206">
        <v>1.8823099415204568E-2</v>
      </c>
      <c r="T130" s="204" t="s">
        <v>405</v>
      </c>
      <c r="U130" s="204" t="s">
        <v>225</v>
      </c>
      <c r="V130" s="204"/>
      <c r="W130" s="211">
        <v>1</v>
      </c>
      <c r="X130" s="204" t="s">
        <v>598</v>
      </c>
    </row>
    <row r="131" spans="2:24">
      <c r="B131" s="659"/>
      <c r="C131" s="659"/>
      <c r="D131" s="239">
        <v>25</v>
      </c>
      <c r="E131" s="204" t="s">
        <v>558</v>
      </c>
      <c r="F131" s="205">
        <v>297.11591999999922</v>
      </c>
      <c r="G131" s="204">
        <v>26.244</v>
      </c>
      <c r="H131" s="204">
        <v>26.9</v>
      </c>
      <c r="I131" s="216">
        <f t="shared" si="15"/>
        <v>1.0249961896052431</v>
      </c>
      <c r="J131" s="204">
        <v>0</v>
      </c>
      <c r="K131" s="216">
        <f t="shared" si="16"/>
        <v>0</v>
      </c>
      <c r="L131" s="205">
        <v>651.57000000000005</v>
      </c>
      <c r="M131" s="216">
        <f t="shared" si="17"/>
        <v>1.0249961896052431</v>
      </c>
      <c r="N131" s="205">
        <v>427.42991999999924</v>
      </c>
      <c r="O131" s="204">
        <v>0.2</v>
      </c>
      <c r="P131" s="206">
        <v>7.6207895137936294E-3</v>
      </c>
      <c r="Q131" s="281">
        <v>130.31400000000002</v>
      </c>
      <c r="R131" s="204">
        <v>0.4559999999999988</v>
      </c>
      <c r="S131" s="206">
        <v>1.7375400091449427E-2</v>
      </c>
      <c r="T131" s="204" t="s">
        <v>402</v>
      </c>
      <c r="U131" s="204" t="s">
        <v>224</v>
      </c>
      <c r="V131" s="204"/>
      <c r="W131" s="211">
        <v>1</v>
      </c>
      <c r="X131" s="204" t="s">
        <v>559</v>
      </c>
    </row>
    <row r="132" spans="2:24">
      <c r="B132" s="659"/>
      <c r="C132" s="659"/>
      <c r="D132" s="239">
        <v>26</v>
      </c>
      <c r="E132" s="204" t="s">
        <v>404</v>
      </c>
      <c r="F132" s="205">
        <v>289.63510000000042</v>
      </c>
      <c r="G132" s="204">
        <v>18.102</v>
      </c>
      <c r="H132" s="204">
        <v>19.100000000000001</v>
      </c>
      <c r="I132" s="216">
        <f t="shared" si="15"/>
        <v>1.055132029609988</v>
      </c>
      <c r="J132" s="204">
        <v>0</v>
      </c>
      <c r="K132" s="216">
        <f t="shared" si="16"/>
        <v>0</v>
      </c>
      <c r="L132" s="205">
        <v>414.95</v>
      </c>
      <c r="M132" s="216">
        <f t="shared" si="17"/>
        <v>1.055132029609988</v>
      </c>
      <c r="N132" s="205">
        <v>414.12010000000043</v>
      </c>
      <c r="O132" s="204">
        <v>0.3</v>
      </c>
      <c r="P132" s="206">
        <v>1.6572754391779913E-2</v>
      </c>
      <c r="Q132" s="281">
        <v>124.48499999999999</v>
      </c>
      <c r="R132" s="204">
        <v>0.69800000000000106</v>
      </c>
      <c r="S132" s="206">
        <v>3.855927521820799E-2</v>
      </c>
      <c r="T132" s="204" t="s">
        <v>419</v>
      </c>
      <c r="U132" s="204" t="s">
        <v>522</v>
      </c>
      <c r="V132" s="204"/>
      <c r="W132" s="211">
        <v>1</v>
      </c>
      <c r="X132" s="204" t="s">
        <v>406</v>
      </c>
    </row>
    <row r="133" spans="2:24">
      <c r="B133" s="659"/>
      <c r="C133" s="659"/>
      <c r="D133" s="239">
        <v>27</v>
      </c>
      <c r="E133" s="204" t="s">
        <v>525</v>
      </c>
      <c r="F133" s="205">
        <v>284.69016000000056</v>
      </c>
      <c r="G133" s="204">
        <v>11.593999999999999</v>
      </c>
      <c r="H133" s="204">
        <v>12</v>
      </c>
      <c r="I133" s="216">
        <f t="shared" si="15"/>
        <v>1.0350181128169744</v>
      </c>
      <c r="J133" s="204">
        <v>0</v>
      </c>
      <c r="K133" s="216">
        <f t="shared" si="16"/>
        <v>0</v>
      </c>
      <c r="L133" s="205">
        <v>930.36</v>
      </c>
      <c r="M133" s="216">
        <f t="shared" si="17"/>
        <v>1.0350181128169744</v>
      </c>
      <c r="N133" s="205">
        <v>377.72616000000056</v>
      </c>
      <c r="O133" s="204">
        <v>0.1</v>
      </c>
      <c r="P133" s="206">
        <v>8.6251509401414541E-3</v>
      </c>
      <c r="Q133" s="281">
        <v>93.036000000000001</v>
      </c>
      <c r="R133" s="204">
        <v>0.3060000000000006</v>
      </c>
      <c r="S133" s="206">
        <v>2.6392961876832897E-2</v>
      </c>
      <c r="T133" s="204" t="s">
        <v>405</v>
      </c>
      <c r="U133" s="204" t="s">
        <v>225</v>
      </c>
      <c r="V133" s="204"/>
      <c r="W133" s="211">
        <v>1</v>
      </c>
      <c r="X133" s="204" t="s">
        <v>474</v>
      </c>
    </row>
    <row r="134" spans="2:24">
      <c r="B134" s="659"/>
      <c r="C134" s="659"/>
      <c r="D134" s="239">
        <v>28</v>
      </c>
      <c r="E134" s="204" t="s">
        <v>411</v>
      </c>
      <c r="F134" s="205">
        <v>283.70059999999825</v>
      </c>
      <c r="G134" s="204">
        <v>43.008000000000003</v>
      </c>
      <c r="H134" s="204">
        <v>44.3</v>
      </c>
      <c r="I134" s="216">
        <f t="shared" si="15"/>
        <v>1.0300409226190474</v>
      </c>
      <c r="J134" s="204">
        <v>0</v>
      </c>
      <c r="K134" s="216">
        <f t="shared" si="16"/>
        <v>0</v>
      </c>
      <c r="L134" s="205">
        <v>318.05</v>
      </c>
      <c r="M134" s="216">
        <f t="shared" si="17"/>
        <v>1.0300409226190474</v>
      </c>
      <c r="N134" s="205">
        <v>410.92059999999827</v>
      </c>
      <c r="O134" s="204">
        <v>0.4</v>
      </c>
      <c r="P134" s="206">
        <v>9.300595238095238E-3</v>
      </c>
      <c r="Q134" s="281">
        <v>127.22000000000001</v>
      </c>
      <c r="R134" s="204">
        <v>0.89199999999999446</v>
      </c>
      <c r="S134" s="206">
        <v>2.0740327380952252E-2</v>
      </c>
      <c r="T134" s="204" t="s">
        <v>405</v>
      </c>
      <c r="U134" s="204" t="s">
        <v>225</v>
      </c>
      <c r="V134" s="204"/>
      <c r="W134" s="211">
        <v>1</v>
      </c>
      <c r="X134" s="204" t="s">
        <v>413</v>
      </c>
    </row>
    <row r="135" spans="2:24">
      <c r="B135" s="659"/>
      <c r="C135" s="659"/>
      <c r="D135" s="239">
        <v>29</v>
      </c>
      <c r="E135" s="204" t="s">
        <v>422</v>
      </c>
      <c r="F135" s="205">
        <v>279.52938000000097</v>
      </c>
      <c r="G135" s="204">
        <v>256.358</v>
      </c>
      <c r="H135" s="204">
        <v>259.3</v>
      </c>
      <c r="I135" s="216">
        <f t="shared" si="15"/>
        <v>1.011476138837095</v>
      </c>
      <c r="J135" s="204">
        <v>0</v>
      </c>
      <c r="K135" s="216">
        <f t="shared" si="16"/>
        <v>0</v>
      </c>
      <c r="L135" s="205">
        <v>136.88999999999999</v>
      </c>
      <c r="M135" s="216">
        <f t="shared" si="17"/>
        <v>1.011476138837095</v>
      </c>
      <c r="N135" s="205">
        <v>402.73038000000093</v>
      </c>
      <c r="O135" s="204">
        <v>0.9</v>
      </c>
      <c r="P135" s="206">
        <v>3.5107154838156015E-3</v>
      </c>
      <c r="Q135" s="281">
        <v>123.20099999999999</v>
      </c>
      <c r="R135" s="204">
        <v>2.0420000000000074</v>
      </c>
      <c r="S135" s="206">
        <v>7.9654233532794275E-3</v>
      </c>
      <c r="T135" s="204" t="s">
        <v>402</v>
      </c>
      <c r="U135" s="204" t="s">
        <v>224</v>
      </c>
      <c r="V135" s="204"/>
      <c r="W135" s="211">
        <v>1</v>
      </c>
      <c r="X135" s="204" t="s">
        <v>423</v>
      </c>
    </row>
    <row r="136" spans="2:24">
      <c r="B136" s="659"/>
      <c r="C136" s="659"/>
      <c r="D136" s="239">
        <v>30</v>
      </c>
      <c r="E136" s="204" t="s">
        <v>611</v>
      </c>
      <c r="F136" s="205">
        <v>248.94799999999958</v>
      </c>
      <c r="G136" s="204">
        <v>7.9050000000000002</v>
      </c>
      <c r="H136" s="204">
        <v>8.6999999999999993</v>
      </c>
      <c r="I136" s="216">
        <f t="shared" ref="I136:I199" si="18">H136/G136</f>
        <v>1.1005692599620491</v>
      </c>
      <c r="J136" s="204">
        <v>0</v>
      </c>
      <c r="K136" s="216">
        <f t="shared" ref="K136:K199" si="19">J136/G136</f>
        <v>0</v>
      </c>
      <c r="L136" s="205">
        <v>418.4</v>
      </c>
      <c r="M136" s="216">
        <f t="shared" ref="M136:M199" si="20">(H136+J136)/G136</f>
        <v>1.1005692599620491</v>
      </c>
      <c r="N136" s="205">
        <v>332.62799999999959</v>
      </c>
      <c r="O136" s="204">
        <v>0.2</v>
      </c>
      <c r="P136" s="206">
        <v>2.5300442757748263E-2</v>
      </c>
      <c r="Q136" s="281">
        <v>83.68</v>
      </c>
      <c r="R136" s="204">
        <v>0.59499999999999909</v>
      </c>
      <c r="S136" s="206">
        <v>7.5268817204300953E-2</v>
      </c>
      <c r="T136" s="204" t="s">
        <v>419</v>
      </c>
      <c r="U136" s="204" t="s">
        <v>420</v>
      </c>
      <c r="V136" s="204"/>
      <c r="W136" s="211">
        <v>1</v>
      </c>
      <c r="X136" s="204" t="s">
        <v>612</v>
      </c>
    </row>
    <row r="137" spans="2:24">
      <c r="B137" s="661">
        <v>45883</v>
      </c>
      <c r="C137" s="659" t="s">
        <v>269</v>
      </c>
      <c r="D137" s="239">
        <v>31</v>
      </c>
      <c r="E137" s="204" t="s">
        <v>426</v>
      </c>
      <c r="F137" s="205">
        <v>658.48746000001006</v>
      </c>
      <c r="G137" s="204">
        <v>190.00899999999999</v>
      </c>
      <c r="H137" s="204">
        <v>191.4</v>
      </c>
      <c r="I137" s="216">
        <f t="shared" si="18"/>
        <v>1.0073207058613014</v>
      </c>
      <c r="J137" s="204">
        <v>0</v>
      </c>
      <c r="K137" s="216">
        <f t="shared" si="19"/>
        <v>0</v>
      </c>
      <c r="L137" s="205">
        <v>510.06</v>
      </c>
      <c r="M137" s="216">
        <f t="shared" si="20"/>
        <v>1.0073207058613014</v>
      </c>
      <c r="N137" s="205">
        <v>709.49346000001003</v>
      </c>
      <c r="O137" s="204">
        <v>0.1</v>
      </c>
      <c r="P137" s="206">
        <v>5.2629085990663603E-4</v>
      </c>
      <c r="Q137" s="281">
        <v>51.006</v>
      </c>
      <c r="R137" s="204">
        <v>1.2910000000000195</v>
      </c>
      <c r="S137" s="206">
        <v>6.7944150013947739E-3</v>
      </c>
      <c r="T137" s="204" t="s">
        <v>405</v>
      </c>
      <c r="U137" s="204" t="s">
        <v>225</v>
      </c>
      <c r="V137" s="204"/>
      <c r="W137" s="211">
        <v>1</v>
      </c>
      <c r="X137" s="204" t="s">
        <v>423</v>
      </c>
    </row>
    <row r="138" spans="2:24">
      <c r="B138" s="659"/>
      <c r="C138" s="659"/>
      <c r="D138" s="239">
        <v>32</v>
      </c>
      <c r="E138" s="204" t="s">
        <v>545</v>
      </c>
      <c r="F138" s="205">
        <v>395.34895999999759</v>
      </c>
      <c r="G138" s="204">
        <v>40.847999999999999</v>
      </c>
      <c r="H138" s="204">
        <v>41.3</v>
      </c>
      <c r="I138" s="216">
        <f t="shared" si="18"/>
        <v>1.0110654132393262</v>
      </c>
      <c r="J138" s="204">
        <v>0.3</v>
      </c>
      <c r="K138" s="216">
        <f t="shared" si="19"/>
        <v>7.3443008225616922E-3</v>
      </c>
      <c r="L138" s="205">
        <v>525.73</v>
      </c>
      <c r="M138" s="216">
        <f t="shared" si="20"/>
        <v>1.018409714061888</v>
      </c>
      <c r="N138" s="205">
        <v>395.34895999999759</v>
      </c>
      <c r="O138" s="204">
        <v>0</v>
      </c>
      <c r="P138" s="206">
        <v>0</v>
      </c>
      <c r="Q138" s="281">
        <v>0</v>
      </c>
      <c r="R138" s="204">
        <v>0.75199999999999534</v>
      </c>
      <c r="S138" s="206">
        <v>1.840971406188786E-2</v>
      </c>
      <c r="T138" s="204" t="s">
        <v>405</v>
      </c>
      <c r="U138" s="204" t="s">
        <v>225</v>
      </c>
      <c r="V138" s="204"/>
      <c r="W138" s="211">
        <v>1</v>
      </c>
      <c r="X138" s="204" t="s">
        <v>517</v>
      </c>
    </row>
    <row r="139" spans="2:24">
      <c r="B139" s="659"/>
      <c r="C139" s="659"/>
      <c r="D139" s="239">
        <v>33</v>
      </c>
      <c r="E139" s="204" t="s">
        <v>569</v>
      </c>
      <c r="F139" s="205">
        <v>275.74578000000099</v>
      </c>
      <c r="G139" s="204">
        <v>75.117999999999995</v>
      </c>
      <c r="H139" s="204">
        <v>75.8</v>
      </c>
      <c r="I139" s="216">
        <f t="shared" si="18"/>
        <v>1.0090790489629651</v>
      </c>
      <c r="J139" s="204">
        <v>0</v>
      </c>
      <c r="K139" s="216">
        <f t="shared" si="19"/>
        <v>0</v>
      </c>
      <c r="L139" s="205">
        <v>473.79</v>
      </c>
      <c r="M139" s="216">
        <f t="shared" si="20"/>
        <v>1.0090790489629651</v>
      </c>
      <c r="N139" s="205">
        <v>323.12478000000101</v>
      </c>
      <c r="O139" s="204">
        <v>0.1</v>
      </c>
      <c r="P139" s="206">
        <v>1.331238850874624E-3</v>
      </c>
      <c r="Q139" s="281">
        <v>47.379000000000005</v>
      </c>
      <c r="R139" s="204">
        <v>0.58200000000000218</v>
      </c>
      <c r="S139" s="206">
        <v>7.7478101120903404E-3</v>
      </c>
      <c r="T139" s="204" t="s">
        <v>405</v>
      </c>
      <c r="U139" s="204" t="s">
        <v>225</v>
      </c>
      <c r="V139" s="204"/>
      <c r="W139" s="211">
        <v>1</v>
      </c>
      <c r="X139" s="204" t="s">
        <v>423</v>
      </c>
    </row>
    <row r="140" spans="2:24">
      <c r="B140" s="659"/>
      <c r="C140" s="659"/>
      <c r="D140" s="239">
        <v>34</v>
      </c>
      <c r="E140" s="204" t="s">
        <v>599</v>
      </c>
      <c r="F140" s="205">
        <v>242.90447999999844</v>
      </c>
      <c r="G140" s="204">
        <v>39.654000000000003</v>
      </c>
      <c r="H140" s="204">
        <v>40.5</v>
      </c>
      <c r="I140" s="216">
        <f t="shared" si="18"/>
        <v>1.0213345438039036</v>
      </c>
      <c r="J140" s="204">
        <v>0</v>
      </c>
      <c r="K140" s="216">
        <f t="shared" si="19"/>
        <v>0</v>
      </c>
      <c r="L140" s="205">
        <v>444.88</v>
      </c>
      <c r="M140" s="216">
        <f t="shared" si="20"/>
        <v>1.0213345438039036</v>
      </c>
      <c r="N140" s="205">
        <v>376.36847999999844</v>
      </c>
      <c r="O140" s="204">
        <v>0.3</v>
      </c>
      <c r="P140" s="206">
        <v>7.5654410652141006E-3</v>
      </c>
      <c r="Q140" s="281">
        <v>133.464</v>
      </c>
      <c r="R140" s="204">
        <v>0.54599999999999649</v>
      </c>
      <c r="S140" s="206">
        <v>1.3769102738689577E-2</v>
      </c>
      <c r="T140" s="204" t="s">
        <v>405</v>
      </c>
      <c r="U140" s="204" t="s">
        <v>225</v>
      </c>
      <c r="V140" s="204"/>
      <c r="W140" s="211">
        <v>1</v>
      </c>
      <c r="X140" s="204" t="s">
        <v>598</v>
      </c>
    </row>
    <row r="141" spans="2:24">
      <c r="B141" s="659"/>
      <c r="C141" s="659"/>
      <c r="D141" s="239">
        <v>35</v>
      </c>
      <c r="E141" s="204" t="s">
        <v>591</v>
      </c>
      <c r="F141" s="205">
        <v>232.20163999999923</v>
      </c>
      <c r="G141" s="204">
        <v>19.952000000000002</v>
      </c>
      <c r="H141" s="204">
        <v>21.2</v>
      </c>
      <c r="I141" s="216">
        <f t="shared" si="18"/>
        <v>1.0625501202886927</v>
      </c>
      <c r="J141" s="204">
        <v>0</v>
      </c>
      <c r="K141" s="216">
        <f t="shared" si="19"/>
        <v>0</v>
      </c>
      <c r="L141" s="205">
        <v>310.43</v>
      </c>
      <c r="M141" s="216">
        <f t="shared" si="20"/>
        <v>1.0625501202886927</v>
      </c>
      <c r="N141" s="205">
        <v>387.41663999999923</v>
      </c>
      <c r="O141" s="204">
        <v>0.5</v>
      </c>
      <c r="P141" s="206">
        <v>2.5060144346431432E-2</v>
      </c>
      <c r="Q141" s="281">
        <v>155.215</v>
      </c>
      <c r="R141" s="204">
        <v>0.74799999999999756</v>
      </c>
      <c r="S141" s="206">
        <v>3.7489975942261299E-2</v>
      </c>
      <c r="T141" s="204" t="s">
        <v>405</v>
      </c>
      <c r="U141" s="204" t="s">
        <v>225</v>
      </c>
      <c r="V141" s="204"/>
      <c r="W141" s="211">
        <v>1</v>
      </c>
      <c r="X141" s="204" t="s">
        <v>403</v>
      </c>
    </row>
    <row r="142" spans="2:24">
      <c r="B142" s="659"/>
      <c r="C142" s="659"/>
      <c r="D142" s="239">
        <v>36</v>
      </c>
      <c r="E142" s="204" t="s">
        <v>533</v>
      </c>
      <c r="F142" s="205">
        <v>219.14695000000057</v>
      </c>
      <c r="G142" s="204">
        <v>36.963000000000001</v>
      </c>
      <c r="H142" s="204">
        <v>38.200000000000003</v>
      </c>
      <c r="I142" s="216">
        <f t="shared" si="18"/>
        <v>1.0334658983307632</v>
      </c>
      <c r="J142" s="204">
        <v>0</v>
      </c>
      <c r="K142" s="216">
        <f t="shared" si="19"/>
        <v>0</v>
      </c>
      <c r="L142" s="205">
        <v>297.35000000000002</v>
      </c>
      <c r="M142" s="216">
        <f t="shared" si="20"/>
        <v>1.0334658983307632</v>
      </c>
      <c r="N142" s="205">
        <v>367.82195000000058</v>
      </c>
      <c r="O142" s="204">
        <v>0.5</v>
      </c>
      <c r="P142" s="206">
        <v>1.3527040554067581E-2</v>
      </c>
      <c r="Q142" s="281">
        <v>148.67500000000001</v>
      </c>
      <c r="R142" s="204">
        <v>0.73700000000000188</v>
      </c>
      <c r="S142" s="206">
        <v>1.9938857776695663E-2</v>
      </c>
      <c r="T142" s="204" t="s">
        <v>405</v>
      </c>
      <c r="U142" s="204" t="s">
        <v>225</v>
      </c>
      <c r="V142" s="204"/>
      <c r="W142" s="211">
        <v>1</v>
      </c>
      <c r="X142" s="204" t="s">
        <v>474</v>
      </c>
    </row>
    <row r="143" spans="2:24">
      <c r="B143" s="659"/>
      <c r="C143" s="659"/>
      <c r="D143" s="239">
        <v>37</v>
      </c>
      <c r="E143" s="204" t="s">
        <v>435</v>
      </c>
      <c r="F143" s="205">
        <v>210.65919999999988</v>
      </c>
      <c r="G143" s="204">
        <v>6.78</v>
      </c>
      <c r="H143" s="204">
        <v>7.2</v>
      </c>
      <c r="I143" s="216">
        <f t="shared" si="18"/>
        <v>1.0619469026548674</v>
      </c>
      <c r="J143" s="204">
        <v>0</v>
      </c>
      <c r="K143" s="216">
        <f t="shared" si="19"/>
        <v>0</v>
      </c>
      <c r="L143" s="205">
        <v>658.31</v>
      </c>
      <c r="M143" s="216">
        <f t="shared" si="20"/>
        <v>1.0619469026548674</v>
      </c>
      <c r="N143" s="205">
        <v>276.4901999999999</v>
      </c>
      <c r="O143" s="204">
        <v>0.1</v>
      </c>
      <c r="P143" s="206">
        <v>1.4749262536873156E-2</v>
      </c>
      <c r="Q143" s="281">
        <v>65.831000000000003</v>
      </c>
      <c r="R143" s="204">
        <v>0.31999999999999995</v>
      </c>
      <c r="S143" s="206">
        <v>4.7197640117994093E-2</v>
      </c>
      <c r="T143" s="204" t="s">
        <v>405</v>
      </c>
      <c r="U143" s="204" t="s">
        <v>225</v>
      </c>
      <c r="V143" s="204"/>
      <c r="W143" s="211">
        <v>1</v>
      </c>
      <c r="X143" s="204" t="s">
        <v>436</v>
      </c>
    </row>
    <row r="144" spans="2:24">
      <c r="B144" s="659"/>
      <c r="C144" s="659"/>
      <c r="D144" s="239">
        <v>38</v>
      </c>
      <c r="E144" s="204" t="s">
        <v>414</v>
      </c>
      <c r="F144" s="205">
        <v>193.40766336633106</v>
      </c>
      <c r="G144" s="204">
        <v>72.772277227722796</v>
      </c>
      <c r="H144" s="204">
        <v>73.900000000000006</v>
      </c>
      <c r="I144" s="216">
        <f t="shared" si="18"/>
        <v>1.0154965986394555</v>
      </c>
      <c r="J144" s="204">
        <v>0</v>
      </c>
      <c r="K144" s="216">
        <f t="shared" si="19"/>
        <v>0</v>
      </c>
      <c r="L144" s="205">
        <v>308.11</v>
      </c>
      <c r="M144" s="216">
        <f t="shared" si="20"/>
        <v>1.0154965986394555</v>
      </c>
      <c r="N144" s="205">
        <v>347.46266336633107</v>
      </c>
      <c r="O144" s="204">
        <v>0.5</v>
      </c>
      <c r="P144" s="206">
        <v>6.8707482993197256E-3</v>
      </c>
      <c r="Q144" s="281">
        <v>154.05500000000001</v>
      </c>
      <c r="R144" s="204">
        <v>0.62772277227720963</v>
      </c>
      <c r="S144" s="206">
        <v>8.6258503401358023E-3</v>
      </c>
      <c r="T144" s="204" t="s">
        <v>402</v>
      </c>
      <c r="U144" s="204" t="s">
        <v>224</v>
      </c>
      <c r="V144" s="204"/>
      <c r="W144" s="211">
        <v>1</v>
      </c>
      <c r="X144" s="204" t="s">
        <v>415</v>
      </c>
    </row>
    <row r="145" spans="2:24">
      <c r="B145" s="659"/>
      <c r="C145" s="659"/>
      <c r="D145" s="239">
        <v>39</v>
      </c>
      <c r="E145" s="204" t="s">
        <v>529</v>
      </c>
      <c r="F145" s="205">
        <v>185.86583999999979</v>
      </c>
      <c r="G145" s="204">
        <v>140.34200000000001</v>
      </c>
      <c r="H145" s="204">
        <v>143.30000000000001</v>
      </c>
      <c r="I145" s="216">
        <f t="shared" si="18"/>
        <v>1.0210770831255076</v>
      </c>
      <c r="J145" s="204">
        <v>0</v>
      </c>
      <c r="K145" s="216">
        <f t="shared" si="19"/>
        <v>0</v>
      </c>
      <c r="L145" s="205">
        <v>127.48</v>
      </c>
      <c r="M145" s="216">
        <f t="shared" si="20"/>
        <v>1.0210770831255076</v>
      </c>
      <c r="N145" s="205">
        <v>377.08583999999979</v>
      </c>
      <c r="O145" s="204">
        <v>1.5</v>
      </c>
      <c r="P145" s="206">
        <v>1.0688176027133716E-2</v>
      </c>
      <c r="Q145" s="281">
        <v>191.22</v>
      </c>
      <c r="R145" s="204">
        <v>1.4579999999999984</v>
      </c>
      <c r="S145" s="206">
        <v>1.0388907098373959E-2</v>
      </c>
      <c r="T145" s="204" t="s">
        <v>419</v>
      </c>
      <c r="U145" s="204" t="s">
        <v>522</v>
      </c>
      <c r="V145" s="204"/>
      <c r="W145" s="211">
        <v>1</v>
      </c>
      <c r="X145" s="204" t="s">
        <v>417</v>
      </c>
    </row>
    <row r="146" spans="2:24">
      <c r="B146" s="659"/>
      <c r="C146" s="659"/>
      <c r="D146" s="239">
        <v>40</v>
      </c>
      <c r="E146" s="204" t="s">
        <v>407</v>
      </c>
      <c r="F146" s="205">
        <v>183.11915999999786</v>
      </c>
      <c r="G146" s="204">
        <v>82.646000000000001</v>
      </c>
      <c r="H146" s="204">
        <v>83.6</v>
      </c>
      <c r="I146" s="216">
        <f t="shared" si="18"/>
        <v>1.0115432083827407</v>
      </c>
      <c r="J146" s="204">
        <v>0</v>
      </c>
      <c r="K146" s="216">
        <f t="shared" si="19"/>
        <v>0</v>
      </c>
      <c r="L146" s="205">
        <v>330.54</v>
      </c>
      <c r="M146" s="216">
        <f t="shared" si="20"/>
        <v>1.0115432083827407</v>
      </c>
      <c r="N146" s="205">
        <v>315.33515999999787</v>
      </c>
      <c r="O146" s="204">
        <v>0.4</v>
      </c>
      <c r="P146" s="206">
        <v>4.8399196573336882E-3</v>
      </c>
      <c r="Q146" s="281">
        <v>132.21600000000001</v>
      </c>
      <c r="R146" s="204">
        <v>0.5539999999999935</v>
      </c>
      <c r="S146" s="206">
        <v>6.7032887254070798E-3</v>
      </c>
      <c r="T146" s="204" t="s">
        <v>405</v>
      </c>
      <c r="U146" s="204" t="s">
        <v>225</v>
      </c>
      <c r="V146" s="204"/>
      <c r="W146" s="211">
        <v>1</v>
      </c>
      <c r="X146" s="204" t="s">
        <v>408</v>
      </c>
    </row>
    <row r="147" spans="2:24">
      <c r="B147" s="661">
        <v>45884</v>
      </c>
      <c r="C147" s="659" t="s">
        <v>266</v>
      </c>
      <c r="D147" s="239">
        <v>41</v>
      </c>
      <c r="E147" s="204" t="s">
        <v>564</v>
      </c>
      <c r="F147" s="205">
        <v>428.32999999999981</v>
      </c>
      <c r="G147" s="204">
        <v>1.2523</v>
      </c>
      <c r="H147" s="204">
        <v>1.4</v>
      </c>
      <c r="I147" s="216">
        <f t="shared" si="18"/>
        <v>1.1179429849077696</v>
      </c>
      <c r="J147" s="204">
        <v>0</v>
      </c>
      <c r="K147" s="216">
        <f t="shared" si="19"/>
        <v>0</v>
      </c>
      <c r="L147" s="205">
        <v>2900</v>
      </c>
      <c r="M147" s="216">
        <f t="shared" si="20"/>
        <v>1.1179429849077696</v>
      </c>
      <c r="N147" s="205">
        <v>428.32999999999981</v>
      </c>
      <c r="O147" s="204">
        <v>0</v>
      </c>
      <c r="P147" s="206">
        <v>0</v>
      </c>
      <c r="Q147" s="281">
        <v>0</v>
      </c>
      <c r="R147" s="204">
        <v>0.14769999999999994</v>
      </c>
      <c r="S147" s="206">
        <v>0.11794298490776967</v>
      </c>
      <c r="T147" s="204" t="s">
        <v>405</v>
      </c>
      <c r="U147" s="204" t="s">
        <v>225</v>
      </c>
      <c r="V147" s="204"/>
      <c r="W147" s="211">
        <v>1</v>
      </c>
      <c r="X147" s="204" t="s">
        <v>559</v>
      </c>
    </row>
    <row r="148" spans="2:24">
      <c r="B148" s="659"/>
      <c r="C148" s="659"/>
      <c r="D148" s="239">
        <v>42</v>
      </c>
      <c r="E148" s="204" t="s">
        <v>545</v>
      </c>
      <c r="F148" s="205">
        <v>389.04020000000327</v>
      </c>
      <c r="G148" s="204">
        <v>41.16</v>
      </c>
      <c r="H148" s="204">
        <v>42.2</v>
      </c>
      <c r="I148" s="216">
        <f t="shared" si="18"/>
        <v>1.0252672497570459</v>
      </c>
      <c r="J148" s="204">
        <v>0</v>
      </c>
      <c r="K148" s="216">
        <f t="shared" si="19"/>
        <v>0</v>
      </c>
      <c r="L148" s="205">
        <v>525.73</v>
      </c>
      <c r="M148" s="216">
        <f t="shared" si="20"/>
        <v>1.0252672497570459</v>
      </c>
      <c r="N148" s="205">
        <v>546.75920000000326</v>
      </c>
      <c r="O148" s="204">
        <v>0.3</v>
      </c>
      <c r="P148" s="206">
        <v>7.28862973760933E-3</v>
      </c>
      <c r="Q148" s="281">
        <v>157.71899999999999</v>
      </c>
      <c r="R148" s="204">
        <v>0.74000000000000621</v>
      </c>
      <c r="S148" s="206">
        <v>1.7978620019436498E-2</v>
      </c>
      <c r="T148" s="204" t="s">
        <v>405</v>
      </c>
      <c r="U148" s="204" t="s">
        <v>225</v>
      </c>
      <c r="V148" s="204"/>
      <c r="W148" s="211">
        <v>1</v>
      </c>
      <c r="X148" s="204" t="s">
        <v>517</v>
      </c>
    </row>
    <row r="149" spans="2:24">
      <c r="B149" s="659"/>
      <c r="C149" s="659"/>
      <c r="D149" s="239">
        <v>43</v>
      </c>
      <c r="E149" s="204" t="s">
        <v>426</v>
      </c>
      <c r="F149" s="205">
        <v>364.69289999999296</v>
      </c>
      <c r="G149" s="204">
        <v>170.58500000000001</v>
      </c>
      <c r="H149" s="204">
        <v>171.6</v>
      </c>
      <c r="I149" s="216">
        <f t="shared" si="18"/>
        <v>1.0059501128469677</v>
      </c>
      <c r="J149" s="204">
        <v>0</v>
      </c>
      <c r="K149" s="216">
        <f t="shared" si="19"/>
        <v>0</v>
      </c>
      <c r="L149" s="205">
        <v>510.06</v>
      </c>
      <c r="M149" s="216">
        <f t="shared" si="20"/>
        <v>1.0059501128469677</v>
      </c>
      <c r="N149" s="205">
        <v>517.71089999999299</v>
      </c>
      <c r="O149" s="204">
        <v>0.3</v>
      </c>
      <c r="P149" s="206">
        <v>1.7586540434387547E-3</v>
      </c>
      <c r="Q149" s="281">
        <v>153.018</v>
      </c>
      <c r="R149" s="204">
        <v>0.71499999999998631</v>
      </c>
      <c r="S149" s="206">
        <v>4.191458803528952E-3</v>
      </c>
      <c r="T149" s="204" t="s">
        <v>405</v>
      </c>
      <c r="U149" s="204" t="s">
        <v>225</v>
      </c>
      <c r="V149" s="204"/>
      <c r="W149" s="211">
        <v>1</v>
      </c>
      <c r="X149" s="204" t="s">
        <v>423</v>
      </c>
    </row>
    <row r="150" spans="2:24">
      <c r="B150" s="659"/>
      <c r="C150" s="659"/>
      <c r="D150" s="239">
        <v>44</v>
      </c>
      <c r="E150" s="204" t="s">
        <v>435</v>
      </c>
      <c r="F150" s="205">
        <v>227.11695000000014</v>
      </c>
      <c r="G150" s="204">
        <v>7.4550000000000001</v>
      </c>
      <c r="H150" s="204">
        <v>7.9</v>
      </c>
      <c r="I150" s="216">
        <f t="shared" si="18"/>
        <v>1.0596914822266936</v>
      </c>
      <c r="J150" s="204">
        <v>0</v>
      </c>
      <c r="K150" s="216">
        <f t="shared" si="19"/>
        <v>0</v>
      </c>
      <c r="L150" s="205">
        <v>658.31</v>
      </c>
      <c r="M150" s="216">
        <f t="shared" si="20"/>
        <v>1.0596914822266936</v>
      </c>
      <c r="N150" s="205">
        <v>292.94795000000016</v>
      </c>
      <c r="O150" s="204">
        <v>0.1</v>
      </c>
      <c r="P150" s="206">
        <v>1.341381623071764E-2</v>
      </c>
      <c r="Q150" s="281">
        <v>65.831000000000003</v>
      </c>
      <c r="R150" s="204">
        <v>0.34500000000000031</v>
      </c>
      <c r="S150" s="206">
        <v>4.6277665995975895E-2</v>
      </c>
      <c r="T150" s="204" t="s">
        <v>405</v>
      </c>
      <c r="U150" s="204" t="s">
        <v>225</v>
      </c>
      <c r="V150" s="204"/>
      <c r="W150" s="211">
        <v>1</v>
      </c>
      <c r="X150" s="204" t="s">
        <v>436</v>
      </c>
    </row>
    <row r="151" spans="2:24">
      <c r="B151" s="659"/>
      <c r="C151" s="659"/>
      <c r="D151" s="239">
        <v>45</v>
      </c>
      <c r="E151" s="204" t="s">
        <v>599</v>
      </c>
      <c r="F151" s="205">
        <v>223.32975999999854</v>
      </c>
      <c r="G151" s="204">
        <v>35.298000000000002</v>
      </c>
      <c r="H151" s="204">
        <v>35.9</v>
      </c>
      <c r="I151" s="216">
        <f t="shared" si="18"/>
        <v>1.0170547906396963</v>
      </c>
      <c r="J151" s="204">
        <v>0</v>
      </c>
      <c r="K151" s="216">
        <f t="shared" si="19"/>
        <v>0</v>
      </c>
      <c r="L151" s="205">
        <v>444.88</v>
      </c>
      <c r="M151" s="216">
        <f t="shared" si="20"/>
        <v>1.0170547906396963</v>
      </c>
      <c r="N151" s="205">
        <v>267.81775999999854</v>
      </c>
      <c r="O151" s="204">
        <v>0.1</v>
      </c>
      <c r="P151" s="206">
        <v>2.8330217009462292E-3</v>
      </c>
      <c r="Q151" s="281">
        <v>44.488</v>
      </c>
      <c r="R151" s="204">
        <v>0.50199999999999678</v>
      </c>
      <c r="S151" s="206">
        <v>1.422176893874998E-2</v>
      </c>
      <c r="T151" s="204" t="s">
        <v>405</v>
      </c>
      <c r="U151" s="204" t="s">
        <v>225</v>
      </c>
      <c r="V151" s="204"/>
      <c r="W151" s="211">
        <v>1</v>
      </c>
      <c r="X151" s="204" t="s">
        <v>598</v>
      </c>
    </row>
    <row r="152" spans="2:24">
      <c r="B152" s="659"/>
      <c r="C152" s="659"/>
      <c r="D152" s="239">
        <v>46</v>
      </c>
      <c r="E152" s="204" t="s">
        <v>558</v>
      </c>
      <c r="F152" s="205">
        <v>216.32124000000005</v>
      </c>
      <c r="G152" s="204">
        <v>21.468</v>
      </c>
      <c r="H152" s="204">
        <v>22</v>
      </c>
      <c r="I152" s="216">
        <f t="shared" si="18"/>
        <v>1.0247810694987889</v>
      </c>
      <c r="J152" s="204">
        <v>0</v>
      </c>
      <c r="K152" s="216">
        <f t="shared" si="19"/>
        <v>0</v>
      </c>
      <c r="L152" s="205">
        <v>651.57000000000005</v>
      </c>
      <c r="M152" s="216">
        <f t="shared" si="20"/>
        <v>1.0247810694987889</v>
      </c>
      <c r="N152" s="205">
        <v>346.63524000000007</v>
      </c>
      <c r="O152" s="204">
        <v>0.2</v>
      </c>
      <c r="P152" s="206">
        <v>9.3161915408980812E-3</v>
      </c>
      <c r="Q152" s="281">
        <v>130.31400000000002</v>
      </c>
      <c r="R152" s="204">
        <v>0.33200000000000002</v>
      </c>
      <c r="S152" s="206">
        <v>1.5464877957890815E-2</v>
      </c>
      <c r="T152" s="204" t="s">
        <v>402</v>
      </c>
      <c r="U152" s="204" t="s">
        <v>224</v>
      </c>
      <c r="V152" s="204"/>
      <c r="W152" s="211">
        <v>1</v>
      </c>
      <c r="X152" s="204" t="s">
        <v>559</v>
      </c>
    </row>
    <row r="153" spans="2:24">
      <c r="B153" s="659"/>
      <c r="C153" s="659"/>
      <c r="D153" s="239">
        <v>47</v>
      </c>
      <c r="E153" s="204" t="s">
        <v>433</v>
      </c>
      <c r="F153" s="205">
        <v>212.98271999999977</v>
      </c>
      <c r="G153" s="204">
        <v>26.334</v>
      </c>
      <c r="H153" s="204">
        <v>26</v>
      </c>
      <c r="I153" s="216">
        <f t="shared" si="18"/>
        <v>0.98731677679046104</v>
      </c>
      <c r="J153" s="204">
        <v>0.7</v>
      </c>
      <c r="K153" s="216">
        <f t="shared" si="19"/>
        <v>2.6581605528973949E-2</v>
      </c>
      <c r="L153" s="205">
        <v>581.91999999999996</v>
      </c>
      <c r="M153" s="216">
        <f t="shared" si="20"/>
        <v>1.013898382319435</v>
      </c>
      <c r="N153" s="205">
        <v>212.98271999999977</v>
      </c>
      <c r="O153" s="204">
        <v>0</v>
      </c>
      <c r="P153" s="206">
        <v>0</v>
      </c>
      <c r="Q153" s="281">
        <v>0</v>
      </c>
      <c r="R153" s="204">
        <v>0.36599999999999966</v>
      </c>
      <c r="S153" s="206">
        <v>1.3898382319434938E-2</v>
      </c>
      <c r="T153" s="204" t="s">
        <v>405</v>
      </c>
      <c r="U153" s="204" t="s">
        <v>225</v>
      </c>
      <c r="V153" s="204"/>
      <c r="W153" s="211">
        <v>1</v>
      </c>
      <c r="X153" s="204" t="s">
        <v>434</v>
      </c>
    </row>
    <row r="154" spans="2:24">
      <c r="B154" s="659"/>
      <c r="C154" s="659"/>
      <c r="D154" s="239">
        <v>48</v>
      </c>
      <c r="E154" s="204" t="s">
        <v>584</v>
      </c>
      <c r="F154" s="205">
        <v>211.0680000000003</v>
      </c>
      <c r="G154" s="204">
        <v>33.131999999999998</v>
      </c>
      <c r="H154" s="204">
        <v>33.9</v>
      </c>
      <c r="I154" s="216">
        <f t="shared" si="18"/>
        <v>1.0231800072437522</v>
      </c>
      <c r="J154" s="204">
        <v>0</v>
      </c>
      <c r="K154" s="216">
        <f t="shared" si="19"/>
        <v>0</v>
      </c>
      <c r="L154" s="205">
        <v>451</v>
      </c>
      <c r="M154" s="216">
        <f t="shared" si="20"/>
        <v>1.0231800072437522</v>
      </c>
      <c r="N154" s="205">
        <v>346.36800000000028</v>
      </c>
      <c r="O154" s="204">
        <v>0.3</v>
      </c>
      <c r="P154" s="206">
        <v>9.0546903295907286E-3</v>
      </c>
      <c r="Q154" s="281">
        <v>135.29999999999998</v>
      </c>
      <c r="R154" s="204">
        <v>0.46800000000000069</v>
      </c>
      <c r="S154" s="206">
        <v>1.4125316914161558E-2</v>
      </c>
      <c r="T154" s="204" t="s">
        <v>402</v>
      </c>
      <c r="U154" s="204" t="s">
        <v>224</v>
      </c>
      <c r="V154" s="204"/>
      <c r="W154" s="211">
        <v>1</v>
      </c>
      <c r="X154" s="204" t="s">
        <v>516</v>
      </c>
    </row>
    <row r="155" spans="2:24">
      <c r="B155" s="659"/>
      <c r="C155" s="659"/>
      <c r="D155" s="239">
        <v>49</v>
      </c>
      <c r="E155" s="204" t="s">
        <v>569</v>
      </c>
      <c r="F155" s="205">
        <v>197.57042999999942</v>
      </c>
      <c r="G155" s="204">
        <v>74.082999999999998</v>
      </c>
      <c r="H155" s="204">
        <v>74.8</v>
      </c>
      <c r="I155" s="216">
        <f t="shared" si="18"/>
        <v>1.0096783337607818</v>
      </c>
      <c r="J155" s="204">
        <v>0</v>
      </c>
      <c r="K155" s="216">
        <f t="shared" si="19"/>
        <v>0</v>
      </c>
      <c r="L155" s="205">
        <v>473.79</v>
      </c>
      <c r="M155" s="216">
        <f t="shared" si="20"/>
        <v>1.0096783337607818</v>
      </c>
      <c r="N155" s="205">
        <v>339.70742999999942</v>
      </c>
      <c r="O155" s="204">
        <v>0.3</v>
      </c>
      <c r="P155" s="206">
        <v>4.0495120337999272E-3</v>
      </c>
      <c r="Q155" s="281">
        <v>142.137</v>
      </c>
      <c r="R155" s="204">
        <v>0.41699999999999876</v>
      </c>
      <c r="S155" s="206">
        <v>5.6288217269818818E-3</v>
      </c>
      <c r="T155" s="204" t="s">
        <v>405</v>
      </c>
      <c r="U155" s="204" t="s">
        <v>225</v>
      </c>
      <c r="V155" s="204"/>
      <c r="W155" s="211">
        <v>1</v>
      </c>
      <c r="X155" s="204" t="s">
        <v>423</v>
      </c>
    </row>
    <row r="156" spans="2:24">
      <c r="B156" s="659"/>
      <c r="C156" s="659"/>
      <c r="D156" s="239">
        <v>50</v>
      </c>
      <c r="E156" s="204" t="s">
        <v>414</v>
      </c>
      <c r="F156" s="205">
        <v>194.62790099008851</v>
      </c>
      <c r="G156" s="204">
        <v>65.6683168316832</v>
      </c>
      <c r="H156" s="204">
        <v>66.8</v>
      </c>
      <c r="I156" s="216">
        <f t="shared" si="18"/>
        <v>1.0172333207689404</v>
      </c>
      <c r="J156" s="204">
        <v>0</v>
      </c>
      <c r="K156" s="216">
        <f t="shared" si="19"/>
        <v>0</v>
      </c>
      <c r="L156" s="205">
        <v>308.11</v>
      </c>
      <c r="M156" s="216">
        <f t="shared" si="20"/>
        <v>1.0172333207689404</v>
      </c>
      <c r="N156" s="205">
        <v>348.68290099008851</v>
      </c>
      <c r="O156" s="204">
        <v>0.5</v>
      </c>
      <c r="P156" s="206">
        <v>7.6140218620429669E-3</v>
      </c>
      <c r="Q156" s="281">
        <v>154.05500000000001</v>
      </c>
      <c r="R156" s="204">
        <v>0.63168316831679761</v>
      </c>
      <c r="S156" s="206">
        <v>9.6192989068973282E-3</v>
      </c>
      <c r="T156" s="204" t="s">
        <v>402</v>
      </c>
      <c r="U156" s="204" t="s">
        <v>224</v>
      </c>
      <c r="V156" s="204"/>
      <c r="W156" s="211">
        <v>1</v>
      </c>
      <c r="X156" s="204" t="s">
        <v>415</v>
      </c>
    </row>
    <row r="157" spans="2:24">
      <c r="B157" s="661">
        <v>45885</v>
      </c>
      <c r="C157" s="659" t="s">
        <v>271</v>
      </c>
      <c r="D157" s="239">
        <v>51</v>
      </c>
      <c r="E157" s="204" t="s">
        <v>569</v>
      </c>
      <c r="F157" s="205">
        <v>488.47749000000152</v>
      </c>
      <c r="G157" s="204">
        <v>71.369</v>
      </c>
      <c r="H157" s="204">
        <v>72.7</v>
      </c>
      <c r="I157" s="216">
        <f t="shared" si="18"/>
        <v>1.0186495537278091</v>
      </c>
      <c r="J157" s="204">
        <v>0</v>
      </c>
      <c r="K157" s="216">
        <f t="shared" si="19"/>
        <v>0</v>
      </c>
      <c r="L157" s="205">
        <v>473.79</v>
      </c>
      <c r="M157" s="216">
        <f t="shared" si="20"/>
        <v>1.0186495537278091</v>
      </c>
      <c r="N157" s="205">
        <v>630.61449000000152</v>
      </c>
      <c r="O157" s="204">
        <v>0.3</v>
      </c>
      <c r="P157" s="206">
        <v>4.2035057237736267E-3</v>
      </c>
      <c r="Q157" s="281">
        <v>142.137</v>
      </c>
      <c r="R157" s="204">
        <v>1.031000000000003</v>
      </c>
      <c r="S157" s="206">
        <v>1.4446048004035409E-2</v>
      </c>
      <c r="T157" s="204" t="s">
        <v>405</v>
      </c>
      <c r="U157" s="204" t="s">
        <v>225</v>
      </c>
      <c r="V157" s="204"/>
      <c r="W157" s="211">
        <v>1</v>
      </c>
      <c r="X157" s="204" t="s">
        <v>423</v>
      </c>
    </row>
    <row r="158" spans="2:24">
      <c r="B158" s="659"/>
      <c r="C158" s="659"/>
      <c r="D158" s="239">
        <v>52</v>
      </c>
      <c r="E158" s="204" t="s">
        <v>426</v>
      </c>
      <c r="F158" s="205">
        <v>335.61948000000211</v>
      </c>
      <c r="G158" s="204">
        <v>172.44200000000001</v>
      </c>
      <c r="H158" s="204">
        <v>173.3</v>
      </c>
      <c r="I158" s="216">
        <f t="shared" si="18"/>
        <v>1.0049755859941314</v>
      </c>
      <c r="J158" s="204">
        <v>0</v>
      </c>
      <c r="K158" s="216">
        <f t="shared" si="19"/>
        <v>0</v>
      </c>
      <c r="L158" s="205">
        <v>510.06</v>
      </c>
      <c r="M158" s="216">
        <f t="shared" si="20"/>
        <v>1.0049755859941314</v>
      </c>
      <c r="N158" s="205">
        <v>437.63148000000211</v>
      </c>
      <c r="O158" s="204">
        <v>0.2</v>
      </c>
      <c r="P158" s="206">
        <v>1.1598102550422751E-3</v>
      </c>
      <c r="Q158" s="281">
        <v>102.012</v>
      </c>
      <c r="R158" s="204">
        <v>0.65800000000000414</v>
      </c>
      <c r="S158" s="206">
        <v>3.8157757390891089E-3</v>
      </c>
      <c r="T158" s="204" t="s">
        <v>405</v>
      </c>
      <c r="U158" s="204" t="s">
        <v>225</v>
      </c>
      <c r="V158" s="204"/>
      <c r="W158" s="211">
        <v>1</v>
      </c>
      <c r="X158" s="204" t="s">
        <v>423</v>
      </c>
    </row>
    <row r="159" spans="2:24">
      <c r="B159" s="659"/>
      <c r="C159" s="659"/>
      <c r="D159" s="239">
        <v>53</v>
      </c>
      <c r="E159" s="204" t="s">
        <v>525</v>
      </c>
      <c r="F159" s="205">
        <v>259.57043999999962</v>
      </c>
      <c r="G159" s="204">
        <v>11.121</v>
      </c>
      <c r="H159" s="204">
        <v>11.5</v>
      </c>
      <c r="I159" s="216">
        <f t="shared" si="18"/>
        <v>1.0340796690945058</v>
      </c>
      <c r="J159" s="204">
        <v>0</v>
      </c>
      <c r="K159" s="216">
        <f t="shared" si="19"/>
        <v>0</v>
      </c>
      <c r="L159" s="205">
        <v>930.36</v>
      </c>
      <c r="M159" s="216">
        <f t="shared" si="20"/>
        <v>1.0340796690945058</v>
      </c>
      <c r="N159" s="205">
        <v>352.60643999999962</v>
      </c>
      <c r="O159" s="204">
        <v>0.1</v>
      </c>
      <c r="P159" s="206">
        <v>8.9919971225609213E-3</v>
      </c>
      <c r="Q159" s="281">
        <v>93.036000000000001</v>
      </c>
      <c r="R159" s="204">
        <v>0.27899999999999958</v>
      </c>
      <c r="S159" s="206">
        <v>2.508767197194493E-2</v>
      </c>
      <c r="T159" s="204" t="s">
        <v>405</v>
      </c>
      <c r="U159" s="204" t="s">
        <v>225</v>
      </c>
      <c r="V159" s="204"/>
      <c r="W159" s="211">
        <v>1</v>
      </c>
      <c r="X159" s="204" t="s">
        <v>474</v>
      </c>
    </row>
    <row r="160" spans="2:24">
      <c r="B160" s="659"/>
      <c r="C160" s="659"/>
      <c r="D160" s="239">
        <v>54</v>
      </c>
      <c r="E160" s="204" t="s">
        <v>611</v>
      </c>
      <c r="F160" s="205">
        <v>230.11999999999995</v>
      </c>
      <c r="G160" s="204">
        <v>7.65</v>
      </c>
      <c r="H160" s="204">
        <v>8.4</v>
      </c>
      <c r="I160" s="216">
        <f t="shared" si="18"/>
        <v>1.0980392156862746</v>
      </c>
      <c r="J160" s="204">
        <v>0</v>
      </c>
      <c r="K160" s="216">
        <f t="shared" si="19"/>
        <v>0</v>
      </c>
      <c r="L160" s="205">
        <v>418.4</v>
      </c>
      <c r="M160" s="216">
        <f t="shared" si="20"/>
        <v>1.0980392156862746</v>
      </c>
      <c r="N160" s="205">
        <v>313.79999999999995</v>
      </c>
      <c r="O160" s="204">
        <v>0.2</v>
      </c>
      <c r="P160" s="206">
        <v>2.6143790849673203E-2</v>
      </c>
      <c r="Q160" s="281">
        <v>83.68</v>
      </c>
      <c r="R160" s="204">
        <v>0.55000000000000004</v>
      </c>
      <c r="S160" s="206">
        <v>7.1895424836601315E-2</v>
      </c>
      <c r="T160" s="204" t="s">
        <v>419</v>
      </c>
      <c r="U160" s="204" t="s">
        <v>420</v>
      </c>
      <c r="V160" s="204"/>
      <c r="W160" s="211">
        <v>1</v>
      </c>
      <c r="X160" s="204" t="s">
        <v>612</v>
      </c>
    </row>
    <row r="161" spans="2:24">
      <c r="B161" s="659"/>
      <c r="C161" s="659"/>
      <c r="D161" s="239">
        <v>55</v>
      </c>
      <c r="E161" s="204" t="s">
        <v>435</v>
      </c>
      <c r="F161" s="205">
        <v>227.11694999999989</v>
      </c>
      <c r="G161" s="204">
        <v>6.2549999999999999</v>
      </c>
      <c r="H161" s="204">
        <v>6.8</v>
      </c>
      <c r="I161" s="216">
        <f t="shared" si="18"/>
        <v>1.0871302957633893</v>
      </c>
      <c r="J161" s="204">
        <v>0</v>
      </c>
      <c r="K161" s="216">
        <f t="shared" si="19"/>
        <v>0</v>
      </c>
      <c r="L161" s="205">
        <v>658.31</v>
      </c>
      <c r="M161" s="216">
        <f t="shared" si="20"/>
        <v>1.0871302957633893</v>
      </c>
      <c r="N161" s="205">
        <v>358.7789499999999</v>
      </c>
      <c r="O161" s="204">
        <v>0.2</v>
      </c>
      <c r="P161" s="206">
        <v>3.1974420463629097E-2</v>
      </c>
      <c r="Q161" s="281">
        <v>131.66200000000001</v>
      </c>
      <c r="R161" s="204">
        <v>0.34499999999999992</v>
      </c>
      <c r="S161" s="206">
        <v>5.5155875299760182E-2</v>
      </c>
      <c r="T161" s="204" t="s">
        <v>405</v>
      </c>
      <c r="U161" s="204" t="s">
        <v>225</v>
      </c>
      <c r="V161" s="204"/>
      <c r="W161" s="211">
        <v>1</v>
      </c>
      <c r="X161" s="204" t="s">
        <v>436</v>
      </c>
    </row>
    <row r="162" spans="2:24">
      <c r="B162" s="659"/>
      <c r="C162" s="659"/>
      <c r="D162" s="239">
        <v>56</v>
      </c>
      <c r="E162" s="204" t="s">
        <v>599</v>
      </c>
      <c r="F162" s="205">
        <v>215.32192000000077</v>
      </c>
      <c r="G162" s="204">
        <v>36.216000000000001</v>
      </c>
      <c r="H162" s="204">
        <v>36.700000000000003</v>
      </c>
      <c r="I162" s="216">
        <f t="shared" si="18"/>
        <v>1.0133642588910978</v>
      </c>
      <c r="J162" s="204">
        <v>0</v>
      </c>
      <c r="K162" s="216">
        <f t="shared" si="19"/>
        <v>0</v>
      </c>
      <c r="L162" s="205">
        <v>444.88</v>
      </c>
      <c r="M162" s="216">
        <f t="shared" si="20"/>
        <v>1.0133642588910978</v>
      </c>
      <c r="N162" s="205">
        <v>215.32192000000077</v>
      </c>
      <c r="O162" s="204">
        <v>0</v>
      </c>
      <c r="P162" s="206">
        <v>0</v>
      </c>
      <c r="Q162" s="281">
        <v>0</v>
      </c>
      <c r="R162" s="204">
        <v>0.48400000000000176</v>
      </c>
      <c r="S162" s="206">
        <v>1.3364258891097906E-2</v>
      </c>
      <c r="T162" s="204" t="s">
        <v>405</v>
      </c>
      <c r="U162" s="204" t="s">
        <v>225</v>
      </c>
      <c r="V162" s="204"/>
      <c r="W162" s="211">
        <v>1</v>
      </c>
      <c r="X162" s="204" t="s">
        <v>598</v>
      </c>
    </row>
    <row r="163" spans="2:24">
      <c r="B163" s="659"/>
      <c r="C163" s="659"/>
      <c r="D163" s="239">
        <v>57</v>
      </c>
      <c r="E163" s="204" t="s">
        <v>524</v>
      </c>
      <c r="F163" s="205">
        <v>198.89920000000006</v>
      </c>
      <c r="G163" s="204">
        <v>45.887999999999998</v>
      </c>
      <c r="H163" s="204">
        <v>47.9</v>
      </c>
      <c r="I163" s="216">
        <f t="shared" si="18"/>
        <v>1.0438458856345885</v>
      </c>
      <c r="J163" s="204">
        <v>0</v>
      </c>
      <c r="K163" s="216">
        <f t="shared" si="19"/>
        <v>0</v>
      </c>
      <c r="L163" s="205">
        <v>151.6</v>
      </c>
      <c r="M163" s="216">
        <f t="shared" si="20"/>
        <v>1.0438458856345885</v>
      </c>
      <c r="N163" s="205">
        <v>305.01920000000007</v>
      </c>
      <c r="O163" s="204">
        <v>0.70000000000000007</v>
      </c>
      <c r="P163" s="206">
        <v>1.5254532775453279E-2</v>
      </c>
      <c r="Q163" s="281">
        <v>106.12</v>
      </c>
      <c r="R163" s="204">
        <v>1.3120000000000003</v>
      </c>
      <c r="S163" s="206">
        <v>2.8591352859135295E-2</v>
      </c>
      <c r="T163" s="204" t="s">
        <v>419</v>
      </c>
      <c r="U163" s="204" t="s">
        <v>522</v>
      </c>
      <c r="V163" s="204"/>
      <c r="W163" s="211">
        <v>1</v>
      </c>
      <c r="X163" s="204" t="s">
        <v>493</v>
      </c>
    </row>
    <row r="164" spans="2:24">
      <c r="B164" s="659"/>
      <c r="C164" s="659"/>
      <c r="D164" s="239">
        <v>58</v>
      </c>
      <c r="E164" s="204" t="s">
        <v>414</v>
      </c>
      <c r="F164" s="205">
        <v>184.4084108910734</v>
      </c>
      <c r="G164" s="204">
        <v>66.101485148514897</v>
      </c>
      <c r="H164" s="204">
        <v>67.099999999999994</v>
      </c>
      <c r="I164" s="216">
        <f t="shared" si="18"/>
        <v>1.0151057854334387</v>
      </c>
      <c r="J164" s="204">
        <v>0</v>
      </c>
      <c r="K164" s="216">
        <f t="shared" si="19"/>
        <v>0</v>
      </c>
      <c r="L164" s="205">
        <v>308.11</v>
      </c>
      <c r="M164" s="216">
        <f t="shared" si="20"/>
        <v>1.0151057854334387</v>
      </c>
      <c r="N164" s="205">
        <v>307.65241089107343</v>
      </c>
      <c r="O164" s="204">
        <v>0.4</v>
      </c>
      <c r="P164" s="206">
        <v>6.0513012544467287E-3</v>
      </c>
      <c r="Q164" s="281">
        <v>123.24400000000001</v>
      </c>
      <c r="R164" s="204">
        <v>0.59851485148509764</v>
      </c>
      <c r="S164" s="206">
        <v>9.0544841789919218E-3</v>
      </c>
      <c r="T164" s="204" t="s">
        <v>402</v>
      </c>
      <c r="U164" s="204" t="s">
        <v>224</v>
      </c>
      <c r="V164" s="204"/>
      <c r="W164" s="211">
        <v>1</v>
      </c>
      <c r="X164" s="204" t="s">
        <v>415</v>
      </c>
    </row>
    <row r="165" spans="2:24">
      <c r="B165" s="659"/>
      <c r="C165" s="659"/>
      <c r="D165" s="239">
        <v>59</v>
      </c>
      <c r="E165" s="204" t="s">
        <v>573</v>
      </c>
      <c r="F165" s="205">
        <v>184.39515000000216</v>
      </c>
      <c r="G165" s="204">
        <v>80.114999999999995</v>
      </c>
      <c r="H165" s="204">
        <v>81.2</v>
      </c>
      <c r="I165" s="216">
        <f t="shared" si="18"/>
        <v>1.0135430318916558</v>
      </c>
      <c r="J165" s="204">
        <v>0</v>
      </c>
      <c r="K165" s="216">
        <f t="shared" si="19"/>
        <v>0</v>
      </c>
      <c r="L165" s="205">
        <v>269.19</v>
      </c>
      <c r="M165" s="216">
        <f t="shared" si="20"/>
        <v>1.0135430318916558</v>
      </c>
      <c r="N165" s="205">
        <v>292.07115000000215</v>
      </c>
      <c r="O165" s="204">
        <v>0.4</v>
      </c>
      <c r="P165" s="206">
        <v>4.9928228172002754E-3</v>
      </c>
      <c r="Q165" s="281">
        <v>107.676</v>
      </c>
      <c r="R165" s="204">
        <v>0.68500000000000794</v>
      </c>
      <c r="S165" s="206">
        <v>8.5502090744555698E-3</v>
      </c>
      <c r="T165" s="204" t="s">
        <v>402</v>
      </c>
      <c r="U165" s="204" t="s">
        <v>224</v>
      </c>
      <c r="V165" s="204"/>
      <c r="W165" s="211">
        <v>1</v>
      </c>
      <c r="X165" s="204" t="s">
        <v>482</v>
      </c>
    </row>
    <row r="166" spans="2:24">
      <c r="B166" s="659"/>
      <c r="C166" s="659"/>
      <c r="D166" s="239">
        <v>60</v>
      </c>
      <c r="E166" s="204" t="s">
        <v>584</v>
      </c>
      <c r="F166" s="205">
        <v>180.40000000000066</v>
      </c>
      <c r="G166" s="204">
        <v>31.9</v>
      </c>
      <c r="H166" s="204">
        <v>32.5</v>
      </c>
      <c r="I166" s="216">
        <f t="shared" si="18"/>
        <v>1.0188087774294672</v>
      </c>
      <c r="J166" s="204">
        <v>0</v>
      </c>
      <c r="K166" s="216">
        <f t="shared" si="19"/>
        <v>0</v>
      </c>
      <c r="L166" s="205">
        <v>451</v>
      </c>
      <c r="M166" s="216">
        <f t="shared" si="20"/>
        <v>1.0188087774294672</v>
      </c>
      <c r="N166" s="205">
        <v>270.60000000000065</v>
      </c>
      <c r="O166" s="204">
        <v>0.2</v>
      </c>
      <c r="P166" s="206">
        <v>6.2695924764890288E-3</v>
      </c>
      <c r="Q166" s="281">
        <v>90.2</v>
      </c>
      <c r="R166" s="204">
        <v>0.40000000000000141</v>
      </c>
      <c r="S166" s="206">
        <v>1.2539184952978101E-2</v>
      </c>
      <c r="T166" s="204" t="s">
        <v>402</v>
      </c>
      <c r="U166" s="204" t="s">
        <v>224</v>
      </c>
      <c r="V166" s="204"/>
      <c r="W166" s="211">
        <v>1</v>
      </c>
      <c r="X166" s="204" t="s">
        <v>516</v>
      </c>
    </row>
    <row r="167" spans="2:24">
      <c r="B167" s="661">
        <v>45886</v>
      </c>
      <c r="C167" s="659" t="s">
        <v>267</v>
      </c>
      <c r="D167" s="239">
        <v>61</v>
      </c>
      <c r="E167" s="204" t="s">
        <v>426</v>
      </c>
      <c r="F167" s="205">
        <v>455.99363999999991</v>
      </c>
      <c r="G167" s="204">
        <v>177.60599999999999</v>
      </c>
      <c r="H167" s="204">
        <v>178</v>
      </c>
      <c r="I167" s="216">
        <f t="shared" si="18"/>
        <v>1.0022183935227413</v>
      </c>
      <c r="J167" s="204">
        <v>0.6</v>
      </c>
      <c r="K167" s="216">
        <f t="shared" si="19"/>
        <v>3.378264247829465E-3</v>
      </c>
      <c r="L167" s="205">
        <v>510.06</v>
      </c>
      <c r="M167" s="216">
        <f t="shared" si="20"/>
        <v>1.0055966577705708</v>
      </c>
      <c r="N167" s="205">
        <v>506.99963999999989</v>
      </c>
      <c r="O167" s="204">
        <v>0.1</v>
      </c>
      <c r="P167" s="206">
        <v>5.6304404130491095E-4</v>
      </c>
      <c r="Q167" s="281">
        <v>51.006</v>
      </c>
      <c r="R167" s="204">
        <v>0.89399999999999979</v>
      </c>
      <c r="S167" s="206">
        <v>5.0336137292659022E-3</v>
      </c>
      <c r="T167" s="204" t="s">
        <v>405</v>
      </c>
      <c r="U167" s="204" t="s">
        <v>226</v>
      </c>
      <c r="V167" s="204"/>
      <c r="W167" s="211">
        <v>1</v>
      </c>
      <c r="X167" s="204" t="s">
        <v>423</v>
      </c>
    </row>
    <row r="168" spans="2:24">
      <c r="B168" s="659"/>
      <c r="C168" s="659"/>
      <c r="D168" s="239">
        <v>62</v>
      </c>
      <c r="E168" s="204" t="s">
        <v>545</v>
      </c>
      <c r="F168" s="205">
        <v>395.34895999999986</v>
      </c>
      <c r="G168" s="204">
        <v>37.247999999999998</v>
      </c>
      <c r="H168" s="204">
        <v>38.299999999999997</v>
      </c>
      <c r="I168" s="216">
        <f t="shared" si="18"/>
        <v>1.0282431271477663</v>
      </c>
      <c r="J168" s="204">
        <v>0</v>
      </c>
      <c r="K168" s="216">
        <f t="shared" si="19"/>
        <v>0</v>
      </c>
      <c r="L168" s="205">
        <v>525.73</v>
      </c>
      <c r="M168" s="216">
        <f t="shared" si="20"/>
        <v>1.0282431271477663</v>
      </c>
      <c r="N168" s="205">
        <v>553.06795999999986</v>
      </c>
      <c r="O168" s="204">
        <v>0.3</v>
      </c>
      <c r="P168" s="206">
        <v>8.0541237113402071E-3</v>
      </c>
      <c r="Q168" s="281">
        <v>157.71899999999999</v>
      </c>
      <c r="R168" s="204">
        <v>0.75199999999999956</v>
      </c>
      <c r="S168" s="206">
        <v>2.0189003436426108E-2</v>
      </c>
      <c r="T168" s="204" t="s">
        <v>405</v>
      </c>
      <c r="U168" s="204" t="s">
        <v>226</v>
      </c>
      <c r="V168" s="204"/>
      <c r="W168" s="211">
        <v>1</v>
      </c>
      <c r="X168" s="204" t="s">
        <v>517</v>
      </c>
    </row>
    <row r="169" spans="2:24">
      <c r="B169" s="659"/>
      <c r="C169" s="659"/>
      <c r="D169" s="239">
        <v>63</v>
      </c>
      <c r="E169" s="204" t="s">
        <v>569</v>
      </c>
      <c r="F169" s="205">
        <v>370.02999000000153</v>
      </c>
      <c r="G169" s="204">
        <v>65.619</v>
      </c>
      <c r="H169" s="204">
        <v>66.7</v>
      </c>
      <c r="I169" s="216">
        <f t="shared" si="18"/>
        <v>1.0164738871363477</v>
      </c>
      <c r="J169" s="204">
        <v>0</v>
      </c>
      <c r="K169" s="216">
        <f t="shared" si="19"/>
        <v>0</v>
      </c>
      <c r="L169" s="205">
        <v>473.79</v>
      </c>
      <c r="M169" s="216">
        <f t="shared" si="20"/>
        <v>1.0164738871363477</v>
      </c>
      <c r="N169" s="205">
        <v>512.16699000000153</v>
      </c>
      <c r="O169" s="204">
        <v>0.3</v>
      </c>
      <c r="P169" s="206">
        <v>4.5718465688291497E-3</v>
      </c>
      <c r="Q169" s="281">
        <v>142.137</v>
      </c>
      <c r="R169" s="204">
        <v>0.78100000000000303</v>
      </c>
      <c r="S169" s="206">
        <v>1.1902040567518601E-2</v>
      </c>
      <c r="T169" s="204" t="s">
        <v>405</v>
      </c>
      <c r="U169" s="204" t="s">
        <v>226</v>
      </c>
      <c r="V169" s="204"/>
      <c r="W169" s="211">
        <v>1</v>
      </c>
      <c r="X169" s="204" t="s">
        <v>423</v>
      </c>
    </row>
    <row r="170" spans="2:24">
      <c r="B170" s="659"/>
      <c r="C170" s="659"/>
      <c r="D170" s="239">
        <v>64</v>
      </c>
      <c r="E170" s="204" t="s">
        <v>599</v>
      </c>
      <c r="F170" s="205">
        <v>224.2195200000009</v>
      </c>
      <c r="G170" s="204">
        <v>30.995999999999999</v>
      </c>
      <c r="H170" s="204">
        <v>31.8</v>
      </c>
      <c r="I170" s="216">
        <f t="shared" si="18"/>
        <v>1.0259388308168798</v>
      </c>
      <c r="J170" s="204">
        <v>0</v>
      </c>
      <c r="K170" s="216">
        <f t="shared" si="19"/>
        <v>0</v>
      </c>
      <c r="L170" s="205">
        <v>444.88</v>
      </c>
      <c r="M170" s="216">
        <f t="shared" si="20"/>
        <v>1.0259388308168798</v>
      </c>
      <c r="N170" s="205">
        <v>357.6835200000009</v>
      </c>
      <c r="O170" s="204">
        <v>0.3</v>
      </c>
      <c r="P170" s="206">
        <v>9.678668215253582E-3</v>
      </c>
      <c r="Q170" s="281">
        <v>133.464</v>
      </c>
      <c r="R170" s="204">
        <v>0.504000000000002</v>
      </c>
      <c r="S170" s="206">
        <v>1.626016260162608E-2</v>
      </c>
      <c r="T170" s="204" t="s">
        <v>405</v>
      </c>
      <c r="U170" s="204" t="s">
        <v>226</v>
      </c>
      <c r="V170" s="204"/>
      <c r="W170" s="211">
        <v>1</v>
      </c>
      <c r="X170" s="204" t="s">
        <v>598</v>
      </c>
    </row>
    <row r="171" spans="2:24">
      <c r="B171" s="659"/>
      <c r="C171" s="659"/>
      <c r="D171" s="239">
        <v>65</v>
      </c>
      <c r="E171" s="204" t="s">
        <v>528</v>
      </c>
      <c r="F171" s="205">
        <v>210.16500000000354</v>
      </c>
      <c r="G171" s="204">
        <v>90.3</v>
      </c>
      <c r="H171" s="204">
        <v>90.5</v>
      </c>
      <c r="I171" s="216">
        <f t="shared" si="18"/>
        <v>1.0022148394241417</v>
      </c>
      <c r="J171" s="204">
        <v>0.4</v>
      </c>
      <c r="K171" s="216">
        <f t="shared" si="19"/>
        <v>4.4296788482835001E-3</v>
      </c>
      <c r="L171" s="205">
        <v>420.33</v>
      </c>
      <c r="M171" s="216">
        <f t="shared" si="20"/>
        <v>1.0066445182724253</v>
      </c>
      <c r="N171" s="205">
        <v>252.19800000000356</v>
      </c>
      <c r="O171" s="204">
        <v>0.1</v>
      </c>
      <c r="P171" s="206">
        <v>1.107419712070875E-3</v>
      </c>
      <c r="Q171" s="281">
        <v>42.033000000000001</v>
      </c>
      <c r="R171" s="204">
        <v>0.50000000000000855</v>
      </c>
      <c r="S171" s="206">
        <v>5.5370985603544693E-3</v>
      </c>
      <c r="T171" s="204" t="s">
        <v>405</v>
      </c>
      <c r="U171" s="204" t="s">
        <v>225</v>
      </c>
      <c r="V171" s="204"/>
      <c r="W171" s="211">
        <v>1</v>
      </c>
      <c r="X171" s="204" t="s">
        <v>487</v>
      </c>
    </row>
    <row r="172" spans="2:24">
      <c r="B172" s="659"/>
      <c r="C172" s="659"/>
      <c r="D172" s="239">
        <v>66</v>
      </c>
      <c r="E172" s="204" t="s">
        <v>401</v>
      </c>
      <c r="F172" s="205">
        <v>206.53136000000029</v>
      </c>
      <c r="G172" s="204">
        <v>6.1559999999999997</v>
      </c>
      <c r="H172" s="204">
        <v>6.5</v>
      </c>
      <c r="I172" s="216">
        <f t="shared" si="18"/>
        <v>1.0558804418453542</v>
      </c>
      <c r="J172" s="204">
        <v>0</v>
      </c>
      <c r="K172" s="216">
        <f t="shared" si="19"/>
        <v>0</v>
      </c>
      <c r="L172" s="205">
        <v>846.44</v>
      </c>
      <c r="M172" s="216">
        <f t="shared" si="20"/>
        <v>1.0558804418453542</v>
      </c>
      <c r="N172" s="205">
        <v>291.1753600000003</v>
      </c>
      <c r="O172" s="204">
        <v>0.1</v>
      </c>
      <c r="P172" s="206">
        <v>1.6244314489928528E-2</v>
      </c>
      <c r="Q172" s="281">
        <v>84.644000000000005</v>
      </c>
      <c r="R172" s="204">
        <v>0.2440000000000003</v>
      </c>
      <c r="S172" s="206">
        <v>3.9636127355425654E-2</v>
      </c>
      <c r="T172" s="204" t="s">
        <v>405</v>
      </c>
      <c r="U172" s="204" t="s">
        <v>412</v>
      </c>
      <c r="V172" s="204"/>
      <c r="W172" s="211">
        <v>1</v>
      </c>
      <c r="X172" s="204" t="s">
        <v>403</v>
      </c>
    </row>
    <row r="173" spans="2:24">
      <c r="B173" s="659"/>
      <c r="C173" s="659"/>
      <c r="D173" s="239">
        <v>67</v>
      </c>
      <c r="E173" s="204" t="s">
        <v>529</v>
      </c>
      <c r="F173" s="205">
        <v>200.01611999999855</v>
      </c>
      <c r="G173" s="204">
        <v>144.43100000000001</v>
      </c>
      <c r="H173" s="204">
        <v>147.5</v>
      </c>
      <c r="I173" s="216">
        <f t="shared" si="18"/>
        <v>1.0212489008592338</v>
      </c>
      <c r="J173" s="204">
        <v>0</v>
      </c>
      <c r="K173" s="216">
        <f t="shared" si="19"/>
        <v>0</v>
      </c>
      <c r="L173" s="205">
        <v>127.48</v>
      </c>
      <c r="M173" s="216">
        <f t="shared" si="20"/>
        <v>1.0212489008592338</v>
      </c>
      <c r="N173" s="205">
        <v>391.23611999999855</v>
      </c>
      <c r="O173" s="204">
        <v>1.5</v>
      </c>
      <c r="P173" s="206">
        <v>1.0385582042636276E-2</v>
      </c>
      <c r="Q173" s="281">
        <v>191.22</v>
      </c>
      <c r="R173" s="204">
        <v>1.5689999999999884</v>
      </c>
      <c r="S173" s="206">
        <v>1.0863318816597464E-2</v>
      </c>
      <c r="T173" s="204" t="s">
        <v>419</v>
      </c>
      <c r="U173" s="204" t="s">
        <v>522</v>
      </c>
      <c r="V173" s="204"/>
      <c r="W173" s="211">
        <v>1</v>
      </c>
      <c r="X173" s="204" t="s">
        <v>417</v>
      </c>
    </row>
    <row r="174" spans="2:24">
      <c r="B174" s="659"/>
      <c r="C174" s="659"/>
      <c r="D174" s="239">
        <v>68</v>
      </c>
      <c r="E174" s="204" t="s">
        <v>558</v>
      </c>
      <c r="F174" s="205">
        <v>169.40819999999871</v>
      </c>
      <c r="G174" s="204">
        <v>20.34</v>
      </c>
      <c r="H174" s="204">
        <v>20.399999999999999</v>
      </c>
      <c r="I174" s="216">
        <f t="shared" si="18"/>
        <v>1.0029498525073746</v>
      </c>
      <c r="J174" s="204">
        <v>0.2</v>
      </c>
      <c r="K174" s="216">
        <f t="shared" si="19"/>
        <v>9.8328416912487719E-3</v>
      </c>
      <c r="L174" s="205">
        <v>651.57000000000005</v>
      </c>
      <c r="M174" s="216">
        <f t="shared" si="20"/>
        <v>1.0127826941986233</v>
      </c>
      <c r="N174" s="205">
        <v>169.40819999999871</v>
      </c>
      <c r="O174" s="204">
        <v>0</v>
      </c>
      <c r="P174" s="206">
        <v>0</v>
      </c>
      <c r="Q174" s="281">
        <v>0</v>
      </c>
      <c r="R174" s="204">
        <v>0.25999999999999801</v>
      </c>
      <c r="S174" s="206">
        <v>1.2782694198623304E-2</v>
      </c>
      <c r="T174" s="204" t="s">
        <v>402</v>
      </c>
      <c r="U174" s="204" t="s">
        <v>224</v>
      </c>
      <c r="V174" s="204"/>
      <c r="W174" s="211">
        <v>1</v>
      </c>
      <c r="X174" s="204" t="s">
        <v>559</v>
      </c>
    </row>
    <row r="175" spans="2:24">
      <c r="B175" s="659"/>
      <c r="C175" s="659"/>
      <c r="D175" s="239">
        <v>69</v>
      </c>
      <c r="E175" s="204" t="s">
        <v>582</v>
      </c>
      <c r="F175" s="205">
        <v>165.59999999999974</v>
      </c>
      <c r="G175" s="204">
        <v>4.21</v>
      </c>
      <c r="H175" s="204">
        <v>4.3</v>
      </c>
      <c r="I175" s="216">
        <f t="shared" si="18"/>
        <v>1.0213776722090262</v>
      </c>
      <c r="J175" s="204">
        <v>0</v>
      </c>
      <c r="K175" s="216">
        <f t="shared" si="19"/>
        <v>0</v>
      </c>
      <c r="L175" s="205">
        <v>1840</v>
      </c>
      <c r="M175" s="216">
        <f t="shared" si="20"/>
        <v>1.0213776722090262</v>
      </c>
      <c r="N175" s="205">
        <v>165.59999999999974</v>
      </c>
      <c r="O175" s="204">
        <v>0</v>
      </c>
      <c r="P175" s="206">
        <v>0</v>
      </c>
      <c r="Q175" s="281">
        <v>0</v>
      </c>
      <c r="R175" s="204">
        <v>8.9999999999999858E-2</v>
      </c>
      <c r="S175" s="206">
        <v>2.1377672209026095E-2</v>
      </c>
      <c r="T175" s="204" t="s">
        <v>405</v>
      </c>
      <c r="U175" s="204" t="s">
        <v>412</v>
      </c>
      <c r="V175" s="204"/>
      <c r="W175" s="211">
        <v>1</v>
      </c>
      <c r="X175" s="204" t="s">
        <v>583</v>
      </c>
    </row>
    <row r="176" spans="2:24">
      <c r="B176" s="659"/>
      <c r="C176" s="659"/>
      <c r="D176" s="239">
        <v>70</v>
      </c>
      <c r="E176" s="204" t="s">
        <v>573</v>
      </c>
      <c r="F176" s="205">
        <v>161.51400000000154</v>
      </c>
      <c r="G176" s="204">
        <v>100.8</v>
      </c>
      <c r="H176" s="204">
        <v>101.7</v>
      </c>
      <c r="I176" s="216">
        <f t="shared" si="18"/>
        <v>1.0089285714285714</v>
      </c>
      <c r="J176" s="204">
        <v>0</v>
      </c>
      <c r="K176" s="216">
        <f t="shared" si="19"/>
        <v>0</v>
      </c>
      <c r="L176" s="205">
        <v>269.19</v>
      </c>
      <c r="M176" s="216">
        <f t="shared" si="20"/>
        <v>1.0089285714285714</v>
      </c>
      <c r="N176" s="205">
        <v>242.27100000000152</v>
      </c>
      <c r="O176" s="204">
        <v>0.3</v>
      </c>
      <c r="P176" s="206">
        <v>2.976190476190476E-3</v>
      </c>
      <c r="Q176" s="281">
        <v>80.756999999999991</v>
      </c>
      <c r="R176" s="204">
        <v>0.60000000000000564</v>
      </c>
      <c r="S176" s="206">
        <v>5.9523809523810084E-3</v>
      </c>
      <c r="T176" s="204" t="s">
        <v>405</v>
      </c>
      <c r="U176" s="204" t="s">
        <v>224</v>
      </c>
      <c r="V176" s="204"/>
      <c r="W176" s="211">
        <v>1</v>
      </c>
      <c r="X176" s="204" t="s">
        <v>482</v>
      </c>
    </row>
    <row r="177" spans="2:24">
      <c r="B177" s="661">
        <v>45887</v>
      </c>
      <c r="C177" s="659" t="s">
        <v>285</v>
      </c>
      <c r="D177" s="239">
        <v>71</v>
      </c>
      <c r="E177" s="204" t="s">
        <v>525</v>
      </c>
      <c r="F177" s="205">
        <v>295.85447999999934</v>
      </c>
      <c r="G177" s="204">
        <v>10.582000000000001</v>
      </c>
      <c r="H177" s="204">
        <v>11</v>
      </c>
      <c r="I177" s="216">
        <f t="shared" si="18"/>
        <v>1.0395010395010393</v>
      </c>
      <c r="J177" s="204">
        <v>0</v>
      </c>
      <c r="K177" s="216">
        <f t="shared" si="19"/>
        <v>0</v>
      </c>
      <c r="L177" s="205">
        <v>930.36</v>
      </c>
      <c r="M177" s="216">
        <f t="shared" si="20"/>
        <v>1.0395010395010393</v>
      </c>
      <c r="N177" s="205">
        <v>388.89047999999934</v>
      </c>
      <c r="O177" s="204">
        <v>0.1</v>
      </c>
      <c r="P177" s="206">
        <v>9.4500094500094504E-3</v>
      </c>
      <c r="Q177" s="281">
        <v>93.036000000000001</v>
      </c>
      <c r="R177" s="204">
        <v>0.31799999999999928</v>
      </c>
      <c r="S177" s="206">
        <v>3.0051030051029982E-2</v>
      </c>
      <c r="T177" s="204" t="s">
        <v>405</v>
      </c>
      <c r="U177" s="204" t="s">
        <v>225</v>
      </c>
      <c r="V177" s="204"/>
      <c r="W177" s="211">
        <v>1</v>
      </c>
      <c r="X177" s="204" t="s">
        <v>474</v>
      </c>
    </row>
    <row r="178" spans="2:24">
      <c r="B178" s="659"/>
      <c r="C178" s="659"/>
      <c r="D178" s="239">
        <v>72</v>
      </c>
      <c r="E178" s="204" t="s">
        <v>545</v>
      </c>
      <c r="F178" s="205">
        <v>269.1737599999995</v>
      </c>
      <c r="G178" s="204">
        <v>33.887999999999998</v>
      </c>
      <c r="H178" s="204">
        <v>34.799999999999997</v>
      </c>
      <c r="I178" s="216">
        <f t="shared" si="18"/>
        <v>1.0269121813031161</v>
      </c>
      <c r="J178" s="204">
        <v>0</v>
      </c>
      <c r="K178" s="216">
        <f t="shared" si="19"/>
        <v>0</v>
      </c>
      <c r="L178" s="205">
        <v>525.73</v>
      </c>
      <c r="M178" s="216">
        <f t="shared" si="20"/>
        <v>1.0269121813031161</v>
      </c>
      <c r="N178" s="205">
        <v>479.46575999999953</v>
      </c>
      <c r="O178" s="204">
        <v>0.4</v>
      </c>
      <c r="P178" s="206">
        <v>1.1803588290840416E-2</v>
      </c>
      <c r="Q178" s="281">
        <v>210.29200000000003</v>
      </c>
      <c r="R178" s="204">
        <v>0.51199999999999901</v>
      </c>
      <c r="S178" s="206">
        <v>1.5108593012275703E-2</v>
      </c>
      <c r="T178" s="204" t="s">
        <v>405</v>
      </c>
      <c r="U178" s="204" t="s">
        <v>613</v>
      </c>
      <c r="V178" s="204"/>
      <c r="W178" s="211">
        <v>1</v>
      </c>
      <c r="X178" s="204" t="s">
        <v>517</v>
      </c>
    </row>
    <row r="179" spans="2:24">
      <c r="B179" s="659"/>
      <c r="C179" s="659"/>
      <c r="D179" s="239">
        <v>73</v>
      </c>
      <c r="E179" s="204" t="s">
        <v>599</v>
      </c>
      <c r="F179" s="205">
        <v>248.24304000000024</v>
      </c>
      <c r="G179" s="204">
        <v>27.341999999999999</v>
      </c>
      <c r="H179" s="204">
        <v>28.2</v>
      </c>
      <c r="I179" s="216">
        <f t="shared" si="18"/>
        <v>1.0313802940531052</v>
      </c>
      <c r="J179" s="204">
        <v>0</v>
      </c>
      <c r="K179" s="216">
        <f t="shared" si="19"/>
        <v>0</v>
      </c>
      <c r="L179" s="205">
        <v>444.88</v>
      </c>
      <c r="M179" s="216">
        <f t="shared" si="20"/>
        <v>1.0313802940531052</v>
      </c>
      <c r="N179" s="205">
        <v>381.70704000000023</v>
      </c>
      <c r="O179" s="204">
        <v>0.3</v>
      </c>
      <c r="P179" s="206">
        <v>1.0972130787798991E-2</v>
      </c>
      <c r="Q179" s="281">
        <v>133.464</v>
      </c>
      <c r="R179" s="204">
        <v>0.5580000000000005</v>
      </c>
      <c r="S179" s="206">
        <v>2.0408163265306142E-2</v>
      </c>
      <c r="T179" s="204" t="s">
        <v>405</v>
      </c>
      <c r="U179" s="204" t="s">
        <v>226</v>
      </c>
      <c r="V179" s="204"/>
      <c r="W179" s="211">
        <v>1</v>
      </c>
      <c r="X179" s="204" t="s">
        <v>598</v>
      </c>
    </row>
    <row r="180" spans="2:24">
      <c r="B180" s="659"/>
      <c r="C180" s="659"/>
      <c r="D180" s="239">
        <v>74</v>
      </c>
      <c r="E180" s="204" t="s">
        <v>569</v>
      </c>
      <c r="F180" s="205">
        <v>227.41920000000056</v>
      </c>
      <c r="G180" s="204">
        <v>60.72</v>
      </c>
      <c r="H180" s="204">
        <v>61.5</v>
      </c>
      <c r="I180" s="216">
        <f t="shared" si="18"/>
        <v>1.0128458498023716</v>
      </c>
      <c r="J180" s="204">
        <v>0</v>
      </c>
      <c r="K180" s="216">
        <f t="shared" si="19"/>
        <v>0</v>
      </c>
      <c r="L180" s="205">
        <v>473.79</v>
      </c>
      <c r="M180" s="216">
        <f t="shared" si="20"/>
        <v>1.0128458498023716</v>
      </c>
      <c r="N180" s="205">
        <v>369.55620000000056</v>
      </c>
      <c r="O180" s="204">
        <v>0.3</v>
      </c>
      <c r="P180" s="206">
        <v>4.940711462450593E-3</v>
      </c>
      <c r="Q180" s="281">
        <v>142.137</v>
      </c>
      <c r="R180" s="204">
        <v>0.48000000000000115</v>
      </c>
      <c r="S180" s="206">
        <v>7.9051383399209672E-3</v>
      </c>
      <c r="T180" s="204" t="s">
        <v>405</v>
      </c>
      <c r="U180" s="204" t="s">
        <v>226</v>
      </c>
      <c r="V180" s="204"/>
      <c r="W180" s="211">
        <v>1</v>
      </c>
      <c r="X180" s="204" t="s">
        <v>423</v>
      </c>
    </row>
    <row r="181" spans="2:24">
      <c r="B181" s="659"/>
      <c r="C181" s="659"/>
      <c r="D181" s="239">
        <v>75</v>
      </c>
      <c r="E181" s="204" t="s">
        <v>558</v>
      </c>
      <c r="F181" s="205">
        <v>218.92752000000087</v>
      </c>
      <c r="G181" s="204">
        <v>20.064</v>
      </c>
      <c r="H181" s="204">
        <v>20.6</v>
      </c>
      <c r="I181" s="216">
        <f t="shared" si="18"/>
        <v>1.0267145135566189</v>
      </c>
      <c r="J181" s="204">
        <v>0</v>
      </c>
      <c r="K181" s="216">
        <f t="shared" si="19"/>
        <v>0</v>
      </c>
      <c r="L181" s="205">
        <v>651.57000000000005</v>
      </c>
      <c r="M181" s="216">
        <f t="shared" si="20"/>
        <v>1.0267145135566189</v>
      </c>
      <c r="N181" s="205">
        <v>349.24152000000089</v>
      </c>
      <c r="O181" s="204">
        <v>0.2</v>
      </c>
      <c r="P181" s="206">
        <v>9.9681020733652318E-3</v>
      </c>
      <c r="Q181" s="281">
        <v>130.31400000000002</v>
      </c>
      <c r="R181" s="204">
        <v>0.33600000000000135</v>
      </c>
      <c r="S181" s="206">
        <v>1.6746411483253655E-2</v>
      </c>
      <c r="T181" s="204" t="s">
        <v>402</v>
      </c>
      <c r="U181" s="204" t="s">
        <v>224</v>
      </c>
      <c r="V181" s="204"/>
      <c r="W181" s="211">
        <v>1</v>
      </c>
      <c r="X181" s="204" t="s">
        <v>559</v>
      </c>
    </row>
    <row r="182" spans="2:24">
      <c r="B182" s="659"/>
      <c r="C182" s="659"/>
      <c r="D182" s="239">
        <v>76</v>
      </c>
      <c r="E182" s="204" t="s">
        <v>433</v>
      </c>
      <c r="F182" s="205">
        <v>211.23695999999927</v>
      </c>
      <c r="G182" s="204">
        <v>25.137</v>
      </c>
      <c r="H182" s="204">
        <v>25.7</v>
      </c>
      <c r="I182" s="216">
        <f t="shared" si="18"/>
        <v>1.0223972629987668</v>
      </c>
      <c r="J182" s="204">
        <v>0</v>
      </c>
      <c r="K182" s="216">
        <f t="shared" si="19"/>
        <v>0</v>
      </c>
      <c r="L182" s="205">
        <v>581.91999999999996</v>
      </c>
      <c r="M182" s="216">
        <f t="shared" si="20"/>
        <v>1.0223972629987668</v>
      </c>
      <c r="N182" s="205">
        <v>327.62095999999929</v>
      </c>
      <c r="O182" s="204">
        <v>0.2</v>
      </c>
      <c r="P182" s="206">
        <v>7.9563989338425432E-3</v>
      </c>
      <c r="Q182" s="281">
        <v>116.384</v>
      </c>
      <c r="R182" s="204">
        <v>0.36299999999999882</v>
      </c>
      <c r="S182" s="206">
        <v>1.4440864064924168E-2</v>
      </c>
      <c r="T182" s="204" t="s">
        <v>405</v>
      </c>
      <c r="U182" s="204" t="s">
        <v>225</v>
      </c>
      <c r="V182" s="204"/>
      <c r="W182" s="211">
        <v>1</v>
      </c>
      <c r="X182" s="204" t="s">
        <v>434</v>
      </c>
    </row>
    <row r="183" spans="2:24">
      <c r="B183" s="659"/>
      <c r="C183" s="659"/>
      <c r="D183" s="239">
        <v>77</v>
      </c>
      <c r="E183" s="204" t="s">
        <v>416</v>
      </c>
      <c r="F183" s="205">
        <v>194.09663999999967</v>
      </c>
      <c r="G183" s="204">
        <v>19.044</v>
      </c>
      <c r="H183" s="204">
        <v>19.5</v>
      </c>
      <c r="I183" s="216">
        <f t="shared" si="18"/>
        <v>1.0239445494643982</v>
      </c>
      <c r="J183" s="204">
        <v>0</v>
      </c>
      <c r="K183" s="216">
        <f t="shared" si="19"/>
        <v>0</v>
      </c>
      <c r="L183" s="205">
        <v>758.19</v>
      </c>
      <c r="M183" s="216">
        <f t="shared" si="20"/>
        <v>1.0239445494643982</v>
      </c>
      <c r="N183" s="205">
        <v>345.73463999999967</v>
      </c>
      <c r="O183" s="204">
        <v>0.2</v>
      </c>
      <c r="P183" s="206">
        <v>1.0501995379122034E-2</v>
      </c>
      <c r="Q183" s="281">
        <v>151.63800000000001</v>
      </c>
      <c r="R183" s="204">
        <v>0.25599999999999951</v>
      </c>
      <c r="S183" s="206">
        <v>1.3442554085276176E-2</v>
      </c>
      <c r="T183" s="204" t="s">
        <v>405</v>
      </c>
      <c r="U183" s="204" t="s">
        <v>225</v>
      </c>
      <c r="V183" s="204"/>
      <c r="W183" s="211">
        <v>1</v>
      </c>
      <c r="X183" s="204" t="s">
        <v>417</v>
      </c>
    </row>
    <row r="184" spans="2:24">
      <c r="B184" s="659"/>
      <c r="C184" s="659"/>
      <c r="D184" s="239">
        <v>78</v>
      </c>
      <c r="E184" s="204" t="s">
        <v>430</v>
      </c>
      <c r="F184" s="205">
        <v>191.87421000000006</v>
      </c>
      <c r="G184" s="204">
        <v>61.383000000000003</v>
      </c>
      <c r="H184" s="204">
        <v>62.2</v>
      </c>
      <c r="I184" s="216">
        <f t="shared" si="18"/>
        <v>1.0133098740693678</v>
      </c>
      <c r="J184" s="204">
        <v>0</v>
      </c>
      <c r="K184" s="216">
        <f t="shared" si="19"/>
        <v>0</v>
      </c>
      <c r="L184" s="205">
        <v>371.13</v>
      </c>
      <c r="M184" s="216">
        <f t="shared" si="20"/>
        <v>1.0133098740693678</v>
      </c>
      <c r="N184" s="205">
        <v>303.21321000000006</v>
      </c>
      <c r="O184" s="204">
        <v>0.3</v>
      </c>
      <c r="P184" s="206">
        <v>4.8873466594985581E-3</v>
      </c>
      <c r="Q184" s="281">
        <v>111.339</v>
      </c>
      <c r="R184" s="204">
        <v>0.51700000000000013</v>
      </c>
      <c r="S184" s="206">
        <v>8.4225274098691846E-3</v>
      </c>
      <c r="T184" s="204" t="s">
        <v>402</v>
      </c>
      <c r="U184" s="204" t="s">
        <v>224</v>
      </c>
      <c r="V184" s="204"/>
      <c r="W184" s="211">
        <v>1</v>
      </c>
      <c r="X184" s="204" t="s">
        <v>494</v>
      </c>
    </row>
    <row r="185" spans="2:24">
      <c r="B185" s="659"/>
      <c r="C185" s="659"/>
      <c r="D185" s="239">
        <v>79</v>
      </c>
      <c r="E185" s="204" t="s">
        <v>529</v>
      </c>
      <c r="F185" s="205">
        <v>181.27656000000107</v>
      </c>
      <c r="G185" s="204">
        <v>149.178</v>
      </c>
      <c r="H185" s="204">
        <v>151.4</v>
      </c>
      <c r="I185" s="216">
        <f t="shared" si="18"/>
        <v>1.0148949577015378</v>
      </c>
      <c r="J185" s="204">
        <v>0</v>
      </c>
      <c r="K185" s="216">
        <f t="shared" si="19"/>
        <v>0</v>
      </c>
      <c r="L185" s="205">
        <v>127.48</v>
      </c>
      <c r="M185" s="216">
        <f t="shared" si="20"/>
        <v>1.0148949577015378</v>
      </c>
      <c r="N185" s="205">
        <v>283.26056000000108</v>
      </c>
      <c r="O185" s="204">
        <v>0.8</v>
      </c>
      <c r="P185" s="206">
        <v>5.3627210446580602E-3</v>
      </c>
      <c r="Q185" s="281">
        <v>101.98400000000001</v>
      </c>
      <c r="R185" s="204">
        <v>1.4220000000000084</v>
      </c>
      <c r="S185" s="206">
        <v>9.5322366568797567E-3</v>
      </c>
      <c r="T185" s="204" t="s">
        <v>402</v>
      </c>
      <c r="U185" s="204" t="s">
        <v>224</v>
      </c>
      <c r="V185" s="204"/>
      <c r="W185" s="211">
        <v>1</v>
      </c>
      <c r="X185" s="204" t="s">
        <v>417</v>
      </c>
    </row>
    <row r="186" spans="2:24">
      <c r="B186" s="659"/>
      <c r="C186" s="659"/>
      <c r="D186" s="239">
        <v>80</v>
      </c>
      <c r="E186" s="204" t="s">
        <v>528</v>
      </c>
      <c r="F186" s="205">
        <v>178.64025000000237</v>
      </c>
      <c r="G186" s="204">
        <v>91.875</v>
      </c>
      <c r="H186" s="204">
        <v>92.4</v>
      </c>
      <c r="I186" s="216">
        <f t="shared" si="18"/>
        <v>1.0057142857142858</v>
      </c>
      <c r="J186" s="204">
        <v>0</v>
      </c>
      <c r="K186" s="216">
        <f t="shared" si="19"/>
        <v>0</v>
      </c>
      <c r="L186" s="205">
        <v>420.33</v>
      </c>
      <c r="M186" s="216">
        <f t="shared" si="20"/>
        <v>1.0057142857142858</v>
      </c>
      <c r="N186" s="205">
        <v>220.67325000000238</v>
      </c>
      <c r="O186" s="204">
        <v>0.1</v>
      </c>
      <c r="P186" s="206">
        <v>1.0884353741496598E-3</v>
      </c>
      <c r="Q186" s="281">
        <v>42.033000000000001</v>
      </c>
      <c r="R186" s="204">
        <v>0.42500000000000571</v>
      </c>
      <c r="S186" s="206">
        <v>4.6258503401361162E-3</v>
      </c>
      <c r="T186" s="204" t="s">
        <v>405</v>
      </c>
      <c r="U186" s="204" t="s">
        <v>225</v>
      </c>
      <c r="V186" s="204"/>
      <c r="W186" s="211">
        <v>1</v>
      </c>
      <c r="X186" s="204" t="s">
        <v>487</v>
      </c>
    </row>
    <row r="187" spans="2:24">
      <c r="B187" s="661">
        <v>45888</v>
      </c>
      <c r="C187" s="659" t="s">
        <v>268</v>
      </c>
      <c r="D187" s="239">
        <v>81</v>
      </c>
      <c r="E187" s="204" t="s">
        <v>659</v>
      </c>
      <c r="F187" s="205">
        <v>310.680160000005</v>
      </c>
      <c r="G187" s="204">
        <v>296.096</v>
      </c>
      <c r="H187" s="204">
        <v>297.60000000000002</v>
      </c>
      <c r="I187" s="216">
        <f t="shared" si="18"/>
        <v>1.0050794336971793</v>
      </c>
      <c r="J187" s="204">
        <v>0</v>
      </c>
      <c r="K187" s="216">
        <f t="shared" si="19"/>
        <v>0</v>
      </c>
      <c r="L187" s="205">
        <v>258.04000000000002</v>
      </c>
      <c r="M187" s="216">
        <f t="shared" si="20"/>
        <v>1.0050794336971793</v>
      </c>
      <c r="N187" s="205">
        <v>388.09216000000498</v>
      </c>
      <c r="O187" s="204">
        <v>0.3</v>
      </c>
      <c r="P187" s="206">
        <v>1.0131849130011888E-3</v>
      </c>
      <c r="Q187" s="281">
        <v>77.412000000000006</v>
      </c>
      <c r="R187" s="204">
        <v>1.2040000000000191</v>
      </c>
      <c r="S187" s="206">
        <v>4.0662487841781683E-3</v>
      </c>
      <c r="T187" s="204" t="s">
        <v>405</v>
      </c>
      <c r="U187" s="204" t="s">
        <v>225</v>
      </c>
      <c r="V187" s="204"/>
      <c r="W187" s="211">
        <v>1</v>
      </c>
      <c r="X187" s="204" t="s">
        <v>660</v>
      </c>
    </row>
    <row r="188" spans="2:24">
      <c r="B188" s="659"/>
      <c r="C188" s="659"/>
      <c r="D188" s="239">
        <v>82</v>
      </c>
      <c r="E188" s="204" t="s">
        <v>426</v>
      </c>
      <c r="F188" s="205">
        <v>272.88210000000117</v>
      </c>
      <c r="G188" s="204">
        <v>156.16499999999999</v>
      </c>
      <c r="H188" s="204">
        <v>157.1</v>
      </c>
      <c r="I188" s="216">
        <f t="shared" si="18"/>
        <v>1.005987257067845</v>
      </c>
      <c r="J188" s="204">
        <v>0</v>
      </c>
      <c r="K188" s="216">
        <f t="shared" si="19"/>
        <v>0</v>
      </c>
      <c r="L188" s="205">
        <v>510.06</v>
      </c>
      <c r="M188" s="216">
        <f t="shared" si="20"/>
        <v>1.005987257067845</v>
      </c>
      <c r="N188" s="205">
        <v>476.90610000000117</v>
      </c>
      <c r="O188" s="204">
        <v>0.4</v>
      </c>
      <c r="P188" s="206">
        <v>2.5613933980085171E-3</v>
      </c>
      <c r="Q188" s="281">
        <v>204.024</v>
      </c>
      <c r="R188" s="204">
        <v>0.53500000000000225</v>
      </c>
      <c r="S188" s="206">
        <v>3.4258636698364054E-3</v>
      </c>
      <c r="T188" s="204" t="s">
        <v>405</v>
      </c>
      <c r="U188" s="204" t="s">
        <v>226</v>
      </c>
      <c r="V188" s="204"/>
      <c r="W188" s="211">
        <v>1</v>
      </c>
      <c r="X188" s="204" t="s">
        <v>423</v>
      </c>
    </row>
    <row r="189" spans="2:24">
      <c r="B189" s="659"/>
      <c r="C189" s="659"/>
      <c r="D189" s="239">
        <v>83</v>
      </c>
      <c r="E189" s="204" t="s">
        <v>569</v>
      </c>
      <c r="F189" s="205">
        <v>227.89299000000148</v>
      </c>
      <c r="G189" s="204">
        <v>65.619</v>
      </c>
      <c r="H189" s="204">
        <v>66.2</v>
      </c>
      <c r="I189" s="216">
        <f t="shared" si="18"/>
        <v>1.0088541428549658</v>
      </c>
      <c r="J189" s="204">
        <v>0</v>
      </c>
      <c r="K189" s="216">
        <f t="shared" si="19"/>
        <v>0</v>
      </c>
      <c r="L189" s="205">
        <v>473.79</v>
      </c>
      <c r="M189" s="216">
        <f t="shared" si="20"/>
        <v>1.0088541428549658</v>
      </c>
      <c r="N189" s="205">
        <v>275.27199000000149</v>
      </c>
      <c r="O189" s="204">
        <v>0.1</v>
      </c>
      <c r="P189" s="206">
        <v>1.5239488562763834E-3</v>
      </c>
      <c r="Q189" s="281">
        <v>47.379000000000005</v>
      </c>
      <c r="R189" s="204">
        <v>0.48100000000000309</v>
      </c>
      <c r="S189" s="206">
        <v>7.3301939986894511E-3</v>
      </c>
      <c r="T189" s="204" t="s">
        <v>405</v>
      </c>
      <c r="U189" s="204" t="s">
        <v>226</v>
      </c>
      <c r="V189" s="204"/>
      <c r="W189" s="211">
        <v>1</v>
      </c>
      <c r="X189" s="204" t="s">
        <v>423</v>
      </c>
    </row>
    <row r="190" spans="2:24">
      <c r="B190" s="659"/>
      <c r="C190" s="659"/>
      <c r="D190" s="239">
        <v>84</v>
      </c>
      <c r="E190" s="204" t="s">
        <v>673</v>
      </c>
      <c r="F190" s="205">
        <v>216.62999999999997</v>
      </c>
      <c r="G190" s="204">
        <v>0.92530000000000001</v>
      </c>
      <c r="H190" s="204">
        <v>1</v>
      </c>
      <c r="I190" s="216">
        <f t="shared" si="18"/>
        <v>1.0807305738679347</v>
      </c>
      <c r="J190" s="204">
        <v>0</v>
      </c>
      <c r="K190" s="216">
        <f t="shared" si="19"/>
        <v>0</v>
      </c>
      <c r="L190" s="205">
        <v>2900</v>
      </c>
      <c r="M190" s="216">
        <f t="shared" si="20"/>
        <v>1.0807305738679347</v>
      </c>
      <c r="N190" s="205">
        <v>216.62999999999997</v>
      </c>
      <c r="O190" s="204">
        <v>0</v>
      </c>
      <c r="P190" s="206">
        <v>0</v>
      </c>
      <c r="Q190" s="281">
        <v>0</v>
      </c>
      <c r="R190" s="204">
        <v>7.4699999999999989E-2</v>
      </c>
      <c r="S190" s="206">
        <v>8.073057386793471E-2</v>
      </c>
      <c r="T190" s="204" t="s">
        <v>405</v>
      </c>
      <c r="U190" s="204" t="s">
        <v>225</v>
      </c>
      <c r="V190" s="204"/>
      <c r="W190" s="211">
        <v>1</v>
      </c>
      <c r="X190" s="204" t="s">
        <v>660</v>
      </c>
    </row>
    <row r="191" spans="2:24">
      <c r="B191" s="659"/>
      <c r="C191" s="659"/>
      <c r="D191" s="239">
        <v>85</v>
      </c>
      <c r="E191" s="204" t="s">
        <v>599</v>
      </c>
      <c r="F191" s="205">
        <v>215.32192000000049</v>
      </c>
      <c r="G191" s="204">
        <v>29.015999999999998</v>
      </c>
      <c r="H191" s="204">
        <v>29.7</v>
      </c>
      <c r="I191" s="216">
        <f t="shared" si="18"/>
        <v>1.0235732009925558</v>
      </c>
      <c r="J191" s="204">
        <v>0</v>
      </c>
      <c r="K191" s="216">
        <f t="shared" si="19"/>
        <v>0</v>
      </c>
      <c r="L191" s="205">
        <v>444.88</v>
      </c>
      <c r="M191" s="216">
        <f t="shared" si="20"/>
        <v>1.0235732009925558</v>
      </c>
      <c r="N191" s="205">
        <v>304.29792000000049</v>
      </c>
      <c r="O191" s="204">
        <v>0.2</v>
      </c>
      <c r="P191" s="206">
        <v>6.8927488282327001E-3</v>
      </c>
      <c r="Q191" s="281">
        <v>88.975999999999999</v>
      </c>
      <c r="R191" s="204">
        <v>0.48400000000000104</v>
      </c>
      <c r="S191" s="206">
        <v>1.6680452164323168E-2</v>
      </c>
      <c r="T191" s="204" t="s">
        <v>405</v>
      </c>
      <c r="U191" s="204" t="s">
        <v>226</v>
      </c>
      <c r="V191" s="204"/>
      <c r="W191" s="211">
        <v>1</v>
      </c>
      <c r="X191" s="204" t="s">
        <v>598</v>
      </c>
    </row>
    <row r="192" spans="2:24">
      <c r="B192" s="659"/>
      <c r="C192" s="659"/>
      <c r="D192" s="239">
        <v>86</v>
      </c>
      <c r="E192" s="204" t="s">
        <v>591</v>
      </c>
      <c r="F192" s="205">
        <v>201.77950000000021</v>
      </c>
      <c r="G192" s="204">
        <v>21.75</v>
      </c>
      <c r="H192" s="204">
        <v>22.8</v>
      </c>
      <c r="I192" s="216">
        <f t="shared" si="18"/>
        <v>1.0482758620689656</v>
      </c>
      <c r="J192" s="204">
        <v>0</v>
      </c>
      <c r="K192" s="216">
        <f t="shared" si="19"/>
        <v>0</v>
      </c>
      <c r="L192" s="205">
        <v>310.43</v>
      </c>
      <c r="M192" s="216">
        <f t="shared" si="20"/>
        <v>1.0482758620689656</v>
      </c>
      <c r="N192" s="205">
        <v>325.95150000000024</v>
      </c>
      <c r="O192" s="204">
        <v>0.4</v>
      </c>
      <c r="P192" s="206">
        <v>1.8390804597701149E-2</v>
      </c>
      <c r="Q192" s="281">
        <v>124.17200000000001</v>
      </c>
      <c r="R192" s="204">
        <v>0.65000000000000069</v>
      </c>
      <c r="S192" s="206">
        <v>2.9885057471264399E-2</v>
      </c>
      <c r="T192" s="204" t="s">
        <v>405</v>
      </c>
      <c r="U192" s="204" t="s">
        <v>225</v>
      </c>
      <c r="V192" s="204"/>
      <c r="W192" s="211">
        <v>1</v>
      </c>
      <c r="X192" s="204" t="s">
        <v>403</v>
      </c>
    </row>
    <row r="193" spans="2:24">
      <c r="B193" s="659"/>
      <c r="C193" s="659"/>
      <c r="D193" s="239">
        <v>87</v>
      </c>
      <c r="E193" s="204" t="s">
        <v>586</v>
      </c>
      <c r="F193" s="205">
        <v>191.8388999999994</v>
      </c>
      <c r="G193" s="204">
        <v>22.19</v>
      </c>
      <c r="H193" s="204">
        <v>23.2</v>
      </c>
      <c r="I193" s="216">
        <f t="shared" si="18"/>
        <v>1.0455159981973861</v>
      </c>
      <c r="J193" s="204">
        <v>0</v>
      </c>
      <c r="K193" s="216">
        <f t="shared" si="19"/>
        <v>0</v>
      </c>
      <c r="L193" s="205">
        <v>314.49</v>
      </c>
      <c r="M193" s="216">
        <f t="shared" si="20"/>
        <v>1.0455159981973861</v>
      </c>
      <c r="N193" s="205">
        <v>317.63489999999939</v>
      </c>
      <c r="O193" s="204">
        <v>0.4</v>
      </c>
      <c r="P193" s="206">
        <v>1.8026137899954935E-2</v>
      </c>
      <c r="Q193" s="281">
        <v>125.79600000000001</v>
      </c>
      <c r="R193" s="204">
        <v>0.60999999999999799</v>
      </c>
      <c r="S193" s="206">
        <v>2.7489860297431182E-2</v>
      </c>
      <c r="T193" s="204" t="s">
        <v>402</v>
      </c>
      <c r="U193" s="204" t="s">
        <v>224</v>
      </c>
      <c r="V193" s="204"/>
      <c r="W193" s="211">
        <v>1</v>
      </c>
      <c r="X193" s="204" t="s">
        <v>587</v>
      </c>
    </row>
    <row r="194" spans="2:24">
      <c r="B194" s="659"/>
      <c r="C194" s="659"/>
      <c r="D194" s="239">
        <v>88</v>
      </c>
      <c r="E194" s="204" t="s">
        <v>435</v>
      </c>
      <c r="F194" s="205">
        <v>187.61834999999948</v>
      </c>
      <c r="G194" s="204">
        <v>6.3150000000000004</v>
      </c>
      <c r="H194" s="204">
        <v>6.6</v>
      </c>
      <c r="I194" s="216">
        <f t="shared" si="18"/>
        <v>1.0451306413301662</v>
      </c>
      <c r="J194" s="204">
        <v>0</v>
      </c>
      <c r="K194" s="216">
        <f t="shared" si="19"/>
        <v>0</v>
      </c>
      <c r="L194" s="205">
        <v>658.31</v>
      </c>
      <c r="M194" s="216">
        <f t="shared" si="20"/>
        <v>1.0451306413301662</v>
      </c>
      <c r="N194" s="205">
        <v>187.61834999999948</v>
      </c>
      <c r="O194" s="204">
        <v>0</v>
      </c>
      <c r="P194" s="206">
        <v>0</v>
      </c>
      <c r="Q194" s="281">
        <v>0</v>
      </c>
      <c r="R194" s="204">
        <v>0.28499999999999925</v>
      </c>
      <c r="S194" s="206">
        <v>4.513064133016615E-2</v>
      </c>
      <c r="T194" s="204" t="s">
        <v>405</v>
      </c>
      <c r="U194" s="204" t="s">
        <v>225</v>
      </c>
      <c r="V194" s="204"/>
      <c r="W194" s="211">
        <v>1</v>
      </c>
      <c r="X194" s="204" t="s">
        <v>436</v>
      </c>
    </row>
    <row r="195" spans="2:24">
      <c r="B195" s="659"/>
      <c r="C195" s="659"/>
      <c r="D195" s="239">
        <v>89</v>
      </c>
      <c r="E195" s="204" t="s">
        <v>407</v>
      </c>
      <c r="F195" s="205">
        <v>187.4161799999996</v>
      </c>
      <c r="G195" s="204">
        <v>75.733000000000004</v>
      </c>
      <c r="H195" s="204">
        <v>76.7</v>
      </c>
      <c r="I195" s="216">
        <f t="shared" si="18"/>
        <v>1.0127685421150621</v>
      </c>
      <c r="J195" s="204">
        <v>0</v>
      </c>
      <c r="K195" s="216">
        <f t="shared" si="19"/>
        <v>0</v>
      </c>
      <c r="L195" s="205">
        <v>330.54</v>
      </c>
      <c r="M195" s="216">
        <f t="shared" si="20"/>
        <v>1.0127685421150621</v>
      </c>
      <c r="N195" s="205">
        <v>319.63217999999961</v>
      </c>
      <c r="O195" s="204">
        <v>0.4</v>
      </c>
      <c r="P195" s="206">
        <v>5.2817133878230102E-3</v>
      </c>
      <c r="Q195" s="281">
        <v>132.21600000000001</v>
      </c>
      <c r="R195" s="204">
        <v>0.56699999999999873</v>
      </c>
      <c r="S195" s="206">
        <v>7.4868287272390989E-3</v>
      </c>
      <c r="T195" s="204" t="s">
        <v>405</v>
      </c>
      <c r="U195" s="204" t="s">
        <v>225</v>
      </c>
      <c r="V195" s="204"/>
      <c r="W195" s="211">
        <v>1</v>
      </c>
      <c r="X195" s="204" t="s">
        <v>408</v>
      </c>
    </row>
    <row r="196" spans="2:24">
      <c r="B196" s="659"/>
      <c r="C196" s="659"/>
      <c r="D196" s="239">
        <v>90</v>
      </c>
      <c r="E196" s="204" t="s">
        <v>529</v>
      </c>
      <c r="F196" s="205">
        <v>181.53152000000085</v>
      </c>
      <c r="G196" s="204">
        <v>146.07599999999999</v>
      </c>
      <c r="H196" s="204">
        <v>148.5</v>
      </c>
      <c r="I196" s="216">
        <f t="shared" si="18"/>
        <v>1.0165941017004847</v>
      </c>
      <c r="J196" s="204">
        <v>0</v>
      </c>
      <c r="K196" s="216">
        <f t="shared" si="19"/>
        <v>0</v>
      </c>
      <c r="L196" s="205">
        <v>127.48</v>
      </c>
      <c r="M196" s="216">
        <f t="shared" si="20"/>
        <v>1.0165941017004847</v>
      </c>
      <c r="N196" s="205">
        <v>309.01152000000087</v>
      </c>
      <c r="O196" s="204">
        <v>1</v>
      </c>
      <c r="P196" s="206">
        <v>6.8457515266025911E-3</v>
      </c>
      <c r="Q196" s="281">
        <v>127.48</v>
      </c>
      <c r="R196" s="204">
        <v>1.4240000000000066</v>
      </c>
      <c r="S196" s="206">
        <v>9.7483501738821338E-3</v>
      </c>
      <c r="T196" s="204" t="s">
        <v>402</v>
      </c>
      <c r="U196" s="204" t="s">
        <v>224</v>
      </c>
      <c r="V196" s="204"/>
      <c r="W196" s="211">
        <v>1</v>
      </c>
      <c r="X196" s="204" t="s">
        <v>417</v>
      </c>
    </row>
    <row r="197" spans="2:24">
      <c r="B197" s="661">
        <v>45889</v>
      </c>
      <c r="C197" s="659" t="s">
        <v>286</v>
      </c>
      <c r="D197" s="239">
        <v>91</v>
      </c>
      <c r="E197" s="204" t="s">
        <v>569</v>
      </c>
      <c r="F197" s="205">
        <v>307.01592000000358</v>
      </c>
      <c r="G197" s="204">
        <v>67.251999999999995</v>
      </c>
      <c r="H197" s="204">
        <v>68.2</v>
      </c>
      <c r="I197" s="216">
        <f t="shared" si="18"/>
        <v>1.0140962350562066</v>
      </c>
      <c r="J197" s="204">
        <v>0</v>
      </c>
      <c r="K197" s="216">
        <f t="shared" si="19"/>
        <v>0</v>
      </c>
      <c r="L197" s="205">
        <v>473.79</v>
      </c>
      <c r="M197" s="216">
        <f t="shared" si="20"/>
        <v>1.0140962350562066</v>
      </c>
      <c r="N197" s="205">
        <v>449.15292000000358</v>
      </c>
      <c r="O197" s="204">
        <v>0.3</v>
      </c>
      <c r="P197" s="206">
        <v>4.4608338785463632E-3</v>
      </c>
      <c r="Q197" s="281">
        <v>142.137</v>
      </c>
      <c r="R197" s="204">
        <v>0.64800000000000746</v>
      </c>
      <c r="S197" s="206">
        <v>9.6354011776602563E-3</v>
      </c>
      <c r="T197" s="204" t="s">
        <v>405</v>
      </c>
      <c r="U197" s="204" t="s">
        <v>226</v>
      </c>
      <c r="V197" s="204"/>
      <c r="W197" s="211">
        <v>1</v>
      </c>
      <c r="X197" s="204" t="s">
        <v>423</v>
      </c>
    </row>
    <row r="198" spans="2:24">
      <c r="B198" s="659"/>
      <c r="C198" s="659"/>
      <c r="D198" s="239">
        <v>92</v>
      </c>
      <c r="E198" s="204" t="s">
        <v>426</v>
      </c>
      <c r="F198" s="205">
        <v>292.77444000000628</v>
      </c>
      <c r="G198" s="204">
        <v>160.126</v>
      </c>
      <c r="H198" s="204">
        <v>160.4</v>
      </c>
      <c r="I198" s="216">
        <f t="shared" si="18"/>
        <v>1.0017111524674318</v>
      </c>
      <c r="J198" s="204">
        <v>0.3</v>
      </c>
      <c r="K198" s="216">
        <f t="shared" si="19"/>
        <v>1.8735245993779896E-3</v>
      </c>
      <c r="L198" s="205">
        <v>510.06</v>
      </c>
      <c r="M198" s="216">
        <f t="shared" si="20"/>
        <v>1.00358467706681</v>
      </c>
      <c r="N198" s="205">
        <v>292.77444000000628</v>
      </c>
      <c r="O198" s="204">
        <v>0</v>
      </c>
      <c r="P198" s="206">
        <v>0</v>
      </c>
      <c r="Q198" s="281">
        <v>0</v>
      </c>
      <c r="R198" s="204">
        <v>0.57400000000001228</v>
      </c>
      <c r="S198" s="206">
        <v>3.5846770668099639E-3</v>
      </c>
      <c r="T198" s="204" t="s">
        <v>405</v>
      </c>
      <c r="U198" s="204" t="s">
        <v>226</v>
      </c>
      <c r="V198" s="204"/>
      <c r="W198" s="211">
        <v>1</v>
      </c>
      <c r="X198" s="204" t="s">
        <v>423</v>
      </c>
    </row>
    <row r="199" spans="2:24">
      <c r="B199" s="659"/>
      <c r="C199" s="659"/>
      <c r="D199" s="239">
        <v>93</v>
      </c>
      <c r="E199" s="204" t="s">
        <v>599</v>
      </c>
      <c r="F199" s="205">
        <v>278.49487999999928</v>
      </c>
      <c r="G199" s="204">
        <v>31.373999999999999</v>
      </c>
      <c r="H199" s="204">
        <v>32.299999999999997</v>
      </c>
      <c r="I199" s="216">
        <f t="shared" si="18"/>
        <v>1.0295148849365716</v>
      </c>
      <c r="J199" s="204">
        <v>0</v>
      </c>
      <c r="K199" s="216">
        <f t="shared" si="19"/>
        <v>0</v>
      </c>
      <c r="L199" s="205">
        <v>444.88</v>
      </c>
      <c r="M199" s="216">
        <f t="shared" si="20"/>
        <v>1.0295148849365716</v>
      </c>
      <c r="N199" s="205">
        <v>411.95887999999928</v>
      </c>
      <c r="O199" s="204">
        <v>0.3</v>
      </c>
      <c r="P199" s="206">
        <v>9.5620577548288389E-3</v>
      </c>
      <c r="Q199" s="281">
        <v>133.464</v>
      </c>
      <c r="R199" s="204">
        <v>0.62599999999999834</v>
      </c>
      <c r="S199" s="206">
        <v>1.9952827181742794E-2</v>
      </c>
      <c r="T199" s="204" t="s">
        <v>405</v>
      </c>
      <c r="U199" s="204" t="s">
        <v>226</v>
      </c>
      <c r="V199" s="204"/>
      <c r="W199" s="211">
        <v>1</v>
      </c>
      <c r="X199" s="204" t="s">
        <v>598</v>
      </c>
    </row>
    <row r="200" spans="2:24">
      <c r="B200" s="659"/>
      <c r="C200" s="659"/>
      <c r="D200" s="239">
        <v>94</v>
      </c>
      <c r="E200" s="204" t="s">
        <v>558</v>
      </c>
      <c r="F200" s="205">
        <v>265.84056000000038</v>
      </c>
      <c r="G200" s="204">
        <v>17.891999999999999</v>
      </c>
      <c r="H200" s="204">
        <v>18.5</v>
      </c>
      <c r="I200" s="216">
        <f t="shared" ref="I200:I263" si="21">H200/G200</f>
        <v>1.0339816677844846</v>
      </c>
      <c r="J200" s="204">
        <v>0</v>
      </c>
      <c r="K200" s="216">
        <f t="shared" ref="K200:K263" si="22">J200/G200</f>
        <v>0</v>
      </c>
      <c r="L200" s="205">
        <v>651.57000000000005</v>
      </c>
      <c r="M200" s="216">
        <f t="shared" ref="M200:M263" si="23">(H200+J200)/G200</f>
        <v>1.0339816677844846</v>
      </c>
      <c r="N200" s="205">
        <v>396.1545600000004</v>
      </c>
      <c r="O200" s="204">
        <v>0.2</v>
      </c>
      <c r="P200" s="206">
        <v>1.11781801922647E-2</v>
      </c>
      <c r="Q200" s="281">
        <v>130.31400000000002</v>
      </c>
      <c r="R200" s="204">
        <v>0.40800000000000053</v>
      </c>
      <c r="S200" s="206">
        <v>2.2803487592220017E-2</v>
      </c>
      <c r="T200" s="204" t="s">
        <v>402</v>
      </c>
      <c r="U200" s="204" t="s">
        <v>224</v>
      </c>
      <c r="V200" s="204"/>
      <c r="W200" s="211">
        <v>1</v>
      </c>
      <c r="X200" s="204" t="s">
        <v>559</v>
      </c>
    </row>
    <row r="201" spans="2:24">
      <c r="B201" s="659"/>
      <c r="C201" s="659"/>
      <c r="D201" s="239">
        <v>95</v>
      </c>
      <c r="E201" s="204" t="s">
        <v>525</v>
      </c>
      <c r="F201" s="205">
        <v>252.12756000000041</v>
      </c>
      <c r="G201" s="204">
        <v>13.629</v>
      </c>
      <c r="H201" s="204">
        <v>14</v>
      </c>
      <c r="I201" s="216">
        <f t="shared" si="21"/>
        <v>1.0272213662044172</v>
      </c>
      <c r="J201" s="204">
        <v>0</v>
      </c>
      <c r="K201" s="216">
        <f t="shared" si="22"/>
        <v>0</v>
      </c>
      <c r="L201" s="205">
        <v>930.36</v>
      </c>
      <c r="M201" s="216">
        <f t="shared" si="23"/>
        <v>1.0272213662044172</v>
      </c>
      <c r="N201" s="205">
        <v>345.16356000000042</v>
      </c>
      <c r="O201" s="204">
        <v>0.1</v>
      </c>
      <c r="P201" s="206">
        <v>7.3372954728886941E-3</v>
      </c>
      <c r="Q201" s="281">
        <v>93.036000000000001</v>
      </c>
      <c r="R201" s="204">
        <v>0.27100000000000046</v>
      </c>
      <c r="S201" s="206">
        <v>1.9884070731528394E-2</v>
      </c>
      <c r="T201" s="204" t="s">
        <v>405</v>
      </c>
      <c r="U201" s="204" t="s">
        <v>225</v>
      </c>
      <c r="V201" s="204"/>
      <c r="W201" s="211">
        <v>1</v>
      </c>
      <c r="X201" s="204" t="s">
        <v>474</v>
      </c>
    </row>
    <row r="202" spans="2:24">
      <c r="B202" s="659"/>
      <c r="C202" s="659"/>
      <c r="D202" s="239">
        <v>96</v>
      </c>
      <c r="E202" s="204" t="s">
        <v>545</v>
      </c>
      <c r="F202" s="205">
        <v>220.80659999999943</v>
      </c>
      <c r="G202" s="204">
        <v>37.68</v>
      </c>
      <c r="H202" s="204">
        <v>38.4</v>
      </c>
      <c r="I202" s="216">
        <f t="shared" si="21"/>
        <v>1.0191082802547771</v>
      </c>
      <c r="J202" s="204">
        <v>0</v>
      </c>
      <c r="K202" s="216">
        <f t="shared" si="22"/>
        <v>0</v>
      </c>
      <c r="L202" s="205">
        <v>525.73</v>
      </c>
      <c r="M202" s="216">
        <f t="shared" si="23"/>
        <v>1.0191082802547771</v>
      </c>
      <c r="N202" s="205">
        <v>378.52559999999943</v>
      </c>
      <c r="O202" s="204">
        <v>0.3</v>
      </c>
      <c r="P202" s="206">
        <v>7.9617834394904458E-3</v>
      </c>
      <c r="Q202" s="281">
        <v>157.71899999999999</v>
      </c>
      <c r="R202" s="204">
        <v>0.41999999999999887</v>
      </c>
      <c r="S202" s="206">
        <v>1.1146496815286594E-2</v>
      </c>
      <c r="T202" s="204" t="s">
        <v>405</v>
      </c>
      <c r="U202" s="204" t="s">
        <v>226</v>
      </c>
      <c r="V202" s="204"/>
      <c r="W202" s="211">
        <v>1</v>
      </c>
      <c r="X202" s="204" t="s">
        <v>517</v>
      </c>
    </row>
    <row r="203" spans="2:24">
      <c r="B203" s="659"/>
      <c r="C203" s="659"/>
      <c r="D203" s="239">
        <v>97</v>
      </c>
      <c r="E203" s="204" t="s">
        <v>433</v>
      </c>
      <c r="F203" s="205">
        <v>212.98272000000185</v>
      </c>
      <c r="G203" s="204">
        <v>22.533999999999999</v>
      </c>
      <c r="H203" s="204">
        <v>22.1</v>
      </c>
      <c r="I203" s="216">
        <f t="shared" si="21"/>
        <v>0.98074021478654494</v>
      </c>
      <c r="J203" s="204">
        <v>0.8</v>
      </c>
      <c r="K203" s="216">
        <f t="shared" si="22"/>
        <v>3.5501908227567235E-2</v>
      </c>
      <c r="L203" s="205">
        <v>581.91999999999996</v>
      </c>
      <c r="M203" s="216">
        <f t="shared" si="23"/>
        <v>1.0162421230141121</v>
      </c>
      <c r="N203" s="205">
        <v>212.98272000000185</v>
      </c>
      <c r="O203" s="204">
        <v>0</v>
      </c>
      <c r="P203" s="206">
        <v>0</v>
      </c>
      <c r="Q203" s="281">
        <v>0</v>
      </c>
      <c r="R203" s="204">
        <v>0.36600000000000321</v>
      </c>
      <c r="S203" s="206">
        <v>1.6242123014112153E-2</v>
      </c>
      <c r="T203" s="204" t="s">
        <v>405</v>
      </c>
      <c r="U203" s="204" t="s">
        <v>225</v>
      </c>
      <c r="V203" s="204"/>
      <c r="W203" s="211">
        <v>1</v>
      </c>
      <c r="X203" s="204" t="s">
        <v>434</v>
      </c>
    </row>
    <row r="204" spans="2:24">
      <c r="B204" s="659"/>
      <c r="C204" s="659"/>
      <c r="D204" s="239">
        <v>98</v>
      </c>
      <c r="E204" s="204" t="s">
        <v>659</v>
      </c>
      <c r="F204" s="205">
        <v>191.98175999999702</v>
      </c>
      <c r="G204" s="204">
        <v>181.05600000000001</v>
      </c>
      <c r="H204" s="204">
        <v>182.5</v>
      </c>
      <c r="I204" s="216">
        <f t="shared" si="21"/>
        <v>1.0079754330151998</v>
      </c>
      <c r="J204" s="204">
        <v>0</v>
      </c>
      <c r="K204" s="216">
        <f t="shared" si="22"/>
        <v>0</v>
      </c>
      <c r="L204" s="205">
        <v>258.04000000000002</v>
      </c>
      <c r="M204" s="216">
        <f t="shared" si="23"/>
        <v>1.0079754330151998</v>
      </c>
      <c r="N204" s="205">
        <v>372.60975999999704</v>
      </c>
      <c r="O204" s="204">
        <v>0.7</v>
      </c>
      <c r="P204" s="206">
        <v>3.8662071403322723E-3</v>
      </c>
      <c r="Q204" s="281">
        <v>180.62800000000001</v>
      </c>
      <c r="R204" s="204">
        <v>0.74399999999998845</v>
      </c>
      <c r="S204" s="206">
        <v>4.1092258748673801E-3</v>
      </c>
      <c r="T204" s="204" t="s">
        <v>405</v>
      </c>
      <c r="U204" s="204" t="s">
        <v>225</v>
      </c>
      <c r="V204" s="204"/>
      <c r="W204" s="211">
        <v>1</v>
      </c>
      <c r="X204" s="204" t="s">
        <v>660</v>
      </c>
    </row>
    <row r="205" spans="2:24">
      <c r="B205" s="659"/>
      <c r="C205" s="659"/>
      <c r="D205" s="239">
        <v>99</v>
      </c>
      <c r="E205" s="204" t="s">
        <v>407</v>
      </c>
      <c r="F205" s="205">
        <v>178.49160000000111</v>
      </c>
      <c r="G205" s="204">
        <v>73.16</v>
      </c>
      <c r="H205" s="204">
        <v>74</v>
      </c>
      <c r="I205" s="216">
        <f t="shared" si="21"/>
        <v>1.0114816839803171</v>
      </c>
      <c r="J205" s="204">
        <v>0</v>
      </c>
      <c r="K205" s="216">
        <f t="shared" si="22"/>
        <v>0</v>
      </c>
      <c r="L205" s="205">
        <v>330.54</v>
      </c>
      <c r="M205" s="216">
        <f t="shared" si="23"/>
        <v>1.0114816839803171</v>
      </c>
      <c r="N205" s="205">
        <v>277.65360000000112</v>
      </c>
      <c r="O205" s="204">
        <v>0.3</v>
      </c>
      <c r="P205" s="206">
        <v>4.1006014215418263E-3</v>
      </c>
      <c r="Q205" s="281">
        <v>99.162000000000006</v>
      </c>
      <c r="R205" s="204">
        <v>0.54000000000000337</v>
      </c>
      <c r="S205" s="206">
        <v>7.381082558775333E-3</v>
      </c>
      <c r="T205" s="204" t="s">
        <v>405</v>
      </c>
      <c r="U205" s="204" t="s">
        <v>225</v>
      </c>
      <c r="V205" s="204"/>
      <c r="W205" s="211">
        <v>1</v>
      </c>
      <c r="X205" s="204" t="s">
        <v>408</v>
      </c>
    </row>
    <row r="206" spans="2:24">
      <c r="B206" s="659"/>
      <c r="C206" s="659"/>
      <c r="D206" s="239">
        <v>100</v>
      </c>
      <c r="E206" s="204" t="s">
        <v>401</v>
      </c>
      <c r="F206" s="205">
        <v>176.90595999999971</v>
      </c>
      <c r="G206" s="204">
        <v>6.2910000000000004</v>
      </c>
      <c r="H206" s="204">
        <v>6.5</v>
      </c>
      <c r="I206" s="216">
        <f t="shared" si="21"/>
        <v>1.0332220632649816</v>
      </c>
      <c r="J206" s="204">
        <v>0</v>
      </c>
      <c r="K206" s="216">
        <f t="shared" si="22"/>
        <v>0</v>
      </c>
      <c r="L206" s="205">
        <v>846.44</v>
      </c>
      <c r="M206" s="216">
        <f t="shared" si="23"/>
        <v>1.0332220632649816</v>
      </c>
      <c r="N206" s="205">
        <v>176.90595999999971</v>
      </c>
      <c r="O206" s="204">
        <v>0</v>
      </c>
      <c r="P206" s="206">
        <v>0</v>
      </c>
      <c r="Q206" s="281">
        <v>0</v>
      </c>
      <c r="R206" s="204">
        <v>0.20899999999999963</v>
      </c>
      <c r="S206" s="206">
        <v>3.3222063264981658E-2</v>
      </c>
      <c r="T206" s="204" t="s">
        <v>419</v>
      </c>
      <c r="U206" s="204" t="s">
        <v>522</v>
      </c>
      <c r="V206" s="204"/>
      <c r="W206" s="211">
        <v>1</v>
      </c>
      <c r="X206" s="204" t="s">
        <v>403</v>
      </c>
    </row>
    <row r="207" spans="2:24">
      <c r="B207" s="661">
        <v>45890</v>
      </c>
      <c r="C207" s="659" t="s">
        <v>269</v>
      </c>
      <c r="D207" s="239">
        <v>101</v>
      </c>
      <c r="E207" s="204" t="s">
        <v>435</v>
      </c>
      <c r="F207" s="205">
        <v>269.90710000000013</v>
      </c>
      <c r="G207" s="204">
        <v>5.79</v>
      </c>
      <c r="H207" s="204">
        <v>6.4</v>
      </c>
      <c r="I207" s="216">
        <f t="shared" si="21"/>
        <v>1.1053540587219344</v>
      </c>
      <c r="J207" s="204">
        <v>0</v>
      </c>
      <c r="K207" s="216">
        <f t="shared" si="22"/>
        <v>0</v>
      </c>
      <c r="L207" s="205">
        <v>658.31</v>
      </c>
      <c r="M207" s="216">
        <f t="shared" si="23"/>
        <v>1.1053540587219344</v>
      </c>
      <c r="N207" s="205">
        <v>401.56910000000016</v>
      </c>
      <c r="O207" s="204">
        <v>0.2</v>
      </c>
      <c r="P207" s="206">
        <v>3.4542314335060449E-2</v>
      </c>
      <c r="Q207" s="281">
        <v>131.66200000000001</v>
      </c>
      <c r="R207" s="204">
        <v>0.41000000000000031</v>
      </c>
      <c r="S207" s="206">
        <v>7.0811744386873973E-2</v>
      </c>
      <c r="T207" s="204" t="s">
        <v>405</v>
      </c>
      <c r="U207" s="204" t="s">
        <v>225</v>
      </c>
      <c r="V207" s="204"/>
      <c r="W207" s="211">
        <v>1</v>
      </c>
      <c r="X207" s="204" t="s">
        <v>436</v>
      </c>
    </row>
    <row r="208" spans="2:24">
      <c r="B208" s="659"/>
      <c r="C208" s="659"/>
      <c r="D208" s="239">
        <v>102</v>
      </c>
      <c r="E208" s="204" t="s">
        <v>569</v>
      </c>
      <c r="F208" s="205">
        <v>261.53208000000183</v>
      </c>
      <c r="G208" s="204">
        <v>59.247999999999998</v>
      </c>
      <c r="H208" s="204">
        <v>60.1</v>
      </c>
      <c r="I208" s="216">
        <f t="shared" si="21"/>
        <v>1.0143802322441264</v>
      </c>
      <c r="J208" s="204">
        <v>0</v>
      </c>
      <c r="K208" s="216">
        <f t="shared" si="22"/>
        <v>0</v>
      </c>
      <c r="L208" s="205">
        <v>473.79</v>
      </c>
      <c r="M208" s="216">
        <f t="shared" si="23"/>
        <v>1.0143802322441264</v>
      </c>
      <c r="N208" s="205">
        <v>403.66908000000183</v>
      </c>
      <c r="O208" s="204">
        <v>0.3</v>
      </c>
      <c r="P208" s="206">
        <v>5.0634620577909807E-3</v>
      </c>
      <c r="Q208" s="281">
        <v>142.137</v>
      </c>
      <c r="R208" s="204">
        <v>0.55200000000000382</v>
      </c>
      <c r="S208" s="206">
        <v>9.3167701863354681E-3</v>
      </c>
      <c r="T208" s="204" t="s">
        <v>405</v>
      </c>
      <c r="U208" s="204" t="s">
        <v>226</v>
      </c>
      <c r="V208" s="204"/>
      <c r="W208" s="211">
        <v>1</v>
      </c>
      <c r="X208" s="204" t="s">
        <v>423</v>
      </c>
    </row>
    <row r="209" spans="2:24">
      <c r="B209" s="659"/>
      <c r="C209" s="659"/>
      <c r="D209" s="239">
        <v>103</v>
      </c>
      <c r="E209" s="204" t="s">
        <v>599</v>
      </c>
      <c r="F209" s="205">
        <v>236.67616000000032</v>
      </c>
      <c r="G209" s="204">
        <v>32.868000000000002</v>
      </c>
      <c r="H209" s="204">
        <v>33.700000000000003</v>
      </c>
      <c r="I209" s="216">
        <f t="shared" si="21"/>
        <v>1.0253133747109651</v>
      </c>
      <c r="J209" s="204">
        <v>0</v>
      </c>
      <c r="K209" s="216">
        <f t="shared" si="22"/>
        <v>0</v>
      </c>
      <c r="L209" s="205">
        <v>444.88</v>
      </c>
      <c r="M209" s="216">
        <f t="shared" si="23"/>
        <v>1.0253133747109651</v>
      </c>
      <c r="N209" s="205">
        <v>370.14016000000032</v>
      </c>
      <c r="O209" s="204">
        <v>0.3</v>
      </c>
      <c r="P209" s="206">
        <v>9.1274187659729812E-3</v>
      </c>
      <c r="Q209" s="281">
        <v>133.464</v>
      </c>
      <c r="R209" s="204">
        <v>0.53200000000000069</v>
      </c>
      <c r="S209" s="206">
        <v>1.6185955944992111E-2</v>
      </c>
      <c r="T209" s="204" t="s">
        <v>405</v>
      </c>
      <c r="U209" s="204" t="s">
        <v>226</v>
      </c>
      <c r="V209" s="204"/>
      <c r="W209" s="211">
        <v>1</v>
      </c>
      <c r="X209" s="204" t="s">
        <v>598</v>
      </c>
    </row>
    <row r="210" spans="2:24">
      <c r="B210" s="659"/>
      <c r="C210" s="659"/>
      <c r="D210" s="239">
        <v>104</v>
      </c>
      <c r="E210" s="204" t="s">
        <v>584</v>
      </c>
      <c r="F210" s="205">
        <v>211.97000000000142</v>
      </c>
      <c r="G210" s="204">
        <v>27.83</v>
      </c>
      <c r="H210" s="204">
        <v>28.6</v>
      </c>
      <c r="I210" s="216">
        <f t="shared" si="21"/>
        <v>1.0276679841897234</v>
      </c>
      <c r="J210" s="204">
        <v>0</v>
      </c>
      <c r="K210" s="216">
        <f t="shared" si="22"/>
        <v>0</v>
      </c>
      <c r="L210" s="205">
        <v>451</v>
      </c>
      <c r="M210" s="216">
        <f t="shared" si="23"/>
        <v>1.0276679841897234</v>
      </c>
      <c r="N210" s="205">
        <v>347.2700000000014</v>
      </c>
      <c r="O210" s="204">
        <v>0.3</v>
      </c>
      <c r="P210" s="206">
        <v>1.0779734099892203E-2</v>
      </c>
      <c r="Q210" s="281">
        <v>135.29999999999998</v>
      </c>
      <c r="R210" s="204">
        <v>0.47000000000000314</v>
      </c>
      <c r="S210" s="206">
        <v>1.688825008983123E-2</v>
      </c>
      <c r="T210" s="204" t="s">
        <v>402</v>
      </c>
      <c r="U210" s="204" t="s">
        <v>224</v>
      </c>
      <c r="V210" s="204"/>
      <c r="W210" s="211">
        <v>1</v>
      </c>
      <c r="X210" s="204" t="s">
        <v>516</v>
      </c>
    </row>
    <row r="211" spans="2:24">
      <c r="B211" s="659"/>
      <c r="C211" s="659"/>
      <c r="D211" s="239">
        <v>105</v>
      </c>
      <c r="E211" s="204" t="s">
        <v>521</v>
      </c>
      <c r="F211" s="205">
        <v>200.44500000000048</v>
      </c>
      <c r="G211" s="204">
        <v>13.324999999999999</v>
      </c>
      <c r="H211" s="204">
        <v>14.3</v>
      </c>
      <c r="I211" s="216">
        <f t="shared" si="21"/>
        <v>1.0731707317073171</v>
      </c>
      <c r="J211" s="204">
        <v>0</v>
      </c>
      <c r="K211" s="216">
        <f t="shared" si="22"/>
        <v>0</v>
      </c>
      <c r="L211" s="205">
        <v>348.6</v>
      </c>
      <c r="M211" s="216">
        <f t="shared" si="23"/>
        <v>1.0731707317073171</v>
      </c>
      <c r="N211" s="205">
        <v>339.8850000000005</v>
      </c>
      <c r="O211" s="204">
        <v>0.4</v>
      </c>
      <c r="P211" s="206">
        <v>3.0018761726078803E-2</v>
      </c>
      <c r="Q211" s="281">
        <v>139.44000000000003</v>
      </c>
      <c r="R211" s="204">
        <v>0.5750000000000014</v>
      </c>
      <c r="S211" s="206">
        <v>4.3151969981238381E-2</v>
      </c>
      <c r="T211" s="204" t="s">
        <v>419</v>
      </c>
      <c r="U211" s="204" t="s">
        <v>522</v>
      </c>
      <c r="V211" s="204"/>
      <c r="W211" s="211">
        <v>1</v>
      </c>
      <c r="X211" s="204" t="s">
        <v>470</v>
      </c>
    </row>
    <row r="212" spans="2:24">
      <c r="B212" s="659"/>
      <c r="C212" s="659"/>
      <c r="D212" s="239">
        <v>106</v>
      </c>
      <c r="E212" s="204" t="s">
        <v>673</v>
      </c>
      <c r="F212" s="205">
        <v>185.59999999999985</v>
      </c>
      <c r="G212" s="204">
        <v>0.53600000000000003</v>
      </c>
      <c r="H212" s="204">
        <v>0.6</v>
      </c>
      <c r="I212" s="216">
        <f t="shared" si="21"/>
        <v>1.1194029850746268</v>
      </c>
      <c r="J212" s="204">
        <v>0</v>
      </c>
      <c r="K212" s="216">
        <f t="shared" si="22"/>
        <v>0</v>
      </c>
      <c r="L212" s="205">
        <v>2900</v>
      </c>
      <c r="M212" s="216">
        <f t="shared" si="23"/>
        <v>1.1194029850746268</v>
      </c>
      <c r="N212" s="205">
        <v>185.59999999999985</v>
      </c>
      <c r="O212" s="204">
        <v>0</v>
      </c>
      <c r="P212" s="206">
        <v>0</v>
      </c>
      <c r="Q212" s="281">
        <v>0</v>
      </c>
      <c r="R212" s="204">
        <v>6.3999999999999946E-2</v>
      </c>
      <c r="S212" s="206">
        <v>0.11940298507462675</v>
      </c>
      <c r="T212" s="204" t="s">
        <v>405</v>
      </c>
      <c r="U212" s="204" t="s">
        <v>412</v>
      </c>
      <c r="V212" s="204"/>
      <c r="W212" s="211">
        <v>1</v>
      </c>
      <c r="X212" s="204" t="s">
        <v>660</v>
      </c>
    </row>
    <row r="213" spans="2:24">
      <c r="B213" s="659"/>
      <c r="C213" s="659"/>
      <c r="D213" s="239">
        <v>107</v>
      </c>
      <c r="E213" s="204" t="s">
        <v>558</v>
      </c>
      <c r="F213" s="205">
        <v>182.43960000000027</v>
      </c>
      <c r="G213" s="204">
        <v>16.62</v>
      </c>
      <c r="H213" s="204">
        <v>17.100000000000001</v>
      </c>
      <c r="I213" s="216">
        <f t="shared" si="21"/>
        <v>1.0288808664259927</v>
      </c>
      <c r="J213" s="204">
        <v>0</v>
      </c>
      <c r="K213" s="216">
        <f t="shared" si="22"/>
        <v>0</v>
      </c>
      <c r="L213" s="205">
        <v>651.57000000000005</v>
      </c>
      <c r="M213" s="216">
        <f t="shared" si="23"/>
        <v>1.0288808664259927</v>
      </c>
      <c r="N213" s="205">
        <v>312.75360000000029</v>
      </c>
      <c r="O213" s="204">
        <v>0.2</v>
      </c>
      <c r="P213" s="206">
        <v>1.2033694344163659E-2</v>
      </c>
      <c r="Q213" s="281">
        <v>130.31400000000002</v>
      </c>
      <c r="R213" s="204">
        <v>0.28000000000000042</v>
      </c>
      <c r="S213" s="206">
        <v>1.6847172081829145E-2</v>
      </c>
      <c r="T213" s="204" t="s">
        <v>402</v>
      </c>
      <c r="U213" s="204" t="s">
        <v>224</v>
      </c>
      <c r="V213" s="204"/>
      <c r="W213" s="211">
        <v>1</v>
      </c>
      <c r="X213" s="204" t="s">
        <v>559</v>
      </c>
    </row>
    <row r="214" spans="2:24">
      <c r="B214" s="659"/>
      <c r="C214" s="659"/>
      <c r="D214" s="239">
        <v>108</v>
      </c>
      <c r="E214" s="204" t="s">
        <v>594</v>
      </c>
      <c r="F214" s="205">
        <v>177.94867999999792</v>
      </c>
      <c r="G214" s="204">
        <v>45.968000000000004</v>
      </c>
      <c r="H214" s="204">
        <v>46.8</v>
      </c>
      <c r="I214" s="216">
        <f t="shared" si="21"/>
        <v>1.0180995475113122</v>
      </c>
      <c r="J214" s="204">
        <v>0</v>
      </c>
      <c r="K214" s="216">
        <f t="shared" si="22"/>
        <v>0</v>
      </c>
      <c r="L214" s="205">
        <v>334.49</v>
      </c>
      <c r="M214" s="216">
        <f t="shared" si="23"/>
        <v>1.0180995475113122</v>
      </c>
      <c r="N214" s="205">
        <v>278.2956799999979</v>
      </c>
      <c r="O214" s="204">
        <v>0.3</v>
      </c>
      <c r="P214" s="206">
        <v>6.5262791507135392E-3</v>
      </c>
      <c r="Q214" s="281">
        <v>100.34699999999999</v>
      </c>
      <c r="R214" s="204">
        <v>0.53199999999999359</v>
      </c>
      <c r="S214" s="206">
        <v>1.1573268360598537E-2</v>
      </c>
      <c r="T214" s="204" t="s">
        <v>402</v>
      </c>
      <c r="U214" s="204" t="s">
        <v>224</v>
      </c>
      <c r="V214" s="204"/>
      <c r="W214" s="211">
        <v>1</v>
      </c>
      <c r="X214" s="204" t="s">
        <v>478</v>
      </c>
    </row>
    <row r="215" spans="2:24">
      <c r="B215" s="659"/>
      <c r="C215" s="659"/>
      <c r="D215" s="239">
        <v>109</v>
      </c>
      <c r="E215" s="204" t="s">
        <v>588</v>
      </c>
      <c r="F215" s="205">
        <v>177.85919999999999</v>
      </c>
      <c r="G215" s="204">
        <v>6.72</v>
      </c>
      <c r="H215" s="204">
        <v>7.6</v>
      </c>
      <c r="I215" s="216">
        <f t="shared" si="21"/>
        <v>1.1309523809523809</v>
      </c>
      <c r="J215" s="204">
        <v>0</v>
      </c>
      <c r="K215" s="216">
        <f t="shared" si="22"/>
        <v>0</v>
      </c>
      <c r="L215" s="205">
        <v>370.54</v>
      </c>
      <c r="M215" s="216">
        <f t="shared" si="23"/>
        <v>1.1309523809523809</v>
      </c>
      <c r="N215" s="205">
        <v>326.0752</v>
      </c>
      <c r="O215" s="204">
        <v>0.4</v>
      </c>
      <c r="P215" s="206">
        <v>5.9523809523809527E-2</v>
      </c>
      <c r="Q215" s="281">
        <v>148.21600000000001</v>
      </c>
      <c r="R215" s="204">
        <v>0.47999999999999987</v>
      </c>
      <c r="S215" s="206">
        <v>7.1428571428571411E-2</v>
      </c>
      <c r="T215" s="204" t="s">
        <v>419</v>
      </c>
      <c r="U215" s="204" t="s">
        <v>420</v>
      </c>
      <c r="V215" s="204"/>
      <c r="W215" s="211">
        <v>1</v>
      </c>
      <c r="X215" s="204" t="s">
        <v>455</v>
      </c>
    </row>
    <row r="216" spans="2:24">
      <c r="B216" s="659"/>
      <c r="C216" s="659"/>
      <c r="D216" s="239">
        <v>110</v>
      </c>
      <c r="E216" s="204" t="s">
        <v>545</v>
      </c>
      <c r="F216" s="205">
        <v>176.64527999999996</v>
      </c>
      <c r="G216" s="204">
        <v>31.463999999999999</v>
      </c>
      <c r="H216" s="204">
        <v>31.9</v>
      </c>
      <c r="I216" s="216">
        <f t="shared" si="21"/>
        <v>1.0138571065344522</v>
      </c>
      <c r="J216" s="204">
        <v>0</v>
      </c>
      <c r="K216" s="216">
        <f t="shared" si="22"/>
        <v>0</v>
      </c>
      <c r="L216" s="205">
        <v>525.73</v>
      </c>
      <c r="M216" s="216">
        <f t="shared" si="23"/>
        <v>1.0138571065344522</v>
      </c>
      <c r="N216" s="205">
        <v>229.21827999999996</v>
      </c>
      <c r="O216" s="204">
        <v>0.1</v>
      </c>
      <c r="P216" s="206">
        <v>3.1782354436816684E-3</v>
      </c>
      <c r="Q216" s="281">
        <v>52.573000000000008</v>
      </c>
      <c r="R216" s="204">
        <v>0.33599999999999997</v>
      </c>
      <c r="S216" s="206">
        <v>1.0678871090770403E-2</v>
      </c>
      <c r="T216" s="204" t="s">
        <v>405</v>
      </c>
      <c r="U216" s="204" t="s">
        <v>226</v>
      </c>
      <c r="V216" s="204"/>
      <c r="W216" s="211">
        <v>1</v>
      </c>
      <c r="X216" s="204" t="s">
        <v>517</v>
      </c>
    </row>
    <row r="217" spans="2:24">
      <c r="B217" s="661">
        <v>45891</v>
      </c>
      <c r="C217" s="659" t="s">
        <v>266</v>
      </c>
      <c r="D217" s="239">
        <v>111</v>
      </c>
      <c r="E217" s="204" t="s">
        <v>422</v>
      </c>
      <c r="F217" s="205">
        <v>293.21838000000093</v>
      </c>
      <c r="G217" s="204">
        <v>237.858</v>
      </c>
      <c r="H217" s="204">
        <v>240.8</v>
      </c>
      <c r="I217" s="216">
        <f t="shared" si="21"/>
        <v>1.0123687241967898</v>
      </c>
      <c r="J217" s="204">
        <v>0</v>
      </c>
      <c r="K217" s="216">
        <f t="shared" si="22"/>
        <v>0</v>
      </c>
      <c r="L217" s="205">
        <v>136.88999999999999</v>
      </c>
      <c r="M217" s="216">
        <f t="shared" si="23"/>
        <v>1.0123687241967898</v>
      </c>
      <c r="N217" s="205">
        <v>402.73038000000093</v>
      </c>
      <c r="O217" s="204">
        <v>0.8</v>
      </c>
      <c r="P217" s="206">
        <v>3.3633512431787034E-3</v>
      </c>
      <c r="Q217" s="281">
        <v>109.512</v>
      </c>
      <c r="R217" s="204">
        <v>2.1420000000000075</v>
      </c>
      <c r="S217" s="206">
        <v>9.0053729536110089E-3</v>
      </c>
      <c r="T217" s="204" t="s">
        <v>405</v>
      </c>
      <c r="U217" s="204" t="s">
        <v>225</v>
      </c>
      <c r="V217" s="204"/>
      <c r="W217" s="211">
        <v>1</v>
      </c>
      <c r="X217" s="204" t="s">
        <v>423</v>
      </c>
    </row>
    <row r="218" spans="2:24">
      <c r="B218" s="659"/>
      <c r="C218" s="659"/>
      <c r="D218" s="239">
        <v>112</v>
      </c>
      <c r="E218" s="204" t="s">
        <v>673</v>
      </c>
      <c r="F218" s="205">
        <v>231.41999999999996</v>
      </c>
      <c r="G218" s="204">
        <v>0.42020000000000002</v>
      </c>
      <c r="H218" s="204">
        <v>0.5</v>
      </c>
      <c r="I218" s="216">
        <f t="shared" si="21"/>
        <v>1.1899095668729176</v>
      </c>
      <c r="J218" s="204">
        <v>0</v>
      </c>
      <c r="K218" s="216">
        <f t="shared" si="22"/>
        <v>0</v>
      </c>
      <c r="L218" s="205">
        <v>2900</v>
      </c>
      <c r="M218" s="216">
        <f t="shared" si="23"/>
        <v>1.1899095668729176</v>
      </c>
      <c r="N218" s="205">
        <v>231.41999999999996</v>
      </c>
      <c r="O218" s="204">
        <v>0</v>
      </c>
      <c r="P218" s="206">
        <v>0</v>
      </c>
      <c r="Q218" s="281">
        <v>0</v>
      </c>
      <c r="R218" s="204">
        <v>7.9799999999999982E-2</v>
      </c>
      <c r="S218" s="206">
        <v>0.1899095668729176</v>
      </c>
      <c r="T218" s="204" t="s">
        <v>405</v>
      </c>
      <c r="U218" s="204" t="s">
        <v>412</v>
      </c>
      <c r="V218" s="204"/>
      <c r="W218" s="211">
        <v>1</v>
      </c>
      <c r="X218" s="204" t="s">
        <v>660</v>
      </c>
    </row>
    <row r="219" spans="2:24">
      <c r="B219" s="659"/>
      <c r="C219" s="659"/>
      <c r="D219" s="239">
        <v>113</v>
      </c>
      <c r="E219" s="204" t="s">
        <v>426</v>
      </c>
      <c r="F219" s="205">
        <v>231.05717999999283</v>
      </c>
      <c r="G219" s="204">
        <v>139.84700000000001</v>
      </c>
      <c r="H219" s="204">
        <v>140.6</v>
      </c>
      <c r="I219" s="216">
        <f t="shared" si="21"/>
        <v>1.0053844558696288</v>
      </c>
      <c r="J219" s="204">
        <v>0</v>
      </c>
      <c r="K219" s="216">
        <f t="shared" si="22"/>
        <v>0</v>
      </c>
      <c r="L219" s="205">
        <v>510.06</v>
      </c>
      <c r="M219" s="216">
        <f t="shared" si="23"/>
        <v>1.0053844558696288</v>
      </c>
      <c r="N219" s="205">
        <v>384.07517999999283</v>
      </c>
      <c r="O219" s="204">
        <v>0.3</v>
      </c>
      <c r="P219" s="206">
        <v>2.1452015416848409E-3</v>
      </c>
      <c r="Q219" s="281">
        <v>153.018</v>
      </c>
      <c r="R219" s="204">
        <v>0.45299999999998591</v>
      </c>
      <c r="S219" s="206">
        <v>3.2392543279440096E-3</v>
      </c>
      <c r="T219" s="204" t="s">
        <v>405</v>
      </c>
      <c r="U219" s="204" t="s">
        <v>226</v>
      </c>
      <c r="V219" s="204"/>
      <c r="W219" s="211">
        <v>1</v>
      </c>
      <c r="X219" s="204" t="s">
        <v>423</v>
      </c>
    </row>
    <row r="220" spans="2:24">
      <c r="B220" s="659"/>
      <c r="C220" s="659"/>
      <c r="D220" s="239">
        <v>114</v>
      </c>
      <c r="E220" s="204" t="s">
        <v>545</v>
      </c>
      <c r="F220" s="205">
        <v>227.11535999999967</v>
      </c>
      <c r="G220" s="204">
        <v>29.568000000000001</v>
      </c>
      <c r="H220" s="204">
        <v>30.3</v>
      </c>
      <c r="I220" s="216">
        <f t="shared" si="21"/>
        <v>1.0247564935064934</v>
      </c>
      <c r="J220" s="204">
        <v>0</v>
      </c>
      <c r="K220" s="216">
        <f t="shared" si="22"/>
        <v>0</v>
      </c>
      <c r="L220" s="205">
        <v>525.73</v>
      </c>
      <c r="M220" s="216">
        <f t="shared" si="23"/>
        <v>1.0247564935064934</v>
      </c>
      <c r="N220" s="205">
        <v>384.83435999999966</v>
      </c>
      <c r="O220" s="204">
        <v>0.3</v>
      </c>
      <c r="P220" s="206">
        <v>1.0146103896103896E-2</v>
      </c>
      <c r="Q220" s="281">
        <v>157.71899999999999</v>
      </c>
      <c r="R220" s="204">
        <v>0.43199999999999933</v>
      </c>
      <c r="S220" s="206">
        <v>1.4610389610389588E-2</v>
      </c>
      <c r="T220" s="204" t="s">
        <v>405</v>
      </c>
      <c r="U220" s="204" t="s">
        <v>226</v>
      </c>
      <c r="V220" s="204"/>
      <c r="W220" s="211">
        <v>1</v>
      </c>
      <c r="X220" s="204" t="s">
        <v>517</v>
      </c>
    </row>
    <row r="221" spans="2:24">
      <c r="B221" s="659"/>
      <c r="C221" s="659"/>
      <c r="D221" s="239">
        <v>115</v>
      </c>
      <c r="E221" s="204" t="s">
        <v>599</v>
      </c>
      <c r="F221" s="205">
        <v>209.9833599999987</v>
      </c>
      <c r="G221" s="204">
        <v>28.728000000000002</v>
      </c>
      <c r="H221" s="204">
        <v>29.4</v>
      </c>
      <c r="I221" s="216">
        <f t="shared" si="21"/>
        <v>1.0233918128654971</v>
      </c>
      <c r="J221" s="204">
        <v>0</v>
      </c>
      <c r="K221" s="216">
        <f t="shared" si="22"/>
        <v>0</v>
      </c>
      <c r="L221" s="205">
        <v>444.88</v>
      </c>
      <c r="M221" s="216">
        <f t="shared" si="23"/>
        <v>1.0233918128654971</v>
      </c>
      <c r="N221" s="205">
        <v>298.9593599999987</v>
      </c>
      <c r="O221" s="204">
        <v>0.2</v>
      </c>
      <c r="P221" s="206">
        <v>6.9618490671122246E-3</v>
      </c>
      <c r="Q221" s="281">
        <v>88.975999999999999</v>
      </c>
      <c r="R221" s="204">
        <v>0.47199999999999703</v>
      </c>
      <c r="S221" s="206">
        <v>1.6429963798384746E-2</v>
      </c>
      <c r="T221" s="204" t="s">
        <v>405</v>
      </c>
      <c r="U221" s="204" t="s">
        <v>226</v>
      </c>
      <c r="V221" s="204"/>
      <c r="W221" s="211">
        <v>1</v>
      </c>
      <c r="X221" s="204" t="s">
        <v>598</v>
      </c>
    </row>
    <row r="222" spans="2:24">
      <c r="B222" s="659"/>
      <c r="C222" s="659"/>
      <c r="D222" s="239">
        <v>116</v>
      </c>
      <c r="E222" s="204" t="s">
        <v>591</v>
      </c>
      <c r="F222" s="205">
        <v>204.2629399999999</v>
      </c>
      <c r="G222" s="204">
        <v>17.341999999999999</v>
      </c>
      <c r="H222" s="204">
        <v>18.399999999999999</v>
      </c>
      <c r="I222" s="216">
        <f t="shared" si="21"/>
        <v>1.0610079575596818</v>
      </c>
      <c r="J222" s="204">
        <v>0</v>
      </c>
      <c r="K222" s="216">
        <f t="shared" si="22"/>
        <v>0</v>
      </c>
      <c r="L222" s="205">
        <v>310.43</v>
      </c>
      <c r="M222" s="216">
        <f t="shared" si="23"/>
        <v>1.0610079575596818</v>
      </c>
      <c r="N222" s="205">
        <v>328.43493999999993</v>
      </c>
      <c r="O222" s="204">
        <v>0.4</v>
      </c>
      <c r="P222" s="206">
        <v>2.3065390381732213E-2</v>
      </c>
      <c r="Q222" s="281">
        <v>124.17200000000001</v>
      </c>
      <c r="R222" s="204">
        <v>0.65799999999999981</v>
      </c>
      <c r="S222" s="206">
        <v>3.7942567177949478E-2</v>
      </c>
      <c r="T222" s="204" t="s">
        <v>405</v>
      </c>
      <c r="U222" s="204" t="s">
        <v>225</v>
      </c>
      <c r="V222" s="204"/>
      <c r="W222" s="211">
        <v>1</v>
      </c>
      <c r="X222" s="204" t="s">
        <v>403</v>
      </c>
    </row>
    <row r="223" spans="2:24">
      <c r="B223" s="659"/>
      <c r="C223" s="659"/>
      <c r="D223" s="239">
        <v>117</v>
      </c>
      <c r="E223" s="204" t="s">
        <v>569</v>
      </c>
      <c r="F223" s="205">
        <v>194.25389999999973</v>
      </c>
      <c r="G223" s="204">
        <v>53.59</v>
      </c>
      <c r="H223" s="204">
        <v>54.2</v>
      </c>
      <c r="I223" s="216">
        <f t="shared" si="21"/>
        <v>1.0113827206568389</v>
      </c>
      <c r="J223" s="204">
        <v>0</v>
      </c>
      <c r="K223" s="216">
        <f t="shared" si="22"/>
        <v>0</v>
      </c>
      <c r="L223" s="205">
        <v>473.79</v>
      </c>
      <c r="M223" s="216">
        <f t="shared" si="23"/>
        <v>1.0113827206568389</v>
      </c>
      <c r="N223" s="205">
        <v>289.01189999999974</v>
      </c>
      <c r="O223" s="204">
        <v>0.2</v>
      </c>
      <c r="P223" s="206">
        <v>3.7320395596193321E-3</v>
      </c>
      <c r="Q223" s="281">
        <v>94.75800000000001</v>
      </c>
      <c r="R223" s="204">
        <v>0.40999999999999942</v>
      </c>
      <c r="S223" s="206">
        <v>7.650681097219619E-3</v>
      </c>
      <c r="T223" s="204" t="s">
        <v>405</v>
      </c>
      <c r="U223" s="204" t="s">
        <v>226</v>
      </c>
      <c r="V223" s="204"/>
      <c r="W223" s="211">
        <v>1</v>
      </c>
      <c r="X223" s="204" t="s">
        <v>423</v>
      </c>
    </row>
    <row r="224" spans="2:24">
      <c r="B224" s="659"/>
      <c r="C224" s="659"/>
      <c r="D224" s="239">
        <v>118</v>
      </c>
      <c r="E224" s="204" t="s">
        <v>674</v>
      </c>
      <c r="F224" s="205">
        <v>184.50269999999995</v>
      </c>
      <c r="G224" s="204">
        <v>22.77</v>
      </c>
      <c r="H224" s="204">
        <v>24.2</v>
      </c>
      <c r="I224" s="216">
        <f t="shared" si="21"/>
        <v>1.0628019323671498</v>
      </c>
      <c r="J224" s="204">
        <v>0</v>
      </c>
      <c r="K224" s="216">
        <f t="shared" si="22"/>
        <v>0</v>
      </c>
      <c r="L224" s="205">
        <v>198.39</v>
      </c>
      <c r="M224" s="216">
        <f t="shared" si="23"/>
        <v>1.0628019323671498</v>
      </c>
      <c r="N224" s="205">
        <v>283.69769999999994</v>
      </c>
      <c r="O224" s="204">
        <v>0.5</v>
      </c>
      <c r="P224" s="206">
        <v>2.1958717610891524E-2</v>
      </c>
      <c r="Q224" s="281">
        <v>99.194999999999993</v>
      </c>
      <c r="R224" s="204">
        <v>0.92999999999999972</v>
      </c>
      <c r="S224" s="206">
        <v>4.0843214756258225E-2</v>
      </c>
      <c r="T224" s="204" t="s">
        <v>537</v>
      </c>
      <c r="U224" s="204" t="s">
        <v>658</v>
      </c>
      <c r="V224" s="204"/>
      <c r="W224" s="211">
        <v>1</v>
      </c>
      <c r="X224" s="204" t="s">
        <v>515</v>
      </c>
    </row>
    <row r="225" spans="2:24">
      <c r="B225" s="659"/>
      <c r="C225" s="659"/>
      <c r="D225" s="239">
        <v>119</v>
      </c>
      <c r="E225" s="204" t="s">
        <v>606</v>
      </c>
      <c r="F225" s="205">
        <v>179.07235000000026</v>
      </c>
      <c r="G225" s="204">
        <v>104.295</v>
      </c>
      <c r="H225" s="204">
        <v>105.7</v>
      </c>
      <c r="I225" s="216">
        <f t="shared" si="21"/>
        <v>1.0134714032312191</v>
      </c>
      <c r="J225" s="204">
        <v>0</v>
      </c>
      <c r="K225" s="216">
        <f t="shared" si="22"/>
        <v>0</v>
      </c>
      <c r="L225" s="205">
        <v>197.87</v>
      </c>
      <c r="M225" s="216">
        <f t="shared" si="23"/>
        <v>1.0134714032312191</v>
      </c>
      <c r="N225" s="205">
        <v>278.00735000000026</v>
      </c>
      <c r="O225" s="204">
        <v>0.5</v>
      </c>
      <c r="P225" s="206">
        <v>4.7940936765904409E-3</v>
      </c>
      <c r="Q225" s="281">
        <v>98.935000000000002</v>
      </c>
      <c r="R225" s="204">
        <v>0.90500000000000114</v>
      </c>
      <c r="S225" s="206">
        <v>8.6773095546287086E-3</v>
      </c>
      <c r="T225" s="204" t="s">
        <v>419</v>
      </c>
      <c r="U225" s="204" t="s">
        <v>420</v>
      </c>
      <c r="V225" s="204"/>
      <c r="W225" s="211">
        <v>1</v>
      </c>
      <c r="X225" s="204" t="s">
        <v>601</v>
      </c>
    </row>
    <row r="226" spans="2:24">
      <c r="B226" s="659"/>
      <c r="C226" s="659"/>
      <c r="D226" s="239">
        <v>120</v>
      </c>
      <c r="E226" s="204" t="s">
        <v>411</v>
      </c>
      <c r="F226" s="205">
        <v>176.83579999999984</v>
      </c>
      <c r="G226" s="204">
        <v>27.943999999999999</v>
      </c>
      <c r="H226" s="204">
        <v>28.9</v>
      </c>
      <c r="I226" s="216">
        <f t="shared" si="21"/>
        <v>1.0342112797022616</v>
      </c>
      <c r="J226" s="204">
        <v>0</v>
      </c>
      <c r="K226" s="216">
        <f t="shared" si="22"/>
        <v>0</v>
      </c>
      <c r="L226" s="205">
        <v>318.05</v>
      </c>
      <c r="M226" s="216">
        <f t="shared" si="23"/>
        <v>1.0342112797022616</v>
      </c>
      <c r="N226" s="205">
        <v>304.05579999999986</v>
      </c>
      <c r="O226" s="204">
        <v>0.4</v>
      </c>
      <c r="P226" s="206">
        <v>1.4314342971657602E-2</v>
      </c>
      <c r="Q226" s="281">
        <v>127.22000000000001</v>
      </c>
      <c r="R226" s="204">
        <v>0.55599999999999949</v>
      </c>
      <c r="S226" s="206">
        <v>1.9896936730604046E-2</v>
      </c>
      <c r="T226" s="204" t="s">
        <v>405</v>
      </c>
      <c r="U226" s="204" t="s">
        <v>225</v>
      </c>
      <c r="V226" s="204"/>
      <c r="W226" s="211">
        <v>1</v>
      </c>
      <c r="X226" s="204" t="s">
        <v>413</v>
      </c>
    </row>
    <row r="227" spans="2:24">
      <c r="B227" s="661">
        <v>45892</v>
      </c>
      <c r="C227" s="659" t="s">
        <v>271</v>
      </c>
      <c r="D227" s="239">
        <v>121</v>
      </c>
      <c r="E227" s="204" t="s">
        <v>525</v>
      </c>
      <c r="F227" s="205">
        <v>293.06339999999921</v>
      </c>
      <c r="G227" s="204">
        <v>13.585000000000001</v>
      </c>
      <c r="H227" s="204">
        <v>14</v>
      </c>
      <c r="I227" s="216">
        <f t="shared" si="21"/>
        <v>1.0305483989694515</v>
      </c>
      <c r="J227" s="204">
        <v>0</v>
      </c>
      <c r="K227" s="216">
        <f t="shared" si="22"/>
        <v>0</v>
      </c>
      <c r="L227" s="205">
        <v>930.36</v>
      </c>
      <c r="M227" s="216">
        <f t="shared" si="23"/>
        <v>1.0305483989694515</v>
      </c>
      <c r="N227" s="205">
        <v>386.09939999999921</v>
      </c>
      <c r="O227" s="204">
        <v>0.1</v>
      </c>
      <c r="P227" s="206">
        <v>7.3610599926389403E-3</v>
      </c>
      <c r="Q227" s="281">
        <v>93.036000000000001</v>
      </c>
      <c r="R227" s="204">
        <v>0.31499999999999917</v>
      </c>
      <c r="S227" s="206">
        <v>2.3187338976812598E-2</v>
      </c>
      <c r="T227" s="204" t="s">
        <v>405</v>
      </c>
      <c r="U227" s="204" t="s">
        <v>225</v>
      </c>
      <c r="V227" s="204"/>
      <c r="W227" s="211">
        <v>1</v>
      </c>
      <c r="X227" s="204" t="s">
        <v>474</v>
      </c>
    </row>
    <row r="228" spans="2:24">
      <c r="B228" s="659"/>
      <c r="C228" s="659"/>
      <c r="D228" s="239">
        <v>122</v>
      </c>
      <c r="E228" s="204" t="s">
        <v>611</v>
      </c>
      <c r="F228" s="205">
        <v>257.31600000000014</v>
      </c>
      <c r="G228" s="204">
        <v>6.585</v>
      </c>
      <c r="H228" s="204">
        <v>7.4</v>
      </c>
      <c r="I228" s="216">
        <f t="shared" si="21"/>
        <v>1.1237661351556569</v>
      </c>
      <c r="J228" s="204">
        <v>0</v>
      </c>
      <c r="K228" s="216">
        <f t="shared" si="22"/>
        <v>0</v>
      </c>
      <c r="L228" s="205">
        <v>418.4</v>
      </c>
      <c r="M228" s="216">
        <f t="shared" si="23"/>
        <v>1.1237661351556569</v>
      </c>
      <c r="N228" s="205">
        <v>340.99600000000015</v>
      </c>
      <c r="O228" s="204">
        <v>0.2</v>
      </c>
      <c r="P228" s="206">
        <v>3.0372057706909646E-2</v>
      </c>
      <c r="Q228" s="281">
        <v>83.68</v>
      </c>
      <c r="R228" s="204">
        <v>0.61500000000000044</v>
      </c>
      <c r="S228" s="206">
        <v>9.3394077448747226E-2</v>
      </c>
      <c r="T228" s="204" t="s">
        <v>419</v>
      </c>
      <c r="U228" s="204" t="s">
        <v>420</v>
      </c>
      <c r="V228" s="204"/>
      <c r="W228" s="211">
        <v>1</v>
      </c>
      <c r="X228" s="204" t="s">
        <v>612</v>
      </c>
    </row>
    <row r="229" spans="2:24">
      <c r="B229" s="659"/>
      <c r="C229" s="659"/>
      <c r="D229" s="239">
        <v>123</v>
      </c>
      <c r="E229" s="204" t="s">
        <v>675</v>
      </c>
      <c r="F229" s="205">
        <v>242.07360000000455</v>
      </c>
      <c r="G229" s="204">
        <v>64.959999999999994</v>
      </c>
      <c r="H229" s="204">
        <v>65.900000000000006</v>
      </c>
      <c r="I229" s="216">
        <f t="shared" si="21"/>
        <v>1.0144704433497538</v>
      </c>
      <c r="J229" s="204">
        <v>0</v>
      </c>
      <c r="K229" s="216">
        <f t="shared" si="22"/>
        <v>0</v>
      </c>
      <c r="L229" s="205">
        <v>378.24</v>
      </c>
      <c r="M229" s="216">
        <f t="shared" si="23"/>
        <v>1.0144704433497538</v>
      </c>
      <c r="N229" s="205">
        <v>355.54560000000453</v>
      </c>
      <c r="O229" s="204">
        <v>0.3</v>
      </c>
      <c r="P229" s="206">
        <v>4.6182266009852221E-3</v>
      </c>
      <c r="Q229" s="281">
        <v>113.47199999999999</v>
      </c>
      <c r="R229" s="204">
        <v>0.64000000000001189</v>
      </c>
      <c r="S229" s="206">
        <v>9.8522167487686569E-3</v>
      </c>
      <c r="T229" s="204" t="s">
        <v>402</v>
      </c>
      <c r="U229" s="204" t="s">
        <v>224</v>
      </c>
      <c r="V229" s="204"/>
      <c r="W229" s="211">
        <v>1</v>
      </c>
      <c r="X229" s="204" t="s">
        <v>676</v>
      </c>
    </row>
    <row r="230" spans="2:24">
      <c r="B230" s="659"/>
      <c r="C230" s="659"/>
      <c r="D230" s="239">
        <v>124</v>
      </c>
      <c r="E230" s="204" t="s">
        <v>426</v>
      </c>
      <c r="F230" s="205">
        <v>239.21814000000276</v>
      </c>
      <c r="G230" s="204">
        <v>131.23099999999999</v>
      </c>
      <c r="H230" s="204">
        <v>132</v>
      </c>
      <c r="I230" s="216">
        <f t="shared" si="21"/>
        <v>1.005859895908741</v>
      </c>
      <c r="J230" s="204">
        <v>0</v>
      </c>
      <c r="K230" s="216">
        <f t="shared" si="22"/>
        <v>0</v>
      </c>
      <c r="L230" s="205">
        <v>510.06</v>
      </c>
      <c r="M230" s="216">
        <f t="shared" si="23"/>
        <v>1.005859895908741</v>
      </c>
      <c r="N230" s="205">
        <v>392.23614000000276</v>
      </c>
      <c r="O230" s="204">
        <v>0.3</v>
      </c>
      <c r="P230" s="206">
        <v>2.2860452179744115E-3</v>
      </c>
      <c r="Q230" s="281">
        <v>153.018</v>
      </c>
      <c r="R230" s="204">
        <v>0.46900000000000547</v>
      </c>
      <c r="S230" s="206">
        <v>3.5738506907667051E-3</v>
      </c>
      <c r="T230" s="204" t="s">
        <v>405</v>
      </c>
      <c r="U230" s="204" t="s">
        <v>226</v>
      </c>
      <c r="V230" s="204"/>
      <c r="W230" s="211">
        <v>1</v>
      </c>
      <c r="X230" s="204" t="s">
        <v>423</v>
      </c>
    </row>
    <row r="231" spans="2:24">
      <c r="B231" s="659"/>
      <c r="C231" s="659"/>
      <c r="D231" s="239">
        <v>125</v>
      </c>
      <c r="E231" s="204" t="s">
        <v>422</v>
      </c>
      <c r="F231" s="205">
        <v>230.24897999999598</v>
      </c>
      <c r="G231" s="204">
        <v>258.71800000000002</v>
      </c>
      <c r="H231" s="204">
        <v>261.2</v>
      </c>
      <c r="I231" s="216">
        <f t="shared" si="21"/>
        <v>1.0095934569685912</v>
      </c>
      <c r="J231" s="204">
        <v>0</v>
      </c>
      <c r="K231" s="216">
        <f t="shared" si="22"/>
        <v>0</v>
      </c>
      <c r="L231" s="205">
        <v>136.88999999999999</v>
      </c>
      <c r="M231" s="216">
        <f t="shared" si="23"/>
        <v>1.0095934569685912</v>
      </c>
      <c r="N231" s="205">
        <v>339.76097999999598</v>
      </c>
      <c r="O231" s="204">
        <v>0.8</v>
      </c>
      <c r="P231" s="206">
        <v>3.0921698528900191E-3</v>
      </c>
      <c r="Q231" s="281">
        <v>109.512</v>
      </c>
      <c r="R231" s="204">
        <v>1.6819999999999709</v>
      </c>
      <c r="S231" s="206">
        <v>6.5012871157011523E-3</v>
      </c>
      <c r="T231" s="204" t="s">
        <v>405</v>
      </c>
      <c r="U231" s="204" t="s">
        <v>225</v>
      </c>
      <c r="V231" s="204"/>
      <c r="W231" s="211">
        <v>1</v>
      </c>
      <c r="X231" s="204" t="s">
        <v>423</v>
      </c>
    </row>
    <row r="232" spans="2:24">
      <c r="B232" s="659"/>
      <c r="C232" s="659"/>
      <c r="D232" s="239">
        <v>126</v>
      </c>
      <c r="E232" s="204" t="s">
        <v>591</v>
      </c>
      <c r="F232" s="205">
        <v>219.47400999999979</v>
      </c>
      <c r="G232" s="204">
        <v>20.792999999999999</v>
      </c>
      <c r="H232" s="204">
        <v>21.9</v>
      </c>
      <c r="I232" s="216">
        <f t="shared" si="21"/>
        <v>1.0532390708411485</v>
      </c>
      <c r="J232" s="204">
        <v>0</v>
      </c>
      <c r="K232" s="216">
        <f t="shared" si="22"/>
        <v>0</v>
      </c>
      <c r="L232" s="205">
        <v>310.43</v>
      </c>
      <c r="M232" s="216">
        <f t="shared" si="23"/>
        <v>1.0532390708411485</v>
      </c>
      <c r="N232" s="205">
        <v>343.64600999999982</v>
      </c>
      <c r="O232" s="204">
        <v>0.4</v>
      </c>
      <c r="P232" s="206">
        <v>1.9237243303034678E-2</v>
      </c>
      <c r="Q232" s="281">
        <v>124.17200000000001</v>
      </c>
      <c r="R232" s="204">
        <v>0.7069999999999993</v>
      </c>
      <c r="S232" s="206">
        <v>3.4001827538113753E-2</v>
      </c>
      <c r="T232" s="204" t="s">
        <v>405</v>
      </c>
      <c r="U232" s="204" t="s">
        <v>225</v>
      </c>
      <c r="V232" s="204"/>
      <c r="W232" s="211">
        <v>1</v>
      </c>
      <c r="X232" s="204" t="s">
        <v>403</v>
      </c>
    </row>
    <row r="233" spans="2:24">
      <c r="B233" s="659"/>
      <c r="C233" s="659"/>
      <c r="D233" s="239">
        <v>127</v>
      </c>
      <c r="E233" s="204" t="s">
        <v>545</v>
      </c>
      <c r="F233" s="205">
        <v>216.60076000000137</v>
      </c>
      <c r="G233" s="204">
        <v>29.687999999999999</v>
      </c>
      <c r="H233" s="204">
        <v>30</v>
      </c>
      <c r="I233" s="216">
        <f t="shared" si="21"/>
        <v>1.0105092966855296</v>
      </c>
      <c r="J233" s="204">
        <v>0.1</v>
      </c>
      <c r="K233" s="216">
        <f t="shared" si="22"/>
        <v>3.3683643222850988E-3</v>
      </c>
      <c r="L233" s="205">
        <v>525.73</v>
      </c>
      <c r="M233" s="216">
        <f t="shared" si="23"/>
        <v>1.0138776610078146</v>
      </c>
      <c r="N233" s="205">
        <v>216.60076000000137</v>
      </c>
      <c r="O233" s="204">
        <v>0</v>
      </c>
      <c r="P233" s="206">
        <v>0</v>
      </c>
      <c r="Q233" s="281">
        <v>0</v>
      </c>
      <c r="R233" s="204">
        <v>0.41200000000000259</v>
      </c>
      <c r="S233" s="206">
        <v>1.3877661007814693E-2</v>
      </c>
      <c r="T233" s="204" t="s">
        <v>405</v>
      </c>
      <c r="U233" s="204" t="s">
        <v>226</v>
      </c>
      <c r="V233" s="204"/>
      <c r="W233" s="211">
        <v>1</v>
      </c>
      <c r="X233" s="204" t="s">
        <v>517</v>
      </c>
    </row>
    <row r="234" spans="2:24">
      <c r="B234" s="659"/>
      <c r="C234" s="659"/>
      <c r="D234" s="239">
        <v>128</v>
      </c>
      <c r="E234" s="204" t="s">
        <v>416</v>
      </c>
      <c r="F234" s="205">
        <v>180.4492199999994</v>
      </c>
      <c r="G234" s="204">
        <v>15.162000000000001</v>
      </c>
      <c r="H234" s="204">
        <v>15.5</v>
      </c>
      <c r="I234" s="216">
        <f t="shared" si="21"/>
        <v>1.0222925735391108</v>
      </c>
      <c r="J234" s="204">
        <v>0</v>
      </c>
      <c r="K234" s="216">
        <f t="shared" si="22"/>
        <v>0</v>
      </c>
      <c r="L234" s="205">
        <v>758.19</v>
      </c>
      <c r="M234" s="216">
        <f t="shared" si="23"/>
        <v>1.0222925735391108</v>
      </c>
      <c r="N234" s="205">
        <v>256.26821999999942</v>
      </c>
      <c r="O234" s="204">
        <v>0.1</v>
      </c>
      <c r="P234" s="206">
        <v>6.5954359583168445E-3</v>
      </c>
      <c r="Q234" s="281">
        <v>75.819000000000003</v>
      </c>
      <c r="R234" s="204">
        <v>0.23799999999999918</v>
      </c>
      <c r="S234" s="206">
        <v>1.5697137580794034E-2</v>
      </c>
      <c r="T234" s="204" t="s">
        <v>405</v>
      </c>
      <c r="U234" s="204" t="s">
        <v>225</v>
      </c>
      <c r="V234" s="204"/>
      <c r="W234" s="211">
        <v>1</v>
      </c>
      <c r="X234" s="204" t="s">
        <v>417</v>
      </c>
    </row>
    <row r="235" spans="2:24">
      <c r="B235" s="659"/>
      <c r="C235" s="659"/>
      <c r="D235" s="239">
        <v>129</v>
      </c>
      <c r="E235" s="204" t="s">
        <v>435</v>
      </c>
      <c r="F235" s="205">
        <v>174.45215000000013</v>
      </c>
      <c r="G235" s="204">
        <v>5.5350000000000001</v>
      </c>
      <c r="H235" s="204">
        <v>5.9</v>
      </c>
      <c r="I235" s="216">
        <f t="shared" si="21"/>
        <v>1.065943992773261</v>
      </c>
      <c r="J235" s="204">
        <v>0</v>
      </c>
      <c r="K235" s="216">
        <f t="shared" si="22"/>
        <v>0</v>
      </c>
      <c r="L235" s="205">
        <v>658.31</v>
      </c>
      <c r="M235" s="216">
        <f t="shared" si="23"/>
        <v>1.065943992773261</v>
      </c>
      <c r="N235" s="205">
        <v>240.28315000000012</v>
      </c>
      <c r="O235" s="204">
        <v>0.1</v>
      </c>
      <c r="P235" s="206">
        <v>1.8066847335140017E-2</v>
      </c>
      <c r="Q235" s="281">
        <v>65.831000000000003</v>
      </c>
      <c r="R235" s="204">
        <v>0.26500000000000024</v>
      </c>
      <c r="S235" s="206">
        <v>4.7877145438121091E-2</v>
      </c>
      <c r="T235" s="204" t="s">
        <v>405</v>
      </c>
      <c r="U235" s="204" t="s">
        <v>225</v>
      </c>
      <c r="V235" s="204"/>
      <c r="W235" s="211">
        <v>1</v>
      </c>
      <c r="X235" s="204" t="s">
        <v>436</v>
      </c>
    </row>
    <row r="236" spans="2:24">
      <c r="B236" s="659"/>
      <c r="C236" s="659"/>
      <c r="D236" s="239">
        <v>130</v>
      </c>
      <c r="E236" s="204" t="s">
        <v>569</v>
      </c>
      <c r="F236" s="205">
        <v>172.93334999999891</v>
      </c>
      <c r="G236" s="204">
        <v>53.935000000000002</v>
      </c>
      <c r="H236" s="204">
        <v>54.5</v>
      </c>
      <c r="I236" s="216">
        <f t="shared" si="21"/>
        <v>1.0104755724483174</v>
      </c>
      <c r="J236" s="204">
        <v>0</v>
      </c>
      <c r="K236" s="216">
        <f t="shared" si="22"/>
        <v>0</v>
      </c>
      <c r="L236" s="205">
        <v>473.79</v>
      </c>
      <c r="M236" s="216">
        <f t="shared" si="23"/>
        <v>1.0104755724483174</v>
      </c>
      <c r="N236" s="205">
        <v>267.69134999999892</v>
      </c>
      <c r="O236" s="204">
        <v>0.2</v>
      </c>
      <c r="P236" s="206">
        <v>3.7081672383424491E-3</v>
      </c>
      <c r="Q236" s="281">
        <v>94.75800000000001</v>
      </c>
      <c r="R236" s="204">
        <v>0.36499999999999772</v>
      </c>
      <c r="S236" s="206">
        <v>6.767405209974927E-3</v>
      </c>
      <c r="T236" s="204" t="s">
        <v>405</v>
      </c>
      <c r="U236" s="204" t="s">
        <v>226</v>
      </c>
      <c r="V236" s="204"/>
      <c r="W236" s="211">
        <v>1</v>
      </c>
      <c r="X236" s="204" t="s">
        <v>423</v>
      </c>
    </row>
    <row r="237" spans="2:24">
      <c r="B237" s="661">
        <v>45893</v>
      </c>
      <c r="C237" s="659" t="s">
        <v>267</v>
      </c>
      <c r="D237" s="239">
        <v>131</v>
      </c>
      <c r="E237" s="204" t="s">
        <v>426</v>
      </c>
      <c r="F237" s="205">
        <v>335.61948000000211</v>
      </c>
      <c r="G237" s="204">
        <v>151.642</v>
      </c>
      <c r="H237" s="204">
        <v>152.5</v>
      </c>
      <c r="I237" s="216">
        <f t="shared" si="21"/>
        <v>1.0056580630695982</v>
      </c>
      <c r="J237" s="204">
        <v>0</v>
      </c>
      <c r="K237" s="216">
        <f t="shared" si="22"/>
        <v>0</v>
      </c>
      <c r="L237" s="205">
        <v>510.06</v>
      </c>
      <c r="M237" s="216">
        <f t="shared" si="23"/>
        <v>1.0056580630695982</v>
      </c>
      <c r="N237" s="205">
        <v>437.63148000000211</v>
      </c>
      <c r="O237" s="204">
        <v>0.2</v>
      </c>
      <c r="P237" s="206">
        <v>1.3188958204191452E-3</v>
      </c>
      <c r="Q237" s="281">
        <v>102.012</v>
      </c>
      <c r="R237" s="204">
        <v>0.65800000000000414</v>
      </c>
      <c r="S237" s="206">
        <v>4.3391672491790148E-3</v>
      </c>
      <c r="T237" s="204" t="s">
        <v>405</v>
      </c>
      <c r="U237" s="204" t="s">
        <v>226</v>
      </c>
      <c r="V237" s="204"/>
      <c r="W237" s="211">
        <v>1</v>
      </c>
      <c r="X237" s="204" t="s">
        <v>423</v>
      </c>
    </row>
    <row r="238" spans="2:24">
      <c r="B238" s="659"/>
      <c r="C238" s="659"/>
      <c r="D238" s="239">
        <v>132</v>
      </c>
      <c r="E238" s="204" t="s">
        <v>545</v>
      </c>
      <c r="F238" s="205">
        <v>277.58544000000308</v>
      </c>
      <c r="G238" s="204">
        <v>31.872</v>
      </c>
      <c r="H238" s="204">
        <v>32.200000000000003</v>
      </c>
      <c r="I238" s="216">
        <f t="shared" si="21"/>
        <v>1.0102911646586346</v>
      </c>
      <c r="J238" s="204">
        <v>0.2</v>
      </c>
      <c r="K238" s="216">
        <f t="shared" si="22"/>
        <v>6.2751004016064257E-3</v>
      </c>
      <c r="L238" s="205">
        <v>525.73</v>
      </c>
      <c r="M238" s="216">
        <f t="shared" si="23"/>
        <v>1.0165662650602412</v>
      </c>
      <c r="N238" s="205">
        <v>277.58544000000308</v>
      </c>
      <c r="O238" s="204">
        <v>0</v>
      </c>
      <c r="P238" s="206">
        <v>0</v>
      </c>
      <c r="Q238" s="281">
        <v>0</v>
      </c>
      <c r="R238" s="204">
        <v>0.5280000000000058</v>
      </c>
      <c r="S238" s="206">
        <v>1.6566265060241146E-2</v>
      </c>
      <c r="T238" s="204" t="s">
        <v>405</v>
      </c>
      <c r="U238" s="204" t="s">
        <v>226</v>
      </c>
      <c r="V238" s="204"/>
      <c r="W238" s="211">
        <v>1</v>
      </c>
      <c r="X238" s="204" t="s">
        <v>517</v>
      </c>
    </row>
    <row r="239" spans="2:24">
      <c r="B239" s="659"/>
      <c r="C239" s="659"/>
      <c r="D239" s="239">
        <v>133</v>
      </c>
      <c r="E239" s="204" t="s">
        <v>569</v>
      </c>
      <c r="F239" s="205">
        <v>272.42924999999934</v>
      </c>
      <c r="G239" s="204">
        <v>59.225000000000001</v>
      </c>
      <c r="H239" s="204">
        <v>60</v>
      </c>
      <c r="I239" s="216">
        <f t="shared" si="21"/>
        <v>1.0130856901646264</v>
      </c>
      <c r="J239" s="204">
        <v>0</v>
      </c>
      <c r="K239" s="216">
        <f t="shared" si="22"/>
        <v>0</v>
      </c>
      <c r="L239" s="205">
        <v>473.79</v>
      </c>
      <c r="M239" s="216">
        <f t="shared" si="23"/>
        <v>1.0130856901646264</v>
      </c>
      <c r="N239" s="205">
        <v>367.18724999999932</v>
      </c>
      <c r="O239" s="204">
        <v>0.2</v>
      </c>
      <c r="P239" s="206">
        <v>3.3769523005487551E-3</v>
      </c>
      <c r="Q239" s="281">
        <v>94.75800000000001</v>
      </c>
      <c r="R239" s="204">
        <v>0.57499999999999862</v>
      </c>
      <c r="S239" s="206">
        <v>9.7087378640776465E-3</v>
      </c>
      <c r="T239" s="204" t="s">
        <v>405</v>
      </c>
      <c r="U239" s="204" t="s">
        <v>226</v>
      </c>
      <c r="V239" s="204"/>
      <c r="W239" s="211">
        <v>1</v>
      </c>
      <c r="X239" s="204" t="s">
        <v>423</v>
      </c>
    </row>
    <row r="240" spans="2:24">
      <c r="B240" s="659"/>
      <c r="C240" s="659"/>
      <c r="D240" s="239">
        <v>134</v>
      </c>
      <c r="E240" s="204" t="s">
        <v>525</v>
      </c>
      <c r="F240" s="205">
        <v>257.70972000000063</v>
      </c>
      <c r="G240" s="204">
        <v>13.122999999999999</v>
      </c>
      <c r="H240" s="204">
        <v>13.5</v>
      </c>
      <c r="I240" s="216">
        <f t="shared" si="21"/>
        <v>1.0287281871523279</v>
      </c>
      <c r="J240" s="204">
        <v>0</v>
      </c>
      <c r="K240" s="216">
        <f t="shared" si="22"/>
        <v>0</v>
      </c>
      <c r="L240" s="205">
        <v>930.36</v>
      </c>
      <c r="M240" s="216">
        <f t="shared" si="23"/>
        <v>1.0287281871523279</v>
      </c>
      <c r="N240" s="205">
        <v>350.74572000000063</v>
      </c>
      <c r="O240" s="204">
        <v>0.1</v>
      </c>
      <c r="P240" s="206">
        <v>7.6202087937209491E-3</v>
      </c>
      <c r="Q240" s="281">
        <v>93.036000000000001</v>
      </c>
      <c r="R240" s="204">
        <v>0.27700000000000069</v>
      </c>
      <c r="S240" s="206">
        <v>2.1107978358607081E-2</v>
      </c>
      <c r="T240" s="204" t="s">
        <v>405</v>
      </c>
      <c r="U240" s="204" t="s">
        <v>225</v>
      </c>
      <c r="V240" s="204"/>
      <c r="W240" s="211">
        <v>1</v>
      </c>
      <c r="X240" s="204" t="s">
        <v>474</v>
      </c>
    </row>
    <row r="241" spans="2:24">
      <c r="B241" s="659"/>
      <c r="C241" s="659"/>
      <c r="D241" s="239">
        <v>135</v>
      </c>
      <c r="E241" s="204" t="s">
        <v>564</v>
      </c>
      <c r="F241" s="205">
        <v>227.94</v>
      </c>
      <c r="G241" s="204">
        <v>1.1214</v>
      </c>
      <c r="H241" s="204">
        <v>1.2</v>
      </c>
      <c r="I241" s="216">
        <f t="shared" si="21"/>
        <v>1.0700909577314073</v>
      </c>
      <c r="J241" s="204">
        <v>0</v>
      </c>
      <c r="K241" s="216">
        <f t="shared" si="22"/>
        <v>0</v>
      </c>
      <c r="L241" s="205">
        <v>2900</v>
      </c>
      <c r="M241" s="216">
        <f t="shared" si="23"/>
        <v>1.0700909577314073</v>
      </c>
      <c r="N241" s="205">
        <v>227.94</v>
      </c>
      <c r="O241" s="204">
        <v>0</v>
      </c>
      <c r="P241" s="206">
        <v>0</v>
      </c>
      <c r="Q241" s="281">
        <v>0</v>
      </c>
      <c r="R241" s="204">
        <v>7.8600000000000003E-2</v>
      </c>
      <c r="S241" s="206">
        <v>7.009095773140718E-2</v>
      </c>
      <c r="T241" s="204" t="s">
        <v>405</v>
      </c>
      <c r="U241" s="204" t="s">
        <v>225</v>
      </c>
      <c r="V241" s="204"/>
      <c r="W241" s="211">
        <v>1</v>
      </c>
      <c r="X241" s="204" t="s">
        <v>559</v>
      </c>
    </row>
    <row r="242" spans="2:24">
      <c r="B242" s="659"/>
      <c r="C242" s="659"/>
      <c r="D242" s="239">
        <v>136</v>
      </c>
      <c r="E242" s="204" t="s">
        <v>673</v>
      </c>
      <c r="F242" s="205">
        <v>211.70000000000002</v>
      </c>
      <c r="G242" s="204">
        <v>0.42699999999999999</v>
      </c>
      <c r="H242" s="204">
        <v>0.5</v>
      </c>
      <c r="I242" s="216">
        <f t="shared" si="21"/>
        <v>1.1709601873536299</v>
      </c>
      <c r="J242" s="204">
        <v>0</v>
      </c>
      <c r="K242" s="216">
        <f t="shared" si="22"/>
        <v>0</v>
      </c>
      <c r="L242" s="205">
        <v>2900</v>
      </c>
      <c r="M242" s="216">
        <f t="shared" si="23"/>
        <v>1.1709601873536299</v>
      </c>
      <c r="N242" s="205">
        <v>211.70000000000002</v>
      </c>
      <c r="O242" s="204">
        <v>0</v>
      </c>
      <c r="P242" s="206">
        <v>0</v>
      </c>
      <c r="Q242" s="281">
        <v>0</v>
      </c>
      <c r="R242" s="204">
        <v>7.3000000000000009E-2</v>
      </c>
      <c r="S242" s="206">
        <v>0.17096018735363</v>
      </c>
      <c r="T242" s="204" t="s">
        <v>405</v>
      </c>
      <c r="U242" s="204" t="s">
        <v>225</v>
      </c>
      <c r="V242" s="204"/>
      <c r="W242" s="211">
        <v>1</v>
      </c>
      <c r="X242" s="204" t="s">
        <v>660</v>
      </c>
    </row>
    <row r="243" spans="2:24">
      <c r="B243" s="659"/>
      <c r="C243" s="659"/>
      <c r="D243" s="239">
        <v>137</v>
      </c>
      <c r="E243" s="204" t="s">
        <v>528</v>
      </c>
      <c r="F243" s="205">
        <v>201.75839999999926</v>
      </c>
      <c r="G243" s="204">
        <v>97.72</v>
      </c>
      <c r="H243" s="204">
        <v>98.3</v>
      </c>
      <c r="I243" s="216">
        <f t="shared" si="21"/>
        <v>1.005935325419566</v>
      </c>
      <c r="J243" s="204">
        <v>0</v>
      </c>
      <c r="K243" s="216">
        <f t="shared" si="22"/>
        <v>0</v>
      </c>
      <c r="L243" s="205">
        <v>420.33</v>
      </c>
      <c r="M243" s="216">
        <f t="shared" si="23"/>
        <v>1.005935325419566</v>
      </c>
      <c r="N243" s="205">
        <v>243.79139999999927</v>
      </c>
      <c r="O243" s="204">
        <v>0.1</v>
      </c>
      <c r="P243" s="206">
        <v>1.0233319688907083E-3</v>
      </c>
      <c r="Q243" s="281">
        <v>42.033000000000001</v>
      </c>
      <c r="R243" s="204">
        <v>0.47999999999999832</v>
      </c>
      <c r="S243" s="206">
        <v>4.9119934506753823E-3</v>
      </c>
      <c r="T243" s="204" t="s">
        <v>405</v>
      </c>
      <c r="U243" s="204" t="s">
        <v>225</v>
      </c>
      <c r="V243" s="204"/>
      <c r="W243" s="211">
        <v>1</v>
      </c>
      <c r="X243" s="204" t="s">
        <v>487</v>
      </c>
    </row>
    <row r="244" spans="2:24">
      <c r="B244" s="659"/>
      <c r="C244" s="659"/>
      <c r="D244" s="239">
        <v>138</v>
      </c>
      <c r="E244" s="204" t="s">
        <v>416</v>
      </c>
      <c r="F244" s="205">
        <v>200.1621600000006</v>
      </c>
      <c r="G244" s="204">
        <v>18.635999999999999</v>
      </c>
      <c r="H244" s="204">
        <v>19</v>
      </c>
      <c r="I244" s="216">
        <f t="shared" si="21"/>
        <v>1.0195320884309937</v>
      </c>
      <c r="J244" s="204">
        <v>0</v>
      </c>
      <c r="K244" s="216">
        <f t="shared" si="22"/>
        <v>0</v>
      </c>
      <c r="L244" s="205">
        <v>758.19</v>
      </c>
      <c r="M244" s="216">
        <f t="shared" si="23"/>
        <v>1.0195320884309937</v>
      </c>
      <c r="N244" s="205">
        <v>275.98116000000061</v>
      </c>
      <c r="O244" s="204">
        <v>0.1</v>
      </c>
      <c r="P244" s="206">
        <v>5.3659583601631256E-3</v>
      </c>
      <c r="Q244" s="281">
        <v>75.819000000000003</v>
      </c>
      <c r="R244" s="204">
        <v>0.26400000000000079</v>
      </c>
      <c r="S244" s="206">
        <v>1.4166130070830693E-2</v>
      </c>
      <c r="T244" s="204" t="s">
        <v>405</v>
      </c>
      <c r="U244" s="204" t="s">
        <v>225</v>
      </c>
      <c r="V244" s="204"/>
      <c r="W244" s="211">
        <v>1</v>
      </c>
      <c r="X244" s="204" t="s">
        <v>417</v>
      </c>
    </row>
    <row r="245" spans="2:24">
      <c r="B245" s="659"/>
      <c r="C245" s="659"/>
      <c r="D245" s="239">
        <v>139</v>
      </c>
      <c r="E245" s="204" t="s">
        <v>599</v>
      </c>
      <c r="F245" s="205">
        <v>173.50319999999994</v>
      </c>
      <c r="G245" s="204">
        <v>27.81</v>
      </c>
      <c r="H245" s="204">
        <v>28.4</v>
      </c>
      <c r="I245" s="216">
        <f t="shared" si="21"/>
        <v>1.021215390147429</v>
      </c>
      <c r="J245" s="204">
        <v>0</v>
      </c>
      <c r="K245" s="216">
        <f t="shared" si="22"/>
        <v>0</v>
      </c>
      <c r="L245" s="205">
        <v>444.88</v>
      </c>
      <c r="M245" s="216">
        <f t="shared" si="23"/>
        <v>1.021215390147429</v>
      </c>
      <c r="N245" s="205">
        <v>262.47919999999993</v>
      </c>
      <c r="O245" s="204">
        <v>0.2</v>
      </c>
      <c r="P245" s="206">
        <v>7.1916576770945711E-3</v>
      </c>
      <c r="Q245" s="281">
        <v>88.975999999999999</v>
      </c>
      <c r="R245" s="204">
        <v>0.38999999999999985</v>
      </c>
      <c r="S245" s="206">
        <v>1.4023732470334407E-2</v>
      </c>
      <c r="T245" s="204" t="s">
        <v>405</v>
      </c>
      <c r="U245" s="204" t="s">
        <v>226</v>
      </c>
      <c r="V245" s="204"/>
      <c r="W245" s="211">
        <v>1</v>
      </c>
      <c r="X245" s="204" t="s">
        <v>598</v>
      </c>
    </row>
    <row r="246" spans="2:24">
      <c r="B246" s="659"/>
      <c r="C246" s="659"/>
      <c r="D246" s="239">
        <v>140</v>
      </c>
      <c r="E246" s="204" t="s">
        <v>422</v>
      </c>
      <c r="F246" s="205">
        <v>166.18446000000446</v>
      </c>
      <c r="G246" s="204">
        <v>300.98599999999999</v>
      </c>
      <c r="H246" s="204">
        <v>303.10000000000002</v>
      </c>
      <c r="I246" s="216">
        <f t="shared" si="21"/>
        <v>1.0070235824922091</v>
      </c>
      <c r="J246" s="204">
        <v>0</v>
      </c>
      <c r="K246" s="216">
        <f t="shared" si="22"/>
        <v>0</v>
      </c>
      <c r="L246" s="205">
        <v>136.88999999999999</v>
      </c>
      <c r="M246" s="216">
        <f t="shared" si="23"/>
        <v>1.0070235824922091</v>
      </c>
      <c r="N246" s="205">
        <v>289.38546000000446</v>
      </c>
      <c r="O246" s="204">
        <v>0.9</v>
      </c>
      <c r="P246" s="206">
        <v>2.990172300372775E-3</v>
      </c>
      <c r="Q246" s="281">
        <v>123.20099999999999</v>
      </c>
      <c r="R246" s="204">
        <v>1.2140000000000328</v>
      </c>
      <c r="S246" s="206">
        <v>4.0334101918362746E-3</v>
      </c>
      <c r="T246" s="204" t="s">
        <v>405</v>
      </c>
      <c r="U246" s="204" t="s">
        <v>225</v>
      </c>
      <c r="V246" s="204"/>
      <c r="W246" s="211">
        <v>1</v>
      </c>
      <c r="X246" s="204" t="s">
        <v>423</v>
      </c>
    </row>
    <row r="247" spans="2:24">
      <c r="B247" s="661">
        <v>45894</v>
      </c>
      <c r="C247" s="659" t="s">
        <v>285</v>
      </c>
      <c r="D247" s="239">
        <v>141</v>
      </c>
      <c r="E247" s="204" t="s">
        <v>435</v>
      </c>
      <c r="F247" s="205">
        <v>467.40010000000007</v>
      </c>
      <c r="G247" s="204">
        <v>6.99</v>
      </c>
      <c r="H247" s="204">
        <v>7.9</v>
      </c>
      <c r="I247" s="216">
        <f t="shared" si="21"/>
        <v>1.1301859799713878</v>
      </c>
      <c r="J247" s="204">
        <v>0</v>
      </c>
      <c r="K247" s="216">
        <f t="shared" si="22"/>
        <v>0</v>
      </c>
      <c r="L247" s="205">
        <v>658.31</v>
      </c>
      <c r="M247" s="216">
        <f t="shared" si="23"/>
        <v>1.1301859799713878</v>
      </c>
      <c r="N247" s="205">
        <v>599.0621000000001</v>
      </c>
      <c r="O247" s="204">
        <v>0.2</v>
      </c>
      <c r="P247" s="206">
        <v>2.8612303290414878E-2</v>
      </c>
      <c r="Q247" s="281">
        <v>131.66200000000001</v>
      </c>
      <c r="R247" s="204">
        <v>0.71000000000000019</v>
      </c>
      <c r="S247" s="206">
        <v>0.10157367668097284</v>
      </c>
      <c r="T247" s="204" t="s">
        <v>405</v>
      </c>
      <c r="U247" s="204" t="s">
        <v>225</v>
      </c>
      <c r="V247" s="204"/>
      <c r="W247" s="211">
        <v>1</v>
      </c>
      <c r="X247" s="204" t="s">
        <v>436</v>
      </c>
    </row>
    <row r="248" spans="2:24">
      <c r="B248" s="659"/>
      <c r="C248" s="659"/>
      <c r="D248" s="239">
        <v>142</v>
      </c>
      <c r="E248" s="204" t="s">
        <v>426</v>
      </c>
      <c r="F248" s="205">
        <v>324.90822000000026</v>
      </c>
      <c r="G248" s="204">
        <v>147.363</v>
      </c>
      <c r="H248" s="204">
        <v>147.69999999999999</v>
      </c>
      <c r="I248" s="216">
        <f t="shared" si="21"/>
        <v>1.0022868698384262</v>
      </c>
      <c r="J248" s="204">
        <v>0.3</v>
      </c>
      <c r="K248" s="216">
        <f t="shared" si="22"/>
        <v>2.0357891736731745E-3</v>
      </c>
      <c r="L248" s="205">
        <v>510.06</v>
      </c>
      <c r="M248" s="216">
        <f t="shared" si="23"/>
        <v>1.0043226590120993</v>
      </c>
      <c r="N248" s="205">
        <v>324.90822000000026</v>
      </c>
      <c r="O248" s="204">
        <v>0</v>
      </c>
      <c r="P248" s="206">
        <v>0</v>
      </c>
      <c r="Q248" s="281">
        <v>0</v>
      </c>
      <c r="R248" s="204">
        <v>0.63700000000000045</v>
      </c>
      <c r="S248" s="206">
        <v>4.3226590120993766E-3</v>
      </c>
      <c r="T248" s="204" t="s">
        <v>405</v>
      </c>
      <c r="U248" s="204" t="s">
        <v>226</v>
      </c>
      <c r="V248" s="204"/>
      <c r="W248" s="211">
        <v>1</v>
      </c>
      <c r="X248" s="204" t="s">
        <v>423</v>
      </c>
    </row>
    <row r="249" spans="2:24">
      <c r="B249" s="659"/>
      <c r="C249" s="659"/>
      <c r="D249" s="239">
        <v>143</v>
      </c>
      <c r="E249" s="204" t="s">
        <v>558</v>
      </c>
      <c r="F249" s="205">
        <v>289.29708000000124</v>
      </c>
      <c r="G249" s="204">
        <v>18.456</v>
      </c>
      <c r="H249" s="204">
        <v>19.100000000000001</v>
      </c>
      <c r="I249" s="216">
        <f t="shared" si="21"/>
        <v>1.0348938014737756</v>
      </c>
      <c r="J249" s="204">
        <v>0</v>
      </c>
      <c r="K249" s="216">
        <f t="shared" si="22"/>
        <v>0</v>
      </c>
      <c r="L249" s="205">
        <v>651.57000000000005</v>
      </c>
      <c r="M249" s="216">
        <f t="shared" si="23"/>
        <v>1.0348938014737756</v>
      </c>
      <c r="N249" s="205">
        <v>419.61108000000127</v>
      </c>
      <c r="O249" s="204">
        <v>0.2</v>
      </c>
      <c r="P249" s="206">
        <v>1.0836584308625921E-2</v>
      </c>
      <c r="Q249" s="281">
        <v>130.31400000000002</v>
      </c>
      <c r="R249" s="204">
        <v>0.44400000000000189</v>
      </c>
      <c r="S249" s="206">
        <v>2.405721716514965E-2</v>
      </c>
      <c r="T249" s="204" t="s">
        <v>419</v>
      </c>
      <c r="U249" s="204" t="s">
        <v>522</v>
      </c>
      <c r="V249" s="204"/>
      <c r="W249" s="211">
        <v>1</v>
      </c>
      <c r="X249" s="204" t="s">
        <v>559</v>
      </c>
    </row>
    <row r="250" spans="2:24">
      <c r="B250" s="659"/>
      <c r="C250" s="659"/>
      <c r="D250" s="239">
        <v>144</v>
      </c>
      <c r="E250" s="204" t="s">
        <v>422</v>
      </c>
      <c r="F250" s="205">
        <v>262.28123999999639</v>
      </c>
      <c r="G250" s="204">
        <v>280.18400000000003</v>
      </c>
      <c r="H250" s="204">
        <v>283</v>
      </c>
      <c r="I250" s="216">
        <f t="shared" si="21"/>
        <v>1.0100505382177425</v>
      </c>
      <c r="J250" s="204">
        <v>0</v>
      </c>
      <c r="K250" s="216">
        <f t="shared" si="22"/>
        <v>0</v>
      </c>
      <c r="L250" s="205">
        <v>136.88999999999999</v>
      </c>
      <c r="M250" s="216">
        <f t="shared" si="23"/>
        <v>1.0100505382177425</v>
      </c>
      <c r="N250" s="205">
        <v>385.48223999999641</v>
      </c>
      <c r="O250" s="204">
        <v>0.9</v>
      </c>
      <c r="P250" s="206">
        <v>3.212174856522856E-3</v>
      </c>
      <c r="Q250" s="281">
        <v>123.20099999999999</v>
      </c>
      <c r="R250" s="204">
        <v>1.9159999999999742</v>
      </c>
      <c r="S250" s="206">
        <v>6.8383633612196766E-3</v>
      </c>
      <c r="T250" s="204" t="s">
        <v>405</v>
      </c>
      <c r="U250" s="204" t="s">
        <v>225</v>
      </c>
      <c r="V250" s="204"/>
      <c r="W250" s="211">
        <v>1</v>
      </c>
      <c r="X250" s="204" t="s">
        <v>423</v>
      </c>
    </row>
    <row r="251" spans="2:24">
      <c r="B251" s="659"/>
      <c r="C251" s="659"/>
      <c r="D251" s="239">
        <v>145</v>
      </c>
      <c r="E251" s="204" t="s">
        <v>437</v>
      </c>
      <c r="F251" s="205">
        <v>262.0788000000004</v>
      </c>
      <c r="G251" s="204">
        <v>4.2569999999999997</v>
      </c>
      <c r="H251" s="204">
        <v>4.9000000000000004</v>
      </c>
      <c r="I251" s="216">
        <f t="shared" si="21"/>
        <v>1.151045337091849</v>
      </c>
      <c r="J251" s="204">
        <v>0</v>
      </c>
      <c r="K251" s="216">
        <f t="shared" si="22"/>
        <v>0</v>
      </c>
      <c r="L251" s="205">
        <v>591.6</v>
      </c>
      <c r="M251" s="216">
        <f t="shared" si="23"/>
        <v>1.151045337091849</v>
      </c>
      <c r="N251" s="205">
        <v>380.39880000000039</v>
      </c>
      <c r="O251" s="204">
        <v>0.2</v>
      </c>
      <c r="P251" s="206">
        <v>4.6981442330279545E-2</v>
      </c>
      <c r="Q251" s="281">
        <v>118.32000000000001</v>
      </c>
      <c r="R251" s="204">
        <v>0.44300000000000067</v>
      </c>
      <c r="S251" s="206">
        <v>0.10406389476156934</v>
      </c>
      <c r="T251" s="204" t="s">
        <v>537</v>
      </c>
      <c r="U251" s="204" t="s">
        <v>658</v>
      </c>
      <c r="V251" s="204"/>
      <c r="W251" s="211">
        <v>1</v>
      </c>
      <c r="X251" s="204" t="s">
        <v>438</v>
      </c>
    </row>
    <row r="252" spans="2:24">
      <c r="B252" s="659"/>
      <c r="C252" s="659"/>
      <c r="D252" s="239">
        <v>146</v>
      </c>
      <c r="E252" s="204" t="s">
        <v>528</v>
      </c>
      <c r="F252" s="205">
        <v>237.48645000000025</v>
      </c>
      <c r="G252" s="204">
        <v>91.734999999999999</v>
      </c>
      <c r="H252" s="204">
        <v>92.5</v>
      </c>
      <c r="I252" s="216">
        <f t="shared" si="21"/>
        <v>1.0083392380225651</v>
      </c>
      <c r="J252" s="204">
        <v>0</v>
      </c>
      <c r="K252" s="216">
        <f t="shared" si="22"/>
        <v>0</v>
      </c>
      <c r="L252" s="205">
        <v>420.33</v>
      </c>
      <c r="M252" s="216">
        <f t="shared" si="23"/>
        <v>1.0083392380225651</v>
      </c>
      <c r="N252" s="205">
        <v>321.55245000000025</v>
      </c>
      <c r="O252" s="204">
        <v>0.2</v>
      </c>
      <c r="P252" s="206">
        <v>2.1801929470758163E-3</v>
      </c>
      <c r="Q252" s="281">
        <v>84.066000000000003</v>
      </c>
      <c r="R252" s="204">
        <v>0.56500000000000061</v>
      </c>
      <c r="S252" s="206">
        <v>6.1590450754891871E-3</v>
      </c>
      <c r="T252" s="204" t="s">
        <v>405</v>
      </c>
      <c r="U252" s="204" t="s">
        <v>225</v>
      </c>
      <c r="V252" s="204"/>
      <c r="W252" s="211">
        <v>1</v>
      </c>
      <c r="X252" s="204" t="s">
        <v>487</v>
      </c>
    </row>
    <row r="253" spans="2:24">
      <c r="B253" s="659"/>
      <c r="C253" s="659"/>
      <c r="D253" s="239">
        <v>147</v>
      </c>
      <c r="E253" s="204" t="s">
        <v>664</v>
      </c>
      <c r="F253" s="205">
        <v>183.483</v>
      </c>
      <c r="G253" s="204">
        <v>55.174999999999997</v>
      </c>
      <c r="H253" s="204">
        <v>56.3</v>
      </c>
      <c r="I253" s="216">
        <f t="shared" si="21"/>
        <v>1.0203896692342547</v>
      </c>
      <c r="J253" s="204">
        <v>0</v>
      </c>
      <c r="K253" s="216">
        <f t="shared" si="22"/>
        <v>0</v>
      </c>
      <c r="L253" s="205">
        <v>253.08</v>
      </c>
      <c r="M253" s="216">
        <f t="shared" si="23"/>
        <v>1.0203896692342547</v>
      </c>
      <c r="N253" s="205">
        <v>284.71500000000003</v>
      </c>
      <c r="O253" s="204">
        <v>0.4</v>
      </c>
      <c r="P253" s="206">
        <v>7.2496601721794302E-3</v>
      </c>
      <c r="Q253" s="281">
        <v>101.23200000000001</v>
      </c>
      <c r="R253" s="204">
        <v>0.72499999999999998</v>
      </c>
      <c r="S253" s="206">
        <v>1.3140009062075216E-2</v>
      </c>
      <c r="T253" s="204" t="s">
        <v>405</v>
      </c>
      <c r="U253" s="204" t="s">
        <v>224</v>
      </c>
      <c r="V253" s="204"/>
      <c r="W253" s="211">
        <v>1</v>
      </c>
      <c r="X253" s="204" t="s">
        <v>489</v>
      </c>
    </row>
    <row r="254" spans="2:24">
      <c r="B254" s="659"/>
      <c r="C254" s="659"/>
      <c r="D254" s="239">
        <v>148</v>
      </c>
      <c r="E254" s="204" t="s">
        <v>605</v>
      </c>
      <c r="F254" s="205">
        <v>180.58251999999911</v>
      </c>
      <c r="G254" s="204">
        <v>40.959000000000003</v>
      </c>
      <c r="H254" s="204">
        <v>42</v>
      </c>
      <c r="I254" s="216">
        <f t="shared" si="21"/>
        <v>1.025415659562001</v>
      </c>
      <c r="J254" s="204">
        <v>0</v>
      </c>
      <c r="K254" s="216">
        <f t="shared" si="22"/>
        <v>0</v>
      </c>
      <c r="L254" s="205">
        <v>281.72000000000003</v>
      </c>
      <c r="M254" s="216">
        <f t="shared" si="23"/>
        <v>1.025415659562001</v>
      </c>
      <c r="N254" s="205">
        <v>293.27051999999912</v>
      </c>
      <c r="O254" s="204">
        <v>0.4</v>
      </c>
      <c r="P254" s="206">
        <v>9.7658634244000096E-3</v>
      </c>
      <c r="Q254" s="281">
        <v>112.68800000000002</v>
      </c>
      <c r="R254" s="204">
        <v>0.64099999999999679</v>
      </c>
      <c r="S254" s="206">
        <v>1.5649796137600935E-2</v>
      </c>
      <c r="T254" s="204" t="s">
        <v>405</v>
      </c>
      <c r="U254" s="204" t="s">
        <v>225</v>
      </c>
      <c r="V254" s="204"/>
      <c r="W254" s="211">
        <v>1</v>
      </c>
      <c r="X254" s="204" t="s">
        <v>486</v>
      </c>
    </row>
    <row r="255" spans="2:24">
      <c r="B255" s="659"/>
      <c r="C255" s="659"/>
      <c r="D255" s="239">
        <v>149</v>
      </c>
      <c r="E255" s="204" t="s">
        <v>401</v>
      </c>
      <c r="F255" s="205">
        <v>179.4452799999998</v>
      </c>
      <c r="G255" s="204">
        <v>6.5880000000000001</v>
      </c>
      <c r="H255" s="204">
        <v>6.8</v>
      </c>
      <c r="I255" s="216">
        <f t="shared" si="21"/>
        <v>1.0321797207043109</v>
      </c>
      <c r="J255" s="204">
        <v>0</v>
      </c>
      <c r="K255" s="216">
        <f t="shared" si="22"/>
        <v>0</v>
      </c>
      <c r="L255" s="205">
        <v>846.44</v>
      </c>
      <c r="M255" s="216">
        <f t="shared" si="23"/>
        <v>1.0321797207043109</v>
      </c>
      <c r="N255" s="205">
        <v>179.4452799999998</v>
      </c>
      <c r="O255" s="204">
        <v>0</v>
      </c>
      <c r="P255" s="206">
        <v>0</v>
      </c>
      <c r="Q255" s="281">
        <v>0</v>
      </c>
      <c r="R255" s="204">
        <v>0.21199999999999974</v>
      </c>
      <c r="S255" s="206">
        <v>3.2179720704310827E-2</v>
      </c>
      <c r="T255" s="204" t="s">
        <v>405</v>
      </c>
      <c r="U255" s="204" t="s">
        <v>420</v>
      </c>
      <c r="V255" s="204"/>
      <c r="W255" s="211">
        <v>1</v>
      </c>
      <c r="X255" s="204" t="s">
        <v>403</v>
      </c>
    </row>
    <row r="256" spans="2:24">
      <c r="B256" s="659"/>
      <c r="C256" s="659"/>
      <c r="D256" s="239">
        <v>150</v>
      </c>
      <c r="E256" s="204" t="s">
        <v>599</v>
      </c>
      <c r="F256" s="205">
        <v>175.28271999999959</v>
      </c>
      <c r="G256" s="204">
        <v>27.306000000000001</v>
      </c>
      <c r="H256" s="204">
        <v>28</v>
      </c>
      <c r="I256" s="216">
        <f t="shared" si="21"/>
        <v>1.025415659562001</v>
      </c>
      <c r="J256" s="204">
        <v>0</v>
      </c>
      <c r="K256" s="216">
        <f t="shared" si="22"/>
        <v>0</v>
      </c>
      <c r="L256" s="205">
        <v>444.88</v>
      </c>
      <c r="M256" s="216">
        <f t="shared" si="23"/>
        <v>1.025415659562001</v>
      </c>
      <c r="N256" s="205">
        <v>308.74671999999958</v>
      </c>
      <c r="O256" s="204">
        <v>0.3</v>
      </c>
      <c r="P256" s="206">
        <v>1.098659635245001E-2</v>
      </c>
      <c r="Q256" s="281">
        <v>133.464</v>
      </c>
      <c r="R256" s="204">
        <v>0.39399999999999907</v>
      </c>
      <c r="S256" s="206">
        <v>1.442906320955098E-2</v>
      </c>
      <c r="T256" s="204" t="s">
        <v>405</v>
      </c>
      <c r="U256" s="204" t="s">
        <v>226</v>
      </c>
      <c r="V256" s="204"/>
      <c r="W256" s="211">
        <v>1</v>
      </c>
      <c r="X256" s="204" t="s">
        <v>598</v>
      </c>
    </row>
    <row r="257" spans="2:24">
      <c r="B257" s="661">
        <v>45895</v>
      </c>
      <c r="C257" s="659" t="s">
        <v>268</v>
      </c>
      <c r="D257" s="239">
        <v>151</v>
      </c>
      <c r="E257" s="204" t="s">
        <v>599</v>
      </c>
      <c r="F257" s="205">
        <v>434.20287999999988</v>
      </c>
      <c r="G257" s="204">
        <v>27.324000000000002</v>
      </c>
      <c r="H257" s="204">
        <v>28.6</v>
      </c>
      <c r="I257" s="216">
        <f t="shared" si="21"/>
        <v>1.0466988727858293</v>
      </c>
      <c r="J257" s="204">
        <v>0</v>
      </c>
      <c r="K257" s="216">
        <f t="shared" si="22"/>
        <v>0</v>
      </c>
      <c r="L257" s="205">
        <v>444.88</v>
      </c>
      <c r="M257" s="216">
        <f t="shared" si="23"/>
        <v>1.0466988727858293</v>
      </c>
      <c r="N257" s="205">
        <v>567.66687999999988</v>
      </c>
      <c r="O257" s="204">
        <v>0.3</v>
      </c>
      <c r="P257" s="206">
        <v>1.097935880544576E-2</v>
      </c>
      <c r="Q257" s="281">
        <v>133.464</v>
      </c>
      <c r="R257" s="204">
        <v>0.97599999999999976</v>
      </c>
      <c r="S257" s="206">
        <v>3.5719513980383533E-2</v>
      </c>
      <c r="T257" s="204" t="s">
        <v>405</v>
      </c>
      <c r="U257" s="204" t="s">
        <v>226</v>
      </c>
      <c r="V257" s="204"/>
      <c r="W257" s="211">
        <v>1</v>
      </c>
      <c r="X257" s="204" t="s">
        <v>598</v>
      </c>
    </row>
    <row r="258" spans="2:24">
      <c r="B258" s="659"/>
      <c r="C258" s="659"/>
      <c r="D258" s="239">
        <v>152</v>
      </c>
      <c r="E258" s="204" t="s">
        <v>525</v>
      </c>
      <c r="F258" s="205">
        <v>278.1776399999992</v>
      </c>
      <c r="G258" s="204">
        <v>13.101000000000001</v>
      </c>
      <c r="H258" s="204">
        <v>13.5</v>
      </c>
      <c r="I258" s="216">
        <f t="shared" si="21"/>
        <v>1.0304556904053126</v>
      </c>
      <c r="J258" s="204">
        <v>0</v>
      </c>
      <c r="K258" s="216">
        <f t="shared" si="22"/>
        <v>0</v>
      </c>
      <c r="L258" s="205">
        <v>930.36</v>
      </c>
      <c r="M258" s="216">
        <f t="shared" si="23"/>
        <v>1.0304556904053126</v>
      </c>
      <c r="N258" s="205">
        <v>371.2136399999992</v>
      </c>
      <c r="O258" s="204">
        <v>0.1</v>
      </c>
      <c r="P258" s="206">
        <v>7.6330051141134262E-3</v>
      </c>
      <c r="Q258" s="281">
        <v>93.036000000000001</v>
      </c>
      <c r="R258" s="204">
        <v>0.29899999999999916</v>
      </c>
      <c r="S258" s="206">
        <v>2.2822685291199078E-2</v>
      </c>
      <c r="T258" s="204" t="s">
        <v>405</v>
      </c>
      <c r="U258" s="204" t="s">
        <v>225</v>
      </c>
      <c r="V258" s="204"/>
      <c r="W258" s="211">
        <v>1</v>
      </c>
      <c r="X258" s="204" t="s">
        <v>474</v>
      </c>
    </row>
    <row r="259" spans="2:24">
      <c r="B259" s="659"/>
      <c r="C259" s="659"/>
      <c r="D259" s="239">
        <v>153</v>
      </c>
      <c r="E259" s="204" t="s">
        <v>558</v>
      </c>
      <c r="F259" s="205">
        <v>273.65939999999949</v>
      </c>
      <c r="G259" s="204">
        <v>14.58</v>
      </c>
      <c r="H259" s="204">
        <v>15.2</v>
      </c>
      <c r="I259" s="216">
        <f t="shared" si="21"/>
        <v>1.0425240054869684</v>
      </c>
      <c r="J259" s="204">
        <v>0</v>
      </c>
      <c r="K259" s="216">
        <f t="shared" si="22"/>
        <v>0</v>
      </c>
      <c r="L259" s="205">
        <v>651.57000000000005</v>
      </c>
      <c r="M259" s="216">
        <f t="shared" si="23"/>
        <v>1.0425240054869684</v>
      </c>
      <c r="N259" s="205">
        <v>403.97339999999951</v>
      </c>
      <c r="O259" s="204">
        <v>0.2</v>
      </c>
      <c r="P259" s="206">
        <v>1.3717421124828533E-2</v>
      </c>
      <c r="Q259" s="281">
        <v>130.31400000000002</v>
      </c>
      <c r="R259" s="204">
        <v>0.41999999999999921</v>
      </c>
      <c r="S259" s="206">
        <v>2.8806584362139863E-2</v>
      </c>
      <c r="T259" s="204" t="s">
        <v>402</v>
      </c>
      <c r="U259" s="204" t="s">
        <v>224</v>
      </c>
      <c r="V259" s="204"/>
      <c r="W259" s="211">
        <v>1</v>
      </c>
      <c r="X259" s="204" t="s">
        <v>559</v>
      </c>
    </row>
    <row r="260" spans="2:24">
      <c r="B260" s="659"/>
      <c r="C260" s="659"/>
      <c r="D260" s="239">
        <v>154</v>
      </c>
      <c r="E260" s="204" t="s">
        <v>659</v>
      </c>
      <c r="F260" s="205">
        <v>264.23296000000028</v>
      </c>
      <c r="G260" s="204">
        <v>120.57599999999999</v>
      </c>
      <c r="H260" s="204">
        <v>122.1</v>
      </c>
      <c r="I260" s="216">
        <f t="shared" si="21"/>
        <v>1.0126393312101911</v>
      </c>
      <c r="J260" s="204">
        <v>0</v>
      </c>
      <c r="K260" s="216">
        <f t="shared" si="22"/>
        <v>0</v>
      </c>
      <c r="L260" s="205">
        <v>258.04000000000002</v>
      </c>
      <c r="M260" s="216">
        <f t="shared" si="23"/>
        <v>1.0126393312101911</v>
      </c>
      <c r="N260" s="205">
        <v>393.25296000000026</v>
      </c>
      <c r="O260" s="204">
        <v>0.5</v>
      </c>
      <c r="P260" s="206">
        <v>4.1467622080679405E-3</v>
      </c>
      <c r="Q260" s="281">
        <v>129.02000000000001</v>
      </c>
      <c r="R260" s="204">
        <v>1.0240000000000009</v>
      </c>
      <c r="S260" s="206">
        <v>8.4925690021231508E-3</v>
      </c>
      <c r="T260" s="204" t="s">
        <v>405</v>
      </c>
      <c r="U260" s="204" t="s">
        <v>225</v>
      </c>
      <c r="V260" s="204"/>
      <c r="W260" s="211">
        <v>1</v>
      </c>
      <c r="X260" s="204" t="s">
        <v>660</v>
      </c>
    </row>
    <row r="261" spans="2:24">
      <c r="B261" s="659"/>
      <c r="C261" s="659"/>
      <c r="D261" s="239">
        <v>155</v>
      </c>
      <c r="E261" s="204" t="s">
        <v>545</v>
      </c>
      <c r="F261" s="205">
        <v>248.1445600000003</v>
      </c>
      <c r="G261" s="204">
        <v>28.128</v>
      </c>
      <c r="H261" s="204">
        <v>28.8</v>
      </c>
      <c r="I261" s="216">
        <f t="shared" si="21"/>
        <v>1.0238907849829351</v>
      </c>
      <c r="J261" s="204">
        <v>0</v>
      </c>
      <c r="K261" s="216">
        <f t="shared" si="22"/>
        <v>0</v>
      </c>
      <c r="L261" s="205">
        <v>525.73</v>
      </c>
      <c r="M261" s="216">
        <f t="shared" si="23"/>
        <v>1.0238907849829351</v>
      </c>
      <c r="N261" s="205">
        <v>353.29056000000031</v>
      </c>
      <c r="O261" s="204">
        <v>0.2</v>
      </c>
      <c r="P261" s="206">
        <v>7.1103526734926058E-3</v>
      </c>
      <c r="Q261" s="281">
        <v>105.14600000000002</v>
      </c>
      <c r="R261" s="204">
        <v>0.47200000000000059</v>
      </c>
      <c r="S261" s="206">
        <v>1.678043230944257E-2</v>
      </c>
      <c r="T261" s="204" t="s">
        <v>405</v>
      </c>
      <c r="U261" s="204" t="s">
        <v>226</v>
      </c>
      <c r="V261" s="204"/>
      <c r="W261" s="211">
        <v>1</v>
      </c>
      <c r="X261" s="204" t="s">
        <v>517</v>
      </c>
    </row>
    <row r="262" spans="2:24">
      <c r="B262" s="659"/>
      <c r="C262" s="659"/>
      <c r="D262" s="239">
        <v>156</v>
      </c>
      <c r="E262" s="204" t="s">
        <v>433</v>
      </c>
      <c r="F262" s="205">
        <v>245.57023999999947</v>
      </c>
      <c r="G262" s="204">
        <v>23.978000000000002</v>
      </c>
      <c r="H262" s="204">
        <v>24.8</v>
      </c>
      <c r="I262" s="216">
        <f t="shared" si="21"/>
        <v>1.0342814246392527</v>
      </c>
      <c r="J262" s="204">
        <v>0</v>
      </c>
      <c r="K262" s="216">
        <f t="shared" si="22"/>
        <v>0</v>
      </c>
      <c r="L262" s="205">
        <v>581.91999999999996</v>
      </c>
      <c r="M262" s="216">
        <f t="shared" si="23"/>
        <v>1.0342814246392527</v>
      </c>
      <c r="N262" s="205">
        <v>478.33823999999947</v>
      </c>
      <c r="O262" s="204">
        <v>0.4</v>
      </c>
      <c r="P262" s="206">
        <v>1.668195846192343E-2</v>
      </c>
      <c r="Q262" s="281">
        <v>232.768</v>
      </c>
      <c r="R262" s="204">
        <v>0.42199999999999915</v>
      </c>
      <c r="S262" s="206">
        <v>1.7599466177329184E-2</v>
      </c>
      <c r="T262" s="204" t="s">
        <v>419</v>
      </c>
      <c r="U262" s="204" t="s">
        <v>522</v>
      </c>
      <c r="V262" s="204"/>
      <c r="W262" s="211">
        <v>1</v>
      </c>
      <c r="X262" s="204" t="s">
        <v>434</v>
      </c>
    </row>
    <row r="263" spans="2:24">
      <c r="B263" s="659"/>
      <c r="C263" s="659"/>
      <c r="D263" s="239">
        <v>157</v>
      </c>
      <c r="E263" s="204" t="s">
        <v>529</v>
      </c>
      <c r="F263" s="205">
        <v>225.51212000000066</v>
      </c>
      <c r="G263" s="204">
        <v>149.131</v>
      </c>
      <c r="H263" s="204">
        <v>151.9</v>
      </c>
      <c r="I263" s="216">
        <f t="shared" si="21"/>
        <v>1.0185675681112578</v>
      </c>
      <c r="J263" s="204">
        <v>0</v>
      </c>
      <c r="K263" s="216">
        <f t="shared" si="22"/>
        <v>0</v>
      </c>
      <c r="L263" s="205">
        <v>127.48</v>
      </c>
      <c r="M263" s="216">
        <f t="shared" si="23"/>
        <v>1.0185675681112578</v>
      </c>
      <c r="N263" s="205">
        <v>352.99212000000068</v>
      </c>
      <c r="O263" s="204">
        <v>1</v>
      </c>
      <c r="P263" s="206">
        <v>6.7055139441162467E-3</v>
      </c>
      <c r="Q263" s="281">
        <v>127.48</v>
      </c>
      <c r="R263" s="204">
        <v>1.7690000000000055</v>
      </c>
      <c r="S263" s="206">
        <v>1.1862054167141678E-2</v>
      </c>
      <c r="T263" s="204" t="s">
        <v>402</v>
      </c>
      <c r="U263" s="204" t="s">
        <v>224</v>
      </c>
      <c r="V263" s="204"/>
      <c r="W263" s="211">
        <v>1</v>
      </c>
      <c r="X263" s="204" t="s">
        <v>417</v>
      </c>
    </row>
    <row r="264" spans="2:24">
      <c r="B264" s="659"/>
      <c r="C264" s="659"/>
      <c r="D264" s="239">
        <v>158</v>
      </c>
      <c r="E264" s="204" t="s">
        <v>561</v>
      </c>
      <c r="F264" s="205">
        <v>207.42764999999972</v>
      </c>
      <c r="G264" s="204">
        <v>75.004999999999995</v>
      </c>
      <c r="H264" s="204">
        <v>76.599999999999994</v>
      </c>
      <c r="I264" s="216">
        <f t="shared" ref="I264:I327" si="24">H264/G264</f>
        <v>1.0212652489834011</v>
      </c>
      <c r="J264" s="204">
        <v>0</v>
      </c>
      <c r="K264" s="216">
        <f t="shared" ref="K264:K327" si="25">J264/G264</f>
        <v>0</v>
      </c>
      <c r="L264" s="205">
        <v>208.47</v>
      </c>
      <c r="M264" s="216">
        <f t="shared" ref="M264:M327" si="26">(H264+J264)/G264</f>
        <v>1.0212652489834011</v>
      </c>
      <c r="N264" s="205">
        <v>332.50964999999974</v>
      </c>
      <c r="O264" s="204">
        <v>0.60000000000000009</v>
      </c>
      <c r="P264" s="206">
        <v>7.9994667022198537E-3</v>
      </c>
      <c r="Q264" s="281">
        <v>125.08200000000002</v>
      </c>
      <c r="R264" s="204">
        <v>0.99499999999999877</v>
      </c>
      <c r="S264" s="206">
        <v>1.3265782281181238E-2</v>
      </c>
      <c r="T264" s="204" t="s">
        <v>419</v>
      </c>
      <c r="U264" s="204" t="s">
        <v>522</v>
      </c>
      <c r="V264" s="204"/>
      <c r="W264" s="211">
        <v>1</v>
      </c>
      <c r="X264" s="204" t="s">
        <v>492</v>
      </c>
    </row>
    <row r="265" spans="2:24">
      <c r="B265" s="659"/>
      <c r="C265" s="659"/>
      <c r="D265" s="239">
        <v>159</v>
      </c>
      <c r="E265" s="204" t="s">
        <v>416</v>
      </c>
      <c r="F265" s="205">
        <v>198.6457799999998</v>
      </c>
      <c r="G265" s="204">
        <v>19.038</v>
      </c>
      <c r="H265" s="204">
        <v>19.5</v>
      </c>
      <c r="I265" s="216">
        <f t="shared" si="24"/>
        <v>1.0242672549637566</v>
      </c>
      <c r="J265" s="204">
        <v>0</v>
      </c>
      <c r="K265" s="216">
        <f t="shared" si="25"/>
        <v>0</v>
      </c>
      <c r="L265" s="205">
        <v>758.19</v>
      </c>
      <c r="M265" s="216">
        <f t="shared" si="26"/>
        <v>1.0242672549637566</v>
      </c>
      <c r="N265" s="205">
        <v>350.28377999999981</v>
      </c>
      <c r="O265" s="204">
        <v>0.2</v>
      </c>
      <c r="P265" s="206">
        <v>1.0505305179115455E-2</v>
      </c>
      <c r="Q265" s="281">
        <v>151.63800000000001</v>
      </c>
      <c r="R265" s="204">
        <v>0.26199999999999973</v>
      </c>
      <c r="S265" s="206">
        <v>1.3761949784641229E-2</v>
      </c>
      <c r="T265" s="204" t="s">
        <v>405</v>
      </c>
      <c r="U265" s="204" t="s">
        <v>225</v>
      </c>
      <c r="V265" s="204"/>
      <c r="W265" s="211">
        <v>1</v>
      </c>
      <c r="X265" s="204" t="s">
        <v>417</v>
      </c>
    </row>
    <row r="266" spans="2:24">
      <c r="B266" s="659"/>
      <c r="C266" s="659"/>
      <c r="D266" s="239">
        <v>160</v>
      </c>
      <c r="E266" s="204" t="s">
        <v>407</v>
      </c>
      <c r="F266" s="205">
        <v>194.02698000000203</v>
      </c>
      <c r="G266" s="204">
        <v>75.113</v>
      </c>
      <c r="H266" s="204">
        <v>75</v>
      </c>
      <c r="I266" s="216">
        <f t="shared" si="24"/>
        <v>0.99849559996272286</v>
      </c>
      <c r="J266" s="204">
        <v>0.9</v>
      </c>
      <c r="K266" s="216">
        <f t="shared" si="25"/>
        <v>1.1981947199552674E-2</v>
      </c>
      <c r="L266" s="205">
        <v>330.54</v>
      </c>
      <c r="M266" s="216">
        <f t="shared" si="26"/>
        <v>1.0104775471622756</v>
      </c>
      <c r="N266" s="205">
        <v>260.13498000000203</v>
      </c>
      <c r="O266" s="204">
        <v>0.2</v>
      </c>
      <c r="P266" s="206">
        <v>2.6626549332339276E-3</v>
      </c>
      <c r="Q266" s="281">
        <v>66.108000000000004</v>
      </c>
      <c r="R266" s="204">
        <v>0.58700000000000618</v>
      </c>
      <c r="S266" s="206">
        <v>7.8148922290416593E-3</v>
      </c>
      <c r="T266" s="204" t="s">
        <v>405</v>
      </c>
      <c r="U266" s="204" t="s">
        <v>225</v>
      </c>
      <c r="V266" s="204"/>
      <c r="W266" s="211">
        <v>1</v>
      </c>
      <c r="X266" s="204" t="s">
        <v>408</v>
      </c>
    </row>
    <row r="267" spans="2:24">
      <c r="B267" s="661">
        <v>45896</v>
      </c>
      <c r="C267" s="659" t="s">
        <v>286</v>
      </c>
      <c r="D267" s="239">
        <v>161</v>
      </c>
      <c r="E267" s="204" t="s">
        <v>426</v>
      </c>
      <c r="F267" s="205">
        <v>309.09636000000592</v>
      </c>
      <c r="G267" s="204">
        <v>142.19399999999999</v>
      </c>
      <c r="H267" s="204">
        <v>143</v>
      </c>
      <c r="I267" s="216">
        <f t="shared" si="24"/>
        <v>1.0056683123057233</v>
      </c>
      <c r="J267" s="204">
        <v>0</v>
      </c>
      <c r="K267" s="216">
        <f t="shared" si="25"/>
        <v>0</v>
      </c>
      <c r="L267" s="205">
        <v>510.06</v>
      </c>
      <c r="M267" s="216">
        <f t="shared" si="26"/>
        <v>1.0056683123057233</v>
      </c>
      <c r="N267" s="205">
        <v>411.10836000000592</v>
      </c>
      <c r="O267" s="204">
        <v>0.2</v>
      </c>
      <c r="P267" s="206">
        <v>1.4065291081198927E-3</v>
      </c>
      <c r="Q267" s="281">
        <v>102.012</v>
      </c>
      <c r="R267" s="204">
        <v>0.60600000000001164</v>
      </c>
      <c r="S267" s="206">
        <v>4.2617831976033563E-3</v>
      </c>
      <c r="T267" s="204" t="s">
        <v>405</v>
      </c>
      <c r="U267" s="204" t="s">
        <v>226</v>
      </c>
      <c r="V267" s="204"/>
      <c r="W267" s="211">
        <v>1</v>
      </c>
      <c r="X267" s="204" t="s">
        <v>423</v>
      </c>
    </row>
    <row r="268" spans="2:24">
      <c r="B268" s="659"/>
      <c r="C268" s="659"/>
      <c r="D268" s="239">
        <v>162</v>
      </c>
      <c r="E268" s="204" t="s">
        <v>407</v>
      </c>
      <c r="F268" s="205">
        <v>294.51113999999899</v>
      </c>
      <c r="G268" s="204">
        <v>72.509</v>
      </c>
      <c r="H268" s="204">
        <v>73.8</v>
      </c>
      <c r="I268" s="216">
        <f t="shared" si="24"/>
        <v>1.0178046863148023</v>
      </c>
      <c r="J268" s="204">
        <v>0</v>
      </c>
      <c r="K268" s="216">
        <f t="shared" si="25"/>
        <v>0</v>
      </c>
      <c r="L268" s="205">
        <v>330.54</v>
      </c>
      <c r="M268" s="216">
        <f t="shared" si="26"/>
        <v>1.0178046863148023</v>
      </c>
      <c r="N268" s="205">
        <v>426.727139999999</v>
      </c>
      <c r="O268" s="204">
        <v>0.4</v>
      </c>
      <c r="P268" s="206">
        <v>5.5165565653918823E-3</v>
      </c>
      <c r="Q268" s="281">
        <v>132.21600000000001</v>
      </c>
      <c r="R268" s="204">
        <v>0.89099999999999679</v>
      </c>
      <c r="S268" s="206">
        <v>1.2288129749410374E-2</v>
      </c>
      <c r="T268" s="204" t="s">
        <v>405</v>
      </c>
      <c r="U268" s="204" t="s">
        <v>225</v>
      </c>
      <c r="V268" s="204"/>
      <c r="W268" s="211">
        <v>1</v>
      </c>
      <c r="X268" s="204" t="s">
        <v>408</v>
      </c>
    </row>
    <row r="269" spans="2:24">
      <c r="B269" s="659"/>
      <c r="C269" s="659"/>
      <c r="D269" s="239">
        <v>163</v>
      </c>
      <c r="E269" s="204" t="s">
        <v>569</v>
      </c>
      <c r="F269" s="205">
        <v>267.217559999998</v>
      </c>
      <c r="G269" s="204">
        <v>49.036000000000001</v>
      </c>
      <c r="H269" s="204">
        <v>49.8</v>
      </c>
      <c r="I269" s="216">
        <f t="shared" si="24"/>
        <v>1.0155803899176115</v>
      </c>
      <c r="J269" s="204">
        <v>0</v>
      </c>
      <c r="K269" s="216">
        <f t="shared" si="25"/>
        <v>0</v>
      </c>
      <c r="L269" s="205">
        <v>473.79</v>
      </c>
      <c r="M269" s="216">
        <f t="shared" si="26"/>
        <v>1.0155803899176115</v>
      </c>
      <c r="N269" s="205">
        <v>361.97555999999804</v>
      </c>
      <c r="O269" s="204">
        <v>0.2</v>
      </c>
      <c r="P269" s="206">
        <v>4.0786361040867931E-3</v>
      </c>
      <c r="Q269" s="281">
        <v>94.75800000000001</v>
      </c>
      <c r="R269" s="204">
        <v>0.56399999999999584</v>
      </c>
      <c r="S269" s="206">
        <v>1.1501753813524673E-2</v>
      </c>
      <c r="T269" s="204" t="s">
        <v>405</v>
      </c>
      <c r="U269" s="204" t="s">
        <v>226</v>
      </c>
      <c r="V269" s="204"/>
      <c r="W269" s="211">
        <v>1</v>
      </c>
      <c r="X269" s="204" t="s">
        <v>423</v>
      </c>
    </row>
    <row r="270" spans="2:24">
      <c r="B270" s="659"/>
      <c r="C270" s="659"/>
      <c r="D270" s="239">
        <v>164</v>
      </c>
      <c r="E270" s="204" t="s">
        <v>564</v>
      </c>
      <c r="F270" s="205">
        <v>259.2600000000001</v>
      </c>
      <c r="G270" s="204">
        <v>0.81059999999999999</v>
      </c>
      <c r="H270" s="204">
        <v>0.9</v>
      </c>
      <c r="I270" s="216">
        <f t="shared" si="24"/>
        <v>1.1102886750555145</v>
      </c>
      <c r="J270" s="204">
        <v>0</v>
      </c>
      <c r="K270" s="216">
        <f t="shared" si="25"/>
        <v>0</v>
      </c>
      <c r="L270" s="205">
        <v>2900</v>
      </c>
      <c r="M270" s="216">
        <f t="shared" si="26"/>
        <v>1.1102886750555145</v>
      </c>
      <c r="N270" s="205">
        <v>259.2600000000001</v>
      </c>
      <c r="O270" s="204">
        <v>0</v>
      </c>
      <c r="P270" s="206">
        <v>0</v>
      </c>
      <c r="Q270" s="281">
        <v>0</v>
      </c>
      <c r="R270" s="204">
        <v>8.9400000000000035E-2</v>
      </c>
      <c r="S270" s="206">
        <v>0.11028867505551448</v>
      </c>
      <c r="T270" s="204" t="s">
        <v>405</v>
      </c>
      <c r="U270" s="204" t="s">
        <v>225</v>
      </c>
      <c r="V270" s="204"/>
      <c r="W270" s="211">
        <v>1</v>
      </c>
      <c r="X270" s="204" t="s">
        <v>559</v>
      </c>
    </row>
    <row r="271" spans="2:24">
      <c r="B271" s="659"/>
      <c r="C271" s="659"/>
      <c r="D271" s="239">
        <v>165</v>
      </c>
      <c r="E271" s="204" t="s">
        <v>525</v>
      </c>
      <c r="F271" s="205">
        <v>224.21675999999968</v>
      </c>
      <c r="G271" s="204">
        <v>11.759</v>
      </c>
      <c r="H271" s="204">
        <v>12</v>
      </c>
      <c r="I271" s="216">
        <f t="shared" si="24"/>
        <v>1.0204949400459222</v>
      </c>
      <c r="J271" s="204">
        <v>0</v>
      </c>
      <c r="K271" s="216">
        <f t="shared" si="25"/>
        <v>0</v>
      </c>
      <c r="L271" s="205">
        <v>930.36</v>
      </c>
      <c r="M271" s="216">
        <f t="shared" si="26"/>
        <v>1.0204949400459222</v>
      </c>
      <c r="N271" s="205">
        <v>224.21675999999968</v>
      </c>
      <c r="O271" s="204">
        <v>0</v>
      </c>
      <c r="P271" s="206">
        <v>0</v>
      </c>
      <c r="Q271" s="281">
        <v>0</v>
      </c>
      <c r="R271" s="204">
        <v>0.24099999999999966</v>
      </c>
      <c r="S271" s="206">
        <v>2.0494940045922241E-2</v>
      </c>
      <c r="T271" s="204" t="s">
        <v>405</v>
      </c>
      <c r="U271" s="204" t="s">
        <v>225</v>
      </c>
      <c r="V271" s="204"/>
      <c r="W271" s="211">
        <v>1</v>
      </c>
      <c r="X271" s="204" t="s">
        <v>474</v>
      </c>
    </row>
    <row r="272" spans="2:24">
      <c r="B272" s="659"/>
      <c r="C272" s="659"/>
      <c r="D272" s="239">
        <v>166</v>
      </c>
      <c r="E272" s="204" t="s">
        <v>435</v>
      </c>
      <c r="F272" s="205">
        <v>217.24229999999977</v>
      </c>
      <c r="G272" s="204">
        <v>5.37</v>
      </c>
      <c r="H272" s="204">
        <v>5.6</v>
      </c>
      <c r="I272" s="216">
        <f t="shared" si="24"/>
        <v>1.042830540037244</v>
      </c>
      <c r="J272" s="204">
        <v>0.2</v>
      </c>
      <c r="K272" s="216">
        <f t="shared" si="25"/>
        <v>3.7243947858473E-2</v>
      </c>
      <c r="L272" s="205">
        <v>658.31</v>
      </c>
      <c r="M272" s="216">
        <f t="shared" si="26"/>
        <v>1.0800744878957169</v>
      </c>
      <c r="N272" s="205">
        <v>283.07329999999979</v>
      </c>
      <c r="O272" s="204">
        <v>0.1</v>
      </c>
      <c r="P272" s="206">
        <v>1.86219739292365E-2</v>
      </c>
      <c r="Q272" s="281">
        <v>65.831000000000003</v>
      </c>
      <c r="R272" s="204">
        <v>0.32999999999999974</v>
      </c>
      <c r="S272" s="206">
        <v>6.1452513966480396E-2</v>
      </c>
      <c r="T272" s="204" t="s">
        <v>405</v>
      </c>
      <c r="U272" s="204" t="s">
        <v>225</v>
      </c>
      <c r="V272" s="204"/>
      <c r="W272" s="211">
        <v>1</v>
      </c>
      <c r="X272" s="204" t="s">
        <v>436</v>
      </c>
    </row>
    <row r="273" spans="2:24">
      <c r="B273" s="659"/>
      <c r="C273" s="659"/>
      <c r="D273" s="239">
        <v>167</v>
      </c>
      <c r="E273" s="204" t="s">
        <v>594</v>
      </c>
      <c r="F273" s="205">
        <v>216.08053999999979</v>
      </c>
      <c r="G273" s="204">
        <v>46.253999999999998</v>
      </c>
      <c r="H273" s="204">
        <v>47.3</v>
      </c>
      <c r="I273" s="216">
        <f t="shared" si="24"/>
        <v>1.0226142603882908</v>
      </c>
      <c r="J273" s="204">
        <v>0</v>
      </c>
      <c r="K273" s="216">
        <f t="shared" si="25"/>
        <v>0</v>
      </c>
      <c r="L273" s="205">
        <v>334.49</v>
      </c>
      <c r="M273" s="216">
        <f t="shared" si="26"/>
        <v>1.0226142603882908</v>
      </c>
      <c r="N273" s="205">
        <v>349.87653999999981</v>
      </c>
      <c r="O273" s="204">
        <v>0.4</v>
      </c>
      <c r="P273" s="206">
        <v>8.6479007220997117E-3</v>
      </c>
      <c r="Q273" s="281">
        <v>133.79600000000002</v>
      </c>
      <c r="R273" s="204">
        <v>0.64599999999999935</v>
      </c>
      <c r="S273" s="206">
        <v>1.3966359666191018E-2</v>
      </c>
      <c r="T273" s="204" t="s">
        <v>402</v>
      </c>
      <c r="U273" s="204" t="s">
        <v>224</v>
      </c>
      <c r="V273" s="204"/>
      <c r="W273" s="211">
        <v>1</v>
      </c>
      <c r="X273" s="204" t="s">
        <v>478</v>
      </c>
    </row>
    <row r="274" spans="2:24">
      <c r="B274" s="659"/>
      <c r="C274" s="659"/>
      <c r="D274" s="239">
        <v>168</v>
      </c>
      <c r="E274" s="204" t="s">
        <v>433</v>
      </c>
      <c r="F274" s="205">
        <v>207.74544000000122</v>
      </c>
      <c r="G274" s="204">
        <v>22.742999999999999</v>
      </c>
      <c r="H274" s="204">
        <v>23.3</v>
      </c>
      <c r="I274" s="216">
        <f t="shared" si="24"/>
        <v>1.0244910521918833</v>
      </c>
      <c r="J274" s="204">
        <v>0</v>
      </c>
      <c r="K274" s="216">
        <f t="shared" si="25"/>
        <v>0</v>
      </c>
      <c r="L274" s="205">
        <v>581.91999999999996</v>
      </c>
      <c r="M274" s="216">
        <f t="shared" si="26"/>
        <v>1.0244910521918833</v>
      </c>
      <c r="N274" s="205">
        <v>324.12944000000124</v>
      </c>
      <c r="O274" s="204">
        <v>0.2</v>
      </c>
      <c r="P274" s="206">
        <v>8.7939146110891271E-3</v>
      </c>
      <c r="Q274" s="281">
        <v>116.384</v>
      </c>
      <c r="R274" s="204">
        <v>0.35700000000000215</v>
      </c>
      <c r="S274" s="206">
        <v>1.5697137580794187E-2</v>
      </c>
      <c r="T274" s="204" t="s">
        <v>402</v>
      </c>
      <c r="U274" s="204" t="s">
        <v>224</v>
      </c>
      <c r="V274" s="204"/>
      <c r="W274" s="211">
        <v>1</v>
      </c>
      <c r="X274" s="204" t="s">
        <v>434</v>
      </c>
    </row>
    <row r="275" spans="2:24">
      <c r="B275" s="659"/>
      <c r="C275" s="659"/>
      <c r="D275" s="239">
        <v>169</v>
      </c>
      <c r="E275" s="204" t="s">
        <v>675</v>
      </c>
      <c r="F275" s="205">
        <v>181.55520000000047</v>
      </c>
      <c r="G275" s="204">
        <v>66.92</v>
      </c>
      <c r="H275" s="204">
        <v>67.7</v>
      </c>
      <c r="I275" s="216">
        <f t="shared" si="24"/>
        <v>1.0116557083084279</v>
      </c>
      <c r="J275" s="204">
        <v>0</v>
      </c>
      <c r="K275" s="216">
        <f t="shared" si="25"/>
        <v>0</v>
      </c>
      <c r="L275" s="205">
        <v>378.24</v>
      </c>
      <c r="M275" s="216">
        <f t="shared" si="26"/>
        <v>1.0116557083084279</v>
      </c>
      <c r="N275" s="205">
        <v>295.02720000000045</v>
      </c>
      <c r="O275" s="204">
        <v>0.3</v>
      </c>
      <c r="P275" s="206">
        <v>4.4829647340107592E-3</v>
      </c>
      <c r="Q275" s="281">
        <v>113.47199999999999</v>
      </c>
      <c r="R275" s="204">
        <v>0.48000000000000115</v>
      </c>
      <c r="S275" s="206">
        <v>7.1727435744172313E-3</v>
      </c>
      <c r="T275" s="204" t="s">
        <v>402</v>
      </c>
      <c r="U275" s="204" t="s">
        <v>224</v>
      </c>
      <c r="V275" s="204"/>
      <c r="W275" s="211">
        <v>1</v>
      </c>
      <c r="X275" s="204" t="s">
        <v>676</v>
      </c>
    </row>
    <row r="276" spans="2:24">
      <c r="B276" s="659"/>
      <c r="C276" s="659"/>
      <c r="D276" s="239">
        <v>170</v>
      </c>
      <c r="E276" s="204" t="s">
        <v>528</v>
      </c>
      <c r="F276" s="205">
        <v>172.33529999999379</v>
      </c>
      <c r="G276" s="204">
        <v>83.79</v>
      </c>
      <c r="H276" s="204">
        <v>83.6</v>
      </c>
      <c r="I276" s="216">
        <f t="shared" si="24"/>
        <v>0.99773242630385472</v>
      </c>
      <c r="J276" s="204">
        <v>0.8</v>
      </c>
      <c r="K276" s="216">
        <f t="shared" si="25"/>
        <v>9.5476787206110504E-3</v>
      </c>
      <c r="L276" s="205">
        <v>420.33</v>
      </c>
      <c r="M276" s="216">
        <f t="shared" si="26"/>
        <v>1.0072801050244657</v>
      </c>
      <c r="N276" s="205">
        <v>256.4012999999938</v>
      </c>
      <c r="O276" s="204">
        <v>0.2</v>
      </c>
      <c r="P276" s="206">
        <v>2.3869196801527626E-3</v>
      </c>
      <c r="Q276" s="281">
        <v>84.066000000000003</v>
      </c>
      <c r="R276" s="204">
        <v>0.40999999999998521</v>
      </c>
      <c r="S276" s="206">
        <v>4.8931853443129874E-3</v>
      </c>
      <c r="T276" s="204" t="s">
        <v>405</v>
      </c>
      <c r="U276" s="204" t="s">
        <v>225</v>
      </c>
      <c r="V276" s="204"/>
      <c r="W276" s="211">
        <v>1</v>
      </c>
      <c r="X276" s="204" t="s">
        <v>487</v>
      </c>
    </row>
    <row r="277" spans="2:24">
      <c r="B277" s="661">
        <v>45897</v>
      </c>
      <c r="C277" s="659" t="s">
        <v>269</v>
      </c>
      <c r="D277" s="239">
        <v>171</v>
      </c>
      <c r="E277" s="204" t="s">
        <v>426</v>
      </c>
      <c r="F277" s="205">
        <v>313.17684000000219</v>
      </c>
      <c r="G277" s="204">
        <v>133.886</v>
      </c>
      <c r="H277" s="204">
        <v>134.19999999999999</v>
      </c>
      <c r="I277" s="216">
        <f t="shared" si="24"/>
        <v>1.0023452788192939</v>
      </c>
      <c r="J277" s="204">
        <v>0.3</v>
      </c>
      <c r="K277" s="216">
        <f t="shared" si="25"/>
        <v>2.2407122477331462E-3</v>
      </c>
      <c r="L277" s="205">
        <v>510.06</v>
      </c>
      <c r="M277" s="216">
        <f t="shared" si="26"/>
        <v>1.0045859910670272</v>
      </c>
      <c r="N277" s="205">
        <v>313.17684000000219</v>
      </c>
      <c r="O277" s="204">
        <v>0</v>
      </c>
      <c r="P277" s="206">
        <v>0</v>
      </c>
      <c r="Q277" s="281">
        <v>0</v>
      </c>
      <c r="R277" s="204">
        <v>0.61400000000000432</v>
      </c>
      <c r="S277" s="206">
        <v>4.5859910670272052E-3</v>
      </c>
      <c r="T277" s="204" t="s">
        <v>405</v>
      </c>
      <c r="U277" s="204" t="s">
        <v>226</v>
      </c>
      <c r="V277" s="204"/>
      <c r="W277" s="211">
        <v>1</v>
      </c>
      <c r="X277" s="204" t="s">
        <v>423</v>
      </c>
    </row>
    <row r="278" spans="2:24">
      <c r="B278" s="659"/>
      <c r="C278" s="659"/>
      <c r="D278" s="239">
        <v>172</v>
      </c>
      <c r="E278" s="204" t="s">
        <v>673</v>
      </c>
      <c r="F278" s="205">
        <v>278.10999999999996</v>
      </c>
      <c r="G278" s="204">
        <v>0.40410000000000001</v>
      </c>
      <c r="H278" s="204">
        <v>0.5</v>
      </c>
      <c r="I278" s="216">
        <f t="shared" si="24"/>
        <v>1.2373174956693886</v>
      </c>
      <c r="J278" s="204">
        <v>0</v>
      </c>
      <c r="K278" s="216">
        <f t="shared" si="25"/>
        <v>0</v>
      </c>
      <c r="L278" s="205">
        <v>2900</v>
      </c>
      <c r="M278" s="216">
        <f t="shared" si="26"/>
        <v>1.2373174956693886</v>
      </c>
      <c r="N278" s="205">
        <v>278.10999999999996</v>
      </c>
      <c r="O278" s="204">
        <v>0</v>
      </c>
      <c r="P278" s="206">
        <v>0</v>
      </c>
      <c r="Q278" s="281">
        <v>0</v>
      </c>
      <c r="R278" s="204">
        <v>9.5899999999999985E-2</v>
      </c>
      <c r="S278" s="206">
        <v>0.23731749566938873</v>
      </c>
      <c r="T278" s="204" t="s">
        <v>405</v>
      </c>
      <c r="U278" s="204" t="s">
        <v>225</v>
      </c>
      <c r="V278" s="204"/>
      <c r="W278" s="211">
        <v>1</v>
      </c>
      <c r="X278" s="204" t="s">
        <v>660</v>
      </c>
    </row>
    <row r="279" spans="2:24">
      <c r="B279" s="659"/>
      <c r="C279" s="659"/>
      <c r="D279" s="239">
        <v>173</v>
      </c>
      <c r="E279" s="204" t="s">
        <v>564</v>
      </c>
      <c r="F279" s="205">
        <v>236.92999999999998</v>
      </c>
      <c r="G279" s="204">
        <v>0.81830000000000003</v>
      </c>
      <c r="H279" s="204">
        <v>0.9</v>
      </c>
      <c r="I279" s="216">
        <f t="shared" si="24"/>
        <v>1.0998411340584138</v>
      </c>
      <c r="J279" s="204">
        <v>0</v>
      </c>
      <c r="K279" s="216">
        <f t="shared" si="25"/>
        <v>0</v>
      </c>
      <c r="L279" s="205">
        <v>2900</v>
      </c>
      <c r="M279" s="216">
        <f t="shared" si="26"/>
        <v>1.0998411340584138</v>
      </c>
      <c r="N279" s="205">
        <v>236.92999999999998</v>
      </c>
      <c r="O279" s="204">
        <v>0</v>
      </c>
      <c r="P279" s="206">
        <v>0</v>
      </c>
      <c r="Q279" s="281">
        <v>0</v>
      </c>
      <c r="R279" s="204">
        <v>8.1699999999999995E-2</v>
      </c>
      <c r="S279" s="206">
        <v>9.9841134058413772E-2</v>
      </c>
      <c r="T279" s="204" t="s">
        <v>405</v>
      </c>
      <c r="U279" s="204" t="s">
        <v>225</v>
      </c>
      <c r="V279" s="204"/>
      <c r="W279" s="211">
        <v>1</v>
      </c>
      <c r="X279" s="204" t="s">
        <v>559</v>
      </c>
    </row>
    <row r="280" spans="2:24">
      <c r="B280" s="659"/>
      <c r="C280" s="659"/>
      <c r="D280" s="239">
        <v>174</v>
      </c>
      <c r="E280" s="204" t="s">
        <v>584</v>
      </c>
      <c r="F280" s="205">
        <v>218.2840000000005</v>
      </c>
      <c r="G280" s="204">
        <v>22.616</v>
      </c>
      <c r="H280" s="204">
        <v>23.3</v>
      </c>
      <c r="I280" s="216">
        <f t="shared" si="24"/>
        <v>1.0302440749911568</v>
      </c>
      <c r="J280" s="204">
        <v>0</v>
      </c>
      <c r="K280" s="216">
        <f t="shared" si="25"/>
        <v>0</v>
      </c>
      <c r="L280" s="205">
        <v>451</v>
      </c>
      <c r="M280" s="216">
        <f t="shared" si="26"/>
        <v>1.0302440749911568</v>
      </c>
      <c r="N280" s="205">
        <v>308.48400000000049</v>
      </c>
      <c r="O280" s="204">
        <v>0.2</v>
      </c>
      <c r="P280" s="206">
        <v>8.8432967810399728E-3</v>
      </c>
      <c r="Q280" s="281">
        <v>90.2</v>
      </c>
      <c r="R280" s="204">
        <v>0.48400000000000104</v>
      </c>
      <c r="S280" s="206">
        <v>2.1400778210116777E-2</v>
      </c>
      <c r="T280" s="204" t="s">
        <v>402</v>
      </c>
      <c r="U280" s="204" t="s">
        <v>224</v>
      </c>
      <c r="V280" s="204"/>
      <c r="W280" s="211">
        <v>1</v>
      </c>
      <c r="X280" s="204" t="s">
        <v>516</v>
      </c>
    </row>
    <row r="281" spans="2:24">
      <c r="B281" s="659"/>
      <c r="C281" s="659"/>
      <c r="D281" s="239">
        <v>175</v>
      </c>
      <c r="E281" s="204" t="s">
        <v>545</v>
      </c>
      <c r="F281" s="205">
        <v>206.08616000000049</v>
      </c>
      <c r="G281" s="204">
        <v>28.007999999999999</v>
      </c>
      <c r="H281" s="204">
        <v>28.5</v>
      </c>
      <c r="I281" s="216">
        <f t="shared" si="24"/>
        <v>1.0175664095972579</v>
      </c>
      <c r="J281" s="204">
        <v>0</v>
      </c>
      <c r="K281" s="216">
        <f t="shared" si="25"/>
        <v>0</v>
      </c>
      <c r="L281" s="205">
        <v>525.73</v>
      </c>
      <c r="M281" s="216">
        <f t="shared" si="26"/>
        <v>1.0175664095972579</v>
      </c>
      <c r="N281" s="205">
        <v>258.6591600000005</v>
      </c>
      <c r="O281" s="204">
        <v>0.1</v>
      </c>
      <c r="P281" s="206">
        <v>3.5704084547272209E-3</v>
      </c>
      <c r="Q281" s="281">
        <v>52.573000000000008</v>
      </c>
      <c r="R281" s="204">
        <v>0.3920000000000009</v>
      </c>
      <c r="S281" s="206">
        <v>1.3996001142530738E-2</v>
      </c>
      <c r="T281" s="204" t="s">
        <v>405</v>
      </c>
      <c r="U281" s="204" t="s">
        <v>226</v>
      </c>
      <c r="V281" s="204"/>
      <c r="W281" s="211">
        <v>1</v>
      </c>
      <c r="X281" s="204" t="s">
        <v>517</v>
      </c>
    </row>
    <row r="282" spans="2:24">
      <c r="B282" s="659"/>
      <c r="C282" s="659"/>
      <c r="D282" s="239">
        <v>176</v>
      </c>
      <c r="E282" s="204" t="s">
        <v>599</v>
      </c>
      <c r="F282" s="205">
        <v>201.08576000000045</v>
      </c>
      <c r="G282" s="204">
        <v>25.847999999999999</v>
      </c>
      <c r="H282" s="204">
        <v>26.5</v>
      </c>
      <c r="I282" s="216">
        <f t="shared" si="24"/>
        <v>1.0252243887341381</v>
      </c>
      <c r="J282" s="204">
        <v>0</v>
      </c>
      <c r="K282" s="216">
        <f t="shared" si="25"/>
        <v>0</v>
      </c>
      <c r="L282" s="205">
        <v>444.88</v>
      </c>
      <c r="M282" s="216">
        <f t="shared" si="26"/>
        <v>1.0252243887341381</v>
      </c>
      <c r="N282" s="205">
        <v>290.06176000000045</v>
      </c>
      <c r="O282" s="204">
        <v>0.2</v>
      </c>
      <c r="P282" s="206">
        <v>7.7375425564840611E-3</v>
      </c>
      <c r="Q282" s="281">
        <v>88.975999999999999</v>
      </c>
      <c r="R282" s="204">
        <v>0.45200000000000101</v>
      </c>
      <c r="S282" s="206">
        <v>1.7486846177654017E-2</v>
      </c>
      <c r="T282" s="204" t="s">
        <v>405</v>
      </c>
      <c r="U282" s="204" t="s">
        <v>226</v>
      </c>
      <c r="V282" s="204"/>
      <c r="W282" s="211">
        <v>1</v>
      </c>
      <c r="X282" s="204" t="s">
        <v>598</v>
      </c>
    </row>
    <row r="283" spans="2:24">
      <c r="B283" s="659"/>
      <c r="C283" s="659"/>
      <c r="D283" s="239">
        <v>177</v>
      </c>
      <c r="E283" s="204" t="s">
        <v>435</v>
      </c>
      <c r="F283" s="205">
        <v>190.90990000000002</v>
      </c>
      <c r="G283" s="204">
        <v>5.01</v>
      </c>
      <c r="H283" s="204">
        <v>5.3</v>
      </c>
      <c r="I283" s="216">
        <f t="shared" si="24"/>
        <v>1.0578842315369261</v>
      </c>
      <c r="J283" s="204">
        <v>0</v>
      </c>
      <c r="K283" s="216">
        <f t="shared" si="25"/>
        <v>0</v>
      </c>
      <c r="L283" s="205">
        <v>658.31</v>
      </c>
      <c r="M283" s="216">
        <f t="shared" si="26"/>
        <v>1.0578842315369261</v>
      </c>
      <c r="N283" s="205">
        <v>190.90990000000002</v>
      </c>
      <c r="O283" s="204">
        <v>0</v>
      </c>
      <c r="P283" s="206">
        <v>0</v>
      </c>
      <c r="Q283" s="281">
        <v>0</v>
      </c>
      <c r="R283" s="204">
        <v>0.29000000000000004</v>
      </c>
      <c r="S283" s="206">
        <v>5.7884231536926158E-2</v>
      </c>
      <c r="T283" s="204" t="s">
        <v>405</v>
      </c>
      <c r="U283" s="204" t="s">
        <v>226</v>
      </c>
      <c r="V283" s="204"/>
      <c r="W283" s="211">
        <v>1</v>
      </c>
      <c r="X283" s="204" t="s">
        <v>436</v>
      </c>
    </row>
    <row r="284" spans="2:24">
      <c r="B284" s="659"/>
      <c r="C284" s="659"/>
      <c r="D284" s="239">
        <v>178</v>
      </c>
      <c r="E284" s="204" t="s">
        <v>416</v>
      </c>
      <c r="F284" s="205">
        <v>183.48197999999906</v>
      </c>
      <c r="G284" s="204">
        <v>17.658000000000001</v>
      </c>
      <c r="H284" s="204">
        <v>18</v>
      </c>
      <c r="I284" s="216">
        <f t="shared" si="24"/>
        <v>1.019367991845056</v>
      </c>
      <c r="J284" s="204">
        <v>0</v>
      </c>
      <c r="K284" s="216">
        <f t="shared" si="25"/>
        <v>0</v>
      </c>
      <c r="L284" s="205">
        <v>758.19</v>
      </c>
      <c r="M284" s="216">
        <f t="shared" si="26"/>
        <v>1.019367991845056</v>
      </c>
      <c r="N284" s="205">
        <v>259.30097999999907</v>
      </c>
      <c r="O284" s="204">
        <v>0.1</v>
      </c>
      <c r="P284" s="206">
        <v>5.6631555102503112E-3</v>
      </c>
      <c r="Q284" s="281">
        <v>75.819000000000003</v>
      </c>
      <c r="R284" s="204">
        <v>0.24199999999999874</v>
      </c>
      <c r="S284" s="206">
        <v>1.3704836334805681E-2</v>
      </c>
      <c r="T284" s="204" t="s">
        <v>405</v>
      </c>
      <c r="U284" s="204" t="s">
        <v>225</v>
      </c>
      <c r="V284" s="204"/>
      <c r="W284" s="211">
        <v>1</v>
      </c>
      <c r="X284" s="204" t="s">
        <v>417</v>
      </c>
    </row>
    <row r="285" spans="2:24">
      <c r="B285" s="659"/>
      <c r="C285" s="659"/>
      <c r="D285" s="239">
        <v>179</v>
      </c>
      <c r="E285" s="204" t="s">
        <v>558</v>
      </c>
      <c r="F285" s="205">
        <v>177.22703999999993</v>
      </c>
      <c r="G285" s="204">
        <v>14.028</v>
      </c>
      <c r="H285" s="204">
        <v>14.4</v>
      </c>
      <c r="I285" s="216">
        <f t="shared" si="24"/>
        <v>1.0265183917878529</v>
      </c>
      <c r="J285" s="204">
        <v>0</v>
      </c>
      <c r="K285" s="216">
        <f t="shared" si="25"/>
        <v>0</v>
      </c>
      <c r="L285" s="205">
        <v>651.57000000000005</v>
      </c>
      <c r="M285" s="216">
        <f t="shared" si="26"/>
        <v>1.0265183917878529</v>
      </c>
      <c r="N285" s="205">
        <v>242.38403999999994</v>
      </c>
      <c r="O285" s="204">
        <v>0.1</v>
      </c>
      <c r="P285" s="206">
        <v>7.1285999429712005E-3</v>
      </c>
      <c r="Q285" s="281">
        <v>65.157000000000011</v>
      </c>
      <c r="R285" s="204">
        <v>0.27199999999999991</v>
      </c>
      <c r="S285" s="206">
        <v>1.9389791844881658E-2</v>
      </c>
      <c r="T285" s="204" t="s">
        <v>402</v>
      </c>
      <c r="U285" s="204" t="s">
        <v>224</v>
      </c>
      <c r="V285" s="204"/>
      <c r="W285" s="211">
        <v>1</v>
      </c>
      <c r="X285" s="204" t="s">
        <v>559</v>
      </c>
    </row>
    <row r="286" spans="2:24">
      <c r="B286" s="659"/>
      <c r="C286" s="659"/>
      <c r="D286" s="239">
        <v>180</v>
      </c>
      <c r="E286" s="204" t="s">
        <v>528</v>
      </c>
      <c r="F286" s="205">
        <v>174.43695000000261</v>
      </c>
      <c r="G286" s="204">
        <v>81.584999999999994</v>
      </c>
      <c r="H286" s="204">
        <v>82</v>
      </c>
      <c r="I286" s="216">
        <f t="shared" si="24"/>
        <v>1.0050867193724338</v>
      </c>
      <c r="J286" s="204">
        <v>0</v>
      </c>
      <c r="K286" s="216">
        <f t="shared" si="25"/>
        <v>0</v>
      </c>
      <c r="L286" s="205">
        <v>420.33</v>
      </c>
      <c r="M286" s="216">
        <f t="shared" si="26"/>
        <v>1.0050867193724338</v>
      </c>
      <c r="N286" s="205">
        <v>174.43695000000261</v>
      </c>
      <c r="O286" s="204">
        <v>0</v>
      </c>
      <c r="P286" s="206">
        <v>0</v>
      </c>
      <c r="Q286" s="281">
        <v>0</v>
      </c>
      <c r="R286" s="204">
        <v>0.41500000000000625</v>
      </c>
      <c r="S286" s="206">
        <v>5.0867193724337349E-3</v>
      </c>
      <c r="T286" s="204" t="s">
        <v>405</v>
      </c>
      <c r="U286" s="204" t="s">
        <v>226</v>
      </c>
      <c r="V286" s="204"/>
      <c r="W286" s="211">
        <v>1</v>
      </c>
      <c r="X286" s="204" t="s">
        <v>487</v>
      </c>
    </row>
    <row r="287" spans="2:24">
      <c r="B287" s="661">
        <v>45898</v>
      </c>
      <c r="C287" s="659" t="s">
        <v>266</v>
      </c>
      <c r="D287" s="239">
        <v>181</v>
      </c>
      <c r="E287" s="204" t="s">
        <v>545</v>
      </c>
      <c r="F287" s="205">
        <v>237.62996000000055</v>
      </c>
      <c r="G287" s="204">
        <v>24.648</v>
      </c>
      <c r="H287" s="204">
        <v>25.3</v>
      </c>
      <c r="I287" s="216">
        <f t="shared" si="24"/>
        <v>1.0264524505030834</v>
      </c>
      <c r="J287" s="204">
        <v>0</v>
      </c>
      <c r="K287" s="216">
        <f t="shared" si="25"/>
        <v>0</v>
      </c>
      <c r="L287" s="205">
        <v>525.73</v>
      </c>
      <c r="M287" s="216">
        <f t="shared" si="26"/>
        <v>1.0264524505030834</v>
      </c>
      <c r="N287" s="205">
        <v>342.77596000000057</v>
      </c>
      <c r="O287" s="204">
        <v>0.2</v>
      </c>
      <c r="P287" s="206">
        <v>8.1142486205777343E-3</v>
      </c>
      <c r="Q287" s="281">
        <v>105.14600000000002</v>
      </c>
      <c r="R287" s="204">
        <v>0.45200000000000101</v>
      </c>
      <c r="S287" s="206">
        <v>1.833820188250572E-2</v>
      </c>
      <c r="T287" s="204" t="s">
        <v>405</v>
      </c>
      <c r="U287" s="204" t="s">
        <v>226</v>
      </c>
      <c r="V287" s="204"/>
      <c r="W287" s="211">
        <v>1</v>
      </c>
      <c r="X287" s="204" t="s">
        <v>517</v>
      </c>
    </row>
    <row r="288" spans="2:24">
      <c r="B288" s="659"/>
      <c r="C288" s="659"/>
      <c r="D288" s="239">
        <v>182</v>
      </c>
      <c r="E288" s="204" t="s">
        <v>599</v>
      </c>
      <c r="F288" s="205">
        <v>236.67616000000001</v>
      </c>
      <c r="G288" s="204">
        <v>23.867999999999999</v>
      </c>
      <c r="H288" s="204">
        <v>24.2</v>
      </c>
      <c r="I288" s="216">
        <f t="shared" si="24"/>
        <v>1.0139098374392492</v>
      </c>
      <c r="J288" s="204">
        <v>0.2</v>
      </c>
      <c r="K288" s="216">
        <f t="shared" si="25"/>
        <v>8.3794201441260274E-3</v>
      </c>
      <c r="L288" s="205">
        <v>444.88</v>
      </c>
      <c r="M288" s="216">
        <f t="shared" si="26"/>
        <v>1.0222892575833753</v>
      </c>
      <c r="N288" s="205">
        <v>236.67616000000001</v>
      </c>
      <c r="O288" s="204">
        <v>0</v>
      </c>
      <c r="P288" s="206">
        <v>0</v>
      </c>
      <c r="Q288" s="281">
        <v>0</v>
      </c>
      <c r="R288" s="204">
        <v>0.53200000000000003</v>
      </c>
      <c r="S288" s="206">
        <v>2.2289257583375233E-2</v>
      </c>
      <c r="T288" s="204" t="s">
        <v>226</v>
      </c>
      <c r="U288" s="204" t="s">
        <v>226</v>
      </c>
      <c r="V288" s="204"/>
      <c r="W288" s="211">
        <v>1</v>
      </c>
      <c r="X288" s="204" t="s">
        <v>598</v>
      </c>
    </row>
    <row r="289" spans="2:24">
      <c r="B289" s="659"/>
      <c r="C289" s="659"/>
      <c r="D289" s="239">
        <v>183</v>
      </c>
      <c r="E289" s="204" t="s">
        <v>426</v>
      </c>
      <c r="F289" s="205">
        <v>236.15778000000412</v>
      </c>
      <c r="G289" s="204">
        <v>123.937</v>
      </c>
      <c r="H289" s="204">
        <v>124.2</v>
      </c>
      <c r="I289" s="216">
        <f t="shared" si="24"/>
        <v>1.0021220458781479</v>
      </c>
      <c r="J289" s="204">
        <v>0.2</v>
      </c>
      <c r="K289" s="216">
        <f t="shared" si="25"/>
        <v>1.6137231012530561E-3</v>
      </c>
      <c r="L289" s="205">
        <v>510.06</v>
      </c>
      <c r="M289" s="216">
        <f t="shared" si="26"/>
        <v>1.0037357689794009</v>
      </c>
      <c r="N289" s="205">
        <v>236.15778000000412</v>
      </c>
      <c r="O289" s="204">
        <v>0</v>
      </c>
      <c r="P289" s="206">
        <v>0</v>
      </c>
      <c r="Q289" s="281">
        <v>0</v>
      </c>
      <c r="R289" s="204">
        <v>0.46300000000000807</v>
      </c>
      <c r="S289" s="206">
        <v>3.7357689794008898E-3</v>
      </c>
      <c r="T289" s="204" t="s">
        <v>226</v>
      </c>
      <c r="U289" s="204" t="s">
        <v>226</v>
      </c>
      <c r="V289" s="204"/>
      <c r="W289" s="211">
        <v>1</v>
      </c>
      <c r="X289" s="204" t="s">
        <v>423</v>
      </c>
    </row>
    <row r="290" spans="2:24">
      <c r="B290" s="659"/>
      <c r="C290" s="659"/>
      <c r="D290" s="239">
        <v>184</v>
      </c>
      <c r="E290" s="204" t="s">
        <v>411</v>
      </c>
      <c r="F290" s="205">
        <v>188.2856000000005</v>
      </c>
      <c r="G290" s="204">
        <v>29.207999999999998</v>
      </c>
      <c r="H290" s="204">
        <v>30</v>
      </c>
      <c r="I290" s="216">
        <f t="shared" si="24"/>
        <v>1.0271158586688578</v>
      </c>
      <c r="J290" s="204">
        <v>0</v>
      </c>
      <c r="K290" s="216">
        <f t="shared" si="25"/>
        <v>0</v>
      </c>
      <c r="L290" s="205">
        <v>318.05</v>
      </c>
      <c r="M290" s="216">
        <f t="shared" si="26"/>
        <v>1.0271158586688578</v>
      </c>
      <c r="N290" s="205">
        <v>251.89560000000051</v>
      </c>
      <c r="O290" s="204">
        <v>0.2</v>
      </c>
      <c r="P290" s="206">
        <v>6.8474390577923866E-3</v>
      </c>
      <c r="Q290" s="281">
        <v>63.610000000000007</v>
      </c>
      <c r="R290" s="204">
        <v>0.59200000000000164</v>
      </c>
      <c r="S290" s="206">
        <v>2.0268419611065517E-2</v>
      </c>
      <c r="T290" s="204" t="s">
        <v>226</v>
      </c>
      <c r="U290" s="204" t="s">
        <v>226</v>
      </c>
      <c r="V290" s="204"/>
      <c r="W290" s="211">
        <v>1</v>
      </c>
      <c r="X290" s="204" t="s">
        <v>413</v>
      </c>
    </row>
    <row r="291" spans="2:24">
      <c r="B291" s="659"/>
      <c r="C291" s="659"/>
      <c r="D291" s="239">
        <v>185</v>
      </c>
      <c r="E291" s="204" t="s">
        <v>581</v>
      </c>
      <c r="F291" s="205">
        <v>184.00000000000017</v>
      </c>
      <c r="G291" s="204">
        <v>2.1</v>
      </c>
      <c r="H291" s="204">
        <v>2.2000000000000002</v>
      </c>
      <c r="I291" s="216">
        <f t="shared" si="24"/>
        <v>1.0476190476190477</v>
      </c>
      <c r="J291" s="204">
        <v>0</v>
      </c>
      <c r="K291" s="216">
        <f t="shared" si="25"/>
        <v>0</v>
      </c>
      <c r="L291" s="205">
        <v>1840</v>
      </c>
      <c r="M291" s="216">
        <f t="shared" si="26"/>
        <v>1.0476190476190477</v>
      </c>
      <c r="N291" s="205">
        <v>184.00000000000017</v>
      </c>
      <c r="O291" s="204">
        <v>0</v>
      </c>
      <c r="P291" s="206">
        <v>0</v>
      </c>
      <c r="Q291" s="281">
        <v>0</v>
      </c>
      <c r="R291" s="204">
        <v>0.10000000000000009</v>
      </c>
      <c r="S291" s="206">
        <v>4.7619047619047658E-2</v>
      </c>
      <c r="T291" s="204" t="s">
        <v>226</v>
      </c>
      <c r="U291" s="204" t="s">
        <v>225</v>
      </c>
      <c r="V291" s="204"/>
      <c r="W291" s="211">
        <v>1</v>
      </c>
      <c r="X291" s="204" t="s">
        <v>410</v>
      </c>
    </row>
    <row r="292" spans="2:24">
      <c r="B292" s="659"/>
      <c r="C292" s="659"/>
      <c r="D292" s="239">
        <v>186</v>
      </c>
      <c r="E292" s="204" t="s">
        <v>528</v>
      </c>
      <c r="F292" s="205">
        <v>178.64025000000001</v>
      </c>
      <c r="G292" s="204">
        <v>70.174999999999997</v>
      </c>
      <c r="H292" s="204">
        <v>70.8</v>
      </c>
      <c r="I292" s="216">
        <f t="shared" si="24"/>
        <v>1.0089063056644103</v>
      </c>
      <c r="J292" s="204">
        <v>0</v>
      </c>
      <c r="K292" s="216">
        <f t="shared" si="25"/>
        <v>0</v>
      </c>
      <c r="L292" s="205">
        <v>420.33</v>
      </c>
      <c r="M292" s="216">
        <f t="shared" si="26"/>
        <v>1.0089063056644103</v>
      </c>
      <c r="N292" s="205">
        <v>262.70625000000001</v>
      </c>
      <c r="O292" s="204">
        <v>0.2</v>
      </c>
      <c r="P292" s="206">
        <v>2.8500178126113292E-3</v>
      </c>
      <c r="Q292" s="281">
        <v>84.066000000000003</v>
      </c>
      <c r="R292" s="204">
        <v>0.42499999999999999</v>
      </c>
      <c r="S292" s="206">
        <v>6.0562878517990736E-3</v>
      </c>
      <c r="T292" s="204" t="s">
        <v>226</v>
      </c>
      <c r="U292" s="204" t="s">
        <v>225</v>
      </c>
      <c r="V292" s="204"/>
      <c r="W292" s="211">
        <v>1</v>
      </c>
      <c r="X292" s="204" t="s">
        <v>487</v>
      </c>
    </row>
    <row r="293" spans="2:24">
      <c r="B293" s="659"/>
      <c r="C293" s="659"/>
      <c r="D293" s="239">
        <v>187</v>
      </c>
      <c r="E293" s="204" t="s">
        <v>569</v>
      </c>
      <c r="F293" s="205">
        <v>160.14101999999843</v>
      </c>
      <c r="G293" s="204">
        <v>45.862000000000002</v>
      </c>
      <c r="H293" s="204">
        <v>46.4</v>
      </c>
      <c r="I293" s="216">
        <f t="shared" si="24"/>
        <v>1.0117308447080371</v>
      </c>
      <c r="J293" s="204">
        <v>0</v>
      </c>
      <c r="K293" s="216">
        <f t="shared" si="25"/>
        <v>0</v>
      </c>
      <c r="L293" s="205">
        <v>473.79</v>
      </c>
      <c r="M293" s="216">
        <f t="shared" si="26"/>
        <v>1.0117308447080371</v>
      </c>
      <c r="N293" s="205">
        <v>254.89901999999844</v>
      </c>
      <c r="O293" s="204">
        <v>0.2</v>
      </c>
      <c r="P293" s="206">
        <v>4.3609088133967121E-3</v>
      </c>
      <c r="Q293" s="281">
        <v>94.75800000000001</v>
      </c>
      <c r="R293" s="204">
        <v>0.33799999999999669</v>
      </c>
      <c r="S293" s="206">
        <v>7.3699358946403707E-3</v>
      </c>
      <c r="T293" s="204" t="s">
        <v>226</v>
      </c>
      <c r="U293" s="204" t="s">
        <v>226</v>
      </c>
      <c r="V293" s="204"/>
      <c r="W293" s="211">
        <v>1</v>
      </c>
      <c r="X293" s="204" t="s">
        <v>423</v>
      </c>
    </row>
    <row r="294" spans="2:24">
      <c r="B294" s="659"/>
      <c r="C294" s="659"/>
      <c r="D294" s="239">
        <v>188</v>
      </c>
      <c r="E294" s="204" t="s">
        <v>659</v>
      </c>
      <c r="F294" s="205">
        <v>156.88831999999888</v>
      </c>
      <c r="G294" s="204">
        <v>113.792</v>
      </c>
      <c r="H294" s="204">
        <v>114.8</v>
      </c>
      <c r="I294" s="216">
        <f t="shared" si="24"/>
        <v>1.0088582677165354</v>
      </c>
      <c r="J294" s="204">
        <v>0</v>
      </c>
      <c r="K294" s="216">
        <f t="shared" si="25"/>
        <v>0</v>
      </c>
      <c r="L294" s="205">
        <v>258.04000000000002</v>
      </c>
      <c r="M294" s="216">
        <f t="shared" si="26"/>
        <v>1.0088582677165354</v>
      </c>
      <c r="N294" s="205">
        <v>260.10431999999889</v>
      </c>
      <c r="O294" s="204">
        <v>0.4</v>
      </c>
      <c r="P294" s="206">
        <v>3.515185601799775E-3</v>
      </c>
      <c r="Q294" s="281">
        <v>103.21600000000001</v>
      </c>
      <c r="R294" s="204">
        <v>0.60799999999999554</v>
      </c>
      <c r="S294" s="206">
        <v>5.3430821147356184E-3</v>
      </c>
      <c r="T294" s="204" t="s">
        <v>226</v>
      </c>
      <c r="U294" s="204" t="s">
        <v>225</v>
      </c>
      <c r="V294" s="204"/>
      <c r="W294" s="211">
        <v>1</v>
      </c>
      <c r="X294" s="204" t="s">
        <v>660</v>
      </c>
    </row>
    <row r="295" spans="2:24">
      <c r="B295" s="659"/>
      <c r="C295" s="659"/>
      <c r="D295" s="239">
        <v>189</v>
      </c>
      <c r="E295" s="204" t="s">
        <v>577</v>
      </c>
      <c r="F295" s="205">
        <v>155.22559999999993</v>
      </c>
      <c r="G295" s="204">
        <v>2.8380000000000001</v>
      </c>
      <c r="H295" s="204">
        <v>3.4</v>
      </c>
      <c r="I295" s="216">
        <f t="shared" si="24"/>
        <v>1.1980267794221282</v>
      </c>
      <c r="J295" s="204">
        <v>0</v>
      </c>
      <c r="K295" s="216">
        <f t="shared" si="25"/>
        <v>0</v>
      </c>
      <c r="L295" s="205">
        <v>428.8</v>
      </c>
      <c r="M295" s="216">
        <f t="shared" si="26"/>
        <v>1.1980267794221282</v>
      </c>
      <c r="N295" s="205">
        <v>240.98559999999995</v>
      </c>
      <c r="O295" s="204">
        <v>0.2</v>
      </c>
      <c r="P295" s="206">
        <v>7.0472163495419307E-2</v>
      </c>
      <c r="Q295" s="281">
        <v>85.76</v>
      </c>
      <c r="R295" s="204">
        <v>0.36199999999999982</v>
      </c>
      <c r="S295" s="206">
        <v>0.12755461592670889</v>
      </c>
      <c r="T295" s="204" t="s">
        <v>537</v>
      </c>
      <c r="U295" s="204" t="s">
        <v>522</v>
      </c>
      <c r="V295" s="204"/>
      <c r="W295" s="211">
        <v>1</v>
      </c>
      <c r="X295" s="204" t="s">
        <v>438</v>
      </c>
    </row>
    <row r="296" spans="2:24">
      <c r="B296" s="659"/>
      <c r="C296" s="659"/>
      <c r="D296" s="239">
        <v>190</v>
      </c>
      <c r="E296" s="204" t="s">
        <v>435</v>
      </c>
      <c r="F296" s="205">
        <v>154.70285000000021</v>
      </c>
      <c r="G296" s="204">
        <v>4.9649999999999999</v>
      </c>
      <c r="H296" s="204">
        <v>5.2</v>
      </c>
      <c r="I296" s="216">
        <f t="shared" si="24"/>
        <v>1.0473313192346425</v>
      </c>
      <c r="J296" s="204">
        <v>0</v>
      </c>
      <c r="K296" s="216">
        <f t="shared" si="25"/>
        <v>0</v>
      </c>
      <c r="L296" s="205">
        <v>658.31</v>
      </c>
      <c r="M296" s="216">
        <f t="shared" si="26"/>
        <v>1.0473313192346425</v>
      </c>
      <c r="N296" s="205">
        <v>154.70285000000021</v>
      </c>
      <c r="O296" s="204">
        <v>0</v>
      </c>
      <c r="P296" s="206">
        <v>0</v>
      </c>
      <c r="Q296" s="281">
        <v>0</v>
      </c>
      <c r="R296" s="204">
        <v>0.23500000000000032</v>
      </c>
      <c r="S296" s="206">
        <v>4.7331319234642566E-2</v>
      </c>
      <c r="T296" s="204" t="s">
        <v>226</v>
      </c>
      <c r="U296" s="204" t="s">
        <v>225</v>
      </c>
      <c r="V296" s="204"/>
      <c r="W296" s="211">
        <v>1</v>
      </c>
      <c r="X296" s="204" t="s">
        <v>436</v>
      </c>
    </row>
    <row r="297" spans="2:24">
      <c r="B297" s="661">
        <v>45899</v>
      </c>
      <c r="C297" s="659" t="s">
        <v>271</v>
      </c>
      <c r="D297" s="239">
        <v>191</v>
      </c>
      <c r="E297" s="204" t="s">
        <v>426</v>
      </c>
      <c r="F297" s="205">
        <v>299.40522000000891</v>
      </c>
      <c r="G297" s="204">
        <v>128.31299999999999</v>
      </c>
      <c r="H297" s="204">
        <v>128.6</v>
      </c>
      <c r="I297" s="216">
        <f t="shared" si="24"/>
        <v>1.0022367180254534</v>
      </c>
      <c r="J297" s="204">
        <v>0.3</v>
      </c>
      <c r="K297" s="216">
        <f t="shared" si="25"/>
        <v>2.3380327792195646E-3</v>
      </c>
      <c r="L297" s="205">
        <v>510.06</v>
      </c>
      <c r="M297" s="216">
        <f t="shared" si="26"/>
        <v>1.0045747508046732</v>
      </c>
      <c r="N297" s="205">
        <v>299.40522000000891</v>
      </c>
      <c r="O297" s="204">
        <v>0</v>
      </c>
      <c r="P297" s="206">
        <v>0</v>
      </c>
      <c r="Q297" s="281">
        <v>0</v>
      </c>
      <c r="R297" s="204">
        <v>0.58700000000001751</v>
      </c>
      <c r="S297" s="206">
        <v>4.5747508046730849E-3</v>
      </c>
      <c r="T297" s="204" t="s">
        <v>405</v>
      </c>
      <c r="U297" s="204" t="s">
        <v>226</v>
      </c>
      <c r="V297" s="204"/>
      <c r="W297" s="211">
        <v>1</v>
      </c>
      <c r="X297" s="204" t="s">
        <v>423</v>
      </c>
    </row>
    <row r="298" spans="2:24">
      <c r="B298" s="659"/>
      <c r="C298" s="659"/>
      <c r="D298" s="239">
        <v>192</v>
      </c>
      <c r="E298" s="204" t="s">
        <v>528</v>
      </c>
      <c r="F298" s="205">
        <v>205.96169999999901</v>
      </c>
      <c r="G298" s="204">
        <v>79.31</v>
      </c>
      <c r="H298" s="204">
        <v>80</v>
      </c>
      <c r="I298" s="216">
        <f t="shared" si="24"/>
        <v>1.0087000378262514</v>
      </c>
      <c r="J298" s="204">
        <v>0</v>
      </c>
      <c r="K298" s="216">
        <f t="shared" si="25"/>
        <v>0</v>
      </c>
      <c r="L298" s="205">
        <v>420.33</v>
      </c>
      <c r="M298" s="216">
        <f t="shared" si="26"/>
        <v>1.0087000378262514</v>
      </c>
      <c r="N298" s="205">
        <v>290.02769999999902</v>
      </c>
      <c r="O298" s="204">
        <v>0.2</v>
      </c>
      <c r="P298" s="206">
        <v>2.5217500945656285E-3</v>
      </c>
      <c r="Q298" s="281">
        <v>84.066000000000003</v>
      </c>
      <c r="R298" s="204">
        <v>0.48999999999999772</v>
      </c>
      <c r="S298" s="206">
        <v>6.1782877316857608E-3</v>
      </c>
      <c r="T298" s="204" t="s">
        <v>405</v>
      </c>
      <c r="U298" s="204" t="s">
        <v>225</v>
      </c>
      <c r="V298" s="204"/>
      <c r="W298" s="211">
        <v>1</v>
      </c>
      <c r="X298" s="204" t="s">
        <v>487</v>
      </c>
    </row>
    <row r="299" spans="2:24">
      <c r="B299" s="659"/>
      <c r="C299" s="659"/>
      <c r="D299" s="239">
        <v>193</v>
      </c>
      <c r="E299" s="204" t="s">
        <v>433</v>
      </c>
      <c r="F299" s="205">
        <v>201.92623999999824</v>
      </c>
      <c r="G299" s="204">
        <v>26.353000000000002</v>
      </c>
      <c r="H299" s="204">
        <v>26.9</v>
      </c>
      <c r="I299" s="216">
        <f t="shared" si="24"/>
        <v>1.0207566500967631</v>
      </c>
      <c r="J299" s="204">
        <v>0</v>
      </c>
      <c r="K299" s="216">
        <f t="shared" si="25"/>
        <v>0</v>
      </c>
      <c r="L299" s="205">
        <v>581.91999999999996</v>
      </c>
      <c r="M299" s="216">
        <f t="shared" si="26"/>
        <v>1.0207566500967631</v>
      </c>
      <c r="N299" s="205">
        <v>318.31023999999826</v>
      </c>
      <c r="O299" s="204">
        <v>0.2</v>
      </c>
      <c r="P299" s="206">
        <v>7.5892687739536292E-3</v>
      </c>
      <c r="Q299" s="281">
        <v>116.384</v>
      </c>
      <c r="R299" s="204">
        <v>0.34699999999999703</v>
      </c>
      <c r="S299" s="206">
        <v>1.3167381322809434E-2</v>
      </c>
      <c r="T299" s="204" t="s">
        <v>402</v>
      </c>
      <c r="U299" s="204" t="s">
        <v>224</v>
      </c>
      <c r="V299" s="204"/>
      <c r="W299" s="211">
        <v>1</v>
      </c>
      <c r="X299" s="204" t="s">
        <v>434</v>
      </c>
    </row>
    <row r="300" spans="2:24">
      <c r="B300" s="659"/>
      <c r="C300" s="659"/>
      <c r="D300" s="239">
        <v>194</v>
      </c>
      <c r="E300" s="204" t="s">
        <v>525</v>
      </c>
      <c r="F300" s="205">
        <v>200.95776000000069</v>
      </c>
      <c r="G300" s="204">
        <v>12.584</v>
      </c>
      <c r="H300" s="204">
        <v>12.9</v>
      </c>
      <c r="I300" s="216">
        <f t="shared" si="24"/>
        <v>1.0251112523839798</v>
      </c>
      <c r="J300" s="204">
        <v>0</v>
      </c>
      <c r="K300" s="216">
        <f t="shared" si="25"/>
        <v>0</v>
      </c>
      <c r="L300" s="205">
        <v>930.36</v>
      </c>
      <c r="M300" s="216">
        <f t="shared" si="26"/>
        <v>1.0251112523839798</v>
      </c>
      <c r="N300" s="205">
        <v>293.99376000000069</v>
      </c>
      <c r="O300" s="204">
        <v>0.1</v>
      </c>
      <c r="P300" s="206">
        <v>7.9465988556897647E-3</v>
      </c>
      <c r="Q300" s="281">
        <v>93.036000000000001</v>
      </c>
      <c r="R300" s="204">
        <v>0.21600000000000072</v>
      </c>
      <c r="S300" s="206">
        <v>1.7164653528289948E-2</v>
      </c>
      <c r="T300" s="204" t="s">
        <v>405</v>
      </c>
      <c r="U300" s="204" t="s">
        <v>225</v>
      </c>
      <c r="V300" s="204"/>
      <c r="W300" s="211">
        <v>1</v>
      </c>
      <c r="X300" s="204" t="s">
        <v>474</v>
      </c>
    </row>
    <row r="301" spans="2:24">
      <c r="B301" s="659"/>
      <c r="C301" s="659"/>
      <c r="D301" s="239">
        <v>195</v>
      </c>
      <c r="E301" s="204" t="s">
        <v>673</v>
      </c>
      <c r="F301" s="205">
        <v>184.7300000000001</v>
      </c>
      <c r="G301" s="204">
        <v>0.33629999999999999</v>
      </c>
      <c r="H301" s="204">
        <v>0.4</v>
      </c>
      <c r="I301" s="216">
        <f t="shared" si="24"/>
        <v>1.1894142134998513</v>
      </c>
      <c r="J301" s="204">
        <v>0</v>
      </c>
      <c r="K301" s="216">
        <f t="shared" si="25"/>
        <v>0</v>
      </c>
      <c r="L301" s="205">
        <v>2900</v>
      </c>
      <c r="M301" s="216">
        <f t="shared" si="26"/>
        <v>1.1894142134998513</v>
      </c>
      <c r="N301" s="205">
        <v>184.7300000000001</v>
      </c>
      <c r="O301" s="204">
        <v>0</v>
      </c>
      <c r="P301" s="206">
        <v>0</v>
      </c>
      <c r="Q301" s="281">
        <v>0</v>
      </c>
      <c r="R301" s="204">
        <v>6.3700000000000034E-2</v>
      </c>
      <c r="S301" s="206">
        <v>0.18941421349985144</v>
      </c>
      <c r="T301" s="204" t="s">
        <v>405</v>
      </c>
      <c r="U301" s="204" t="s">
        <v>225</v>
      </c>
      <c r="V301" s="204"/>
      <c r="W301" s="211">
        <v>1</v>
      </c>
      <c r="X301" s="204" t="s">
        <v>660</v>
      </c>
    </row>
    <row r="302" spans="2:24">
      <c r="B302" s="659"/>
      <c r="C302" s="659"/>
      <c r="D302" s="239">
        <v>196</v>
      </c>
      <c r="E302" s="204" t="s">
        <v>430</v>
      </c>
      <c r="F302" s="205">
        <v>166.63737000000035</v>
      </c>
      <c r="G302" s="204">
        <v>57.350999999999999</v>
      </c>
      <c r="H302" s="204">
        <v>58</v>
      </c>
      <c r="I302" s="216">
        <f t="shared" si="24"/>
        <v>1.0113162804484666</v>
      </c>
      <c r="J302" s="204">
        <v>0</v>
      </c>
      <c r="K302" s="216">
        <f t="shared" si="25"/>
        <v>0</v>
      </c>
      <c r="L302" s="205">
        <v>371.13</v>
      </c>
      <c r="M302" s="216">
        <f t="shared" si="26"/>
        <v>1.0113162804484666</v>
      </c>
      <c r="N302" s="205">
        <v>240.86337000000034</v>
      </c>
      <c r="O302" s="204">
        <v>0.2</v>
      </c>
      <c r="P302" s="206">
        <v>3.4872975187878155E-3</v>
      </c>
      <c r="Q302" s="281">
        <v>74.225999999999999</v>
      </c>
      <c r="R302" s="204">
        <v>0.4490000000000009</v>
      </c>
      <c r="S302" s="206">
        <v>7.8289829296786621E-3</v>
      </c>
      <c r="T302" s="204" t="s">
        <v>402</v>
      </c>
      <c r="U302" s="204" t="s">
        <v>224</v>
      </c>
      <c r="V302" s="204"/>
      <c r="W302" s="211">
        <v>1</v>
      </c>
      <c r="X302" s="204" t="s">
        <v>494</v>
      </c>
    </row>
    <row r="303" spans="2:24">
      <c r="B303" s="659"/>
      <c r="C303" s="659"/>
      <c r="D303" s="239">
        <v>197</v>
      </c>
      <c r="E303" s="204" t="s">
        <v>582</v>
      </c>
      <c r="F303" s="205">
        <v>165.59999999999974</v>
      </c>
      <c r="G303" s="204">
        <v>3.81</v>
      </c>
      <c r="H303" s="204">
        <v>3.9</v>
      </c>
      <c r="I303" s="216">
        <f t="shared" si="24"/>
        <v>1.0236220472440944</v>
      </c>
      <c r="J303" s="204">
        <v>0</v>
      </c>
      <c r="K303" s="216">
        <f t="shared" si="25"/>
        <v>0</v>
      </c>
      <c r="L303" s="205">
        <v>1840</v>
      </c>
      <c r="M303" s="216">
        <f t="shared" si="26"/>
        <v>1.0236220472440944</v>
      </c>
      <c r="N303" s="205">
        <v>165.59999999999974</v>
      </c>
      <c r="O303" s="204">
        <v>0</v>
      </c>
      <c r="P303" s="206">
        <v>0</v>
      </c>
      <c r="Q303" s="281">
        <v>0</v>
      </c>
      <c r="R303" s="204">
        <v>8.9999999999999858E-2</v>
      </c>
      <c r="S303" s="206">
        <v>2.362204724409445E-2</v>
      </c>
      <c r="T303" s="204" t="s">
        <v>405</v>
      </c>
      <c r="U303" s="204" t="s">
        <v>225</v>
      </c>
      <c r="V303" s="204"/>
      <c r="W303" s="211">
        <v>1</v>
      </c>
      <c r="X303" s="204" t="s">
        <v>583</v>
      </c>
    </row>
    <row r="304" spans="2:24">
      <c r="B304" s="659"/>
      <c r="C304" s="659"/>
      <c r="D304" s="239">
        <v>198</v>
      </c>
      <c r="E304" s="204" t="s">
        <v>545</v>
      </c>
      <c r="F304" s="205">
        <v>164.02776000000023</v>
      </c>
      <c r="G304" s="204">
        <v>27.288</v>
      </c>
      <c r="H304" s="204">
        <v>27.8</v>
      </c>
      <c r="I304" s="216">
        <f t="shared" si="24"/>
        <v>1.0187628261506889</v>
      </c>
      <c r="J304" s="204">
        <v>0</v>
      </c>
      <c r="K304" s="216">
        <f t="shared" si="25"/>
        <v>0</v>
      </c>
      <c r="L304" s="205">
        <v>525.73</v>
      </c>
      <c r="M304" s="216">
        <f t="shared" si="26"/>
        <v>1.0187628261506889</v>
      </c>
      <c r="N304" s="205">
        <v>269.17376000000024</v>
      </c>
      <c r="O304" s="204">
        <v>0.2</v>
      </c>
      <c r="P304" s="206">
        <v>7.3292289651128708E-3</v>
      </c>
      <c r="Q304" s="281">
        <v>105.14600000000002</v>
      </c>
      <c r="R304" s="204">
        <v>0.31200000000000044</v>
      </c>
      <c r="S304" s="206">
        <v>1.1433597185576093E-2</v>
      </c>
      <c r="T304" s="204" t="s">
        <v>405</v>
      </c>
      <c r="U304" s="204" t="s">
        <v>226</v>
      </c>
      <c r="V304" s="204"/>
      <c r="W304" s="211">
        <v>1</v>
      </c>
      <c r="X304" s="204" t="s">
        <v>517</v>
      </c>
    </row>
    <row r="305" spans="2:24">
      <c r="B305" s="659"/>
      <c r="C305" s="659"/>
      <c r="D305" s="239">
        <v>199</v>
      </c>
      <c r="E305" s="204" t="s">
        <v>599</v>
      </c>
      <c r="F305" s="205">
        <v>160.15680000000037</v>
      </c>
      <c r="G305" s="204">
        <v>25.74</v>
      </c>
      <c r="H305" s="204">
        <v>26.2</v>
      </c>
      <c r="I305" s="216">
        <f t="shared" si="24"/>
        <v>1.017871017871018</v>
      </c>
      <c r="J305" s="204">
        <v>0</v>
      </c>
      <c r="K305" s="216">
        <f t="shared" si="25"/>
        <v>0</v>
      </c>
      <c r="L305" s="205">
        <v>444.88</v>
      </c>
      <c r="M305" s="216">
        <f t="shared" si="26"/>
        <v>1.017871017871018</v>
      </c>
      <c r="N305" s="205">
        <v>204.64480000000037</v>
      </c>
      <c r="O305" s="204">
        <v>0.1</v>
      </c>
      <c r="P305" s="206">
        <v>3.8850038850038854E-3</v>
      </c>
      <c r="Q305" s="281">
        <v>44.488</v>
      </c>
      <c r="R305" s="204">
        <v>0.36000000000000087</v>
      </c>
      <c r="S305" s="206">
        <v>1.3986013986014021E-2</v>
      </c>
      <c r="T305" s="204" t="s">
        <v>405</v>
      </c>
      <c r="U305" s="204" t="s">
        <v>226</v>
      </c>
      <c r="V305" s="204"/>
      <c r="W305" s="211">
        <v>1</v>
      </c>
      <c r="X305" s="204" t="s">
        <v>598</v>
      </c>
    </row>
    <row r="306" spans="2:24">
      <c r="B306" s="659"/>
      <c r="C306" s="659"/>
      <c r="D306" s="239">
        <v>200</v>
      </c>
      <c r="E306" s="204" t="s">
        <v>570</v>
      </c>
      <c r="F306" s="205">
        <v>159.9078000000016</v>
      </c>
      <c r="G306" s="204">
        <v>446.77199999999999</v>
      </c>
      <c r="H306" s="204">
        <v>450.3</v>
      </c>
      <c r="I306" s="216">
        <f t="shared" si="24"/>
        <v>1.0078966452687277</v>
      </c>
      <c r="J306" s="204">
        <v>0</v>
      </c>
      <c r="K306" s="216">
        <f t="shared" si="25"/>
        <v>0</v>
      </c>
      <c r="L306" s="205">
        <v>78.849999999999994</v>
      </c>
      <c r="M306" s="216">
        <f t="shared" si="26"/>
        <v>1.0078966452687277</v>
      </c>
      <c r="N306" s="205">
        <v>278.18280000000158</v>
      </c>
      <c r="O306" s="204">
        <v>1.5</v>
      </c>
      <c r="P306" s="206">
        <v>3.3574172060916977E-3</v>
      </c>
      <c r="Q306" s="281">
        <v>118.27499999999999</v>
      </c>
      <c r="R306" s="204">
        <v>2.02800000000002</v>
      </c>
      <c r="S306" s="206">
        <v>4.5392280626360207E-3</v>
      </c>
      <c r="T306" s="204" t="s">
        <v>402</v>
      </c>
      <c r="U306" s="204" t="s">
        <v>224</v>
      </c>
      <c r="V306" s="204"/>
      <c r="W306" s="211">
        <v>1</v>
      </c>
      <c r="X306" s="204" t="s">
        <v>408</v>
      </c>
    </row>
    <row r="307" spans="2:24">
      <c r="B307" s="662">
        <v>45900</v>
      </c>
      <c r="C307" s="659" t="s">
        <v>267</v>
      </c>
      <c r="D307" s="239">
        <v>201</v>
      </c>
      <c r="E307" s="204" t="s">
        <v>430</v>
      </c>
      <c r="F307" s="205">
        <v>223.42026000000038</v>
      </c>
      <c r="G307" s="204">
        <v>61.698</v>
      </c>
      <c r="H307" s="204">
        <v>62.6</v>
      </c>
      <c r="I307" s="216">
        <f t="shared" si="24"/>
        <v>1.0146195986903952</v>
      </c>
      <c r="J307" s="204">
        <v>0</v>
      </c>
      <c r="K307" s="216">
        <f t="shared" si="25"/>
        <v>0</v>
      </c>
      <c r="L307" s="205">
        <v>371.13</v>
      </c>
      <c r="M307" s="216">
        <f t="shared" si="26"/>
        <v>1.0146195986903952</v>
      </c>
      <c r="N307" s="205">
        <v>334.75926000000038</v>
      </c>
      <c r="O307" s="204">
        <v>0.3</v>
      </c>
      <c r="P307" s="206">
        <v>4.8623942429252163E-3</v>
      </c>
      <c r="Q307" s="281">
        <v>111.339</v>
      </c>
      <c r="R307" s="204">
        <v>0.60200000000000098</v>
      </c>
      <c r="S307" s="206">
        <v>9.7572044474699502E-3</v>
      </c>
      <c r="T307" s="204" t="s">
        <v>402</v>
      </c>
      <c r="U307" s="204" t="s">
        <v>224</v>
      </c>
      <c r="V307" s="204"/>
      <c r="W307" s="211">
        <v>1</v>
      </c>
      <c r="X307" s="204" t="s">
        <v>494</v>
      </c>
    </row>
    <row r="308" spans="2:24">
      <c r="B308" s="663"/>
      <c r="C308" s="659"/>
      <c r="D308" s="239">
        <v>202</v>
      </c>
      <c r="E308" s="204" t="s">
        <v>426</v>
      </c>
      <c r="F308" s="205">
        <v>200.45358000000323</v>
      </c>
      <c r="G308" s="204">
        <v>153.107</v>
      </c>
      <c r="H308" s="204">
        <v>153.9</v>
      </c>
      <c r="I308" s="216">
        <f t="shared" si="24"/>
        <v>1.0051793843521197</v>
      </c>
      <c r="J308" s="204">
        <v>0</v>
      </c>
      <c r="K308" s="216">
        <f t="shared" si="25"/>
        <v>0</v>
      </c>
      <c r="L308" s="205">
        <v>510.06</v>
      </c>
      <c r="M308" s="216">
        <f t="shared" si="26"/>
        <v>1.0051793843521197</v>
      </c>
      <c r="N308" s="205">
        <v>404.47758000000323</v>
      </c>
      <c r="O308" s="204">
        <v>0.4</v>
      </c>
      <c r="P308" s="206">
        <v>2.6125520061133717E-3</v>
      </c>
      <c r="Q308" s="281">
        <v>204.024</v>
      </c>
      <c r="R308" s="204">
        <v>0.39300000000000634</v>
      </c>
      <c r="S308" s="206">
        <v>2.566832346006429E-3</v>
      </c>
      <c r="T308" s="204" t="s">
        <v>405</v>
      </c>
      <c r="U308" s="204" t="s">
        <v>226</v>
      </c>
      <c r="V308" s="204"/>
      <c r="W308" s="211">
        <v>1</v>
      </c>
      <c r="X308" s="204" t="s">
        <v>423</v>
      </c>
    </row>
    <row r="309" spans="2:24">
      <c r="B309" s="663"/>
      <c r="C309" s="659"/>
      <c r="D309" s="239">
        <v>203</v>
      </c>
      <c r="E309" s="204" t="s">
        <v>416</v>
      </c>
      <c r="F309" s="205">
        <v>186.51473999999899</v>
      </c>
      <c r="G309" s="204">
        <v>19.254000000000001</v>
      </c>
      <c r="H309" s="204">
        <v>19.5</v>
      </c>
      <c r="I309" s="216">
        <f t="shared" si="24"/>
        <v>1.0127765659083825</v>
      </c>
      <c r="J309" s="204">
        <v>0</v>
      </c>
      <c r="K309" s="216">
        <f t="shared" si="25"/>
        <v>0</v>
      </c>
      <c r="L309" s="205">
        <v>758.19</v>
      </c>
      <c r="M309" s="216">
        <f t="shared" si="26"/>
        <v>1.0127765659083825</v>
      </c>
      <c r="N309" s="205">
        <v>186.51473999999899</v>
      </c>
      <c r="O309" s="204">
        <v>0</v>
      </c>
      <c r="P309" s="206">
        <v>0</v>
      </c>
      <c r="Q309" s="281">
        <v>0</v>
      </c>
      <c r="R309" s="204">
        <v>0.24599999999999866</v>
      </c>
      <c r="S309" s="206">
        <v>1.2776565908382604E-2</v>
      </c>
      <c r="T309" s="204" t="s">
        <v>405</v>
      </c>
      <c r="U309" s="204" t="s">
        <v>225</v>
      </c>
      <c r="V309" s="204"/>
      <c r="W309" s="211">
        <v>1</v>
      </c>
      <c r="X309" s="204" t="s">
        <v>417</v>
      </c>
    </row>
    <row r="310" spans="2:24">
      <c r="B310" s="663"/>
      <c r="C310" s="659"/>
      <c r="D310" s="239">
        <v>204</v>
      </c>
      <c r="E310" s="204" t="s">
        <v>545</v>
      </c>
      <c r="F310" s="205">
        <v>170.33652000000046</v>
      </c>
      <c r="G310" s="204">
        <v>28.776</v>
      </c>
      <c r="H310" s="204">
        <v>29.3</v>
      </c>
      <c r="I310" s="216">
        <f t="shared" si="24"/>
        <v>1.0182096191270504</v>
      </c>
      <c r="J310" s="204">
        <v>0</v>
      </c>
      <c r="K310" s="216">
        <f t="shared" si="25"/>
        <v>0</v>
      </c>
      <c r="L310" s="205">
        <v>525.73</v>
      </c>
      <c r="M310" s="216">
        <f t="shared" si="26"/>
        <v>1.0182096191270504</v>
      </c>
      <c r="N310" s="205">
        <v>275.48252000000048</v>
      </c>
      <c r="O310" s="204">
        <v>0.2</v>
      </c>
      <c r="P310" s="206">
        <v>6.9502363080344732E-3</v>
      </c>
      <c r="Q310" s="281">
        <v>105.14600000000002</v>
      </c>
      <c r="R310" s="204">
        <v>0.3240000000000009</v>
      </c>
      <c r="S310" s="206">
        <v>1.1259382819015878E-2</v>
      </c>
      <c r="T310" s="204" t="s">
        <v>405</v>
      </c>
      <c r="U310" s="204" t="s">
        <v>226</v>
      </c>
      <c r="V310" s="204"/>
      <c r="W310" s="211">
        <v>1</v>
      </c>
      <c r="X310" s="204" t="s">
        <v>517</v>
      </c>
    </row>
    <row r="311" spans="2:24">
      <c r="B311" s="663"/>
      <c r="C311" s="659"/>
      <c r="D311" s="239">
        <v>205</v>
      </c>
      <c r="E311" s="204" t="s">
        <v>581</v>
      </c>
      <c r="F311" s="205">
        <v>165.60000000000056</v>
      </c>
      <c r="G311" s="204">
        <v>2.5099999999999998</v>
      </c>
      <c r="H311" s="204">
        <v>2.6</v>
      </c>
      <c r="I311" s="216">
        <f t="shared" si="24"/>
        <v>1.0358565737051795</v>
      </c>
      <c r="J311" s="204">
        <v>0</v>
      </c>
      <c r="K311" s="216">
        <f t="shared" si="25"/>
        <v>0</v>
      </c>
      <c r="L311" s="205">
        <v>1840</v>
      </c>
      <c r="M311" s="216">
        <f t="shared" si="26"/>
        <v>1.0358565737051795</v>
      </c>
      <c r="N311" s="205">
        <v>165.60000000000056</v>
      </c>
      <c r="O311" s="204">
        <v>0</v>
      </c>
      <c r="P311" s="206">
        <v>0</v>
      </c>
      <c r="Q311" s="281">
        <v>0</v>
      </c>
      <c r="R311" s="204">
        <v>9.0000000000000302E-2</v>
      </c>
      <c r="S311" s="206">
        <v>3.5856573705179404E-2</v>
      </c>
      <c r="T311" s="204" t="s">
        <v>405</v>
      </c>
      <c r="U311" s="204" t="s">
        <v>225</v>
      </c>
      <c r="V311" s="204"/>
      <c r="W311" s="211">
        <v>1</v>
      </c>
      <c r="X311" s="204" t="s">
        <v>410</v>
      </c>
    </row>
    <row r="312" spans="2:24">
      <c r="B312" s="663"/>
      <c r="C312" s="659"/>
      <c r="D312" s="239">
        <v>206</v>
      </c>
      <c r="E312" s="204" t="s">
        <v>565</v>
      </c>
      <c r="F312" s="205">
        <v>162.45824000000118</v>
      </c>
      <c r="G312" s="204">
        <v>47.951999999999998</v>
      </c>
      <c r="H312" s="204">
        <v>48.6</v>
      </c>
      <c r="I312" s="216">
        <f t="shared" si="24"/>
        <v>1.0135135135135136</v>
      </c>
      <c r="J312" s="204">
        <v>0</v>
      </c>
      <c r="K312" s="216">
        <f t="shared" si="25"/>
        <v>0</v>
      </c>
      <c r="L312" s="205">
        <v>362.63</v>
      </c>
      <c r="M312" s="216">
        <f t="shared" si="26"/>
        <v>1.0135135135135136</v>
      </c>
      <c r="N312" s="205">
        <v>234.98424000000117</v>
      </c>
      <c r="O312" s="204">
        <v>0.2</v>
      </c>
      <c r="P312" s="206">
        <v>4.170837504170838E-3</v>
      </c>
      <c r="Q312" s="281">
        <v>72.525999999999996</v>
      </c>
      <c r="R312" s="204">
        <v>0.44800000000000323</v>
      </c>
      <c r="S312" s="206">
        <v>9.342676009342743E-3</v>
      </c>
      <c r="T312" s="204" t="s">
        <v>402</v>
      </c>
      <c r="U312" s="204" t="s">
        <v>224</v>
      </c>
      <c r="V312" s="204"/>
      <c r="W312" s="211">
        <v>1</v>
      </c>
      <c r="X312" s="204" t="s">
        <v>566</v>
      </c>
    </row>
    <row r="313" spans="2:24">
      <c r="B313" s="663"/>
      <c r="C313" s="659"/>
      <c r="D313" s="239">
        <v>207</v>
      </c>
      <c r="E313" s="204" t="s">
        <v>569</v>
      </c>
      <c r="F313" s="205">
        <v>160.61481000000069</v>
      </c>
      <c r="G313" s="204">
        <v>53.061</v>
      </c>
      <c r="H313" s="204">
        <v>53.6</v>
      </c>
      <c r="I313" s="216">
        <f t="shared" si="24"/>
        <v>1.010158119899738</v>
      </c>
      <c r="J313" s="204">
        <v>0</v>
      </c>
      <c r="K313" s="216">
        <f t="shared" si="25"/>
        <v>0</v>
      </c>
      <c r="L313" s="205">
        <v>473.79</v>
      </c>
      <c r="M313" s="216">
        <f t="shared" si="26"/>
        <v>1.010158119899738</v>
      </c>
      <c r="N313" s="205">
        <v>255.3728100000007</v>
      </c>
      <c r="O313" s="204">
        <v>0.2</v>
      </c>
      <c r="P313" s="206">
        <v>3.7692467160437989E-3</v>
      </c>
      <c r="Q313" s="281">
        <v>94.75800000000001</v>
      </c>
      <c r="R313" s="204">
        <v>0.33900000000000147</v>
      </c>
      <c r="S313" s="206">
        <v>6.3888731836942662E-3</v>
      </c>
      <c r="T313" s="204" t="s">
        <v>405</v>
      </c>
      <c r="U313" s="204" t="s">
        <v>226</v>
      </c>
      <c r="V313" s="204"/>
      <c r="W313" s="211">
        <v>1</v>
      </c>
      <c r="X313" s="204" t="s">
        <v>423</v>
      </c>
    </row>
    <row r="314" spans="2:24">
      <c r="B314" s="663"/>
      <c r="C314" s="659"/>
      <c r="D314" s="239">
        <v>208</v>
      </c>
      <c r="E314" s="204" t="s">
        <v>659</v>
      </c>
      <c r="F314" s="205">
        <v>152.75968000000117</v>
      </c>
      <c r="G314" s="204">
        <v>126.208</v>
      </c>
      <c r="H314" s="204">
        <v>127.2</v>
      </c>
      <c r="I314" s="216">
        <f t="shared" si="24"/>
        <v>1.0078600405679514</v>
      </c>
      <c r="J314" s="204">
        <v>0</v>
      </c>
      <c r="K314" s="216">
        <f t="shared" si="25"/>
        <v>0</v>
      </c>
      <c r="L314" s="205">
        <v>258.04000000000002</v>
      </c>
      <c r="M314" s="216">
        <f t="shared" si="26"/>
        <v>1.0078600405679514</v>
      </c>
      <c r="N314" s="205">
        <v>255.97568000000118</v>
      </c>
      <c r="O314" s="204">
        <v>0.4</v>
      </c>
      <c r="P314" s="206">
        <v>3.1693711967545643E-3</v>
      </c>
      <c r="Q314" s="281">
        <v>103.21600000000001</v>
      </c>
      <c r="R314" s="204">
        <v>0.59200000000000441</v>
      </c>
      <c r="S314" s="206">
        <v>4.6906693711967892E-3</v>
      </c>
      <c r="T314" s="204" t="s">
        <v>405</v>
      </c>
      <c r="U314" s="204" t="s">
        <v>225</v>
      </c>
      <c r="V314" s="204"/>
      <c r="W314" s="211">
        <v>1</v>
      </c>
      <c r="X314" s="204" t="s">
        <v>660</v>
      </c>
    </row>
    <row r="315" spans="2:24">
      <c r="B315" s="663"/>
      <c r="C315" s="659"/>
      <c r="D315" s="239">
        <v>209</v>
      </c>
      <c r="E315" s="204" t="s">
        <v>528</v>
      </c>
      <c r="F315" s="205">
        <v>149.21715000000046</v>
      </c>
      <c r="G315" s="204">
        <v>98.944999999999993</v>
      </c>
      <c r="H315" s="204">
        <v>99.6</v>
      </c>
      <c r="I315" s="216">
        <f t="shared" si="24"/>
        <v>1.0066198393046641</v>
      </c>
      <c r="J315" s="204">
        <v>0</v>
      </c>
      <c r="K315" s="216">
        <f t="shared" si="25"/>
        <v>0</v>
      </c>
      <c r="L315" s="205">
        <v>420.33</v>
      </c>
      <c r="M315" s="216">
        <f t="shared" si="26"/>
        <v>1.0066198393046641</v>
      </c>
      <c r="N315" s="205">
        <v>275.31615000000045</v>
      </c>
      <c r="O315" s="204">
        <v>0.3</v>
      </c>
      <c r="P315" s="206">
        <v>3.0319874677851334E-3</v>
      </c>
      <c r="Q315" s="281">
        <v>126.09899999999999</v>
      </c>
      <c r="R315" s="204">
        <v>0.35500000000000115</v>
      </c>
      <c r="S315" s="206">
        <v>3.587851836879086E-3</v>
      </c>
      <c r="T315" s="204" t="s">
        <v>405</v>
      </c>
      <c r="U315" s="204" t="s">
        <v>225</v>
      </c>
      <c r="V315" s="204"/>
      <c r="W315" s="211">
        <v>1</v>
      </c>
      <c r="X315" s="204" t="s">
        <v>487</v>
      </c>
    </row>
    <row r="316" spans="2:24">
      <c r="B316" s="663"/>
      <c r="C316" s="659"/>
      <c r="D316" s="239">
        <v>210</v>
      </c>
      <c r="E316" s="204" t="s">
        <v>570</v>
      </c>
      <c r="F316" s="205">
        <v>147.76490000000007</v>
      </c>
      <c r="G316" s="204">
        <v>463.32600000000002</v>
      </c>
      <c r="H316" s="204">
        <v>465.6</v>
      </c>
      <c r="I316" s="216">
        <f t="shared" si="24"/>
        <v>1.0049079913495034</v>
      </c>
      <c r="J316" s="204">
        <v>0</v>
      </c>
      <c r="K316" s="216">
        <f t="shared" si="25"/>
        <v>0</v>
      </c>
      <c r="L316" s="205">
        <v>78.849999999999994</v>
      </c>
      <c r="M316" s="216">
        <f t="shared" si="26"/>
        <v>1.0049079913495034</v>
      </c>
      <c r="N316" s="205">
        <v>179.30490000000006</v>
      </c>
      <c r="O316" s="204">
        <v>0.4</v>
      </c>
      <c r="P316" s="206">
        <v>8.6332301662328471E-4</v>
      </c>
      <c r="Q316" s="281">
        <v>31.54</v>
      </c>
      <c r="R316" s="385">
        <v>1.874000000000001</v>
      </c>
      <c r="S316" s="206">
        <v>4.0446683328800911E-3</v>
      </c>
      <c r="T316" s="204" t="s">
        <v>419</v>
      </c>
      <c r="U316" s="204" t="s">
        <v>522</v>
      </c>
      <c r="V316" s="204"/>
      <c r="W316" s="211">
        <v>1</v>
      </c>
      <c r="X316" s="204" t="s">
        <v>408</v>
      </c>
    </row>
    <row r="317" spans="2:24">
      <c r="B317" s="662">
        <v>45901</v>
      </c>
      <c r="C317" s="660" t="s">
        <v>978</v>
      </c>
      <c r="D317" s="239">
        <v>1</v>
      </c>
      <c r="E317" s="204" t="s">
        <v>529</v>
      </c>
      <c r="F317" s="205">
        <v>257.8920399999995</v>
      </c>
      <c r="G317" s="204">
        <v>149.977</v>
      </c>
      <c r="H317" s="204">
        <v>153</v>
      </c>
      <c r="I317" s="216">
        <f t="shared" si="24"/>
        <v>1.0201564239850109</v>
      </c>
      <c r="J317" s="204">
        <v>0</v>
      </c>
      <c r="K317" s="216">
        <f t="shared" si="25"/>
        <v>0</v>
      </c>
      <c r="L317" s="205">
        <v>127.48</v>
      </c>
      <c r="M317" s="216">
        <f t="shared" si="26"/>
        <v>1.0201564239850109</v>
      </c>
      <c r="N317" s="205">
        <v>385.37203999999952</v>
      </c>
      <c r="O317" s="204">
        <v>1</v>
      </c>
      <c r="P317" s="206">
        <v>6.6676890456536667E-3</v>
      </c>
      <c r="Q317" s="204">
        <v>127.48</v>
      </c>
      <c r="R317" s="385">
        <v>2.0229999999999961</v>
      </c>
      <c r="S317" s="205">
        <v>1.3488734939357342E-2</v>
      </c>
      <c r="T317" s="204" t="s">
        <v>419</v>
      </c>
      <c r="U317" s="204" t="s">
        <v>522</v>
      </c>
      <c r="V317" s="204"/>
      <c r="W317" s="211">
        <v>1</v>
      </c>
      <c r="X317" s="204" t="s">
        <v>417</v>
      </c>
    </row>
    <row r="318" spans="2:24">
      <c r="B318" s="663"/>
      <c r="C318" s="659"/>
      <c r="D318" s="239">
        <v>2</v>
      </c>
      <c r="E318" s="204" t="s">
        <v>569</v>
      </c>
      <c r="F318" s="205">
        <v>238.3163700000014</v>
      </c>
      <c r="G318" s="204">
        <v>51.497</v>
      </c>
      <c r="H318" s="204">
        <v>52.2</v>
      </c>
      <c r="I318" s="216">
        <f t="shared" si="24"/>
        <v>1.0136512806571256</v>
      </c>
      <c r="J318" s="204">
        <v>0</v>
      </c>
      <c r="K318" s="216">
        <f t="shared" si="25"/>
        <v>0</v>
      </c>
      <c r="L318" s="205">
        <v>473.79</v>
      </c>
      <c r="M318" s="216">
        <f t="shared" si="26"/>
        <v>1.0136512806571256</v>
      </c>
      <c r="N318" s="205">
        <v>333.07437000000141</v>
      </c>
      <c r="O318" s="204">
        <v>0.2</v>
      </c>
      <c r="P318" s="206">
        <v>3.883721381828068E-3</v>
      </c>
      <c r="Q318" s="204">
        <v>94.75800000000001</v>
      </c>
      <c r="R318" s="385">
        <v>0.503000000000003</v>
      </c>
      <c r="S318" s="205">
        <v>9.7675592752976478E-3</v>
      </c>
      <c r="T318" s="204" t="s">
        <v>405</v>
      </c>
      <c r="U318" s="204" t="s">
        <v>226</v>
      </c>
      <c r="V318" s="204"/>
      <c r="W318" s="211">
        <v>1</v>
      </c>
      <c r="X318" s="204" t="s">
        <v>423</v>
      </c>
    </row>
    <row r="319" spans="2:24">
      <c r="B319" s="663"/>
      <c r="C319" s="659"/>
      <c r="D319" s="239">
        <v>3</v>
      </c>
      <c r="E319" s="204" t="s">
        <v>664</v>
      </c>
      <c r="F319" s="205">
        <v>234.09899999999925</v>
      </c>
      <c r="G319" s="204">
        <v>57.575000000000003</v>
      </c>
      <c r="H319" s="204">
        <v>59</v>
      </c>
      <c r="I319" s="216">
        <f t="shared" si="24"/>
        <v>1.0247503256621797</v>
      </c>
      <c r="J319" s="204">
        <v>0</v>
      </c>
      <c r="K319" s="216">
        <f t="shared" si="25"/>
        <v>0</v>
      </c>
      <c r="L319" s="205">
        <v>253.08</v>
      </c>
      <c r="M319" s="216">
        <f t="shared" si="26"/>
        <v>1.0247503256621797</v>
      </c>
      <c r="N319" s="205">
        <v>360.63899999999927</v>
      </c>
      <c r="O319" s="204">
        <v>0.5</v>
      </c>
      <c r="P319" s="206">
        <v>8.6843247937472851E-3</v>
      </c>
      <c r="Q319" s="204">
        <v>126.54</v>
      </c>
      <c r="R319" s="385">
        <v>0.92499999999999716</v>
      </c>
      <c r="S319" s="205">
        <v>1.6066000868432431E-2</v>
      </c>
      <c r="T319" s="204" t="s">
        <v>405</v>
      </c>
      <c r="U319" s="204" t="s">
        <v>225</v>
      </c>
      <c r="V319" s="204"/>
      <c r="W319" s="211">
        <v>1</v>
      </c>
      <c r="X319" s="204" t="s">
        <v>489</v>
      </c>
    </row>
    <row r="320" spans="2:24">
      <c r="B320" s="663"/>
      <c r="C320" s="659"/>
      <c r="D320" s="239">
        <v>4</v>
      </c>
      <c r="E320" s="204" t="s">
        <v>437</v>
      </c>
      <c r="F320" s="205">
        <v>233.09040000000022</v>
      </c>
      <c r="G320" s="204">
        <v>4.806</v>
      </c>
      <c r="H320" s="204">
        <v>5.4</v>
      </c>
      <c r="I320" s="216">
        <f t="shared" si="24"/>
        <v>1.1235955056179776</v>
      </c>
      <c r="J320" s="204">
        <v>0</v>
      </c>
      <c r="K320" s="216">
        <f t="shared" si="25"/>
        <v>0</v>
      </c>
      <c r="L320" s="205">
        <v>591.6</v>
      </c>
      <c r="M320" s="216">
        <f t="shared" si="26"/>
        <v>1.1235955056179776</v>
      </c>
      <c r="N320" s="205">
        <v>351.41040000000021</v>
      </c>
      <c r="O320" s="204">
        <v>0.2</v>
      </c>
      <c r="P320" s="206">
        <v>4.161464835622139E-2</v>
      </c>
      <c r="Q320" s="204">
        <v>118.32000000000001</v>
      </c>
      <c r="R320" s="385">
        <v>0.39400000000000029</v>
      </c>
      <c r="S320" s="205">
        <v>8.1980857261756204E-2</v>
      </c>
      <c r="T320" s="204" t="s">
        <v>537</v>
      </c>
      <c r="U320" s="204" t="s">
        <v>522</v>
      </c>
      <c r="V320" s="204"/>
      <c r="W320" s="211">
        <v>1</v>
      </c>
      <c r="X320" s="204" t="s">
        <v>438</v>
      </c>
    </row>
    <row r="321" spans="2:24">
      <c r="B321" s="663"/>
      <c r="C321" s="659"/>
      <c r="D321" s="239">
        <v>5</v>
      </c>
      <c r="E321" s="204" t="s">
        <v>577</v>
      </c>
      <c r="F321" s="205">
        <v>212.68479999999994</v>
      </c>
      <c r="G321" s="204">
        <v>3.2040000000000002</v>
      </c>
      <c r="H321" s="204">
        <v>4</v>
      </c>
      <c r="I321" s="216">
        <f t="shared" si="24"/>
        <v>1.2484394506866416</v>
      </c>
      <c r="J321" s="204">
        <v>0</v>
      </c>
      <c r="K321" s="216">
        <f t="shared" si="25"/>
        <v>0</v>
      </c>
      <c r="L321" s="205">
        <v>428.8</v>
      </c>
      <c r="M321" s="216">
        <f t="shared" si="26"/>
        <v>1.2484394506866416</v>
      </c>
      <c r="N321" s="205">
        <v>341.32479999999993</v>
      </c>
      <c r="O321" s="204">
        <v>0.3</v>
      </c>
      <c r="P321" s="206">
        <v>9.363295880149812E-2</v>
      </c>
      <c r="Q321" s="204">
        <v>128.63999999999999</v>
      </c>
      <c r="R321" s="385">
        <v>0.49599999999999983</v>
      </c>
      <c r="S321" s="205">
        <v>0.1548064918851435</v>
      </c>
      <c r="T321" s="204" t="s">
        <v>537</v>
      </c>
      <c r="U321" s="204" t="s">
        <v>522</v>
      </c>
      <c r="V321" s="204"/>
      <c r="W321" s="211">
        <v>1</v>
      </c>
      <c r="X321" s="204" t="s">
        <v>438</v>
      </c>
    </row>
    <row r="322" spans="2:24">
      <c r="B322" s="663"/>
      <c r="C322" s="659"/>
      <c r="D322" s="239">
        <v>6</v>
      </c>
      <c r="E322" s="204" t="s">
        <v>528</v>
      </c>
      <c r="F322" s="205">
        <v>193.35180000000454</v>
      </c>
      <c r="G322" s="204">
        <v>82.74</v>
      </c>
      <c r="H322" s="204">
        <v>83.4</v>
      </c>
      <c r="I322" s="216">
        <f t="shared" si="24"/>
        <v>1.0079767947788254</v>
      </c>
      <c r="J322" s="204">
        <v>0</v>
      </c>
      <c r="K322" s="216">
        <f t="shared" si="25"/>
        <v>0</v>
      </c>
      <c r="L322" s="205">
        <v>420.33</v>
      </c>
      <c r="M322" s="216">
        <f t="shared" si="26"/>
        <v>1.0079767947788254</v>
      </c>
      <c r="N322" s="205">
        <v>277.41780000000455</v>
      </c>
      <c r="O322" s="204">
        <v>0.2</v>
      </c>
      <c r="P322" s="206">
        <v>2.4172105390379505E-3</v>
      </c>
      <c r="Q322" s="204">
        <v>84.066000000000003</v>
      </c>
      <c r="R322" s="385">
        <v>0.46000000000001079</v>
      </c>
      <c r="S322" s="205">
        <v>5.5595842397874158E-3</v>
      </c>
      <c r="T322" s="204" t="s">
        <v>405</v>
      </c>
      <c r="U322" s="204" t="s">
        <v>225</v>
      </c>
      <c r="V322" s="204"/>
      <c r="W322" s="211">
        <v>1</v>
      </c>
      <c r="X322" s="204" t="s">
        <v>487</v>
      </c>
    </row>
    <row r="323" spans="2:24">
      <c r="B323" s="663"/>
      <c r="C323" s="659"/>
      <c r="D323" s="239">
        <v>7</v>
      </c>
      <c r="E323" s="204" t="s">
        <v>416</v>
      </c>
      <c r="F323" s="205">
        <v>192.58025999999938</v>
      </c>
      <c r="G323" s="204">
        <v>19.146000000000001</v>
      </c>
      <c r="H323" s="204">
        <v>19.5</v>
      </c>
      <c r="I323" s="216">
        <f t="shared" si="24"/>
        <v>1.0184895017235975</v>
      </c>
      <c r="J323" s="204">
        <v>0</v>
      </c>
      <c r="K323" s="216">
        <f t="shared" si="25"/>
        <v>0</v>
      </c>
      <c r="L323" s="205">
        <v>758.19</v>
      </c>
      <c r="M323" s="216">
        <f t="shared" si="26"/>
        <v>1.0184895017235975</v>
      </c>
      <c r="N323" s="205">
        <v>268.3992599999994</v>
      </c>
      <c r="O323" s="204">
        <v>0.1</v>
      </c>
      <c r="P323" s="206">
        <v>5.2230230857620392E-3</v>
      </c>
      <c r="Q323" s="204">
        <v>75.819000000000003</v>
      </c>
      <c r="R323" s="385">
        <v>0.25399999999999923</v>
      </c>
      <c r="S323" s="205">
        <v>1.3266478637835538E-2</v>
      </c>
      <c r="T323" s="204" t="s">
        <v>405</v>
      </c>
      <c r="U323" s="204" t="s">
        <v>226</v>
      </c>
      <c r="V323" s="204"/>
      <c r="W323" s="211">
        <v>1</v>
      </c>
      <c r="X323" s="204" t="s">
        <v>417</v>
      </c>
    </row>
    <row r="324" spans="2:24">
      <c r="B324" s="663"/>
      <c r="C324" s="659"/>
      <c r="D324" s="239">
        <v>8</v>
      </c>
      <c r="E324" s="204" t="s">
        <v>407</v>
      </c>
      <c r="F324" s="205">
        <v>187.08563999999993</v>
      </c>
      <c r="G324" s="204">
        <v>81.034000000000006</v>
      </c>
      <c r="H324" s="204">
        <v>80.900000000000006</v>
      </c>
      <c r="I324" s="216">
        <f t="shared" si="24"/>
        <v>0.99834637312732921</v>
      </c>
      <c r="J324" s="204">
        <v>1</v>
      </c>
      <c r="K324" s="216">
        <f t="shared" si="25"/>
        <v>1.2340499049781573E-2</v>
      </c>
      <c r="L324" s="205">
        <v>330.54</v>
      </c>
      <c r="M324" s="216">
        <f t="shared" si="26"/>
        <v>1.0106868721771107</v>
      </c>
      <c r="N324" s="205">
        <v>286.24763999999993</v>
      </c>
      <c r="O324" s="204">
        <v>0.3</v>
      </c>
      <c r="P324" s="206">
        <v>3.7021497149344715E-3</v>
      </c>
      <c r="Q324" s="204">
        <v>99.162000000000006</v>
      </c>
      <c r="R324" s="385">
        <v>0.56599999999999961</v>
      </c>
      <c r="S324" s="205">
        <v>6.9847224621763654E-3</v>
      </c>
      <c r="T324" s="204" t="s">
        <v>405</v>
      </c>
      <c r="U324" s="204" t="s">
        <v>225</v>
      </c>
      <c r="V324" s="204"/>
      <c r="W324" s="211">
        <v>1</v>
      </c>
      <c r="X324" s="204" t="s">
        <v>408</v>
      </c>
    </row>
    <row r="325" spans="2:24">
      <c r="B325" s="663"/>
      <c r="C325" s="659"/>
      <c r="D325" s="239">
        <v>9</v>
      </c>
      <c r="E325" s="204" t="s">
        <v>525</v>
      </c>
      <c r="F325" s="205">
        <v>186.07200000000068</v>
      </c>
      <c r="G325" s="204">
        <v>13.2</v>
      </c>
      <c r="H325" s="204">
        <v>13.5</v>
      </c>
      <c r="I325" s="216">
        <f t="shared" si="24"/>
        <v>1.0227272727272727</v>
      </c>
      <c r="J325" s="204">
        <v>0</v>
      </c>
      <c r="K325" s="216">
        <f t="shared" si="25"/>
        <v>0</v>
      </c>
      <c r="L325" s="205">
        <v>930.36</v>
      </c>
      <c r="M325" s="216">
        <f t="shared" si="26"/>
        <v>1.0227272727272727</v>
      </c>
      <c r="N325" s="205">
        <v>279.10800000000069</v>
      </c>
      <c r="O325" s="204">
        <v>0.1</v>
      </c>
      <c r="P325" s="206">
        <v>7.5757575757575768E-3</v>
      </c>
      <c r="Q325" s="204">
        <v>93.036000000000001</v>
      </c>
      <c r="R325" s="385">
        <v>0.2000000000000007</v>
      </c>
      <c r="S325" s="205">
        <v>1.5151515151515206E-2</v>
      </c>
      <c r="T325" s="204" t="s">
        <v>405</v>
      </c>
      <c r="U325" s="204" t="s">
        <v>225</v>
      </c>
      <c r="V325" s="204"/>
      <c r="W325" s="211">
        <v>1</v>
      </c>
      <c r="X325" s="204" t="s">
        <v>474</v>
      </c>
    </row>
    <row r="326" spans="2:24">
      <c r="B326" s="663"/>
      <c r="C326" s="659"/>
      <c r="D326" s="239">
        <v>10</v>
      </c>
      <c r="E326" s="204" t="s">
        <v>432</v>
      </c>
      <c r="F326" s="205">
        <v>182.79180000000011</v>
      </c>
      <c r="G326" s="204">
        <v>4.2539999999999996</v>
      </c>
      <c r="H326" s="204">
        <v>4.8</v>
      </c>
      <c r="I326" s="216">
        <f t="shared" si="24"/>
        <v>1.1283497884344147</v>
      </c>
      <c r="J326" s="204">
        <v>0</v>
      </c>
      <c r="K326" s="216">
        <f t="shared" si="25"/>
        <v>0</v>
      </c>
      <c r="L326" s="205">
        <v>528.29999999999995</v>
      </c>
      <c r="M326" s="216">
        <f t="shared" si="26"/>
        <v>1.1283497884344147</v>
      </c>
      <c r="N326" s="205">
        <v>288.45180000000011</v>
      </c>
      <c r="O326" s="204">
        <v>0.2</v>
      </c>
      <c r="P326" s="206">
        <v>4.7014574518100621E-2</v>
      </c>
      <c r="Q326" s="204">
        <v>105.66</v>
      </c>
      <c r="R326" s="385">
        <v>0.34600000000000025</v>
      </c>
      <c r="S326" s="205">
        <v>8.1335213916314125E-2</v>
      </c>
      <c r="T326" s="204" t="s">
        <v>405</v>
      </c>
      <c r="U326" s="204" t="s">
        <v>225</v>
      </c>
      <c r="V326" s="204"/>
      <c r="W326" s="211">
        <v>1</v>
      </c>
      <c r="X326" s="204" t="s">
        <v>612</v>
      </c>
    </row>
    <row r="327" spans="2:24">
      <c r="B327" s="662">
        <v>45902</v>
      </c>
      <c r="C327" s="660" t="s">
        <v>947</v>
      </c>
      <c r="D327" s="239">
        <v>1</v>
      </c>
      <c r="E327" s="204" t="s">
        <v>937</v>
      </c>
      <c r="F327" s="205">
        <v>6666.9452000000056</v>
      </c>
      <c r="G327" s="204">
        <v>233.55799999999999</v>
      </c>
      <c r="H327" s="204">
        <v>210.6</v>
      </c>
      <c r="I327" s="216">
        <f t="shared" si="24"/>
        <v>0.90170321718802182</v>
      </c>
      <c r="J327" s="204">
        <v>46.2</v>
      </c>
      <c r="K327" s="216">
        <f t="shared" si="25"/>
        <v>0.19780953767372561</v>
      </c>
      <c r="L327" s="205">
        <v>290.60000000000002</v>
      </c>
      <c r="M327" s="216">
        <f t="shared" si="26"/>
        <v>1.0995127548617474</v>
      </c>
      <c r="N327" s="205">
        <v>6754.1252000000059</v>
      </c>
      <c r="O327" s="204">
        <v>0.3</v>
      </c>
      <c r="P327" s="206">
        <v>1.2844775173618545E-3</v>
      </c>
      <c r="Q327" s="204">
        <v>87.18</v>
      </c>
      <c r="R327" s="385">
        <v>22.942000000000018</v>
      </c>
      <c r="S327" s="205">
        <v>9.8228277344385634E-2</v>
      </c>
      <c r="T327" s="204" t="s">
        <v>405</v>
      </c>
      <c r="U327" s="204" t="s">
        <v>225</v>
      </c>
      <c r="V327" s="204"/>
      <c r="W327" s="211">
        <v>1</v>
      </c>
      <c r="X327" s="204" t="s">
        <v>834</v>
      </c>
    </row>
    <row r="328" spans="2:24">
      <c r="B328" s="663"/>
      <c r="C328" s="659"/>
      <c r="D328" s="239">
        <v>2</v>
      </c>
      <c r="E328" s="204" t="s">
        <v>422</v>
      </c>
      <c r="F328" s="205">
        <v>260.36478000000125</v>
      </c>
      <c r="G328" s="204">
        <v>293.69799999999998</v>
      </c>
      <c r="H328" s="204">
        <v>296.7</v>
      </c>
      <c r="I328" s="216">
        <f t="shared" ref="I328:I391" si="27">H328/G328</f>
        <v>1.0102213838705065</v>
      </c>
      <c r="J328" s="204">
        <v>0</v>
      </c>
      <c r="K328" s="216">
        <f t="shared" ref="K328:K391" si="28">J328/G328</f>
        <v>0</v>
      </c>
      <c r="L328" s="205">
        <v>136.88999999999999</v>
      </c>
      <c r="M328" s="216">
        <f t="shared" ref="M328:M391" si="29">(H328+J328)/G328</f>
        <v>1.0102213838705065</v>
      </c>
      <c r="N328" s="205">
        <v>410.94378000000125</v>
      </c>
      <c r="O328" s="204">
        <v>1.1000000000000001</v>
      </c>
      <c r="P328" s="206">
        <v>3.7453438566146182E-3</v>
      </c>
      <c r="Q328" s="204">
        <v>150.57900000000001</v>
      </c>
      <c r="R328" s="385">
        <v>1.9020000000000095</v>
      </c>
      <c r="S328" s="205">
        <v>6.4760400138918536E-3</v>
      </c>
      <c r="T328" s="204" t="s">
        <v>405</v>
      </c>
      <c r="U328" s="204" t="s">
        <v>225</v>
      </c>
      <c r="V328" s="204"/>
      <c r="W328" s="211">
        <v>1</v>
      </c>
      <c r="X328" s="204" t="s">
        <v>423</v>
      </c>
    </row>
    <row r="329" spans="2:24">
      <c r="B329" s="663"/>
      <c r="C329" s="659"/>
      <c r="D329" s="239">
        <v>3</v>
      </c>
      <c r="E329" s="204" t="s">
        <v>673</v>
      </c>
      <c r="F329" s="205">
        <v>254.62000000000012</v>
      </c>
      <c r="G329" s="204">
        <v>0.31219999999999998</v>
      </c>
      <c r="H329" s="204">
        <v>0.4</v>
      </c>
      <c r="I329" s="216">
        <f t="shared" si="27"/>
        <v>1.2812299807815504</v>
      </c>
      <c r="J329" s="204">
        <v>0</v>
      </c>
      <c r="K329" s="216">
        <f t="shared" si="28"/>
        <v>0</v>
      </c>
      <c r="L329" s="205">
        <v>2900</v>
      </c>
      <c r="M329" s="216">
        <f t="shared" si="29"/>
        <v>1.2812299807815504</v>
      </c>
      <c r="N329" s="205">
        <v>254.62000000000012</v>
      </c>
      <c r="O329" s="204">
        <v>0</v>
      </c>
      <c r="P329" s="206">
        <v>0</v>
      </c>
      <c r="Q329" s="204">
        <v>0</v>
      </c>
      <c r="R329" s="385">
        <v>8.7800000000000045E-2</v>
      </c>
      <c r="S329" s="205">
        <v>0.28122998078155043</v>
      </c>
      <c r="T329" s="204" t="s">
        <v>405</v>
      </c>
      <c r="U329" s="204" t="s">
        <v>225</v>
      </c>
      <c r="V329" s="204"/>
      <c r="W329" s="211">
        <v>1</v>
      </c>
      <c r="X329" s="204" t="s">
        <v>660</v>
      </c>
    </row>
    <row r="330" spans="2:24">
      <c r="B330" s="663"/>
      <c r="C330" s="659"/>
      <c r="D330" s="239">
        <v>4</v>
      </c>
      <c r="E330" s="204" t="s">
        <v>525</v>
      </c>
      <c r="F330" s="205">
        <v>253.05791999999991</v>
      </c>
      <c r="G330" s="204">
        <v>12.628</v>
      </c>
      <c r="H330" s="204">
        <v>13</v>
      </c>
      <c r="I330" s="216">
        <f t="shared" si="27"/>
        <v>1.0294583465315172</v>
      </c>
      <c r="J330" s="204">
        <v>0</v>
      </c>
      <c r="K330" s="216">
        <f t="shared" si="28"/>
        <v>0</v>
      </c>
      <c r="L330" s="205">
        <v>930.36</v>
      </c>
      <c r="M330" s="216">
        <f t="shared" si="29"/>
        <v>1.0294583465315172</v>
      </c>
      <c r="N330" s="205">
        <v>346.09391999999991</v>
      </c>
      <c r="O330" s="204">
        <v>0.1</v>
      </c>
      <c r="P330" s="206">
        <v>7.918910357934749E-3</v>
      </c>
      <c r="Q330" s="204">
        <v>93.036000000000001</v>
      </c>
      <c r="R330" s="385">
        <v>0.27199999999999991</v>
      </c>
      <c r="S330" s="205">
        <v>2.1539436173582508E-2</v>
      </c>
      <c r="T330" s="204" t="s">
        <v>405</v>
      </c>
      <c r="U330" s="204" t="s">
        <v>226</v>
      </c>
      <c r="V330" s="204"/>
      <c r="W330" s="211">
        <v>1</v>
      </c>
      <c r="X330" s="204" t="s">
        <v>474</v>
      </c>
    </row>
    <row r="331" spans="2:24">
      <c r="B331" s="663"/>
      <c r="C331" s="659"/>
      <c r="D331" s="239">
        <v>5</v>
      </c>
      <c r="E331" s="204" t="s">
        <v>430</v>
      </c>
      <c r="F331" s="205">
        <v>240.12111000000101</v>
      </c>
      <c r="G331" s="204">
        <v>58.652999999999999</v>
      </c>
      <c r="H331" s="204">
        <v>59.6</v>
      </c>
      <c r="I331" s="216">
        <f t="shared" si="27"/>
        <v>1.0161458066936049</v>
      </c>
      <c r="J331" s="204">
        <v>0</v>
      </c>
      <c r="K331" s="216">
        <f t="shared" si="28"/>
        <v>0</v>
      </c>
      <c r="L331" s="205">
        <v>371.13</v>
      </c>
      <c r="M331" s="216">
        <f t="shared" si="29"/>
        <v>1.0161458066936049</v>
      </c>
      <c r="N331" s="205">
        <v>351.46011000000101</v>
      </c>
      <c r="O331" s="204">
        <v>0.3</v>
      </c>
      <c r="P331" s="206">
        <v>5.1148278860416348E-3</v>
      </c>
      <c r="Q331" s="204">
        <v>111.339</v>
      </c>
      <c r="R331" s="385">
        <v>0.64700000000000268</v>
      </c>
      <c r="S331" s="205">
        <v>1.1030978807563171E-2</v>
      </c>
      <c r="T331" s="204" t="s">
        <v>402</v>
      </c>
      <c r="U331" s="204" t="s">
        <v>224</v>
      </c>
      <c r="V331" s="204"/>
      <c r="W331" s="211">
        <v>1</v>
      </c>
      <c r="X331" s="204" t="s">
        <v>494</v>
      </c>
    </row>
    <row r="332" spans="2:24">
      <c r="B332" s="663"/>
      <c r="C332" s="659"/>
      <c r="D332" s="239">
        <v>6</v>
      </c>
      <c r="E332" s="204" t="s">
        <v>545</v>
      </c>
      <c r="F332" s="205">
        <v>218.70368000000059</v>
      </c>
      <c r="G332" s="204">
        <v>25.584</v>
      </c>
      <c r="H332" s="204">
        <v>26.3</v>
      </c>
      <c r="I332" s="216">
        <f t="shared" si="27"/>
        <v>1.0279862414008756</v>
      </c>
      <c r="J332" s="204">
        <v>0</v>
      </c>
      <c r="K332" s="216">
        <f t="shared" si="28"/>
        <v>0</v>
      </c>
      <c r="L332" s="205">
        <v>525.73</v>
      </c>
      <c r="M332" s="216">
        <f t="shared" si="29"/>
        <v>1.0279862414008756</v>
      </c>
      <c r="N332" s="205">
        <v>376.42268000000058</v>
      </c>
      <c r="O332" s="204">
        <v>0.3</v>
      </c>
      <c r="P332" s="206">
        <v>1.172607879924953E-2</v>
      </c>
      <c r="Q332" s="204">
        <v>157.71899999999999</v>
      </c>
      <c r="R332" s="385">
        <v>0.41600000000000109</v>
      </c>
      <c r="S332" s="205">
        <v>1.626016260162606E-2</v>
      </c>
      <c r="T332" s="204" t="s">
        <v>405</v>
      </c>
      <c r="U332" s="204" t="s">
        <v>226</v>
      </c>
      <c r="V332" s="204"/>
      <c r="W332" s="211">
        <v>1</v>
      </c>
      <c r="X332" s="204" t="s">
        <v>517</v>
      </c>
    </row>
    <row r="333" spans="2:24">
      <c r="B333" s="663"/>
      <c r="C333" s="659"/>
      <c r="D333" s="239">
        <v>7</v>
      </c>
      <c r="E333" s="204" t="s">
        <v>569</v>
      </c>
      <c r="F333" s="205">
        <v>212.7317100000011</v>
      </c>
      <c r="G333" s="204">
        <v>46.850999999999999</v>
      </c>
      <c r="H333" s="204">
        <v>47.6</v>
      </c>
      <c r="I333" s="216">
        <f t="shared" si="27"/>
        <v>1.0159868519348574</v>
      </c>
      <c r="J333" s="204">
        <v>0</v>
      </c>
      <c r="K333" s="216">
        <f t="shared" si="28"/>
        <v>0</v>
      </c>
      <c r="L333" s="205">
        <v>473.79</v>
      </c>
      <c r="M333" s="216">
        <f t="shared" si="29"/>
        <v>1.0159868519348574</v>
      </c>
      <c r="N333" s="205">
        <v>354.8687100000011</v>
      </c>
      <c r="O333" s="204">
        <v>0.3</v>
      </c>
      <c r="P333" s="206">
        <v>6.4032784785810334E-3</v>
      </c>
      <c r="Q333" s="204">
        <v>142.137</v>
      </c>
      <c r="R333" s="385">
        <v>0.44900000000000234</v>
      </c>
      <c r="S333" s="205">
        <v>9.5835734562763307E-3</v>
      </c>
      <c r="T333" s="204" t="s">
        <v>405</v>
      </c>
      <c r="U333" s="204" t="s">
        <v>226</v>
      </c>
      <c r="V333" s="204"/>
      <c r="W333" s="211">
        <v>1</v>
      </c>
      <c r="X333" s="204" t="s">
        <v>423</v>
      </c>
    </row>
    <row r="334" spans="2:24">
      <c r="B334" s="663"/>
      <c r="C334" s="659"/>
      <c r="D334" s="239">
        <v>8</v>
      </c>
      <c r="E334" s="204" t="s">
        <v>433</v>
      </c>
      <c r="F334" s="205">
        <v>207.74544</v>
      </c>
      <c r="G334" s="204">
        <v>22.742999999999999</v>
      </c>
      <c r="H334" s="204">
        <v>23.4</v>
      </c>
      <c r="I334" s="216">
        <f t="shared" si="27"/>
        <v>1.0288880094974278</v>
      </c>
      <c r="J334" s="204">
        <v>0</v>
      </c>
      <c r="K334" s="216">
        <f t="shared" si="28"/>
        <v>0</v>
      </c>
      <c r="L334" s="205">
        <v>581.91999999999996</v>
      </c>
      <c r="M334" s="216">
        <f t="shared" si="29"/>
        <v>1.0288880094974278</v>
      </c>
      <c r="N334" s="205">
        <v>382.32144</v>
      </c>
      <c r="O334" s="204">
        <v>0.3</v>
      </c>
      <c r="P334" s="206">
        <v>1.3190871916633691E-2</v>
      </c>
      <c r="Q334" s="204">
        <v>174.57599999999999</v>
      </c>
      <c r="R334" s="385">
        <v>0.35700000000000004</v>
      </c>
      <c r="S334" s="205">
        <v>1.5697137580794093E-2</v>
      </c>
      <c r="T334" s="204" t="s">
        <v>402</v>
      </c>
      <c r="U334" s="204" t="s">
        <v>224</v>
      </c>
      <c r="V334" s="204"/>
      <c r="W334" s="211">
        <v>1</v>
      </c>
      <c r="X334" s="204" t="s">
        <v>434</v>
      </c>
    </row>
    <row r="335" spans="2:24">
      <c r="B335" s="663"/>
      <c r="C335" s="659"/>
      <c r="D335" s="239">
        <v>9</v>
      </c>
      <c r="E335" s="204" t="s">
        <v>401</v>
      </c>
      <c r="F335" s="205">
        <v>203.14559999999989</v>
      </c>
      <c r="G335" s="204">
        <v>6.66</v>
      </c>
      <c r="H335" s="204">
        <v>7</v>
      </c>
      <c r="I335" s="216">
        <f t="shared" si="27"/>
        <v>1.0510510510510511</v>
      </c>
      <c r="J335" s="204">
        <v>0</v>
      </c>
      <c r="K335" s="216">
        <f t="shared" si="28"/>
        <v>0</v>
      </c>
      <c r="L335" s="205">
        <v>846.44</v>
      </c>
      <c r="M335" s="216">
        <f t="shared" si="29"/>
        <v>1.0510510510510511</v>
      </c>
      <c r="N335" s="205">
        <v>287.78959999999989</v>
      </c>
      <c r="O335" s="204">
        <v>0.1</v>
      </c>
      <c r="P335" s="206">
        <v>1.5015015015015015E-2</v>
      </c>
      <c r="Q335" s="204">
        <v>84.644000000000005</v>
      </c>
      <c r="R335" s="385">
        <v>0.23999999999999985</v>
      </c>
      <c r="S335" s="205">
        <v>3.6036036036036015E-2</v>
      </c>
      <c r="T335" s="204" t="s">
        <v>419</v>
      </c>
      <c r="U335" s="204" t="s">
        <v>420</v>
      </c>
      <c r="V335" s="204"/>
      <c r="W335" s="211">
        <v>1</v>
      </c>
      <c r="X335" s="204" t="s">
        <v>403</v>
      </c>
    </row>
    <row r="336" spans="2:24">
      <c r="B336" s="663"/>
      <c r="C336" s="659"/>
      <c r="D336" s="239">
        <v>10</v>
      </c>
      <c r="E336" s="204" t="s">
        <v>961</v>
      </c>
      <c r="F336" s="205">
        <v>188.5876999999997</v>
      </c>
      <c r="G336" s="204">
        <v>33.494999999999997</v>
      </c>
      <c r="H336" s="204">
        <v>33.799999999999997</v>
      </c>
      <c r="I336" s="216">
        <f t="shared" si="27"/>
        <v>1.0091058366920436</v>
      </c>
      <c r="J336" s="204">
        <v>0</v>
      </c>
      <c r="K336" s="216">
        <f t="shared" si="28"/>
        <v>0</v>
      </c>
      <c r="L336" s="205">
        <v>919.94</v>
      </c>
      <c r="M336" s="216">
        <f t="shared" si="29"/>
        <v>1.0091058366920436</v>
      </c>
      <c r="N336" s="205">
        <v>280.58169999999973</v>
      </c>
      <c r="O336" s="204">
        <v>0.1</v>
      </c>
      <c r="P336" s="206">
        <v>2.9855202268995375E-3</v>
      </c>
      <c r="Q336" s="204">
        <v>91.994000000000014</v>
      </c>
      <c r="R336" s="385">
        <v>0.20499999999999971</v>
      </c>
      <c r="S336" s="205">
        <v>6.1203164651440429E-3</v>
      </c>
      <c r="T336" s="204" t="s">
        <v>405</v>
      </c>
      <c r="U336" s="204" t="s">
        <v>225</v>
      </c>
      <c r="V336" s="204"/>
      <c r="W336" s="211">
        <v>1</v>
      </c>
      <c r="X336" s="204" t="s">
        <v>962</v>
      </c>
    </row>
    <row r="337" spans="2:24">
      <c r="B337" s="662">
        <v>45903</v>
      </c>
      <c r="C337" s="660" t="s">
        <v>950</v>
      </c>
      <c r="D337" s="239">
        <v>1</v>
      </c>
      <c r="E337" s="204" t="s">
        <v>937</v>
      </c>
      <c r="F337" s="205">
        <v>3985.2883999999967</v>
      </c>
      <c r="G337" s="204">
        <v>143.286</v>
      </c>
      <c r="H337" s="204">
        <v>140.1</v>
      </c>
      <c r="I337" s="216">
        <f t="shared" si="27"/>
        <v>0.97776475021984</v>
      </c>
      <c r="J337" s="204">
        <v>17.600000000000001</v>
      </c>
      <c r="K337" s="216">
        <f t="shared" si="28"/>
        <v>0.12283126055581146</v>
      </c>
      <c r="L337" s="205">
        <v>290.60000000000002</v>
      </c>
      <c r="M337" s="216">
        <f t="shared" si="29"/>
        <v>1.1005960107756514</v>
      </c>
      <c r="N337" s="205">
        <v>4188.7083999999968</v>
      </c>
      <c r="O337" s="204">
        <v>0.7</v>
      </c>
      <c r="P337" s="206">
        <v>4.8853342266515914E-3</v>
      </c>
      <c r="Q337" s="204">
        <v>203.42000000000002</v>
      </c>
      <c r="R337" s="385">
        <v>13.713999999999988</v>
      </c>
      <c r="S337" s="205">
        <v>9.5710676548999812E-2</v>
      </c>
      <c r="T337" s="204" t="s">
        <v>405</v>
      </c>
      <c r="U337" s="204" t="s">
        <v>225</v>
      </c>
      <c r="V337" s="204"/>
      <c r="W337" s="211">
        <v>1</v>
      </c>
      <c r="X337" s="204" t="s">
        <v>834</v>
      </c>
    </row>
    <row r="338" spans="2:24">
      <c r="B338" s="663"/>
      <c r="C338" s="659"/>
      <c r="D338" s="239">
        <v>2</v>
      </c>
      <c r="E338" s="204" t="s">
        <v>963</v>
      </c>
      <c r="F338" s="205">
        <v>275.85619999999648</v>
      </c>
      <c r="G338" s="204">
        <v>18.536000000000001</v>
      </c>
      <c r="H338" s="204">
        <v>18.7</v>
      </c>
      <c r="I338" s="216">
        <f t="shared" si="27"/>
        <v>1.0088476478204573</v>
      </c>
      <c r="J338" s="204">
        <v>0</v>
      </c>
      <c r="K338" s="216">
        <f t="shared" si="28"/>
        <v>0</v>
      </c>
      <c r="L338" s="205">
        <v>1682.05</v>
      </c>
      <c r="M338" s="216">
        <f t="shared" si="29"/>
        <v>1.0088476478204573</v>
      </c>
      <c r="N338" s="205">
        <v>275.85619999999648</v>
      </c>
      <c r="O338" s="204">
        <v>0</v>
      </c>
      <c r="P338" s="206">
        <v>0</v>
      </c>
      <c r="Q338" s="204">
        <v>0</v>
      </c>
      <c r="R338" s="385">
        <v>0.16399999999999793</v>
      </c>
      <c r="S338" s="205">
        <v>8.8476478204573758E-3</v>
      </c>
      <c r="T338" s="204" t="s">
        <v>402</v>
      </c>
      <c r="U338" s="204" t="s">
        <v>224</v>
      </c>
      <c r="V338" s="204"/>
      <c r="W338" s="211">
        <v>1</v>
      </c>
      <c r="X338" s="204" t="s">
        <v>964</v>
      </c>
    </row>
    <row r="339" spans="2:24">
      <c r="B339" s="663"/>
      <c r="C339" s="659"/>
      <c r="D339" s="239">
        <v>3</v>
      </c>
      <c r="E339" s="204" t="s">
        <v>673</v>
      </c>
      <c r="F339" s="205">
        <v>265.06000000000012</v>
      </c>
      <c r="G339" s="204">
        <v>0.30859999999999999</v>
      </c>
      <c r="H339" s="204">
        <v>0.4</v>
      </c>
      <c r="I339" s="216">
        <f t="shared" si="27"/>
        <v>1.2961762799740766</v>
      </c>
      <c r="J339" s="204">
        <v>0</v>
      </c>
      <c r="K339" s="216">
        <f t="shared" si="28"/>
        <v>0</v>
      </c>
      <c r="L339" s="205">
        <v>2900</v>
      </c>
      <c r="M339" s="216">
        <f t="shared" si="29"/>
        <v>1.2961762799740766</v>
      </c>
      <c r="N339" s="205">
        <v>265.06000000000012</v>
      </c>
      <c r="O339" s="204">
        <v>0</v>
      </c>
      <c r="P339" s="206">
        <v>0</v>
      </c>
      <c r="Q339" s="204">
        <v>0</v>
      </c>
      <c r="R339" s="385">
        <v>9.1400000000000037E-2</v>
      </c>
      <c r="S339" s="205">
        <v>0.29617627997407658</v>
      </c>
      <c r="T339" s="204" t="s">
        <v>405</v>
      </c>
      <c r="U339" s="204" t="s">
        <v>225</v>
      </c>
      <c r="V339" s="204"/>
      <c r="W339" s="211">
        <v>1</v>
      </c>
      <c r="X339" s="204" t="s">
        <v>660</v>
      </c>
    </row>
    <row r="340" spans="2:24">
      <c r="B340" s="663"/>
      <c r="C340" s="659"/>
      <c r="D340" s="239">
        <v>4</v>
      </c>
      <c r="E340" s="204" t="s">
        <v>525</v>
      </c>
      <c r="F340" s="205">
        <v>248.4061200000005</v>
      </c>
      <c r="G340" s="204">
        <v>11.032999999999999</v>
      </c>
      <c r="H340" s="204">
        <v>11.5</v>
      </c>
      <c r="I340" s="216">
        <f t="shared" si="27"/>
        <v>1.0423275627662467</v>
      </c>
      <c r="J340" s="204">
        <v>0</v>
      </c>
      <c r="K340" s="216">
        <f t="shared" si="28"/>
        <v>0</v>
      </c>
      <c r="L340" s="205">
        <v>930.36</v>
      </c>
      <c r="M340" s="216">
        <f t="shared" si="29"/>
        <v>1.0423275627662467</v>
      </c>
      <c r="N340" s="205">
        <v>434.4781200000005</v>
      </c>
      <c r="O340" s="204">
        <v>0.2</v>
      </c>
      <c r="P340" s="206">
        <v>1.8127435874195599E-2</v>
      </c>
      <c r="Q340" s="204">
        <v>186.072</v>
      </c>
      <c r="R340" s="385">
        <v>0.26700000000000051</v>
      </c>
      <c r="S340" s="205">
        <v>2.4200126892051168E-2</v>
      </c>
      <c r="T340" s="204" t="s">
        <v>405</v>
      </c>
      <c r="U340" s="204" t="s">
        <v>225</v>
      </c>
      <c r="V340" s="204"/>
      <c r="W340" s="211">
        <v>1</v>
      </c>
      <c r="X340" s="204" t="s">
        <v>474</v>
      </c>
    </row>
    <row r="341" spans="2:24">
      <c r="B341" s="663"/>
      <c r="C341" s="659"/>
      <c r="D341" s="239">
        <v>5</v>
      </c>
      <c r="E341" s="204" t="s">
        <v>433</v>
      </c>
      <c r="F341" s="205">
        <v>222.29343999999833</v>
      </c>
      <c r="G341" s="204">
        <v>21.318000000000001</v>
      </c>
      <c r="H341" s="204">
        <v>21.9</v>
      </c>
      <c r="I341" s="216">
        <f t="shared" si="27"/>
        <v>1.0273008725021107</v>
      </c>
      <c r="J341" s="204">
        <v>0</v>
      </c>
      <c r="K341" s="216">
        <f t="shared" si="28"/>
        <v>0</v>
      </c>
      <c r="L341" s="205">
        <v>581.91999999999996</v>
      </c>
      <c r="M341" s="216">
        <f t="shared" si="29"/>
        <v>1.0273008725021107</v>
      </c>
      <c r="N341" s="205">
        <v>338.67743999999834</v>
      </c>
      <c r="O341" s="204">
        <v>0.2</v>
      </c>
      <c r="P341" s="206">
        <v>9.3817431278731579E-3</v>
      </c>
      <c r="Q341" s="204">
        <v>116.384</v>
      </c>
      <c r="R341" s="385">
        <v>0.38199999999999718</v>
      </c>
      <c r="S341" s="205">
        <v>1.7919129374237598E-2</v>
      </c>
      <c r="T341" s="204" t="s">
        <v>402</v>
      </c>
      <c r="U341" s="204" t="s">
        <v>224</v>
      </c>
      <c r="V341" s="204"/>
      <c r="W341" s="211">
        <v>1</v>
      </c>
      <c r="X341" s="204" t="s">
        <v>434</v>
      </c>
    </row>
    <row r="342" spans="2:24">
      <c r="B342" s="663"/>
      <c r="C342" s="659"/>
      <c r="D342" s="239">
        <v>6</v>
      </c>
      <c r="E342" s="204" t="s">
        <v>528</v>
      </c>
      <c r="F342" s="205">
        <v>212.2666499999969</v>
      </c>
      <c r="G342" s="204">
        <v>92.295000000000002</v>
      </c>
      <c r="H342" s="204">
        <v>91.8</v>
      </c>
      <c r="I342" s="216">
        <f t="shared" si="27"/>
        <v>0.99463676255485123</v>
      </c>
      <c r="J342" s="204">
        <v>1.3</v>
      </c>
      <c r="K342" s="216">
        <f t="shared" si="28"/>
        <v>1.4085270057966304E-2</v>
      </c>
      <c r="L342" s="205">
        <v>420.33</v>
      </c>
      <c r="M342" s="216">
        <f t="shared" si="29"/>
        <v>1.0087220326128175</v>
      </c>
      <c r="N342" s="205">
        <v>338.36564999999689</v>
      </c>
      <c r="O342" s="204">
        <v>0.3</v>
      </c>
      <c r="P342" s="206">
        <v>3.2504469364537623E-3</v>
      </c>
      <c r="Q342" s="204">
        <v>126.09899999999999</v>
      </c>
      <c r="R342" s="385">
        <v>0.50499999999999257</v>
      </c>
      <c r="S342" s="205">
        <v>5.4715856763637525E-3</v>
      </c>
      <c r="T342" s="204" t="s">
        <v>405</v>
      </c>
      <c r="U342" s="204" t="s">
        <v>225</v>
      </c>
      <c r="V342" s="204"/>
      <c r="W342" s="211">
        <v>1</v>
      </c>
      <c r="X342" s="204" t="s">
        <v>487</v>
      </c>
    </row>
    <row r="343" spans="2:24">
      <c r="B343" s="663"/>
      <c r="C343" s="659"/>
      <c r="D343" s="239">
        <v>7</v>
      </c>
      <c r="E343" s="204" t="s">
        <v>599</v>
      </c>
      <c r="F343" s="205">
        <v>207.31408000000079</v>
      </c>
      <c r="G343" s="204">
        <v>24.533999999999999</v>
      </c>
      <c r="H343" s="204">
        <v>25.3</v>
      </c>
      <c r="I343" s="216">
        <f t="shared" si="27"/>
        <v>1.0312219776636504</v>
      </c>
      <c r="J343" s="204">
        <v>0</v>
      </c>
      <c r="K343" s="216">
        <f t="shared" si="28"/>
        <v>0</v>
      </c>
      <c r="L343" s="205">
        <v>444.88</v>
      </c>
      <c r="M343" s="216">
        <f t="shared" si="29"/>
        <v>1.0312219776636504</v>
      </c>
      <c r="N343" s="205">
        <v>340.77808000000078</v>
      </c>
      <c r="O343" s="204">
        <v>0.3</v>
      </c>
      <c r="P343" s="206">
        <v>1.2227928588897041E-2</v>
      </c>
      <c r="Q343" s="204">
        <v>133.464</v>
      </c>
      <c r="R343" s="385">
        <v>0.4660000000000018</v>
      </c>
      <c r="S343" s="205">
        <v>1.8994049074753477E-2</v>
      </c>
      <c r="T343" s="204" t="s">
        <v>405</v>
      </c>
      <c r="U343" s="204" t="s">
        <v>226</v>
      </c>
      <c r="V343" s="204"/>
      <c r="W343" s="211">
        <v>1</v>
      </c>
      <c r="X343" s="204" t="s">
        <v>598</v>
      </c>
    </row>
    <row r="344" spans="2:24">
      <c r="B344" s="663"/>
      <c r="C344" s="659"/>
      <c r="D344" s="239">
        <v>8</v>
      </c>
      <c r="E344" s="204" t="s">
        <v>569</v>
      </c>
      <c r="F344" s="205">
        <v>205.15107000000057</v>
      </c>
      <c r="G344" s="204">
        <v>44.366999999999997</v>
      </c>
      <c r="H344" s="204">
        <v>44.9</v>
      </c>
      <c r="I344" s="216">
        <f t="shared" si="27"/>
        <v>1.0120134334077129</v>
      </c>
      <c r="J344" s="204">
        <v>0</v>
      </c>
      <c r="K344" s="216">
        <f t="shared" si="28"/>
        <v>0</v>
      </c>
      <c r="L344" s="205">
        <v>473.79</v>
      </c>
      <c r="M344" s="216">
        <f t="shared" si="29"/>
        <v>1.0120134334077129</v>
      </c>
      <c r="N344" s="205">
        <v>252.53007000000059</v>
      </c>
      <c r="O344" s="204">
        <v>0.1</v>
      </c>
      <c r="P344" s="206">
        <v>2.2539274686140601E-3</v>
      </c>
      <c r="Q344" s="204">
        <v>47.379000000000005</v>
      </c>
      <c r="R344" s="385">
        <v>0.43300000000000127</v>
      </c>
      <c r="S344" s="205">
        <v>9.7595059390989097E-3</v>
      </c>
      <c r="T344" s="204" t="s">
        <v>405</v>
      </c>
      <c r="U344" s="204" t="s">
        <v>226</v>
      </c>
      <c r="V344" s="204"/>
      <c r="W344" s="211">
        <v>1</v>
      </c>
      <c r="X344" s="204" t="s">
        <v>423</v>
      </c>
    </row>
    <row r="345" spans="2:24">
      <c r="B345" s="663"/>
      <c r="C345" s="659"/>
      <c r="D345" s="239">
        <v>9</v>
      </c>
      <c r="E345" s="204" t="s">
        <v>545</v>
      </c>
      <c r="F345" s="205">
        <v>189.26279999999934</v>
      </c>
      <c r="G345" s="204">
        <v>24.84</v>
      </c>
      <c r="H345" s="204">
        <v>25.4</v>
      </c>
      <c r="I345" s="216">
        <f t="shared" si="27"/>
        <v>1.0225442834138485</v>
      </c>
      <c r="J345" s="204">
        <v>0</v>
      </c>
      <c r="K345" s="216">
        <f t="shared" si="28"/>
        <v>0</v>
      </c>
      <c r="L345" s="205">
        <v>525.73</v>
      </c>
      <c r="M345" s="216">
        <f t="shared" si="29"/>
        <v>1.0225442834138485</v>
      </c>
      <c r="N345" s="205">
        <v>294.40879999999936</v>
      </c>
      <c r="O345" s="204">
        <v>0.2</v>
      </c>
      <c r="P345" s="206">
        <v>8.0515297906602265E-3</v>
      </c>
      <c r="Q345" s="204">
        <v>105.14600000000002</v>
      </c>
      <c r="R345" s="385">
        <v>0.35999999999999871</v>
      </c>
      <c r="S345" s="205">
        <v>1.4492753623188354E-2</v>
      </c>
      <c r="T345" s="204" t="s">
        <v>405</v>
      </c>
      <c r="U345" s="204" t="s">
        <v>226</v>
      </c>
      <c r="V345" s="204"/>
      <c r="W345" s="211">
        <v>1</v>
      </c>
      <c r="X345" s="204" t="s">
        <v>517</v>
      </c>
    </row>
    <row r="346" spans="2:24">
      <c r="B346" s="663"/>
      <c r="C346" s="659"/>
      <c r="D346" s="239">
        <v>10</v>
      </c>
      <c r="E346" s="204" t="s">
        <v>931</v>
      </c>
      <c r="F346" s="205">
        <v>186.1083000000003</v>
      </c>
      <c r="G346" s="204">
        <v>27.555</v>
      </c>
      <c r="H346" s="204">
        <v>29.1</v>
      </c>
      <c r="I346" s="216">
        <f t="shared" si="27"/>
        <v>1.0560696788241699</v>
      </c>
      <c r="J346" s="204">
        <v>0</v>
      </c>
      <c r="K346" s="216">
        <f t="shared" si="28"/>
        <v>0</v>
      </c>
      <c r="L346" s="205">
        <v>196.94</v>
      </c>
      <c r="M346" s="216">
        <f t="shared" si="29"/>
        <v>1.0560696788241699</v>
      </c>
      <c r="N346" s="205">
        <v>304.27230000000031</v>
      </c>
      <c r="O346" s="204">
        <v>0.60000000000000009</v>
      </c>
      <c r="P346" s="206">
        <v>2.1774632553075671E-2</v>
      </c>
      <c r="Q346" s="204">
        <v>118.16400000000002</v>
      </c>
      <c r="R346" s="385">
        <v>0.94500000000000162</v>
      </c>
      <c r="S346" s="205">
        <v>3.4295046271094233E-2</v>
      </c>
      <c r="T346" s="204" t="s">
        <v>419</v>
      </c>
      <c r="U346" s="204" t="s">
        <v>522</v>
      </c>
      <c r="V346" s="204"/>
      <c r="W346" s="211">
        <v>1</v>
      </c>
      <c r="X346" s="204" t="s">
        <v>834</v>
      </c>
    </row>
    <row r="347" spans="2:24">
      <c r="B347" s="662">
        <v>45904</v>
      </c>
      <c r="C347" s="660" t="s">
        <v>954</v>
      </c>
      <c r="D347" s="239">
        <v>1</v>
      </c>
      <c r="E347" s="204" t="s">
        <v>937</v>
      </c>
      <c r="F347" s="205">
        <v>4025.9724000000028</v>
      </c>
      <c r="G347" s="204">
        <v>137.04599999999999</v>
      </c>
      <c r="H347" s="204">
        <v>138.5</v>
      </c>
      <c r="I347" s="216">
        <f t="shared" si="27"/>
        <v>1.0106095763466283</v>
      </c>
      <c r="J347" s="204">
        <v>13</v>
      </c>
      <c r="K347" s="216">
        <f t="shared" si="28"/>
        <v>9.4858660595712394E-2</v>
      </c>
      <c r="L347" s="205">
        <v>290.60000000000002</v>
      </c>
      <c r="M347" s="216">
        <f t="shared" si="29"/>
        <v>1.1054682369423405</v>
      </c>
      <c r="N347" s="205">
        <v>4200.332400000003</v>
      </c>
      <c r="O347" s="204">
        <v>0.6</v>
      </c>
      <c r="P347" s="206">
        <v>4.3780920274944183E-3</v>
      </c>
      <c r="Q347" s="204">
        <v>174.36</v>
      </c>
      <c r="R347" s="385">
        <v>13.854000000000008</v>
      </c>
      <c r="S347" s="205">
        <v>0.10109014491484618</v>
      </c>
      <c r="T347" s="204" t="s">
        <v>405</v>
      </c>
      <c r="U347" s="204" t="s">
        <v>225</v>
      </c>
      <c r="V347" s="204"/>
      <c r="W347" s="211">
        <v>1</v>
      </c>
      <c r="X347" s="204" t="s">
        <v>834</v>
      </c>
    </row>
    <row r="348" spans="2:24">
      <c r="B348" s="663"/>
      <c r="C348" s="659"/>
      <c r="D348" s="239">
        <v>2</v>
      </c>
      <c r="E348" s="204" t="s">
        <v>545</v>
      </c>
      <c r="F348" s="205">
        <v>283.89419999999956</v>
      </c>
      <c r="G348" s="204">
        <v>24.36</v>
      </c>
      <c r="H348" s="204">
        <v>24.7</v>
      </c>
      <c r="I348" s="216">
        <f t="shared" si="27"/>
        <v>1.0139573070607553</v>
      </c>
      <c r="J348" s="204">
        <v>0.2</v>
      </c>
      <c r="K348" s="216">
        <f t="shared" si="28"/>
        <v>8.2101806239737278E-3</v>
      </c>
      <c r="L348" s="205">
        <v>525.73</v>
      </c>
      <c r="M348" s="216">
        <f t="shared" si="29"/>
        <v>1.0221674876847291</v>
      </c>
      <c r="N348" s="205">
        <v>283.89419999999956</v>
      </c>
      <c r="O348" s="204">
        <v>0</v>
      </c>
      <c r="P348" s="206">
        <v>0</v>
      </c>
      <c r="Q348" s="204">
        <v>0</v>
      </c>
      <c r="R348" s="385">
        <v>0.53999999999999915</v>
      </c>
      <c r="S348" s="205">
        <v>2.216748768472903E-2</v>
      </c>
      <c r="T348" s="204" t="s">
        <v>405</v>
      </c>
      <c r="U348" s="204" t="s">
        <v>226</v>
      </c>
      <c r="V348" s="204"/>
      <c r="W348" s="211">
        <v>1</v>
      </c>
      <c r="X348" s="204" t="s">
        <v>517</v>
      </c>
    </row>
    <row r="349" spans="2:24">
      <c r="B349" s="663"/>
      <c r="C349" s="659"/>
      <c r="D349" s="239">
        <v>3</v>
      </c>
      <c r="E349" s="204" t="s">
        <v>961</v>
      </c>
      <c r="F349" s="205">
        <v>241.9442199999983</v>
      </c>
      <c r="G349" s="204">
        <v>28.637</v>
      </c>
      <c r="H349" s="204">
        <v>28.9</v>
      </c>
      <c r="I349" s="216">
        <f t="shared" si="27"/>
        <v>1.0091839228969515</v>
      </c>
      <c r="J349" s="204">
        <v>0</v>
      </c>
      <c r="K349" s="216">
        <f t="shared" si="28"/>
        <v>0</v>
      </c>
      <c r="L349" s="205">
        <v>919.94</v>
      </c>
      <c r="M349" s="216">
        <f t="shared" si="29"/>
        <v>1.0091839228969515</v>
      </c>
      <c r="N349" s="205">
        <v>241.9442199999983</v>
      </c>
      <c r="O349" s="204">
        <v>0</v>
      </c>
      <c r="P349" s="206">
        <v>0</v>
      </c>
      <c r="Q349" s="204">
        <v>0</v>
      </c>
      <c r="R349" s="385">
        <v>0.26299999999999812</v>
      </c>
      <c r="S349" s="205">
        <v>9.1839228969514304E-3</v>
      </c>
      <c r="T349" s="204" t="s">
        <v>405</v>
      </c>
      <c r="U349" s="204" t="s">
        <v>225</v>
      </c>
      <c r="V349" s="204"/>
      <c r="W349" s="211">
        <v>1</v>
      </c>
      <c r="X349" s="204" t="s">
        <v>962</v>
      </c>
    </row>
    <row r="350" spans="2:24">
      <c r="B350" s="663"/>
      <c r="C350" s="659"/>
      <c r="D350" s="239">
        <v>4</v>
      </c>
      <c r="E350" s="204" t="s">
        <v>569</v>
      </c>
      <c r="F350" s="205">
        <v>193.30631999999858</v>
      </c>
      <c r="G350" s="204">
        <v>43.792000000000002</v>
      </c>
      <c r="H350" s="204">
        <v>44.4</v>
      </c>
      <c r="I350" s="216">
        <f t="shared" si="27"/>
        <v>1.0138838143953233</v>
      </c>
      <c r="J350" s="204">
        <v>0</v>
      </c>
      <c r="K350" s="216">
        <f t="shared" si="28"/>
        <v>0</v>
      </c>
      <c r="L350" s="205">
        <v>473.79</v>
      </c>
      <c r="M350" s="216">
        <f t="shared" si="29"/>
        <v>1.0138838143953233</v>
      </c>
      <c r="N350" s="205">
        <v>288.06431999999859</v>
      </c>
      <c r="O350" s="204">
        <v>0.2</v>
      </c>
      <c r="P350" s="206">
        <v>4.5670442089879434E-3</v>
      </c>
      <c r="Q350" s="204">
        <v>94.75800000000001</v>
      </c>
      <c r="R350" s="385">
        <v>0.40799999999999698</v>
      </c>
      <c r="S350" s="205">
        <v>9.3167701863353346E-3</v>
      </c>
      <c r="T350" s="204" t="s">
        <v>405</v>
      </c>
      <c r="U350" s="204" t="s">
        <v>226</v>
      </c>
      <c r="V350" s="204"/>
      <c r="W350" s="211">
        <v>1</v>
      </c>
      <c r="X350" s="204" t="s">
        <v>423</v>
      </c>
    </row>
    <row r="351" spans="2:24">
      <c r="B351" s="663"/>
      <c r="C351" s="659"/>
      <c r="D351" s="239">
        <v>5</v>
      </c>
      <c r="E351" s="204" t="s">
        <v>411</v>
      </c>
      <c r="F351" s="205">
        <v>185.74119999999965</v>
      </c>
      <c r="G351" s="204">
        <v>34.616</v>
      </c>
      <c r="H351" s="204">
        <v>35.4</v>
      </c>
      <c r="I351" s="216">
        <f t="shared" si="27"/>
        <v>1.0226484862491334</v>
      </c>
      <c r="J351" s="204">
        <v>0</v>
      </c>
      <c r="K351" s="216">
        <f t="shared" si="28"/>
        <v>0</v>
      </c>
      <c r="L351" s="205">
        <v>318.05</v>
      </c>
      <c r="M351" s="216">
        <f t="shared" si="29"/>
        <v>1.0226484862491334</v>
      </c>
      <c r="N351" s="205">
        <v>249.35119999999966</v>
      </c>
      <c r="O351" s="204">
        <v>0.2</v>
      </c>
      <c r="P351" s="206">
        <v>5.777675063554426E-3</v>
      </c>
      <c r="Q351" s="204">
        <v>63.610000000000007</v>
      </c>
      <c r="R351" s="385">
        <v>0.58399999999999896</v>
      </c>
      <c r="S351" s="205">
        <v>1.6870811185578892E-2</v>
      </c>
      <c r="T351" s="204" t="s">
        <v>405</v>
      </c>
      <c r="U351" s="204" t="s">
        <v>226</v>
      </c>
      <c r="V351" s="204"/>
      <c r="W351" s="211">
        <v>1</v>
      </c>
      <c r="X351" s="204" t="s">
        <v>413</v>
      </c>
    </row>
    <row r="352" spans="2:24">
      <c r="B352" s="663"/>
      <c r="C352" s="659"/>
      <c r="D352" s="239">
        <v>6</v>
      </c>
      <c r="E352" s="204" t="s">
        <v>416</v>
      </c>
      <c r="F352" s="205">
        <v>171.35093999999881</v>
      </c>
      <c r="G352" s="204">
        <v>17.574000000000002</v>
      </c>
      <c r="H352" s="204">
        <v>18</v>
      </c>
      <c r="I352" s="216">
        <f t="shared" si="27"/>
        <v>1.0242403550699897</v>
      </c>
      <c r="J352" s="204">
        <v>0</v>
      </c>
      <c r="K352" s="216">
        <f t="shared" si="28"/>
        <v>0</v>
      </c>
      <c r="L352" s="205">
        <v>758.19</v>
      </c>
      <c r="M352" s="216">
        <f t="shared" si="29"/>
        <v>1.0242403550699897</v>
      </c>
      <c r="N352" s="205">
        <v>322.98893999999882</v>
      </c>
      <c r="O352" s="204">
        <v>0.2</v>
      </c>
      <c r="P352" s="206">
        <v>1.1380448389666552E-2</v>
      </c>
      <c r="Q352" s="204">
        <v>151.63800000000001</v>
      </c>
      <c r="R352" s="385">
        <v>0.22599999999999837</v>
      </c>
      <c r="S352" s="205">
        <v>1.2859906680323111E-2</v>
      </c>
      <c r="T352" s="204" t="s">
        <v>405</v>
      </c>
      <c r="U352" s="204" t="s">
        <v>226</v>
      </c>
      <c r="V352" s="204"/>
      <c r="W352" s="211">
        <v>1</v>
      </c>
      <c r="X352" s="204" t="s">
        <v>417</v>
      </c>
    </row>
    <row r="353" spans="2:24">
      <c r="B353" s="663"/>
      <c r="C353" s="659"/>
      <c r="D353" s="239">
        <v>7</v>
      </c>
      <c r="E353" s="204" t="s">
        <v>533</v>
      </c>
      <c r="F353" s="205">
        <v>170.67890000000114</v>
      </c>
      <c r="G353" s="204">
        <v>33.225999999999999</v>
      </c>
      <c r="H353" s="204">
        <v>34.200000000000003</v>
      </c>
      <c r="I353" s="216">
        <f t="shared" si="27"/>
        <v>1.0293143923433457</v>
      </c>
      <c r="J353" s="204">
        <v>0</v>
      </c>
      <c r="K353" s="216">
        <f t="shared" si="28"/>
        <v>0</v>
      </c>
      <c r="L353" s="205">
        <v>297.35000000000002</v>
      </c>
      <c r="M353" s="216">
        <f t="shared" si="29"/>
        <v>1.0293143923433457</v>
      </c>
      <c r="N353" s="205">
        <v>289.61890000000113</v>
      </c>
      <c r="O353" s="204">
        <v>0.4</v>
      </c>
      <c r="P353" s="206">
        <v>1.2038764822729189E-2</v>
      </c>
      <c r="Q353" s="204">
        <v>118.94000000000001</v>
      </c>
      <c r="R353" s="385">
        <v>0.57400000000000373</v>
      </c>
      <c r="S353" s="205">
        <v>1.7275627520616496E-2</v>
      </c>
      <c r="T353" s="204" t="s">
        <v>405</v>
      </c>
      <c r="U353" s="204" t="s">
        <v>225</v>
      </c>
      <c r="V353" s="204"/>
      <c r="W353" s="211">
        <v>1</v>
      </c>
      <c r="X353" s="204" t="s">
        <v>474</v>
      </c>
    </row>
    <row r="354" spans="2:24">
      <c r="B354" s="663"/>
      <c r="C354" s="659"/>
      <c r="D354" s="239">
        <v>8</v>
      </c>
      <c r="E354" s="204" t="s">
        <v>426</v>
      </c>
      <c r="F354" s="205">
        <v>168.82985999999866</v>
      </c>
      <c r="G354" s="204">
        <v>118.169</v>
      </c>
      <c r="H354" s="204">
        <v>118.6</v>
      </c>
      <c r="I354" s="216">
        <f t="shared" si="27"/>
        <v>1.0036473186707173</v>
      </c>
      <c r="J354" s="204">
        <v>0</v>
      </c>
      <c r="K354" s="216">
        <f t="shared" si="28"/>
        <v>0</v>
      </c>
      <c r="L354" s="205">
        <v>510.06</v>
      </c>
      <c r="M354" s="216">
        <f t="shared" si="29"/>
        <v>1.0036473186707173</v>
      </c>
      <c r="N354" s="205">
        <v>219.83585999999866</v>
      </c>
      <c r="O354" s="204">
        <v>0.1</v>
      </c>
      <c r="P354" s="206">
        <v>8.462456312569287E-4</v>
      </c>
      <c r="Q354" s="204">
        <v>51.006</v>
      </c>
      <c r="R354" s="385">
        <v>0.33099999999999741</v>
      </c>
      <c r="S354" s="205">
        <v>2.8010730394604118E-3</v>
      </c>
      <c r="T354" s="204" t="s">
        <v>405</v>
      </c>
      <c r="U354" s="204" t="s">
        <v>226</v>
      </c>
      <c r="V354" s="204"/>
      <c r="W354" s="211">
        <v>1</v>
      </c>
      <c r="X354" s="204" t="s">
        <v>423</v>
      </c>
    </row>
    <row r="355" spans="2:24">
      <c r="B355" s="663"/>
      <c r="C355" s="659"/>
      <c r="D355" s="239">
        <v>9</v>
      </c>
      <c r="E355" s="204" t="s">
        <v>433</v>
      </c>
      <c r="F355" s="205">
        <v>167.59296000000015</v>
      </c>
      <c r="G355" s="204">
        <v>19.911999999999999</v>
      </c>
      <c r="H355" s="204">
        <v>19.899999999999999</v>
      </c>
      <c r="I355" s="216">
        <f t="shared" si="27"/>
        <v>0.99939734833266369</v>
      </c>
      <c r="J355" s="204">
        <v>0.3</v>
      </c>
      <c r="K355" s="216">
        <f t="shared" si="28"/>
        <v>1.5066291683406991E-2</v>
      </c>
      <c r="L355" s="205">
        <v>581.91999999999996</v>
      </c>
      <c r="M355" s="216">
        <f t="shared" si="29"/>
        <v>1.0144636400160707</v>
      </c>
      <c r="N355" s="205">
        <v>167.59296000000015</v>
      </c>
      <c r="O355" s="204">
        <v>0</v>
      </c>
      <c r="P355" s="206">
        <v>0</v>
      </c>
      <c r="Q355" s="204">
        <v>0</v>
      </c>
      <c r="R355" s="385">
        <v>0.28800000000000026</v>
      </c>
      <c r="S355" s="205">
        <v>1.4463640016070724E-2</v>
      </c>
      <c r="T355" s="204" t="s">
        <v>402</v>
      </c>
      <c r="U355" s="204" t="s">
        <v>224</v>
      </c>
      <c r="V355" s="204"/>
      <c r="W355" s="211">
        <v>1</v>
      </c>
      <c r="X355" s="204" t="s">
        <v>434</v>
      </c>
    </row>
    <row r="356" spans="2:24">
      <c r="B356" s="663"/>
      <c r="C356" s="659"/>
      <c r="D356" s="239">
        <v>10</v>
      </c>
      <c r="E356" s="204" t="s">
        <v>959</v>
      </c>
      <c r="F356" s="205">
        <v>164.53160000000011</v>
      </c>
      <c r="G356" s="204">
        <v>195.62</v>
      </c>
      <c r="H356" s="204">
        <v>197.9</v>
      </c>
      <c r="I356" s="216">
        <f t="shared" si="27"/>
        <v>1.0116552499744402</v>
      </c>
      <c r="J356" s="204">
        <v>0</v>
      </c>
      <c r="K356" s="216">
        <f t="shared" si="28"/>
        <v>0</v>
      </c>
      <c r="L356" s="205">
        <v>111.17</v>
      </c>
      <c r="M356" s="216">
        <f t="shared" si="29"/>
        <v>1.0116552499744402</v>
      </c>
      <c r="N356" s="205">
        <v>253.46760000000012</v>
      </c>
      <c r="O356" s="204">
        <v>0.8</v>
      </c>
      <c r="P356" s="206">
        <v>4.0895613945404353E-3</v>
      </c>
      <c r="Q356" s="204">
        <v>88.936000000000007</v>
      </c>
      <c r="R356" s="385">
        <v>1.4800000000000011</v>
      </c>
      <c r="S356" s="205">
        <v>7.5656885798998114E-3</v>
      </c>
      <c r="T356" s="204" t="s">
        <v>402</v>
      </c>
      <c r="U356" s="204" t="s">
        <v>224</v>
      </c>
      <c r="V356" s="204"/>
      <c r="W356" s="211">
        <v>1</v>
      </c>
      <c r="X356" s="204" t="s">
        <v>423</v>
      </c>
    </row>
    <row r="357" spans="2:24">
      <c r="B357" s="662">
        <v>45905</v>
      </c>
      <c r="C357" s="660" t="s">
        <v>955</v>
      </c>
      <c r="D357" s="239">
        <v>1</v>
      </c>
      <c r="E357" s="204" t="s">
        <v>937</v>
      </c>
      <c r="F357" s="205">
        <v>2106.8500000000013</v>
      </c>
      <c r="G357" s="204">
        <v>105.95</v>
      </c>
      <c r="H357" s="204">
        <v>106.7</v>
      </c>
      <c r="I357" s="216">
        <f t="shared" si="27"/>
        <v>1.0070788107597923</v>
      </c>
      <c r="J357" s="204">
        <v>6.7</v>
      </c>
      <c r="K357" s="216">
        <f t="shared" si="28"/>
        <v>6.3237376120811706E-2</v>
      </c>
      <c r="L357" s="205">
        <v>290.60000000000002</v>
      </c>
      <c r="M357" s="216">
        <f t="shared" si="29"/>
        <v>1.0703161868806041</v>
      </c>
      <c r="N357" s="205">
        <v>2164.9700000000012</v>
      </c>
      <c r="O357" s="204">
        <v>0.2</v>
      </c>
      <c r="P357" s="206">
        <v>1.8876828692779614E-3</v>
      </c>
      <c r="Q357" s="204">
        <v>58.120000000000005</v>
      </c>
      <c r="R357" s="385">
        <v>7.2500000000000027</v>
      </c>
      <c r="S357" s="205">
        <v>6.8428504011326122E-2</v>
      </c>
      <c r="T357" s="204" t="s">
        <v>405</v>
      </c>
      <c r="U357" s="204" t="s">
        <v>225</v>
      </c>
      <c r="V357" s="204"/>
      <c r="W357" s="211">
        <v>1</v>
      </c>
      <c r="X357" s="204" t="s">
        <v>834</v>
      </c>
    </row>
    <row r="358" spans="2:24">
      <c r="B358" s="663"/>
      <c r="C358" s="659"/>
      <c r="D358" s="239">
        <v>2</v>
      </c>
      <c r="E358" s="204" t="s">
        <v>963</v>
      </c>
      <c r="F358" s="205">
        <v>410.42019999999962</v>
      </c>
      <c r="G358" s="204">
        <v>16.756</v>
      </c>
      <c r="H358" s="204">
        <v>17</v>
      </c>
      <c r="I358" s="216">
        <f t="shared" si="27"/>
        <v>1.0145619479589401</v>
      </c>
      <c r="J358" s="204">
        <v>0</v>
      </c>
      <c r="K358" s="216">
        <f t="shared" si="28"/>
        <v>0</v>
      </c>
      <c r="L358" s="205">
        <v>1682.05</v>
      </c>
      <c r="M358" s="216">
        <f t="shared" si="29"/>
        <v>1.0145619479589401</v>
      </c>
      <c r="N358" s="205">
        <v>410.42019999999962</v>
      </c>
      <c r="O358" s="204">
        <v>0</v>
      </c>
      <c r="P358" s="206">
        <v>0</v>
      </c>
      <c r="Q358" s="204">
        <v>0</v>
      </c>
      <c r="R358" s="385">
        <v>0.24399999999999977</v>
      </c>
      <c r="S358" s="205">
        <v>1.4561947958940067E-2</v>
      </c>
      <c r="T358" s="204" t="s">
        <v>405</v>
      </c>
      <c r="U358" s="204" t="s">
        <v>225</v>
      </c>
      <c r="V358" s="204"/>
      <c r="W358" s="211">
        <v>1</v>
      </c>
      <c r="X358" s="204" t="s">
        <v>964</v>
      </c>
    </row>
    <row r="359" spans="2:24">
      <c r="B359" s="663"/>
      <c r="C359" s="659"/>
      <c r="D359" s="239">
        <v>3</v>
      </c>
      <c r="E359" s="204" t="s">
        <v>965</v>
      </c>
      <c r="F359" s="205">
        <v>356.45401311477252</v>
      </c>
      <c r="G359" s="204">
        <v>23.967606557377</v>
      </c>
      <c r="H359" s="204">
        <v>24.9</v>
      </c>
      <c r="I359" s="216">
        <f t="shared" si="27"/>
        <v>1.0389022341630527</v>
      </c>
      <c r="J359" s="204">
        <v>0</v>
      </c>
      <c r="K359" s="216">
        <f t="shared" si="28"/>
        <v>0</v>
      </c>
      <c r="L359" s="205">
        <v>382.3</v>
      </c>
      <c r="M359" s="216">
        <f t="shared" si="29"/>
        <v>1.0389022341630527</v>
      </c>
      <c r="N359" s="205">
        <v>356.45401311477252</v>
      </c>
      <c r="O359" s="204">
        <v>0</v>
      </c>
      <c r="P359" s="206">
        <v>0</v>
      </c>
      <c r="Q359" s="204">
        <v>0</v>
      </c>
      <c r="R359" s="385">
        <v>0.93239344262299895</v>
      </c>
      <c r="S359" s="205">
        <v>3.8902234163052767E-2</v>
      </c>
      <c r="T359" s="204" t="s">
        <v>402</v>
      </c>
      <c r="U359" s="204" t="s">
        <v>224</v>
      </c>
      <c r="V359" s="204"/>
      <c r="W359" s="211">
        <v>1</v>
      </c>
      <c r="X359" s="204" t="s">
        <v>451</v>
      </c>
    </row>
    <row r="360" spans="2:24">
      <c r="B360" s="663"/>
      <c r="C360" s="659"/>
      <c r="D360" s="239">
        <v>4</v>
      </c>
      <c r="E360" s="204" t="s">
        <v>426</v>
      </c>
      <c r="F360" s="205">
        <v>333.06918000000439</v>
      </c>
      <c r="G360" s="204">
        <v>101.547</v>
      </c>
      <c r="H360" s="204">
        <v>102.4</v>
      </c>
      <c r="I360" s="216">
        <f t="shared" si="27"/>
        <v>1.0084000512078153</v>
      </c>
      <c r="J360" s="204">
        <v>0</v>
      </c>
      <c r="K360" s="216">
        <f t="shared" si="28"/>
        <v>0</v>
      </c>
      <c r="L360" s="205">
        <v>510.06</v>
      </c>
      <c r="M360" s="216">
        <f t="shared" si="29"/>
        <v>1.0084000512078153</v>
      </c>
      <c r="N360" s="205">
        <v>435.08118000000439</v>
      </c>
      <c r="O360" s="204">
        <v>0.2</v>
      </c>
      <c r="P360" s="206">
        <v>1.9695313500152642E-3</v>
      </c>
      <c r="Q360" s="204">
        <v>102.012</v>
      </c>
      <c r="R360" s="385">
        <v>0.65300000000000868</v>
      </c>
      <c r="S360" s="205">
        <v>6.4305198577999222E-3</v>
      </c>
      <c r="T360" s="204" t="s">
        <v>405</v>
      </c>
      <c r="U360" s="204" t="s">
        <v>226</v>
      </c>
      <c r="V360" s="204"/>
      <c r="W360" s="211">
        <v>1</v>
      </c>
      <c r="X360" s="204" t="s">
        <v>423</v>
      </c>
    </row>
    <row r="361" spans="2:24">
      <c r="B361" s="663"/>
      <c r="C361" s="659"/>
      <c r="D361" s="239">
        <v>5</v>
      </c>
      <c r="E361" s="204" t="s">
        <v>523</v>
      </c>
      <c r="F361" s="205">
        <v>282.81382999999965</v>
      </c>
      <c r="G361" s="204">
        <v>7.5110000000000001</v>
      </c>
      <c r="H361" s="204">
        <v>8.1999999999999993</v>
      </c>
      <c r="I361" s="216">
        <f t="shared" si="27"/>
        <v>1.0917321262148847</v>
      </c>
      <c r="J361" s="204">
        <v>0</v>
      </c>
      <c r="K361" s="216">
        <f t="shared" si="28"/>
        <v>0</v>
      </c>
      <c r="L361" s="205">
        <v>410.47</v>
      </c>
      <c r="M361" s="216">
        <f t="shared" si="29"/>
        <v>1.0917321262148847</v>
      </c>
      <c r="N361" s="205">
        <v>282.81382999999965</v>
      </c>
      <c r="O361" s="204">
        <v>0</v>
      </c>
      <c r="P361" s="206">
        <v>0</v>
      </c>
      <c r="Q361" s="204">
        <v>0</v>
      </c>
      <c r="R361" s="385">
        <v>0.68899999999999917</v>
      </c>
      <c r="S361" s="205">
        <v>9.1732126214884718E-2</v>
      </c>
      <c r="T361" s="204" t="s">
        <v>419</v>
      </c>
      <c r="U361" s="204" t="s">
        <v>420</v>
      </c>
      <c r="V361" s="204"/>
      <c r="W361" s="211">
        <v>1</v>
      </c>
      <c r="X361" s="204" t="s">
        <v>456</v>
      </c>
    </row>
    <row r="362" spans="2:24">
      <c r="B362" s="663"/>
      <c r="C362" s="659"/>
      <c r="D362" s="239">
        <v>6</v>
      </c>
      <c r="E362" s="204" t="s">
        <v>528</v>
      </c>
      <c r="F362" s="205">
        <v>281.62110000000069</v>
      </c>
      <c r="G362" s="204">
        <v>67.83</v>
      </c>
      <c r="H362" s="204">
        <v>67.3</v>
      </c>
      <c r="I362" s="216">
        <f t="shared" si="27"/>
        <v>0.99218634822349994</v>
      </c>
      <c r="J362" s="204">
        <v>1.2</v>
      </c>
      <c r="K362" s="216">
        <f t="shared" si="28"/>
        <v>1.7691287041132243E-2</v>
      </c>
      <c r="L362" s="205">
        <v>420.33</v>
      </c>
      <c r="M362" s="216">
        <f t="shared" si="29"/>
        <v>1.0098776352646321</v>
      </c>
      <c r="N362" s="205">
        <v>281.62110000000069</v>
      </c>
      <c r="O362" s="204">
        <v>0</v>
      </c>
      <c r="P362" s="206">
        <v>0</v>
      </c>
      <c r="Q362" s="204">
        <v>0</v>
      </c>
      <c r="R362" s="385">
        <v>0.67000000000000171</v>
      </c>
      <c r="S362" s="205">
        <v>9.8776352646321938E-3</v>
      </c>
      <c r="T362" s="204" t="s">
        <v>405</v>
      </c>
      <c r="U362" s="204" t="s">
        <v>225</v>
      </c>
      <c r="V362" s="204"/>
      <c r="W362" s="211">
        <v>1</v>
      </c>
      <c r="X362" s="204" t="s">
        <v>487</v>
      </c>
    </row>
    <row r="363" spans="2:24">
      <c r="B363" s="663"/>
      <c r="C363" s="659"/>
      <c r="D363" s="239">
        <v>7</v>
      </c>
      <c r="E363" s="204" t="s">
        <v>521</v>
      </c>
      <c r="F363" s="205">
        <v>274.69680000000011</v>
      </c>
      <c r="G363" s="204">
        <v>9.5120000000000005</v>
      </c>
      <c r="H363" s="204">
        <v>10.3</v>
      </c>
      <c r="I363" s="216">
        <f t="shared" si="27"/>
        <v>1.082842724978974</v>
      </c>
      <c r="J363" s="204">
        <v>0</v>
      </c>
      <c r="K363" s="216">
        <f t="shared" si="28"/>
        <v>0</v>
      </c>
      <c r="L363" s="205">
        <v>348.6</v>
      </c>
      <c r="M363" s="216">
        <f t="shared" si="29"/>
        <v>1.082842724978974</v>
      </c>
      <c r="N363" s="205">
        <v>274.69680000000011</v>
      </c>
      <c r="O363" s="204">
        <v>0</v>
      </c>
      <c r="P363" s="206">
        <v>0</v>
      </c>
      <c r="Q363" s="204">
        <v>0</v>
      </c>
      <c r="R363" s="385">
        <v>0.78800000000000026</v>
      </c>
      <c r="S363" s="205">
        <v>8.284272497897395E-2</v>
      </c>
      <c r="T363" s="204" t="s">
        <v>405</v>
      </c>
      <c r="U363" s="204" t="s">
        <v>420</v>
      </c>
      <c r="V363" s="204"/>
      <c r="W363" s="211">
        <v>1</v>
      </c>
      <c r="X363" s="204" t="s">
        <v>470</v>
      </c>
    </row>
    <row r="364" spans="2:24">
      <c r="B364" s="663"/>
      <c r="C364" s="659"/>
      <c r="D364" s="239">
        <v>8</v>
      </c>
      <c r="E364" s="204" t="s">
        <v>607</v>
      </c>
      <c r="F364" s="205">
        <v>264.17367999999993</v>
      </c>
      <c r="G364" s="204">
        <v>2.7240000000000002</v>
      </c>
      <c r="H364" s="204">
        <v>3.5</v>
      </c>
      <c r="I364" s="216">
        <f t="shared" si="27"/>
        <v>1.2848751835535976</v>
      </c>
      <c r="J364" s="204">
        <v>0</v>
      </c>
      <c r="K364" s="216">
        <f t="shared" si="28"/>
        <v>0</v>
      </c>
      <c r="L364" s="205">
        <v>340.43</v>
      </c>
      <c r="M364" s="216">
        <f t="shared" si="29"/>
        <v>1.2848751835535976</v>
      </c>
      <c r="N364" s="205">
        <v>264.17367999999993</v>
      </c>
      <c r="O364" s="204">
        <v>0</v>
      </c>
      <c r="P364" s="206">
        <v>0</v>
      </c>
      <c r="Q364" s="204">
        <v>0</v>
      </c>
      <c r="R364" s="385">
        <v>0.7759999999999998</v>
      </c>
      <c r="S364" s="205">
        <v>0.28487518355359753</v>
      </c>
      <c r="T364" s="204" t="s">
        <v>405</v>
      </c>
      <c r="U364" s="204" t="s">
        <v>420</v>
      </c>
      <c r="V364" s="204"/>
      <c r="W364" s="211">
        <v>1</v>
      </c>
      <c r="X364" s="204" t="s">
        <v>476</v>
      </c>
    </row>
    <row r="365" spans="2:24">
      <c r="B365" s="663"/>
      <c r="C365" s="659"/>
      <c r="D365" s="239">
        <v>9</v>
      </c>
      <c r="E365" s="204" t="s">
        <v>430</v>
      </c>
      <c r="F365" s="205">
        <v>261.27552000000077</v>
      </c>
      <c r="G365" s="204">
        <v>54.095999999999997</v>
      </c>
      <c r="H365" s="204">
        <v>54.9</v>
      </c>
      <c r="I365" s="216">
        <f t="shared" si="27"/>
        <v>1.0148624667258208</v>
      </c>
      <c r="J365" s="204">
        <v>0</v>
      </c>
      <c r="K365" s="216">
        <f t="shared" si="28"/>
        <v>0</v>
      </c>
      <c r="L365" s="205">
        <v>371.13</v>
      </c>
      <c r="M365" s="216">
        <f t="shared" si="29"/>
        <v>1.0148624667258208</v>
      </c>
      <c r="N365" s="205">
        <v>298.38852000000077</v>
      </c>
      <c r="O365" s="204">
        <v>0.1</v>
      </c>
      <c r="P365" s="206">
        <v>1.8485655131617866E-3</v>
      </c>
      <c r="Q365" s="204">
        <v>37.113</v>
      </c>
      <c r="R365" s="385">
        <v>0.70400000000000207</v>
      </c>
      <c r="S365" s="205">
        <v>1.3013901212659015E-2</v>
      </c>
      <c r="T365" s="204" t="s">
        <v>405</v>
      </c>
      <c r="U365" s="204" t="s">
        <v>522</v>
      </c>
      <c r="V365" s="204"/>
      <c r="W365" s="211">
        <v>1</v>
      </c>
      <c r="X365" s="204" t="s">
        <v>494</v>
      </c>
    </row>
    <row r="366" spans="2:24">
      <c r="B366" s="663"/>
      <c r="C366" s="659"/>
      <c r="D366" s="239">
        <v>10</v>
      </c>
      <c r="E366" s="204" t="s">
        <v>545</v>
      </c>
      <c r="F366" s="205">
        <v>258.6591600000001</v>
      </c>
      <c r="G366" s="204">
        <v>20.808</v>
      </c>
      <c r="H366" s="204">
        <v>21.5</v>
      </c>
      <c r="I366" s="216">
        <f t="shared" si="27"/>
        <v>1.0332564398308344</v>
      </c>
      <c r="J366" s="204">
        <v>0</v>
      </c>
      <c r="K366" s="216">
        <f t="shared" si="28"/>
        <v>0</v>
      </c>
      <c r="L366" s="205">
        <v>525.73</v>
      </c>
      <c r="M366" s="216">
        <f t="shared" si="29"/>
        <v>1.0332564398308344</v>
      </c>
      <c r="N366" s="205">
        <v>363.80516000000011</v>
      </c>
      <c r="O366" s="204">
        <v>0.2</v>
      </c>
      <c r="P366" s="206">
        <v>9.6116878123798551E-3</v>
      </c>
      <c r="Q366" s="204">
        <v>105.14600000000002</v>
      </c>
      <c r="R366" s="385">
        <v>0.49200000000000016</v>
      </c>
      <c r="S366" s="205">
        <v>2.3644752018454448E-2</v>
      </c>
      <c r="T366" s="204" t="s">
        <v>405</v>
      </c>
      <c r="U366" s="204" t="s">
        <v>226</v>
      </c>
      <c r="V366" s="204"/>
      <c r="W366" s="211">
        <v>1</v>
      </c>
      <c r="X366" s="204" t="s">
        <v>517</v>
      </c>
    </row>
    <row r="367" spans="2:24">
      <c r="B367" s="662">
        <v>45906</v>
      </c>
      <c r="C367" s="660" t="s">
        <v>957</v>
      </c>
      <c r="D367" s="239">
        <v>1</v>
      </c>
      <c r="E367" s="204" t="s">
        <v>937</v>
      </c>
      <c r="F367" s="205">
        <v>2034.1999999999985</v>
      </c>
      <c r="G367" s="204">
        <v>127.4</v>
      </c>
      <c r="H367" s="204">
        <v>128.4</v>
      </c>
      <c r="I367" s="216">
        <f t="shared" si="27"/>
        <v>1.0078492935635792</v>
      </c>
      <c r="J367" s="204">
        <v>6.1</v>
      </c>
      <c r="K367" s="216">
        <f t="shared" si="28"/>
        <v>4.7880690737833589E-2</v>
      </c>
      <c r="L367" s="205">
        <v>290.60000000000002</v>
      </c>
      <c r="M367" s="216">
        <f t="shared" si="29"/>
        <v>1.0557299843014127</v>
      </c>
      <c r="N367" s="205">
        <v>2063.2599999999984</v>
      </c>
      <c r="O367" s="204">
        <v>0.1</v>
      </c>
      <c r="P367" s="206">
        <v>7.8492935635792783E-4</v>
      </c>
      <c r="Q367" s="204">
        <v>29.060000000000002</v>
      </c>
      <c r="R367" s="385">
        <v>6.9999999999999947</v>
      </c>
      <c r="S367" s="205">
        <v>5.4945054945054903E-2</v>
      </c>
      <c r="T367" s="204" t="s">
        <v>405</v>
      </c>
      <c r="U367" s="204" t="s">
        <v>225</v>
      </c>
      <c r="V367" s="204"/>
      <c r="W367" s="211">
        <v>1</v>
      </c>
      <c r="X367" s="204" t="s">
        <v>834</v>
      </c>
    </row>
    <row r="368" spans="2:24">
      <c r="B368" s="663"/>
      <c r="C368" s="659"/>
      <c r="D368" s="239">
        <v>2</v>
      </c>
      <c r="E368" s="204" t="s">
        <v>961</v>
      </c>
      <c r="F368" s="205">
        <v>336.69804000000101</v>
      </c>
      <c r="G368" s="204">
        <v>26.334</v>
      </c>
      <c r="H368" s="204">
        <v>26.8</v>
      </c>
      <c r="I368" s="216">
        <f t="shared" si="27"/>
        <v>1.0176957545378598</v>
      </c>
      <c r="J368" s="204">
        <v>0</v>
      </c>
      <c r="K368" s="216">
        <f t="shared" si="28"/>
        <v>0</v>
      </c>
      <c r="L368" s="205">
        <v>919.94</v>
      </c>
      <c r="M368" s="216">
        <f t="shared" si="29"/>
        <v>1.0176957545378598</v>
      </c>
      <c r="N368" s="205">
        <v>428.69204000000104</v>
      </c>
      <c r="O368" s="204">
        <v>0.1</v>
      </c>
      <c r="P368" s="206">
        <v>3.7973722184248501E-3</v>
      </c>
      <c r="Q368" s="204">
        <v>91.994000000000014</v>
      </c>
      <c r="R368" s="385">
        <v>0.3660000000000011</v>
      </c>
      <c r="S368" s="205">
        <v>1.3898382319434993E-2</v>
      </c>
      <c r="T368" s="204" t="s">
        <v>405</v>
      </c>
      <c r="U368" s="204" t="s">
        <v>225</v>
      </c>
      <c r="V368" s="204"/>
      <c r="W368" s="211">
        <v>1</v>
      </c>
      <c r="X368" s="204" t="s">
        <v>962</v>
      </c>
    </row>
    <row r="369" spans="2:24">
      <c r="B369" s="663"/>
      <c r="C369" s="659"/>
      <c r="D369" s="239">
        <v>3</v>
      </c>
      <c r="E369" s="204" t="s">
        <v>525</v>
      </c>
      <c r="F369" s="205">
        <v>315.39204000000007</v>
      </c>
      <c r="G369" s="204">
        <v>11.561</v>
      </c>
      <c r="H369" s="204">
        <v>12</v>
      </c>
      <c r="I369" s="216">
        <f t="shared" si="27"/>
        <v>1.0379724937289161</v>
      </c>
      <c r="J369" s="204">
        <v>0</v>
      </c>
      <c r="K369" s="216">
        <f t="shared" si="28"/>
        <v>0</v>
      </c>
      <c r="L369" s="205">
        <v>930.36</v>
      </c>
      <c r="M369" s="216">
        <f t="shared" si="29"/>
        <v>1.0379724937289161</v>
      </c>
      <c r="N369" s="205">
        <v>408.42804000000007</v>
      </c>
      <c r="O369" s="204">
        <v>0.1</v>
      </c>
      <c r="P369" s="206">
        <v>8.6497707810743018E-3</v>
      </c>
      <c r="Q369" s="204">
        <v>93.036000000000001</v>
      </c>
      <c r="R369" s="385">
        <v>0.33900000000000008</v>
      </c>
      <c r="S369" s="205">
        <v>2.9322722947841891E-2</v>
      </c>
      <c r="T369" s="204" t="s">
        <v>405</v>
      </c>
      <c r="U369" s="204" t="s">
        <v>226</v>
      </c>
      <c r="V369" s="204"/>
      <c r="W369" s="211">
        <v>1</v>
      </c>
      <c r="X369" s="204" t="s">
        <v>474</v>
      </c>
    </row>
    <row r="370" spans="2:24">
      <c r="B370" s="663"/>
      <c r="C370" s="659"/>
      <c r="D370" s="239">
        <v>4</v>
      </c>
      <c r="E370" s="204" t="s">
        <v>963</v>
      </c>
      <c r="F370" s="205">
        <v>255.67160000000172</v>
      </c>
      <c r="G370" s="204">
        <v>17.047999999999998</v>
      </c>
      <c r="H370" s="204">
        <v>17.2</v>
      </c>
      <c r="I370" s="216">
        <f t="shared" si="27"/>
        <v>1.0089160018770531</v>
      </c>
      <c r="J370" s="204">
        <v>0</v>
      </c>
      <c r="K370" s="216">
        <f t="shared" si="28"/>
        <v>0</v>
      </c>
      <c r="L370" s="205">
        <v>1682.05</v>
      </c>
      <c r="M370" s="216">
        <f t="shared" si="29"/>
        <v>1.0089160018770531</v>
      </c>
      <c r="N370" s="205">
        <v>255.67160000000172</v>
      </c>
      <c r="O370" s="204">
        <v>0</v>
      </c>
      <c r="P370" s="206">
        <v>0</v>
      </c>
      <c r="Q370" s="204">
        <v>0</v>
      </c>
      <c r="R370" s="385">
        <v>0.15200000000000102</v>
      </c>
      <c r="S370" s="205">
        <v>8.9160018770530879E-3</v>
      </c>
      <c r="T370" s="204" t="s">
        <v>402</v>
      </c>
      <c r="U370" s="204" t="s">
        <v>224</v>
      </c>
      <c r="V370" s="204"/>
      <c r="W370" s="211">
        <v>1</v>
      </c>
      <c r="X370" s="204" t="s">
        <v>964</v>
      </c>
    </row>
    <row r="371" spans="2:24">
      <c r="B371" s="663"/>
      <c r="C371" s="659"/>
      <c r="D371" s="239">
        <v>5</v>
      </c>
      <c r="E371" s="204" t="s">
        <v>422</v>
      </c>
      <c r="F371" s="205">
        <v>251.60382000000146</v>
      </c>
      <c r="G371" s="204">
        <v>241.762</v>
      </c>
      <c r="H371" s="204">
        <v>244.8</v>
      </c>
      <c r="I371" s="216">
        <f t="shared" si="27"/>
        <v>1.0125660773818881</v>
      </c>
      <c r="J371" s="204">
        <v>0</v>
      </c>
      <c r="K371" s="216">
        <f t="shared" si="28"/>
        <v>0</v>
      </c>
      <c r="L371" s="205">
        <v>136.88999999999999</v>
      </c>
      <c r="M371" s="216">
        <f t="shared" si="29"/>
        <v>1.0125660773818881</v>
      </c>
      <c r="N371" s="205">
        <v>415.87182000000143</v>
      </c>
      <c r="O371" s="204">
        <v>1.2</v>
      </c>
      <c r="P371" s="206">
        <v>4.9635592028523922E-3</v>
      </c>
      <c r="Q371" s="204">
        <v>164.26799999999997</v>
      </c>
      <c r="R371" s="385">
        <v>1.838000000000011</v>
      </c>
      <c r="S371" s="205">
        <v>7.6025181790356257E-3</v>
      </c>
      <c r="T371" s="204" t="s">
        <v>402</v>
      </c>
      <c r="U371" s="204" t="s">
        <v>224</v>
      </c>
      <c r="V371" s="204"/>
      <c r="W371" s="211">
        <v>1</v>
      </c>
      <c r="X371" s="204" t="s">
        <v>423</v>
      </c>
    </row>
    <row r="372" spans="2:24">
      <c r="B372" s="663"/>
      <c r="C372" s="659"/>
      <c r="D372" s="239">
        <v>6</v>
      </c>
      <c r="E372" s="204" t="s">
        <v>529</v>
      </c>
      <c r="F372" s="205">
        <v>220.15796000000122</v>
      </c>
      <c r="G372" s="204">
        <v>120.273</v>
      </c>
      <c r="H372" s="204">
        <v>122.9</v>
      </c>
      <c r="I372" s="216">
        <f t="shared" si="27"/>
        <v>1.0218419761708779</v>
      </c>
      <c r="J372" s="204">
        <v>0</v>
      </c>
      <c r="K372" s="216">
        <f t="shared" si="28"/>
        <v>0</v>
      </c>
      <c r="L372" s="205">
        <v>127.48</v>
      </c>
      <c r="M372" s="216">
        <f t="shared" si="29"/>
        <v>1.0218419761708779</v>
      </c>
      <c r="N372" s="205">
        <v>334.88996000000122</v>
      </c>
      <c r="O372" s="204">
        <v>0.9</v>
      </c>
      <c r="P372" s="206">
        <v>7.4829762290788459E-3</v>
      </c>
      <c r="Q372" s="204">
        <v>114.732</v>
      </c>
      <c r="R372" s="385">
        <v>1.7270000000000096</v>
      </c>
      <c r="S372" s="205">
        <v>1.4358999941799155E-2</v>
      </c>
      <c r="T372" s="204" t="s">
        <v>419</v>
      </c>
      <c r="U372" s="204" t="s">
        <v>522</v>
      </c>
      <c r="V372" s="204"/>
      <c r="W372" s="211">
        <v>1</v>
      </c>
      <c r="X372" s="204" t="s">
        <v>417</v>
      </c>
    </row>
    <row r="373" spans="2:24">
      <c r="B373" s="663"/>
      <c r="C373" s="659"/>
      <c r="D373" s="239">
        <v>7</v>
      </c>
      <c r="E373" s="204" t="s">
        <v>569</v>
      </c>
      <c r="F373" s="205">
        <v>217.46960999999814</v>
      </c>
      <c r="G373" s="204">
        <v>42.941000000000003</v>
      </c>
      <c r="H373" s="204">
        <v>43.4</v>
      </c>
      <c r="I373" s="216">
        <f t="shared" si="27"/>
        <v>1.010689085023637</v>
      </c>
      <c r="J373" s="204">
        <v>0</v>
      </c>
      <c r="K373" s="216">
        <f t="shared" si="28"/>
        <v>0</v>
      </c>
      <c r="L373" s="205">
        <v>473.79</v>
      </c>
      <c r="M373" s="216">
        <f t="shared" si="29"/>
        <v>1.010689085023637</v>
      </c>
      <c r="N373" s="205">
        <v>217.46960999999814</v>
      </c>
      <c r="O373" s="204">
        <v>0</v>
      </c>
      <c r="P373" s="206">
        <v>0</v>
      </c>
      <c r="Q373" s="204">
        <v>0</v>
      </c>
      <c r="R373" s="385">
        <v>0.45899999999999608</v>
      </c>
      <c r="S373" s="205">
        <v>1.0689085023636991E-2</v>
      </c>
      <c r="T373" s="204" t="s">
        <v>405</v>
      </c>
      <c r="U373" s="204" t="s">
        <v>226</v>
      </c>
      <c r="V373" s="204"/>
      <c r="W373" s="211">
        <v>1</v>
      </c>
      <c r="X373" s="204" t="s">
        <v>423</v>
      </c>
    </row>
    <row r="374" spans="2:24">
      <c r="B374" s="663"/>
      <c r="C374" s="659"/>
      <c r="D374" s="239">
        <v>8</v>
      </c>
      <c r="E374" s="204" t="s">
        <v>426</v>
      </c>
      <c r="F374" s="205">
        <v>212.69502000000227</v>
      </c>
      <c r="G374" s="204">
        <v>109.783</v>
      </c>
      <c r="H374" s="204">
        <v>110.4</v>
      </c>
      <c r="I374" s="216">
        <f t="shared" si="27"/>
        <v>1.0056201779874845</v>
      </c>
      <c r="J374" s="204">
        <v>0</v>
      </c>
      <c r="K374" s="216">
        <f t="shared" si="28"/>
        <v>0</v>
      </c>
      <c r="L374" s="205">
        <v>510.06</v>
      </c>
      <c r="M374" s="216">
        <f t="shared" si="29"/>
        <v>1.0056201779874845</v>
      </c>
      <c r="N374" s="205">
        <v>314.70702000000227</v>
      </c>
      <c r="O374" s="204">
        <v>0.2</v>
      </c>
      <c r="P374" s="206">
        <v>1.8217756847599357E-3</v>
      </c>
      <c r="Q374" s="204">
        <v>102.012</v>
      </c>
      <c r="R374" s="385">
        <v>0.41700000000000442</v>
      </c>
      <c r="S374" s="205">
        <v>3.7984023027245058E-3</v>
      </c>
      <c r="T374" s="204" t="s">
        <v>405</v>
      </c>
      <c r="U374" s="204" t="s">
        <v>226</v>
      </c>
      <c r="V374" s="204"/>
      <c r="W374" s="211">
        <v>1</v>
      </c>
      <c r="X374" s="204" t="s">
        <v>423</v>
      </c>
    </row>
    <row r="375" spans="2:24">
      <c r="B375" s="663"/>
      <c r="C375" s="659"/>
      <c r="D375" s="239">
        <v>9</v>
      </c>
      <c r="E375" s="204" t="s">
        <v>401</v>
      </c>
      <c r="F375" s="205">
        <v>205.68491999999998</v>
      </c>
      <c r="G375" s="204">
        <v>6.0570000000000004</v>
      </c>
      <c r="H375" s="204">
        <v>6.4</v>
      </c>
      <c r="I375" s="216">
        <f t="shared" si="27"/>
        <v>1.0566286940729734</v>
      </c>
      <c r="J375" s="204">
        <v>0</v>
      </c>
      <c r="K375" s="216">
        <f t="shared" si="28"/>
        <v>0</v>
      </c>
      <c r="L375" s="205">
        <v>846.44</v>
      </c>
      <c r="M375" s="216">
        <f t="shared" si="29"/>
        <v>1.0566286940729734</v>
      </c>
      <c r="N375" s="205">
        <v>290.32891999999998</v>
      </c>
      <c r="O375" s="204">
        <v>0.1</v>
      </c>
      <c r="P375" s="206">
        <v>1.650982334489021E-2</v>
      </c>
      <c r="Q375" s="204">
        <v>84.644000000000005</v>
      </c>
      <c r="R375" s="385">
        <v>0.24299999999999997</v>
      </c>
      <c r="S375" s="205">
        <v>4.0118870728083199E-2</v>
      </c>
      <c r="T375" s="204" t="s">
        <v>419</v>
      </c>
      <c r="U375" s="204" t="s">
        <v>420</v>
      </c>
      <c r="V375" s="204"/>
      <c r="W375" s="211">
        <v>1</v>
      </c>
      <c r="X375" s="204" t="s">
        <v>403</v>
      </c>
    </row>
    <row r="376" spans="2:24">
      <c r="B376" s="663"/>
      <c r="C376" s="659"/>
      <c r="D376" s="239">
        <v>10</v>
      </c>
      <c r="E376" s="204" t="s">
        <v>545</v>
      </c>
      <c r="F376" s="205">
        <v>189.26280000000008</v>
      </c>
      <c r="G376" s="204">
        <v>23.04</v>
      </c>
      <c r="H376" s="204">
        <v>23.7</v>
      </c>
      <c r="I376" s="216">
        <f t="shared" si="27"/>
        <v>1.0286458333333333</v>
      </c>
      <c r="J376" s="204">
        <v>0</v>
      </c>
      <c r="K376" s="216">
        <f t="shared" si="28"/>
        <v>0</v>
      </c>
      <c r="L376" s="205">
        <v>525.73</v>
      </c>
      <c r="M376" s="216">
        <f t="shared" si="29"/>
        <v>1.0286458333333333</v>
      </c>
      <c r="N376" s="205">
        <v>346.98180000000008</v>
      </c>
      <c r="O376" s="204">
        <v>0.3</v>
      </c>
      <c r="P376" s="206">
        <v>1.3020833333333334E-2</v>
      </c>
      <c r="Q376" s="204">
        <v>157.71899999999999</v>
      </c>
      <c r="R376" s="385">
        <v>0.36000000000000015</v>
      </c>
      <c r="S376" s="205">
        <v>1.5625000000000007E-2</v>
      </c>
      <c r="T376" s="204" t="s">
        <v>405</v>
      </c>
      <c r="U376" s="204" t="s">
        <v>226</v>
      </c>
      <c r="V376" s="204"/>
      <c r="W376" s="211">
        <v>1</v>
      </c>
      <c r="X376" s="204" t="s">
        <v>517</v>
      </c>
    </row>
    <row r="377" spans="2:24">
      <c r="B377" s="662">
        <v>45907</v>
      </c>
      <c r="C377" s="660" t="s">
        <v>958</v>
      </c>
      <c r="D377" s="239">
        <v>1</v>
      </c>
      <c r="E377" s="204" t="s">
        <v>937</v>
      </c>
      <c r="F377" s="205">
        <v>2381.7575999999981</v>
      </c>
      <c r="G377" s="204">
        <v>131.404</v>
      </c>
      <c r="H377" s="204">
        <v>132</v>
      </c>
      <c r="I377" s="216">
        <f t="shared" si="27"/>
        <v>1.0045356305744118</v>
      </c>
      <c r="J377" s="204">
        <v>7.7</v>
      </c>
      <c r="K377" s="216">
        <f t="shared" si="28"/>
        <v>5.8597911783507352E-2</v>
      </c>
      <c r="L377" s="205">
        <v>290.60000000000002</v>
      </c>
      <c r="M377" s="216">
        <f t="shared" si="29"/>
        <v>1.0631335423579191</v>
      </c>
      <c r="N377" s="205">
        <v>2410.817599999998</v>
      </c>
      <c r="O377" s="204">
        <v>0.1</v>
      </c>
      <c r="P377" s="206">
        <v>7.6101184134425134E-4</v>
      </c>
      <c r="Q377" s="204">
        <v>29.060000000000002</v>
      </c>
      <c r="R377" s="385">
        <v>8.1959999999999926</v>
      </c>
      <c r="S377" s="205">
        <v>6.2372530516574785E-2</v>
      </c>
      <c r="T377" s="204" t="s">
        <v>405</v>
      </c>
      <c r="U377" s="204" t="s">
        <v>225</v>
      </c>
      <c r="V377" s="204"/>
      <c r="W377" s="211">
        <v>1</v>
      </c>
      <c r="X377" s="204" t="s">
        <v>834</v>
      </c>
    </row>
    <row r="378" spans="2:24">
      <c r="B378" s="663"/>
      <c r="C378" s="659"/>
      <c r="D378" s="239">
        <v>2</v>
      </c>
      <c r="E378" s="204" t="s">
        <v>426</v>
      </c>
      <c r="F378" s="205">
        <v>288.18389999999886</v>
      </c>
      <c r="G378" s="204">
        <v>138.63499999999999</v>
      </c>
      <c r="H378" s="204">
        <v>139.19999999999999</v>
      </c>
      <c r="I378" s="216">
        <f t="shared" si="27"/>
        <v>1.0040754499224582</v>
      </c>
      <c r="J378" s="204">
        <v>0</v>
      </c>
      <c r="K378" s="216">
        <f t="shared" si="28"/>
        <v>0</v>
      </c>
      <c r="L378" s="205">
        <v>510.06</v>
      </c>
      <c r="M378" s="216">
        <f t="shared" si="29"/>
        <v>1.0040754499224582</v>
      </c>
      <c r="N378" s="205">
        <v>288.18389999999886</v>
      </c>
      <c r="O378" s="204">
        <v>0</v>
      </c>
      <c r="P378" s="206">
        <v>0</v>
      </c>
      <c r="Q378" s="204">
        <v>0</v>
      </c>
      <c r="R378" s="385">
        <v>0.56499999999999773</v>
      </c>
      <c r="S378" s="205">
        <v>4.0754499224582375E-3</v>
      </c>
      <c r="T378" s="204" t="s">
        <v>405</v>
      </c>
      <c r="U378" s="204" t="s">
        <v>226</v>
      </c>
      <c r="V378" s="204"/>
      <c r="W378" s="211">
        <v>1</v>
      </c>
      <c r="X378" s="204" t="s">
        <v>423</v>
      </c>
    </row>
    <row r="379" spans="2:24">
      <c r="B379" s="663"/>
      <c r="C379" s="659"/>
      <c r="D379" s="239">
        <v>3</v>
      </c>
      <c r="E379" s="204" t="s">
        <v>545</v>
      </c>
      <c r="F379" s="205">
        <v>279.68835999999965</v>
      </c>
      <c r="G379" s="204">
        <v>27.167999999999999</v>
      </c>
      <c r="H379" s="204">
        <v>27.9</v>
      </c>
      <c r="I379" s="216">
        <f t="shared" si="27"/>
        <v>1.0269434628975265</v>
      </c>
      <c r="J379" s="204">
        <v>0</v>
      </c>
      <c r="K379" s="216">
        <f t="shared" si="28"/>
        <v>0</v>
      </c>
      <c r="L379" s="205">
        <v>525.73</v>
      </c>
      <c r="M379" s="216">
        <f t="shared" si="29"/>
        <v>1.0269434628975265</v>
      </c>
      <c r="N379" s="205">
        <v>384.83435999999966</v>
      </c>
      <c r="O379" s="204">
        <v>0.2</v>
      </c>
      <c r="P379" s="206">
        <v>7.3616018845700827E-3</v>
      </c>
      <c r="Q379" s="204">
        <v>105.14600000000002</v>
      </c>
      <c r="R379" s="385">
        <v>0.53199999999999936</v>
      </c>
      <c r="S379" s="205">
        <v>1.9581861012956395E-2</v>
      </c>
      <c r="T379" s="204" t="s">
        <v>405</v>
      </c>
      <c r="U379" s="204" t="s">
        <v>226</v>
      </c>
      <c r="V379" s="204"/>
      <c r="W379" s="211">
        <v>1</v>
      </c>
      <c r="X379" s="204" t="s">
        <v>517</v>
      </c>
    </row>
    <row r="380" spans="2:24">
      <c r="B380" s="663"/>
      <c r="C380" s="659"/>
      <c r="D380" s="239">
        <v>4</v>
      </c>
      <c r="E380" s="204" t="s">
        <v>673</v>
      </c>
      <c r="F380" s="205">
        <v>254.33</v>
      </c>
      <c r="G380" s="204">
        <v>0.31230000000000002</v>
      </c>
      <c r="H380" s="204">
        <v>0.4</v>
      </c>
      <c r="I380" s="216">
        <f t="shared" si="27"/>
        <v>1.2808197246237591</v>
      </c>
      <c r="J380" s="204">
        <v>0</v>
      </c>
      <c r="K380" s="216">
        <f t="shared" si="28"/>
        <v>0</v>
      </c>
      <c r="L380" s="205">
        <v>2900</v>
      </c>
      <c r="M380" s="216">
        <f t="shared" si="29"/>
        <v>1.2808197246237591</v>
      </c>
      <c r="N380" s="205">
        <v>254.33</v>
      </c>
      <c r="O380" s="204">
        <v>0</v>
      </c>
      <c r="P380" s="206">
        <v>0</v>
      </c>
      <c r="Q380" s="204">
        <v>0</v>
      </c>
      <c r="R380" s="385">
        <v>8.77E-2</v>
      </c>
      <c r="S380" s="205">
        <v>0.2808197246237592</v>
      </c>
      <c r="T380" s="204" t="s">
        <v>405</v>
      </c>
      <c r="U380" s="204" t="s">
        <v>225</v>
      </c>
      <c r="V380" s="204"/>
      <c r="W380" s="211">
        <v>1</v>
      </c>
      <c r="X380" s="204" t="s">
        <v>660</v>
      </c>
    </row>
    <row r="381" spans="2:24">
      <c r="B381" s="663"/>
      <c r="C381" s="659"/>
      <c r="D381" s="239">
        <v>5</v>
      </c>
      <c r="E381" s="204" t="s">
        <v>401</v>
      </c>
      <c r="F381" s="205">
        <v>229.38523999999992</v>
      </c>
      <c r="G381" s="204">
        <v>7.0289999999999999</v>
      </c>
      <c r="H381" s="204">
        <v>7.3</v>
      </c>
      <c r="I381" s="216">
        <f t="shared" si="27"/>
        <v>1.0385545596813202</v>
      </c>
      <c r="J381" s="204">
        <v>0</v>
      </c>
      <c r="K381" s="216">
        <f t="shared" si="28"/>
        <v>0</v>
      </c>
      <c r="L381" s="205">
        <v>846.44</v>
      </c>
      <c r="M381" s="216">
        <f t="shared" si="29"/>
        <v>1.0385545596813202</v>
      </c>
      <c r="N381" s="205">
        <v>229.38523999999992</v>
      </c>
      <c r="O381" s="204">
        <v>0</v>
      </c>
      <c r="P381" s="206">
        <v>0</v>
      </c>
      <c r="Q381" s="204">
        <v>0</v>
      </c>
      <c r="R381" s="385">
        <v>0.27099999999999991</v>
      </c>
      <c r="S381" s="205">
        <v>3.8554559681320232E-2</v>
      </c>
      <c r="T381" s="204" t="s">
        <v>419</v>
      </c>
      <c r="U381" s="204" t="s">
        <v>522</v>
      </c>
      <c r="V381" s="204"/>
      <c r="W381" s="211">
        <v>1</v>
      </c>
      <c r="X381" s="204" t="s">
        <v>403</v>
      </c>
    </row>
    <row r="382" spans="2:24">
      <c r="B382" s="663"/>
      <c r="C382" s="659"/>
      <c r="D382" s="239">
        <v>6</v>
      </c>
      <c r="E382" s="204" t="s">
        <v>528</v>
      </c>
      <c r="F382" s="205">
        <v>226.97820000000263</v>
      </c>
      <c r="G382" s="204">
        <v>85.96</v>
      </c>
      <c r="H382" s="204">
        <v>86.2</v>
      </c>
      <c r="I382" s="216">
        <f t="shared" si="27"/>
        <v>1.0027919962773384</v>
      </c>
      <c r="J382" s="204">
        <v>0.3</v>
      </c>
      <c r="K382" s="216">
        <f t="shared" si="28"/>
        <v>3.489995346672871E-3</v>
      </c>
      <c r="L382" s="205">
        <v>420.33</v>
      </c>
      <c r="M382" s="216">
        <f t="shared" si="29"/>
        <v>1.0062819916240113</v>
      </c>
      <c r="N382" s="205">
        <v>226.97820000000263</v>
      </c>
      <c r="O382" s="204">
        <v>0</v>
      </c>
      <c r="P382" s="206">
        <v>0</v>
      </c>
      <c r="Q382" s="204">
        <v>0</v>
      </c>
      <c r="R382" s="385">
        <v>0.54000000000000625</v>
      </c>
      <c r="S382" s="205">
        <v>6.2819916240112409E-3</v>
      </c>
      <c r="T382" s="204" t="s">
        <v>402</v>
      </c>
      <c r="U382" s="204" t="s">
        <v>224</v>
      </c>
      <c r="V382" s="204"/>
      <c r="W382" s="211">
        <v>1</v>
      </c>
      <c r="X382" s="204" t="s">
        <v>487</v>
      </c>
    </row>
    <row r="383" spans="2:24">
      <c r="B383" s="663"/>
      <c r="C383" s="659"/>
      <c r="D383" s="239">
        <v>7</v>
      </c>
      <c r="E383" s="204" t="s">
        <v>569</v>
      </c>
      <c r="F383" s="205">
        <v>203.7297000000012</v>
      </c>
      <c r="G383" s="204">
        <v>48.07</v>
      </c>
      <c r="H383" s="204">
        <v>48.7</v>
      </c>
      <c r="I383" s="216">
        <f t="shared" si="27"/>
        <v>1.0131058872477636</v>
      </c>
      <c r="J383" s="204">
        <v>0</v>
      </c>
      <c r="K383" s="216">
        <f t="shared" si="28"/>
        <v>0</v>
      </c>
      <c r="L383" s="205">
        <v>473.79</v>
      </c>
      <c r="M383" s="216">
        <f t="shared" si="29"/>
        <v>1.0131058872477636</v>
      </c>
      <c r="N383" s="205">
        <v>298.48770000000121</v>
      </c>
      <c r="O383" s="204">
        <v>0.2</v>
      </c>
      <c r="P383" s="206">
        <v>4.1605991262741839E-3</v>
      </c>
      <c r="Q383" s="204">
        <v>94.75800000000001</v>
      </c>
      <c r="R383" s="385">
        <v>0.43000000000000255</v>
      </c>
      <c r="S383" s="205">
        <v>8.9452881214895467E-3</v>
      </c>
      <c r="T383" s="204" t="s">
        <v>405</v>
      </c>
      <c r="U383" s="204" t="s">
        <v>226</v>
      </c>
      <c r="V383" s="204"/>
      <c r="W383" s="211">
        <v>1</v>
      </c>
      <c r="X383" s="204" t="s">
        <v>423</v>
      </c>
    </row>
    <row r="384" spans="2:24">
      <c r="B384" s="663"/>
      <c r="C384" s="659"/>
      <c r="D384" s="239">
        <v>8</v>
      </c>
      <c r="E384" s="204" t="s">
        <v>961</v>
      </c>
      <c r="F384" s="205">
        <v>189.50764000000083</v>
      </c>
      <c r="G384" s="204">
        <v>28.994</v>
      </c>
      <c r="H384" s="204">
        <v>29.3</v>
      </c>
      <c r="I384" s="216">
        <f t="shared" si="27"/>
        <v>1.0105539077050425</v>
      </c>
      <c r="J384" s="204">
        <v>0</v>
      </c>
      <c r="K384" s="216">
        <f t="shared" si="28"/>
        <v>0</v>
      </c>
      <c r="L384" s="205">
        <v>919.94</v>
      </c>
      <c r="M384" s="216">
        <f t="shared" si="29"/>
        <v>1.0105539077050425</v>
      </c>
      <c r="N384" s="205">
        <v>281.50164000000086</v>
      </c>
      <c r="O384" s="204">
        <v>0.1</v>
      </c>
      <c r="P384" s="206">
        <v>3.448989446092295E-3</v>
      </c>
      <c r="Q384" s="204">
        <v>91.994000000000014</v>
      </c>
      <c r="R384" s="385">
        <v>0.20600000000000093</v>
      </c>
      <c r="S384" s="205">
        <v>7.1049182589501599E-3</v>
      </c>
      <c r="T384" s="204" t="s">
        <v>405</v>
      </c>
      <c r="U384" s="204" t="s">
        <v>225</v>
      </c>
      <c r="V384" s="204"/>
      <c r="W384" s="211">
        <v>1</v>
      </c>
      <c r="X384" s="204" t="s">
        <v>962</v>
      </c>
    </row>
    <row r="385" spans="2:24">
      <c r="B385" s="663"/>
      <c r="C385" s="659"/>
      <c r="D385" s="239">
        <v>9</v>
      </c>
      <c r="E385" s="204" t="s">
        <v>430</v>
      </c>
      <c r="F385" s="205">
        <v>187.42064999999883</v>
      </c>
      <c r="G385" s="204">
        <v>62.895000000000003</v>
      </c>
      <c r="H385" s="204">
        <v>62.7</v>
      </c>
      <c r="I385" s="216">
        <f t="shared" si="27"/>
        <v>0.99689959456236588</v>
      </c>
      <c r="J385" s="204">
        <v>0.8</v>
      </c>
      <c r="K385" s="216">
        <f t="shared" si="28"/>
        <v>1.2719612051832418E-2</v>
      </c>
      <c r="L385" s="205">
        <v>371.13</v>
      </c>
      <c r="M385" s="216">
        <f t="shared" si="29"/>
        <v>1.0096192066141982</v>
      </c>
      <c r="N385" s="205">
        <v>224.53364999999883</v>
      </c>
      <c r="O385" s="204">
        <v>0.1</v>
      </c>
      <c r="P385" s="206">
        <v>1.5899515064790523E-3</v>
      </c>
      <c r="Q385" s="204">
        <v>37.113</v>
      </c>
      <c r="R385" s="385">
        <v>0.5049999999999969</v>
      </c>
      <c r="S385" s="205">
        <v>8.0292551077191642E-3</v>
      </c>
      <c r="T385" s="204" t="s">
        <v>402</v>
      </c>
      <c r="U385" s="204" t="s">
        <v>224</v>
      </c>
      <c r="V385" s="204"/>
      <c r="W385" s="211">
        <v>1</v>
      </c>
      <c r="X385" s="204" t="s">
        <v>494</v>
      </c>
    </row>
    <row r="386" spans="2:24">
      <c r="B386" s="663"/>
      <c r="C386" s="659"/>
      <c r="D386" s="239">
        <v>10</v>
      </c>
      <c r="E386" s="204" t="s">
        <v>599</v>
      </c>
      <c r="F386" s="205">
        <v>186.8495999999995</v>
      </c>
      <c r="G386" s="204">
        <v>27.18</v>
      </c>
      <c r="H386" s="204">
        <v>27.9</v>
      </c>
      <c r="I386" s="216">
        <f t="shared" si="27"/>
        <v>1.0264900662251655</v>
      </c>
      <c r="J386" s="204">
        <v>0</v>
      </c>
      <c r="K386" s="216">
        <f t="shared" si="28"/>
        <v>0</v>
      </c>
      <c r="L386" s="205">
        <v>444.88</v>
      </c>
      <c r="M386" s="216">
        <f t="shared" si="29"/>
        <v>1.0264900662251655</v>
      </c>
      <c r="N386" s="205">
        <v>320.3135999999995</v>
      </c>
      <c r="O386" s="204">
        <v>0.3</v>
      </c>
      <c r="P386" s="206">
        <v>1.1037527593818984E-2</v>
      </c>
      <c r="Q386" s="204">
        <v>133.464</v>
      </c>
      <c r="R386" s="385">
        <v>0.41999999999999887</v>
      </c>
      <c r="S386" s="205">
        <v>1.5452538631346538E-2</v>
      </c>
      <c r="T386" s="204" t="s">
        <v>405</v>
      </c>
      <c r="U386" s="204" t="s">
        <v>226</v>
      </c>
      <c r="V386" s="204"/>
      <c r="W386" s="211">
        <v>1</v>
      </c>
      <c r="X386" s="204" t="s">
        <v>598</v>
      </c>
    </row>
    <row r="387" spans="2:24">
      <c r="B387" s="662">
        <v>45908</v>
      </c>
      <c r="C387" s="660" t="s">
        <v>945</v>
      </c>
      <c r="D387" s="239">
        <v>1</v>
      </c>
      <c r="E387" s="204" t="s">
        <v>937</v>
      </c>
      <c r="F387" s="205">
        <v>1999.328</v>
      </c>
      <c r="G387" s="204">
        <v>116.22</v>
      </c>
      <c r="H387" s="204">
        <v>118.1</v>
      </c>
      <c r="I387" s="216">
        <f t="shared" si="27"/>
        <v>1.0161762175184994</v>
      </c>
      <c r="J387" s="204">
        <v>5.2</v>
      </c>
      <c r="K387" s="216">
        <f t="shared" si="28"/>
        <v>4.4742729306487698E-2</v>
      </c>
      <c r="L387" s="205">
        <v>290.60000000000002</v>
      </c>
      <c r="M387" s="216">
        <f t="shared" si="29"/>
        <v>1.0609189468249871</v>
      </c>
      <c r="N387" s="205">
        <v>2057.4479999999999</v>
      </c>
      <c r="O387" s="204">
        <v>0.2</v>
      </c>
      <c r="P387" s="206">
        <v>1.7208742040956807E-3</v>
      </c>
      <c r="Q387" s="204">
        <v>58.120000000000005</v>
      </c>
      <c r="R387" s="385">
        <v>6.8799999999999981</v>
      </c>
      <c r="S387" s="205">
        <v>5.9198072620891398E-2</v>
      </c>
      <c r="T387" s="204" t="s">
        <v>405</v>
      </c>
      <c r="U387" s="204" t="s">
        <v>225</v>
      </c>
      <c r="V387" s="204"/>
      <c r="W387" s="211">
        <v>1</v>
      </c>
      <c r="X387" s="204" t="s">
        <v>834</v>
      </c>
    </row>
    <row r="388" spans="2:24">
      <c r="B388" s="663"/>
      <c r="C388" s="659"/>
      <c r="D388" s="239">
        <v>2</v>
      </c>
      <c r="E388" s="204" t="s">
        <v>961</v>
      </c>
      <c r="F388" s="205">
        <v>390.97450000000197</v>
      </c>
      <c r="G388" s="204">
        <v>26.774999999999999</v>
      </c>
      <c r="H388" s="204">
        <v>27.3</v>
      </c>
      <c r="I388" s="216">
        <f t="shared" si="27"/>
        <v>1.0196078431372551</v>
      </c>
      <c r="J388" s="204">
        <v>0</v>
      </c>
      <c r="K388" s="216">
        <f t="shared" si="28"/>
        <v>0</v>
      </c>
      <c r="L388" s="205">
        <v>919.94</v>
      </c>
      <c r="M388" s="216">
        <f t="shared" si="29"/>
        <v>1.0196078431372551</v>
      </c>
      <c r="N388" s="205">
        <v>482.968500000002</v>
      </c>
      <c r="O388" s="204">
        <v>0.1</v>
      </c>
      <c r="P388" s="206">
        <v>3.7348272642390296E-3</v>
      </c>
      <c r="Q388" s="204">
        <v>91.994000000000014</v>
      </c>
      <c r="R388" s="385">
        <v>0.42500000000000215</v>
      </c>
      <c r="S388" s="205">
        <v>1.5873015873015955E-2</v>
      </c>
      <c r="T388" s="204" t="s">
        <v>405</v>
      </c>
      <c r="U388" s="204" t="s">
        <v>225</v>
      </c>
      <c r="V388" s="204"/>
      <c r="W388" s="211">
        <v>1</v>
      </c>
      <c r="X388" s="204" t="s">
        <v>962</v>
      </c>
    </row>
    <row r="389" spans="2:24">
      <c r="B389" s="663"/>
      <c r="C389" s="659"/>
      <c r="D389" s="239">
        <v>3</v>
      </c>
      <c r="E389" s="204" t="s">
        <v>599</v>
      </c>
      <c r="F389" s="205">
        <v>355.01423999999952</v>
      </c>
      <c r="G389" s="204">
        <v>28.602</v>
      </c>
      <c r="H389" s="204">
        <v>29.7</v>
      </c>
      <c r="I389" s="216">
        <f t="shared" si="27"/>
        <v>1.038388923851479</v>
      </c>
      <c r="J389" s="204">
        <v>0</v>
      </c>
      <c r="K389" s="216">
        <f t="shared" si="28"/>
        <v>0</v>
      </c>
      <c r="L389" s="205">
        <v>444.88</v>
      </c>
      <c r="M389" s="216">
        <f t="shared" si="29"/>
        <v>1.038388923851479</v>
      </c>
      <c r="N389" s="205">
        <v>488.47823999999952</v>
      </c>
      <c r="O389" s="204">
        <v>0.3</v>
      </c>
      <c r="P389" s="206">
        <v>1.0488777008600797E-2</v>
      </c>
      <c r="Q389" s="204">
        <v>133.464</v>
      </c>
      <c r="R389" s="385">
        <v>0.79799999999999893</v>
      </c>
      <c r="S389" s="205">
        <v>2.7900146842878084E-2</v>
      </c>
      <c r="T389" s="204" t="s">
        <v>405</v>
      </c>
      <c r="U389" s="204" t="s">
        <v>226</v>
      </c>
      <c r="V389" s="204"/>
      <c r="W389" s="211">
        <v>1</v>
      </c>
      <c r="X389" s="204" t="s">
        <v>598</v>
      </c>
    </row>
    <row r="390" spans="2:24">
      <c r="B390" s="663"/>
      <c r="C390" s="659"/>
      <c r="D390" s="239">
        <v>4</v>
      </c>
      <c r="E390" s="204" t="s">
        <v>426</v>
      </c>
      <c r="F390" s="205">
        <v>259.1104800000021</v>
      </c>
      <c r="G390" s="204">
        <v>142.892</v>
      </c>
      <c r="H390" s="204">
        <v>142.69999999999999</v>
      </c>
      <c r="I390" s="216">
        <f t="shared" si="27"/>
        <v>0.99865632785600311</v>
      </c>
      <c r="J390" s="204">
        <v>0.8</v>
      </c>
      <c r="K390" s="216">
        <f t="shared" si="28"/>
        <v>5.5986339333202705E-3</v>
      </c>
      <c r="L390" s="205">
        <v>510.06</v>
      </c>
      <c r="M390" s="216">
        <f t="shared" si="29"/>
        <v>1.0042549617893235</v>
      </c>
      <c r="N390" s="205">
        <v>310.11648000000207</v>
      </c>
      <c r="O390" s="204">
        <v>0.1</v>
      </c>
      <c r="P390" s="206">
        <v>6.9982924166503381E-4</v>
      </c>
      <c r="Q390" s="204">
        <v>51.006</v>
      </c>
      <c r="R390" s="385">
        <v>0.50800000000000411</v>
      </c>
      <c r="S390" s="205">
        <v>3.5551325476584003E-3</v>
      </c>
      <c r="T390" s="204" t="s">
        <v>405</v>
      </c>
      <c r="U390" s="204" t="s">
        <v>226</v>
      </c>
      <c r="V390" s="204"/>
      <c r="W390" s="211">
        <v>1</v>
      </c>
      <c r="X390" s="204" t="s">
        <v>423</v>
      </c>
    </row>
    <row r="391" spans="2:24">
      <c r="B391" s="663"/>
      <c r="C391" s="659"/>
      <c r="D391" s="239">
        <v>5</v>
      </c>
      <c r="E391" s="204" t="s">
        <v>401</v>
      </c>
      <c r="F391" s="205">
        <v>242.08184000000011</v>
      </c>
      <c r="G391" s="204">
        <v>7.6139999999999999</v>
      </c>
      <c r="H391" s="204">
        <v>8</v>
      </c>
      <c r="I391" s="216">
        <f t="shared" si="27"/>
        <v>1.0506960861570791</v>
      </c>
      <c r="J391" s="204">
        <v>0</v>
      </c>
      <c r="K391" s="216">
        <f t="shared" si="28"/>
        <v>0</v>
      </c>
      <c r="L391" s="205">
        <v>846.44</v>
      </c>
      <c r="M391" s="216">
        <f t="shared" si="29"/>
        <v>1.0506960861570791</v>
      </c>
      <c r="N391" s="205">
        <v>326.72584000000012</v>
      </c>
      <c r="O391" s="204">
        <v>0.1</v>
      </c>
      <c r="P391" s="206">
        <v>1.3133701076963489E-2</v>
      </c>
      <c r="Q391" s="204">
        <v>84.644000000000005</v>
      </c>
      <c r="R391" s="385">
        <v>0.28600000000000014</v>
      </c>
      <c r="S391" s="205">
        <v>3.7562385080115598E-2</v>
      </c>
      <c r="T391" s="204" t="s">
        <v>419</v>
      </c>
      <c r="U391" s="204" t="s">
        <v>522</v>
      </c>
      <c r="V391" s="204"/>
      <c r="W391" s="211">
        <v>1</v>
      </c>
      <c r="X391" s="204" t="s">
        <v>403</v>
      </c>
    </row>
    <row r="392" spans="2:24">
      <c r="B392" s="663"/>
      <c r="C392" s="659"/>
      <c r="D392" s="239">
        <v>6</v>
      </c>
      <c r="E392" s="204" t="s">
        <v>528</v>
      </c>
      <c r="F392" s="205">
        <v>239.58810000000068</v>
      </c>
      <c r="G392" s="204">
        <v>98.63</v>
      </c>
      <c r="H392" s="204">
        <v>99.3</v>
      </c>
      <c r="I392" s="216">
        <f t="shared" ref="I392:I396" si="30">H392/G392</f>
        <v>1.006793064990368</v>
      </c>
      <c r="J392" s="204">
        <v>0</v>
      </c>
      <c r="K392" s="216">
        <f t="shared" ref="K392:K396" si="31">J392/G392</f>
        <v>0</v>
      </c>
      <c r="L392" s="205">
        <v>420.33</v>
      </c>
      <c r="M392" s="216">
        <f t="shared" ref="M392:M396" si="32">(H392+J392)/G392</f>
        <v>1.006793064990368</v>
      </c>
      <c r="N392" s="205">
        <v>281.62110000000069</v>
      </c>
      <c r="O392" s="204">
        <v>0.1</v>
      </c>
      <c r="P392" s="206">
        <v>1.0138902970698571E-3</v>
      </c>
      <c r="Q392" s="204">
        <v>42.033000000000001</v>
      </c>
      <c r="R392" s="385">
        <v>0.57000000000000173</v>
      </c>
      <c r="S392" s="205">
        <v>5.7791746932982033E-3</v>
      </c>
      <c r="T392" s="204" t="s">
        <v>402</v>
      </c>
      <c r="U392" s="204" t="s">
        <v>224</v>
      </c>
      <c r="V392" s="204"/>
      <c r="W392" s="211">
        <v>1</v>
      </c>
      <c r="X392" s="204" t="s">
        <v>487</v>
      </c>
    </row>
    <row r="393" spans="2:24">
      <c r="B393" s="663"/>
      <c r="C393" s="659"/>
      <c r="D393" s="239">
        <v>7</v>
      </c>
      <c r="E393" s="204" t="s">
        <v>569</v>
      </c>
      <c r="F393" s="205">
        <v>228.36677999999969</v>
      </c>
      <c r="G393" s="204">
        <v>47.518000000000001</v>
      </c>
      <c r="H393" s="204">
        <v>48</v>
      </c>
      <c r="I393" s="216">
        <f t="shared" si="30"/>
        <v>1.0101435245591144</v>
      </c>
      <c r="J393" s="204">
        <v>0</v>
      </c>
      <c r="K393" s="216">
        <f t="shared" si="31"/>
        <v>0</v>
      </c>
      <c r="L393" s="205">
        <v>473.79</v>
      </c>
      <c r="M393" s="216">
        <f t="shared" si="32"/>
        <v>1.0101435245591144</v>
      </c>
      <c r="N393" s="205">
        <v>228.36677999999969</v>
      </c>
      <c r="O393" s="204">
        <v>0</v>
      </c>
      <c r="P393" s="206">
        <v>0</v>
      </c>
      <c r="Q393" s="204">
        <v>0</v>
      </c>
      <c r="R393" s="385">
        <v>0.48199999999999932</v>
      </c>
      <c r="S393" s="205">
        <v>1.0143524559114426E-2</v>
      </c>
      <c r="T393" s="204" t="s">
        <v>405</v>
      </c>
      <c r="U393" s="204" t="s">
        <v>226</v>
      </c>
      <c r="V393" s="204"/>
      <c r="W393" s="211">
        <v>1</v>
      </c>
      <c r="X393" s="204" t="s">
        <v>423</v>
      </c>
    </row>
    <row r="394" spans="2:24">
      <c r="B394" s="663"/>
      <c r="C394" s="659"/>
      <c r="D394" s="239">
        <v>8</v>
      </c>
      <c r="E394" s="204" t="s">
        <v>659</v>
      </c>
      <c r="F394" s="205">
        <v>220.88224000000082</v>
      </c>
      <c r="G394" s="204">
        <v>95.744</v>
      </c>
      <c r="H394" s="204">
        <v>97.2</v>
      </c>
      <c r="I394" s="216">
        <f t="shared" si="30"/>
        <v>1.0152072192513368</v>
      </c>
      <c r="J394" s="204">
        <v>0</v>
      </c>
      <c r="K394" s="216">
        <f t="shared" si="31"/>
        <v>0</v>
      </c>
      <c r="L394" s="205">
        <v>258.04000000000002</v>
      </c>
      <c r="M394" s="216">
        <f t="shared" si="32"/>
        <v>1.0152072192513368</v>
      </c>
      <c r="N394" s="205">
        <v>375.70624000000083</v>
      </c>
      <c r="O394" s="204">
        <v>0.6</v>
      </c>
      <c r="P394" s="206">
        <v>6.266711229946524E-3</v>
      </c>
      <c r="Q394" s="204">
        <v>154.82400000000001</v>
      </c>
      <c r="R394" s="385">
        <v>0.85600000000000309</v>
      </c>
      <c r="S394" s="205">
        <v>8.9405080213904066E-3</v>
      </c>
      <c r="T394" s="204" t="s">
        <v>405</v>
      </c>
      <c r="U394" s="204" t="s">
        <v>225</v>
      </c>
      <c r="V394" s="204"/>
      <c r="W394" s="211">
        <v>1</v>
      </c>
      <c r="X394" s="204" t="s">
        <v>660</v>
      </c>
    </row>
    <row r="395" spans="2:24">
      <c r="B395" s="663"/>
      <c r="C395" s="659"/>
      <c r="D395" s="239">
        <v>9</v>
      </c>
      <c r="E395" s="204" t="s">
        <v>407</v>
      </c>
      <c r="F395" s="205">
        <v>219.14801999999892</v>
      </c>
      <c r="G395" s="204">
        <v>81.436999999999998</v>
      </c>
      <c r="H395" s="204">
        <v>82.6</v>
      </c>
      <c r="I395" s="216">
        <f t="shared" si="30"/>
        <v>1.0142809779338628</v>
      </c>
      <c r="J395" s="204">
        <v>0</v>
      </c>
      <c r="K395" s="216">
        <f t="shared" si="31"/>
        <v>0</v>
      </c>
      <c r="L395" s="205">
        <v>330.54</v>
      </c>
      <c r="M395" s="216">
        <f t="shared" si="32"/>
        <v>1.0142809779338628</v>
      </c>
      <c r="N395" s="205">
        <v>384.41801999999893</v>
      </c>
      <c r="O395" s="204">
        <v>0.5</v>
      </c>
      <c r="P395" s="206">
        <v>6.1397153627957808E-3</v>
      </c>
      <c r="Q395" s="204">
        <v>165.27</v>
      </c>
      <c r="R395" s="385">
        <v>0.6629999999999967</v>
      </c>
      <c r="S395" s="205">
        <v>8.1412625710671656E-3</v>
      </c>
      <c r="T395" s="204" t="s">
        <v>405</v>
      </c>
      <c r="U395" s="204" t="s">
        <v>225</v>
      </c>
      <c r="V395" s="204"/>
      <c r="W395" s="211">
        <v>1</v>
      </c>
      <c r="X395" s="204" t="s">
        <v>408</v>
      </c>
    </row>
    <row r="396" spans="2:24">
      <c r="B396" s="663"/>
      <c r="C396" s="659"/>
      <c r="D396" s="239">
        <v>10</v>
      </c>
      <c r="E396" s="204" t="s">
        <v>430</v>
      </c>
      <c r="F396" s="205">
        <v>203.0081100000005</v>
      </c>
      <c r="G396" s="204">
        <v>60.753</v>
      </c>
      <c r="H396" s="204">
        <v>61.6</v>
      </c>
      <c r="I396" s="216">
        <f t="shared" si="30"/>
        <v>1.0139416983523448</v>
      </c>
      <c r="J396" s="204">
        <v>0</v>
      </c>
      <c r="K396" s="216">
        <f t="shared" si="31"/>
        <v>0</v>
      </c>
      <c r="L396" s="205">
        <v>371.13</v>
      </c>
      <c r="M396" s="216">
        <f t="shared" si="32"/>
        <v>1.0139416983523448</v>
      </c>
      <c r="N396" s="205">
        <v>314.3471100000005</v>
      </c>
      <c r="O396" s="204">
        <v>0.3</v>
      </c>
      <c r="P396" s="206">
        <v>4.9380277517159649E-3</v>
      </c>
      <c r="Q396" s="204">
        <v>111.339</v>
      </c>
      <c r="R396" s="385">
        <v>0.54700000000000126</v>
      </c>
      <c r="S396" s="205">
        <v>9.0036706006287968E-3</v>
      </c>
      <c r="T396" s="204" t="s">
        <v>402</v>
      </c>
      <c r="U396" s="204" t="s">
        <v>224</v>
      </c>
      <c r="V396" s="204"/>
      <c r="W396" s="211">
        <v>1</v>
      </c>
      <c r="X396" s="204" t="s">
        <v>494</v>
      </c>
    </row>
  </sheetData>
  <mergeCells count="97">
    <mergeCell ref="B377:B386"/>
    <mergeCell ref="C377:C386"/>
    <mergeCell ref="B387:B396"/>
    <mergeCell ref="C387:C396"/>
    <mergeCell ref="B347:B356"/>
    <mergeCell ref="C347:C356"/>
    <mergeCell ref="B357:B366"/>
    <mergeCell ref="C357:C366"/>
    <mergeCell ref="B367:B376"/>
    <mergeCell ref="C367:C376"/>
    <mergeCell ref="B317:B326"/>
    <mergeCell ref="B327:B336"/>
    <mergeCell ref="C327:C336"/>
    <mergeCell ref="B337:B346"/>
    <mergeCell ref="C337:C346"/>
    <mergeCell ref="B307:B316"/>
    <mergeCell ref="C307:C316"/>
    <mergeCell ref="C317:C326"/>
    <mergeCell ref="O5:Q5"/>
    <mergeCell ref="B277:B286"/>
    <mergeCell ref="C277:C286"/>
    <mergeCell ref="B287:B296"/>
    <mergeCell ref="C287:C296"/>
    <mergeCell ref="B297:B306"/>
    <mergeCell ref="C297:C306"/>
    <mergeCell ref="B247:B256"/>
    <mergeCell ref="C247:C256"/>
    <mergeCell ref="B257:B266"/>
    <mergeCell ref="C257:C266"/>
    <mergeCell ref="B267:B276"/>
    <mergeCell ref="C267:C276"/>
    <mergeCell ref="B217:B226"/>
    <mergeCell ref="C217:C226"/>
    <mergeCell ref="B227:B236"/>
    <mergeCell ref="C227:C236"/>
    <mergeCell ref="B237:B246"/>
    <mergeCell ref="C237:C246"/>
    <mergeCell ref="B187:B196"/>
    <mergeCell ref="C187:C196"/>
    <mergeCell ref="B197:B206"/>
    <mergeCell ref="C197:C206"/>
    <mergeCell ref="B207:B216"/>
    <mergeCell ref="C207:C216"/>
    <mergeCell ref="B157:B166"/>
    <mergeCell ref="C157:C166"/>
    <mergeCell ref="B167:B176"/>
    <mergeCell ref="C167:C176"/>
    <mergeCell ref="B177:B186"/>
    <mergeCell ref="C177:C186"/>
    <mergeCell ref="B127:B136"/>
    <mergeCell ref="C127:C136"/>
    <mergeCell ref="B137:B146"/>
    <mergeCell ref="C137:C146"/>
    <mergeCell ref="B147:B156"/>
    <mergeCell ref="C147:C156"/>
    <mergeCell ref="B97:B106"/>
    <mergeCell ref="C97:C106"/>
    <mergeCell ref="B107:B116"/>
    <mergeCell ref="C107:C116"/>
    <mergeCell ref="B117:B126"/>
    <mergeCell ref="C117:C126"/>
    <mergeCell ref="B67:B76"/>
    <mergeCell ref="C67:C76"/>
    <mergeCell ref="B77:B86"/>
    <mergeCell ref="C77:C86"/>
    <mergeCell ref="B87:B96"/>
    <mergeCell ref="C87:C96"/>
    <mergeCell ref="B37:B46"/>
    <mergeCell ref="C37:C46"/>
    <mergeCell ref="B47:B56"/>
    <mergeCell ref="C47:C56"/>
    <mergeCell ref="B57:B66"/>
    <mergeCell ref="C57:C66"/>
    <mergeCell ref="B7:B16"/>
    <mergeCell ref="C7:C16"/>
    <mergeCell ref="B17:B26"/>
    <mergeCell ref="C17:C26"/>
    <mergeCell ref="B27:B36"/>
    <mergeCell ref="C27:C36"/>
    <mergeCell ref="Z3:AH5"/>
    <mergeCell ref="D4:D6"/>
    <mergeCell ref="E4:F4"/>
    <mergeCell ref="G4:N4"/>
    <mergeCell ref="O4:S4"/>
    <mergeCell ref="E5:E6"/>
    <mergeCell ref="F5:F6"/>
    <mergeCell ref="G5:N5"/>
    <mergeCell ref="R5:S5"/>
    <mergeCell ref="B2:X2"/>
    <mergeCell ref="B3:C6"/>
    <mergeCell ref="D3:F3"/>
    <mergeCell ref="G3:S3"/>
    <mergeCell ref="T3:T6"/>
    <mergeCell ref="U3:U6"/>
    <mergeCell ref="V3:V6"/>
    <mergeCell ref="W3:W6"/>
    <mergeCell ref="X3:X6"/>
  </mergeCells>
  <phoneticPr fontId="9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29"/>
    <col min="3" max="3" width="14" style="229" bestFit="1" customWidth="1"/>
    <col min="4" max="4" width="0.28515625" style="229" customWidth="1"/>
    <col min="5" max="5" width="8.7109375" style="229"/>
    <col min="6" max="6" width="16.28515625" style="229" bestFit="1" customWidth="1"/>
    <col min="7" max="16384" width="8.7109375" style="229"/>
  </cols>
  <sheetData>
    <row r="2" spans="2:7" ht="15.75">
      <c r="B2" s="685" t="s">
        <v>301</v>
      </c>
      <c r="C2" s="685"/>
      <c r="D2" s="685"/>
      <c r="E2" s="685"/>
      <c r="F2" s="685"/>
    </row>
    <row r="3" spans="2:7" ht="15">
      <c r="B3" s="230" t="s">
        <v>302</v>
      </c>
      <c r="C3" s="230" t="s">
        <v>303</v>
      </c>
      <c r="D3" s="231"/>
      <c r="E3" s="230" t="s">
        <v>304</v>
      </c>
      <c r="F3" s="230" t="s">
        <v>305</v>
      </c>
      <c r="G3" s="231"/>
    </row>
    <row r="4" spans="2:7" ht="15">
      <c r="B4" s="232" t="s">
        <v>306</v>
      </c>
      <c r="C4" s="232" t="s">
        <v>307</v>
      </c>
      <c r="D4" s="231"/>
      <c r="E4" s="232" t="s">
        <v>308</v>
      </c>
      <c r="F4" s="232" t="s">
        <v>309</v>
      </c>
      <c r="G4" s="231"/>
    </row>
    <row r="5" spans="2:7" ht="15">
      <c r="B5" s="232" t="s">
        <v>310</v>
      </c>
      <c r="C5" s="232" t="s">
        <v>311</v>
      </c>
      <c r="D5" s="231"/>
      <c r="E5" s="232" t="s">
        <v>312</v>
      </c>
      <c r="F5" s="232" t="s">
        <v>313</v>
      </c>
      <c r="G5" s="231"/>
    </row>
    <row r="6" spans="2:7" ht="15">
      <c r="B6" s="232" t="s">
        <v>314</v>
      </c>
      <c r="C6" s="232" t="s">
        <v>315</v>
      </c>
      <c r="D6" s="231"/>
      <c r="E6" s="233" t="s">
        <v>316</v>
      </c>
      <c r="F6" s="233" t="s">
        <v>143</v>
      </c>
      <c r="G6" s="231"/>
    </row>
    <row r="7" spans="2:7" ht="15">
      <c r="B7" s="233" t="s">
        <v>317</v>
      </c>
      <c r="C7" s="233" t="s">
        <v>318</v>
      </c>
      <c r="D7" s="231"/>
      <c r="E7" s="232" t="s">
        <v>319</v>
      </c>
      <c r="F7" s="232" t="s">
        <v>320</v>
      </c>
      <c r="G7" s="231"/>
    </row>
    <row r="8" spans="2:7" ht="15">
      <c r="B8" s="232" t="s">
        <v>321</v>
      </c>
      <c r="C8" s="232" t="s">
        <v>322</v>
      </c>
      <c r="D8" s="231"/>
      <c r="E8" s="232" t="s">
        <v>323</v>
      </c>
      <c r="F8" s="232" t="s">
        <v>324</v>
      </c>
      <c r="G8" s="231"/>
    </row>
    <row r="9" spans="2:7" ht="15">
      <c r="B9" s="232" t="s">
        <v>325</v>
      </c>
      <c r="C9" s="232" t="s">
        <v>326</v>
      </c>
      <c r="D9" s="231"/>
      <c r="E9" s="233" t="s">
        <v>327</v>
      </c>
      <c r="F9" s="233" t="s">
        <v>142</v>
      </c>
      <c r="G9" s="231"/>
    </row>
    <row r="10" spans="2:7" ht="15">
      <c r="B10" s="232" t="s">
        <v>328</v>
      </c>
      <c r="C10" s="232" t="s">
        <v>329</v>
      </c>
      <c r="D10" s="231"/>
      <c r="E10" s="232" t="s">
        <v>330</v>
      </c>
      <c r="F10" s="232" t="s">
        <v>331</v>
      </c>
      <c r="G10" s="231"/>
    </row>
    <row r="11" spans="2:7" ht="15">
      <c r="B11" s="232" t="s">
        <v>332</v>
      </c>
      <c r="C11" s="232" t="s">
        <v>333</v>
      </c>
      <c r="D11" s="231"/>
      <c r="E11" s="232" t="s">
        <v>334</v>
      </c>
      <c r="F11" s="232" t="s">
        <v>324</v>
      </c>
      <c r="G11" s="231"/>
    </row>
    <row r="12" spans="2:7" ht="15">
      <c r="B12" s="232" t="s">
        <v>335</v>
      </c>
      <c r="C12" s="232" t="s">
        <v>336</v>
      </c>
      <c r="D12" s="231"/>
      <c r="E12" s="232" t="s">
        <v>337</v>
      </c>
      <c r="F12" s="232" t="s">
        <v>338</v>
      </c>
      <c r="G12" s="231"/>
    </row>
    <row r="13" spans="2:7" ht="15">
      <c r="B13" s="233" t="s">
        <v>339</v>
      </c>
      <c r="C13" s="233" t="s">
        <v>138</v>
      </c>
      <c r="D13" s="231"/>
      <c r="E13" s="232" t="s">
        <v>340</v>
      </c>
      <c r="F13" s="232" t="s">
        <v>341</v>
      </c>
      <c r="G13" s="231"/>
    </row>
    <row r="14" spans="2:7" ht="15">
      <c r="B14" s="232" t="s">
        <v>342</v>
      </c>
      <c r="C14" s="232" t="s">
        <v>343</v>
      </c>
      <c r="D14" s="231"/>
      <c r="E14" s="233" t="s">
        <v>344</v>
      </c>
      <c r="F14" s="233" t="s">
        <v>345</v>
      </c>
      <c r="G14" s="231"/>
    </row>
    <row r="15" spans="2:7" ht="15">
      <c r="B15" s="233" t="s">
        <v>346</v>
      </c>
      <c r="C15" s="233" t="s">
        <v>347</v>
      </c>
      <c r="D15" s="231"/>
      <c r="E15" s="232" t="s">
        <v>348</v>
      </c>
      <c r="F15" s="232" t="s">
        <v>345</v>
      </c>
      <c r="G15" s="231"/>
    </row>
    <row r="16" spans="2:7" ht="15">
      <c r="B16" s="232" t="s">
        <v>349</v>
      </c>
      <c r="C16" s="232" t="s">
        <v>350</v>
      </c>
      <c r="D16" s="231"/>
      <c r="E16" s="233" t="s">
        <v>351</v>
      </c>
      <c r="F16" s="233" t="s">
        <v>352</v>
      </c>
      <c r="G16" s="231"/>
    </row>
    <row r="17" spans="2:7" ht="15">
      <c r="B17" s="232" t="s">
        <v>353</v>
      </c>
      <c r="C17" s="232" t="s">
        <v>354</v>
      </c>
      <c r="D17" s="231"/>
      <c r="E17" s="232" t="s">
        <v>355</v>
      </c>
      <c r="F17" s="232" t="s">
        <v>356</v>
      </c>
      <c r="G17" s="231"/>
    </row>
    <row r="18" spans="2:7" ht="15">
      <c r="B18" s="232" t="s">
        <v>357</v>
      </c>
      <c r="C18" s="232" t="s">
        <v>358</v>
      </c>
      <c r="D18" s="231"/>
      <c r="E18" s="232" t="s">
        <v>359</v>
      </c>
      <c r="F18" s="232" t="s">
        <v>360</v>
      </c>
      <c r="G18" s="231"/>
    </row>
    <row r="19" spans="2:7" ht="15">
      <c r="B19" s="232" t="s">
        <v>361</v>
      </c>
      <c r="C19" s="232" t="s">
        <v>362</v>
      </c>
      <c r="D19" s="231"/>
      <c r="E19" s="232" t="s">
        <v>363</v>
      </c>
      <c r="F19" s="232" t="s">
        <v>364</v>
      </c>
      <c r="G19" s="231"/>
    </row>
    <row r="20" spans="2:7" ht="15">
      <c r="B20" s="232" t="s">
        <v>365</v>
      </c>
      <c r="C20" s="232" t="s">
        <v>366</v>
      </c>
      <c r="D20" s="231"/>
      <c r="G20" s="231"/>
    </row>
    <row r="21" spans="2:7" ht="15">
      <c r="D21" s="231"/>
      <c r="G21" s="231"/>
    </row>
    <row r="22" spans="2:7" ht="15">
      <c r="D22" s="231"/>
      <c r="G22" s="231"/>
    </row>
    <row r="23" spans="2:7" ht="15">
      <c r="D23" s="231"/>
      <c r="G23" s="231"/>
    </row>
  </sheetData>
  <mergeCells count="1">
    <mergeCell ref="B2:F2"/>
  </mergeCells>
  <phoneticPr fontId="9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E61D09-2145-4207-AF42-2252B840A8EA}"/>
</file>

<file path=customXml/itemProps2.xml><?xml version="1.0" encoding="utf-8"?>
<ds:datastoreItem xmlns:ds="http://schemas.openxmlformats.org/officeDocument/2006/customXml" ds:itemID="{C52277C5-9603-4FD4-B042-EA6BC6C359CC}"/>
</file>

<file path=customXml/itemProps3.xml><?xml version="1.0" encoding="utf-8"?>
<ds:datastoreItem xmlns:ds="http://schemas.openxmlformats.org/officeDocument/2006/customXml" ds:itemID="{4C6928B9-2E70-45C1-A8C1-75DD32B2A7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29</vt:i4>
      </vt:variant>
      <vt:variant>
        <vt:lpstr>已命名的範圍</vt:lpstr>
      </vt:variant>
      <vt:variant>
        <vt:i4>10</vt:i4>
      </vt:variant>
    </vt:vector>
  </HeadingPairs>
  <TitlesOfParts>
    <vt:vector size="39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</vt:lpstr>
      <vt:lpstr>生產管理報表 8-2</vt:lpstr>
      <vt:lpstr>生產管理報表 9</vt:lpstr>
      <vt:lpstr>報廢－原因別分析</vt:lpstr>
      <vt:lpstr>超用－原因別分析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2025-09-11T02:27:08Z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